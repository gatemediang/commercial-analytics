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nji\Downloads\Commercial_Analytics_Financial_Modelling_Capstone_Pack\"/>
    </mc:Choice>
  </mc:AlternateContent>
  <xr:revisionPtr revIDLastSave="0" documentId="8_{8BD23058-9655-47E9-AD6C-9D93AF4DC419}" xr6:coauthVersionLast="47" xr6:coauthVersionMax="47" xr10:uidLastSave="{00000000-0000-0000-0000-000000000000}"/>
  <bookViews>
    <workbookView xWindow="1905" yWindow="1905" windowWidth="15375" windowHeight="7785" xr2:uid="{00000000-000D-0000-FFFF-FFFF00000000}"/>
  </bookViews>
  <sheets>
    <sheet name="README" sheetId="1" r:id="rId1"/>
    <sheet name="Procurement_Raw" sheetId="2" r:id="rId2"/>
    <sheet name="Fleet_Raw" sheetId="3" r:id="rId3"/>
    <sheet name="Workforce_Raw" sheetId="4" r:id="rId4"/>
    <sheet name="Agency_Raw" sheetId="5" r:id="rId5"/>
    <sheet name="Finance_Raw" sheetId="6" r:id="rId6"/>
    <sheet name="Sites" sheetId="7" r:id="rId7"/>
    <sheet name="Category_Targets" sheetId="8" r:id="rId8"/>
    <sheet name="Supplier_Lookup" sheetId="9" r:id="rId9"/>
    <sheet name="Cleaned_Procurement" sheetId="10" r:id="rId10"/>
    <sheet name="Pivot_Analysis" sheetId="11" r:id="rId11"/>
    <sheet name="Financial_Model" sheetId="12" r:id="rId12"/>
    <sheet name="Savings_Tracker" sheetId="13" r:id="rId13"/>
    <sheet name="Formula_Audit" sheetId="14" r:id="rId14"/>
    <sheet name="Dashboard" sheetId="15" r:id="rId15"/>
    <sheet name="VBA_Code" sheetId="16" r:id="rId16"/>
    <sheet name="Methodology" sheetId="17" r:id="rId17"/>
    <sheet name="Actual_Pivot" sheetId="18" r:id="rId18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5" l="1"/>
  <c r="B6" i="15"/>
  <c r="H6" i="15" s="1"/>
  <c r="C12" i="15" s="1"/>
  <c r="C11" i="13"/>
  <c r="C10" i="13"/>
  <c r="C9" i="13"/>
  <c r="C8" i="13"/>
  <c r="C7" i="13"/>
  <c r="C6" i="13"/>
  <c r="C5" i="13"/>
  <c r="C4" i="13"/>
  <c r="C13" i="13" s="1"/>
  <c r="B21" i="12"/>
  <c r="C21" i="12" s="1"/>
  <c r="D21" i="12" s="1"/>
  <c r="E21" i="12" s="1"/>
  <c r="B20" i="12"/>
  <c r="C20" i="12" s="1"/>
  <c r="D20" i="12" s="1"/>
  <c r="E20" i="12" s="1"/>
  <c r="B19" i="12"/>
  <c r="C19" i="12" s="1"/>
  <c r="D19" i="12" s="1"/>
  <c r="E19" i="12" s="1"/>
  <c r="B18" i="12"/>
  <c r="C18" i="12" s="1"/>
  <c r="D18" i="12" s="1"/>
  <c r="E18" i="12" s="1"/>
  <c r="B17" i="12"/>
  <c r="C17" i="12" s="1"/>
  <c r="B16" i="12"/>
  <c r="C16" i="12" s="1"/>
  <c r="E11" i="12"/>
  <c r="E10" i="12"/>
  <c r="E9" i="12"/>
  <c r="E8" i="12"/>
  <c r="E7" i="12"/>
  <c r="E6" i="12"/>
  <c r="D36" i="11"/>
  <c r="E36" i="11" s="1"/>
  <c r="C36" i="11"/>
  <c r="B36" i="11"/>
  <c r="F36" i="11" s="1"/>
  <c r="G36" i="11" s="1"/>
  <c r="D35" i="11"/>
  <c r="E35" i="11" s="1"/>
  <c r="C35" i="11"/>
  <c r="B35" i="11"/>
  <c r="F35" i="11" s="1"/>
  <c r="G35" i="11" s="1"/>
  <c r="D34" i="11"/>
  <c r="E34" i="11" s="1"/>
  <c r="C34" i="11"/>
  <c r="B34" i="11"/>
  <c r="F34" i="11" s="1"/>
  <c r="G34" i="11" s="1"/>
  <c r="D33" i="11"/>
  <c r="E33" i="11" s="1"/>
  <c r="C33" i="11"/>
  <c r="B33" i="11"/>
  <c r="F33" i="11" s="1"/>
  <c r="G33" i="11" s="1"/>
  <c r="D32" i="11"/>
  <c r="E32" i="11" s="1"/>
  <c r="C32" i="11"/>
  <c r="B32" i="11"/>
  <c r="F32" i="11" s="1"/>
  <c r="G32" i="11" s="1"/>
  <c r="F31" i="11"/>
  <c r="G31" i="11" s="1"/>
  <c r="D31" i="11"/>
  <c r="E31" i="11" s="1"/>
  <c r="C31" i="11"/>
  <c r="B31" i="11"/>
  <c r="E30" i="11"/>
  <c r="D30" i="11"/>
  <c r="C30" i="11"/>
  <c r="B30" i="11"/>
  <c r="F30" i="11" s="1"/>
  <c r="G30" i="11" s="1"/>
  <c r="D29" i="11"/>
  <c r="C29" i="11"/>
  <c r="B29" i="11"/>
  <c r="E28" i="11"/>
  <c r="D28" i="11"/>
  <c r="C28" i="11"/>
  <c r="B28" i="11"/>
  <c r="F28" i="11" s="1"/>
  <c r="G28" i="11" s="1"/>
  <c r="D27" i="11"/>
  <c r="C27" i="11"/>
  <c r="B27" i="11"/>
  <c r="F27" i="11" s="1"/>
  <c r="G27" i="11" s="1"/>
  <c r="D26" i="11"/>
  <c r="E26" i="11" s="1"/>
  <c r="C26" i="11"/>
  <c r="B26" i="11"/>
  <c r="F26" i="11" s="1"/>
  <c r="G26" i="11" s="1"/>
  <c r="F25" i="11"/>
  <c r="G25" i="11" s="1"/>
  <c r="D25" i="11"/>
  <c r="E25" i="11" s="1"/>
  <c r="C25" i="11"/>
  <c r="B25" i="11"/>
  <c r="D12" i="11"/>
  <c r="D11" i="11"/>
  <c r="D10" i="11"/>
  <c r="D9" i="11"/>
  <c r="D8" i="11"/>
  <c r="D7" i="11"/>
  <c r="D6" i="11"/>
  <c r="D5" i="11"/>
  <c r="Q1801" i="10"/>
  <c r="O1801" i="10"/>
  <c r="N1801" i="10"/>
  <c r="M1801" i="10"/>
  <c r="L1801" i="10"/>
  <c r="K1801" i="10"/>
  <c r="J1801" i="10"/>
  <c r="I1801" i="10"/>
  <c r="H1801" i="10"/>
  <c r="G1801" i="10"/>
  <c r="F1801" i="10"/>
  <c r="E1801" i="10"/>
  <c r="P1801" i="10" s="1"/>
  <c r="D1801" i="10"/>
  <c r="C1801" i="10"/>
  <c r="B1801" i="10"/>
  <c r="A1801" i="10"/>
  <c r="O1800" i="10"/>
  <c r="R1800" i="10" s="1"/>
  <c r="N1800" i="10"/>
  <c r="M1800" i="10"/>
  <c r="L1800" i="10"/>
  <c r="K1800" i="10"/>
  <c r="J1800" i="10"/>
  <c r="I1800" i="10"/>
  <c r="H1800" i="10"/>
  <c r="G1800" i="10"/>
  <c r="F1800" i="10"/>
  <c r="Q1800" i="10" s="1"/>
  <c r="E1800" i="10"/>
  <c r="P1800" i="10" s="1"/>
  <c r="D1800" i="10"/>
  <c r="C1800" i="10"/>
  <c r="B1800" i="10"/>
  <c r="A1800" i="10"/>
  <c r="Q1799" i="10"/>
  <c r="P1799" i="10"/>
  <c r="O1799" i="10"/>
  <c r="R1799" i="10" s="1"/>
  <c r="N1799" i="10"/>
  <c r="M1799" i="10"/>
  <c r="L1799" i="10"/>
  <c r="K1799" i="10"/>
  <c r="J1799" i="10"/>
  <c r="I1799" i="10"/>
  <c r="H1799" i="10"/>
  <c r="G1799" i="10"/>
  <c r="F1799" i="10"/>
  <c r="E1799" i="10"/>
  <c r="D1799" i="10"/>
  <c r="C1799" i="10"/>
  <c r="B1799" i="10"/>
  <c r="A1799" i="10"/>
  <c r="R1798" i="10"/>
  <c r="Q1798" i="10"/>
  <c r="O1798" i="10"/>
  <c r="N1798" i="10"/>
  <c r="M1798" i="10"/>
  <c r="L1798" i="10"/>
  <c r="K1798" i="10"/>
  <c r="J1798" i="10"/>
  <c r="I1798" i="10"/>
  <c r="H1798" i="10"/>
  <c r="G1798" i="10"/>
  <c r="F1798" i="10"/>
  <c r="E1798" i="10"/>
  <c r="P1798" i="10" s="1"/>
  <c r="D1798" i="10"/>
  <c r="C1798" i="10"/>
  <c r="B1798" i="10"/>
  <c r="A1798" i="10"/>
  <c r="Q1797" i="10"/>
  <c r="O1797" i="10"/>
  <c r="N1797" i="10"/>
  <c r="M1797" i="10"/>
  <c r="L1797" i="10"/>
  <c r="K1797" i="10"/>
  <c r="J1797" i="10"/>
  <c r="I1797" i="10"/>
  <c r="H1797" i="10"/>
  <c r="G1797" i="10"/>
  <c r="F1797" i="10"/>
  <c r="E1797" i="10"/>
  <c r="P1797" i="10" s="1"/>
  <c r="D1797" i="10"/>
  <c r="C1797" i="10"/>
  <c r="B1797" i="10"/>
  <c r="A1797" i="10"/>
  <c r="O1796" i="10"/>
  <c r="R1796" i="10" s="1"/>
  <c r="N1796" i="10"/>
  <c r="M1796" i="10"/>
  <c r="L1796" i="10"/>
  <c r="K1796" i="10"/>
  <c r="J1796" i="10"/>
  <c r="I1796" i="10"/>
  <c r="H1796" i="10"/>
  <c r="G1796" i="10"/>
  <c r="F1796" i="10"/>
  <c r="Q1796" i="10" s="1"/>
  <c r="E1796" i="10"/>
  <c r="P1796" i="10" s="1"/>
  <c r="D1796" i="10"/>
  <c r="C1796" i="10"/>
  <c r="B1796" i="10"/>
  <c r="A1796" i="10"/>
  <c r="Q1795" i="10"/>
  <c r="P1795" i="10"/>
  <c r="O1795" i="10"/>
  <c r="R1795" i="10" s="1"/>
  <c r="N1795" i="10"/>
  <c r="M1795" i="10"/>
  <c r="L1795" i="10"/>
  <c r="K1795" i="10"/>
  <c r="J1795" i="10"/>
  <c r="I1795" i="10"/>
  <c r="H1795" i="10"/>
  <c r="G1795" i="10"/>
  <c r="F1795" i="10"/>
  <c r="E1795" i="10"/>
  <c r="D1795" i="10"/>
  <c r="C1795" i="10"/>
  <c r="B1795" i="10"/>
  <c r="A1795" i="10"/>
  <c r="R1794" i="10"/>
  <c r="Q1794" i="10"/>
  <c r="O1794" i="10"/>
  <c r="N1794" i="10"/>
  <c r="M1794" i="10"/>
  <c r="L1794" i="10"/>
  <c r="K1794" i="10"/>
  <c r="J1794" i="10"/>
  <c r="I1794" i="10"/>
  <c r="H1794" i="10"/>
  <c r="G1794" i="10"/>
  <c r="F1794" i="10"/>
  <c r="E1794" i="10"/>
  <c r="P1794" i="10" s="1"/>
  <c r="D1794" i="10"/>
  <c r="C1794" i="10"/>
  <c r="B1794" i="10"/>
  <c r="A1794" i="10"/>
  <c r="Q1793" i="10"/>
  <c r="O1793" i="10"/>
  <c r="N1793" i="10"/>
  <c r="M1793" i="10"/>
  <c r="L1793" i="10"/>
  <c r="K1793" i="10"/>
  <c r="J1793" i="10"/>
  <c r="I1793" i="10"/>
  <c r="H1793" i="10"/>
  <c r="G1793" i="10"/>
  <c r="F1793" i="10"/>
  <c r="E1793" i="10"/>
  <c r="P1793" i="10" s="1"/>
  <c r="D1793" i="10"/>
  <c r="C1793" i="10"/>
  <c r="B1793" i="10"/>
  <c r="A1793" i="10"/>
  <c r="N1792" i="10"/>
  <c r="M1792" i="10"/>
  <c r="L1792" i="10"/>
  <c r="K1792" i="10"/>
  <c r="J1792" i="10"/>
  <c r="O1792" i="10" s="1"/>
  <c r="R1792" i="10" s="1"/>
  <c r="I1792" i="10"/>
  <c r="H1792" i="10"/>
  <c r="G1792" i="10"/>
  <c r="F1792" i="10"/>
  <c r="Q1792" i="10" s="1"/>
  <c r="E1792" i="10"/>
  <c r="P1792" i="10" s="1"/>
  <c r="D1792" i="10"/>
  <c r="C1792" i="10"/>
  <c r="B1792" i="10"/>
  <c r="A1792" i="10"/>
  <c r="Q1791" i="10"/>
  <c r="P1791" i="10"/>
  <c r="O1791" i="10"/>
  <c r="R1791" i="10" s="1"/>
  <c r="N1791" i="10"/>
  <c r="M1791" i="10"/>
  <c r="L1791" i="10"/>
  <c r="K1791" i="10"/>
  <c r="J1791" i="10"/>
  <c r="I1791" i="10"/>
  <c r="H1791" i="10"/>
  <c r="G1791" i="10"/>
  <c r="F1791" i="10"/>
  <c r="E1791" i="10"/>
  <c r="D1791" i="10"/>
  <c r="C1791" i="10"/>
  <c r="B1791" i="10"/>
  <c r="A1791" i="10"/>
  <c r="Q1790" i="10"/>
  <c r="R1790" i="10" s="1"/>
  <c r="O1790" i="10"/>
  <c r="N1790" i="10"/>
  <c r="M1790" i="10"/>
  <c r="L1790" i="10"/>
  <c r="K1790" i="10"/>
  <c r="J1790" i="10"/>
  <c r="I1790" i="10"/>
  <c r="H1790" i="10"/>
  <c r="G1790" i="10"/>
  <c r="F1790" i="10"/>
  <c r="E1790" i="10"/>
  <c r="P1790" i="10" s="1"/>
  <c r="D1790" i="10"/>
  <c r="C1790" i="10"/>
  <c r="B1790" i="10"/>
  <c r="A1790" i="10"/>
  <c r="Q1789" i="10"/>
  <c r="O1789" i="10"/>
  <c r="N1789" i="10"/>
  <c r="M1789" i="10"/>
  <c r="L1789" i="10"/>
  <c r="K1789" i="10"/>
  <c r="J1789" i="10"/>
  <c r="I1789" i="10"/>
  <c r="H1789" i="10"/>
  <c r="G1789" i="10"/>
  <c r="F1789" i="10"/>
  <c r="E1789" i="10"/>
  <c r="P1789" i="10" s="1"/>
  <c r="D1789" i="10"/>
  <c r="C1789" i="10"/>
  <c r="B1789" i="10"/>
  <c r="A1789" i="10"/>
  <c r="N1788" i="10"/>
  <c r="M1788" i="10"/>
  <c r="L1788" i="10"/>
  <c r="K1788" i="10"/>
  <c r="J1788" i="10"/>
  <c r="O1788" i="10" s="1"/>
  <c r="I1788" i="10"/>
  <c r="H1788" i="10"/>
  <c r="G1788" i="10"/>
  <c r="F1788" i="10"/>
  <c r="Q1788" i="10" s="1"/>
  <c r="E1788" i="10"/>
  <c r="P1788" i="10" s="1"/>
  <c r="D1788" i="10"/>
  <c r="C1788" i="10"/>
  <c r="B1788" i="10"/>
  <c r="A1788" i="10"/>
  <c r="Q1787" i="10"/>
  <c r="P1787" i="10"/>
  <c r="O1787" i="10"/>
  <c r="R1787" i="10" s="1"/>
  <c r="N1787" i="10"/>
  <c r="M1787" i="10"/>
  <c r="L1787" i="10"/>
  <c r="K1787" i="10"/>
  <c r="J1787" i="10"/>
  <c r="I1787" i="10"/>
  <c r="H1787" i="10"/>
  <c r="G1787" i="10"/>
  <c r="F1787" i="10"/>
  <c r="E1787" i="10"/>
  <c r="D1787" i="10"/>
  <c r="C1787" i="10"/>
  <c r="B1787" i="10"/>
  <c r="A1787" i="10"/>
  <c r="Q1786" i="10"/>
  <c r="R1786" i="10" s="1"/>
  <c r="O1786" i="10"/>
  <c r="N1786" i="10"/>
  <c r="M1786" i="10"/>
  <c r="L1786" i="10"/>
  <c r="K1786" i="10"/>
  <c r="J1786" i="10"/>
  <c r="I1786" i="10"/>
  <c r="H1786" i="10"/>
  <c r="G1786" i="10"/>
  <c r="F1786" i="10"/>
  <c r="E1786" i="10"/>
  <c r="P1786" i="10" s="1"/>
  <c r="D1786" i="10"/>
  <c r="C1786" i="10"/>
  <c r="B1786" i="10"/>
  <c r="A1786" i="10"/>
  <c r="Q1785" i="10"/>
  <c r="O1785" i="10"/>
  <c r="N1785" i="10"/>
  <c r="M1785" i="10"/>
  <c r="L1785" i="10"/>
  <c r="K1785" i="10"/>
  <c r="J1785" i="10"/>
  <c r="I1785" i="10"/>
  <c r="H1785" i="10"/>
  <c r="G1785" i="10"/>
  <c r="F1785" i="10"/>
  <c r="E1785" i="10"/>
  <c r="P1785" i="10" s="1"/>
  <c r="D1785" i="10"/>
  <c r="C1785" i="10"/>
  <c r="B1785" i="10"/>
  <c r="A1785" i="10"/>
  <c r="O1784" i="10"/>
  <c r="R1784" i="10" s="1"/>
  <c r="N1784" i="10"/>
  <c r="M1784" i="10"/>
  <c r="L1784" i="10"/>
  <c r="K1784" i="10"/>
  <c r="J1784" i="10"/>
  <c r="I1784" i="10"/>
  <c r="H1784" i="10"/>
  <c r="G1784" i="10"/>
  <c r="F1784" i="10"/>
  <c r="Q1784" i="10" s="1"/>
  <c r="E1784" i="10"/>
  <c r="P1784" i="10" s="1"/>
  <c r="D1784" i="10"/>
  <c r="C1784" i="10"/>
  <c r="B1784" i="10"/>
  <c r="A1784" i="10"/>
  <c r="Q1783" i="10"/>
  <c r="P1783" i="10"/>
  <c r="O1783" i="10"/>
  <c r="R1783" i="10" s="1"/>
  <c r="N1783" i="10"/>
  <c r="M1783" i="10"/>
  <c r="L1783" i="10"/>
  <c r="K1783" i="10"/>
  <c r="J1783" i="10"/>
  <c r="I1783" i="10"/>
  <c r="H1783" i="10"/>
  <c r="G1783" i="10"/>
  <c r="F1783" i="10"/>
  <c r="E1783" i="10"/>
  <c r="D1783" i="10"/>
  <c r="C1783" i="10"/>
  <c r="B1783" i="10"/>
  <c r="A1783" i="10"/>
  <c r="R1782" i="10"/>
  <c r="Q1782" i="10"/>
  <c r="O1782" i="10"/>
  <c r="N1782" i="10"/>
  <c r="M1782" i="10"/>
  <c r="L1782" i="10"/>
  <c r="K1782" i="10"/>
  <c r="J1782" i="10"/>
  <c r="I1782" i="10"/>
  <c r="H1782" i="10"/>
  <c r="G1782" i="10"/>
  <c r="F1782" i="10"/>
  <c r="E1782" i="10"/>
  <c r="P1782" i="10" s="1"/>
  <c r="D1782" i="10"/>
  <c r="C1782" i="10"/>
  <c r="B1782" i="10"/>
  <c r="A1782" i="10"/>
  <c r="Q1781" i="10"/>
  <c r="O1781" i="10"/>
  <c r="N1781" i="10"/>
  <c r="M1781" i="10"/>
  <c r="L1781" i="10"/>
  <c r="K1781" i="10"/>
  <c r="J1781" i="10"/>
  <c r="I1781" i="10"/>
  <c r="H1781" i="10"/>
  <c r="G1781" i="10"/>
  <c r="F1781" i="10"/>
  <c r="E1781" i="10"/>
  <c r="P1781" i="10" s="1"/>
  <c r="D1781" i="10"/>
  <c r="C1781" i="10"/>
  <c r="B1781" i="10"/>
  <c r="A1781" i="10"/>
  <c r="O1780" i="10"/>
  <c r="R1780" i="10" s="1"/>
  <c r="N1780" i="10"/>
  <c r="M1780" i="10"/>
  <c r="L1780" i="10"/>
  <c r="K1780" i="10"/>
  <c r="J1780" i="10"/>
  <c r="I1780" i="10"/>
  <c r="H1780" i="10"/>
  <c r="G1780" i="10"/>
  <c r="F1780" i="10"/>
  <c r="Q1780" i="10" s="1"/>
  <c r="E1780" i="10"/>
  <c r="P1780" i="10" s="1"/>
  <c r="D1780" i="10"/>
  <c r="C1780" i="10"/>
  <c r="B1780" i="10"/>
  <c r="A1780" i="10"/>
  <c r="Q1779" i="10"/>
  <c r="P1779" i="10"/>
  <c r="O1779" i="10"/>
  <c r="R1779" i="10" s="1"/>
  <c r="N1779" i="10"/>
  <c r="M1779" i="10"/>
  <c r="L1779" i="10"/>
  <c r="K1779" i="10"/>
  <c r="J1779" i="10"/>
  <c r="I1779" i="10"/>
  <c r="H1779" i="10"/>
  <c r="G1779" i="10"/>
  <c r="F1779" i="10"/>
  <c r="E1779" i="10"/>
  <c r="D1779" i="10"/>
  <c r="C1779" i="10"/>
  <c r="B1779" i="10"/>
  <c r="A1779" i="10"/>
  <c r="R1778" i="10"/>
  <c r="Q1778" i="10"/>
  <c r="O1778" i="10"/>
  <c r="N1778" i="10"/>
  <c r="M1778" i="10"/>
  <c r="L1778" i="10"/>
  <c r="K1778" i="10"/>
  <c r="J1778" i="10"/>
  <c r="I1778" i="10"/>
  <c r="H1778" i="10"/>
  <c r="G1778" i="10"/>
  <c r="F1778" i="10"/>
  <c r="E1778" i="10"/>
  <c r="P1778" i="10" s="1"/>
  <c r="D1778" i="10"/>
  <c r="C1778" i="10"/>
  <c r="B1778" i="10"/>
  <c r="A1778" i="10"/>
  <c r="Q1777" i="10"/>
  <c r="O1777" i="10"/>
  <c r="N1777" i="10"/>
  <c r="M1777" i="10"/>
  <c r="L1777" i="10"/>
  <c r="K1777" i="10"/>
  <c r="J1777" i="10"/>
  <c r="I1777" i="10"/>
  <c r="H1777" i="10"/>
  <c r="G1777" i="10"/>
  <c r="F1777" i="10"/>
  <c r="E1777" i="10"/>
  <c r="P1777" i="10" s="1"/>
  <c r="D1777" i="10"/>
  <c r="C1777" i="10"/>
  <c r="B1777" i="10"/>
  <c r="A1777" i="10"/>
  <c r="N1776" i="10"/>
  <c r="M1776" i="10"/>
  <c r="L1776" i="10"/>
  <c r="K1776" i="10"/>
  <c r="J1776" i="10"/>
  <c r="O1776" i="10" s="1"/>
  <c r="R1776" i="10" s="1"/>
  <c r="I1776" i="10"/>
  <c r="H1776" i="10"/>
  <c r="G1776" i="10"/>
  <c r="F1776" i="10"/>
  <c r="Q1776" i="10" s="1"/>
  <c r="E1776" i="10"/>
  <c r="P1776" i="10" s="1"/>
  <c r="D1776" i="10"/>
  <c r="C1776" i="10"/>
  <c r="B1776" i="10"/>
  <c r="A1776" i="10"/>
  <c r="Q1775" i="10"/>
  <c r="P1775" i="10"/>
  <c r="O1775" i="10"/>
  <c r="R1775" i="10" s="1"/>
  <c r="N1775" i="10"/>
  <c r="M1775" i="10"/>
  <c r="L1775" i="10"/>
  <c r="K1775" i="10"/>
  <c r="J1775" i="10"/>
  <c r="I1775" i="10"/>
  <c r="H1775" i="10"/>
  <c r="G1775" i="10"/>
  <c r="F1775" i="10"/>
  <c r="E1775" i="10"/>
  <c r="D1775" i="10"/>
  <c r="C1775" i="10"/>
  <c r="B1775" i="10"/>
  <c r="A1775" i="10"/>
  <c r="Q1774" i="10"/>
  <c r="R1774" i="10" s="1"/>
  <c r="O1774" i="10"/>
  <c r="N1774" i="10"/>
  <c r="M1774" i="10"/>
  <c r="L1774" i="10"/>
  <c r="K1774" i="10"/>
  <c r="J1774" i="10"/>
  <c r="I1774" i="10"/>
  <c r="H1774" i="10"/>
  <c r="G1774" i="10"/>
  <c r="F1774" i="10"/>
  <c r="E1774" i="10"/>
  <c r="P1774" i="10" s="1"/>
  <c r="D1774" i="10"/>
  <c r="C1774" i="10"/>
  <c r="B1774" i="10"/>
  <c r="A1774" i="10"/>
  <c r="Q1773" i="10"/>
  <c r="O1773" i="10"/>
  <c r="N1773" i="10"/>
  <c r="M1773" i="10"/>
  <c r="L1773" i="10"/>
  <c r="K1773" i="10"/>
  <c r="J1773" i="10"/>
  <c r="I1773" i="10"/>
  <c r="H1773" i="10"/>
  <c r="G1773" i="10"/>
  <c r="F1773" i="10"/>
  <c r="E1773" i="10"/>
  <c r="P1773" i="10" s="1"/>
  <c r="D1773" i="10"/>
  <c r="C1773" i="10"/>
  <c r="B1773" i="10"/>
  <c r="A1773" i="10"/>
  <c r="N1772" i="10"/>
  <c r="M1772" i="10"/>
  <c r="L1772" i="10"/>
  <c r="K1772" i="10"/>
  <c r="J1772" i="10"/>
  <c r="O1772" i="10" s="1"/>
  <c r="I1772" i="10"/>
  <c r="H1772" i="10"/>
  <c r="G1772" i="10"/>
  <c r="F1772" i="10"/>
  <c r="Q1772" i="10" s="1"/>
  <c r="E1772" i="10"/>
  <c r="P1772" i="10" s="1"/>
  <c r="D1772" i="10"/>
  <c r="C1772" i="10"/>
  <c r="B1772" i="10"/>
  <c r="A1772" i="10"/>
  <c r="Q1771" i="10"/>
  <c r="P1771" i="10"/>
  <c r="O1771" i="10"/>
  <c r="R1771" i="10" s="1"/>
  <c r="N1771" i="10"/>
  <c r="M1771" i="10"/>
  <c r="L1771" i="10"/>
  <c r="K1771" i="10"/>
  <c r="J1771" i="10"/>
  <c r="I1771" i="10"/>
  <c r="H1771" i="10"/>
  <c r="G1771" i="10"/>
  <c r="F1771" i="10"/>
  <c r="E1771" i="10"/>
  <c r="D1771" i="10"/>
  <c r="C1771" i="10"/>
  <c r="B1771" i="10"/>
  <c r="A1771" i="10"/>
  <c r="Q1770" i="10"/>
  <c r="R1770" i="10" s="1"/>
  <c r="N1770" i="10"/>
  <c r="M1770" i="10"/>
  <c r="L1770" i="10"/>
  <c r="K1770" i="10"/>
  <c r="J1770" i="10"/>
  <c r="O1770" i="10" s="1"/>
  <c r="I1770" i="10"/>
  <c r="H1770" i="10"/>
  <c r="G1770" i="10"/>
  <c r="F1770" i="10"/>
  <c r="E1770" i="10"/>
  <c r="P1770" i="10" s="1"/>
  <c r="D1770" i="10"/>
  <c r="C1770" i="10"/>
  <c r="B1770" i="10"/>
  <c r="A1770" i="10"/>
  <c r="Q1769" i="10"/>
  <c r="O1769" i="10"/>
  <c r="N1769" i="10"/>
  <c r="M1769" i="10"/>
  <c r="L1769" i="10"/>
  <c r="K1769" i="10"/>
  <c r="J1769" i="10"/>
  <c r="I1769" i="10"/>
  <c r="H1769" i="10"/>
  <c r="G1769" i="10"/>
  <c r="F1769" i="10"/>
  <c r="E1769" i="10"/>
  <c r="P1769" i="10" s="1"/>
  <c r="D1769" i="10"/>
  <c r="C1769" i="10"/>
  <c r="B1769" i="10"/>
  <c r="A1769" i="10"/>
  <c r="N1768" i="10"/>
  <c r="M1768" i="10"/>
  <c r="L1768" i="10"/>
  <c r="K1768" i="10"/>
  <c r="J1768" i="10"/>
  <c r="O1768" i="10" s="1"/>
  <c r="I1768" i="10"/>
  <c r="H1768" i="10"/>
  <c r="G1768" i="10"/>
  <c r="F1768" i="10"/>
  <c r="Q1768" i="10" s="1"/>
  <c r="E1768" i="10"/>
  <c r="P1768" i="10" s="1"/>
  <c r="D1768" i="10"/>
  <c r="C1768" i="10"/>
  <c r="B1768" i="10"/>
  <c r="A1768" i="10"/>
  <c r="Q1767" i="10"/>
  <c r="P1767" i="10"/>
  <c r="O1767" i="10"/>
  <c r="R1767" i="10" s="1"/>
  <c r="N1767" i="10"/>
  <c r="M1767" i="10"/>
  <c r="L1767" i="10"/>
  <c r="K1767" i="10"/>
  <c r="J1767" i="10"/>
  <c r="I1767" i="10"/>
  <c r="H1767" i="10"/>
  <c r="G1767" i="10"/>
  <c r="F1767" i="10"/>
  <c r="E1767" i="10"/>
  <c r="D1767" i="10"/>
  <c r="C1767" i="10"/>
  <c r="B1767" i="10"/>
  <c r="A1767" i="10"/>
  <c r="Q1766" i="10"/>
  <c r="R1766" i="10" s="1"/>
  <c r="N1766" i="10"/>
  <c r="M1766" i="10"/>
  <c r="L1766" i="10"/>
  <c r="K1766" i="10"/>
  <c r="J1766" i="10"/>
  <c r="O1766" i="10" s="1"/>
  <c r="I1766" i="10"/>
  <c r="H1766" i="10"/>
  <c r="G1766" i="10"/>
  <c r="F1766" i="10"/>
  <c r="E1766" i="10"/>
  <c r="P1766" i="10" s="1"/>
  <c r="D1766" i="10"/>
  <c r="C1766" i="10"/>
  <c r="B1766" i="10"/>
  <c r="A1766" i="10"/>
  <c r="Q1765" i="10"/>
  <c r="O1765" i="10"/>
  <c r="N1765" i="10"/>
  <c r="M1765" i="10"/>
  <c r="L1765" i="10"/>
  <c r="K1765" i="10"/>
  <c r="J1765" i="10"/>
  <c r="I1765" i="10"/>
  <c r="H1765" i="10"/>
  <c r="G1765" i="10"/>
  <c r="F1765" i="10"/>
  <c r="E1765" i="10"/>
  <c r="P1765" i="10" s="1"/>
  <c r="D1765" i="10"/>
  <c r="C1765" i="10"/>
  <c r="B1765" i="10"/>
  <c r="A1765" i="10"/>
  <c r="N1764" i="10"/>
  <c r="M1764" i="10"/>
  <c r="L1764" i="10"/>
  <c r="K1764" i="10"/>
  <c r="J1764" i="10"/>
  <c r="O1764" i="10" s="1"/>
  <c r="I1764" i="10"/>
  <c r="H1764" i="10"/>
  <c r="G1764" i="10"/>
  <c r="F1764" i="10"/>
  <c r="Q1764" i="10" s="1"/>
  <c r="E1764" i="10"/>
  <c r="P1764" i="10" s="1"/>
  <c r="D1764" i="10"/>
  <c r="C1764" i="10"/>
  <c r="B1764" i="10"/>
  <c r="A1764" i="10"/>
  <c r="Q1763" i="10"/>
  <c r="P1763" i="10"/>
  <c r="O1763" i="10"/>
  <c r="R1763" i="10" s="1"/>
  <c r="N1763" i="10"/>
  <c r="M1763" i="10"/>
  <c r="L1763" i="10"/>
  <c r="K1763" i="10"/>
  <c r="J1763" i="10"/>
  <c r="I1763" i="10"/>
  <c r="H1763" i="10"/>
  <c r="G1763" i="10"/>
  <c r="F1763" i="10"/>
  <c r="E1763" i="10"/>
  <c r="D1763" i="10"/>
  <c r="C1763" i="10"/>
  <c r="B1763" i="10"/>
  <c r="A1763" i="10"/>
  <c r="Q1762" i="10"/>
  <c r="R1762" i="10" s="1"/>
  <c r="N1762" i="10"/>
  <c r="M1762" i="10"/>
  <c r="L1762" i="10"/>
  <c r="K1762" i="10"/>
  <c r="J1762" i="10"/>
  <c r="O1762" i="10" s="1"/>
  <c r="I1762" i="10"/>
  <c r="H1762" i="10"/>
  <c r="G1762" i="10"/>
  <c r="F1762" i="10"/>
  <c r="E1762" i="10"/>
  <c r="P1762" i="10" s="1"/>
  <c r="D1762" i="10"/>
  <c r="C1762" i="10"/>
  <c r="B1762" i="10"/>
  <c r="A1762" i="10"/>
  <c r="O1761" i="10"/>
  <c r="R1761" i="10" s="1"/>
  <c r="N1761" i="10"/>
  <c r="M1761" i="10"/>
  <c r="L1761" i="10"/>
  <c r="K1761" i="10"/>
  <c r="J1761" i="10"/>
  <c r="I1761" i="10"/>
  <c r="H1761" i="10"/>
  <c r="G1761" i="10"/>
  <c r="F1761" i="10"/>
  <c r="Q1761" i="10" s="1"/>
  <c r="E1761" i="10"/>
  <c r="P1761" i="10" s="1"/>
  <c r="D1761" i="10"/>
  <c r="C1761" i="10"/>
  <c r="B1761" i="10"/>
  <c r="A1761" i="10"/>
  <c r="Q1760" i="10"/>
  <c r="P1760" i="10"/>
  <c r="N1760" i="10"/>
  <c r="M1760" i="10"/>
  <c r="L1760" i="10"/>
  <c r="K1760" i="10"/>
  <c r="J1760" i="10"/>
  <c r="O1760" i="10" s="1"/>
  <c r="I1760" i="10"/>
  <c r="H1760" i="10"/>
  <c r="G1760" i="10"/>
  <c r="F1760" i="10"/>
  <c r="E1760" i="10"/>
  <c r="D1760" i="10"/>
  <c r="C1760" i="10"/>
  <c r="B1760" i="10"/>
  <c r="A1760" i="10"/>
  <c r="O1759" i="10"/>
  <c r="R1759" i="10" s="1"/>
  <c r="N1759" i="10"/>
  <c r="M1759" i="10"/>
  <c r="L1759" i="10"/>
  <c r="K1759" i="10"/>
  <c r="J1759" i="10"/>
  <c r="I1759" i="10"/>
  <c r="H1759" i="10"/>
  <c r="G1759" i="10"/>
  <c r="F1759" i="10"/>
  <c r="Q1759" i="10" s="1"/>
  <c r="E1759" i="10"/>
  <c r="P1759" i="10" s="1"/>
  <c r="D1759" i="10"/>
  <c r="C1759" i="10"/>
  <c r="B1759" i="10"/>
  <c r="A1759" i="10"/>
  <c r="Q1758" i="10"/>
  <c r="P1758" i="10"/>
  <c r="N1758" i="10"/>
  <c r="M1758" i="10"/>
  <c r="L1758" i="10"/>
  <c r="K1758" i="10"/>
  <c r="J1758" i="10"/>
  <c r="O1758" i="10" s="1"/>
  <c r="I1758" i="10"/>
  <c r="H1758" i="10"/>
  <c r="G1758" i="10"/>
  <c r="F1758" i="10"/>
  <c r="E1758" i="10"/>
  <c r="D1758" i="10"/>
  <c r="C1758" i="10"/>
  <c r="B1758" i="10"/>
  <c r="A1758" i="10"/>
  <c r="O1757" i="10"/>
  <c r="R1757" i="10" s="1"/>
  <c r="N1757" i="10"/>
  <c r="M1757" i="10"/>
  <c r="L1757" i="10"/>
  <c r="K1757" i="10"/>
  <c r="J1757" i="10"/>
  <c r="I1757" i="10"/>
  <c r="H1757" i="10"/>
  <c r="G1757" i="10"/>
  <c r="F1757" i="10"/>
  <c r="Q1757" i="10" s="1"/>
  <c r="E1757" i="10"/>
  <c r="P1757" i="10" s="1"/>
  <c r="D1757" i="10"/>
  <c r="C1757" i="10"/>
  <c r="B1757" i="10"/>
  <c r="A1757" i="10"/>
  <c r="Q1756" i="10"/>
  <c r="P1756" i="10"/>
  <c r="N1756" i="10"/>
  <c r="M1756" i="10"/>
  <c r="L1756" i="10"/>
  <c r="K1756" i="10"/>
  <c r="J1756" i="10"/>
  <c r="O1756" i="10" s="1"/>
  <c r="I1756" i="10"/>
  <c r="H1756" i="10"/>
  <c r="G1756" i="10"/>
  <c r="F1756" i="10"/>
  <c r="E1756" i="10"/>
  <c r="D1756" i="10"/>
  <c r="C1756" i="10"/>
  <c r="B1756" i="10"/>
  <c r="A1756" i="10"/>
  <c r="O1755" i="10"/>
  <c r="R1755" i="10" s="1"/>
  <c r="N1755" i="10"/>
  <c r="M1755" i="10"/>
  <c r="L1755" i="10"/>
  <c r="K1755" i="10"/>
  <c r="J1755" i="10"/>
  <c r="I1755" i="10"/>
  <c r="H1755" i="10"/>
  <c r="G1755" i="10"/>
  <c r="F1755" i="10"/>
  <c r="Q1755" i="10" s="1"/>
  <c r="E1755" i="10"/>
  <c r="P1755" i="10" s="1"/>
  <c r="D1755" i="10"/>
  <c r="C1755" i="10"/>
  <c r="B1755" i="10"/>
  <c r="A1755" i="10"/>
  <c r="Q1754" i="10"/>
  <c r="P1754" i="10"/>
  <c r="N1754" i="10"/>
  <c r="M1754" i="10"/>
  <c r="L1754" i="10"/>
  <c r="K1754" i="10"/>
  <c r="J1754" i="10"/>
  <c r="O1754" i="10" s="1"/>
  <c r="I1754" i="10"/>
  <c r="H1754" i="10"/>
  <c r="G1754" i="10"/>
  <c r="F1754" i="10"/>
  <c r="E1754" i="10"/>
  <c r="D1754" i="10"/>
  <c r="C1754" i="10"/>
  <c r="B1754" i="10"/>
  <c r="A1754" i="10"/>
  <c r="O1753" i="10"/>
  <c r="R1753" i="10" s="1"/>
  <c r="N1753" i="10"/>
  <c r="M1753" i="10"/>
  <c r="L1753" i="10"/>
  <c r="K1753" i="10"/>
  <c r="J1753" i="10"/>
  <c r="I1753" i="10"/>
  <c r="H1753" i="10"/>
  <c r="G1753" i="10"/>
  <c r="F1753" i="10"/>
  <c r="Q1753" i="10" s="1"/>
  <c r="E1753" i="10"/>
  <c r="P1753" i="10" s="1"/>
  <c r="D1753" i="10"/>
  <c r="C1753" i="10"/>
  <c r="B1753" i="10"/>
  <c r="A1753" i="10"/>
  <c r="Q1752" i="10"/>
  <c r="P1752" i="10"/>
  <c r="N1752" i="10"/>
  <c r="M1752" i="10"/>
  <c r="L1752" i="10"/>
  <c r="K1752" i="10"/>
  <c r="J1752" i="10"/>
  <c r="O1752" i="10" s="1"/>
  <c r="I1752" i="10"/>
  <c r="H1752" i="10"/>
  <c r="G1752" i="10"/>
  <c r="F1752" i="10"/>
  <c r="E1752" i="10"/>
  <c r="D1752" i="10"/>
  <c r="C1752" i="10"/>
  <c r="B1752" i="10"/>
  <c r="A1752" i="10"/>
  <c r="O1751" i="10"/>
  <c r="R1751" i="10" s="1"/>
  <c r="N1751" i="10"/>
  <c r="M1751" i="10"/>
  <c r="L1751" i="10"/>
  <c r="K1751" i="10"/>
  <c r="J1751" i="10"/>
  <c r="I1751" i="10"/>
  <c r="H1751" i="10"/>
  <c r="G1751" i="10"/>
  <c r="F1751" i="10"/>
  <c r="Q1751" i="10" s="1"/>
  <c r="E1751" i="10"/>
  <c r="P1751" i="10" s="1"/>
  <c r="D1751" i="10"/>
  <c r="C1751" i="10"/>
  <c r="B1751" i="10"/>
  <c r="A1751" i="10"/>
  <c r="Q1750" i="10"/>
  <c r="P1750" i="10"/>
  <c r="N1750" i="10"/>
  <c r="M1750" i="10"/>
  <c r="L1750" i="10"/>
  <c r="K1750" i="10"/>
  <c r="J1750" i="10"/>
  <c r="O1750" i="10" s="1"/>
  <c r="I1750" i="10"/>
  <c r="H1750" i="10"/>
  <c r="G1750" i="10"/>
  <c r="F1750" i="10"/>
  <c r="E1750" i="10"/>
  <c r="D1750" i="10"/>
  <c r="C1750" i="10"/>
  <c r="B1750" i="10"/>
  <c r="A1750" i="10"/>
  <c r="O1749" i="10"/>
  <c r="R1749" i="10" s="1"/>
  <c r="N1749" i="10"/>
  <c r="M1749" i="10"/>
  <c r="L1749" i="10"/>
  <c r="K1749" i="10"/>
  <c r="J1749" i="10"/>
  <c r="I1749" i="10"/>
  <c r="H1749" i="10"/>
  <c r="G1749" i="10"/>
  <c r="F1749" i="10"/>
  <c r="Q1749" i="10" s="1"/>
  <c r="E1749" i="10"/>
  <c r="P1749" i="10" s="1"/>
  <c r="D1749" i="10"/>
  <c r="C1749" i="10"/>
  <c r="B1749" i="10"/>
  <c r="A1749" i="10"/>
  <c r="Q1748" i="10"/>
  <c r="P1748" i="10"/>
  <c r="N1748" i="10"/>
  <c r="M1748" i="10"/>
  <c r="L1748" i="10"/>
  <c r="K1748" i="10"/>
  <c r="J1748" i="10"/>
  <c r="O1748" i="10" s="1"/>
  <c r="I1748" i="10"/>
  <c r="H1748" i="10"/>
  <c r="G1748" i="10"/>
  <c r="F1748" i="10"/>
  <c r="E1748" i="10"/>
  <c r="D1748" i="10"/>
  <c r="C1748" i="10"/>
  <c r="B1748" i="10"/>
  <c r="A1748" i="10"/>
  <c r="O1747" i="10"/>
  <c r="R1747" i="10" s="1"/>
  <c r="N1747" i="10"/>
  <c r="M1747" i="10"/>
  <c r="L1747" i="10"/>
  <c r="K1747" i="10"/>
  <c r="J1747" i="10"/>
  <c r="I1747" i="10"/>
  <c r="H1747" i="10"/>
  <c r="G1747" i="10"/>
  <c r="F1747" i="10"/>
  <c r="Q1747" i="10" s="1"/>
  <c r="E1747" i="10"/>
  <c r="P1747" i="10" s="1"/>
  <c r="D1747" i="10"/>
  <c r="C1747" i="10"/>
  <c r="B1747" i="10"/>
  <c r="A1747" i="10"/>
  <c r="Q1746" i="10"/>
  <c r="P1746" i="10"/>
  <c r="N1746" i="10"/>
  <c r="M1746" i="10"/>
  <c r="L1746" i="10"/>
  <c r="K1746" i="10"/>
  <c r="J1746" i="10"/>
  <c r="O1746" i="10" s="1"/>
  <c r="I1746" i="10"/>
  <c r="H1746" i="10"/>
  <c r="G1746" i="10"/>
  <c r="F1746" i="10"/>
  <c r="E1746" i="10"/>
  <c r="D1746" i="10"/>
  <c r="C1746" i="10"/>
  <c r="B1746" i="10"/>
  <c r="A1746" i="10"/>
  <c r="O1745" i="10"/>
  <c r="R1745" i="10" s="1"/>
  <c r="N1745" i="10"/>
  <c r="M1745" i="10"/>
  <c r="L1745" i="10"/>
  <c r="K1745" i="10"/>
  <c r="J1745" i="10"/>
  <c r="I1745" i="10"/>
  <c r="H1745" i="10"/>
  <c r="G1745" i="10"/>
  <c r="F1745" i="10"/>
  <c r="Q1745" i="10" s="1"/>
  <c r="E1745" i="10"/>
  <c r="P1745" i="10" s="1"/>
  <c r="D1745" i="10"/>
  <c r="C1745" i="10"/>
  <c r="B1745" i="10"/>
  <c r="A1745" i="10"/>
  <c r="Q1744" i="10"/>
  <c r="P1744" i="10"/>
  <c r="N1744" i="10"/>
  <c r="M1744" i="10"/>
  <c r="L1744" i="10"/>
  <c r="K1744" i="10"/>
  <c r="J1744" i="10"/>
  <c r="O1744" i="10" s="1"/>
  <c r="I1744" i="10"/>
  <c r="H1744" i="10"/>
  <c r="G1744" i="10"/>
  <c r="F1744" i="10"/>
  <c r="E1744" i="10"/>
  <c r="D1744" i="10"/>
  <c r="C1744" i="10"/>
  <c r="B1744" i="10"/>
  <c r="A1744" i="10"/>
  <c r="O1743" i="10"/>
  <c r="R1743" i="10" s="1"/>
  <c r="N1743" i="10"/>
  <c r="M1743" i="10"/>
  <c r="L1743" i="10"/>
  <c r="K1743" i="10"/>
  <c r="J1743" i="10"/>
  <c r="I1743" i="10"/>
  <c r="H1743" i="10"/>
  <c r="G1743" i="10"/>
  <c r="F1743" i="10"/>
  <c r="Q1743" i="10" s="1"/>
  <c r="E1743" i="10"/>
  <c r="P1743" i="10" s="1"/>
  <c r="D1743" i="10"/>
  <c r="C1743" i="10"/>
  <c r="B1743" i="10"/>
  <c r="A1743" i="10"/>
  <c r="Q1742" i="10"/>
  <c r="P1742" i="10"/>
  <c r="N1742" i="10"/>
  <c r="M1742" i="10"/>
  <c r="L1742" i="10"/>
  <c r="K1742" i="10"/>
  <c r="J1742" i="10"/>
  <c r="O1742" i="10" s="1"/>
  <c r="I1742" i="10"/>
  <c r="H1742" i="10"/>
  <c r="G1742" i="10"/>
  <c r="F1742" i="10"/>
  <c r="E1742" i="10"/>
  <c r="D1742" i="10"/>
  <c r="C1742" i="10"/>
  <c r="B1742" i="10"/>
  <c r="A1742" i="10"/>
  <c r="O1741" i="10"/>
  <c r="R1741" i="10" s="1"/>
  <c r="N1741" i="10"/>
  <c r="M1741" i="10"/>
  <c r="L1741" i="10"/>
  <c r="K1741" i="10"/>
  <c r="J1741" i="10"/>
  <c r="I1741" i="10"/>
  <c r="H1741" i="10"/>
  <c r="G1741" i="10"/>
  <c r="F1741" i="10"/>
  <c r="Q1741" i="10" s="1"/>
  <c r="E1741" i="10"/>
  <c r="P1741" i="10" s="1"/>
  <c r="D1741" i="10"/>
  <c r="C1741" i="10"/>
  <c r="B1741" i="10"/>
  <c r="A1741" i="10"/>
  <c r="Q1740" i="10"/>
  <c r="P1740" i="10"/>
  <c r="N1740" i="10"/>
  <c r="M1740" i="10"/>
  <c r="L1740" i="10"/>
  <c r="K1740" i="10"/>
  <c r="J1740" i="10"/>
  <c r="O1740" i="10" s="1"/>
  <c r="I1740" i="10"/>
  <c r="H1740" i="10"/>
  <c r="G1740" i="10"/>
  <c r="F1740" i="10"/>
  <c r="E1740" i="10"/>
  <c r="D1740" i="10"/>
  <c r="C1740" i="10"/>
  <c r="B1740" i="10"/>
  <c r="A1740" i="10"/>
  <c r="O1739" i="10"/>
  <c r="R1739" i="10" s="1"/>
  <c r="N1739" i="10"/>
  <c r="M1739" i="10"/>
  <c r="L1739" i="10"/>
  <c r="K1739" i="10"/>
  <c r="J1739" i="10"/>
  <c r="I1739" i="10"/>
  <c r="H1739" i="10"/>
  <c r="G1739" i="10"/>
  <c r="F1739" i="10"/>
  <c r="Q1739" i="10" s="1"/>
  <c r="E1739" i="10"/>
  <c r="P1739" i="10" s="1"/>
  <c r="D1739" i="10"/>
  <c r="C1739" i="10"/>
  <c r="B1739" i="10"/>
  <c r="A1739" i="10"/>
  <c r="Q1738" i="10"/>
  <c r="P1738" i="10"/>
  <c r="N1738" i="10"/>
  <c r="M1738" i="10"/>
  <c r="L1738" i="10"/>
  <c r="K1738" i="10"/>
  <c r="J1738" i="10"/>
  <c r="O1738" i="10" s="1"/>
  <c r="I1738" i="10"/>
  <c r="H1738" i="10"/>
  <c r="G1738" i="10"/>
  <c r="F1738" i="10"/>
  <c r="E1738" i="10"/>
  <c r="D1738" i="10"/>
  <c r="C1738" i="10"/>
  <c r="B1738" i="10"/>
  <c r="A1738" i="10"/>
  <c r="O1737" i="10"/>
  <c r="R1737" i="10" s="1"/>
  <c r="N1737" i="10"/>
  <c r="M1737" i="10"/>
  <c r="L1737" i="10"/>
  <c r="K1737" i="10"/>
  <c r="J1737" i="10"/>
  <c r="I1737" i="10"/>
  <c r="H1737" i="10"/>
  <c r="G1737" i="10"/>
  <c r="F1737" i="10"/>
  <c r="Q1737" i="10" s="1"/>
  <c r="E1737" i="10"/>
  <c r="P1737" i="10" s="1"/>
  <c r="D1737" i="10"/>
  <c r="C1737" i="10"/>
  <c r="B1737" i="10"/>
  <c r="A1737" i="10"/>
  <c r="Q1736" i="10"/>
  <c r="P1736" i="10"/>
  <c r="N1736" i="10"/>
  <c r="M1736" i="10"/>
  <c r="L1736" i="10"/>
  <c r="K1736" i="10"/>
  <c r="J1736" i="10"/>
  <c r="O1736" i="10" s="1"/>
  <c r="I1736" i="10"/>
  <c r="H1736" i="10"/>
  <c r="G1736" i="10"/>
  <c r="F1736" i="10"/>
  <c r="E1736" i="10"/>
  <c r="D1736" i="10"/>
  <c r="C1736" i="10"/>
  <c r="B1736" i="10"/>
  <c r="A1736" i="10"/>
  <c r="O1735" i="10"/>
  <c r="R1735" i="10" s="1"/>
  <c r="N1735" i="10"/>
  <c r="M1735" i="10"/>
  <c r="L1735" i="10"/>
  <c r="K1735" i="10"/>
  <c r="J1735" i="10"/>
  <c r="I1735" i="10"/>
  <c r="H1735" i="10"/>
  <c r="G1735" i="10"/>
  <c r="F1735" i="10"/>
  <c r="Q1735" i="10" s="1"/>
  <c r="E1735" i="10"/>
  <c r="P1735" i="10" s="1"/>
  <c r="D1735" i="10"/>
  <c r="C1735" i="10"/>
  <c r="B1735" i="10"/>
  <c r="A1735" i="10"/>
  <c r="Q1734" i="10"/>
  <c r="P1734" i="10"/>
  <c r="N1734" i="10"/>
  <c r="M1734" i="10"/>
  <c r="L1734" i="10"/>
  <c r="K1734" i="10"/>
  <c r="J1734" i="10"/>
  <c r="O1734" i="10" s="1"/>
  <c r="I1734" i="10"/>
  <c r="H1734" i="10"/>
  <c r="G1734" i="10"/>
  <c r="F1734" i="10"/>
  <c r="E1734" i="10"/>
  <c r="D1734" i="10"/>
  <c r="C1734" i="10"/>
  <c r="B1734" i="10"/>
  <c r="A1734" i="10"/>
  <c r="O1733" i="10"/>
  <c r="R1733" i="10" s="1"/>
  <c r="N1733" i="10"/>
  <c r="M1733" i="10"/>
  <c r="L1733" i="10"/>
  <c r="K1733" i="10"/>
  <c r="J1733" i="10"/>
  <c r="I1733" i="10"/>
  <c r="H1733" i="10"/>
  <c r="G1733" i="10"/>
  <c r="F1733" i="10"/>
  <c r="Q1733" i="10" s="1"/>
  <c r="E1733" i="10"/>
  <c r="P1733" i="10" s="1"/>
  <c r="D1733" i="10"/>
  <c r="C1733" i="10"/>
  <c r="B1733" i="10"/>
  <c r="A1733" i="10"/>
  <c r="Q1732" i="10"/>
  <c r="P1732" i="10"/>
  <c r="N1732" i="10"/>
  <c r="M1732" i="10"/>
  <c r="L1732" i="10"/>
  <c r="K1732" i="10"/>
  <c r="J1732" i="10"/>
  <c r="O1732" i="10" s="1"/>
  <c r="I1732" i="10"/>
  <c r="H1732" i="10"/>
  <c r="G1732" i="10"/>
  <c r="F1732" i="10"/>
  <c r="E1732" i="10"/>
  <c r="D1732" i="10"/>
  <c r="C1732" i="10"/>
  <c r="B1732" i="10"/>
  <c r="A1732" i="10"/>
  <c r="O1731" i="10"/>
  <c r="R1731" i="10" s="1"/>
  <c r="N1731" i="10"/>
  <c r="M1731" i="10"/>
  <c r="L1731" i="10"/>
  <c r="K1731" i="10"/>
  <c r="J1731" i="10"/>
  <c r="I1731" i="10"/>
  <c r="H1731" i="10"/>
  <c r="G1731" i="10"/>
  <c r="F1731" i="10"/>
  <c r="Q1731" i="10" s="1"/>
  <c r="E1731" i="10"/>
  <c r="P1731" i="10" s="1"/>
  <c r="D1731" i="10"/>
  <c r="C1731" i="10"/>
  <c r="B1731" i="10"/>
  <c r="A1731" i="10"/>
  <c r="Q1730" i="10"/>
  <c r="P1730" i="10"/>
  <c r="N1730" i="10"/>
  <c r="M1730" i="10"/>
  <c r="L1730" i="10"/>
  <c r="K1730" i="10"/>
  <c r="J1730" i="10"/>
  <c r="O1730" i="10" s="1"/>
  <c r="I1730" i="10"/>
  <c r="H1730" i="10"/>
  <c r="G1730" i="10"/>
  <c r="F1730" i="10"/>
  <c r="E1730" i="10"/>
  <c r="D1730" i="10"/>
  <c r="C1730" i="10"/>
  <c r="B1730" i="10"/>
  <c r="A1730" i="10"/>
  <c r="O1729" i="10"/>
  <c r="R1729" i="10" s="1"/>
  <c r="N1729" i="10"/>
  <c r="M1729" i="10"/>
  <c r="L1729" i="10"/>
  <c r="K1729" i="10"/>
  <c r="J1729" i="10"/>
  <c r="I1729" i="10"/>
  <c r="H1729" i="10"/>
  <c r="G1729" i="10"/>
  <c r="F1729" i="10"/>
  <c r="Q1729" i="10" s="1"/>
  <c r="E1729" i="10"/>
  <c r="P1729" i="10" s="1"/>
  <c r="D1729" i="10"/>
  <c r="C1729" i="10"/>
  <c r="B1729" i="10"/>
  <c r="A1729" i="10"/>
  <c r="Q1728" i="10"/>
  <c r="P1728" i="10"/>
  <c r="N1728" i="10"/>
  <c r="M1728" i="10"/>
  <c r="L1728" i="10"/>
  <c r="K1728" i="10"/>
  <c r="J1728" i="10"/>
  <c r="O1728" i="10" s="1"/>
  <c r="I1728" i="10"/>
  <c r="H1728" i="10"/>
  <c r="G1728" i="10"/>
  <c r="F1728" i="10"/>
  <c r="E1728" i="10"/>
  <c r="D1728" i="10"/>
  <c r="C1728" i="10"/>
  <c r="B1728" i="10"/>
  <c r="A1728" i="10"/>
  <c r="O1727" i="10"/>
  <c r="R1727" i="10" s="1"/>
  <c r="N1727" i="10"/>
  <c r="M1727" i="10"/>
  <c r="L1727" i="10"/>
  <c r="K1727" i="10"/>
  <c r="J1727" i="10"/>
  <c r="I1727" i="10"/>
  <c r="H1727" i="10"/>
  <c r="G1727" i="10"/>
  <c r="F1727" i="10"/>
  <c r="Q1727" i="10" s="1"/>
  <c r="E1727" i="10"/>
  <c r="P1727" i="10" s="1"/>
  <c r="D1727" i="10"/>
  <c r="C1727" i="10"/>
  <c r="B1727" i="10"/>
  <c r="A1727" i="10"/>
  <c r="Q1726" i="10"/>
  <c r="P1726" i="10"/>
  <c r="N1726" i="10"/>
  <c r="M1726" i="10"/>
  <c r="L1726" i="10"/>
  <c r="K1726" i="10"/>
  <c r="J1726" i="10"/>
  <c r="O1726" i="10" s="1"/>
  <c r="I1726" i="10"/>
  <c r="H1726" i="10"/>
  <c r="G1726" i="10"/>
  <c r="F1726" i="10"/>
  <c r="E1726" i="10"/>
  <c r="D1726" i="10"/>
  <c r="C1726" i="10"/>
  <c r="B1726" i="10"/>
  <c r="A1726" i="10"/>
  <c r="O1725" i="10"/>
  <c r="R1725" i="10" s="1"/>
  <c r="N1725" i="10"/>
  <c r="M1725" i="10"/>
  <c r="L1725" i="10"/>
  <c r="K1725" i="10"/>
  <c r="J1725" i="10"/>
  <c r="I1725" i="10"/>
  <c r="H1725" i="10"/>
  <c r="G1725" i="10"/>
  <c r="F1725" i="10"/>
  <c r="Q1725" i="10" s="1"/>
  <c r="E1725" i="10"/>
  <c r="P1725" i="10" s="1"/>
  <c r="D1725" i="10"/>
  <c r="C1725" i="10"/>
  <c r="B1725" i="10"/>
  <c r="A1725" i="10"/>
  <c r="Q1724" i="10"/>
  <c r="P1724" i="10"/>
  <c r="N1724" i="10"/>
  <c r="M1724" i="10"/>
  <c r="L1724" i="10"/>
  <c r="K1724" i="10"/>
  <c r="J1724" i="10"/>
  <c r="O1724" i="10" s="1"/>
  <c r="I1724" i="10"/>
  <c r="H1724" i="10"/>
  <c r="G1724" i="10"/>
  <c r="F1724" i="10"/>
  <c r="E1724" i="10"/>
  <c r="D1724" i="10"/>
  <c r="C1724" i="10"/>
  <c r="B1724" i="10"/>
  <c r="A1724" i="10"/>
  <c r="O1723" i="10"/>
  <c r="R1723" i="10" s="1"/>
  <c r="N1723" i="10"/>
  <c r="M1723" i="10"/>
  <c r="L1723" i="10"/>
  <c r="K1723" i="10"/>
  <c r="J1723" i="10"/>
  <c r="I1723" i="10"/>
  <c r="H1723" i="10"/>
  <c r="G1723" i="10"/>
  <c r="F1723" i="10"/>
  <c r="Q1723" i="10" s="1"/>
  <c r="E1723" i="10"/>
  <c r="P1723" i="10" s="1"/>
  <c r="D1723" i="10"/>
  <c r="C1723" i="10"/>
  <c r="B1723" i="10"/>
  <c r="A1723" i="10"/>
  <c r="Q1722" i="10"/>
  <c r="P1722" i="10"/>
  <c r="N1722" i="10"/>
  <c r="M1722" i="10"/>
  <c r="L1722" i="10"/>
  <c r="K1722" i="10"/>
  <c r="J1722" i="10"/>
  <c r="O1722" i="10" s="1"/>
  <c r="I1722" i="10"/>
  <c r="H1722" i="10"/>
  <c r="G1722" i="10"/>
  <c r="F1722" i="10"/>
  <c r="E1722" i="10"/>
  <c r="D1722" i="10"/>
  <c r="C1722" i="10"/>
  <c r="B1722" i="10"/>
  <c r="A1722" i="10"/>
  <c r="O1721" i="10"/>
  <c r="R1721" i="10" s="1"/>
  <c r="N1721" i="10"/>
  <c r="M1721" i="10"/>
  <c r="L1721" i="10"/>
  <c r="K1721" i="10"/>
  <c r="J1721" i="10"/>
  <c r="I1721" i="10"/>
  <c r="H1721" i="10"/>
  <c r="G1721" i="10"/>
  <c r="F1721" i="10"/>
  <c r="Q1721" i="10" s="1"/>
  <c r="E1721" i="10"/>
  <c r="P1721" i="10" s="1"/>
  <c r="D1721" i="10"/>
  <c r="C1721" i="10"/>
  <c r="B1721" i="10"/>
  <c r="A1721" i="10"/>
  <c r="Q1720" i="10"/>
  <c r="P1720" i="10"/>
  <c r="N1720" i="10"/>
  <c r="M1720" i="10"/>
  <c r="L1720" i="10"/>
  <c r="K1720" i="10"/>
  <c r="J1720" i="10"/>
  <c r="O1720" i="10" s="1"/>
  <c r="I1720" i="10"/>
  <c r="H1720" i="10"/>
  <c r="G1720" i="10"/>
  <c r="F1720" i="10"/>
  <c r="E1720" i="10"/>
  <c r="D1720" i="10"/>
  <c r="C1720" i="10"/>
  <c r="B1720" i="10"/>
  <c r="A1720" i="10"/>
  <c r="O1719" i="10"/>
  <c r="R1719" i="10" s="1"/>
  <c r="N1719" i="10"/>
  <c r="M1719" i="10"/>
  <c r="L1719" i="10"/>
  <c r="K1719" i="10"/>
  <c r="J1719" i="10"/>
  <c r="I1719" i="10"/>
  <c r="H1719" i="10"/>
  <c r="G1719" i="10"/>
  <c r="F1719" i="10"/>
  <c r="Q1719" i="10" s="1"/>
  <c r="E1719" i="10"/>
  <c r="P1719" i="10" s="1"/>
  <c r="D1719" i="10"/>
  <c r="C1719" i="10"/>
  <c r="B1719" i="10"/>
  <c r="A1719" i="10"/>
  <c r="Q1718" i="10"/>
  <c r="P1718" i="10"/>
  <c r="N1718" i="10"/>
  <c r="M1718" i="10"/>
  <c r="L1718" i="10"/>
  <c r="K1718" i="10"/>
  <c r="J1718" i="10"/>
  <c r="O1718" i="10" s="1"/>
  <c r="I1718" i="10"/>
  <c r="H1718" i="10"/>
  <c r="G1718" i="10"/>
  <c r="F1718" i="10"/>
  <c r="E1718" i="10"/>
  <c r="D1718" i="10"/>
  <c r="C1718" i="10"/>
  <c r="B1718" i="10"/>
  <c r="A1718" i="10"/>
  <c r="O1717" i="10"/>
  <c r="R1717" i="10" s="1"/>
  <c r="N1717" i="10"/>
  <c r="M1717" i="10"/>
  <c r="L1717" i="10"/>
  <c r="K1717" i="10"/>
  <c r="J1717" i="10"/>
  <c r="I1717" i="10"/>
  <c r="H1717" i="10"/>
  <c r="G1717" i="10"/>
  <c r="F1717" i="10"/>
  <c r="Q1717" i="10" s="1"/>
  <c r="E1717" i="10"/>
  <c r="P1717" i="10" s="1"/>
  <c r="D1717" i="10"/>
  <c r="C1717" i="10"/>
  <c r="B1717" i="10"/>
  <c r="A1717" i="10"/>
  <c r="Q1716" i="10"/>
  <c r="P1716" i="10"/>
  <c r="N1716" i="10"/>
  <c r="M1716" i="10"/>
  <c r="L1716" i="10"/>
  <c r="K1716" i="10"/>
  <c r="J1716" i="10"/>
  <c r="O1716" i="10" s="1"/>
  <c r="I1716" i="10"/>
  <c r="H1716" i="10"/>
  <c r="G1716" i="10"/>
  <c r="F1716" i="10"/>
  <c r="E1716" i="10"/>
  <c r="D1716" i="10"/>
  <c r="C1716" i="10"/>
  <c r="B1716" i="10"/>
  <c r="A1716" i="10"/>
  <c r="O1715" i="10"/>
  <c r="R1715" i="10" s="1"/>
  <c r="N1715" i="10"/>
  <c r="M1715" i="10"/>
  <c r="L1715" i="10"/>
  <c r="K1715" i="10"/>
  <c r="J1715" i="10"/>
  <c r="I1715" i="10"/>
  <c r="H1715" i="10"/>
  <c r="G1715" i="10"/>
  <c r="F1715" i="10"/>
  <c r="Q1715" i="10" s="1"/>
  <c r="E1715" i="10"/>
  <c r="P1715" i="10" s="1"/>
  <c r="D1715" i="10"/>
  <c r="C1715" i="10"/>
  <c r="B1715" i="10"/>
  <c r="A1715" i="10"/>
  <c r="Q1714" i="10"/>
  <c r="P1714" i="10"/>
  <c r="N1714" i="10"/>
  <c r="M1714" i="10"/>
  <c r="L1714" i="10"/>
  <c r="K1714" i="10"/>
  <c r="J1714" i="10"/>
  <c r="O1714" i="10" s="1"/>
  <c r="I1714" i="10"/>
  <c r="H1714" i="10"/>
  <c r="G1714" i="10"/>
  <c r="F1714" i="10"/>
  <c r="E1714" i="10"/>
  <c r="D1714" i="10"/>
  <c r="C1714" i="10"/>
  <c r="B1714" i="10"/>
  <c r="A1714" i="10"/>
  <c r="O1713" i="10"/>
  <c r="R1713" i="10" s="1"/>
  <c r="N1713" i="10"/>
  <c r="M1713" i="10"/>
  <c r="L1713" i="10"/>
  <c r="K1713" i="10"/>
  <c r="J1713" i="10"/>
  <c r="I1713" i="10"/>
  <c r="H1713" i="10"/>
  <c r="G1713" i="10"/>
  <c r="F1713" i="10"/>
  <c r="Q1713" i="10" s="1"/>
  <c r="E1713" i="10"/>
  <c r="P1713" i="10" s="1"/>
  <c r="D1713" i="10"/>
  <c r="C1713" i="10"/>
  <c r="B1713" i="10"/>
  <c r="A1713" i="10"/>
  <c r="Q1712" i="10"/>
  <c r="P1712" i="10"/>
  <c r="N1712" i="10"/>
  <c r="M1712" i="10"/>
  <c r="L1712" i="10"/>
  <c r="K1712" i="10"/>
  <c r="J1712" i="10"/>
  <c r="O1712" i="10" s="1"/>
  <c r="I1712" i="10"/>
  <c r="H1712" i="10"/>
  <c r="G1712" i="10"/>
  <c r="F1712" i="10"/>
  <c r="E1712" i="10"/>
  <c r="D1712" i="10"/>
  <c r="C1712" i="10"/>
  <c r="B1712" i="10"/>
  <c r="A1712" i="10"/>
  <c r="O1711" i="10"/>
  <c r="R1711" i="10" s="1"/>
  <c r="N1711" i="10"/>
  <c r="M1711" i="10"/>
  <c r="L1711" i="10"/>
  <c r="K1711" i="10"/>
  <c r="J1711" i="10"/>
  <c r="I1711" i="10"/>
  <c r="H1711" i="10"/>
  <c r="G1711" i="10"/>
  <c r="F1711" i="10"/>
  <c r="Q1711" i="10" s="1"/>
  <c r="E1711" i="10"/>
  <c r="P1711" i="10" s="1"/>
  <c r="D1711" i="10"/>
  <c r="C1711" i="10"/>
  <c r="B1711" i="10"/>
  <c r="A1711" i="10"/>
  <c r="Q1710" i="10"/>
  <c r="P1710" i="10"/>
  <c r="N1710" i="10"/>
  <c r="M1710" i="10"/>
  <c r="L1710" i="10"/>
  <c r="K1710" i="10"/>
  <c r="J1710" i="10"/>
  <c r="O1710" i="10" s="1"/>
  <c r="I1710" i="10"/>
  <c r="H1710" i="10"/>
  <c r="G1710" i="10"/>
  <c r="F1710" i="10"/>
  <c r="E1710" i="10"/>
  <c r="D1710" i="10"/>
  <c r="C1710" i="10"/>
  <c r="B1710" i="10"/>
  <c r="A1710" i="10"/>
  <c r="O1709" i="10"/>
  <c r="R1709" i="10" s="1"/>
  <c r="N1709" i="10"/>
  <c r="M1709" i="10"/>
  <c r="L1709" i="10"/>
  <c r="K1709" i="10"/>
  <c r="J1709" i="10"/>
  <c r="I1709" i="10"/>
  <c r="H1709" i="10"/>
  <c r="G1709" i="10"/>
  <c r="F1709" i="10"/>
  <c r="Q1709" i="10" s="1"/>
  <c r="E1709" i="10"/>
  <c r="P1709" i="10" s="1"/>
  <c r="D1709" i="10"/>
  <c r="C1709" i="10"/>
  <c r="B1709" i="10"/>
  <c r="A1709" i="10"/>
  <c r="N1708" i="10"/>
  <c r="M1708" i="10"/>
  <c r="L1708" i="10"/>
  <c r="K1708" i="10"/>
  <c r="J1708" i="10"/>
  <c r="O1708" i="10" s="1"/>
  <c r="I1708" i="10"/>
  <c r="H1708" i="10"/>
  <c r="G1708" i="10"/>
  <c r="F1708" i="10"/>
  <c r="Q1708" i="10" s="1"/>
  <c r="E1708" i="10"/>
  <c r="P1708" i="10" s="1"/>
  <c r="D1708" i="10"/>
  <c r="C1708" i="10"/>
  <c r="B1708" i="10"/>
  <c r="A1708" i="10"/>
  <c r="P1707" i="10"/>
  <c r="O1707" i="10"/>
  <c r="N1707" i="10"/>
  <c r="M1707" i="10"/>
  <c r="L1707" i="10"/>
  <c r="K1707" i="10"/>
  <c r="J1707" i="10"/>
  <c r="I1707" i="10"/>
  <c r="H1707" i="10"/>
  <c r="G1707" i="10"/>
  <c r="F1707" i="10"/>
  <c r="Q1707" i="10" s="1"/>
  <c r="E1707" i="10"/>
  <c r="D1707" i="10"/>
  <c r="C1707" i="10"/>
  <c r="B1707" i="10"/>
  <c r="A1707" i="10"/>
  <c r="N1706" i="10"/>
  <c r="M1706" i="10"/>
  <c r="L1706" i="10"/>
  <c r="K1706" i="10"/>
  <c r="J1706" i="10"/>
  <c r="O1706" i="10" s="1"/>
  <c r="I1706" i="10"/>
  <c r="H1706" i="10"/>
  <c r="G1706" i="10"/>
  <c r="F1706" i="10"/>
  <c r="Q1706" i="10" s="1"/>
  <c r="E1706" i="10"/>
  <c r="P1706" i="10" s="1"/>
  <c r="D1706" i="10"/>
  <c r="C1706" i="10"/>
  <c r="B1706" i="10"/>
  <c r="A1706" i="10"/>
  <c r="P1705" i="10"/>
  <c r="O1705" i="10"/>
  <c r="N1705" i="10"/>
  <c r="M1705" i="10"/>
  <c r="L1705" i="10"/>
  <c r="K1705" i="10"/>
  <c r="J1705" i="10"/>
  <c r="I1705" i="10"/>
  <c r="H1705" i="10"/>
  <c r="G1705" i="10"/>
  <c r="F1705" i="10"/>
  <c r="Q1705" i="10" s="1"/>
  <c r="E1705" i="10"/>
  <c r="D1705" i="10"/>
  <c r="C1705" i="10"/>
  <c r="B1705" i="10"/>
  <c r="A1705" i="10"/>
  <c r="N1704" i="10"/>
  <c r="M1704" i="10"/>
  <c r="L1704" i="10"/>
  <c r="K1704" i="10"/>
  <c r="J1704" i="10"/>
  <c r="O1704" i="10" s="1"/>
  <c r="I1704" i="10"/>
  <c r="H1704" i="10"/>
  <c r="G1704" i="10"/>
  <c r="F1704" i="10"/>
  <c r="Q1704" i="10" s="1"/>
  <c r="E1704" i="10"/>
  <c r="P1704" i="10" s="1"/>
  <c r="D1704" i="10"/>
  <c r="C1704" i="10"/>
  <c r="B1704" i="10"/>
  <c r="A1704" i="10"/>
  <c r="P1703" i="10"/>
  <c r="O1703" i="10"/>
  <c r="N1703" i="10"/>
  <c r="M1703" i="10"/>
  <c r="L1703" i="10"/>
  <c r="K1703" i="10"/>
  <c r="J1703" i="10"/>
  <c r="I1703" i="10"/>
  <c r="H1703" i="10"/>
  <c r="G1703" i="10"/>
  <c r="F1703" i="10"/>
  <c r="Q1703" i="10" s="1"/>
  <c r="E1703" i="10"/>
  <c r="D1703" i="10"/>
  <c r="C1703" i="10"/>
  <c r="B1703" i="10"/>
  <c r="A1703" i="10"/>
  <c r="N1702" i="10"/>
  <c r="M1702" i="10"/>
  <c r="L1702" i="10"/>
  <c r="K1702" i="10"/>
  <c r="J1702" i="10"/>
  <c r="O1702" i="10" s="1"/>
  <c r="I1702" i="10"/>
  <c r="H1702" i="10"/>
  <c r="G1702" i="10"/>
  <c r="F1702" i="10"/>
  <c r="Q1702" i="10" s="1"/>
  <c r="E1702" i="10"/>
  <c r="P1702" i="10" s="1"/>
  <c r="D1702" i="10"/>
  <c r="C1702" i="10"/>
  <c r="B1702" i="10"/>
  <c r="A1702" i="10"/>
  <c r="P1701" i="10"/>
  <c r="O1701" i="10"/>
  <c r="N1701" i="10"/>
  <c r="M1701" i="10"/>
  <c r="L1701" i="10"/>
  <c r="K1701" i="10"/>
  <c r="J1701" i="10"/>
  <c r="I1701" i="10"/>
  <c r="H1701" i="10"/>
  <c r="G1701" i="10"/>
  <c r="F1701" i="10"/>
  <c r="Q1701" i="10" s="1"/>
  <c r="E1701" i="10"/>
  <c r="D1701" i="10"/>
  <c r="C1701" i="10"/>
  <c r="B1701" i="10"/>
  <c r="A1701" i="10"/>
  <c r="N1700" i="10"/>
  <c r="M1700" i="10"/>
  <c r="L1700" i="10"/>
  <c r="K1700" i="10"/>
  <c r="J1700" i="10"/>
  <c r="O1700" i="10" s="1"/>
  <c r="I1700" i="10"/>
  <c r="H1700" i="10"/>
  <c r="G1700" i="10"/>
  <c r="F1700" i="10"/>
  <c r="Q1700" i="10" s="1"/>
  <c r="E1700" i="10"/>
  <c r="P1700" i="10" s="1"/>
  <c r="D1700" i="10"/>
  <c r="C1700" i="10"/>
  <c r="B1700" i="10"/>
  <c r="A1700" i="10"/>
  <c r="P1699" i="10"/>
  <c r="O1699" i="10"/>
  <c r="N1699" i="10"/>
  <c r="M1699" i="10"/>
  <c r="L1699" i="10"/>
  <c r="K1699" i="10"/>
  <c r="J1699" i="10"/>
  <c r="I1699" i="10"/>
  <c r="H1699" i="10"/>
  <c r="G1699" i="10"/>
  <c r="F1699" i="10"/>
  <c r="Q1699" i="10" s="1"/>
  <c r="E1699" i="10"/>
  <c r="D1699" i="10"/>
  <c r="C1699" i="10"/>
  <c r="B1699" i="10"/>
  <c r="A1699" i="10"/>
  <c r="N1698" i="10"/>
  <c r="M1698" i="10"/>
  <c r="L1698" i="10"/>
  <c r="K1698" i="10"/>
  <c r="J1698" i="10"/>
  <c r="O1698" i="10" s="1"/>
  <c r="I1698" i="10"/>
  <c r="H1698" i="10"/>
  <c r="G1698" i="10"/>
  <c r="F1698" i="10"/>
  <c r="Q1698" i="10" s="1"/>
  <c r="E1698" i="10"/>
  <c r="P1698" i="10" s="1"/>
  <c r="D1698" i="10"/>
  <c r="C1698" i="10"/>
  <c r="B1698" i="10"/>
  <c r="A1698" i="10"/>
  <c r="P1697" i="10"/>
  <c r="O1697" i="10"/>
  <c r="N1697" i="10"/>
  <c r="M1697" i="10"/>
  <c r="L1697" i="10"/>
  <c r="K1697" i="10"/>
  <c r="J1697" i="10"/>
  <c r="I1697" i="10"/>
  <c r="H1697" i="10"/>
  <c r="G1697" i="10"/>
  <c r="F1697" i="10"/>
  <c r="Q1697" i="10" s="1"/>
  <c r="E1697" i="10"/>
  <c r="D1697" i="10"/>
  <c r="C1697" i="10"/>
  <c r="B1697" i="10"/>
  <c r="A1697" i="10"/>
  <c r="N1696" i="10"/>
  <c r="M1696" i="10"/>
  <c r="L1696" i="10"/>
  <c r="K1696" i="10"/>
  <c r="J1696" i="10"/>
  <c r="O1696" i="10" s="1"/>
  <c r="I1696" i="10"/>
  <c r="H1696" i="10"/>
  <c r="G1696" i="10"/>
  <c r="F1696" i="10"/>
  <c r="Q1696" i="10" s="1"/>
  <c r="E1696" i="10"/>
  <c r="P1696" i="10" s="1"/>
  <c r="D1696" i="10"/>
  <c r="C1696" i="10"/>
  <c r="B1696" i="10"/>
  <c r="A1696" i="10"/>
  <c r="P1695" i="10"/>
  <c r="O1695" i="10"/>
  <c r="N1695" i="10"/>
  <c r="M1695" i="10"/>
  <c r="L1695" i="10"/>
  <c r="K1695" i="10"/>
  <c r="J1695" i="10"/>
  <c r="I1695" i="10"/>
  <c r="H1695" i="10"/>
  <c r="G1695" i="10"/>
  <c r="F1695" i="10"/>
  <c r="Q1695" i="10" s="1"/>
  <c r="E1695" i="10"/>
  <c r="D1695" i="10"/>
  <c r="C1695" i="10"/>
  <c r="B1695" i="10"/>
  <c r="A1695" i="10"/>
  <c r="N1694" i="10"/>
  <c r="M1694" i="10"/>
  <c r="L1694" i="10"/>
  <c r="K1694" i="10"/>
  <c r="J1694" i="10"/>
  <c r="O1694" i="10" s="1"/>
  <c r="I1694" i="10"/>
  <c r="H1694" i="10"/>
  <c r="G1694" i="10"/>
  <c r="F1694" i="10"/>
  <c r="Q1694" i="10" s="1"/>
  <c r="E1694" i="10"/>
  <c r="P1694" i="10" s="1"/>
  <c r="D1694" i="10"/>
  <c r="C1694" i="10"/>
  <c r="B1694" i="10"/>
  <c r="A1694" i="10"/>
  <c r="P1693" i="10"/>
  <c r="O1693" i="10"/>
  <c r="N1693" i="10"/>
  <c r="M1693" i="10"/>
  <c r="L1693" i="10"/>
  <c r="K1693" i="10"/>
  <c r="J1693" i="10"/>
  <c r="I1693" i="10"/>
  <c r="H1693" i="10"/>
  <c r="G1693" i="10"/>
  <c r="F1693" i="10"/>
  <c r="Q1693" i="10" s="1"/>
  <c r="E1693" i="10"/>
  <c r="D1693" i="10"/>
  <c r="C1693" i="10"/>
  <c r="B1693" i="10"/>
  <c r="A1693" i="10"/>
  <c r="N1692" i="10"/>
  <c r="M1692" i="10"/>
  <c r="L1692" i="10"/>
  <c r="K1692" i="10"/>
  <c r="J1692" i="10"/>
  <c r="O1692" i="10" s="1"/>
  <c r="I1692" i="10"/>
  <c r="H1692" i="10"/>
  <c r="G1692" i="10"/>
  <c r="F1692" i="10"/>
  <c r="Q1692" i="10" s="1"/>
  <c r="E1692" i="10"/>
  <c r="P1692" i="10" s="1"/>
  <c r="D1692" i="10"/>
  <c r="C1692" i="10"/>
  <c r="B1692" i="10"/>
  <c r="A1692" i="10"/>
  <c r="P1691" i="10"/>
  <c r="O1691" i="10"/>
  <c r="N1691" i="10"/>
  <c r="M1691" i="10"/>
  <c r="L1691" i="10"/>
  <c r="K1691" i="10"/>
  <c r="J1691" i="10"/>
  <c r="I1691" i="10"/>
  <c r="H1691" i="10"/>
  <c r="G1691" i="10"/>
  <c r="F1691" i="10"/>
  <c r="Q1691" i="10" s="1"/>
  <c r="E1691" i="10"/>
  <c r="D1691" i="10"/>
  <c r="C1691" i="10"/>
  <c r="B1691" i="10"/>
  <c r="A1691" i="10"/>
  <c r="N1690" i="10"/>
  <c r="M1690" i="10"/>
  <c r="L1690" i="10"/>
  <c r="K1690" i="10"/>
  <c r="J1690" i="10"/>
  <c r="O1690" i="10" s="1"/>
  <c r="I1690" i="10"/>
  <c r="H1690" i="10"/>
  <c r="G1690" i="10"/>
  <c r="F1690" i="10"/>
  <c r="Q1690" i="10" s="1"/>
  <c r="E1690" i="10"/>
  <c r="P1690" i="10" s="1"/>
  <c r="D1690" i="10"/>
  <c r="C1690" i="10"/>
  <c r="B1690" i="10"/>
  <c r="A1690" i="10"/>
  <c r="P1689" i="10"/>
  <c r="O1689" i="10"/>
  <c r="N1689" i="10"/>
  <c r="M1689" i="10"/>
  <c r="L1689" i="10"/>
  <c r="K1689" i="10"/>
  <c r="J1689" i="10"/>
  <c r="I1689" i="10"/>
  <c r="H1689" i="10"/>
  <c r="G1689" i="10"/>
  <c r="F1689" i="10"/>
  <c r="Q1689" i="10" s="1"/>
  <c r="E1689" i="10"/>
  <c r="D1689" i="10"/>
  <c r="C1689" i="10"/>
  <c r="B1689" i="10"/>
  <c r="A1689" i="10"/>
  <c r="N1688" i="10"/>
  <c r="M1688" i="10"/>
  <c r="L1688" i="10"/>
  <c r="K1688" i="10"/>
  <c r="J1688" i="10"/>
  <c r="O1688" i="10" s="1"/>
  <c r="I1688" i="10"/>
  <c r="H1688" i="10"/>
  <c r="G1688" i="10"/>
  <c r="F1688" i="10"/>
  <c r="Q1688" i="10" s="1"/>
  <c r="E1688" i="10"/>
  <c r="P1688" i="10" s="1"/>
  <c r="D1688" i="10"/>
  <c r="C1688" i="10"/>
  <c r="B1688" i="10"/>
  <c r="A1688" i="10"/>
  <c r="P1687" i="10"/>
  <c r="O1687" i="10"/>
  <c r="N1687" i="10"/>
  <c r="M1687" i="10"/>
  <c r="L1687" i="10"/>
  <c r="K1687" i="10"/>
  <c r="J1687" i="10"/>
  <c r="I1687" i="10"/>
  <c r="H1687" i="10"/>
  <c r="G1687" i="10"/>
  <c r="F1687" i="10"/>
  <c r="Q1687" i="10" s="1"/>
  <c r="E1687" i="10"/>
  <c r="D1687" i="10"/>
  <c r="C1687" i="10"/>
  <c r="B1687" i="10"/>
  <c r="A1687" i="10"/>
  <c r="N1686" i="10"/>
  <c r="M1686" i="10"/>
  <c r="L1686" i="10"/>
  <c r="K1686" i="10"/>
  <c r="J1686" i="10"/>
  <c r="O1686" i="10" s="1"/>
  <c r="I1686" i="10"/>
  <c r="H1686" i="10"/>
  <c r="G1686" i="10"/>
  <c r="F1686" i="10"/>
  <c r="Q1686" i="10" s="1"/>
  <c r="E1686" i="10"/>
  <c r="P1686" i="10" s="1"/>
  <c r="D1686" i="10"/>
  <c r="C1686" i="10"/>
  <c r="B1686" i="10"/>
  <c r="A1686" i="10"/>
  <c r="P1685" i="10"/>
  <c r="O1685" i="10"/>
  <c r="N1685" i="10"/>
  <c r="M1685" i="10"/>
  <c r="L1685" i="10"/>
  <c r="K1685" i="10"/>
  <c r="J1685" i="10"/>
  <c r="I1685" i="10"/>
  <c r="H1685" i="10"/>
  <c r="G1685" i="10"/>
  <c r="F1685" i="10"/>
  <c r="Q1685" i="10" s="1"/>
  <c r="E1685" i="10"/>
  <c r="D1685" i="10"/>
  <c r="C1685" i="10"/>
  <c r="B1685" i="10"/>
  <c r="A1685" i="10"/>
  <c r="N1684" i="10"/>
  <c r="M1684" i="10"/>
  <c r="L1684" i="10"/>
  <c r="K1684" i="10"/>
  <c r="J1684" i="10"/>
  <c r="O1684" i="10" s="1"/>
  <c r="I1684" i="10"/>
  <c r="H1684" i="10"/>
  <c r="G1684" i="10"/>
  <c r="F1684" i="10"/>
  <c r="Q1684" i="10" s="1"/>
  <c r="E1684" i="10"/>
  <c r="P1684" i="10" s="1"/>
  <c r="D1684" i="10"/>
  <c r="C1684" i="10"/>
  <c r="B1684" i="10"/>
  <c r="A1684" i="10"/>
  <c r="P1683" i="10"/>
  <c r="O1683" i="10"/>
  <c r="N1683" i="10"/>
  <c r="M1683" i="10"/>
  <c r="L1683" i="10"/>
  <c r="K1683" i="10"/>
  <c r="J1683" i="10"/>
  <c r="I1683" i="10"/>
  <c r="H1683" i="10"/>
  <c r="G1683" i="10"/>
  <c r="F1683" i="10"/>
  <c r="Q1683" i="10" s="1"/>
  <c r="E1683" i="10"/>
  <c r="D1683" i="10"/>
  <c r="C1683" i="10"/>
  <c r="B1683" i="10"/>
  <c r="A1683" i="10"/>
  <c r="N1682" i="10"/>
  <c r="M1682" i="10"/>
  <c r="L1682" i="10"/>
  <c r="K1682" i="10"/>
  <c r="J1682" i="10"/>
  <c r="O1682" i="10" s="1"/>
  <c r="I1682" i="10"/>
  <c r="H1682" i="10"/>
  <c r="G1682" i="10"/>
  <c r="F1682" i="10"/>
  <c r="Q1682" i="10" s="1"/>
  <c r="E1682" i="10"/>
  <c r="P1682" i="10" s="1"/>
  <c r="D1682" i="10"/>
  <c r="C1682" i="10"/>
  <c r="B1682" i="10"/>
  <c r="A1682" i="10"/>
  <c r="P1681" i="10"/>
  <c r="O1681" i="10"/>
  <c r="N1681" i="10"/>
  <c r="M1681" i="10"/>
  <c r="L1681" i="10"/>
  <c r="K1681" i="10"/>
  <c r="J1681" i="10"/>
  <c r="I1681" i="10"/>
  <c r="H1681" i="10"/>
  <c r="G1681" i="10"/>
  <c r="F1681" i="10"/>
  <c r="Q1681" i="10" s="1"/>
  <c r="E1681" i="10"/>
  <c r="D1681" i="10"/>
  <c r="C1681" i="10"/>
  <c r="B1681" i="10"/>
  <c r="A1681" i="10"/>
  <c r="N1680" i="10"/>
  <c r="M1680" i="10"/>
  <c r="L1680" i="10"/>
  <c r="K1680" i="10"/>
  <c r="J1680" i="10"/>
  <c r="O1680" i="10" s="1"/>
  <c r="I1680" i="10"/>
  <c r="H1680" i="10"/>
  <c r="G1680" i="10"/>
  <c r="F1680" i="10"/>
  <c r="Q1680" i="10" s="1"/>
  <c r="E1680" i="10"/>
  <c r="P1680" i="10" s="1"/>
  <c r="D1680" i="10"/>
  <c r="C1680" i="10"/>
  <c r="B1680" i="10"/>
  <c r="A1680" i="10"/>
  <c r="P1679" i="10"/>
  <c r="O1679" i="10"/>
  <c r="N1679" i="10"/>
  <c r="M1679" i="10"/>
  <c r="L1679" i="10"/>
  <c r="K1679" i="10"/>
  <c r="J1679" i="10"/>
  <c r="I1679" i="10"/>
  <c r="H1679" i="10"/>
  <c r="G1679" i="10"/>
  <c r="F1679" i="10"/>
  <c r="Q1679" i="10" s="1"/>
  <c r="E1679" i="10"/>
  <c r="D1679" i="10"/>
  <c r="C1679" i="10"/>
  <c r="B1679" i="10"/>
  <c r="A1679" i="10"/>
  <c r="N1678" i="10"/>
  <c r="M1678" i="10"/>
  <c r="L1678" i="10"/>
  <c r="K1678" i="10"/>
  <c r="J1678" i="10"/>
  <c r="O1678" i="10" s="1"/>
  <c r="I1678" i="10"/>
  <c r="H1678" i="10"/>
  <c r="G1678" i="10"/>
  <c r="F1678" i="10"/>
  <c r="Q1678" i="10" s="1"/>
  <c r="E1678" i="10"/>
  <c r="P1678" i="10" s="1"/>
  <c r="D1678" i="10"/>
  <c r="C1678" i="10"/>
  <c r="B1678" i="10"/>
  <c r="A1678" i="10"/>
  <c r="P1677" i="10"/>
  <c r="O1677" i="10"/>
  <c r="N1677" i="10"/>
  <c r="M1677" i="10"/>
  <c r="L1677" i="10"/>
  <c r="K1677" i="10"/>
  <c r="J1677" i="10"/>
  <c r="I1677" i="10"/>
  <c r="H1677" i="10"/>
  <c r="G1677" i="10"/>
  <c r="F1677" i="10"/>
  <c r="Q1677" i="10" s="1"/>
  <c r="E1677" i="10"/>
  <c r="D1677" i="10"/>
  <c r="C1677" i="10"/>
  <c r="B1677" i="10"/>
  <c r="A1677" i="10"/>
  <c r="N1676" i="10"/>
  <c r="M1676" i="10"/>
  <c r="L1676" i="10"/>
  <c r="K1676" i="10"/>
  <c r="J1676" i="10"/>
  <c r="O1676" i="10" s="1"/>
  <c r="I1676" i="10"/>
  <c r="H1676" i="10"/>
  <c r="G1676" i="10"/>
  <c r="F1676" i="10"/>
  <c r="Q1676" i="10" s="1"/>
  <c r="E1676" i="10"/>
  <c r="P1676" i="10" s="1"/>
  <c r="D1676" i="10"/>
  <c r="C1676" i="10"/>
  <c r="B1676" i="10"/>
  <c r="A1676" i="10"/>
  <c r="P1675" i="10"/>
  <c r="O1675" i="10"/>
  <c r="N1675" i="10"/>
  <c r="M1675" i="10"/>
  <c r="L1675" i="10"/>
  <c r="K1675" i="10"/>
  <c r="J1675" i="10"/>
  <c r="I1675" i="10"/>
  <c r="H1675" i="10"/>
  <c r="G1675" i="10"/>
  <c r="F1675" i="10"/>
  <c r="Q1675" i="10" s="1"/>
  <c r="E1675" i="10"/>
  <c r="D1675" i="10"/>
  <c r="C1675" i="10"/>
  <c r="B1675" i="10"/>
  <c r="A1675" i="10"/>
  <c r="N1674" i="10"/>
  <c r="M1674" i="10"/>
  <c r="L1674" i="10"/>
  <c r="K1674" i="10"/>
  <c r="J1674" i="10"/>
  <c r="O1674" i="10" s="1"/>
  <c r="I1674" i="10"/>
  <c r="H1674" i="10"/>
  <c r="G1674" i="10"/>
  <c r="F1674" i="10"/>
  <c r="Q1674" i="10" s="1"/>
  <c r="E1674" i="10"/>
  <c r="P1674" i="10" s="1"/>
  <c r="D1674" i="10"/>
  <c r="C1674" i="10"/>
  <c r="B1674" i="10"/>
  <c r="A1674" i="10"/>
  <c r="P1673" i="10"/>
  <c r="O1673" i="10"/>
  <c r="N1673" i="10"/>
  <c r="M1673" i="10"/>
  <c r="L1673" i="10"/>
  <c r="K1673" i="10"/>
  <c r="J1673" i="10"/>
  <c r="I1673" i="10"/>
  <c r="H1673" i="10"/>
  <c r="G1673" i="10"/>
  <c r="F1673" i="10"/>
  <c r="Q1673" i="10" s="1"/>
  <c r="E1673" i="10"/>
  <c r="D1673" i="10"/>
  <c r="C1673" i="10"/>
  <c r="B1673" i="10"/>
  <c r="A1673" i="10"/>
  <c r="N1672" i="10"/>
  <c r="M1672" i="10"/>
  <c r="L1672" i="10"/>
  <c r="K1672" i="10"/>
  <c r="J1672" i="10"/>
  <c r="O1672" i="10" s="1"/>
  <c r="I1672" i="10"/>
  <c r="H1672" i="10"/>
  <c r="G1672" i="10"/>
  <c r="F1672" i="10"/>
  <c r="Q1672" i="10" s="1"/>
  <c r="E1672" i="10"/>
  <c r="P1672" i="10" s="1"/>
  <c r="D1672" i="10"/>
  <c r="C1672" i="10"/>
  <c r="B1672" i="10"/>
  <c r="A1672" i="10"/>
  <c r="P1671" i="10"/>
  <c r="O1671" i="10"/>
  <c r="N1671" i="10"/>
  <c r="M1671" i="10"/>
  <c r="L1671" i="10"/>
  <c r="K1671" i="10"/>
  <c r="J1671" i="10"/>
  <c r="I1671" i="10"/>
  <c r="H1671" i="10"/>
  <c r="G1671" i="10"/>
  <c r="F1671" i="10"/>
  <c r="Q1671" i="10" s="1"/>
  <c r="E1671" i="10"/>
  <c r="D1671" i="10"/>
  <c r="C1671" i="10"/>
  <c r="B1671" i="10"/>
  <c r="A1671" i="10"/>
  <c r="N1670" i="10"/>
  <c r="M1670" i="10"/>
  <c r="L1670" i="10"/>
  <c r="K1670" i="10"/>
  <c r="J1670" i="10"/>
  <c r="O1670" i="10" s="1"/>
  <c r="I1670" i="10"/>
  <c r="H1670" i="10"/>
  <c r="G1670" i="10"/>
  <c r="F1670" i="10"/>
  <c r="Q1670" i="10" s="1"/>
  <c r="E1670" i="10"/>
  <c r="P1670" i="10" s="1"/>
  <c r="D1670" i="10"/>
  <c r="C1670" i="10"/>
  <c r="B1670" i="10"/>
  <c r="A1670" i="10"/>
  <c r="P1669" i="10"/>
  <c r="O1669" i="10"/>
  <c r="N1669" i="10"/>
  <c r="M1669" i="10"/>
  <c r="L1669" i="10"/>
  <c r="K1669" i="10"/>
  <c r="J1669" i="10"/>
  <c r="I1669" i="10"/>
  <c r="H1669" i="10"/>
  <c r="G1669" i="10"/>
  <c r="F1669" i="10"/>
  <c r="Q1669" i="10" s="1"/>
  <c r="E1669" i="10"/>
  <c r="D1669" i="10"/>
  <c r="C1669" i="10"/>
  <c r="B1669" i="10"/>
  <c r="A1669" i="10"/>
  <c r="N1668" i="10"/>
  <c r="M1668" i="10"/>
  <c r="L1668" i="10"/>
  <c r="K1668" i="10"/>
  <c r="J1668" i="10"/>
  <c r="O1668" i="10" s="1"/>
  <c r="I1668" i="10"/>
  <c r="H1668" i="10"/>
  <c r="G1668" i="10"/>
  <c r="F1668" i="10"/>
  <c r="Q1668" i="10" s="1"/>
  <c r="E1668" i="10"/>
  <c r="P1668" i="10" s="1"/>
  <c r="D1668" i="10"/>
  <c r="C1668" i="10"/>
  <c r="B1668" i="10"/>
  <c r="A1668" i="10"/>
  <c r="P1667" i="10"/>
  <c r="O1667" i="10"/>
  <c r="N1667" i="10"/>
  <c r="M1667" i="10"/>
  <c r="L1667" i="10"/>
  <c r="K1667" i="10"/>
  <c r="J1667" i="10"/>
  <c r="I1667" i="10"/>
  <c r="H1667" i="10"/>
  <c r="G1667" i="10"/>
  <c r="F1667" i="10"/>
  <c r="Q1667" i="10" s="1"/>
  <c r="E1667" i="10"/>
  <c r="D1667" i="10"/>
  <c r="C1667" i="10"/>
  <c r="B1667" i="10"/>
  <c r="A1667" i="10"/>
  <c r="N1666" i="10"/>
  <c r="M1666" i="10"/>
  <c r="L1666" i="10"/>
  <c r="K1666" i="10"/>
  <c r="J1666" i="10"/>
  <c r="O1666" i="10" s="1"/>
  <c r="I1666" i="10"/>
  <c r="H1666" i="10"/>
  <c r="G1666" i="10"/>
  <c r="F1666" i="10"/>
  <c r="Q1666" i="10" s="1"/>
  <c r="E1666" i="10"/>
  <c r="P1666" i="10" s="1"/>
  <c r="D1666" i="10"/>
  <c r="C1666" i="10"/>
  <c r="B1666" i="10"/>
  <c r="A1666" i="10"/>
  <c r="P1665" i="10"/>
  <c r="O1665" i="10"/>
  <c r="N1665" i="10"/>
  <c r="M1665" i="10"/>
  <c r="L1665" i="10"/>
  <c r="K1665" i="10"/>
  <c r="J1665" i="10"/>
  <c r="I1665" i="10"/>
  <c r="H1665" i="10"/>
  <c r="G1665" i="10"/>
  <c r="F1665" i="10"/>
  <c r="Q1665" i="10" s="1"/>
  <c r="E1665" i="10"/>
  <c r="D1665" i="10"/>
  <c r="C1665" i="10"/>
  <c r="B1665" i="10"/>
  <c r="A1665" i="10"/>
  <c r="N1664" i="10"/>
  <c r="M1664" i="10"/>
  <c r="L1664" i="10"/>
  <c r="K1664" i="10"/>
  <c r="J1664" i="10"/>
  <c r="O1664" i="10" s="1"/>
  <c r="I1664" i="10"/>
  <c r="H1664" i="10"/>
  <c r="G1664" i="10"/>
  <c r="F1664" i="10"/>
  <c r="Q1664" i="10" s="1"/>
  <c r="E1664" i="10"/>
  <c r="P1664" i="10" s="1"/>
  <c r="D1664" i="10"/>
  <c r="C1664" i="10"/>
  <c r="B1664" i="10"/>
  <c r="A1664" i="10"/>
  <c r="P1663" i="10"/>
  <c r="O1663" i="10"/>
  <c r="N1663" i="10"/>
  <c r="M1663" i="10"/>
  <c r="L1663" i="10"/>
  <c r="K1663" i="10"/>
  <c r="J1663" i="10"/>
  <c r="I1663" i="10"/>
  <c r="H1663" i="10"/>
  <c r="G1663" i="10"/>
  <c r="F1663" i="10"/>
  <c r="Q1663" i="10" s="1"/>
  <c r="E1663" i="10"/>
  <c r="D1663" i="10"/>
  <c r="C1663" i="10"/>
  <c r="B1663" i="10"/>
  <c r="A1663" i="10"/>
  <c r="N1662" i="10"/>
  <c r="M1662" i="10"/>
  <c r="L1662" i="10"/>
  <c r="K1662" i="10"/>
  <c r="J1662" i="10"/>
  <c r="O1662" i="10" s="1"/>
  <c r="I1662" i="10"/>
  <c r="H1662" i="10"/>
  <c r="G1662" i="10"/>
  <c r="F1662" i="10"/>
  <c r="Q1662" i="10" s="1"/>
  <c r="E1662" i="10"/>
  <c r="P1662" i="10" s="1"/>
  <c r="D1662" i="10"/>
  <c r="C1662" i="10"/>
  <c r="B1662" i="10"/>
  <c r="A1662" i="10"/>
  <c r="P1661" i="10"/>
  <c r="O1661" i="10"/>
  <c r="N1661" i="10"/>
  <c r="M1661" i="10"/>
  <c r="L1661" i="10"/>
  <c r="K1661" i="10"/>
  <c r="J1661" i="10"/>
  <c r="I1661" i="10"/>
  <c r="H1661" i="10"/>
  <c r="G1661" i="10"/>
  <c r="F1661" i="10"/>
  <c r="Q1661" i="10" s="1"/>
  <c r="E1661" i="10"/>
  <c r="D1661" i="10"/>
  <c r="C1661" i="10"/>
  <c r="B1661" i="10"/>
  <c r="A1661" i="10"/>
  <c r="N1660" i="10"/>
  <c r="M1660" i="10"/>
  <c r="L1660" i="10"/>
  <c r="K1660" i="10"/>
  <c r="J1660" i="10"/>
  <c r="O1660" i="10" s="1"/>
  <c r="I1660" i="10"/>
  <c r="H1660" i="10"/>
  <c r="G1660" i="10"/>
  <c r="F1660" i="10"/>
  <c r="Q1660" i="10" s="1"/>
  <c r="E1660" i="10"/>
  <c r="P1660" i="10" s="1"/>
  <c r="D1660" i="10"/>
  <c r="C1660" i="10"/>
  <c r="B1660" i="10"/>
  <c r="A1660" i="10"/>
  <c r="P1659" i="10"/>
  <c r="O1659" i="10"/>
  <c r="N1659" i="10"/>
  <c r="M1659" i="10"/>
  <c r="L1659" i="10"/>
  <c r="K1659" i="10"/>
  <c r="J1659" i="10"/>
  <c r="I1659" i="10"/>
  <c r="H1659" i="10"/>
  <c r="G1659" i="10"/>
  <c r="F1659" i="10"/>
  <c r="Q1659" i="10" s="1"/>
  <c r="E1659" i="10"/>
  <c r="D1659" i="10"/>
  <c r="C1659" i="10"/>
  <c r="B1659" i="10"/>
  <c r="A1659" i="10"/>
  <c r="N1658" i="10"/>
  <c r="M1658" i="10"/>
  <c r="L1658" i="10"/>
  <c r="K1658" i="10"/>
  <c r="J1658" i="10"/>
  <c r="O1658" i="10" s="1"/>
  <c r="I1658" i="10"/>
  <c r="H1658" i="10"/>
  <c r="G1658" i="10"/>
  <c r="F1658" i="10"/>
  <c r="Q1658" i="10" s="1"/>
  <c r="E1658" i="10"/>
  <c r="P1658" i="10" s="1"/>
  <c r="D1658" i="10"/>
  <c r="C1658" i="10"/>
  <c r="B1658" i="10"/>
  <c r="A1658" i="10"/>
  <c r="P1657" i="10"/>
  <c r="O1657" i="10"/>
  <c r="N1657" i="10"/>
  <c r="M1657" i="10"/>
  <c r="L1657" i="10"/>
  <c r="K1657" i="10"/>
  <c r="J1657" i="10"/>
  <c r="I1657" i="10"/>
  <c r="H1657" i="10"/>
  <c r="G1657" i="10"/>
  <c r="F1657" i="10"/>
  <c r="Q1657" i="10" s="1"/>
  <c r="E1657" i="10"/>
  <c r="D1657" i="10"/>
  <c r="C1657" i="10"/>
  <c r="B1657" i="10"/>
  <c r="A1657" i="10"/>
  <c r="N1656" i="10"/>
  <c r="M1656" i="10"/>
  <c r="L1656" i="10"/>
  <c r="K1656" i="10"/>
  <c r="J1656" i="10"/>
  <c r="O1656" i="10" s="1"/>
  <c r="I1656" i="10"/>
  <c r="H1656" i="10"/>
  <c r="G1656" i="10"/>
  <c r="F1656" i="10"/>
  <c r="Q1656" i="10" s="1"/>
  <c r="E1656" i="10"/>
  <c r="P1656" i="10" s="1"/>
  <c r="D1656" i="10"/>
  <c r="C1656" i="10"/>
  <c r="B1656" i="10"/>
  <c r="A1656" i="10"/>
  <c r="P1655" i="10"/>
  <c r="O1655" i="10"/>
  <c r="N1655" i="10"/>
  <c r="M1655" i="10"/>
  <c r="L1655" i="10"/>
  <c r="K1655" i="10"/>
  <c r="J1655" i="10"/>
  <c r="I1655" i="10"/>
  <c r="H1655" i="10"/>
  <c r="G1655" i="10"/>
  <c r="F1655" i="10"/>
  <c r="Q1655" i="10" s="1"/>
  <c r="E1655" i="10"/>
  <c r="D1655" i="10"/>
  <c r="C1655" i="10"/>
  <c r="B1655" i="10"/>
  <c r="A1655" i="10"/>
  <c r="N1654" i="10"/>
  <c r="M1654" i="10"/>
  <c r="L1654" i="10"/>
  <c r="K1654" i="10"/>
  <c r="J1654" i="10"/>
  <c r="O1654" i="10" s="1"/>
  <c r="I1654" i="10"/>
  <c r="H1654" i="10"/>
  <c r="G1654" i="10"/>
  <c r="F1654" i="10"/>
  <c r="Q1654" i="10" s="1"/>
  <c r="E1654" i="10"/>
  <c r="P1654" i="10" s="1"/>
  <c r="D1654" i="10"/>
  <c r="C1654" i="10"/>
  <c r="B1654" i="10"/>
  <c r="A1654" i="10"/>
  <c r="P1653" i="10"/>
  <c r="O1653" i="10"/>
  <c r="N1653" i="10"/>
  <c r="M1653" i="10"/>
  <c r="L1653" i="10"/>
  <c r="K1653" i="10"/>
  <c r="J1653" i="10"/>
  <c r="I1653" i="10"/>
  <c r="H1653" i="10"/>
  <c r="G1653" i="10"/>
  <c r="F1653" i="10"/>
  <c r="Q1653" i="10" s="1"/>
  <c r="E1653" i="10"/>
  <c r="D1653" i="10"/>
  <c r="C1653" i="10"/>
  <c r="B1653" i="10"/>
  <c r="A1653" i="10"/>
  <c r="N1652" i="10"/>
  <c r="M1652" i="10"/>
  <c r="L1652" i="10"/>
  <c r="K1652" i="10"/>
  <c r="J1652" i="10"/>
  <c r="O1652" i="10" s="1"/>
  <c r="I1652" i="10"/>
  <c r="H1652" i="10"/>
  <c r="G1652" i="10"/>
  <c r="F1652" i="10"/>
  <c r="Q1652" i="10" s="1"/>
  <c r="E1652" i="10"/>
  <c r="P1652" i="10" s="1"/>
  <c r="D1652" i="10"/>
  <c r="C1652" i="10"/>
  <c r="B1652" i="10"/>
  <c r="A1652" i="10"/>
  <c r="P1651" i="10"/>
  <c r="O1651" i="10"/>
  <c r="N1651" i="10"/>
  <c r="M1651" i="10"/>
  <c r="L1651" i="10"/>
  <c r="K1651" i="10"/>
  <c r="J1651" i="10"/>
  <c r="I1651" i="10"/>
  <c r="H1651" i="10"/>
  <c r="G1651" i="10"/>
  <c r="F1651" i="10"/>
  <c r="Q1651" i="10" s="1"/>
  <c r="E1651" i="10"/>
  <c r="D1651" i="10"/>
  <c r="C1651" i="10"/>
  <c r="B1651" i="10"/>
  <c r="A1651" i="10"/>
  <c r="N1650" i="10"/>
  <c r="M1650" i="10"/>
  <c r="L1650" i="10"/>
  <c r="K1650" i="10"/>
  <c r="J1650" i="10"/>
  <c r="O1650" i="10" s="1"/>
  <c r="I1650" i="10"/>
  <c r="H1650" i="10"/>
  <c r="G1650" i="10"/>
  <c r="F1650" i="10"/>
  <c r="Q1650" i="10" s="1"/>
  <c r="E1650" i="10"/>
  <c r="P1650" i="10" s="1"/>
  <c r="D1650" i="10"/>
  <c r="C1650" i="10"/>
  <c r="B1650" i="10"/>
  <c r="A1650" i="10"/>
  <c r="P1649" i="10"/>
  <c r="O1649" i="10"/>
  <c r="N1649" i="10"/>
  <c r="M1649" i="10"/>
  <c r="L1649" i="10"/>
  <c r="K1649" i="10"/>
  <c r="J1649" i="10"/>
  <c r="I1649" i="10"/>
  <c r="H1649" i="10"/>
  <c r="G1649" i="10"/>
  <c r="F1649" i="10"/>
  <c r="Q1649" i="10" s="1"/>
  <c r="E1649" i="10"/>
  <c r="D1649" i="10"/>
  <c r="C1649" i="10"/>
  <c r="B1649" i="10"/>
  <c r="A1649" i="10"/>
  <c r="N1648" i="10"/>
  <c r="M1648" i="10"/>
  <c r="L1648" i="10"/>
  <c r="K1648" i="10"/>
  <c r="J1648" i="10"/>
  <c r="O1648" i="10" s="1"/>
  <c r="I1648" i="10"/>
  <c r="H1648" i="10"/>
  <c r="G1648" i="10"/>
  <c r="F1648" i="10"/>
  <c r="Q1648" i="10" s="1"/>
  <c r="E1648" i="10"/>
  <c r="P1648" i="10" s="1"/>
  <c r="D1648" i="10"/>
  <c r="C1648" i="10"/>
  <c r="B1648" i="10"/>
  <c r="A1648" i="10"/>
  <c r="P1647" i="10"/>
  <c r="O1647" i="10"/>
  <c r="N1647" i="10"/>
  <c r="M1647" i="10"/>
  <c r="L1647" i="10"/>
  <c r="K1647" i="10"/>
  <c r="J1647" i="10"/>
  <c r="I1647" i="10"/>
  <c r="H1647" i="10"/>
  <c r="G1647" i="10"/>
  <c r="F1647" i="10"/>
  <c r="Q1647" i="10" s="1"/>
  <c r="E1647" i="10"/>
  <c r="D1647" i="10"/>
  <c r="C1647" i="10"/>
  <c r="B1647" i="10"/>
  <c r="A1647" i="10"/>
  <c r="N1646" i="10"/>
  <c r="M1646" i="10"/>
  <c r="L1646" i="10"/>
  <c r="K1646" i="10"/>
  <c r="J1646" i="10"/>
  <c r="O1646" i="10" s="1"/>
  <c r="I1646" i="10"/>
  <c r="H1646" i="10"/>
  <c r="G1646" i="10"/>
  <c r="F1646" i="10"/>
  <c r="Q1646" i="10" s="1"/>
  <c r="E1646" i="10"/>
  <c r="P1646" i="10" s="1"/>
  <c r="D1646" i="10"/>
  <c r="C1646" i="10"/>
  <c r="B1646" i="10"/>
  <c r="A1646" i="10"/>
  <c r="P1645" i="10"/>
  <c r="O1645" i="10"/>
  <c r="N1645" i="10"/>
  <c r="M1645" i="10"/>
  <c r="L1645" i="10"/>
  <c r="K1645" i="10"/>
  <c r="J1645" i="10"/>
  <c r="I1645" i="10"/>
  <c r="H1645" i="10"/>
  <c r="G1645" i="10"/>
  <c r="F1645" i="10"/>
  <c r="Q1645" i="10" s="1"/>
  <c r="E1645" i="10"/>
  <c r="D1645" i="10"/>
  <c r="C1645" i="10"/>
  <c r="B1645" i="10"/>
  <c r="A1645" i="10"/>
  <c r="N1644" i="10"/>
  <c r="M1644" i="10"/>
  <c r="L1644" i="10"/>
  <c r="K1644" i="10"/>
  <c r="J1644" i="10"/>
  <c r="O1644" i="10" s="1"/>
  <c r="I1644" i="10"/>
  <c r="H1644" i="10"/>
  <c r="G1644" i="10"/>
  <c r="F1644" i="10"/>
  <c r="Q1644" i="10" s="1"/>
  <c r="E1644" i="10"/>
  <c r="P1644" i="10" s="1"/>
  <c r="D1644" i="10"/>
  <c r="C1644" i="10"/>
  <c r="B1644" i="10"/>
  <c r="A1644" i="10"/>
  <c r="P1643" i="10"/>
  <c r="O1643" i="10"/>
  <c r="N1643" i="10"/>
  <c r="M1643" i="10"/>
  <c r="L1643" i="10"/>
  <c r="K1643" i="10"/>
  <c r="J1643" i="10"/>
  <c r="I1643" i="10"/>
  <c r="H1643" i="10"/>
  <c r="G1643" i="10"/>
  <c r="F1643" i="10"/>
  <c r="Q1643" i="10" s="1"/>
  <c r="E1643" i="10"/>
  <c r="D1643" i="10"/>
  <c r="C1643" i="10"/>
  <c r="B1643" i="10"/>
  <c r="A1643" i="10"/>
  <c r="N1642" i="10"/>
  <c r="M1642" i="10"/>
  <c r="L1642" i="10"/>
  <c r="K1642" i="10"/>
  <c r="J1642" i="10"/>
  <c r="O1642" i="10" s="1"/>
  <c r="I1642" i="10"/>
  <c r="H1642" i="10"/>
  <c r="G1642" i="10"/>
  <c r="F1642" i="10"/>
  <c r="Q1642" i="10" s="1"/>
  <c r="E1642" i="10"/>
  <c r="P1642" i="10" s="1"/>
  <c r="D1642" i="10"/>
  <c r="C1642" i="10"/>
  <c r="B1642" i="10"/>
  <c r="A1642" i="10"/>
  <c r="P1641" i="10"/>
  <c r="O1641" i="10"/>
  <c r="N1641" i="10"/>
  <c r="M1641" i="10"/>
  <c r="L1641" i="10"/>
  <c r="K1641" i="10"/>
  <c r="J1641" i="10"/>
  <c r="I1641" i="10"/>
  <c r="H1641" i="10"/>
  <c r="G1641" i="10"/>
  <c r="F1641" i="10"/>
  <c r="Q1641" i="10" s="1"/>
  <c r="E1641" i="10"/>
  <c r="D1641" i="10"/>
  <c r="C1641" i="10"/>
  <c r="B1641" i="10"/>
  <c r="A1641" i="10"/>
  <c r="N1640" i="10"/>
  <c r="M1640" i="10"/>
  <c r="L1640" i="10"/>
  <c r="K1640" i="10"/>
  <c r="J1640" i="10"/>
  <c r="O1640" i="10" s="1"/>
  <c r="I1640" i="10"/>
  <c r="H1640" i="10"/>
  <c r="G1640" i="10"/>
  <c r="F1640" i="10"/>
  <c r="Q1640" i="10" s="1"/>
  <c r="E1640" i="10"/>
  <c r="P1640" i="10" s="1"/>
  <c r="D1640" i="10"/>
  <c r="C1640" i="10"/>
  <c r="B1640" i="10"/>
  <c r="A1640" i="10"/>
  <c r="P1639" i="10"/>
  <c r="O1639" i="10"/>
  <c r="N1639" i="10"/>
  <c r="M1639" i="10"/>
  <c r="L1639" i="10"/>
  <c r="K1639" i="10"/>
  <c r="J1639" i="10"/>
  <c r="I1639" i="10"/>
  <c r="H1639" i="10"/>
  <c r="G1639" i="10"/>
  <c r="F1639" i="10"/>
  <c r="Q1639" i="10" s="1"/>
  <c r="E1639" i="10"/>
  <c r="D1639" i="10"/>
  <c r="C1639" i="10"/>
  <c r="B1639" i="10"/>
  <c r="A1639" i="10"/>
  <c r="N1638" i="10"/>
  <c r="M1638" i="10"/>
  <c r="L1638" i="10"/>
  <c r="K1638" i="10"/>
  <c r="J1638" i="10"/>
  <c r="O1638" i="10" s="1"/>
  <c r="I1638" i="10"/>
  <c r="H1638" i="10"/>
  <c r="G1638" i="10"/>
  <c r="F1638" i="10"/>
  <c r="Q1638" i="10" s="1"/>
  <c r="E1638" i="10"/>
  <c r="P1638" i="10" s="1"/>
  <c r="D1638" i="10"/>
  <c r="C1638" i="10"/>
  <c r="B1638" i="10"/>
  <c r="A1638" i="10"/>
  <c r="P1637" i="10"/>
  <c r="O1637" i="10"/>
  <c r="N1637" i="10"/>
  <c r="M1637" i="10"/>
  <c r="L1637" i="10"/>
  <c r="K1637" i="10"/>
  <c r="J1637" i="10"/>
  <c r="I1637" i="10"/>
  <c r="H1637" i="10"/>
  <c r="G1637" i="10"/>
  <c r="F1637" i="10"/>
  <c r="Q1637" i="10" s="1"/>
  <c r="E1637" i="10"/>
  <c r="D1637" i="10"/>
  <c r="C1637" i="10"/>
  <c r="B1637" i="10"/>
  <c r="A1637" i="10"/>
  <c r="N1636" i="10"/>
  <c r="M1636" i="10"/>
  <c r="L1636" i="10"/>
  <c r="K1636" i="10"/>
  <c r="J1636" i="10"/>
  <c r="O1636" i="10" s="1"/>
  <c r="I1636" i="10"/>
  <c r="H1636" i="10"/>
  <c r="G1636" i="10"/>
  <c r="F1636" i="10"/>
  <c r="Q1636" i="10" s="1"/>
  <c r="E1636" i="10"/>
  <c r="P1636" i="10" s="1"/>
  <c r="D1636" i="10"/>
  <c r="C1636" i="10"/>
  <c r="B1636" i="10"/>
  <c r="A1636" i="10"/>
  <c r="P1635" i="10"/>
  <c r="O1635" i="10"/>
  <c r="N1635" i="10"/>
  <c r="M1635" i="10"/>
  <c r="L1635" i="10"/>
  <c r="K1635" i="10"/>
  <c r="J1635" i="10"/>
  <c r="I1635" i="10"/>
  <c r="H1635" i="10"/>
  <c r="G1635" i="10"/>
  <c r="F1635" i="10"/>
  <c r="Q1635" i="10" s="1"/>
  <c r="E1635" i="10"/>
  <c r="D1635" i="10"/>
  <c r="C1635" i="10"/>
  <c r="B1635" i="10"/>
  <c r="A1635" i="10"/>
  <c r="N1634" i="10"/>
  <c r="M1634" i="10"/>
  <c r="L1634" i="10"/>
  <c r="K1634" i="10"/>
  <c r="J1634" i="10"/>
  <c r="O1634" i="10" s="1"/>
  <c r="I1634" i="10"/>
  <c r="H1634" i="10"/>
  <c r="G1634" i="10"/>
  <c r="F1634" i="10"/>
  <c r="Q1634" i="10" s="1"/>
  <c r="E1634" i="10"/>
  <c r="P1634" i="10" s="1"/>
  <c r="D1634" i="10"/>
  <c r="C1634" i="10"/>
  <c r="B1634" i="10"/>
  <c r="A1634" i="10"/>
  <c r="P1633" i="10"/>
  <c r="O1633" i="10"/>
  <c r="N1633" i="10"/>
  <c r="M1633" i="10"/>
  <c r="L1633" i="10"/>
  <c r="K1633" i="10"/>
  <c r="J1633" i="10"/>
  <c r="I1633" i="10"/>
  <c r="H1633" i="10"/>
  <c r="G1633" i="10"/>
  <c r="F1633" i="10"/>
  <c r="Q1633" i="10" s="1"/>
  <c r="E1633" i="10"/>
  <c r="D1633" i="10"/>
  <c r="C1633" i="10"/>
  <c r="B1633" i="10"/>
  <c r="A1633" i="10"/>
  <c r="N1632" i="10"/>
  <c r="M1632" i="10"/>
  <c r="L1632" i="10"/>
  <c r="K1632" i="10"/>
  <c r="J1632" i="10"/>
  <c r="O1632" i="10" s="1"/>
  <c r="I1632" i="10"/>
  <c r="H1632" i="10"/>
  <c r="G1632" i="10"/>
  <c r="F1632" i="10"/>
  <c r="Q1632" i="10" s="1"/>
  <c r="E1632" i="10"/>
  <c r="P1632" i="10" s="1"/>
  <c r="D1632" i="10"/>
  <c r="C1632" i="10"/>
  <c r="B1632" i="10"/>
  <c r="A1632" i="10"/>
  <c r="P1631" i="10"/>
  <c r="O1631" i="10"/>
  <c r="N1631" i="10"/>
  <c r="M1631" i="10"/>
  <c r="L1631" i="10"/>
  <c r="K1631" i="10"/>
  <c r="J1631" i="10"/>
  <c r="I1631" i="10"/>
  <c r="H1631" i="10"/>
  <c r="G1631" i="10"/>
  <c r="F1631" i="10"/>
  <c r="Q1631" i="10" s="1"/>
  <c r="E1631" i="10"/>
  <c r="D1631" i="10"/>
  <c r="C1631" i="10"/>
  <c r="B1631" i="10"/>
  <c r="A1631" i="10"/>
  <c r="N1630" i="10"/>
  <c r="M1630" i="10"/>
  <c r="L1630" i="10"/>
  <c r="K1630" i="10"/>
  <c r="J1630" i="10"/>
  <c r="O1630" i="10" s="1"/>
  <c r="I1630" i="10"/>
  <c r="H1630" i="10"/>
  <c r="G1630" i="10"/>
  <c r="F1630" i="10"/>
  <c r="Q1630" i="10" s="1"/>
  <c r="E1630" i="10"/>
  <c r="P1630" i="10" s="1"/>
  <c r="D1630" i="10"/>
  <c r="C1630" i="10"/>
  <c r="B1630" i="10"/>
  <c r="A1630" i="10"/>
  <c r="P1629" i="10"/>
  <c r="O1629" i="10"/>
  <c r="N1629" i="10"/>
  <c r="M1629" i="10"/>
  <c r="L1629" i="10"/>
  <c r="K1629" i="10"/>
  <c r="J1629" i="10"/>
  <c r="I1629" i="10"/>
  <c r="H1629" i="10"/>
  <c r="G1629" i="10"/>
  <c r="F1629" i="10"/>
  <c r="Q1629" i="10" s="1"/>
  <c r="E1629" i="10"/>
  <c r="D1629" i="10"/>
  <c r="C1629" i="10"/>
  <c r="B1629" i="10"/>
  <c r="A1629" i="10"/>
  <c r="N1628" i="10"/>
  <c r="M1628" i="10"/>
  <c r="L1628" i="10"/>
  <c r="K1628" i="10"/>
  <c r="J1628" i="10"/>
  <c r="O1628" i="10" s="1"/>
  <c r="I1628" i="10"/>
  <c r="H1628" i="10"/>
  <c r="G1628" i="10"/>
  <c r="F1628" i="10"/>
  <c r="Q1628" i="10" s="1"/>
  <c r="E1628" i="10"/>
  <c r="P1628" i="10" s="1"/>
  <c r="D1628" i="10"/>
  <c r="C1628" i="10"/>
  <c r="B1628" i="10"/>
  <c r="A1628" i="10"/>
  <c r="P1627" i="10"/>
  <c r="O1627" i="10"/>
  <c r="N1627" i="10"/>
  <c r="M1627" i="10"/>
  <c r="L1627" i="10"/>
  <c r="K1627" i="10"/>
  <c r="J1627" i="10"/>
  <c r="I1627" i="10"/>
  <c r="H1627" i="10"/>
  <c r="G1627" i="10"/>
  <c r="F1627" i="10"/>
  <c r="Q1627" i="10" s="1"/>
  <c r="E1627" i="10"/>
  <c r="D1627" i="10"/>
  <c r="C1627" i="10"/>
  <c r="B1627" i="10"/>
  <c r="A1627" i="10"/>
  <c r="R1626" i="10"/>
  <c r="N1626" i="10"/>
  <c r="M1626" i="10"/>
  <c r="L1626" i="10"/>
  <c r="K1626" i="10"/>
  <c r="J1626" i="10"/>
  <c r="O1626" i="10" s="1"/>
  <c r="I1626" i="10"/>
  <c r="H1626" i="10"/>
  <c r="G1626" i="10"/>
  <c r="F1626" i="10"/>
  <c r="Q1626" i="10" s="1"/>
  <c r="E1626" i="10"/>
  <c r="P1626" i="10" s="1"/>
  <c r="D1626" i="10"/>
  <c r="C1626" i="10"/>
  <c r="B1626" i="10"/>
  <c r="A1626" i="10"/>
  <c r="P1625" i="10"/>
  <c r="O1625" i="10"/>
  <c r="N1625" i="10"/>
  <c r="M1625" i="10"/>
  <c r="L1625" i="10"/>
  <c r="K1625" i="10"/>
  <c r="J1625" i="10"/>
  <c r="I1625" i="10"/>
  <c r="H1625" i="10"/>
  <c r="G1625" i="10"/>
  <c r="F1625" i="10"/>
  <c r="Q1625" i="10" s="1"/>
  <c r="E1625" i="10"/>
  <c r="D1625" i="10"/>
  <c r="C1625" i="10"/>
  <c r="B1625" i="10"/>
  <c r="A1625" i="10"/>
  <c r="Q1624" i="10"/>
  <c r="R1624" i="10" s="1"/>
  <c r="N1624" i="10"/>
  <c r="M1624" i="10"/>
  <c r="L1624" i="10"/>
  <c r="K1624" i="10"/>
  <c r="J1624" i="10"/>
  <c r="O1624" i="10" s="1"/>
  <c r="I1624" i="10"/>
  <c r="H1624" i="10"/>
  <c r="G1624" i="10"/>
  <c r="F1624" i="10"/>
  <c r="E1624" i="10"/>
  <c r="P1624" i="10" s="1"/>
  <c r="D1624" i="10"/>
  <c r="C1624" i="10"/>
  <c r="B1624" i="10"/>
  <c r="A1624" i="10"/>
  <c r="P1623" i="10"/>
  <c r="O1623" i="10"/>
  <c r="R1623" i="10" s="1"/>
  <c r="N1623" i="10"/>
  <c r="M1623" i="10"/>
  <c r="L1623" i="10"/>
  <c r="K1623" i="10"/>
  <c r="J1623" i="10"/>
  <c r="I1623" i="10"/>
  <c r="H1623" i="10"/>
  <c r="G1623" i="10"/>
  <c r="F1623" i="10"/>
  <c r="Q1623" i="10" s="1"/>
  <c r="E1623" i="10"/>
  <c r="D1623" i="10"/>
  <c r="C1623" i="10"/>
  <c r="B1623" i="10"/>
  <c r="A1623" i="10"/>
  <c r="Q1622" i="10"/>
  <c r="R1622" i="10" s="1"/>
  <c r="N1622" i="10"/>
  <c r="M1622" i="10"/>
  <c r="L1622" i="10"/>
  <c r="K1622" i="10"/>
  <c r="J1622" i="10"/>
  <c r="O1622" i="10" s="1"/>
  <c r="I1622" i="10"/>
  <c r="H1622" i="10"/>
  <c r="G1622" i="10"/>
  <c r="F1622" i="10"/>
  <c r="E1622" i="10"/>
  <c r="P1622" i="10" s="1"/>
  <c r="D1622" i="10"/>
  <c r="C1622" i="10"/>
  <c r="B1622" i="10"/>
  <c r="A1622" i="10"/>
  <c r="P1621" i="10"/>
  <c r="O1621" i="10"/>
  <c r="R1621" i="10" s="1"/>
  <c r="N1621" i="10"/>
  <c r="M1621" i="10"/>
  <c r="L1621" i="10"/>
  <c r="K1621" i="10"/>
  <c r="J1621" i="10"/>
  <c r="I1621" i="10"/>
  <c r="H1621" i="10"/>
  <c r="G1621" i="10"/>
  <c r="F1621" i="10"/>
  <c r="Q1621" i="10" s="1"/>
  <c r="E1621" i="10"/>
  <c r="D1621" i="10"/>
  <c r="C1621" i="10"/>
  <c r="B1621" i="10"/>
  <c r="A1621" i="10"/>
  <c r="Q1620" i="10"/>
  <c r="R1620" i="10" s="1"/>
  <c r="N1620" i="10"/>
  <c r="M1620" i="10"/>
  <c r="L1620" i="10"/>
  <c r="K1620" i="10"/>
  <c r="J1620" i="10"/>
  <c r="O1620" i="10" s="1"/>
  <c r="I1620" i="10"/>
  <c r="H1620" i="10"/>
  <c r="G1620" i="10"/>
  <c r="F1620" i="10"/>
  <c r="E1620" i="10"/>
  <c r="P1620" i="10" s="1"/>
  <c r="D1620" i="10"/>
  <c r="C1620" i="10"/>
  <c r="B1620" i="10"/>
  <c r="A1620" i="10"/>
  <c r="P1619" i="10"/>
  <c r="O1619" i="10"/>
  <c r="R1619" i="10" s="1"/>
  <c r="N1619" i="10"/>
  <c r="M1619" i="10"/>
  <c r="L1619" i="10"/>
  <c r="K1619" i="10"/>
  <c r="J1619" i="10"/>
  <c r="I1619" i="10"/>
  <c r="H1619" i="10"/>
  <c r="G1619" i="10"/>
  <c r="F1619" i="10"/>
  <c r="Q1619" i="10" s="1"/>
  <c r="E1619" i="10"/>
  <c r="D1619" i="10"/>
  <c r="C1619" i="10"/>
  <c r="B1619" i="10"/>
  <c r="A1619" i="10"/>
  <c r="Q1618" i="10"/>
  <c r="R1618" i="10" s="1"/>
  <c r="N1618" i="10"/>
  <c r="M1618" i="10"/>
  <c r="L1618" i="10"/>
  <c r="K1618" i="10"/>
  <c r="J1618" i="10"/>
  <c r="O1618" i="10" s="1"/>
  <c r="I1618" i="10"/>
  <c r="H1618" i="10"/>
  <c r="G1618" i="10"/>
  <c r="F1618" i="10"/>
  <c r="E1618" i="10"/>
  <c r="P1618" i="10" s="1"/>
  <c r="D1618" i="10"/>
  <c r="C1618" i="10"/>
  <c r="B1618" i="10"/>
  <c r="A1618" i="10"/>
  <c r="P1617" i="10"/>
  <c r="O1617" i="10"/>
  <c r="R1617" i="10" s="1"/>
  <c r="N1617" i="10"/>
  <c r="M1617" i="10"/>
  <c r="L1617" i="10"/>
  <c r="K1617" i="10"/>
  <c r="J1617" i="10"/>
  <c r="I1617" i="10"/>
  <c r="H1617" i="10"/>
  <c r="G1617" i="10"/>
  <c r="F1617" i="10"/>
  <c r="Q1617" i="10" s="1"/>
  <c r="E1617" i="10"/>
  <c r="D1617" i="10"/>
  <c r="C1617" i="10"/>
  <c r="B1617" i="10"/>
  <c r="A1617" i="10"/>
  <c r="Q1616" i="10"/>
  <c r="R1616" i="10" s="1"/>
  <c r="N1616" i="10"/>
  <c r="M1616" i="10"/>
  <c r="L1616" i="10"/>
  <c r="K1616" i="10"/>
  <c r="J1616" i="10"/>
  <c r="O1616" i="10" s="1"/>
  <c r="I1616" i="10"/>
  <c r="H1616" i="10"/>
  <c r="G1616" i="10"/>
  <c r="F1616" i="10"/>
  <c r="E1616" i="10"/>
  <c r="P1616" i="10" s="1"/>
  <c r="D1616" i="10"/>
  <c r="C1616" i="10"/>
  <c r="B1616" i="10"/>
  <c r="A1616" i="10"/>
  <c r="P1615" i="10"/>
  <c r="O1615" i="10"/>
  <c r="R1615" i="10" s="1"/>
  <c r="N1615" i="10"/>
  <c r="M1615" i="10"/>
  <c r="L1615" i="10"/>
  <c r="K1615" i="10"/>
  <c r="J1615" i="10"/>
  <c r="I1615" i="10"/>
  <c r="H1615" i="10"/>
  <c r="G1615" i="10"/>
  <c r="F1615" i="10"/>
  <c r="Q1615" i="10" s="1"/>
  <c r="E1615" i="10"/>
  <c r="D1615" i="10"/>
  <c r="C1615" i="10"/>
  <c r="B1615" i="10"/>
  <c r="A1615" i="10"/>
  <c r="Q1614" i="10"/>
  <c r="R1614" i="10" s="1"/>
  <c r="N1614" i="10"/>
  <c r="M1614" i="10"/>
  <c r="L1614" i="10"/>
  <c r="K1614" i="10"/>
  <c r="J1614" i="10"/>
  <c r="O1614" i="10" s="1"/>
  <c r="I1614" i="10"/>
  <c r="H1614" i="10"/>
  <c r="G1614" i="10"/>
  <c r="F1614" i="10"/>
  <c r="E1614" i="10"/>
  <c r="P1614" i="10" s="1"/>
  <c r="D1614" i="10"/>
  <c r="C1614" i="10"/>
  <c r="B1614" i="10"/>
  <c r="A1614" i="10"/>
  <c r="P1613" i="10"/>
  <c r="O1613" i="10"/>
  <c r="R1613" i="10" s="1"/>
  <c r="N1613" i="10"/>
  <c r="M1613" i="10"/>
  <c r="L1613" i="10"/>
  <c r="K1613" i="10"/>
  <c r="J1613" i="10"/>
  <c r="I1613" i="10"/>
  <c r="H1613" i="10"/>
  <c r="G1613" i="10"/>
  <c r="F1613" i="10"/>
  <c r="Q1613" i="10" s="1"/>
  <c r="E1613" i="10"/>
  <c r="D1613" i="10"/>
  <c r="C1613" i="10"/>
  <c r="B1613" i="10"/>
  <c r="A1613" i="10"/>
  <c r="Q1612" i="10"/>
  <c r="R1612" i="10" s="1"/>
  <c r="N1612" i="10"/>
  <c r="M1612" i="10"/>
  <c r="L1612" i="10"/>
  <c r="K1612" i="10"/>
  <c r="J1612" i="10"/>
  <c r="O1612" i="10" s="1"/>
  <c r="I1612" i="10"/>
  <c r="H1612" i="10"/>
  <c r="G1612" i="10"/>
  <c r="F1612" i="10"/>
  <c r="E1612" i="10"/>
  <c r="P1612" i="10" s="1"/>
  <c r="D1612" i="10"/>
  <c r="C1612" i="10"/>
  <c r="B1612" i="10"/>
  <c r="A1612" i="10"/>
  <c r="P1611" i="10"/>
  <c r="O1611" i="10"/>
  <c r="R1611" i="10" s="1"/>
  <c r="N1611" i="10"/>
  <c r="M1611" i="10"/>
  <c r="L1611" i="10"/>
  <c r="K1611" i="10"/>
  <c r="J1611" i="10"/>
  <c r="I1611" i="10"/>
  <c r="H1611" i="10"/>
  <c r="G1611" i="10"/>
  <c r="F1611" i="10"/>
  <c r="Q1611" i="10" s="1"/>
  <c r="E1611" i="10"/>
  <c r="D1611" i="10"/>
  <c r="C1611" i="10"/>
  <c r="B1611" i="10"/>
  <c r="A1611" i="10"/>
  <c r="Q1610" i="10"/>
  <c r="R1610" i="10" s="1"/>
  <c r="N1610" i="10"/>
  <c r="M1610" i="10"/>
  <c r="L1610" i="10"/>
  <c r="K1610" i="10"/>
  <c r="J1610" i="10"/>
  <c r="O1610" i="10" s="1"/>
  <c r="I1610" i="10"/>
  <c r="H1610" i="10"/>
  <c r="G1610" i="10"/>
  <c r="F1610" i="10"/>
  <c r="E1610" i="10"/>
  <c r="P1610" i="10" s="1"/>
  <c r="D1610" i="10"/>
  <c r="C1610" i="10"/>
  <c r="B1610" i="10"/>
  <c r="A1610" i="10"/>
  <c r="P1609" i="10"/>
  <c r="O1609" i="10"/>
  <c r="R1609" i="10" s="1"/>
  <c r="N1609" i="10"/>
  <c r="M1609" i="10"/>
  <c r="L1609" i="10"/>
  <c r="K1609" i="10"/>
  <c r="J1609" i="10"/>
  <c r="I1609" i="10"/>
  <c r="H1609" i="10"/>
  <c r="G1609" i="10"/>
  <c r="F1609" i="10"/>
  <c r="Q1609" i="10" s="1"/>
  <c r="E1609" i="10"/>
  <c r="D1609" i="10"/>
  <c r="C1609" i="10"/>
  <c r="B1609" i="10"/>
  <c r="A1609" i="10"/>
  <c r="Q1608" i="10"/>
  <c r="R1608" i="10" s="1"/>
  <c r="N1608" i="10"/>
  <c r="M1608" i="10"/>
  <c r="L1608" i="10"/>
  <c r="K1608" i="10"/>
  <c r="J1608" i="10"/>
  <c r="O1608" i="10" s="1"/>
  <c r="I1608" i="10"/>
  <c r="H1608" i="10"/>
  <c r="G1608" i="10"/>
  <c r="F1608" i="10"/>
  <c r="E1608" i="10"/>
  <c r="P1608" i="10" s="1"/>
  <c r="D1608" i="10"/>
  <c r="C1608" i="10"/>
  <c r="B1608" i="10"/>
  <c r="A1608" i="10"/>
  <c r="P1607" i="10"/>
  <c r="O1607" i="10"/>
  <c r="R1607" i="10" s="1"/>
  <c r="N1607" i="10"/>
  <c r="M1607" i="10"/>
  <c r="L1607" i="10"/>
  <c r="K1607" i="10"/>
  <c r="J1607" i="10"/>
  <c r="I1607" i="10"/>
  <c r="H1607" i="10"/>
  <c r="G1607" i="10"/>
  <c r="F1607" i="10"/>
  <c r="Q1607" i="10" s="1"/>
  <c r="E1607" i="10"/>
  <c r="D1607" i="10"/>
  <c r="C1607" i="10"/>
  <c r="B1607" i="10"/>
  <c r="A1607" i="10"/>
  <c r="Q1606" i="10"/>
  <c r="R1606" i="10" s="1"/>
  <c r="N1606" i="10"/>
  <c r="M1606" i="10"/>
  <c r="L1606" i="10"/>
  <c r="K1606" i="10"/>
  <c r="J1606" i="10"/>
  <c r="O1606" i="10" s="1"/>
  <c r="I1606" i="10"/>
  <c r="H1606" i="10"/>
  <c r="G1606" i="10"/>
  <c r="F1606" i="10"/>
  <c r="E1606" i="10"/>
  <c r="P1606" i="10" s="1"/>
  <c r="D1606" i="10"/>
  <c r="C1606" i="10"/>
  <c r="B1606" i="10"/>
  <c r="A1606" i="10"/>
  <c r="P1605" i="10"/>
  <c r="O1605" i="10"/>
  <c r="R1605" i="10" s="1"/>
  <c r="N1605" i="10"/>
  <c r="M1605" i="10"/>
  <c r="L1605" i="10"/>
  <c r="K1605" i="10"/>
  <c r="J1605" i="10"/>
  <c r="I1605" i="10"/>
  <c r="H1605" i="10"/>
  <c r="G1605" i="10"/>
  <c r="F1605" i="10"/>
  <c r="Q1605" i="10" s="1"/>
  <c r="E1605" i="10"/>
  <c r="D1605" i="10"/>
  <c r="C1605" i="10"/>
  <c r="B1605" i="10"/>
  <c r="A1605" i="10"/>
  <c r="Q1604" i="10"/>
  <c r="R1604" i="10" s="1"/>
  <c r="N1604" i="10"/>
  <c r="M1604" i="10"/>
  <c r="L1604" i="10"/>
  <c r="K1604" i="10"/>
  <c r="J1604" i="10"/>
  <c r="O1604" i="10" s="1"/>
  <c r="I1604" i="10"/>
  <c r="H1604" i="10"/>
  <c r="G1604" i="10"/>
  <c r="F1604" i="10"/>
  <c r="E1604" i="10"/>
  <c r="P1604" i="10" s="1"/>
  <c r="D1604" i="10"/>
  <c r="C1604" i="10"/>
  <c r="B1604" i="10"/>
  <c r="A1604" i="10"/>
  <c r="P1603" i="10"/>
  <c r="O1603" i="10"/>
  <c r="R1603" i="10" s="1"/>
  <c r="N1603" i="10"/>
  <c r="M1603" i="10"/>
  <c r="L1603" i="10"/>
  <c r="K1603" i="10"/>
  <c r="J1603" i="10"/>
  <c r="I1603" i="10"/>
  <c r="H1603" i="10"/>
  <c r="G1603" i="10"/>
  <c r="F1603" i="10"/>
  <c r="Q1603" i="10" s="1"/>
  <c r="E1603" i="10"/>
  <c r="D1603" i="10"/>
  <c r="C1603" i="10"/>
  <c r="B1603" i="10"/>
  <c r="A1603" i="10"/>
  <c r="Q1602" i="10"/>
  <c r="R1602" i="10" s="1"/>
  <c r="N1602" i="10"/>
  <c r="M1602" i="10"/>
  <c r="L1602" i="10"/>
  <c r="K1602" i="10"/>
  <c r="J1602" i="10"/>
  <c r="O1602" i="10" s="1"/>
  <c r="I1602" i="10"/>
  <c r="H1602" i="10"/>
  <c r="G1602" i="10"/>
  <c r="F1602" i="10"/>
  <c r="E1602" i="10"/>
  <c r="P1602" i="10" s="1"/>
  <c r="D1602" i="10"/>
  <c r="C1602" i="10"/>
  <c r="B1602" i="10"/>
  <c r="A1602" i="10"/>
  <c r="P1601" i="10"/>
  <c r="O1601" i="10"/>
  <c r="R1601" i="10" s="1"/>
  <c r="N1601" i="10"/>
  <c r="M1601" i="10"/>
  <c r="L1601" i="10"/>
  <c r="K1601" i="10"/>
  <c r="J1601" i="10"/>
  <c r="I1601" i="10"/>
  <c r="H1601" i="10"/>
  <c r="G1601" i="10"/>
  <c r="F1601" i="10"/>
  <c r="Q1601" i="10" s="1"/>
  <c r="E1601" i="10"/>
  <c r="D1601" i="10"/>
  <c r="C1601" i="10"/>
  <c r="B1601" i="10"/>
  <c r="A1601" i="10"/>
  <c r="Q1600" i="10"/>
  <c r="R1600" i="10" s="1"/>
  <c r="N1600" i="10"/>
  <c r="M1600" i="10"/>
  <c r="L1600" i="10"/>
  <c r="K1600" i="10"/>
  <c r="J1600" i="10"/>
  <c r="O1600" i="10" s="1"/>
  <c r="I1600" i="10"/>
  <c r="H1600" i="10"/>
  <c r="G1600" i="10"/>
  <c r="F1600" i="10"/>
  <c r="E1600" i="10"/>
  <c r="P1600" i="10" s="1"/>
  <c r="D1600" i="10"/>
  <c r="C1600" i="10"/>
  <c r="B1600" i="10"/>
  <c r="A1600" i="10"/>
  <c r="P1599" i="10"/>
  <c r="O1599" i="10"/>
  <c r="R1599" i="10" s="1"/>
  <c r="N1599" i="10"/>
  <c r="M1599" i="10"/>
  <c r="L1599" i="10"/>
  <c r="K1599" i="10"/>
  <c r="J1599" i="10"/>
  <c r="I1599" i="10"/>
  <c r="H1599" i="10"/>
  <c r="G1599" i="10"/>
  <c r="F1599" i="10"/>
  <c r="Q1599" i="10" s="1"/>
  <c r="E1599" i="10"/>
  <c r="D1599" i="10"/>
  <c r="C1599" i="10"/>
  <c r="B1599" i="10"/>
  <c r="A1599" i="10"/>
  <c r="Q1598" i="10"/>
  <c r="R1598" i="10" s="1"/>
  <c r="N1598" i="10"/>
  <c r="M1598" i="10"/>
  <c r="L1598" i="10"/>
  <c r="K1598" i="10"/>
  <c r="J1598" i="10"/>
  <c r="O1598" i="10" s="1"/>
  <c r="I1598" i="10"/>
  <c r="H1598" i="10"/>
  <c r="G1598" i="10"/>
  <c r="F1598" i="10"/>
  <c r="E1598" i="10"/>
  <c r="P1598" i="10" s="1"/>
  <c r="D1598" i="10"/>
  <c r="C1598" i="10"/>
  <c r="B1598" i="10"/>
  <c r="A1598" i="10"/>
  <c r="P1597" i="10"/>
  <c r="O1597" i="10"/>
  <c r="R1597" i="10" s="1"/>
  <c r="N1597" i="10"/>
  <c r="M1597" i="10"/>
  <c r="L1597" i="10"/>
  <c r="K1597" i="10"/>
  <c r="J1597" i="10"/>
  <c r="I1597" i="10"/>
  <c r="H1597" i="10"/>
  <c r="G1597" i="10"/>
  <c r="F1597" i="10"/>
  <c r="Q1597" i="10" s="1"/>
  <c r="E1597" i="10"/>
  <c r="D1597" i="10"/>
  <c r="C1597" i="10"/>
  <c r="B1597" i="10"/>
  <c r="A1597" i="10"/>
  <c r="Q1596" i="10"/>
  <c r="R1596" i="10" s="1"/>
  <c r="N1596" i="10"/>
  <c r="M1596" i="10"/>
  <c r="L1596" i="10"/>
  <c r="K1596" i="10"/>
  <c r="J1596" i="10"/>
  <c r="O1596" i="10" s="1"/>
  <c r="I1596" i="10"/>
  <c r="H1596" i="10"/>
  <c r="G1596" i="10"/>
  <c r="F1596" i="10"/>
  <c r="E1596" i="10"/>
  <c r="P1596" i="10" s="1"/>
  <c r="D1596" i="10"/>
  <c r="C1596" i="10"/>
  <c r="B1596" i="10"/>
  <c r="A1596" i="10"/>
  <c r="P1595" i="10"/>
  <c r="O1595" i="10"/>
  <c r="R1595" i="10" s="1"/>
  <c r="N1595" i="10"/>
  <c r="M1595" i="10"/>
  <c r="L1595" i="10"/>
  <c r="K1595" i="10"/>
  <c r="J1595" i="10"/>
  <c r="I1595" i="10"/>
  <c r="H1595" i="10"/>
  <c r="G1595" i="10"/>
  <c r="F1595" i="10"/>
  <c r="Q1595" i="10" s="1"/>
  <c r="E1595" i="10"/>
  <c r="D1595" i="10"/>
  <c r="C1595" i="10"/>
  <c r="B1595" i="10"/>
  <c r="A1595" i="10"/>
  <c r="Q1594" i="10"/>
  <c r="R1594" i="10" s="1"/>
  <c r="N1594" i="10"/>
  <c r="M1594" i="10"/>
  <c r="L1594" i="10"/>
  <c r="K1594" i="10"/>
  <c r="J1594" i="10"/>
  <c r="O1594" i="10" s="1"/>
  <c r="I1594" i="10"/>
  <c r="H1594" i="10"/>
  <c r="G1594" i="10"/>
  <c r="F1594" i="10"/>
  <c r="E1594" i="10"/>
  <c r="P1594" i="10" s="1"/>
  <c r="D1594" i="10"/>
  <c r="C1594" i="10"/>
  <c r="B1594" i="10"/>
  <c r="A1594" i="10"/>
  <c r="P1593" i="10"/>
  <c r="O1593" i="10"/>
  <c r="R1593" i="10" s="1"/>
  <c r="N1593" i="10"/>
  <c r="M1593" i="10"/>
  <c r="L1593" i="10"/>
  <c r="K1593" i="10"/>
  <c r="J1593" i="10"/>
  <c r="I1593" i="10"/>
  <c r="H1593" i="10"/>
  <c r="G1593" i="10"/>
  <c r="F1593" i="10"/>
  <c r="Q1593" i="10" s="1"/>
  <c r="E1593" i="10"/>
  <c r="D1593" i="10"/>
  <c r="C1593" i="10"/>
  <c r="B1593" i="10"/>
  <c r="A1593" i="10"/>
  <c r="Q1592" i="10"/>
  <c r="R1592" i="10" s="1"/>
  <c r="N1592" i="10"/>
  <c r="M1592" i="10"/>
  <c r="L1592" i="10"/>
  <c r="K1592" i="10"/>
  <c r="J1592" i="10"/>
  <c r="O1592" i="10" s="1"/>
  <c r="I1592" i="10"/>
  <c r="H1592" i="10"/>
  <c r="G1592" i="10"/>
  <c r="F1592" i="10"/>
  <c r="E1592" i="10"/>
  <c r="P1592" i="10" s="1"/>
  <c r="D1592" i="10"/>
  <c r="C1592" i="10"/>
  <c r="B1592" i="10"/>
  <c r="A1592" i="10"/>
  <c r="P1591" i="10"/>
  <c r="O1591" i="10"/>
  <c r="R1591" i="10" s="1"/>
  <c r="N1591" i="10"/>
  <c r="M1591" i="10"/>
  <c r="L1591" i="10"/>
  <c r="K1591" i="10"/>
  <c r="J1591" i="10"/>
  <c r="I1591" i="10"/>
  <c r="H1591" i="10"/>
  <c r="G1591" i="10"/>
  <c r="F1591" i="10"/>
  <c r="Q1591" i="10" s="1"/>
  <c r="E1591" i="10"/>
  <c r="D1591" i="10"/>
  <c r="C1591" i="10"/>
  <c r="B1591" i="10"/>
  <c r="A1591" i="10"/>
  <c r="Q1590" i="10"/>
  <c r="R1590" i="10" s="1"/>
  <c r="N1590" i="10"/>
  <c r="M1590" i="10"/>
  <c r="L1590" i="10"/>
  <c r="K1590" i="10"/>
  <c r="J1590" i="10"/>
  <c r="O1590" i="10" s="1"/>
  <c r="I1590" i="10"/>
  <c r="H1590" i="10"/>
  <c r="G1590" i="10"/>
  <c r="F1590" i="10"/>
  <c r="E1590" i="10"/>
  <c r="P1590" i="10" s="1"/>
  <c r="D1590" i="10"/>
  <c r="C1590" i="10"/>
  <c r="B1590" i="10"/>
  <c r="A1590" i="10"/>
  <c r="P1589" i="10"/>
  <c r="O1589" i="10"/>
  <c r="R1589" i="10" s="1"/>
  <c r="N1589" i="10"/>
  <c r="M1589" i="10"/>
  <c r="L1589" i="10"/>
  <c r="K1589" i="10"/>
  <c r="J1589" i="10"/>
  <c r="I1589" i="10"/>
  <c r="H1589" i="10"/>
  <c r="G1589" i="10"/>
  <c r="F1589" i="10"/>
  <c r="Q1589" i="10" s="1"/>
  <c r="E1589" i="10"/>
  <c r="D1589" i="10"/>
  <c r="C1589" i="10"/>
  <c r="B1589" i="10"/>
  <c r="A1589" i="10"/>
  <c r="Q1588" i="10"/>
  <c r="R1588" i="10" s="1"/>
  <c r="N1588" i="10"/>
  <c r="M1588" i="10"/>
  <c r="L1588" i="10"/>
  <c r="K1588" i="10"/>
  <c r="J1588" i="10"/>
  <c r="O1588" i="10" s="1"/>
  <c r="I1588" i="10"/>
  <c r="H1588" i="10"/>
  <c r="G1588" i="10"/>
  <c r="F1588" i="10"/>
  <c r="E1588" i="10"/>
  <c r="P1588" i="10" s="1"/>
  <c r="D1588" i="10"/>
  <c r="C1588" i="10"/>
  <c r="B1588" i="10"/>
  <c r="A1588" i="10"/>
  <c r="P1587" i="10"/>
  <c r="O1587" i="10"/>
  <c r="R1587" i="10" s="1"/>
  <c r="N1587" i="10"/>
  <c r="M1587" i="10"/>
  <c r="L1587" i="10"/>
  <c r="K1587" i="10"/>
  <c r="J1587" i="10"/>
  <c r="I1587" i="10"/>
  <c r="H1587" i="10"/>
  <c r="G1587" i="10"/>
  <c r="F1587" i="10"/>
  <c r="Q1587" i="10" s="1"/>
  <c r="E1587" i="10"/>
  <c r="D1587" i="10"/>
  <c r="C1587" i="10"/>
  <c r="B1587" i="10"/>
  <c r="A1587" i="10"/>
  <c r="Q1586" i="10"/>
  <c r="R1586" i="10" s="1"/>
  <c r="N1586" i="10"/>
  <c r="M1586" i="10"/>
  <c r="L1586" i="10"/>
  <c r="K1586" i="10"/>
  <c r="J1586" i="10"/>
  <c r="O1586" i="10" s="1"/>
  <c r="I1586" i="10"/>
  <c r="H1586" i="10"/>
  <c r="G1586" i="10"/>
  <c r="F1586" i="10"/>
  <c r="E1586" i="10"/>
  <c r="P1586" i="10" s="1"/>
  <c r="D1586" i="10"/>
  <c r="C1586" i="10"/>
  <c r="B1586" i="10"/>
  <c r="A1586" i="10"/>
  <c r="P1585" i="10"/>
  <c r="O1585" i="10"/>
  <c r="R1585" i="10" s="1"/>
  <c r="N1585" i="10"/>
  <c r="M1585" i="10"/>
  <c r="L1585" i="10"/>
  <c r="K1585" i="10"/>
  <c r="J1585" i="10"/>
  <c r="I1585" i="10"/>
  <c r="H1585" i="10"/>
  <c r="G1585" i="10"/>
  <c r="F1585" i="10"/>
  <c r="Q1585" i="10" s="1"/>
  <c r="E1585" i="10"/>
  <c r="D1585" i="10"/>
  <c r="C1585" i="10"/>
  <c r="B1585" i="10"/>
  <c r="A1585" i="10"/>
  <c r="Q1584" i="10"/>
  <c r="R1584" i="10" s="1"/>
  <c r="N1584" i="10"/>
  <c r="M1584" i="10"/>
  <c r="L1584" i="10"/>
  <c r="K1584" i="10"/>
  <c r="J1584" i="10"/>
  <c r="O1584" i="10" s="1"/>
  <c r="I1584" i="10"/>
  <c r="H1584" i="10"/>
  <c r="G1584" i="10"/>
  <c r="F1584" i="10"/>
  <c r="E1584" i="10"/>
  <c r="P1584" i="10" s="1"/>
  <c r="D1584" i="10"/>
  <c r="C1584" i="10"/>
  <c r="B1584" i="10"/>
  <c r="A1584" i="10"/>
  <c r="P1583" i="10"/>
  <c r="O1583" i="10"/>
  <c r="R1583" i="10" s="1"/>
  <c r="N1583" i="10"/>
  <c r="M1583" i="10"/>
  <c r="L1583" i="10"/>
  <c r="K1583" i="10"/>
  <c r="J1583" i="10"/>
  <c r="I1583" i="10"/>
  <c r="H1583" i="10"/>
  <c r="G1583" i="10"/>
  <c r="F1583" i="10"/>
  <c r="Q1583" i="10" s="1"/>
  <c r="E1583" i="10"/>
  <c r="D1583" i="10"/>
  <c r="C1583" i="10"/>
  <c r="B1583" i="10"/>
  <c r="A1583" i="10"/>
  <c r="Q1582" i="10"/>
  <c r="R1582" i="10" s="1"/>
  <c r="N1582" i="10"/>
  <c r="M1582" i="10"/>
  <c r="L1582" i="10"/>
  <c r="K1582" i="10"/>
  <c r="J1582" i="10"/>
  <c r="O1582" i="10" s="1"/>
  <c r="I1582" i="10"/>
  <c r="H1582" i="10"/>
  <c r="G1582" i="10"/>
  <c r="F1582" i="10"/>
  <c r="E1582" i="10"/>
  <c r="P1582" i="10" s="1"/>
  <c r="D1582" i="10"/>
  <c r="C1582" i="10"/>
  <c r="B1582" i="10"/>
  <c r="A1582" i="10"/>
  <c r="P1581" i="10"/>
  <c r="O1581" i="10"/>
  <c r="R1581" i="10" s="1"/>
  <c r="N1581" i="10"/>
  <c r="M1581" i="10"/>
  <c r="L1581" i="10"/>
  <c r="K1581" i="10"/>
  <c r="J1581" i="10"/>
  <c r="I1581" i="10"/>
  <c r="H1581" i="10"/>
  <c r="G1581" i="10"/>
  <c r="F1581" i="10"/>
  <c r="Q1581" i="10" s="1"/>
  <c r="E1581" i="10"/>
  <c r="D1581" i="10"/>
  <c r="C1581" i="10"/>
  <c r="B1581" i="10"/>
  <c r="A1581" i="10"/>
  <c r="Q1580" i="10"/>
  <c r="R1580" i="10" s="1"/>
  <c r="N1580" i="10"/>
  <c r="M1580" i="10"/>
  <c r="L1580" i="10"/>
  <c r="K1580" i="10"/>
  <c r="J1580" i="10"/>
  <c r="O1580" i="10" s="1"/>
  <c r="I1580" i="10"/>
  <c r="H1580" i="10"/>
  <c r="G1580" i="10"/>
  <c r="F1580" i="10"/>
  <c r="E1580" i="10"/>
  <c r="P1580" i="10" s="1"/>
  <c r="D1580" i="10"/>
  <c r="C1580" i="10"/>
  <c r="B1580" i="10"/>
  <c r="A1580" i="10"/>
  <c r="Q1579" i="10"/>
  <c r="P1579" i="10"/>
  <c r="O1579" i="10"/>
  <c r="R1579" i="10" s="1"/>
  <c r="N1579" i="10"/>
  <c r="M1579" i="10"/>
  <c r="L1579" i="10"/>
  <c r="K1579" i="10"/>
  <c r="J1579" i="10"/>
  <c r="I1579" i="10"/>
  <c r="H1579" i="10"/>
  <c r="G1579" i="10"/>
  <c r="F1579" i="10"/>
  <c r="E1579" i="10"/>
  <c r="D1579" i="10"/>
  <c r="C1579" i="10"/>
  <c r="B1579" i="10"/>
  <c r="A1579" i="10"/>
  <c r="N1578" i="10"/>
  <c r="M1578" i="10"/>
  <c r="L1578" i="10"/>
  <c r="K1578" i="10"/>
  <c r="J1578" i="10"/>
  <c r="O1578" i="10" s="1"/>
  <c r="I1578" i="10"/>
  <c r="H1578" i="10"/>
  <c r="G1578" i="10"/>
  <c r="F1578" i="10"/>
  <c r="Q1578" i="10" s="1"/>
  <c r="E1578" i="10"/>
  <c r="P1578" i="10" s="1"/>
  <c r="D1578" i="10"/>
  <c r="C1578" i="10"/>
  <c r="B1578" i="10"/>
  <c r="A1578" i="10"/>
  <c r="Q1577" i="10"/>
  <c r="P1577" i="10"/>
  <c r="O1577" i="10"/>
  <c r="R1577" i="10" s="1"/>
  <c r="N1577" i="10"/>
  <c r="M1577" i="10"/>
  <c r="L1577" i="10"/>
  <c r="K1577" i="10"/>
  <c r="J1577" i="10"/>
  <c r="I1577" i="10"/>
  <c r="H1577" i="10"/>
  <c r="G1577" i="10"/>
  <c r="F1577" i="10"/>
  <c r="E1577" i="10"/>
  <c r="D1577" i="10"/>
  <c r="C1577" i="10"/>
  <c r="B1577" i="10"/>
  <c r="A1577" i="10"/>
  <c r="Q1576" i="10"/>
  <c r="N1576" i="10"/>
  <c r="M1576" i="10"/>
  <c r="L1576" i="10"/>
  <c r="K1576" i="10"/>
  <c r="J1576" i="10"/>
  <c r="O1576" i="10" s="1"/>
  <c r="I1576" i="10"/>
  <c r="H1576" i="10"/>
  <c r="G1576" i="10"/>
  <c r="F1576" i="10"/>
  <c r="E1576" i="10"/>
  <c r="P1576" i="10" s="1"/>
  <c r="D1576" i="10"/>
  <c r="C1576" i="10"/>
  <c r="B1576" i="10"/>
  <c r="A1576" i="10"/>
  <c r="Q1575" i="10"/>
  <c r="O1575" i="10"/>
  <c r="N1575" i="10"/>
  <c r="M1575" i="10"/>
  <c r="L1575" i="10"/>
  <c r="K1575" i="10"/>
  <c r="J1575" i="10"/>
  <c r="I1575" i="10"/>
  <c r="H1575" i="10"/>
  <c r="G1575" i="10"/>
  <c r="F1575" i="10"/>
  <c r="E1575" i="10"/>
  <c r="P1575" i="10" s="1"/>
  <c r="D1575" i="10"/>
  <c r="C1575" i="10"/>
  <c r="B1575" i="10"/>
  <c r="A1575" i="10"/>
  <c r="N1574" i="10"/>
  <c r="M1574" i="10"/>
  <c r="L1574" i="10"/>
  <c r="K1574" i="10"/>
  <c r="J1574" i="10"/>
  <c r="O1574" i="10" s="1"/>
  <c r="I1574" i="10"/>
  <c r="H1574" i="10"/>
  <c r="G1574" i="10"/>
  <c r="F1574" i="10"/>
  <c r="Q1574" i="10" s="1"/>
  <c r="E1574" i="10"/>
  <c r="P1574" i="10" s="1"/>
  <c r="D1574" i="10"/>
  <c r="C1574" i="10"/>
  <c r="B1574" i="10"/>
  <c r="A1574" i="10"/>
  <c r="Q1573" i="10"/>
  <c r="O1573" i="10"/>
  <c r="R1573" i="10" s="1"/>
  <c r="N1573" i="10"/>
  <c r="M1573" i="10"/>
  <c r="L1573" i="10"/>
  <c r="K1573" i="10"/>
  <c r="J1573" i="10"/>
  <c r="I1573" i="10"/>
  <c r="H1573" i="10"/>
  <c r="G1573" i="10"/>
  <c r="F1573" i="10"/>
  <c r="E1573" i="10"/>
  <c r="P1573" i="10" s="1"/>
  <c r="D1573" i="10"/>
  <c r="C1573" i="10"/>
  <c r="B1573" i="10"/>
  <c r="A1573" i="10"/>
  <c r="Q1572" i="10"/>
  <c r="N1572" i="10"/>
  <c r="M1572" i="10"/>
  <c r="L1572" i="10"/>
  <c r="K1572" i="10"/>
  <c r="J1572" i="10"/>
  <c r="O1572" i="10" s="1"/>
  <c r="R1572" i="10" s="1"/>
  <c r="I1572" i="10"/>
  <c r="H1572" i="10"/>
  <c r="G1572" i="10"/>
  <c r="F1572" i="10"/>
  <c r="E1572" i="10"/>
  <c r="P1572" i="10" s="1"/>
  <c r="D1572" i="10"/>
  <c r="C1572" i="10"/>
  <c r="B1572" i="10"/>
  <c r="A1572" i="10"/>
  <c r="Q1571" i="10"/>
  <c r="O1571" i="10"/>
  <c r="N1571" i="10"/>
  <c r="M1571" i="10"/>
  <c r="L1571" i="10"/>
  <c r="K1571" i="10"/>
  <c r="J1571" i="10"/>
  <c r="I1571" i="10"/>
  <c r="H1571" i="10"/>
  <c r="G1571" i="10"/>
  <c r="F1571" i="10"/>
  <c r="E1571" i="10"/>
  <c r="P1571" i="10" s="1"/>
  <c r="D1571" i="10"/>
  <c r="C1571" i="10"/>
  <c r="B1571" i="10"/>
  <c r="A1571" i="10"/>
  <c r="N1570" i="10"/>
  <c r="M1570" i="10"/>
  <c r="L1570" i="10"/>
  <c r="K1570" i="10"/>
  <c r="J1570" i="10"/>
  <c r="O1570" i="10" s="1"/>
  <c r="I1570" i="10"/>
  <c r="H1570" i="10"/>
  <c r="G1570" i="10"/>
  <c r="F1570" i="10"/>
  <c r="Q1570" i="10" s="1"/>
  <c r="E1570" i="10"/>
  <c r="P1570" i="10" s="1"/>
  <c r="D1570" i="10"/>
  <c r="C1570" i="10"/>
  <c r="B1570" i="10"/>
  <c r="A1570" i="10"/>
  <c r="P1569" i="10"/>
  <c r="N1569" i="10"/>
  <c r="M1569" i="10"/>
  <c r="L1569" i="10"/>
  <c r="K1569" i="10"/>
  <c r="J1569" i="10"/>
  <c r="O1569" i="10" s="1"/>
  <c r="I1569" i="10"/>
  <c r="H1569" i="10"/>
  <c r="G1569" i="10"/>
  <c r="F1569" i="10"/>
  <c r="Q1569" i="10" s="1"/>
  <c r="E1569" i="10"/>
  <c r="D1569" i="10"/>
  <c r="C1569" i="10"/>
  <c r="B1569" i="10"/>
  <c r="A1569" i="10"/>
  <c r="P1568" i="10"/>
  <c r="N1568" i="10"/>
  <c r="M1568" i="10"/>
  <c r="L1568" i="10"/>
  <c r="K1568" i="10"/>
  <c r="J1568" i="10"/>
  <c r="O1568" i="10" s="1"/>
  <c r="I1568" i="10"/>
  <c r="H1568" i="10"/>
  <c r="G1568" i="10"/>
  <c r="F1568" i="10"/>
  <c r="Q1568" i="10" s="1"/>
  <c r="E1568" i="10"/>
  <c r="D1568" i="10"/>
  <c r="C1568" i="10"/>
  <c r="B1568" i="10"/>
  <c r="A1568" i="10"/>
  <c r="P1567" i="10"/>
  <c r="N1567" i="10"/>
  <c r="M1567" i="10"/>
  <c r="L1567" i="10"/>
  <c r="K1567" i="10"/>
  <c r="J1567" i="10"/>
  <c r="O1567" i="10" s="1"/>
  <c r="I1567" i="10"/>
  <c r="H1567" i="10"/>
  <c r="G1567" i="10"/>
  <c r="F1567" i="10"/>
  <c r="Q1567" i="10" s="1"/>
  <c r="E1567" i="10"/>
  <c r="D1567" i="10"/>
  <c r="C1567" i="10"/>
  <c r="B1567" i="10"/>
  <c r="A1567" i="10"/>
  <c r="P1566" i="10"/>
  <c r="N1566" i="10"/>
  <c r="M1566" i="10"/>
  <c r="L1566" i="10"/>
  <c r="K1566" i="10"/>
  <c r="J1566" i="10"/>
  <c r="O1566" i="10" s="1"/>
  <c r="R1566" i="10" s="1"/>
  <c r="I1566" i="10"/>
  <c r="H1566" i="10"/>
  <c r="G1566" i="10"/>
  <c r="F1566" i="10"/>
  <c r="Q1566" i="10" s="1"/>
  <c r="E1566" i="10"/>
  <c r="D1566" i="10"/>
  <c r="C1566" i="10"/>
  <c r="B1566" i="10"/>
  <c r="A1566" i="10"/>
  <c r="P1565" i="10"/>
  <c r="N1565" i="10"/>
  <c r="M1565" i="10"/>
  <c r="L1565" i="10"/>
  <c r="K1565" i="10"/>
  <c r="J1565" i="10"/>
  <c r="O1565" i="10" s="1"/>
  <c r="I1565" i="10"/>
  <c r="H1565" i="10"/>
  <c r="G1565" i="10"/>
  <c r="F1565" i="10"/>
  <c r="Q1565" i="10" s="1"/>
  <c r="E1565" i="10"/>
  <c r="D1565" i="10"/>
  <c r="C1565" i="10"/>
  <c r="B1565" i="10"/>
  <c r="A1565" i="10"/>
  <c r="R1564" i="10"/>
  <c r="P1564" i="10"/>
  <c r="N1564" i="10"/>
  <c r="M1564" i="10"/>
  <c r="L1564" i="10"/>
  <c r="K1564" i="10"/>
  <c r="J1564" i="10"/>
  <c r="O1564" i="10" s="1"/>
  <c r="I1564" i="10"/>
  <c r="H1564" i="10"/>
  <c r="G1564" i="10"/>
  <c r="F1564" i="10"/>
  <c r="Q1564" i="10" s="1"/>
  <c r="E1564" i="10"/>
  <c r="D1564" i="10"/>
  <c r="C1564" i="10"/>
  <c r="B1564" i="10"/>
  <c r="A1564" i="10"/>
  <c r="P1563" i="10"/>
  <c r="N1563" i="10"/>
  <c r="M1563" i="10"/>
  <c r="L1563" i="10"/>
  <c r="K1563" i="10"/>
  <c r="J1563" i="10"/>
  <c r="O1563" i="10" s="1"/>
  <c r="I1563" i="10"/>
  <c r="H1563" i="10"/>
  <c r="G1563" i="10"/>
  <c r="F1563" i="10"/>
  <c r="Q1563" i="10" s="1"/>
  <c r="E1563" i="10"/>
  <c r="D1563" i="10"/>
  <c r="C1563" i="10"/>
  <c r="B1563" i="10"/>
  <c r="A1563" i="10"/>
  <c r="R1562" i="10"/>
  <c r="P1562" i="10"/>
  <c r="N1562" i="10"/>
  <c r="M1562" i="10"/>
  <c r="L1562" i="10"/>
  <c r="K1562" i="10"/>
  <c r="J1562" i="10"/>
  <c r="O1562" i="10" s="1"/>
  <c r="I1562" i="10"/>
  <c r="H1562" i="10"/>
  <c r="G1562" i="10"/>
  <c r="F1562" i="10"/>
  <c r="Q1562" i="10" s="1"/>
  <c r="E1562" i="10"/>
  <c r="D1562" i="10"/>
  <c r="C1562" i="10"/>
  <c r="B1562" i="10"/>
  <c r="A1562" i="10"/>
  <c r="P1561" i="10"/>
  <c r="N1561" i="10"/>
  <c r="M1561" i="10"/>
  <c r="L1561" i="10"/>
  <c r="K1561" i="10"/>
  <c r="J1561" i="10"/>
  <c r="O1561" i="10" s="1"/>
  <c r="I1561" i="10"/>
  <c r="H1561" i="10"/>
  <c r="G1561" i="10"/>
  <c r="F1561" i="10"/>
  <c r="Q1561" i="10" s="1"/>
  <c r="E1561" i="10"/>
  <c r="D1561" i="10"/>
  <c r="C1561" i="10"/>
  <c r="B1561" i="10"/>
  <c r="A1561" i="10"/>
  <c r="P1560" i="10"/>
  <c r="N1560" i="10"/>
  <c r="M1560" i="10"/>
  <c r="L1560" i="10"/>
  <c r="K1560" i="10"/>
  <c r="J1560" i="10"/>
  <c r="O1560" i="10" s="1"/>
  <c r="I1560" i="10"/>
  <c r="H1560" i="10"/>
  <c r="G1560" i="10"/>
  <c r="F1560" i="10"/>
  <c r="Q1560" i="10" s="1"/>
  <c r="E1560" i="10"/>
  <c r="D1560" i="10"/>
  <c r="C1560" i="10"/>
  <c r="B1560" i="10"/>
  <c r="A1560" i="10"/>
  <c r="P1559" i="10"/>
  <c r="N1559" i="10"/>
  <c r="M1559" i="10"/>
  <c r="L1559" i="10"/>
  <c r="K1559" i="10"/>
  <c r="J1559" i="10"/>
  <c r="O1559" i="10" s="1"/>
  <c r="I1559" i="10"/>
  <c r="H1559" i="10"/>
  <c r="G1559" i="10"/>
  <c r="F1559" i="10"/>
  <c r="Q1559" i="10" s="1"/>
  <c r="E1559" i="10"/>
  <c r="D1559" i="10"/>
  <c r="C1559" i="10"/>
  <c r="B1559" i="10"/>
  <c r="A1559" i="10"/>
  <c r="P1558" i="10"/>
  <c r="N1558" i="10"/>
  <c r="M1558" i="10"/>
  <c r="L1558" i="10"/>
  <c r="K1558" i="10"/>
  <c r="J1558" i="10"/>
  <c r="O1558" i="10" s="1"/>
  <c r="R1558" i="10" s="1"/>
  <c r="I1558" i="10"/>
  <c r="H1558" i="10"/>
  <c r="G1558" i="10"/>
  <c r="F1558" i="10"/>
  <c r="Q1558" i="10" s="1"/>
  <c r="E1558" i="10"/>
  <c r="D1558" i="10"/>
  <c r="C1558" i="10"/>
  <c r="B1558" i="10"/>
  <c r="A1558" i="10"/>
  <c r="P1557" i="10"/>
  <c r="N1557" i="10"/>
  <c r="M1557" i="10"/>
  <c r="L1557" i="10"/>
  <c r="K1557" i="10"/>
  <c r="J1557" i="10"/>
  <c r="O1557" i="10" s="1"/>
  <c r="I1557" i="10"/>
  <c r="H1557" i="10"/>
  <c r="G1557" i="10"/>
  <c r="F1557" i="10"/>
  <c r="Q1557" i="10" s="1"/>
  <c r="E1557" i="10"/>
  <c r="D1557" i="10"/>
  <c r="C1557" i="10"/>
  <c r="B1557" i="10"/>
  <c r="A1557" i="10"/>
  <c r="R1556" i="10"/>
  <c r="P1556" i="10"/>
  <c r="N1556" i="10"/>
  <c r="M1556" i="10"/>
  <c r="L1556" i="10"/>
  <c r="K1556" i="10"/>
  <c r="J1556" i="10"/>
  <c r="O1556" i="10" s="1"/>
  <c r="I1556" i="10"/>
  <c r="H1556" i="10"/>
  <c r="G1556" i="10"/>
  <c r="F1556" i="10"/>
  <c r="Q1556" i="10" s="1"/>
  <c r="E1556" i="10"/>
  <c r="D1556" i="10"/>
  <c r="C1556" i="10"/>
  <c r="B1556" i="10"/>
  <c r="A1556" i="10"/>
  <c r="P1555" i="10"/>
  <c r="N1555" i="10"/>
  <c r="M1555" i="10"/>
  <c r="L1555" i="10"/>
  <c r="K1555" i="10"/>
  <c r="J1555" i="10"/>
  <c r="O1555" i="10" s="1"/>
  <c r="I1555" i="10"/>
  <c r="H1555" i="10"/>
  <c r="G1555" i="10"/>
  <c r="F1555" i="10"/>
  <c r="Q1555" i="10" s="1"/>
  <c r="E1555" i="10"/>
  <c r="D1555" i="10"/>
  <c r="C1555" i="10"/>
  <c r="B1555" i="10"/>
  <c r="A1555" i="10"/>
  <c r="R1554" i="10"/>
  <c r="P1554" i="10"/>
  <c r="N1554" i="10"/>
  <c r="M1554" i="10"/>
  <c r="L1554" i="10"/>
  <c r="K1554" i="10"/>
  <c r="J1554" i="10"/>
  <c r="O1554" i="10" s="1"/>
  <c r="I1554" i="10"/>
  <c r="H1554" i="10"/>
  <c r="G1554" i="10"/>
  <c r="F1554" i="10"/>
  <c r="Q1554" i="10" s="1"/>
  <c r="E1554" i="10"/>
  <c r="D1554" i="10"/>
  <c r="C1554" i="10"/>
  <c r="B1554" i="10"/>
  <c r="A1554" i="10"/>
  <c r="P1553" i="10"/>
  <c r="N1553" i="10"/>
  <c r="M1553" i="10"/>
  <c r="L1553" i="10"/>
  <c r="K1553" i="10"/>
  <c r="J1553" i="10"/>
  <c r="O1553" i="10" s="1"/>
  <c r="I1553" i="10"/>
  <c r="H1553" i="10"/>
  <c r="G1553" i="10"/>
  <c r="F1553" i="10"/>
  <c r="Q1553" i="10" s="1"/>
  <c r="E1553" i="10"/>
  <c r="D1553" i="10"/>
  <c r="C1553" i="10"/>
  <c r="B1553" i="10"/>
  <c r="A1553" i="10"/>
  <c r="P1552" i="10"/>
  <c r="N1552" i="10"/>
  <c r="M1552" i="10"/>
  <c r="L1552" i="10"/>
  <c r="K1552" i="10"/>
  <c r="J1552" i="10"/>
  <c r="O1552" i="10" s="1"/>
  <c r="I1552" i="10"/>
  <c r="H1552" i="10"/>
  <c r="G1552" i="10"/>
  <c r="F1552" i="10"/>
  <c r="Q1552" i="10" s="1"/>
  <c r="E1552" i="10"/>
  <c r="D1552" i="10"/>
  <c r="C1552" i="10"/>
  <c r="B1552" i="10"/>
  <c r="A1552" i="10"/>
  <c r="P1551" i="10"/>
  <c r="N1551" i="10"/>
  <c r="M1551" i="10"/>
  <c r="L1551" i="10"/>
  <c r="K1551" i="10"/>
  <c r="J1551" i="10"/>
  <c r="O1551" i="10" s="1"/>
  <c r="I1551" i="10"/>
  <c r="H1551" i="10"/>
  <c r="G1551" i="10"/>
  <c r="F1551" i="10"/>
  <c r="Q1551" i="10" s="1"/>
  <c r="E1551" i="10"/>
  <c r="D1551" i="10"/>
  <c r="C1551" i="10"/>
  <c r="B1551" i="10"/>
  <c r="A1551" i="10"/>
  <c r="P1550" i="10"/>
  <c r="N1550" i="10"/>
  <c r="M1550" i="10"/>
  <c r="L1550" i="10"/>
  <c r="K1550" i="10"/>
  <c r="J1550" i="10"/>
  <c r="O1550" i="10" s="1"/>
  <c r="R1550" i="10" s="1"/>
  <c r="I1550" i="10"/>
  <c r="H1550" i="10"/>
  <c r="G1550" i="10"/>
  <c r="F1550" i="10"/>
  <c r="Q1550" i="10" s="1"/>
  <c r="E1550" i="10"/>
  <c r="D1550" i="10"/>
  <c r="C1550" i="10"/>
  <c r="B1550" i="10"/>
  <c r="A1550" i="10"/>
  <c r="P1549" i="10"/>
  <c r="N1549" i="10"/>
  <c r="M1549" i="10"/>
  <c r="L1549" i="10"/>
  <c r="K1549" i="10"/>
  <c r="J1549" i="10"/>
  <c r="O1549" i="10" s="1"/>
  <c r="I1549" i="10"/>
  <c r="H1549" i="10"/>
  <c r="G1549" i="10"/>
  <c r="F1549" i="10"/>
  <c r="Q1549" i="10" s="1"/>
  <c r="E1549" i="10"/>
  <c r="D1549" i="10"/>
  <c r="C1549" i="10"/>
  <c r="B1549" i="10"/>
  <c r="A1549" i="10"/>
  <c r="R1548" i="10"/>
  <c r="P1548" i="10"/>
  <c r="N1548" i="10"/>
  <c r="M1548" i="10"/>
  <c r="L1548" i="10"/>
  <c r="K1548" i="10"/>
  <c r="J1548" i="10"/>
  <c r="O1548" i="10" s="1"/>
  <c r="I1548" i="10"/>
  <c r="H1548" i="10"/>
  <c r="G1548" i="10"/>
  <c r="F1548" i="10"/>
  <c r="Q1548" i="10" s="1"/>
  <c r="E1548" i="10"/>
  <c r="D1548" i="10"/>
  <c r="C1548" i="10"/>
  <c r="B1548" i="10"/>
  <c r="A1548" i="10"/>
  <c r="P1547" i="10"/>
  <c r="N1547" i="10"/>
  <c r="M1547" i="10"/>
  <c r="L1547" i="10"/>
  <c r="K1547" i="10"/>
  <c r="J1547" i="10"/>
  <c r="O1547" i="10" s="1"/>
  <c r="I1547" i="10"/>
  <c r="H1547" i="10"/>
  <c r="G1547" i="10"/>
  <c r="F1547" i="10"/>
  <c r="Q1547" i="10" s="1"/>
  <c r="E1547" i="10"/>
  <c r="D1547" i="10"/>
  <c r="C1547" i="10"/>
  <c r="B1547" i="10"/>
  <c r="A1547" i="10"/>
  <c r="R1546" i="10"/>
  <c r="P1546" i="10"/>
  <c r="N1546" i="10"/>
  <c r="M1546" i="10"/>
  <c r="L1546" i="10"/>
  <c r="K1546" i="10"/>
  <c r="J1546" i="10"/>
  <c r="O1546" i="10" s="1"/>
  <c r="I1546" i="10"/>
  <c r="H1546" i="10"/>
  <c r="G1546" i="10"/>
  <c r="F1546" i="10"/>
  <c r="Q1546" i="10" s="1"/>
  <c r="E1546" i="10"/>
  <c r="D1546" i="10"/>
  <c r="C1546" i="10"/>
  <c r="B1546" i="10"/>
  <c r="A1546" i="10"/>
  <c r="P1545" i="10"/>
  <c r="N1545" i="10"/>
  <c r="M1545" i="10"/>
  <c r="L1545" i="10"/>
  <c r="K1545" i="10"/>
  <c r="J1545" i="10"/>
  <c r="O1545" i="10" s="1"/>
  <c r="I1545" i="10"/>
  <c r="H1545" i="10"/>
  <c r="G1545" i="10"/>
  <c r="F1545" i="10"/>
  <c r="Q1545" i="10" s="1"/>
  <c r="E1545" i="10"/>
  <c r="D1545" i="10"/>
  <c r="C1545" i="10"/>
  <c r="B1545" i="10"/>
  <c r="A1545" i="10"/>
  <c r="P1544" i="10"/>
  <c r="N1544" i="10"/>
  <c r="M1544" i="10"/>
  <c r="L1544" i="10"/>
  <c r="K1544" i="10"/>
  <c r="J1544" i="10"/>
  <c r="O1544" i="10" s="1"/>
  <c r="I1544" i="10"/>
  <c r="H1544" i="10"/>
  <c r="G1544" i="10"/>
  <c r="F1544" i="10"/>
  <c r="Q1544" i="10" s="1"/>
  <c r="E1544" i="10"/>
  <c r="D1544" i="10"/>
  <c r="C1544" i="10"/>
  <c r="B1544" i="10"/>
  <c r="A1544" i="10"/>
  <c r="P1543" i="10"/>
  <c r="N1543" i="10"/>
  <c r="M1543" i="10"/>
  <c r="L1543" i="10"/>
  <c r="K1543" i="10"/>
  <c r="J1543" i="10"/>
  <c r="O1543" i="10" s="1"/>
  <c r="I1543" i="10"/>
  <c r="H1543" i="10"/>
  <c r="G1543" i="10"/>
  <c r="F1543" i="10"/>
  <c r="Q1543" i="10" s="1"/>
  <c r="E1543" i="10"/>
  <c r="D1543" i="10"/>
  <c r="C1543" i="10"/>
  <c r="B1543" i="10"/>
  <c r="A1543" i="10"/>
  <c r="P1542" i="10"/>
  <c r="N1542" i="10"/>
  <c r="M1542" i="10"/>
  <c r="L1542" i="10"/>
  <c r="K1542" i="10"/>
  <c r="J1542" i="10"/>
  <c r="O1542" i="10" s="1"/>
  <c r="R1542" i="10" s="1"/>
  <c r="I1542" i="10"/>
  <c r="H1542" i="10"/>
  <c r="G1542" i="10"/>
  <c r="F1542" i="10"/>
  <c r="Q1542" i="10" s="1"/>
  <c r="E1542" i="10"/>
  <c r="D1542" i="10"/>
  <c r="C1542" i="10"/>
  <c r="B1542" i="10"/>
  <c r="A1542" i="10"/>
  <c r="P1541" i="10"/>
  <c r="N1541" i="10"/>
  <c r="M1541" i="10"/>
  <c r="L1541" i="10"/>
  <c r="K1541" i="10"/>
  <c r="J1541" i="10"/>
  <c r="O1541" i="10" s="1"/>
  <c r="I1541" i="10"/>
  <c r="H1541" i="10"/>
  <c r="G1541" i="10"/>
  <c r="F1541" i="10"/>
  <c r="Q1541" i="10" s="1"/>
  <c r="E1541" i="10"/>
  <c r="D1541" i="10"/>
  <c r="C1541" i="10"/>
  <c r="B1541" i="10"/>
  <c r="A1541" i="10"/>
  <c r="R1540" i="10"/>
  <c r="P1540" i="10"/>
  <c r="N1540" i="10"/>
  <c r="M1540" i="10"/>
  <c r="L1540" i="10"/>
  <c r="K1540" i="10"/>
  <c r="J1540" i="10"/>
  <c r="O1540" i="10" s="1"/>
  <c r="I1540" i="10"/>
  <c r="H1540" i="10"/>
  <c r="G1540" i="10"/>
  <c r="F1540" i="10"/>
  <c r="Q1540" i="10" s="1"/>
  <c r="E1540" i="10"/>
  <c r="D1540" i="10"/>
  <c r="C1540" i="10"/>
  <c r="B1540" i="10"/>
  <c r="A1540" i="10"/>
  <c r="P1539" i="10"/>
  <c r="N1539" i="10"/>
  <c r="M1539" i="10"/>
  <c r="L1539" i="10"/>
  <c r="K1539" i="10"/>
  <c r="J1539" i="10"/>
  <c r="O1539" i="10" s="1"/>
  <c r="I1539" i="10"/>
  <c r="H1539" i="10"/>
  <c r="G1539" i="10"/>
  <c r="F1539" i="10"/>
  <c r="Q1539" i="10" s="1"/>
  <c r="E1539" i="10"/>
  <c r="D1539" i="10"/>
  <c r="C1539" i="10"/>
  <c r="B1539" i="10"/>
  <c r="A1539" i="10"/>
  <c r="R1538" i="10"/>
  <c r="P1538" i="10"/>
  <c r="N1538" i="10"/>
  <c r="M1538" i="10"/>
  <c r="L1538" i="10"/>
  <c r="K1538" i="10"/>
  <c r="J1538" i="10"/>
  <c r="O1538" i="10" s="1"/>
  <c r="I1538" i="10"/>
  <c r="H1538" i="10"/>
  <c r="G1538" i="10"/>
  <c r="F1538" i="10"/>
  <c r="Q1538" i="10" s="1"/>
  <c r="E1538" i="10"/>
  <c r="D1538" i="10"/>
  <c r="C1538" i="10"/>
  <c r="B1538" i="10"/>
  <c r="A1538" i="10"/>
  <c r="P1537" i="10"/>
  <c r="N1537" i="10"/>
  <c r="M1537" i="10"/>
  <c r="L1537" i="10"/>
  <c r="K1537" i="10"/>
  <c r="J1537" i="10"/>
  <c r="O1537" i="10" s="1"/>
  <c r="I1537" i="10"/>
  <c r="H1537" i="10"/>
  <c r="G1537" i="10"/>
  <c r="F1537" i="10"/>
  <c r="Q1537" i="10" s="1"/>
  <c r="E1537" i="10"/>
  <c r="D1537" i="10"/>
  <c r="C1537" i="10"/>
  <c r="B1537" i="10"/>
  <c r="A1537" i="10"/>
  <c r="P1536" i="10"/>
  <c r="N1536" i="10"/>
  <c r="M1536" i="10"/>
  <c r="L1536" i="10"/>
  <c r="K1536" i="10"/>
  <c r="J1536" i="10"/>
  <c r="O1536" i="10" s="1"/>
  <c r="I1536" i="10"/>
  <c r="H1536" i="10"/>
  <c r="G1536" i="10"/>
  <c r="F1536" i="10"/>
  <c r="Q1536" i="10" s="1"/>
  <c r="E1536" i="10"/>
  <c r="D1536" i="10"/>
  <c r="C1536" i="10"/>
  <c r="B1536" i="10"/>
  <c r="A1536" i="10"/>
  <c r="P1535" i="10"/>
  <c r="N1535" i="10"/>
  <c r="M1535" i="10"/>
  <c r="L1535" i="10"/>
  <c r="K1535" i="10"/>
  <c r="J1535" i="10"/>
  <c r="O1535" i="10" s="1"/>
  <c r="I1535" i="10"/>
  <c r="H1535" i="10"/>
  <c r="G1535" i="10"/>
  <c r="F1535" i="10"/>
  <c r="Q1535" i="10" s="1"/>
  <c r="E1535" i="10"/>
  <c r="D1535" i="10"/>
  <c r="C1535" i="10"/>
  <c r="B1535" i="10"/>
  <c r="A1535" i="10"/>
  <c r="P1534" i="10"/>
  <c r="N1534" i="10"/>
  <c r="M1534" i="10"/>
  <c r="L1534" i="10"/>
  <c r="K1534" i="10"/>
  <c r="J1534" i="10"/>
  <c r="O1534" i="10" s="1"/>
  <c r="R1534" i="10" s="1"/>
  <c r="I1534" i="10"/>
  <c r="H1534" i="10"/>
  <c r="G1534" i="10"/>
  <c r="F1534" i="10"/>
  <c r="Q1534" i="10" s="1"/>
  <c r="E1534" i="10"/>
  <c r="D1534" i="10"/>
  <c r="C1534" i="10"/>
  <c r="B1534" i="10"/>
  <c r="A1534" i="10"/>
  <c r="P1533" i="10"/>
  <c r="N1533" i="10"/>
  <c r="M1533" i="10"/>
  <c r="L1533" i="10"/>
  <c r="K1533" i="10"/>
  <c r="J1533" i="10"/>
  <c r="O1533" i="10" s="1"/>
  <c r="I1533" i="10"/>
  <c r="H1533" i="10"/>
  <c r="G1533" i="10"/>
  <c r="F1533" i="10"/>
  <c r="Q1533" i="10" s="1"/>
  <c r="E1533" i="10"/>
  <c r="D1533" i="10"/>
  <c r="C1533" i="10"/>
  <c r="B1533" i="10"/>
  <c r="A1533" i="10"/>
  <c r="R1532" i="10"/>
  <c r="P1532" i="10"/>
  <c r="N1532" i="10"/>
  <c r="M1532" i="10"/>
  <c r="L1532" i="10"/>
  <c r="K1532" i="10"/>
  <c r="J1532" i="10"/>
  <c r="O1532" i="10" s="1"/>
  <c r="I1532" i="10"/>
  <c r="H1532" i="10"/>
  <c r="G1532" i="10"/>
  <c r="F1532" i="10"/>
  <c r="Q1532" i="10" s="1"/>
  <c r="E1532" i="10"/>
  <c r="D1532" i="10"/>
  <c r="C1532" i="10"/>
  <c r="B1532" i="10"/>
  <c r="A1532" i="10"/>
  <c r="P1531" i="10"/>
  <c r="N1531" i="10"/>
  <c r="M1531" i="10"/>
  <c r="L1531" i="10"/>
  <c r="K1531" i="10"/>
  <c r="J1531" i="10"/>
  <c r="O1531" i="10" s="1"/>
  <c r="I1531" i="10"/>
  <c r="H1531" i="10"/>
  <c r="G1531" i="10"/>
  <c r="F1531" i="10"/>
  <c r="Q1531" i="10" s="1"/>
  <c r="E1531" i="10"/>
  <c r="D1531" i="10"/>
  <c r="C1531" i="10"/>
  <c r="B1531" i="10"/>
  <c r="A1531" i="10"/>
  <c r="R1530" i="10"/>
  <c r="P1530" i="10"/>
  <c r="N1530" i="10"/>
  <c r="M1530" i="10"/>
  <c r="L1530" i="10"/>
  <c r="K1530" i="10"/>
  <c r="J1530" i="10"/>
  <c r="O1530" i="10" s="1"/>
  <c r="I1530" i="10"/>
  <c r="H1530" i="10"/>
  <c r="G1530" i="10"/>
  <c r="F1530" i="10"/>
  <c r="Q1530" i="10" s="1"/>
  <c r="E1530" i="10"/>
  <c r="D1530" i="10"/>
  <c r="C1530" i="10"/>
  <c r="B1530" i="10"/>
  <c r="A1530" i="10"/>
  <c r="P1529" i="10"/>
  <c r="N1529" i="10"/>
  <c r="M1529" i="10"/>
  <c r="L1529" i="10"/>
  <c r="K1529" i="10"/>
  <c r="J1529" i="10"/>
  <c r="O1529" i="10" s="1"/>
  <c r="I1529" i="10"/>
  <c r="H1529" i="10"/>
  <c r="G1529" i="10"/>
  <c r="F1529" i="10"/>
  <c r="Q1529" i="10" s="1"/>
  <c r="E1529" i="10"/>
  <c r="D1529" i="10"/>
  <c r="C1529" i="10"/>
  <c r="B1529" i="10"/>
  <c r="A1529" i="10"/>
  <c r="P1528" i="10"/>
  <c r="N1528" i="10"/>
  <c r="M1528" i="10"/>
  <c r="L1528" i="10"/>
  <c r="K1528" i="10"/>
  <c r="J1528" i="10"/>
  <c r="O1528" i="10" s="1"/>
  <c r="I1528" i="10"/>
  <c r="H1528" i="10"/>
  <c r="G1528" i="10"/>
  <c r="F1528" i="10"/>
  <c r="Q1528" i="10" s="1"/>
  <c r="E1528" i="10"/>
  <c r="D1528" i="10"/>
  <c r="C1528" i="10"/>
  <c r="B1528" i="10"/>
  <c r="A1528" i="10"/>
  <c r="P1527" i="10"/>
  <c r="N1527" i="10"/>
  <c r="M1527" i="10"/>
  <c r="L1527" i="10"/>
  <c r="K1527" i="10"/>
  <c r="J1527" i="10"/>
  <c r="O1527" i="10" s="1"/>
  <c r="I1527" i="10"/>
  <c r="H1527" i="10"/>
  <c r="G1527" i="10"/>
  <c r="F1527" i="10"/>
  <c r="Q1527" i="10" s="1"/>
  <c r="E1527" i="10"/>
  <c r="D1527" i="10"/>
  <c r="C1527" i="10"/>
  <c r="B1527" i="10"/>
  <c r="A1527" i="10"/>
  <c r="P1526" i="10"/>
  <c r="N1526" i="10"/>
  <c r="M1526" i="10"/>
  <c r="L1526" i="10"/>
  <c r="K1526" i="10"/>
  <c r="J1526" i="10"/>
  <c r="O1526" i="10" s="1"/>
  <c r="R1526" i="10" s="1"/>
  <c r="I1526" i="10"/>
  <c r="H1526" i="10"/>
  <c r="G1526" i="10"/>
  <c r="F1526" i="10"/>
  <c r="Q1526" i="10" s="1"/>
  <c r="E1526" i="10"/>
  <c r="D1526" i="10"/>
  <c r="C1526" i="10"/>
  <c r="B1526" i="10"/>
  <c r="A1526" i="10"/>
  <c r="P1525" i="10"/>
  <c r="N1525" i="10"/>
  <c r="M1525" i="10"/>
  <c r="L1525" i="10"/>
  <c r="K1525" i="10"/>
  <c r="J1525" i="10"/>
  <c r="O1525" i="10" s="1"/>
  <c r="I1525" i="10"/>
  <c r="H1525" i="10"/>
  <c r="G1525" i="10"/>
  <c r="F1525" i="10"/>
  <c r="Q1525" i="10" s="1"/>
  <c r="E1525" i="10"/>
  <c r="D1525" i="10"/>
  <c r="C1525" i="10"/>
  <c r="B1525" i="10"/>
  <c r="A1525" i="10"/>
  <c r="R1524" i="10"/>
  <c r="P1524" i="10"/>
  <c r="N1524" i="10"/>
  <c r="M1524" i="10"/>
  <c r="L1524" i="10"/>
  <c r="K1524" i="10"/>
  <c r="J1524" i="10"/>
  <c r="O1524" i="10" s="1"/>
  <c r="I1524" i="10"/>
  <c r="H1524" i="10"/>
  <c r="G1524" i="10"/>
  <c r="F1524" i="10"/>
  <c r="Q1524" i="10" s="1"/>
  <c r="E1524" i="10"/>
  <c r="D1524" i="10"/>
  <c r="C1524" i="10"/>
  <c r="B1524" i="10"/>
  <c r="A1524" i="10"/>
  <c r="P1523" i="10"/>
  <c r="N1523" i="10"/>
  <c r="M1523" i="10"/>
  <c r="L1523" i="10"/>
  <c r="K1523" i="10"/>
  <c r="J1523" i="10"/>
  <c r="O1523" i="10" s="1"/>
  <c r="I1523" i="10"/>
  <c r="H1523" i="10"/>
  <c r="G1523" i="10"/>
  <c r="F1523" i="10"/>
  <c r="Q1523" i="10" s="1"/>
  <c r="E1523" i="10"/>
  <c r="D1523" i="10"/>
  <c r="C1523" i="10"/>
  <c r="B1523" i="10"/>
  <c r="A1523" i="10"/>
  <c r="R1522" i="10"/>
  <c r="P1522" i="10"/>
  <c r="N1522" i="10"/>
  <c r="M1522" i="10"/>
  <c r="L1522" i="10"/>
  <c r="K1522" i="10"/>
  <c r="J1522" i="10"/>
  <c r="O1522" i="10" s="1"/>
  <c r="I1522" i="10"/>
  <c r="H1522" i="10"/>
  <c r="G1522" i="10"/>
  <c r="F1522" i="10"/>
  <c r="Q1522" i="10" s="1"/>
  <c r="E1522" i="10"/>
  <c r="D1522" i="10"/>
  <c r="C1522" i="10"/>
  <c r="B1522" i="10"/>
  <c r="A1522" i="10"/>
  <c r="P1521" i="10"/>
  <c r="N1521" i="10"/>
  <c r="M1521" i="10"/>
  <c r="L1521" i="10"/>
  <c r="K1521" i="10"/>
  <c r="J1521" i="10"/>
  <c r="O1521" i="10" s="1"/>
  <c r="I1521" i="10"/>
  <c r="H1521" i="10"/>
  <c r="G1521" i="10"/>
  <c r="F1521" i="10"/>
  <c r="Q1521" i="10" s="1"/>
  <c r="E1521" i="10"/>
  <c r="D1521" i="10"/>
  <c r="C1521" i="10"/>
  <c r="B1521" i="10"/>
  <c r="A1521" i="10"/>
  <c r="P1520" i="10"/>
  <c r="N1520" i="10"/>
  <c r="M1520" i="10"/>
  <c r="L1520" i="10"/>
  <c r="K1520" i="10"/>
  <c r="J1520" i="10"/>
  <c r="O1520" i="10" s="1"/>
  <c r="I1520" i="10"/>
  <c r="H1520" i="10"/>
  <c r="G1520" i="10"/>
  <c r="F1520" i="10"/>
  <c r="Q1520" i="10" s="1"/>
  <c r="E1520" i="10"/>
  <c r="D1520" i="10"/>
  <c r="C1520" i="10"/>
  <c r="B1520" i="10"/>
  <c r="A1520" i="10"/>
  <c r="P1519" i="10"/>
  <c r="N1519" i="10"/>
  <c r="M1519" i="10"/>
  <c r="L1519" i="10"/>
  <c r="K1519" i="10"/>
  <c r="J1519" i="10"/>
  <c r="O1519" i="10" s="1"/>
  <c r="I1519" i="10"/>
  <c r="H1519" i="10"/>
  <c r="G1519" i="10"/>
  <c r="F1519" i="10"/>
  <c r="Q1519" i="10" s="1"/>
  <c r="E1519" i="10"/>
  <c r="D1519" i="10"/>
  <c r="C1519" i="10"/>
  <c r="B1519" i="10"/>
  <c r="A1519" i="10"/>
  <c r="P1518" i="10"/>
  <c r="N1518" i="10"/>
  <c r="M1518" i="10"/>
  <c r="L1518" i="10"/>
  <c r="K1518" i="10"/>
  <c r="J1518" i="10"/>
  <c r="O1518" i="10" s="1"/>
  <c r="R1518" i="10" s="1"/>
  <c r="I1518" i="10"/>
  <c r="H1518" i="10"/>
  <c r="G1518" i="10"/>
  <c r="F1518" i="10"/>
  <c r="Q1518" i="10" s="1"/>
  <c r="E1518" i="10"/>
  <c r="D1518" i="10"/>
  <c r="C1518" i="10"/>
  <c r="B1518" i="10"/>
  <c r="A1518" i="10"/>
  <c r="P1517" i="10"/>
  <c r="N1517" i="10"/>
  <c r="M1517" i="10"/>
  <c r="L1517" i="10"/>
  <c r="K1517" i="10"/>
  <c r="J1517" i="10"/>
  <c r="O1517" i="10" s="1"/>
  <c r="I1517" i="10"/>
  <c r="H1517" i="10"/>
  <c r="G1517" i="10"/>
  <c r="F1517" i="10"/>
  <c r="Q1517" i="10" s="1"/>
  <c r="E1517" i="10"/>
  <c r="D1517" i="10"/>
  <c r="C1517" i="10"/>
  <c r="B1517" i="10"/>
  <c r="A1517" i="10"/>
  <c r="R1516" i="10"/>
  <c r="P1516" i="10"/>
  <c r="N1516" i="10"/>
  <c r="M1516" i="10"/>
  <c r="L1516" i="10"/>
  <c r="K1516" i="10"/>
  <c r="J1516" i="10"/>
  <c r="O1516" i="10" s="1"/>
  <c r="I1516" i="10"/>
  <c r="H1516" i="10"/>
  <c r="G1516" i="10"/>
  <c r="F1516" i="10"/>
  <c r="Q1516" i="10" s="1"/>
  <c r="E1516" i="10"/>
  <c r="D1516" i="10"/>
  <c r="C1516" i="10"/>
  <c r="B1516" i="10"/>
  <c r="A1516" i="10"/>
  <c r="P1515" i="10"/>
  <c r="N1515" i="10"/>
  <c r="M1515" i="10"/>
  <c r="L1515" i="10"/>
  <c r="K1515" i="10"/>
  <c r="J1515" i="10"/>
  <c r="O1515" i="10" s="1"/>
  <c r="I1515" i="10"/>
  <c r="H1515" i="10"/>
  <c r="G1515" i="10"/>
  <c r="F1515" i="10"/>
  <c r="Q1515" i="10" s="1"/>
  <c r="E1515" i="10"/>
  <c r="D1515" i="10"/>
  <c r="C1515" i="10"/>
  <c r="B1515" i="10"/>
  <c r="A1515" i="10"/>
  <c r="R1514" i="10"/>
  <c r="P1514" i="10"/>
  <c r="N1514" i="10"/>
  <c r="M1514" i="10"/>
  <c r="L1514" i="10"/>
  <c r="K1514" i="10"/>
  <c r="J1514" i="10"/>
  <c r="O1514" i="10" s="1"/>
  <c r="I1514" i="10"/>
  <c r="H1514" i="10"/>
  <c r="G1514" i="10"/>
  <c r="F1514" i="10"/>
  <c r="Q1514" i="10" s="1"/>
  <c r="E1514" i="10"/>
  <c r="D1514" i="10"/>
  <c r="C1514" i="10"/>
  <c r="B1514" i="10"/>
  <c r="A1514" i="10"/>
  <c r="P1513" i="10"/>
  <c r="N1513" i="10"/>
  <c r="M1513" i="10"/>
  <c r="L1513" i="10"/>
  <c r="K1513" i="10"/>
  <c r="J1513" i="10"/>
  <c r="O1513" i="10" s="1"/>
  <c r="I1513" i="10"/>
  <c r="H1513" i="10"/>
  <c r="G1513" i="10"/>
  <c r="F1513" i="10"/>
  <c r="Q1513" i="10" s="1"/>
  <c r="E1513" i="10"/>
  <c r="D1513" i="10"/>
  <c r="C1513" i="10"/>
  <c r="B1513" i="10"/>
  <c r="A1513" i="10"/>
  <c r="P1512" i="10"/>
  <c r="N1512" i="10"/>
  <c r="M1512" i="10"/>
  <c r="L1512" i="10"/>
  <c r="K1512" i="10"/>
  <c r="J1512" i="10"/>
  <c r="O1512" i="10" s="1"/>
  <c r="I1512" i="10"/>
  <c r="H1512" i="10"/>
  <c r="G1512" i="10"/>
  <c r="F1512" i="10"/>
  <c r="Q1512" i="10" s="1"/>
  <c r="E1512" i="10"/>
  <c r="D1512" i="10"/>
  <c r="C1512" i="10"/>
  <c r="B1512" i="10"/>
  <c r="A1512" i="10"/>
  <c r="P1511" i="10"/>
  <c r="N1511" i="10"/>
  <c r="M1511" i="10"/>
  <c r="L1511" i="10"/>
  <c r="K1511" i="10"/>
  <c r="J1511" i="10"/>
  <c r="O1511" i="10" s="1"/>
  <c r="I1511" i="10"/>
  <c r="H1511" i="10"/>
  <c r="G1511" i="10"/>
  <c r="F1511" i="10"/>
  <c r="Q1511" i="10" s="1"/>
  <c r="E1511" i="10"/>
  <c r="D1511" i="10"/>
  <c r="C1511" i="10"/>
  <c r="B1511" i="10"/>
  <c r="A1511" i="10"/>
  <c r="P1510" i="10"/>
  <c r="N1510" i="10"/>
  <c r="M1510" i="10"/>
  <c r="L1510" i="10"/>
  <c r="K1510" i="10"/>
  <c r="J1510" i="10"/>
  <c r="O1510" i="10" s="1"/>
  <c r="R1510" i="10" s="1"/>
  <c r="I1510" i="10"/>
  <c r="H1510" i="10"/>
  <c r="G1510" i="10"/>
  <c r="F1510" i="10"/>
  <c r="Q1510" i="10" s="1"/>
  <c r="E1510" i="10"/>
  <c r="D1510" i="10"/>
  <c r="C1510" i="10"/>
  <c r="B1510" i="10"/>
  <c r="A1510" i="10"/>
  <c r="P1509" i="10"/>
  <c r="N1509" i="10"/>
  <c r="M1509" i="10"/>
  <c r="L1509" i="10"/>
  <c r="K1509" i="10"/>
  <c r="J1509" i="10"/>
  <c r="O1509" i="10" s="1"/>
  <c r="I1509" i="10"/>
  <c r="H1509" i="10"/>
  <c r="G1509" i="10"/>
  <c r="F1509" i="10"/>
  <c r="Q1509" i="10" s="1"/>
  <c r="E1509" i="10"/>
  <c r="D1509" i="10"/>
  <c r="C1509" i="10"/>
  <c r="B1509" i="10"/>
  <c r="A1509" i="10"/>
  <c r="R1508" i="10"/>
  <c r="P1508" i="10"/>
  <c r="N1508" i="10"/>
  <c r="M1508" i="10"/>
  <c r="L1508" i="10"/>
  <c r="K1508" i="10"/>
  <c r="J1508" i="10"/>
  <c r="O1508" i="10" s="1"/>
  <c r="I1508" i="10"/>
  <c r="H1508" i="10"/>
  <c r="G1508" i="10"/>
  <c r="F1508" i="10"/>
  <c r="Q1508" i="10" s="1"/>
  <c r="E1508" i="10"/>
  <c r="D1508" i="10"/>
  <c r="C1508" i="10"/>
  <c r="B1508" i="10"/>
  <c r="A1508" i="10"/>
  <c r="P1507" i="10"/>
  <c r="N1507" i="10"/>
  <c r="M1507" i="10"/>
  <c r="L1507" i="10"/>
  <c r="K1507" i="10"/>
  <c r="J1507" i="10"/>
  <c r="O1507" i="10" s="1"/>
  <c r="I1507" i="10"/>
  <c r="H1507" i="10"/>
  <c r="G1507" i="10"/>
  <c r="F1507" i="10"/>
  <c r="Q1507" i="10" s="1"/>
  <c r="E1507" i="10"/>
  <c r="D1507" i="10"/>
  <c r="C1507" i="10"/>
  <c r="B1507" i="10"/>
  <c r="A1507" i="10"/>
  <c r="R1506" i="10"/>
  <c r="P1506" i="10"/>
  <c r="N1506" i="10"/>
  <c r="M1506" i="10"/>
  <c r="L1506" i="10"/>
  <c r="K1506" i="10"/>
  <c r="J1506" i="10"/>
  <c r="O1506" i="10" s="1"/>
  <c r="I1506" i="10"/>
  <c r="H1506" i="10"/>
  <c r="G1506" i="10"/>
  <c r="F1506" i="10"/>
  <c r="Q1506" i="10" s="1"/>
  <c r="E1506" i="10"/>
  <c r="D1506" i="10"/>
  <c r="C1506" i="10"/>
  <c r="B1506" i="10"/>
  <c r="A1506" i="10"/>
  <c r="P1505" i="10"/>
  <c r="N1505" i="10"/>
  <c r="M1505" i="10"/>
  <c r="L1505" i="10"/>
  <c r="K1505" i="10"/>
  <c r="J1505" i="10"/>
  <c r="O1505" i="10" s="1"/>
  <c r="I1505" i="10"/>
  <c r="H1505" i="10"/>
  <c r="G1505" i="10"/>
  <c r="F1505" i="10"/>
  <c r="Q1505" i="10" s="1"/>
  <c r="E1505" i="10"/>
  <c r="D1505" i="10"/>
  <c r="C1505" i="10"/>
  <c r="B1505" i="10"/>
  <c r="A1505" i="10"/>
  <c r="P1504" i="10"/>
  <c r="N1504" i="10"/>
  <c r="M1504" i="10"/>
  <c r="L1504" i="10"/>
  <c r="K1504" i="10"/>
  <c r="J1504" i="10"/>
  <c r="O1504" i="10" s="1"/>
  <c r="I1504" i="10"/>
  <c r="H1504" i="10"/>
  <c r="G1504" i="10"/>
  <c r="F1504" i="10"/>
  <c r="Q1504" i="10" s="1"/>
  <c r="E1504" i="10"/>
  <c r="D1504" i="10"/>
  <c r="C1504" i="10"/>
  <c r="B1504" i="10"/>
  <c r="A1504" i="10"/>
  <c r="P1503" i="10"/>
  <c r="N1503" i="10"/>
  <c r="M1503" i="10"/>
  <c r="L1503" i="10"/>
  <c r="K1503" i="10"/>
  <c r="J1503" i="10"/>
  <c r="O1503" i="10" s="1"/>
  <c r="I1503" i="10"/>
  <c r="H1503" i="10"/>
  <c r="G1503" i="10"/>
  <c r="F1503" i="10"/>
  <c r="Q1503" i="10" s="1"/>
  <c r="E1503" i="10"/>
  <c r="D1503" i="10"/>
  <c r="C1503" i="10"/>
  <c r="B1503" i="10"/>
  <c r="A1503" i="10"/>
  <c r="P1502" i="10"/>
  <c r="N1502" i="10"/>
  <c r="M1502" i="10"/>
  <c r="L1502" i="10"/>
  <c r="K1502" i="10"/>
  <c r="J1502" i="10"/>
  <c r="O1502" i="10" s="1"/>
  <c r="R1502" i="10" s="1"/>
  <c r="I1502" i="10"/>
  <c r="H1502" i="10"/>
  <c r="G1502" i="10"/>
  <c r="F1502" i="10"/>
  <c r="Q1502" i="10" s="1"/>
  <c r="E1502" i="10"/>
  <c r="D1502" i="10"/>
  <c r="C1502" i="10"/>
  <c r="B1502" i="10"/>
  <c r="A1502" i="10"/>
  <c r="P1501" i="10"/>
  <c r="N1501" i="10"/>
  <c r="M1501" i="10"/>
  <c r="L1501" i="10"/>
  <c r="K1501" i="10"/>
  <c r="J1501" i="10"/>
  <c r="O1501" i="10" s="1"/>
  <c r="I1501" i="10"/>
  <c r="H1501" i="10"/>
  <c r="G1501" i="10"/>
  <c r="F1501" i="10"/>
  <c r="Q1501" i="10" s="1"/>
  <c r="E1501" i="10"/>
  <c r="D1501" i="10"/>
  <c r="C1501" i="10"/>
  <c r="B1501" i="10"/>
  <c r="A1501" i="10"/>
  <c r="R1500" i="10"/>
  <c r="P1500" i="10"/>
  <c r="N1500" i="10"/>
  <c r="M1500" i="10"/>
  <c r="L1500" i="10"/>
  <c r="K1500" i="10"/>
  <c r="J1500" i="10"/>
  <c r="O1500" i="10" s="1"/>
  <c r="I1500" i="10"/>
  <c r="H1500" i="10"/>
  <c r="G1500" i="10"/>
  <c r="F1500" i="10"/>
  <c r="Q1500" i="10" s="1"/>
  <c r="E1500" i="10"/>
  <c r="D1500" i="10"/>
  <c r="C1500" i="10"/>
  <c r="B1500" i="10"/>
  <c r="A1500" i="10"/>
  <c r="P1499" i="10"/>
  <c r="N1499" i="10"/>
  <c r="M1499" i="10"/>
  <c r="L1499" i="10"/>
  <c r="K1499" i="10"/>
  <c r="J1499" i="10"/>
  <c r="O1499" i="10" s="1"/>
  <c r="I1499" i="10"/>
  <c r="H1499" i="10"/>
  <c r="G1499" i="10"/>
  <c r="F1499" i="10"/>
  <c r="Q1499" i="10" s="1"/>
  <c r="E1499" i="10"/>
  <c r="D1499" i="10"/>
  <c r="C1499" i="10"/>
  <c r="B1499" i="10"/>
  <c r="A1499" i="10"/>
  <c r="R1498" i="10"/>
  <c r="P1498" i="10"/>
  <c r="N1498" i="10"/>
  <c r="M1498" i="10"/>
  <c r="L1498" i="10"/>
  <c r="K1498" i="10"/>
  <c r="J1498" i="10"/>
  <c r="O1498" i="10" s="1"/>
  <c r="I1498" i="10"/>
  <c r="H1498" i="10"/>
  <c r="G1498" i="10"/>
  <c r="F1498" i="10"/>
  <c r="Q1498" i="10" s="1"/>
  <c r="E1498" i="10"/>
  <c r="D1498" i="10"/>
  <c r="C1498" i="10"/>
  <c r="B1498" i="10"/>
  <c r="A1498" i="10"/>
  <c r="P1497" i="10"/>
  <c r="N1497" i="10"/>
  <c r="M1497" i="10"/>
  <c r="L1497" i="10"/>
  <c r="K1497" i="10"/>
  <c r="J1497" i="10"/>
  <c r="O1497" i="10" s="1"/>
  <c r="I1497" i="10"/>
  <c r="H1497" i="10"/>
  <c r="G1497" i="10"/>
  <c r="F1497" i="10"/>
  <c r="Q1497" i="10" s="1"/>
  <c r="E1497" i="10"/>
  <c r="D1497" i="10"/>
  <c r="C1497" i="10"/>
  <c r="B1497" i="10"/>
  <c r="A1497" i="10"/>
  <c r="P1496" i="10"/>
  <c r="N1496" i="10"/>
  <c r="M1496" i="10"/>
  <c r="L1496" i="10"/>
  <c r="K1496" i="10"/>
  <c r="J1496" i="10"/>
  <c r="O1496" i="10" s="1"/>
  <c r="I1496" i="10"/>
  <c r="H1496" i="10"/>
  <c r="G1496" i="10"/>
  <c r="F1496" i="10"/>
  <c r="Q1496" i="10" s="1"/>
  <c r="E1496" i="10"/>
  <c r="D1496" i="10"/>
  <c r="C1496" i="10"/>
  <c r="B1496" i="10"/>
  <c r="A1496" i="10"/>
  <c r="P1495" i="10"/>
  <c r="N1495" i="10"/>
  <c r="M1495" i="10"/>
  <c r="L1495" i="10"/>
  <c r="K1495" i="10"/>
  <c r="J1495" i="10"/>
  <c r="O1495" i="10" s="1"/>
  <c r="I1495" i="10"/>
  <c r="H1495" i="10"/>
  <c r="G1495" i="10"/>
  <c r="F1495" i="10"/>
  <c r="Q1495" i="10" s="1"/>
  <c r="E1495" i="10"/>
  <c r="D1495" i="10"/>
  <c r="C1495" i="10"/>
  <c r="B1495" i="10"/>
  <c r="A1495" i="10"/>
  <c r="P1494" i="10"/>
  <c r="N1494" i="10"/>
  <c r="M1494" i="10"/>
  <c r="L1494" i="10"/>
  <c r="K1494" i="10"/>
  <c r="J1494" i="10"/>
  <c r="O1494" i="10" s="1"/>
  <c r="R1494" i="10" s="1"/>
  <c r="I1494" i="10"/>
  <c r="H1494" i="10"/>
  <c r="G1494" i="10"/>
  <c r="F1494" i="10"/>
  <c r="Q1494" i="10" s="1"/>
  <c r="E1494" i="10"/>
  <c r="D1494" i="10"/>
  <c r="C1494" i="10"/>
  <c r="B1494" i="10"/>
  <c r="A1494" i="10"/>
  <c r="P1493" i="10"/>
  <c r="N1493" i="10"/>
  <c r="M1493" i="10"/>
  <c r="L1493" i="10"/>
  <c r="K1493" i="10"/>
  <c r="J1493" i="10"/>
  <c r="O1493" i="10" s="1"/>
  <c r="I1493" i="10"/>
  <c r="H1493" i="10"/>
  <c r="G1493" i="10"/>
  <c r="F1493" i="10"/>
  <c r="Q1493" i="10" s="1"/>
  <c r="E1493" i="10"/>
  <c r="D1493" i="10"/>
  <c r="C1493" i="10"/>
  <c r="B1493" i="10"/>
  <c r="A1493" i="10"/>
  <c r="R1492" i="10"/>
  <c r="P1492" i="10"/>
  <c r="N1492" i="10"/>
  <c r="M1492" i="10"/>
  <c r="L1492" i="10"/>
  <c r="K1492" i="10"/>
  <c r="J1492" i="10"/>
  <c r="O1492" i="10" s="1"/>
  <c r="I1492" i="10"/>
  <c r="H1492" i="10"/>
  <c r="G1492" i="10"/>
  <c r="F1492" i="10"/>
  <c r="Q1492" i="10" s="1"/>
  <c r="E1492" i="10"/>
  <c r="D1492" i="10"/>
  <c r="C1492" i="10"/>
  <c r="B1492" i="10"/>
  <c r="A1492" i="10"/>
  <c r="P1491" i="10"/>
  <c r="N1491" i="10"/>
  <c r="M1491" i="10"/>
  <c r="L1491" i="10"/>
  <c r="K1491" i="10"/>
  <c r="J1491" i="10"/>
  <c r="O1491" i="10" s="1"/>
  <c r="I1491" i="10"/>
  <c r="H1491" i="10"/>
  <c r="G1491" i="10"/>
  <c r="F1491" i="10"/>
  <c r="Q1491" i="10" s="1"/>
  <c r="E1491" i="10"/>
  <c r="D1491" i="10"/>
  <c r="C1491" i="10"/>
  <c r="B1491" i="10"/>
  <c r="A1491" i="10"/>
  <c r="R1490" i="10"/>
  <c r="P1490" i="10"/>
  <c r="N1490" i="10"/>
  <c r="M1490" i="10"/>
  <c r="L1490" i="10"/>
  <c r="K1490" i="10"/>
  <c r="J1490" i="10"/>
  <c r="O1490" i="10" s="1"/>
  <c r="I1490" i="10"/>
  <c r="H1490" i="10"/>
  <c r="G1490" i="10"/>
  <c r="F1490" i="10"/>
  <c r="Q1490" i="10" s="1"/>
  <c r="E1490" i="10"/>
  <c r="D1490" i="10"/>
  <c r="C1490" i="10"/>
  <c r="B1490" i="10"/>
  <c r="A1490" i="10"/>
  <c r="P1489" i="10"/>
  <c r="N1489" i="10"/>
  <c r="M1489" i="10"/>
  <c r="L1489" i="10"/>
  <c r="K1489" i="10"/>
  <c r="J1489" i="10"/>
  <c r="O1489" i="10" s="1"/>
  <c r="I1489" i="10"/>
  <c r="H1489" i="10"/>
  <c r="G1489" i="10"/>
  <c r="F1489" i="10"/>
  <c r="Q1489" i="10" s="1"/>
  <c r="E1489" i="10"/>
  <c r="D1489" i="10"/>
  <c r="C1489" i="10"/>
  <c r="B1489" i="10"/>
  <c r="A1489" i="10"/>
  <c r="P1488" i="10"/>
  <c r="N1488" i="10"/>
  <c r="M1488" i="10"/>
  <c r="L1488" i="10"/>
  <c r="K1488" i="10"/>
  <c r="J1488" i="10"/>
  <c r="O1488" i="10" s="1"/>
  <c r="I1488" i="10"/>
  <c r="H1488" i="10"/>
  <c r="G1488" i="10"/>
  <c r="F1488" i="10"/>
  <c r="Q1488" i="10" s="1"/>
  <c r="E1488" i="10"/>
  <c r="D1488" i="10"/>
  <c r="C1488" i="10"/>
  <c r="B1488" i="10"/>
  <c r="A1488" i="10"/>
  <c r="P1487" i="10"/>
  <c r="N1487" i="10"/>
  <c r="M1487" i="10"/>
  <c r="L1487" i="10"/>
  <c r="K1487" i="10"/>
  <c r="J1487" i="10"/>
  <c r="O1487" i="10" s="1"/>
  <c r="I1487" i="10"/>
  <c r="H1487" i="10"/>
  <c r="G1487" i="10"/>
  <c r="F1487" i="10"/>
  <c r="Q1487" i="10" s="1"/>
  <c r="E1487" i="10"/>
  <c r="D1487" i="10"/>
  <c r="C1487" i="10"/>
  <c r="B1487" i="10"/>
  <c r="A1487" i="10"/>
  <c r="P1486" i="10"/>
  <c r="N1486" i="10"/>
  <c r="M1486" i="10"/>
  <c r="L1486" i="10"/>
  <c r="K1486" i="10"/>
  <c r="J1486" i="10"/>
  <c r="O1486" i="10" s="1"/>
  <c r="R1486" i="10" s="1"/>
  <c r="I1486" i="10"/>
  <c r="H1486" i="10"/>
  <c r="G1486" i="10"/>
  <c r="F1486" i="10"/>
  <c r="Q1486" i="10" s="1"/>
  <c r="E1486" i="10"/>
  <c r="D1486" i="10"/>
  <c r="C1486" i="10"/>
  <c r="B1486" i="10"/>
  <c r="A1486" i="10"/>
  <c r="P1485" i="10"/>
  <c r="N1485" i="10"/>
  <c r="M1485" i="10"/>
  <c r="L1485" i="10"/>
  <c r="K1485" i="10"/>
  <c r="J1485" i="10"/>
  <c r="O1485" i="10" s="1"/>
  <c r="I1485" i="10"/>
  <c r="H1485" i="10"/>
  <c r="G1485" i="10"/>
  <c r="F1485" i="10"/>
  <c r="Q1485" i="10" s="1"/>
  <c r="E1485" i="10"/>
  <c r="D1485" i="10"/>
  <c r="C1485" i="10"/>
  <c r="B1485" i="10"/>
  <c r="A1485" i="10"/>
  <c r="R1484" i="10"/>
  <c r="P1484" i="10"/>
  <c r="N1484" i="10"/>
  <c r="M1484" i="10"/>
  <c r="L1484" i="10"/>
  <c r="K1484" i="10"/>
  <c r="J1484" i="10"/>
  <c r="O1484" i="10" s="1"/>
  <c r="I1484" i="10"/>
  <c r="H1484" i="10"/>
  <c r="G1484" i="10"/>
  <c r="F1484" i="10"/>
  <c r="Q1484" i="10" s="1"/>
  <c r="E1484" i="10"/>
  <c r="D1484" i="10"/>
  <c r="C1484" i="10"/>
  <c r="B1484" i="10"/>
  <c r="A1484" i="10"/>
  <c r="R1483" i="10"/>
  <c r="P1483" i="10"/>
  <c r="N1483" i="10"/>
  <c r="M1483" i="10"/>
  <c r="L1483" i="10"/>
  <c r="K1483" i="10"/>
  <c r="J1483" i="10"/>
  <c r="O1483" i="10" s="1"/>
  <c r="I1483" i="10"/>
  <c r="H1483" i="10"/>
  <c r="G1483" i="10"/>
  <c r="F1483" i="10"/>
  <c r="Q1483" i="10" s="1"/>
  <c r="E1483" i="10"/>
  <c r="D1483" i="10"/>
  <c r="C1483" i="10"/>
  <c r="B1483" i="10"/>
  <c r="A1483" i="10"/>
  <c r="R1482" i="10"/>
  <c r="P1482" i="10"/>
  <c r="N1482" i="10"/>
  <c r="M1482" i="10"/>
  <c r="L1482" i="10"/>
  <c r="K1482" i="10"/>
  <c r="J1482" i="10"/>
  <c r="O1482" i="10" s="1"/>
  <c r="I1482" i="10"/>
  <c r="H1482" i="10"/>
  <c r="G1482" i="10"/>
  <c r="F1482" i="10"/>
  <c r="Q1482" i="10" s="1"/>
  <c r="E1482" i="10"/>
  <c r="D1482" i="10"/>
  <c r="C1482" i="10"/>
  <c r="B1482" i="10"/>
  <c r="A1482" i="10"/>
  <c r="R1481" i="10"/>
  <c r="P1481" i="10"/>
  <c r="N1481" i="10"/>
  <c r="M1481" i="10"/>
  <c r="L1481" i="10"/>
  <c r="K1481" i="10"/>
  <c r="J1481" i="10"/>
  <c r="O1481" i="10" s="1"/>
  <c r="I1481" i="10"/>
  <c r="H1481" i="10"/>
  <c r="G1481" i="10"/>
  <c r="F1481" i="10"/>
  <c r="Q1481" i="10" s="1"/>
  <c r="E1481" i="10"/>
  <c r="D1481" i="10"/>
  <c r="C1481" i="10"/>
  <c r="B1481" i="10"/>
  <c r="A1481" i="10"/>
  <c r="R1480" i="10"/>
  <c r="P1480" i="10"/>
  <c r="N1480" i="10"/>
  <c r="M1480" i="10"/>
  <c r="L1480" i="10"/>
  <c r="K1480" i="10"/>
  <c r="J1480" i="10"/>
  <c r="O1480" i="10" s="1"/>
  <c r="I1480" i="10"/>
  <c r="H1480" i="10"/>
  <c r="G1480" i="10"/>
  <c r="F1480" i="10"/>
  <c r="Q1480" i="10" s="1"/>
  <c r="E1480" i="10"/>
  <c r="D1480" i="10"/>
  <c r="C1480" i="10"/>
  <c r="B1480" i="10"/>
  <c r="A1480" i="10"/>
  <c r="R1479" i="10"/>
  <c r="P1479" i="10"/>
  <c r="N1479" i="10"/>
  <c r="M1479" i="10"/>
  <c r="L1479" i="10"/>
  <c r="K1479" i="10"/>
  <c r="J1479" i="10"/>
  <c r="O1479" i="10" s="1"/>
  <c r="I1479" i="10"/>
  <c r="H1479" i="10"/>
  <c r="G1479" i="10"/>
  <c r="F1479" i="10"/>
  <c r="Q1479" i="10" s="1"/>
  <c r="E1479" i="10"/>
  <c r="D1479" i="10"/>
  <c r="C1479" i="10"/>
  <c r="B1479" i="10"/>
  <c r="A1479" i="10"/>
  <c r="R1478" i="10"/>
  <c r="P1478" i="10"/>
  <c r="N1478" i="10"/>
  <c r="M1478" i="10"/>
  <c r="L1478" i="10"/>
  <c r="K1478" i="10"/>
  <c r="J1478" i="10"/>
  <c r="O1478" i="10" s="1"/>
  <c r="I1478" i="10"/>
  <c r="H1478" i="10"/>
  <c r="G1478" i="10"/>
  <c r="F1478" i="10"/>
  <c r="Q1478" i="10" s="1"/>
  <c r="E1478" i="10"/>
  <c r="D1478" i="10"/>
  <c r="C1478" i="10"/>
  <c r="B1478" i="10"/>
  <c r="A1478" i="10"/>
  <c r="R1477" i="10"/>
  <c r="P1477" i="10"/>
  <c r="N1477" i="10"/>
  <c r="M1477" i="10"/>
  <c r="L1477" i="10"/>
  <c r="K1477" i="10"/>
  <c r="J1477" i="10"/>
  <c r="O1477" i="10" s="1"/>
  <c r="I1477" i="10"/>
  <c r="H1477" i="10"/>
  <c r="G1477" i="10"/>
  <c r="F1477" i="10"/>
  <c r="Q1477" i="10" s="1"/>
  <c r="E1477" i="10"/>
  <c r="D1477" i="10"/>
  <c r="C1477" i="10"/>
  <c r="B1477" i="10"/>
  <c r="A1477" i="10"/>
  <c r="R1476" i="10"/>
  <c r="P1476" i="10"/>
  <c r="N1476" i="10"/>
  <c r="M1476" i="10"/>
  <c r="L1476" i="10"/>
  <c r="K1476" i="10"/>
  <c r="J1476" i="10"/>
  <c r="O1476" i="10" s="1"/>
  <c r="I1476" i="10"/>
  <c r="H1476" i="10"/>
  <c r="G1476" i="10"/>
  <c r="F1476" i="10"/>
  <c r="Q1476" i="10" s="1"/>
  <c r="E1476" i="10"/>
  <c r="D1476" i="10"/>
  <c r="C1476" i="10"/>
  <c r="B1476" i="10"/>
  <c r="A1476" i="10"/>
  <c r="R1475" i="10"/>
  <c r="P1475" i="10"/>
  <c r="N1475" i="10"/>
  <c r="M1475" i="10"/>
  <c r="L1475" i="10"/>
  <c r="K1475" i="10"/>
  <c r="J1475" i="10"/>
  <c r="O1475" i="10" s="1"/>
  <c r="I1475" i="10"/>
  <c r="H1475" i="10"/>
  <c r="G1475" i="10"/>
  <c r="F1475" i="10"/>
  <c r="Q1475" i="10" s="1"/>
  <c r="E1475" i="10"/>
  <c r="D1475" i="10"/>
  <c r="C1475" i="10"/>
  <c r="B1475" i="10"/>
  <c r="A1475" i="10"/>
  <c r="R1474" i="10"/>
  <c r="P1474" i="10"/>
  <c r="N1474" i="10"/>
  <c r="M1474" i="10"/>
  <c r="L1474" i="10"/>
  <c r="K1474" i="10"/>
  <c r="J1474" i="10"/>
  <c r="O1474" i="10" s="1"/>
  <c r="I1474" i="10"/>
  <c r="H1474" i="10"/>
  <c r="G1474" i="10"/>
  <c r="F1474" i="10"/>
  <c r="Q1474" i="10" s="1"/>
  <c r="E1474" i="10"/>
  <c r="D1474" i="10"/>
  <c r="C1474" i="10"/>
  <c r="B1474" i="10"/>
  <c r="A1474" i="10"/>
  <c r="R1473" i="10"/>
  <c r="P1473" i="10"/>
  <c r="N1473" i="10"/>
  <c r="M1473" i="10"/>
  <c r="L1473" i="10"/>
  <c r="K1473" i="10"/>
  <c r="J1473" i="10"/>
  <c r="O1473" i="10" s="1"/>
  <c r="I1473" i="10"/>
  <c r="H1473" i="10"/>
  <c r="G1473" i="10"/>
  <c r="F1473" i="10"/>
  <c r="Q1473" i="10" s="1"/>
  <c r="E1473" i="10"/>
  <c r="D1473" i="10"/>
  <c r="C1473" i="10"/>
  <c r="B1473" i="10"/>
  <c r="A1473" i="10"/>
  <c r="R1472" i="10"/>
  <c r="P1472" i="10"/>
  <c r="N1472" i="10"/>
  <c r="M1472" i="10"/>
  <c r="L1472" i="10"/>
  <c r="K1472" i="10"/>
  <c r="J1472" i="10"/>
  <c r="O1472" i="10" s="1"/>
  <c r="I1472" i="10"/>
  <c r="H1472" i="10"/>
  <c r="G1472" i="10"/>
  <c r="F1472" i="10"/>
  <c r="Q1472" i="10" s="1"/>
  <c r="E1472" i="10"/>
  <c r="D1472" i="10"/>
  <c r="C1472" i="10"/>
  <c r="B1472" i="10"/>
  <c r="A1472" i="10"/>
  <c r="R1471" i="10"/>
  <c r="P1471" i="10"/>
  <c r="N1471" i="10"/>
  <c r="M1471" i="10"/>
  <c r="L1471" i="10"/>
  <c r="K1471" i="10"/>
  <c r="J1471" i="10"/>
  <c r="O1471" i="10" s="1"/>
  <c r="I1471" i="10"/>
  <c r="H1471" i="10"/>
  <c r="G1471" i="10"/>
  <c r="F1471" i="10"/>
  <c r="Q1471" i="10" s="1"/>
  <c r="E1471" i="10"/>
  <c r="D1471" i="10"/>
  <c r="C1471" i="10"/>
  <c r="B1471" i="10"/>
  <c r="A1471" i="10"/>
  <c r="R1470" i="10"/>
  <c r="P1470" i="10"/>
  <c r="N1470" i="10"/>
  <c r="M1470" i="10"/>
  <c r="L1470" i="10"/>
  <c r="K1470" i="10"/>
  <c r="J1470" i="10"/>
  <c r="O1470" i="10" s="1"/>
  <c r="I1470" i="10"/>
  <c r="H1470" i="10"/>
  <c r="G1470" i="10"/>
  <c r="F1470" i="10"/>
  <c r="Q1470" i="10" s="1"/>
  <c r="E1470" i="10"/>
  <c r="D1470" i="10"/>
  <c r="C1470" i="10"/>
  <c r="B1470" i="10"/>
  <c r="A1470" i="10"/>
  <c r="R1469" i="10"/>
  <c r="P1469" i="10"/>
  <c r="N1469" i="10"/>
  <c r="M1469" i="10"/>
  <c r="L1469" i="10"/>
  <c r="K1469" i="10"/>
  <c r="J1469" i="10"/>
  <c r="O1469" i="10" s="1"/>
  <c r="I1469" i="10"/>
  <c r="H1469" i="10"/>
  <c r="G1469" i="10"/>
  <c r="F1469" i="10"/>
  <c r="Q1469" i="10" s="1"/>
  <c r="E1469" i="10"/>
  <c r="D1469" i="10"/>
  <c r="C1469" i="10"/>
  <c r="B1469" i="10"/>
  <c r="A1469" i="10"/>
  <c r="R1468" i="10"/>
  <c r="P1468" i="10"/>
  <c r="N1468" i="10"/>
  <c r="M1468" i="10"/>
  <c r="L1468" i="10"/>
  <c r="K1468" i="10"/>
  <c r="J1468" i="10"/>
  <c r="O1468" i="10" s="1"/>
  <c r="I1468" i="10"/>
  <c r="H1468" i="10"/>
  <c r="G1468" i="10"/>
  <c r="F1468" i="10"/>
  <c r="Q1468" i="10" s="1"/>
  <c r="E1468" i="10"/>
  <c r="D1468" i="10"/>
  <c r="C1468" i="10"/>
  <c r="B1468" i="10"/>
  <c r="A1468" i="10"/>
  <c r="R1467" i="10"/>
  <c r="P1467" i="10"/>
  <c r="N1467" i="10"/>
  <c r="M1467" i="10"/>
  <c r="L1467" i="10"/>
  <c r="K1467" i="10"/>
  <c r="J1467" i="10"/>
  <c r="O1467" i="10" s="1"/>
  <c r="I1467" i="10"/>
  <c r="H1467" i="10"/>
  <c r="G1467" i="10"/>
  <c r="F1467" i="10"/>
  <c r="Q1467" i="10" s="1"/>
  <c r="E1467" i="10"/>
  <c r="D1467" i="10"/>
  <c r="C1467" i="10"/>
  <c r="B1467" i="10"/>
  <c r="A1467" i="10"/>
  <c r="R1466" i="10"/>
  <c r="P1466" i="10"/>
  <c r="N1466" i="10"/>
  <c r="M1466" i="10"/>
  <c r="L1466" i="10"/>
  <c r="K1466" i="10"/>
  <c r="J1466" i="10"/>
  <c r="O1466" i="10" s="1"/>
  <c r="I1466" i="10"/>
  <c r="H1466" i="10"/>
  <c r="G1466" i="10"/>
  <c r="F1466" i="10"/>
  <c r="Q1466" i="10" s="1"/>
  <c r="E1466" i="10"/>
  <c r="D1466" i="10"/>
  <c r="C1466" i="10"/>
  <c r="B1466" i="10"/>
  <c r="A1466" i="10"/>
  <c r="R1465" i="10"/>
  <c r="P1465" i="10"/>
  <c r="N1465" i="10"/>
  <c r="M1465" i="10"/>
  <c r="L1465" i="10"/>
  <c r="K1465" i="10"/>
  <c r="J1465" i="10"/>
  <c r="O1465" i="10" s="1"/>
  <c r="I1465" i="10"/>
  <c r="H1465" i="10"/>
  <c r="G1465" i="10"/>
  <c r="F1465" i="10"/>
  <c r="Q1465" i="10" s="1"/>
  <c r="E1465" i="10"/>
  <c r="D1465" i="10"/>
  <c r="C1465" i="10"/>
  <c r="B1465" i="10"/>
  <c r="A1465" i="10"/>
  <c r="R1464" i="10"/>
  <c r="P1464" i="10"/>
  <c r="N1464" i="10"/>
  <c r="M1464" i="10"/>
  <c r="L1464" i="10"/>
  <c r="K1464" i="10"/>
  <c r="J1464" i="10"/>
  <c r="O1464" i="10" s="1"/>
  <c r="I1464" i="10"/>
  <c r="H1464" i="10"/>
  <c r="G1464" i="10"/>
  <c r="F1464" i="10"/>
  <c r="Q1464" i="10" s="1"/>
  <c r="E1464" i="10"/>
  <c r="D1464" i="10"/>
  <c r="C1464" i="10"/>
  <c r="B1464" i="10"/>
  <c r="A1464" i="10"/>
  <c r="R1463" i="10"/>
  <c r="P1463" i="10"/>
  <c r="N1463" i="10"/>
  <c r="M1463" i="10"/>
  <c r="L1463" i="10"/>
  <c r="K1463" i="10"/>
  <c r="J1463" i="10"/>
  <c r="O1463" i="10" s="1"/>
  <c r="I1463" i="10"/>
  <c r="H1463" i="10"/>
  <c r="G1463" i="10"/>
  <c r="F1463" i="10"/>
  <c r="Q1463" i="10" s="1"/>
  <c r="E1463" i="10"/>
  <c r="D1463" i="10"/>
  <c r="C1463" i="10"/>
  <c r="B1463" i="10"/>
  <c r="A1463" i="10"/>
  <c r="R1462" i="10"/>
  <c r="P1462" i="10"/>
  <c r="N1462" i="10"/>
  <c r="M1462" i="10"/>
  <c r="L1462" i="10"/>
  <c r="K1462" i="10"/>
  <c r="J1462" i="10"/>
  <c r="O1462" i="10" s="1"/>
  <c r="I1462" i="10"/>
  <c r="H1462" i="10"/>
  <c r="G1462" i="10"/>
  <c r="F1462" i="10"/>
  <c r="Q1462" i="10" s="1"/>
  <c r="E1462" i="10"/>
  <c r="D1462" i="10"/>
  <c r="C1462" i="10"/>
  <c r="B1462" i="10"/>
  <c r="A1462" i="10"/>
  <c r="R1461" i="10"/>
  <c r="P1461" i="10"/>
  <c r="N1461" i="10"/>
  <c r="M1461" i="10"/>
  <c r="L1461" i="10"/>
  <c r="K1461" i="10"/>
  <c r="J1461" i="10"/>
  <c r="O1461" i="10" s="1"/>
  <c r="I1461" i="10"/>
  <c r="H1461" i="10"/>
  <c r="G1461" i="10"/>
  <c r="F1461" i="10"/>
  <c r="Q1461" i="10" s="1"/>
  <c r="E1461" i="10"/>
  <c r="D1461" i="10"/>
  <c r="C1461" i="10"/>
  <c r="B1461" i="10"/>
  <c r="A1461" i="10"/>
  <c r="R1460" i="10"/>
  <c r="P1460" i="10"/>
  <c r="N1460" i="10"/>
  <c r="M1460" i="10"/>
  <c r="L1460" i="10"/>
  <c r="K1460" i="10"/>
  <c r="J1460" i="10"/>
  <c r="O1460" i="10" s="1"/>
  <c r="I1460" i="10"/>
  <c r="H1460" i="10"/>
  <c r="G1460" i="10"/>
  <c r="F1460" i="10"/>
  <c r="Q1460" i="10" s="1"/>
  <c r="E1460" i="10"/>
  <c r="D1460" i="10"/>
  <c r="C1460" i="10"/>
  <c r="B1460" i="10"/>
  <c r="A1460" i="10"/>
  <c r="R1459" i="10"/>
  <c r="P1459" i="10"/>
  <c r="N1459" i="10"/>
  <c r="M1459" i="10"/>
  <c r="L1459" i="10"/>
  <c r="K1459" i="10"/>
  <c r="J1459" i="10"/>
  <c r="O1459" i="10" s="1"/>
  <c r="I1459" i="10"/>
  <c r="H1459" i="10"/>
  <c r="G1459" i="10"/>
  <c r="F1459" i="10"/>
  <c r="Q1459" i="10" s="1"/>
  <c r="E1459" i="10"/>
  <c r="D1459" i="10"/>
  <c r="C1459" i="10"/>
  <c r="B1459" i="10"/>
  <c r="A1459" i="10"/>
  <c r="R1458" i="10"/>
  <c r="P1458" i="10"/>
  <c r="N1458" i="10"/>
  <c r="M1458" i="10"/>
  <c r="L1458" i="10"/>
  <c r="K1458" i="10"/>
  <c r="J1458" i="10"/>
  <c r="O1458" i="10" s="1"/>
  <c r="I1458" i="10"/>
  <c r="H1458" i="10"/>
  <c r="G1458" i="10"/>
  <c r="F1458" i="10"/>
  <c r="Q1458" i="10" s="1"/>
  <c r="E1458" i="10"/>
  <c r="D1458" i="10"/>
  <c r="C1458" i="10"/>
  <c r="B1458" i="10"/>
  <c r="A1458" i="10"/>
  <c r="R1457" i="10"/>
  <c r="P1457" i="10"/>
  <c r="N1457" i="10"/>
  <c r="M1457" i="10"/>
  <c r="L1457" i="10"/>
  <c r="K1457" i="10"/>
  <c r="J1457" i="10"/>
  <c r="O1457" i="10" s="1"/>
  <c r="I1457" i="10"/>
  <c r="H1457" i="10"/>
  <c r="G1457" i="10"/>
  <c r="F1457" i="10"/>
  <c r="Q1457" i="10" s="1"/>
  <c r="E1457" i="10"/>
  <c r="D1457" i="10"/>
  <c r="C1457" i="10"/>
  <c r="B1457" i="10"/>
  <c r="A1457" i="10"/>
  <c r="R1456" i="10"/>
  <c r="P1456" i="10"/>
  <c r="N1456" i="10"/>
  <c r="M1456" i="10"/>
  <c r="L1456" i="10"/>
  <c r="K1456" i="10"/>
  <c r="J1456" i="10"/>
  <c r="O1456" i="10" s="1"/>
  <c r="I1456" i="10"/>
  <c r="H1456" i="10"/>
  <c r="G1456" i="10"/>
  <c r="F1456" i="10"/>
  <c r="Q1456" i="10" s="1"/>
  <c r="E1456" i="10"/>
  <c r="D1456" i="10"/>
  <c r="C1456" i="10"/>
  <c r="B1456" i="10"/>
  <c r="A1456" i="10"/>
  <c r="R1455" i="10"/>
  <c r="P1455" i="10"/>
  <c r="N1455" i="10"/>
  <c r="M1455" i="10"/>
  <c r="L1455" i="10"/>
  <c r="K1455" i="10"/>
  <c r="J1455" i="10"/>
  <c r="O1455" i="10" s="1"/>
  <c r="I1455" i="10"/>
  <c r="H1455" i="10"/>
  <c r="G1455" i="10"/>
  <c r="F1455" i="10"/>
  <c r="Q1455" i="10" s="1"/>
  <c r="E1455" i="10"/>
  <c r="D1455" i="10"/>
  <c r="C1455" i="10"/>
  <c r="B1455" i="10"/>
  <c r="A1455" i="10"/>
  <c r="R1454" i="10"/>
  <c r="P1454" i="10"/>
  <c r="N1454" i="10"/>
  <c r="M1454" i="10"/>
  <c r="L1454" i="10"/>
  <c r="K1454" i="10"/>
  <c r="J1454" i="10"/>
  <c r="O1454" i="10" s="1"/>
  <c r="I1454" i="10"/>
  <c r="H1454" i="10"/>
  <c r="G1454" i="10"/>
  <c r="F1454" i="10"/>
  <c r="Q1454" i="10" s="1"/>
  <c r="E1454" i="10"/>
  <c r="D1454" i="10"/>
  <c r="C1454" i="10"/>
  <c r="B1454" i="10"/>
  <c r="A1454" i="10"/>
  <c r="P1453" i="10"/>
  <c r="N1453" i="10"/>
  <c r="M1453" i="10"/>
  <c r="L1453" i="10"/>
  <c r="K1453" i="10"/>
  <c r="J1453" i="10"/>
  <c r="O1453" i="10" s="1"/>
  <c r="R1453" i="10" s="1"/>
  <c r="I1453" i="10"/>
  <c r="H1453" i="10"/>
  <c r="G1453" i="10"/>
  <c r="F1453" i="10"/>
  <c r="Q1453" i="10" s="1"/>
  <c r="E1453" i="10"/>
  <c r="D1453" i="10"/>
  <c r="C1453" i="10"/>
  <c r="B1453" i="10"/>
  <c r="A1453" i="10"/>
  <c r="N1452" i="10"/>
  <c r="M1452" i="10"/>
  <c r="L1452" i="10"/>
  <c r="K1452" i="10"/>
  <c r="J1452" i="10"/>
  <c r="O1452" i="10" s="1"/>
  <c r="I1452" i="10"/>
  <c r="H1452" i="10"/>
  <c r="G1452" i="10"/>
  <c r="F1452" i="10"/>
  <c r="Q1452" i="10" s="1"/>
  <c r="E1452" i="10"/>
  <c r="P1452" i="10" s="1"/>
  <c r="D1452" i="10"/>
  <c r="C1452" i="10"/>
  <c r="B1452" i="10"/>
  <c r="A1452" i="10"/>
  <c r="P1451" i="10"/>
  <c r="O1451" i="10"/>
  <c r="R1451" i="10" s="1"/>
  <c r="N1451" i="10"/>
  <c r="M1451" i="10"/>
  <c r="L1451" i="10"/>
  <c r="K1451" i="10"/>
  <c r="J1451" i="10"/>
  <c r="I1451" i="10"/>
  <c r="H1451" i="10"/>
  <c r="G1451" i="10"/>
  <c r="F1451" i="10"/>
  <c r="Q1451" i="10" s="1"/>
  <c r="E1451" i="10"/>
  <c r="D1451" i="10"/>
  <c r="C1451" i="10"/>
  <c r="B1451" i="10"/>
  <c r="A1451" i="10"/>
  <c r="Q1450" i="10"/>
  <c r="R1450" i="10" s="1"/>
  <c r="P1450" i="10"/>
  <c r="N1450" i="10"/>
  <c r="M1450" i="10"/>
  <c r="L1450" i="10"/>
  <c r="K1450" i="10"/>
  <c r="J1450" i="10"/>
  <c r="O1450" i="10" s="1"/>
  <c r="I1450" i="10"/>
  <c r="H1450" i="10"/>
  <c r="G1450" i="10"/>
  <c r="F1450" i="10"/>
  <c r="E1450" i="10"/>
  <c r="D1450" i="10"/>
  <c r="C1450" i="10"/>
  <c r="B1450" i="10"/>
  <c r="A1450" i="10"/>
  <c r="R1449" i="10"/>
  <c r="P1449" i="10"/>
  <c r="N1449" i="10"/>
  <c r="M1449" i="10"/>
  <c r="L1449" i="10"/>
  <c r="K1449" i="10"/>
  <c r="J1449" i="10"/>
  <c r="O1449" i="10" s="1"/>
  <c r="I1449" i="10"/>
  <c r="H1449" i="10"/>
  <c r="G1449" i="10"/>
  <c r="F1449" i="10"/>
  <c r="Q1449" i="10" s="1"/>
  <c r="E1449" i="10"/>
  <c r="D1449" i="10"/>
  <c r="C1449" i="10"/>
  <c r="B1449" i="10"/>
  <c r="A1449" i="10"/>
  <c r="N1448" i="10"/>
  <c r="M1448" i="10"/>
  <c r="L1448" i="10"/>
  <c r="K1448" i="10"/>
  <c r="J1448" i="10"/>
  <c r="O1448" i="10" s="1"/>
  <c r="I1448" i="10"/>
  <c r="H1448" i="10"/>
  <c r="G1448" i="10"/>
  <c r="F1448" i="10"/>
  <c r="Q1448" i="10" s="1"/>
  <c r="E1448" i="10"/>
  <c r="P1448" i="10" s="1"/>
  <c r="D1448" i="10"/>
  <c r="C1448" i="10"/>
  <c r="B1448" i="10"/>
  <c r="A1448" i="10"/>
  <c r="P1447" i="10"/>
  <c r="O1447" i="10"/>
  <c r="R1447" i="10" s="1"/>
  <c r="N1447" i="10"/>
  <c r="M1447" i="10"/>
  <c r="L1447" i="10"/>
  <c r="K1447" i="10"/>
  <c r="J1447" i="10"/>
  <c r="I1447" i="10"/>
  <c r="H1447" i="10"/>
  <c r="G1447" i="10"/>
  <c r="F1447" i="10"/>
  <c r="Q1447" i="10" s="1"/>
  <c r="E1447" i="10"/>
  <c r="D1447" i="10"/>
  <c r="C1447" i="10"/>
  <c r="B1447" i="10"/>
  <c r="A1447" i="10"/>
  <c r="Q1446" i="10"/>
  <c r="R1446" i="10" s="1"/>
  <c r="P1446" i="10"/>
  <c r="N1446" i="10"/>
  <c r="M1446" i="10"/>
  <c r="L1446" i="10"/>
  <c r="K1446" i="10"/>
  <c r="J1446" i="10"/>
  <c r="O1446" i="10" s="1"/>
  <c r="I1446" i="10"/>
  <c r="H1446" i="10"/>
  <c r="G1446" i="10"/>
  <c r="F1446" i="10"/>
  <c r="E1446" i="10"/>
  <c r="D1446" i="10"/>
  <c r="C1446" i="10"/>
  <c r="B1446" i="10"/>
  <c r="A1446" i="10"/>
  <c r="P1445" i="10"/>
  <c r="N1445" i="10"/>
  <c r="M1445" i="10"/>
  <c r="L1445" i="10"/>
  <c r="K1445" i="10"/>
  <c r="J1445" i="10"/>
  <c r="O1445" i="10" s="1"/>
  <c r="R1445" i="10" s="1"/>
  <c r="I1445" i="10"/>
  <c r="H1445" i="10"/>
  <c r="G1445" i="10"/>
  <c r="F1445" i="10"/>
  <c r="Q1445" i="10" s="1"/>
  <c r="E1445" i="10"/>
  <c r="D1445" i="10"/>
  <c r="C1445" i="10"/>
  <c r="B1445" i="10"/>
  <c r="A1445" i="10"/>
  <c r="N1444" i="10"/>
  <c r="M1444" i="10"/>
  <c r="L1444" i="10"/>
  <c r="K1444" i="10"/>
  <c r="J1444" i="10"/>
  <c r="O1444" i="10" s="1"/>
  <c r="I1444" i="10"/>
  <c r="H1444" i="10"/>
  <c r="G1444" i="10"/>
  <c r="F1444" i="10"/>
  <c r="Q1444" i="10" s="1"/>
  <c r="E1444" i="10"/>
  <c r="P1444" i="10" s="1"/>
  <c r="D1444" i="10"/>
  <c r="C1444" i="10"/>
  <c r="B1444" i="10"/>
  <c r="A1444" i="10"/>
  <c r="P1443" i="10"/>
  <c r="O1443" i="10"/>
  <c r="R1443" i="10" s="1"/>
  <c r="N1443" i="10"/>
  <c r="M1443" i="10"/>
  <c r="L1443" i="10"/>
  <c r="K1443" i="10"/>
  <c r="J1443" i="10"/>
  <c r="I1443" i="10"/>
  <c r="H1443" i="10"/>
  <c r="G1443" i="10"/>
  <c r="F1443" i="10"/>
  <c r="Q1443" i="10" s="1"/>
  <c r="E1443" i="10"/>
  <c r="D1443" i="10"/>
  <c r="C1443" i="10"/>
  <c r="B1443" i="10"/>
  <c r="A1443" i="10"/>
  <c r="Q1442" i="10"/>
  <c r="R1442" i="10" s="1"/>
  <c r="P1442" i="10"/>
  <c r="N1442" i="10"/>
  <c r="M1442" i="10"/>
  <c r="L1442" i="10"/>
  <c r="K1442" i="10"/>
  <c r="J1442" i="10"/>
  <c r="O1442" i="10" s="1"/>
  <c r="I1442" i="10"/>
  <c r="H1442" i="10"/>
  <c r="G1442" i="10"/>
  <c r="F1442" i="10"/>
  <c r="E1442" i="10"/>
  <c r="D1442" i="10"/>
  <c r="C1442" i="10"/>
  <c r="B1442" i="10"/>
  <c r="A1442" i="10"/>
  <c r="R1441" i="10"/>
  <c r="P1441" i="10"/>
  <c r="N1441" i="10"/>
  <c r="M1441" i="10"/>
  <c r="L1441" i="10"/>
  <c r="K1441" i="10"/>
  <c r="J1441" i="10"/>
  <c r="O1441" i="10" s="1"/>
  <c r="I1441" i="10"/>
  <c r="H1441" i="10"/>
  <c r="G1441" i="10"/>
  <c r="F1441" i="10"/>
  <c r="Q1441" i="10" s="1"/>
  <c r="E1441" i="10"/>
  <c r="D1441" i="10"/>
  <c r="C1441" i="10"/>
  <c r="B1441" i="10"/>
  <c r="A1441" i="10"/>
  <c r="N1440" i="10"/>
  <c r="M1440" i="10"/>
  <c r="L1440" i="10"/>
  <c r="K1440" i="10"/>
  <c r="J1440" i="10"/>
  <c r="O1440" i="10" s="1"/>
  <c r="I1440" i="10"/>
  <c r="H1440" i="10"/>
  <c r="G1440" i="10"/>
  <c r="F1440" i="10"/>
  <c r="Q1440" i="10" s="1"/>
  <c r="E1440" i="10"/>
  <c r="P1440" i="10" s="1"/>
  <c r="D1440" i="10"/>
  <c r="C1440" i="10"/>
  <c r="B1440" i="10"/>
  <c r="A1440" i="10"/>
  <c r="P1439" i="10"/>
  <c r="O1439" i="10"/>
  <c r="R1439" i="10" s="1"/>
  <c r="N1439" i="10"/>
  <c r="M1439" i="10"/>
  <c r="L1439" i="10"/>
  <c r="K1439" i="10"/>
  <c r="J1439" i="10"/>
  <c r="I1439" i="10"/>
  <c r="H1439" i="10"/>
  <c r="G1439" i="10"/>
  <c r="F1439" i="10"/>
  <c r="Q1439" i="10" s="1"/>
  <c r="E1439" i="10"/>
  <c r="D1439" i="10"/>
  <c r="C1439" i="10"/>
  <c r="B1439" i="10"/>
  <c r="A1439" i="10"/>
  <c r="Q1438" i="10"/>
  <c r="R1438" i="10" s="1"/>
  <c r="P1438" i="10"/>
  <c r="N1438" i="10"/>
  <c r="M1438" i="10"/>
  <c r="L1438" i="10"/>
  <c r="K1438" i="10"/>
  <c r="J1438" i="10"/>
  <c r="O1438" i="10" s="1"/>
  <c r="I1438" i="10"/>
  <c r="H1438" i="10"/>
  <c r="G1438" i="10"/>
  <c r="F1438" i="10"/>
  <c r="E1438" i="10"/>
  <c r="D1438" i="10"/>
  <c r="C1438" i="10"/>
  <c r="B1438" i="10"/>
  <c r="A1438" i="10"/>
  <c r="P1437" i="10"/>
  <c r="N1437" i="10"/>
  <c r="M1437" i="10"/>
  <c r="L1437" i="10"/>
  <c r="K1437" i="10"/>
  <c r="J1437" i="10"/>
  <c r="O1437" i="10" s="1"/>
  <c r="R1437" i="10" s="1"/>
  <c r="I1437" i="10"/>
  <c r="H1437" i="10"/>
  <c r="G1437" i="10"/>
  <c r="F1437" i="10"/>
  <c r="Q1437" i="10" s="1"/>
  <c r="E1437" i="10"/>
  <c r="D1437" i="10"/>
  <c r="C1437" i="10"/>
  <c r="B1437" i="10"/>
  <c r="A1437" i="10"/>
  <c r="N1436" i="10"/>
  <c r="M1436" i="10"/>
  <c r="L1436" i="10"/>
  <c r="K1436" i="10"/>
  <c r="J1436" i="10"/>
  <c r="O1436" i="10" s="1"/>
  <c r="I1436" i="10"/>
  <c r="H1436" i="10"/>
  <c r="G1436" i="10"/>
  <c r="F1436" i="10"/>
  <c r="Q1436" i="10" s="1"/>
  <c r="E1436" i="10"/>
  <c r="P1436" i="10" s="1"/>
  <c r="D1436" i="10"/>
  <c r="C1436" i="10"/>
  <c r="B1436" i="10"/>
  <c r="A1436" i="10"/>
  <c r="P1435" i="10"/>
  <c r="O1435" i="10"/>
  <c r="R1435" i="10" s="1"/>
  <c r="N1435" i="10"/>
  <c r="M1435" i="10"/>
  <c r="L1435" i="10"/>
  <c r="K1435" i="10"/>
  <c r="J1435" i="10"/>
  <c r="I1435" i="10"/>
  <c r="H1435" i="10"/>
  <c r="G1435" i="10"/>
  <c r="F1435" i="10"/>
  <c r="Q1435" i="10" s="1"/>
  <c r="E1435" i="10"/>
  <c r="D1435" i="10"/>
  <c r="C1435" i="10"/>
  <c r="B1435" i="10"/>
  <c r="A1435" i="10"/>
  <c r="Q1434" i="10"/>
  <c r="R1434" i="10" s="1"/>
  <c r="P1434" i="10"/>
  <c r="N1434" i="10"/>
  <c r="M1434" i="10"/>
  <c r="L1434" i="10"/>
  <c r="K1434" i="10"/>
  <c r="J1434" i="10"/>
  <c r="O1434" i="10" s="1"/>
  <c r="I1434" i="10"/>
  <c r="H1434" i="10"/>
  <c r="G1434" i="10"/>
  <c r="F1434" i="10"/>
  <c r="E1434" i="10"/>
  <c r="D1434" i="10"/>
  <c r="C1434" i="10"/>
  <c r="B1434" i="10"/>
  <c r="A1434" i="10"/>
  <c r="R1433" i="10"/>
  <c r="P1433" i="10"/>
  <c r="N1433" i="10"/>
  <c r="M1433" i="10"/>
  <c r="L1433" i="10"/>
  <c r="K1433" i="10"/>
  <c r="J1433" i="10"/>
  <c r="O1433" i="10" s="1"/>
  <c r="I1433" i="10"/>
  <c r="H1433" i="10"/>
  <c r="G1433" i="10"/>
  <c r="F1433" i="10"/>
  <c r="Q1433" i="10" s="1"/>
  <c r="E1433" i="10"/>
  <c r="D1433" i="10"/>
  <c r="C1433" i="10"/>
  <c r="B1433" i="10"/>
  <c r="A1433" i="10"/>
  <c r="N1432" i="10"/>
  <c r="M1432" i="10"/>
  <c r="L1432" i="10"/>
  <c r="K1432" i="10"/>
  <c r="J1432" i="10"/>
  <c r="O1432" i="10" s="1"/>
  <c r="I1432" i="10"/>
  <c r="H1432" i="10"/>
  <c r="G1432" i="10"/>
  <c r="F1432" i="10"/>
  <c r="Q1432" i="10" s="1"/>
  <c r="E1432" i="10"/>
  <c r="P1432" i="10" s="1"/>
  <c r="D1432" i="10"/>
  <c r="C1432" i="10"/>
  <c r="B1432" i="10"/>
  <c r="A1432" i="10"/>
  <c r="P1431" i="10"/>
  <c r="O1431" i="10"/>
  <c r="R1431" i="10" s="1"/>
  <c r="N1431" i="10"/>
  <c r="M1431" i="10"/>
  <c r="L1431" i="10"/>
  <c r="K1431" i="10"/>
  <c r="J1431" i="10"/>
  <c r="I1431" i="10"/>
  <c r="H1431" i="10"/>
  <c r="G1431" i="10"/>
  <c r="F1431" i="10"/>
  <c r="Q1431" i="10" s="1"/>
  <c r="E1431" i="10"/>
  <c r="D1431" i="10"/>
  <c r="C1431" i="10"/>
  <c r="B1431" i="10"/>
  <c r="A1431" i="10"/>
  <c r="Q1430" i="10"/>
  <c r="R1430" i="10" s="1"/>
  <c r="P1430" i="10"/>
  <c r="N1430" i="10"/>
  <c r="M1430" i="10"/>
  <c r="L1430" i="10"/>
  <c r="K1430" i="10"/>
  <c r="J1430" i="10"/>
  <c r="O1430" i="10" s="1"/>
  <c r="I1430" i="10"/>
  <c r="H1430" i="10"/>
  <c r="G1430" i="10"/>
  <c r="F1430" i="10"/>
  <c r="E1430" i="10"/>
  <c r="D1430" i="10"/>
  <c r="C1430" i="10"/>
  <c r="B1430" i="10"/>
  <c r="A1430" i="10"/>
  <c r="P1429" i="10"/>
  <c r="N1429" i="10"/>
  <c r="M1429" i="10"/>
  <c r="L1429" i="10"/>
  <c r="K1429" i="10"/>
  <c r="J1429" i="10"/>
  <c r="O1429" i="10" s="1"/>
  <c r="R1429" i="10" s="1"/>
  <c r="I1429" i="10"/>
  <c r="H1429" i="10"/>
  <c r="G1429" i="10"/>
  <c r="F1429" i="10"/>
  <c r="Q1429" i="10" s="1"/>
  <c r="E1429" i="10"/>
  <c r="D1429" i="10"/>
  <c r="C1429" i="10"/>
  <c r="B1429" i="10"/>
  <c r="A1429" i="10"/>
  <c r="N1428" i="10"/>
  <c r="M1428" i="10"/>
  <c r="L1428" i="10"/>
  <c r="K1428" i="10"/>
  <c r="J1428" i="10"/>
  <c r="O1428" i="10" s="1"/>
  <c r="I1428" i="10"/>
  <c r="H1428" i="10"/>
  <c r="G1428" i="10"/>
  <c r="F1428" i="10"/>
  <c r="Q1428" i="10" s="1"/>
  <c r="E1428" i="10"/>
  <c r="P1428" i="10" s="1"/>
  <c r="D1428" i="10"/>
  <c r="C1428" i="10"/>
  <c r="B1428" i="10"/>
  <c r="A1428" i="10"/>
  <c r="P1427" i="10"/>
  <c r="O1427" i="10"/>
  <c r="R1427" i="10" s="1"/>
  <c r="N1427" i="10"/>
  <c r="M1427" i="10"/>
  <c r="L1427" i="10"/>
  <c r="K1427" i="10"/>
  <c r="J1427" i="10"/>
  <c r="I1427" i="10"/>
  <c r="H1427" i="10"/>
  <c r="G1427" i="10"/>
  <c r="F1427" i="10"/>
  <c r="Q1427" i="10" s="1"/>
  <c r="E1427" i="10"/>
  <c r="D1427" i="10"/>
  <c r="C1427" i="10"/>
  <c r="B1427" i="10"/>
  <c r="A1427" i="10"/>
  <c r="Q1426" i="10"/>
  <c r="R1426" i="10" s="1"/>
  <c r="P1426" i="10"/>
  <c r="N1426" i="10"/>
  <c r="M1426" i="10"/>
  <c r="L1426" i="10"/>
  <c r="K1426" i="10"/>
  <c r="J1426" i="10"/>
  <c r="O1426" i="10" s="1"/>
  <c r="I1426" i="10"/>
  <c r="H1426" i="10"/>
  <c r="G1426" i="10"/>
  <c r="F1426" i="10"/>
  <c r="E1426" i="10"/>
  <c r="D1426" i="10"/>
  <c r="C1426" i="10"/>
  <c r="B1426" i="10"/>
  <c r="A1426" i="10"/>
  <c r="R1425" i="10"/>
  <c r="P1425" i="10"/>
  <c r="N1425" i="10"/>
  <c r="M1425" i="10"/>
  <c r="L1425" i="10"/>
  <c r="K1425" i="10"/>
  <c r="J1425" i="10"/>
  <c r="O1425" i="10" s="1"/>
  <c r="I1425" i="10"/>
  <c r="H1425" i="10"/>
  <c r="G1425" i="10"/>
  <c r="F1425" i="10"/>
  <c r="Q1425" i="10" s="1"/>
  <c r="E1425" i="10"/>
  <c r="D1425" i="10"/>
  <c r="C1425" i="10"/>
  <c r="B1425" i="10"/>
  <c r="A1425" i="10"/>
  <c r="N1424" i="10"/>
  <c r="M1424" i="10"/>
  <c r="L1424" i="10"/>
  <c r="K1424" i="10"/>
  <c r="J1424" i="10"/>
  <c r="O1424" i="10" s="1"/>
  <c r="I1424" i="10"/>
  <c r="H1424" i="10"/>
  <c r="G1424" i="10"/>
  <c r="F1424" i="10"/>
  <c r="Q1424" i="10" s="1"/>
  <c r="E1424" i="10"/>
  <c r="P1424" i="10" s="1"/>
  <c r="D1424" i="10"/>
  <c r="C1424" i="10"/>
  <c r="B1424" i="10"/>
  <c r="A1424" i="10"/>
  <c r="P1423" i="10"/>
  <c r="O1423" i="10"/>
  <c r="R1423" i="10" s="1"/>
  <c r="N1423" i="10"/>
  <c r="M1423" i="10"/>
  <c r="L1423" i="10"/>
  <c r="K1423" i="10"/>
  <c r="J1423" i="10"/>
  <c r="I1423" i="10"/>
  <c r="H1423" i="10"/>
  <c r="G1423" i="10"/>
  <c r="F1423" i="10"/>
  <c r="Q1423" i="10" s="1"/>
  <c r="E1423" i="10"/>
  <c r="D1423" i="10"/>
  <c r="C1423" i="10"/>
  <c r="B1423" i="10"/>
  <c r="A1423" i="10"/>
  <c r="Q1422" i="10"/>
  <c r="R1422" i="10" s="1"/>
  <c r="P1422" i="10"/>
  <c r="N1422" i="10"/>
  <c r="M1422" i="10"/>
  <c r="L1422" i="10"/>
  <c r="K1422" i="10"/>
  <c r="J1422" i="10"/>
  <c r="O1422" i="10" s="1"/>
  <c r="I1422" i="10"/>
  <c r="H1422" i="10"/>
  <c r="G1422" i="10"/>
  <c r="F1422" i="10"/>
  <c r="E1422" i="10"/>
  <c r="D1422" i="10"/>
  <c r="C1422" i="10"/>
  <c r="B1422" i="10"/>
  <c r="A1422" i="10"/>
  <c r="P1421" i="10"/>
  <c r="N1421" i="10"/>
  <c r="M1421" i="10"/>
  <c r="L1421" i="10"/>
  <c r="K1421" i="10"/>
  <c r="J1421" i="10"/>
  <c r="O1421" i="10" s="1"/>
  <c r="R1421" i="10" s="1"/>
  <c r="I1421" i="10"/>
  <c r="H1421" i="10"/>
  <c r="G1421" i="10"/>
  <c r="F1421" i="10"/>
  <c r="Q1421" i="10" s="1"/>
  <c r="E1421" i="10"/>
  <c r="D1421" i="10"/>
  <c r="C1421" i="10"/>
  <c r="B1421" i="10"/>
  <c r="A1421" i="10"/>
  <c r="N1420" i="10"/>
  <c r="M1420" i="10"/>
  <c r="L1420" i="10"/>
  <c r="K1420" i="10"/>
  <c r="J1420" i="10"/>
  <c r="O1420" i="10" s="1"/>
  <c r="I1420" i="10"/>
  <c r="H1420" i="10"/>
  <c r="G1420" i="10"/>
  <c r="F1420" i="10"/>
  <c r="Q1420" i="10" s="1"/>
  <c r="E1420" i="10"/>
  <c r="P1420" i="10" s="1"/>
  <c r="D1420" i="10"/>
  <c r="C1420" i="10"/>
  <c r="B1420" i="10"/>
  <c r="A1420" i="10"/>
  <c r="P1419" i="10"/>
  <c r="O1419" i="10"/>
  <c r="R1419" i="10" s="1"/>
  <c r="N1419" i="10"/>
  <c r="M1419" i="10"/>
  <c r="L1419" i="10"/>
  <c r="K1419" i="10"/>
  <c r="J1419" i="10"/>
  <c r="I1419" i="10"/>
  <c r="H1419" i="10"/>
  <c r="G1419" i="10"/>
  <c r="F1419" i="10"/>
  <c r="Q1419" i="10" s="1"/>
  <c r="E1419" i="10"/>
  <c r="D1419" i="10"/>
  <c r="C1419" i="10"/>
  <c r="B1419" i="10"/>
  <c r="A1419" i="10"/>
  <c r="Q1418" i="10"/>
  <c r="R1418" i="10" s="1"/>
  <c r="P1418" i="10"/>
  <c r="N1418" i="10"/>
  <c r="M1418" i="10"/>
  <c r="L1418" i="10"/>
  <c r="K1418" i="10"/>
  <c r="J1418" i="10"/>
  <c r="O1418" i="10" s="1"/>
  <c r="I1418" i="10"/>
  <c r="H1418" i="10"/>
  <c r="G1418" i="10"/>
  <c r="F1418" i="10"/>
  <c r="E1418" i="10"/>
  <c r="D1418" i="10"/>
  <c r="C1418" i="10"/>
  <c r="B1418" i="10"/>
  <c r="A1418" i="10"/>
  <c r="R1417" i="10"/>
  <c r="P1417" i="10"/>
  <c r="N1417" i="10"/>
  <c r="M1417" i="10"/>
  <c r="L1417" i="10"/>
  <c r="K1417" i="10"/>
  <c r="J1417" i="10"/>
  <c r="O1417" i="10" s="1"/>
  <c r="I1417" i="10"/>
  <c r="H1417" i="10"/>
  <c r="G1417" i="10"/>
  <c r="F1417" i="10"/>
  <c r="Q1417" i="10" s="1"/>
  <c r="E1417" i="10"/>
  <c r="D1417" i="10"/>
  <c r="C1417" i="10"/>
  <c r="B1417" i="10"/>
  <c r="A1417" i="10"/>
  <c r="N1416" i="10"/>
  <c r="M1416" i="10"/>
  <c r="L1416" i="10"/>
  <c r="K1416" i="10"/>
  <c r="J1416" i="10"/>
  <c r="O1416" i="10" s="1"/>
  <c r="I1416" i="10"/>
  <c r="H1416" i="10"/>
  <c r="G1416" i="10"/>
  <c r="F1416" i="10"/>
  <c r="Q1416" i="10" s="1"/>
  <c r="E1416" i="10"/>
  <c r="P1416" i="10" s="1"/>
  <c r="D1416" i="10"/>
  <c r="C1416" i="10"/>
  <c r="B1416" i="10"/>
  <c r="A1416" i="10"/>
  <c r="P1415" i="10"/>
  <c r="O1415" i="10"/>
  <c r="R1415" i="10" s="1"/>
  <c r="N1415" i="10"/>
  <c r="M1415" i="10"/>
  <c r="L1415" i="10"/>
  <c r="K1415" i="10"/>
  <c r="J1415" i="10"/>
  <c r="I1415" i="10"/>
  <c r="H1415" i="10"/>
  <c r="G1415" i="10"/>
  <c r="F1415" i="10"/>
  <c r="Q1415" i="10" s="1"/>
  <c r="E1415" i="10"/>
  <c r="D1415" i="10"/>
  <c r="C1415" i="10"/>
  <c r="B1415" i="10"/>
  <c r="A1415" i="10"/>
  <c r="Q1414" i="10"/>
  <c r="R1414" i="10" s="1"/>
  <c r="P1414" i="10"/>
  <c r="N1414" i="10"/>
  <c r="M1414" i="10"/>
  <c r="L1414" i="10"/>
  <c r="K1414" i="10"/>
  <c r="J1414" i="10"/>
  <c r="O1414" i="10" s="1"/>
  <c r="I1414" i="10"/>
  <c r="H1414" i="10"/>
  <c r="G1414" i="10"/>
  <c r="F1414" i="10"/>
  <c r="E1414" i="10"/>
  <c r="D1414" i="10"/>
  <c r="C1414" i="10"/>
  <c r="B1414" i="10"/>
  <c r="A1414" i="10"/>
  <c r="P1413" i="10"/>
  <c r="N1413" i="10"/>
  <c r="M1413" i="10"/>
  <c r="L1413" i="10"/>
  <c r="K1413" i="10"/>
  <c r="J1413" i="10"/>
  <c r="O1413" i="10" s="1"/>
  <c r="R1413" i="10" s="1"/>
  <c r="I1413" i="10"/>
  <c r="H1413" i="10"/>
  <c r="G1413" i="10"/>
  <c r="F1413" i="10"/>
  <c r="Q1413" i="10" s="1"/>
  <c r="E1413" i="10"/>
  <c r="D1413" i="10"/>
  <c r="C1413" i="10"/>
  <c r="B1413" i="10"/>
  <c r="A1413" i="10"/>
  <c r="N1412" i="10"/>
  <c r="M1412" i="10"/>
  <c r="L1412" i="10"/>
  <c r="K1412" i="10"/>
  <c r="J1412" i="10"/>
  <c r="O1412" i="10" s="1"/>
  <c r="I1412" i="10"/>
  <c r="H1412" i="10"/>
  <c r="G1412" i="10"/>
  <c r="F1412" i="10"/>
  <c r="Q1412" i="10" s="1"/>
  <c r="E1412" i="10"/>
  <c r="P1412" i="10" s="1"/>
  <c r="D1412" i="10"/>
  <c r="C1412" i="10"/>
  <c r="B1412" i="10"/>
  <c r="A1412" i="10"/>
  <c r="P1411" i="10"/>
  <c r="O1411" i="10"/>
  <c r="R1411" i="10" s="1"/>
  <c r="N1411" i="10"/>
  <c r="M1411" i="10"/>
  <c r="L1411" i="10"/>
  <c r="K1411" i="10"/>
  <c r="J1411" i="10"/>
  <c r="I1411" i="10"/>
  <c r="H1411" i="10"/>
  <c r="G1411" i="10"/>
  <c r="F1411" i="10"/>
  <c r="Q1411" i="10" s="1"/>
  <c r="E1411" i="10"/>
  <c r="D1411" i="10"/>
  <c r="C1411" i="10"/>
  <c r="B1411" i="10"/>
  <c r="A1411" i="10"/>
  <c r="Q1410" i="10"/>
  <c r="R1410" i="10" s="1"/>
  <c r="P1410" i="10"/>
  <c r="N1410" i="10"/>
  <c r="M1410" i="10"/>
  <c r="L1410" i="10"/>
  <c r="K1410" i="10"/>
  <c r="J1410" i="10"/>
  <c r="O1410" i="10" s="1"/>
  <c r="I1410" i="10"/>
  <c r="H1410" i="10"/>
  <c r="G1410" i="10"/>
  <c r="F1410" i="10"/>
  <c r="E1410" i="10"/>
  <c r="D1410" i="10"/>
  <c r="C1410" i="10"/>
  <c r="B1410" i="10"/>
  <c r="A1410" i="10"/>
  <c r="R1409" i="10"/>
  <c r="P1409" i="10"/>
  <c r="N1409" i="10"/>
  <c r="M1409" i="10"/>
  <c r="L1409" i="10"/>
  <c r="K1409" i="10"/>
  <c r="J1409" i="10"/>
  <c r="O1409" i="10" s="1"/>
  <c r="I1409" i="10"/>
  <c r="H1409" i="10"/>
  <c r="G1409" i="10"/>
  <c r="F1409" i="10"/>
  <c r="Q1409" i="10" s="1"/>
  <c r="E1409" i="10"/>
  <c r="D1409" i="10"/>
  <c r="C1409" i="10"/>
  <c r="B1409" i="10"/>
  <c r="A1409" i="10"/>
  <c r="N1408" i="10"/>
  <c r="M1408" i="10"/>
  <c r="L1408" i="10"/>
  <c r="K1408" i="10"/>
  <c r="J1408" i="10"/>
  <c r="O1408" i="10" s="1"/>
  <c r="I1408" i="10"/>
  <c r="H1408" i="10"/>
  <c r="G1408" i="10"/>
  <c r="F1408" i="10"/>
  <c r="Q1408" i="10" s="1"/>
  <c r="E1408" i="10"/>
  <c r="P1408" i="10" s="1"/>
  <c r="D1408" i="10"/>
  <c r="C1408" i="10"/>
  <c r="B1408" i="10"/>
  <c r="A1408" i="10"/>
  <c r="P1407" i="10"/>
  <c r="O1407" i="10"/>
  <c r="R1407" i="10" s="1"/>
  <c r="N1407" i="10"/>
  <c r="M1407" i="10"/>
  <c r="L1407" i="10"/>
  <c r="K1407" i="10"/>
  <c r="J1407" i="10"/>
  <c r="I1407" i="10"/>
  <c r="H1407" i="10"/>
  <c r="G1407" i="10"/>
  <c r="F1407" i="10"/>
  <c r="Q1407" i="10" s="1"/>
  <c r="E1407" i="10"/>
  <c r="D1407" i="10"/>
  <c r="C1407" i="10"/>
  <c r="B1407" i="10"/>
  <c r="A1407" i="10"/>
  <c r="Q1406" i="10"/>
  <c r="N1406" i="10"/>
  <c r="M1406" i="10"/>
  <c r="L1406" i="10"/>
  <c r="K1406" i="10"/>
  <c r="J1406" i="10"/>
  <c r="O1406" i="10" s="1"/>
  <c r="I1406" i="10"/>
  <c r="H1406" i="10"/>
  <c r="G1406" i="10"/>
  <c r="F1406" i="10"/>
  <c r="E1406" i="10"/>
  <c r="P1406" i="10" s="1"/>
  <c r="D1406" i="10"/>
  <c r="C1406" i="10"/>
  <c r="B1406" i="10"/>
  <c r="A1406" i="10"/>
  <c r="P1405" i="10"/>
  <c r="O1405" i="10"/>
  <c r="R1405" i="10" s="1"/>
  <c r="N1405" i="10"/>
  <c r="M1405" i="10"/>
  <c r="L1405" i="10"/>
  <c r="K1405" i="10"/>
  <c r="J1405" i="10"/>
  <c r="I1405" i="10"/>
  <c r="H1405" i="10"/>
  <c r="G1405" i="10"/>
  <c r="F1405" i="10"/>
  <c r="Q1405" i="10" s="1"/>
  <c r="E1405" i="10"/>
  <c r="D1405" i="10"/>
  <c r="C1405" i="10"/>
  <c r="B1405" i="10"/>
  <c r="A1405" i="10"/>
  <c r="Q1404" i="10"/>
  <c r="N1404" i="10"/>
  <c r="M1404" i="10"/>
  <c r="L1404" i="10"/>
  <c r="K1404" i="10"/>
  <c r="J1404" i="10"/>
  <c r="O1404" i="10" s="1"/>
  <c r="R1404" i="10" s="1"/>
  <c r="I1404" i="10"/>
  <c r="H1404" i="10"/>
  <c r="G1404" i="10"/>
  <c r="F1404" i="10"/>
  <c r="E1404" i="10"/>
  <c r="P1404" i="10" s="1"/>
  <c r="D1404" i="10"/>
  <c r="C1404" i="10"/>
  <c r="B1404" i="10"/>
  <c r="A1404" i="10"/>
  <c r="P1403" i="10"/>
  <c r="O1403" i="10"/>
  <c r="N1403" i="10"/>
  <c r="M1403" i="10"/>
  <c r="L1403" i="10"/>
  <c r="K1403" i="10"/>
  <c r="J1403" i="10"/>
  <c r="I1403" i="10"/>
  <c r="H1403" i="10"/>
  <c r="G1403" i="10"/>
  <c r="F1403" i="10"/>
  <c r="Q1403" i="10" s="1"/>
  <c r="E1403" i="10"/>
  <c r="D1403" i="10"/>
  <c r="C1403" i="10"/>
  <c r="B1403" i="10"/>
  <c r="A1403" i="10"/>
  <c r="Q1402" i="10"/>
  <c r="N1402" i="10"/>
  <c r="M1402" i="10"/>
  <c r="L1402" i="10"/>
  <c r="K1402" i="10"/>
  <c r="J1402" i="10"/>
  <c r="O1402" i="10" s="1"/>
  <c r="I1402" i="10"/>
  <c r="H1402" i="10"/>
  <c r="G1402" i="10"/>
  <c r="F1402" i="10"/>
  <c r="E1402" i="10"/>
  <c r="P1402" i="10" s="1"/>
  <c r="D1402" i="10"/>
  <c r="C1402" i="10"/>
  <c r="B1402" i="10"/>
  <c r="A1402" i="10"/>
  <c r="P1401" i="10"/>
  <c r="O1401" i="10"/>
  <c r="R1401" i="10" s="1"/>
  <c r="N1401" i="10"/>
  <c r="M1401" i="10"/>
  <c r="L1401" i="10"/>
  <c r="K1401" i="10"/>
  <c r="J1401" i="10"/>
  <c r="I1401" i="10"/>
  <c r="H1401" i="10"/>
  <c r="G1401" i="10"/>
  <c r="F1401" i="10"/>
  <c r="Q1401" i="10" s="1"/>
  <c r="E1401" i="10"/>
  <c r="D1401" i="10"/>
  <c r="C1401" i="10"/>
  <c r="B1401" i="10"/>
  <c r="A1401" i="10"/>
  <c r="Q1400" i="10"/>
  <c r="N1400" i="10"/>
  <c r="M1400" i="10"/>
  <c r="L1400" i="10"/>
  <c r="K1400" i="10"/>
  <c r="J1400" i="10"/>
  <c r="O1400" i="10" s="1"/>
  <c r="R1400" i="10" s="1"/>
  <c r="I1400" i="10"/>
  <c r="H1400" i="10"/>
  <c r="G1400" i="10"/>
  <c r="F1400" i="10"/>
  <c r="E1400" i="10"/>
  <c r="P1400" i="10" s="1"/>
  <c r="D1400" i="10"/>
  <c r="C1400" i="10"/>
  <c r="B1400" i="10"/>
  <c r="A1400" i="10"/>
  <c r="P1399" i="10"/>
  <c r="O1399" i="10"/>
  <c r="N1399" i="10"/>
  <c r="M1399" i="10"/>
  <c r="L1399" i="10"/>
  <c r="K1399" i="10"/>
  <c r="J1399" i="10"/>
  <c r="I1399" i="10"/>
  <c r="H1399" i="10"/>
  <c r="G1399" i="10"/>
  <c r="F1399" i="10"/>
  <c r="Q1399" i="10" s="1"/>
  <c r="E1399" i="10"/>
  <c r="D1399" i="10"/>
  <c r="C1399" i="10"/>
  <c r="B1399" i="10"/>
  <c r="A1399" i="10"/>
  <c r="Q1398" i="10"/>
  <c r="N1398" i="10"/>
  <c r="M1398" i="10"/>
  <c r="L1398" i="10"/>
  <c r="K1398" i="10"/>
  <c r="J1398" i="10"/>
  <c r="O1398" i="10" s="1"/>
  <c r="I1398" i="10"/>
  <c r="H1398" i="10"/>
  <c r="G1398" i="10"/>
  <c r="F1398" i="10"/>
  <c r="E1398" i="10"/>
  <c r="P1398" i="10" s="1"/>
  <c r="D1398" i="10"/>
  <c r="C1398" i="10"/>
  <c r="B1398" i="10"/>
  <c r="A1398" i="10"/>
  <c r="P1397" i="10"/>
  <c r="O1397" i="10"/>
  <c r="R1397" i="10" s="1"/>
  <c r="N1397" i="10"/>
  <c r="M1397" i="10"/>
  <c r="L1397" i="10"/>
  <c r="K1397" i="10"/>
  <c r="J1397" i="10"/>
  <c r="I1397" i="10"/>
  <c r="H1397" i="10"/>
  <c r="G1397" i="10"/>
  <c r="F1397" i="10"/>
  <c r="Q1397" i="10" s="1"/>
  <c r="E1397" i="10"/>
  <c r="D1397" i="10"/>
  <c r="C1397" i="10"/>
  <c r="B1397" i="10"/>
  <c r="A1397" i="10"/>
  <c r="Q1396" i="10"/>
  <c r="N1396" i="10"/>
  <c r="M1396" i="10"/>
  <c r="L1396" i="10"/>
  <c r="K1396" i="10"/>
  <c r="J1396" i="10"/>
  <c r="O1396" i="10" s="1"/>
  <c r="R1396" i="10" s="1"/>
  <c r="I1396" i="10"/>
  <c r="H1396" i="10"/>
  <c r="G1396" i="10"/>
  <c r="F1396" i="10"/>
  <c r="E1396" i="10"/>
  <c r="P1396" i="10" s="1"/>
  <c r="D1396" i="10"/>
  <c r="C1396" i="10"/>
  <c r="B1396" i="10"/>
  <c r="A1396" i="10"/>
  <c r="P1395" i="10"/>
  <c r="O1395" i="10"/>
  <c r="N1395" i="10"/>
  <c r="M1395" i="10"/>
  <c r="L1395" i="10"/>
  <c r="K1395" i="10"/>
  <c r="J1395" i="10"/>
  <c r="I1395" i="10"/>
  <c r="H1395" i="10"/>
  <c r="G1395" i="10"/>
  <c r="F1395" i="10"/>
  <c r="Q1395" i="10" s="1"/>
  <c r="E1395" i="10"/>
  <c r="D1395" i="10"/>
  <c r="C1395" i="10"/>
  <c r="B1395" i="10"/>
  <c r="A1395" i="10"/>
  <c r="Q1394" i="10"/>
  <c r="N1394" i="10"/>
  <c r="M1394" i="10"/>
  <c r="L1394" i="10"/>
  <c r="K1394" i="10"/>
  <c r="J1394" i="10"/>
  <c r="O1394" i="10" s="1"/>
  <c r="I1394" i="10"/>
  <c r="H1394" i="10"/>
  <c r="G1394" i="10"/>
  <c r="F1394" i="10"/>
  <c r="E1394" i="10"/>
  <c r="P1394" i="10" s="1"/>
  <c r="D1394" i="10"/>
  <c r="C1394" i="10"/>
  <c r="B1394" i="10"/>
  <c r="A1394" i="10"/>
  <c r="P1393" i="10"/>
  <c r="O1393" i="10"/>
  <c r="R1393" i="10" s="1"/>
  <c r="N1393" i="10"/>
  <c r="M1393" i="10"/>
  <c r="L1393" i="10"/>
  <c r="K1393" i="10"/>
  <c r="J1393" i="10"/>
  <c r="I1393" i="10"/>
  <c r="H1393" i="10"/>
  <c r="G1393" i="10"/>
  <c r="F1393" i="10"/>
  <c r="Q1393" i="10" s="1"/>
  <c r="E1393" i="10"/>
  <c r="D1393" i="10"/>
  <c r="C1393" i="10"/>
  <c r="B1393" i="10"/>
  <c r="A1393" i="10"/>
  <c r="Q1392" i="10"/>
  <c r="N1392" i="10"/>
  <c r="M1392" i="10"/>
  <c r="L1392" i="10"/>
  <c r="K1392" i="10"/>
  <c r="J1392" i="10"/>
  <c r="O1392" i="10" s="1"/>
  <c r="R1392" i="10" s="1"/>
  <c r="I1392" i="10"/>
  <c r="H1392" i="10"/>
  <c r="G1392" i="10"/>
  <c r="F1392" i="10"/>
  <c r="E1392" i="10"/>
  <c r="P1392" i="10" s="1"/>
  <c r="D1392" i="10"/>
  <c r="C1392" i="10"/>
  <c r="B1392" i="10"/>
  <c r="A1392" i="10"/>
  <c r="P1391" i="10"/>
  <c r="O1391" i="10"/>
  <c r="N1391" i="10"/>
  <c r="M1391" i="10"/>
  <c r="L1391" i="10"/>
  <c r="K1391" i="10"/>
  <c r="J1391" i="10"/>
  <c r="I1391" i="10"/>
  <c r="H1391" i="10"/>
  <c r="G1391" i="10"/>
  <c r="F1391" i="10"/>
  <c r="Q1391" i="10" s="1"/>
  <c r="E1391" i="10"/>
  <c r="D1391" i="10"/>
  <c r="C1391" i="10"/>
  <c r="B1391" i="10"/>
  <c r="A1391" i="10"/>
  <c r="Q1390" i="10"/>
  <c r="N1390" i="10"/>
  <c r="M1390" i="10"/>
  <c r="L1390" i="10"/>
  <c r="K1390" i="10"/>
  <c r="J1390" i="10"/>
  <c r="O1390" i="10" s="1"/>
  <c r="I1390" i="10"/>
  <c r="H1390" i="10"/>
  <c r="G1390" i="10"/>
  <c r="F1390" i="10"/>
  <c r="E1390" i="10"/>
  <c r="P1390" i="10" s="1"/>
  <c r="D1390" i="10"/>
  <c r="C1390" i="10"/>
  <c r="B1390" i="10"/>
  <c r="A1390" i="10"/>
  <c r="P1389" i="10"/>
  <c r="O1389" i="10"/>
  <c r="R1389" i="10" s="1"/>
  <c r="N1389" i="10"/>
  <c r="M1389" i="10"/>
  <c r="L1389" i="10"/>
  <c r="K1389" i="10"/>
  <c r="J1389" i="10"/>
  <c r="I1389" i="10"/>
  <c r="H1389" i="10"/>
  <c r="G1389" i="10"/>
  <c r="F1389" i="10"/>
  <c r="Q1389" i="10" s="1"/>
  <c r="E1389" i="10"/>
  <c r="D1389" i="10"/>
  <c r="C1389" i="10"/>
  <c r="B1389" i="10"/>
  <c r="A1389" i="10"/>
  <c r="Q1388" i="10"/>
  <c r="N1388" i="10"/>
  <c r="M1388" i="10"/>
  <c r="L1388" i="10"/>
  <c r="K1388" i="10"/>
  <c r="J1388" i="10"/>
  <c r="O1388" i="10" s="1"/>
  <c r="R1388" i="10" s="1"/>
  <c r="I1388" i="10"/>
  <c r="H1388" i="10"/>
  <c r="G1388" i="10"/>
  <c r="F1388" i="10"/>
  <c r="E1388" i="10"/>
  <c r="P1388" i="10" s="1"/>
  <c r="D1388" i="10"/>
  <c r="C1388" i="10"/>
  <c r="B1388" i="10"/>
  <c r="A1388" i="10"/>
  <c r="P1387" i="10"/>
  <c r="O1387" i="10"/>
  <c r="N1387" i="10"/>
  <c r="M1387" i="10"/>
  <c r="L1387" i="10"/>
  <c r="K1387" i="10"/>
  <c r="J1387" i="10"/>
  <c r="I1387" i="10"/>
  <c r="H1387" i="10"/>
  <c r="G1387" i="10"/>
  <c r="F1387" i="10"/>
  <c r="Q1387" i="10" s="1"/>
  <c r="E1387" i="10"/>
  <c r="D1387" i="10"/>
  <c r="C1387" i="10"/>
  <c r="B1387" i="10"/>
  <c r="A1387" i="10"/>
  <c r="Q1386" i="10"/>
  <c r="N1386" i="10"/>
  <c r="M1386" i="10"/>
  <c r="L1386" i="10"/>
  <c r="K1386" i="10"/>
  <c r="J1386" i="10"/>
  <c r="O1386" i="10" s="1"/>
  <c r="I1386" i="10"/>
  <c r="H1386" i="10"/>
  <c r="G1386" i="10"/>
  <c r="F1386" i="10"/>
  <c r="E1386" i="10"/>
  <c r="P1386" i="10" s="1"/>
  <c r="D1386" i="10"/>
  <c r="C1386" i="10"/>
  <c r="B1386" i="10"/>
  <c r="A1386" i="10"/>
  <c r="P1385" i="10"/>
  <c r="O1385" i="10"/>
  <c r="R1385" i="10" s="1"/>
  <c r="N1385" i="10"/>
  <c r="M1385" i="10"/>
  <c r="L1385" i="10"/>
  <c r="K1385" i="10"/>
  <c r="J1385" i="10"/>
  <c r="I1385" i="10"/>
  <c r="H1385" i="10"/>
  <c r="G1385" i="10"/>
  <c r="F1385" i="10"/>
  <c r="Q1385" i="10" s="1"/>
  <c r="E1385" i="10"/>
  <c r="D1385" i="10"/>
  <c r="C1385" i="10"/>
  <c r="B1385" i="10"/>
  <c r="A1385" i="10"/>
  <c r="Q1384" i="10"/>
  <c r="N1384" i="10"/>
  <c r="M1384" i="10"/>
  <c r="L1384" i="10"/>
  <c r="K1384" i="10"/>
  <c r="J1384" i="10"/>
  <c r="O1384" i="10" s="1"/>
  <c r="R1384" i="10" s="1"/>
  <c r="I1384" i="10"/>
  <c r="H1384" i="10"/>
  <c r="G1384" i="10"/>
  <c r="F1384" i="10"/>
  <c r="E1384" i="10"/>
  <c r="P1384" i="10" s="1"/>
  <c r="D1384" i="10"/>
  <c r="C1384" i="10"/>
  <c r="B1384" i="10"/>
  <c r="A1384" i="10"/>
  <c r="P1383" i="10"/>
  <c r="O1383" i="10"/>
  <c r="N1383" i="10"/>
  <c r="M1383" i="10"/>
  <c r="L1383" i="10"/>
  <c r="K1383" i="10"/>
  <c r="J1383" i="10"/>
  <c r="I1383" i="10"/>
  <c r="H1383" i="10"/>
  <c r="G1383" i="10"/>
  <c r="F1383" i="10"/>
  <c r="Q1383" i="10" s="1"/>
  <c r="E1383" i="10"/>
  <c r="D1383" i="10"/>
  <c r="C1383" i="10"/>
  <c r="B1383" i="10"/>
  <c r="A1383" i="10"/>
  <c r="Q1382" i="10"/>
  <c r="N1382" i="10"/>
  <c r="M1382" i="10"/>
  <c r="L1382" i="10"/>
  <c r="K1382" i="10"/>
  <c r="J1382" i="10"/>
  <c r="O1382" i="10" s="1"/>
  <c r="I1382" i="10"/>
  <c r="H1382" i="10"/>
  <c r="G1382" i="10"/>
  <c r="F1382" i="10"/>
  <c r="E1382" i="10"/>
  <c r="P1382" i="10" s="1"/>
  <c r="D1382" i="10"/>
  <c r="C1382" i="10"/>
  <c r="B1382" i="10"/>
  <c r="A1382" i="10"/>
  <c r="P1381" i="10"/>
  <c r="O1381" i="10"/>
  <c r="R1381" i="10" s="1"/>
  <c r="N1381" i="10"/>
  <c r="M1381" i="10"/>
  <c r="L1381" i="10"/>
  <c r="K1381" i="10"/>
  <c r="J1381" i="10"/>
  <c r="I1381" i="10"/>
  <c r="H1381" i="10"/>
  <c r="G1381" i="10"/>
  <c r="F1381" i="10"/>
  <c r="Q1381" i="10" s="1"/>
  <c r="E1381" i="10"/>
  <c r="D1381" i="10"/>
  <c r="C1381" i="10"/>
  <c r="B1381" i="10"/>
  <c r="A1381" i="10"/>
  <c r="Q1380" i="10"/>
  <c r="N1380" i="10"/>
  <c r="M1380" i="10"/>
  <c r="L1380" i="10"/>
  <c r="K1380" i="10"/>
  <c r="J1380" i="10"/>
  <c r="O1380" i="10" s="1"/>
  <c r="R1380" i="10" s="1"/>
  <c r="I1380" i="10"/>
  <c r="H1380" i="10"/>
  <c r="G1380" i="10"/>
  <c r="F1380" i="10"/>
  <c r="E1380" i="10"/>
  <c r="P1380" i="10" s="1"/>
  <c r="D1380" i="10"/>
  <c r="C1380" i="10"/>
  <c r="B1380" i="10"/>
  <c r="A1380" i="10"/>
  <c r="P1379" i="10"/>
  <c r="O1379" i="10"/>
  <c r="N1379" i="10"/>
  <c r="M1379" i="10"/>
  <c r="L1379" i="10"/>
  <c r="K1379" i="10"/>
  <c r="J1379" i="10"/>
  <c r="I1379" i="10"/>
  <c r="H1379" i="10"/>
  <c r="G1379" i="10"/>
  <c r="F1379" i="10"/>
  <c r="Q1379" i="10" s="1"/>
  <c r="E1379" i="10"/>
  <c r="D1379" i="10"/>
  <c r="C1379" i="10"/>
  <c r="B1379" i="10"/>
  <c r="A1379" i="10"/>
  <c r="Q1378" i="10"/>
  <c r="N1378" i="10"/>
  <c r="M1378" i="10"/>
  <c r="L1378" i="10"/>
  <c r="K1378" i="10"/>
  <c r="J1378" i="10"/>
  <c r="O1378" i="10" s="1"/>
  <c r="I1378" i="10"/>
  <c r="H1378" i="10"/>
  <c r="G1378" i="10"/>
  <c r="F1378" i="10"/>
  <c r="E1378" i="10"/>
  <c r="P1378" i="10" s="1"/>
  <c r="D1378" i="10"/>
  <c r="C1378" i="10"/>
  <c r="B1378" i="10"/>
  <c r="A1378" i="10"/>
  <c r="P1377" i="10"/>
  <c r="O1377" i="10"/>
  <c r="R1377" i="10" s="1"/>
  <c r="N1377" i="10"/>
  <c r="M1377" i="10"/>
  <c r="L1377" i="10"/>
  <c r="K1377" i="10"/>
  <c r="J1377" i="10"/>
  <c r="I1377" i="10"/>
  <c r="H1377" i="10"/>
  <c r="G1377" i="10"/>
  <c r="F1377" i="10"/>
  <c r="Q1377" i="10" s="1"/>
  <c r="E1377" i="10"/>
  <c r="D1377" i="10"/>
  <c r="C1377" i="10"/>
  <c r="B1377" i="10"/>
  <c r="A1377" i="10"/>
  <c r="Q1376" i="10"/>
  <c r="N1376" i="10"/>
  <c r="M1376" i="10"/>
  <c r="L1376" i="10"/>
  <c r="K1376" i="10"/>
  <c r="J1376" i="10"/>
  <c r="O1376" i="10" s="1"/>
  <c r="R1376" i="10" s="1"/>
  <c r="I1376" i="10"/>
  <c r="H1376" i="10"/>
  <c r="G1376" i="10"/>
  <c r="F1376" i="10"/>
  <c r="E1376" i="10"/>
  <c r="P1376" i="10" s="1"/>
  <c r="D1376" i="10"/>
  <c r="C1376" i="10"/>
  <c r="B1376" i="10"/>
  <c r="A1376" i="10"/>
  <c r="P1375" i="10"/>
  <c r="O1375" i="10"/>
  <c r="N1375" i="10"/>
  <c r="M1375" i="10"/>
  <c r="L1375" i="10"/>
  <c r="K1375" i="10"/>
  <c r="J1375" i="10"/>
  <c r="I1375" i="10"/>
  <c r="H1375" i="10"/>
  <c r="G1375" i="10"/>
  <c r="F1375" i="10"/>
  <c r="Q1375" i="10" s="1"/>
  <c r="E1375" i="10"/>
  <c r="D1375" i="10"/>
  <c r="C1375" i="10"/>
  <c r="B1375" i="10"/>
  <c r="A1375" i="10"/>
  <c r="Q1374" i="10"/>
  <c r="P1374" i="10"/>
  <c r="N1374" i="10"/>
  <c r="M1374" i="10"/>
  <c r="L1374" i="10"/>
  <c r="K1374" i="10"/>
  <c r="J1374" i="10"/>
  <c r="O1374" i="10" s="1"/>
  <c r="R1374" i="10" s="1"/>
  <c r="I1374" i="10"/>
  <c r="H1374" i="10"/>
  <c r="G1374" i="10"/>
  <c r="F1374" i="10"/>
  <c r="E1374" i="10"/>
  <c r="D1374" i="10"/>
  <c r="C1374" i="10"/>
  <c r="B1374" i="10"/>
  <c r="A1374" i="10"/>
  <c r="P1373" i="10"/>
  <c r="O1373" i="10"/>
  <c r="R1373" i="10" s="1"/>
  <c r="N1373" i="10"/>
  <c r="M1373" i="10"/>
  <c r="L1373" i="10"/>
  <c r="K1373" i="10"/>
  <c r="J1373" i="10"/>
  <c r="I1373" i="10"/>
  <c r="H1373" i="10"/>
  <c r="G1373" i="10"/>
  <c r="F1373" i="10"/>
  <c r="Q1373" i="10" s="1"/>
  <c r="E1373" i="10"/>
  <c r="D1373" i="10"/>
  <c r="C1373" i="10"/>
  <c r="B1373" i="10"/>
  <c r="A1373" i="10"/>
  <c r="Q1372" i="10"/>
  <c r="P1372" i="10"/>
  <c r="N1372" i="10"/>
  <c r="M1372" i="10"/>
  <c r="L1372" i="10"/>
  <c r="K1372" i="10"/>
  <c r="J1372" i="10"/>
  <c r="O1372" i="10" s="1"/>
  <c r="I1372" i="10"/>
  <c r="H1372" i="10"/>
  <c r="G1372" i="10"/>
  <c r="F1372" i="10"/>
  <c r="E1372" i="10"/>
  <c r="D1372" i="10"/>
  <c r="C1372" i="10"/>
  <c r="B1372" i="10"/>
  <c r="A1372" i="10"/>
  <c r="P1371" i="10"/>
  <c r="N1371" i="10"/>
  <c r="M1371" i="10"/>
  <c r="L1371" i="10"/>
  <c r="K1371" i="10"/>
  <c r="J1371" i="10"/>
  <c r="O1371" i="10" s="1"/>
  <c r="R1371" i="10" s="1"/>
  <c r="I1371" i="10"/>
  <c r="H1371" i="10"/>
  <c r="G1371" i="10"/>
  <c r="F1371" i="10"/>
  <c r="Q1371" i="10" s="1"/>
  <c r="E1371" i="10"/>
  <c r="D1371" i="10"/>
  <c r="C1371" i="10"/>
  <c r="B1371" i="10"/>
  <c r="A1371" i="10"/>
  <c r="Q1370" i="10"/>
  <c r="N1370" i="10"/>
  <c r="M1370" i="10"/>
  <c r="L1370" i="10"/>
  <c r="K1370" i="10"/>
  <c r="J1370" i="10"/>
  <c r="O1370" i="10" s="1"/>
  <c r="I1370" i="10"/>
  <c r="H1370" i="10"/>
  <c r="G1370" i="10"/>
  <c r="F1370" i="10"/>
  <c r="E1370" i="10"/>
  <c r="P1370" i="10" s="1"/>
  <c r="D1370" i="10"/>
  <c r="C1370" i="10"/>
  <c r="B1370" i="10"/>
  <c r="A1370" i="10"/>
  <c r="R1369" i="10"/>
  <c r="P1369" i="10"/>
  <c r="O1369" i="10"/>
  <c r="N1369" i="10"/>
  <c r="M1369" i="10"/>
  <c r="L1369" i="10"/>
  <c r="K1369" i="10"/>
  <c r="J1369" i="10"/>
  <c r="I1369" i="10"/>
  <c r="H1369" i="10"/>
  <c r="G1369" i="10"/>
  <c r="F1369" i="10"/>
  <c r="Q1369" i="10" s="1"/>
  <c r="E1369" i="10"/>
  <c r="D1369" i="10"/>
  <c r="C1369" i="10"/>
  <c r="B1369" i="10"/>
  <c r="A1369" i="10"/>
  <c r="Q1368" i="10"/>
  <c r="N1368" i="10"/>
  <c r="M1368" i="10"/>
  <c r="L1368" i="10"/>
  <c r="K1368" i="10"/>
  <c r="J1368" i="10"/>
  <c r="O1368" i="10" s="1"/>
  <c r="R1368" i="10" s="1"/>
  <c r="I1368" i="10"/>
  <c r="H1368" i="10"/>
  <c r="G1368" i="10"/>
  <c r="F1368" i="10"/>
  <c r="E1368" i="10"/>
  <c r="P1368" i="10" s="1"/>
  <c r="D1368" i="10"/>
  <c r="C1368" i="10"/>
  <c r="B1368" i="10"/>
  <c r="A1368" i="10"/>
  <c r="P1367" i="10"/>
  <c r="N1367" i="10"/>
  <c r="M1367" i="10"/>
  <c r="L1367" i="10"/>
  <c r="K1367" i="10"/>
  <c r="J1367" i="10"/>
  <c r="O1367" i="10" s="1"/>
  <c r="I1367" i="10"/>
  <c r="H1367" i="10"/>
  <c r="G1367" i="10"/>
  <c r="F1367" i="10"/>
  <c r="Q1367" i="10" s="1"/>
  <c r="E1367" i="10"/>
  <c r="D1367" i="10"/>
  <c r="C1367" i="10"/>
  <c r="B1367" i="10"/>
  <c r="A1367" i="10"/>
  <c r="Q1366" i="10"/>
  <c r="P1366" i="10"/>
  <c r="N1366" i="10"/>
  <c r="M1366" i="10"/>
  <c r="L1366" i="10"/>
  <c r="K1366" i="10"/>
  <c r="J1366" i="10"/>
  <c r="O1366" i="10" s="1"/>
  <c r="R1366" i="10" s="1"/>
  <c r="I1366" i="10"/>
  <c r="H1366" i="10"/>
  <c r="G1366" i="10"/>
  <c r="F1366" i="10"/>
  <c r="E1366" i="10"/>
  <c r="D1366" i="10"/>
  <c r="C1366" i="10"/>
  <c r="B1366" i="10"/>
  <c r="A1366" i="10"/>
  <c r="P1365" i="10"/>
  <c r="O1365" i="10"/>
  <c r="R1365" i="10" s="1"/>
  <c r="N1365" i="10"/>
  <c r="M1365" i="10"/>
  <c r="L1365" i="10"/>
  <c r="K1365" i="10"/>
  <c r="J1365" i="10"/>
  <c r="I1365" i="10"/>
  <c r="H1365" i="10"/>
  <c r="G1365" i="10"/>
  <c r="F1365" i="10"/>
  <c r="Q1365" i="10" s="1"/>
  <c r="E1365" i="10"/>
  <c r="D1365" i="10"/>
  <c r="C1365" i="10"/>
  <c r="B1365" i="10"/>
  <c r="A1365" i="10"/>
  <c r="Q1364" i="10"/>
  <c r="P1364" i="10"/>
  <c r="N1364" i="10"/>
  <c r="M1364" i="10"/>
  <c r="L1364" i="10"/>
  <c r="K1364" i="10"/>
  <c r="J1364" i="10"/>
  <c r="O1364" i="10" s="1"/>
  <c r="I1364" i="10"/>
  <c r="H1364" i="10"/>
  <c r="G1364" i="10"/>
  <c r="F1364" i="10"/>
  <c r="E1364" i="10"/>
  <c r="D1364" i="10"/>
  <c r="C1364" i="10"/>
  <c r="B1364" i="10"/>
  <c r="A1364" i="10"/>
  <c r="P1363" i="10"/>
  <c r="N1363" i="10"/>
  <c r="M1363" i="10"/>
  <c r="L1363" i="10"/>
  <c r="K1363" i="10"/>
  <c r="J1363" i="10"/>
  <c r="O1363" i="10" s="1"/>
  <c r="R1363" i="10" s="1"/>
  <c r="I1363" i="10"/>
  <c r="H1363" i="10"/>
  <c r="G1363" i="10"/>
  <c r="F1363" i="10"/>
  <c r="Q1363" i="10" s="1"/>
  <c r="E1363" i="10"/>
  <c r="D1363" i="10"/>
  <c r="C1363" i="10"/>
  <c r="B1363" i="10"/>
  <c r="A1363" i="10"/>
  <c r="Q1362" i="10"/>
  <c r="N1362" i="10"/>
  <c r="M1362" i="10"/>
  <c r="L1362" i="10"/>
  <c r="K1362" i="10"/>
  <c r="J1362" i="10"/>
  <c r="O1362" i="10" s="1"/>
  <c r="I1362" i="10"/>
  <c r="H1362" i="10"/>
  <c r="G1362" i="10"/>
  <c r="F1362" i="10"/>
  <c r="E1362" i="10"/>
  <c r="P1362" i="10" s="1"/>
  <c r="D1362" i="10"/>
  <c r="C1362" i="10"/>
  <c r="B1362" i="10"/>
  <c r="A1362" i="10"/>
  <c r="R1361" i="10"/>
  <c r="P1361" i="10"/>
  <c r="O1361" i="10"/>
  <c r="N1361" i="10"/>
  <c r="M1361" i="10"/>
  <c r="L1361" i="10"/>
  <c r="K1361" i="10"/>
  <c r="J1361" i="10"/>
  <c r="I1361" i="10"/>
  <c r="H1361" i="10"/>
  <c r="G1361" i="10"/>
  <c r="F1361" i="10"/>
  <c r="Q1361" i="10" s="1"/>
  <c r="E1361" i="10"/>
  <c r="D1361" i="10"/>
  <c r="C1361" i="10"/>
  <c r="B1361" i="10"/>
  <c r="A1361" i="10"/>
  <c r="Q1360" i="10"/>
  <c r="N1360" i="10"/>
  <c r="M1360" i="10"/>
  <c r="L1360" i="10"/>
  <c r="K1360" i="10"/>
  <c r="J1360" i="10"/>
  <c r="O1360" i="10" s="1"/>
  <c r="R1360" i="10" s="1"/>
  <c r="I1360" i="10"/>
  <c r="H1360" i="10"/>
  <c r="G1360" i="10"/>
  <c r="F1360" i="10"/>
  <c r="E1360" i="10"/>
  <c r="P1360" i="10" s="1"/>
  <c r="D1360" i="10"/>
  <c r="C1360" i="10"/>
  <c r="B1360" i="10"/>
  <c r="A1360" i="10"/>
  <c r="P1359" i="10"/>
  <c r="N1359" i="10"/>
  <c r="M1359" i="10"/>
  <c r="L1359" i="10"/>
  <c r="K1359" i="10"/>
  <c r="J1359" i="10"/>
  <c r="O1359" i="10" s="1"/>
  <c r="I1359" i="10"/>
  <c r="H1359" i="10"/>
  <c r="G1359" i="10"/>
  <c r="F1359" i="10"/>
  <c r="Q1359" i="10" s="1"/>
  <c r="E1359" i="10"/>
  <c r="D1359" i="10"/>
  <c r="C1359" i="10"/>
  <c r="B1359" i="10"/>
  <c r="A1359" i="10"/>
  <c r="Q1358" i="10"/>
  <c r="P1358" i="10"/>
  <c r="N1358" i="10"/>
  <c r="M1358" i="10"/>
  <c r="L1358" i="10"/>
  <c r="K1358" i="10"/>
  <c r="J1358" i="10"/>
  <c r="O1358" i="10" s="1"/>
  <c r="R1358" i="10" s="1"/>
  <c r="I1358" i="10"/>
  <c r="H1358" i="10"/>
  <c r="G1358" i="10"/>
  <c r="F1358" i="10"/>
  <c r="E1358" i="10"/>
  <c r="D1358" i="10"/>
  <c r="C1358" i="10"/>
  <c r="B1358" i="10"/>
  <c r="A1358" i="10"/>
  <c r="P1357" i="10"/>
  <c r="O1357" i="10"/>
  <c r="R1357" i="10" s="1"/>
  <c r="N1357" i="10"/>
  <c r="M1357" i="10"/>
  <c r="L1357" i="10"/>
  <c r="K1357" i="10"/>
  <c r="J1357" i="10"/>
  <c r="I1357" i="10"/>
  <c r="H1357" i="10"/>
  <c r="G1357" i="10"/>
  <c r="F1357" i="10"/>
  <c r="Q1357" i="10" s="1"/>
  <c r="E1357" i="10"/>
  <c r="D1357" i="10"/>
  <c r="C1357" i="10"/>
  <c r="B1357" i="10"/>
  <c r="A1357" i="10"/>
  <c r="Q1356" i="10"/>
  <c r="P1356" i="10"/>
  <c r="N1356" i="10"/>
  <c r="M1356" i="10"/>
  <c r="L1356" i="10"/>
  <c r="K1356" i="10"/>
  <c r="J1356" i="10"/>
  <c r="O1356" i="10" s="1"/>
  <c r="I1356" i="10"/>
  <c r="H1356" i="10"/>
  <c r="G1356" i="10"/>
  <c r="F1356" i="10"/>
  <c r="E1356" i="10"/>
  <c r="D1356" i="10"/>
  <c r="C1356" i="10"/>
  <c r="B1356" i="10"/>
  <c r="A1356" i="10"/>
  <c r="P1355" i="10"/>
  <c r="N1355" i="10"/>
  <c r="M1355" i="10"/>
  <c r="L1355" i="10"/>
  <c r="K1355" i="10"/>
  <c r="J1355" i="10"/>
  <c r="O1355" i="10" s="1"/>
  <c r="R1355" i="10" s="1"/>
  <c r="I1355" i="10"/>
  <c r="H1355" i="10"/>
  <c r="G1355" i="10"/>
  <c r="F1355" i="10"/>
  <c r="Q1355" i="10" s="1"/>
  <c r="E1355" i="10"/>
  <c r="D1355" i="10"/>
  <c r="C1355" i="10"/>
  <c r="B1355" i="10"/>
  <c r="A1355" i="10"/>
  <c r="Q1354" i="10"/>
  <c r="N1354" i="10"/>
  <c r="M1354" i="10"/>
  <c r="L1354" i="10"/>
  <c r="K1354" i="10"/>
  <c r="J1354" i="10"/>
  <c r="O1354" i="10" s="1"/>
  <c r="I1354" i="10"/>
  <c r="H1354" i="10"/>
  <c r="G1354" i="10"/>
  <c r="F1354" i="10"/>
  <c r="E1354" i="10"/>
  <c r="P1354" i="10" s="1"/>
  <c r="D1354" i="10"/>
  <c r="C1354" i="10"/>
  <c r="B1354" i="10"/>
  <c r="A1354" i="10"/>
  <c r="R1353" i="10"/>
  <c r="P1353" i="10"/>
  <c r="O1353" i="10"/>
  <c r="N1353" i="10"/>
  <c r="M1353" i="10"/>
  <c r="L1353" i="10"/>
  <c r="K1353" i="10"/>
  <c r="J1353" i="10"/>
  <c r="I1353" i="10"/>
  <c r="H1353" i="10"/>
  <c r="G1353" i="10"/>
  <c r="F1353" i="10"/>
  <c r="Q1353" i="10" s="1"/>
  <c r="E1353" i="10"/>
  <c r="D1353" i="10"/>
  <c r="C1353" i="10"/>
  <c r="B1353" i="10"/>
  <c r="A1353" i="10"/>
  <c r="Q1352" i="10"/>
  <c r="N1352" i="10"/>
  <c r="M1352" i="10"/>
  <c r="L1352" i="10"/>
  <c r="K1352" i="10"/>
  <c r="J1352" i="10"/>
  <c r="O1352" i="10" s="1"/>
  <c r="R1352" i="10" s="1"/>
  <c r="I1352" i="10"/>
  <c r="H1352" i="10"/>
  <c r="G1352" i="10"/>
  <c r="F1352" i="10"/>
  <c r="E1352" i="10"/>
  <c r="P1352" i="10" s="1"/>
  <c r="D1352" i="10"/>
  <c r="C1352" i="10"/>
  <c r="B1352" i="10"/>
  <c r="A1352" i="10"/>
  <c r="P1351" i="10"/>
  <c r="N1351" i="10"/>
  <c r="M1351" i="10"/>
  <c r="L1351" i="10"/>
  <c r="K1351" i="10"/>
  <c r="J1351" i="10"/>
  <c r="O1351" i="10" s="1"/>
  <c r="I1351" i="10"/>
  <c r="H1351" i="10"/>
  <c r="G1351" i="10"/>
  <c r="F1351" i="10"/>
  <c r="Q1351" i="10" s="1"/>
  <c r="E1351" i="10"/>
  <c r="D1351" i="10"/>
  <c r="C1351" i="10"/>
  <c r="B1351" i="10"/>
  <c r="A1351" i="10"/>
  <c r="Q1350" i="10"/>
  <c r="P1350" i="10"/>
  <c r="N1350" i="10"/>
  <c r="M1350" i="10"/>
  <c r="L1350" i="10"/>
  <c r="K1350" i="10"/>
  <c r="J1350" i="10"/>
  <c r="O1350" i="10" s="1"/>
  <c r="R1350" i="10" s="1"/>
  <c r="I1350" i="10"/>
  <c r="H1350" i="10"/>
  <c r="G1350" i="10"/>
  <c r="F1350" i="10"/>
  <c r="E1350" i="10"/>
  <c r="D1350" i="10"/>
  <c r="C1350" i="10"/>
  <c r="B1350" i="10"/>
  <c r="A1350" i="10"/>
  <c r="P1349" i="10"/>
  <c r="O1349" i="10"/>
  <c r="R1349" i="10" s="1"/>
  <c r="N1349" i="10"/>
  <c r="M1349" i="10"/>
  <c r="L1349" i="10"/>
  <c r="K1349" i="10"/>
  <c r="J1349" i="10"/>
  <c r="I1349" i="10"/>
  <c r="H1349" i="10"/>
  <c r="G1349" i="10"/>
  <c r="F1349" i="10"/>
  <c r="Q1349" i="10" s="1"/>
  <c r="E1349" i="10"/>
  <c r="D1349" i="10"/>
  <c r="C1349" i="10"/>
  <c r="B1349" i="10"/>
  <c r="A1349" i="10"/>
  <c r="Q1348" i="10"/>
  <c r="P1348" i="10"/>
  <c r="N1348" i="10"/>
  <c r="M1348" i="10"/>
  <c r="L1348" i="10"/>
  <c r="K1348" i="10"/>
  <c r="J1348" i="10"/>
  <c r="O1348" i="10" s="1"/>
  <c r="I1348" i="10"/>
  <c r="H1348" i="10"/>
  <c r="G1348" i="10"/>
  <c r="F1348" i="10"/>
  <c r="E1348" i="10"/>
  <c r="D1348" i="10"/>
  <c r="C1348" i="10"/>
  <c r="B1348" i="10"/>
  <c r="A1348" i="10"/>
  <c r="P1347" i="10"/>
  <c r="N1347" i="10"/>
  <c r="M1347" i="10"/>
  <c r="L1347" i="10"/>
  <c r="K1347" i="10"/>
  <c r="J1347" i="10"/>
  <c r="O1347" i="10" s="1"/>
  <c r="R1347" i="10" s="1"/>
  <c r="I1347" i="10"/>
  <c r="H1347" i="10"/>
  <c r="G1347" i="10"/>
  <c r="F1347" i="10"/>
  <c r="Q1347" i="10" s="1"/>
  <c r="E1347" i="10"/>
  <c r="D1347" i="10"/>
  <c r="C1347" i="10"/>
  <c r="B1347" i="10"/>
  <c r="A1347" i="10"/>
  <c r="Q1346" i="10"/>
  <c r="N1346" i="10"/>
  <c r="M1346" i="10"/>
  <c r="L1346" i="10"/>
  <c r="K1346" i="10"/>
  <c r="J1346" i="10"/>
  <c r="O1346" i="10" s="1"/>
  <c r="I1346" i="10"/>
  <c r="H1346" i="10"/>
  <c r="G1346" i="10"/>
  <c r="F1346" i="10"/>
  <c r="E1346" i="10"/>
  <c r="P1346" i="10" s="1"/>
  <c r="D1346" i="10"/>
  <c r="C1346" i="10"/>
  <c r="B1346" i="10"/>
  <c r="A1346" i="10"/>
  <c r="R1345" i="10"/>
  <c r="P1345" i="10"/>
  <c r="O1345" i="10"/>
  <c r="N1345" i="10"/>
  <c r="M1345" i="10"/>
  <c r="L1345" i="10"/>
  <c r="K1345" i="10"/>
  <c r="J1345" i="10"/>
  <c r="I1345" i="10"/>
  <c r="H1345" i="10"/>
  <c r="G1345" i="10"/>
  <c r="F1345" i="10"/>
  <c r="Q1345" i="10" s="1"/>
  <c r="E1345" i="10"/>
  <c r="D1345" i="10"/>
  <c r="C1345" i="10"/>
  <c r="B1345" i="10"/>
  <c r="A1345" i="10"/>
  <c r="Q1344" i="10"/>
  <c r="N1344" i="10"/>
  <c r="M1344" i="10"/>
  <c r="L1344" i="10"/>
  <c r="K1344" i="10"/>
  <c r="J1344" i="10"/>
  <c r="O1344" i="10" s="1"/>
  <c r="R1344" i="10" s="1"/>
  <c r="I1344" i="10"/>
  <c r="H1344" i="10"/>
  <c r="G1344" i="10"/>
  <c r="F1344" i="10"/>
  <c r="E1344" i="10"/>
  <c r="P1344" i="10" s="1"/>
  <c r="D1344" i="10"/>
  <c r="C1344" i="10"/>
  <c r="B1344" i="10"/>
  <c r="A1344" i="10"/>
  <c r="P1343" i="10"/>
  <c r="N1343" i="10"/>
  <c r="M1343" i="10"/>
  <c r="L1343" i="10"/>
  <c r="K1343" i="10"/>
  <c r="J1343" i="10"/>
  <c r="O1343" i="10" s="1"/>
  <c r="I1343" i="10"/>
  <c r="H1343" i="10"/>
  <c r="G1343" i="10"/>
  <c r="F1343" i="10"/>
  <c r="Q1343" i="10" s="1"/>
  <c r="E1343" i="10"/>
  <c r="D1343" i="10"/>
  <c r="C1343" i="10"/>
  <c r="B1343" i="10"/>
  <c r="A1343" i="10"/>
  <c r="Q1342" i="10"/>
  <c r="P1342" i="10"/>
  <c r="N1342" i="10"/>
  <c r="M1342" i="10"/>
  <c r="L1342" i="10"/>
  <c r="K1342" i="10"/>
  <c r="J1342" i="10"/>
  <c r="O1342" i="10" s="1"/>
  <c r="R1342" i="10" s="1"/>
  <c r="I1342" i="10"/>
  <c r="H1342" i="10"/>
  <c r="G1342" i="10"/>
  <c r="F1342" i="10"/>
  <c r="E1342" i="10"/>
  <c r="D1342" i="10"/>
  <c r="C1342" i="10"/>
  <c r="B1342" i="10"/>
  <c r="A1342" i="10"/>
  <c r="P1341" i="10"/>
  <c r="O1341" i="10"/>
  <c r="R1341" i="10" s="1"/>
  <c r="N1341" i="10"/>
  <c r="M1341" i="10"/>
  <c r="L1341" i="10"/>
  <c r="K1341" i="10"/>
  <c r="J1341" i="10"/>
  <c r="I1341" i="10"/>
  <c r="H1341" i="10"/>
  <c r="G1341" i="10"/>
  <c r="F1341" i="10"/>
  <c r="Q1341" i="10" s="1"/>
  <c r="E1341" i="10"/>
  <c r="D1341" i="10"/>
  <c r="C1341" i="10"/>
  <c r="B1341" i="10"/>
  <c r="A1341" i="10"/>
  <c r="Q1340" i="10"/>
  <c r="P1340" i="10"/>
  <c r="N1340" i="10"/>
  <c r="M1340" i="10"/>
  <c r="L1340" i="10"/>
  <c r="K1340" i="10"/>
  <c r="J1340" i="10"/>
  <c r="O1340" i="10" s="1"/>
  <c r="I1340" i="10"/>
  <c r="H1340" i="10"/>
  <c r="G1340" i="10"/>
  <c r="F1340" i="10"/>
  <c r="E1340" i="10"/>
  <c r="D1340" i="10"/>
  <c r="C1340" i="10"/>
  <c r="B1340" i="10"/>
  <c r="A1340" i="10"/>
  <c r="P1339" i="10"/>
  <c r="N1339" i="10"/>
  <c r="M1339" i="10"/>
  <c r="L1339" i="10"/>
  <c r="K1339" i="10"/>
  <c r="J1339" i="10"/>
  <c r="O1339" i="10" s="1"/>
  <c r="R1339" i="10" s="1"/>
  <c r="I1339" i="10"/>
  <c r="H1339" i="10"/>
  <c r="G1339" i="10"/>
  <c r="F1339" i="10"/>
  <c r="Q1339" i="10" s="1"/>
  <c r="E1339" i="10"/>
  <c r="D1339" i="10"/>
  <c r="C1339" i="10"/>
  <c r="B1339" i="10"/>
  <c r="A1339" i="10"/>
  <c r="N1338" i="10"/>
  <c r="M1338" i="10"/>
  <c r="L1338" i="10"/>
  <c r="K1338" i="10"/>
  <c r="J1338" i="10"/>
  <c r="O1338" i="10" s="1"/>
  <c r="I1338" i="10"/>
  <c r="H1338" i="10"/>
  <c r="G1338" i="10"/>
  <c r="F1338" i="10"/>
  <c r="Q1338" i="10" s="1"/>
  <c r="R1338" i="10" s="1"/>
  <c r="E1338" i="10"/>
  <c r="P1338" i="10" s="1"/>
  <c r="D1338" i="10"/>
  <c r="C1338" i="10"/>
  <c r="B1338" i="10"/>
  <c r="A1338" i="10"/>
  <c r="P1337" i="10"/>
  <c r="N1337" i="10"/>
  <c r="M1337" i="10"/>
  <c r="L1337" i="10"/>
  <c r="K1337" i="10"/>
  <c r="J1337" i="10"/>
  <c r="O1337" i="10" s="1"/>
  <c r="I1337" i="10"/>
  <c r="H1337" i="10"/>
  <c r="G1337" i="10"/>
  <c r="F1337" i="10"/>
  <c r="Q1337" i="10" s="1"/>
  <c r="E1337" i="10"/>
  <c r="D1337" i="10"/>
  <c r="C1337" i="10"/>
  <c r="B1337" i="10"/>
  <c r="A1337" i="10"/>
  <c r="Q1336" i="10"/>
  <c r="R1336" i="10" s="1"/>
  <c r="P1336" i="10"/>
  <c r="N1336" i="10"/>
  <c r="M1336" i="10"/>
  <c r="L1336" i="10"/>
  <c r="K1336" i="10"/>
  <c r="J1336" i="10"/>
  <c r="O1336" i="10" s="1"/>
  <c r="I1336" i="10"/>
  <c r="H1336" i="10"/>
  <c r="G1336" i="10"/>
  <c r="F1336" i="10"/>
  <c r="E1336" i="10"/>
  <c r="D1336" i="10"/>
  <c r="C1336" i="10"/>
  <c r="B1336" i="10"/>
  <c r="A1336" i="10"/>
  <c r="P1335" i="10"/>
  <c r="N1335" i="10"/>
  <c r="M1335" i="10"/>
  <c r="L1335" i="10"/>
  <c r="K1335" i="10"/>
  <c r="J1335" i="10"/>
  <c r="O1335" i="10" s="1"/>
  <c r="R1335" i="10" s="1"/>
  <c r="I1335" i="10"/>
  <c r="H1335" i="10"/>
  <c r="G1335" i="10"/>
  <c r="F1335" i="10"/>
  <c r="Q1335" i="10" s="1"/>
  <c r="E1335" i="10"/>
  <c r="D1335" i="10"/>
  <c r="C1335" i="10"/>
  <c r="B1335" i="10"/>
  <c r="A1335" i="10"/>
  <c r="R1334" i="10"/>
  <c r="N1334" i="10"/>
  <c r="M1334" i="10"/>
  <c r="L1334" i="10"/>
  <c r="K1334" i="10"/>
  <c r="J1334" i="10"/>
  <c r="O1334" i="10" s="1"/>
  <c r="I1334" i="10"/>
  <c r="H1334" i="10"/>
  <c r="G1334" i="10"/>
  <c r="F1334" i="10"/>
  <c r="Q1334" i="10" s="1"/>
  <c r="E1334" i="10"/>
  <c r="P1334" i="10" s="1"/>
  <c r="D1334" i="10"/>
  <c r="C1334" i="10"/>
  <c r="B1334" i="10"/>
  <c r="A1334" i="10"/>
  <c r="P1333" i="10"/>
  <c r="N1333" i="10"/>
  <c r="M1333" i="10"/>
  <c r="L1333" i="10"/>
  <c r="K1333" i="10"/>
  <c r="J1333" i="10"/>
  <c r="O1333" i="10" s="1"/>
  <c r="I1333" i="10"/>
  <c r="H1333" i="10"/>
  <c r="G1333" i="10"/>
  <c r="F1333" i="10"/>
  <c r="Q1333" i="10" s="1"/>
  <c r="E1333" i="10"/>
  <c r="D1333" i="10"/>
  <c r="C1333" i="10"/>
  <c r="B1333" i="10"/>
  <c r="A1333" i="10"/>
  <c r="Q1332" i="10"/>
  <c r="R1332" i="10" s="1"/>
  <c r="P1332" i="10"/>
  <c r="N1332" i="10"/>
  <c r="M1332" i="10"/>
  <c r="L1332" i="10"/>
  <c r="K1332" i="10"/>
  <c r="J1332" i="10"/>
  <c r="O1332" i="10" s="1"/>
  <c r="I1332" i="10"/>
  <c r="H1332" i="10"/>
  <c r="G1332" i="10"/>
  <c r="F1332" i="10"/>
  <c r="E1332" i="10"/>
  <c r="D1332" i="10"/>
  <c r="C1332" i="10"/>
  <c r="B1332" i="10"/>
  <c r="A1332" i="10"/>
  <c r="P1331" i="10"/>
  <c r="N1331" i="10"/>
  <c r="M1331" i="10"/>
  <c r="L1331" i="10"/>
  <c r="K1331" i="10"/>
  <c r="J1331" i="10"/>
  <c r="O1331" i="10" s="1"/>
  <c r="R1331" i="10" s="1"/>
  <c r="I1331" i="10"/>
  <c r="H1331" i="10"/>
  <c r="G1331" i="10"/>
  <c r="F1331" i="10"/>
  <c r="Q1331" i="10" s="1"/>
  <c r="E1331" i="10"/>
  <c r="D1331" i="10"/>
  <c r="C1331" i="10"/>
  <c r="B1331" i="10"/>
  <c r="A1331" i="10"/>
  <c r="N1330" i="10"/>
  <c r="M1330" i="10"/>
  <c r="L1330" i="10"/>
  <c r="K1330" i="10"/>
  <c r="J1330" i="10"/>
  <c r="O1330" i="10" s="1"/>
  <c r="I1330" i="10"/>
  <c r="H1330" i="10"/>
  <c r="G1330" i="10"/>
  <c r="F1330" i="10"/>
  <c r="Q1330" i="10" s="1"/>
  <c r="R1330" i="10" s="1"/>
  <c r="E1330" i="10"/>
  <c r="P1330" i="10" s="1"/>
  <c r="D1330" i="10"/>
  <c r="C1330" i="10"/>
  <c r="B1330" i="10"/>
  <c r="A1330" i="10"/>
  <c r="P1329" i="10"/>
  <c r="N1329" i="10"/>
  <c r="M1329" i="10"/>
  <c r="L1329" i="10"/>
  <c r="K1329" i="10"/>
  <c r="J1329" i="10"/>
  <c r="O1329" i="10" s="1"/>
  <c r="I1329" i="10"/>
  <c r="H1329" i="10"/>
  <c r="G1329" i="10"/>
  <c r="F1329" i="10"/>
  <c r="Q1329" i="10" s="1"/>
  <c r="E1329" i="10"/>
  <c r="D1329" i="10"/>
  <c r="C1329" i="10"/>
  <c r="B1329" i="10"/>
  <c r="A1329" i="10"/>
  <c r="R1328" i="10"/>
  <c r="Q1328" i="10"/>
  <c r="P1328" i="10"/>
  <c r="N1328" i="10"/>
  <c r="M1328" i="10"/>
  <c r="L1328" i="10"/>
  <c r="K1328" i="10"/>
  <c r="J1328" i="10"/>
  <c r="O1328" i="10" s="1"/>
  <c r="I1328" i="10"/>
  <c r="H1328" i="10"/>
  <c r="G1328" i="10"/>
  <c r="F1328" i="10"/>
  <c r="E1328" i="10"/>
  <c r="D1328" i="10"/>
  <c r="C1328" i="10"/>
  <c r="B1328" i="10"/>
  <c r="A1328" i="10"/>
  <c r="P1327" i="10"/>
  <c r="N1327" i="10"/>
  <c r="M1327" i="10"/>
  <c r="L1327" i="10"/>
  <c r="K1327" i="10"/>
  <c r="J1327" i="10"/>
  <c r="O1327" i="10" s="1"/>
  <c r="R1327" i="10" s="1"/>
  <c r="I1327" i="10"/>
  <c r="H1327" i="10"/>
  <c r="G1327" i="10"/>
  <c r="F1327" i="10"/>
  <c r="Q1327" i="10" s="1"/>
  <c r="E1327" i="10"/>
  <c r="D1327" i="10"/>
  <c r="C1327" i="10"/>
  <c r="B1327" i="10"/>
  <c r="A1327" i="10"/>
  <c r="N1326" i="10"/>
  <c r="M1326" i="10"/>
  <c r="L1326" i="10"/>
  <c r="K1326" i="10"/>
  <c r="J1326" i="10"/>
  <c r="O1326" i="10" s="1"/>
  <c r="I1326" i="10"/>
  <c r="H1326" i="10"/>
  <c r="G1326" i="10"/>
  <c r="F1326" i="10"/>
  <c r="Q1326" i="10" s="1"/>
  <c r="R1326" i="10" s="1"/>
  <c r="E1326" i="10"/>
  <c r="P1326" i="10" s="1"/>
  <c r="D1326" i="10"/>
  <c r="C1326" i="10"/>
  <c r="B1326" i="10"/>
  <c r="A1326" i="10"/>
  <c r="P1325" i="10"/>
  <c r="N1325" i="10"/>
  <c r="M1325" i="10"/>
  <c r="L1325" i="10"/>
  <c r="K1325" i="10"/>
  <c r="J1325" i="10"/>
  <c r="O1325" i="10" s="1"/>
  <c r="I1325" i="10"/>
  <c r="H1325" i="10"/>
  <c r="G1325" i="10"/>
  <c r="F1325" i="10"/>
  <c r="Q1325" i="10" s="1"/>
  <c r="E1325" i="10"/>
  <c r="D1325" i="10"/>
  <c r="C1325" i="10"/>
  <c r="B1325" i="10"/>
  <c r="A1325" i="10"/>
  <c r="Q1324" i="10"/>
  <c r="R1324" i="10" s="1"/>
  <c r="P1324" i="10"/>
  <c r="N1324" i="10"/>
  <c r="M1324" i="10"/>
  <c r="L1324" i="10"/>
  <c r="K1324" i="10"/>
  <c r="J1324" i="10"/>
  <c r="O1324" i="10" s="1"/>
  <c r="I1324" i="10"/>
  <c r="H1324" i="10"/>
  <c r="G1324" i="10"/>
  <c r="F1324" i="10"/>
  <c r="E1324" i="10"/>
  <c r="D1324" i="10"/>
  <c r="C1324" i="10"/>
  <c r="B1324" i="10"/>
  <c r="A1324" i="10"/>
  <c r="P1323" i="10"/>
  <c r="N1323" i="10"/>
  <c r="M1323" i="10"/>
  <c r="L1323" i="10"/>
  <c r="K1323" i="10"/>
  <c r="J1323" i="10"/>
  <c r="O1323" i="10" s="1"/>
  <c r="R1323" i="10" s="1"/>
  <c r="I1323" i="10"/>
  <c r="H1323" i="10"/>
  <c r="G1323" i="10"/>
  <c r="F1323" i="10"/>
  <c r="Q1323" i="10" s="1"/>
  <c r="E1323" i="10"/>
  <c r="D1323" i="10"/>
  <c r="C1323" i="10"/>
  <c r="B1323" i="10"/>
  <c r="A1323" i="10"/>
  <c r="R1322" i="10"/>
  <c r="N1322" i="10"/>
  <c r="M1322" i="10"/>
  <c r="L1322" i="10"/>
  <c r="K1322" i="10"/>
  <c r="J1322" i="10"/>
  <c r="O1322" i="10" s="1"/>
  <c r="I1322" i="10"/>
  <c r="H1322" i="10"/>
  <c r="G1322" i="10"/>
  <c r="F1322" i="10"/>
  <c r="Q1322" i="10" s="1"/>
  <c r="E1322" i="10"/>
  <c r="P1322" i="10" s="1"/>
  <c r="D1322" i="10"/>
  <c r="C1322" i="10"/>
  <c r="B1322" i="10"/>
  <c r="A1322" i="10"/>
  <c r="P1321" i="10"/>
  <c r="N1321" i="10"/>
  <c r="M1321" i="10"/>
  <c r="L1321" i="10"/>
  <c r="K1321" i="10"/>
  <c r="J1321" i="10"/>
  <c r="O1321" i="10" s="1"/>
  <c r="I1321" i="10"/>
  <c r="H1321" i="10"/>
  <c r="G1321" i="10"/>
  <c r="F1321" i="10"/>
  <c r="Q1321" i="10" s="1"/>
  <c r="E1321" i="10"/>
  <c r="D1321" i="10"/>
  <c r="C1321" i="10"/>
  <c r="B1321" i="10"/>
  <c r="A1321" i="10"/>
  <c r="Q1320" i="10"/>
  <c r="R1320" i="10" s="1"/>
  <c r="P1320" i="10"/>
  <c r="N1320" i="10"/>
  <c r="M1320" i="10"/>
  <c r="L1320" i="10"/>
  <c r="K1320" i="10"/>
  <c r="J1320" i="10"/>
  <c r="O1320" i="10" s="1"/>
  <c r="I1320" i="10"/>
  <c r="H1320" i="10"/>
  <c r="G1320" i="10"/>
  <c r="F1320" i="10"/>
  <c r="E1320" i="10"/>
  <c r="D1320" i="10"/>
  <c r="C1320" i="10"/>
  <c r="B1320" i="10"/>
  <c r="A1320" i="10"/>
  <c r="P1319" i="10"/>
  <c r="N1319" i="10"/>
  <c r="M1319" i="10"/>
  <c r="L1319" i="10"/>
  <c r="K1319" i="10"/>
  <c r="J1319" i="10"/>
  <c r="O1319" i="10" s="1"/>
  <c r="R1319" i="10" s="1"/>
  <c r="I1319" i="10"/>
  <c r="H1319" i="10"/>
  <c r="G1319" i="10"/>
  <c r="F1319" i="10"/>
  <c r="Q1319" i="10" s="1"/>
  <c r="E1319" i="10"/>
  <c r="D1319" i="10"/>
  <c r="C1319" i="10"/>
  <c r="B1319" i="10"/>
  <c r="A1319" i="10"/>
  <c r="N1318" i="10"/>
  <c r="M1318" i="10"/>
  <c r="L1318" i="10"/>
  <c r="K1318" i="10"/>
  <c r="J1318" i="10"/>
  <c r="O1318" i="10" s="1"/>
  <c r="I1318" i="10"/>
  <c r="H1318" i="10"/>
  <c r="G1318" i="10"/>
  <c r="F1318" i="10"/>
  <c r="Q1318" i="10" s="1"/>
  <c r="R1318" i="10" s="1"/>
  <c r="E1318" i="10"/>
  <c r="P1318" i="10" s="1"/>
  <c r="D1318" i="10"/>
  <c r="C1318" i="10"/>
  <c r="B1318" i="10"/>
  <c r="A1318" i="10"/>
  <c r="P1317" i="10"/>
  <c r="N1317" i="10"/>
  <c r="M1317" i="10"/>
  <c r="L1317" i="10"/>
  <c r="K1317" i="10"/>
  <c r="J1317" i="10"/>
  <c r="O1317" i="10" s="1"/>
  <c r="I1317" i="10"/>
  <c r="H1317" i="10"/>
  <c r="G1317" i="10"/>
  <c r="F1317" i="10"/>
  <c r="Q1317" i="10" s="1"/>
  <c r="E1317" i="10"/>
  <c r="D1317" i="10"/>
  <c r="C1317" i="10"/>
  <c r="B1317" i="10"/>
  <c r="A1317" i="10"/>
  <c r="Q1316" i="10"/>
  <c r="R1316" i="10" s="1"/>
  <c r="P1316" i="10"/>
  <c r="N1316" i="10"/>
  <c r="M1316" i="10"/>
  <c r="L1316" i="10"/>
  <c r="K1316" i="10"/>
  <c r="J1316" i="10"/>
  <c r="O1316" i="10" s="1"/>
  <c r="I1316" i="10"/>
  <c r="H1316" i="10"/>
  <c r="G1316" i="10"/>
  <c r="F1316" i="10"/>
  <c r="E1316" i="10"/>
  <c r="D1316" i="10"/>
  <c r="C1316" i="10"/>
  <c r="B1316" i="10"/>
  <c r="A1316" i="10"/>
  <c r="P1315" i="10"/>
  <c r="N1315" i="10"/>
  <c r="M1315" i="10"/>
  <c r="L1315" i="10"/>
  <c r="K1315" i="10"/>
  <c r="J1315" i="10"/>
  <c r="O1315" i="10" s="1"/>
  <c r="R1315" i="10" s="1"/>
  <c r="I1315" i="10"/>
  <c r="H1315" i="10"/>
  <c r="G1315" i="10"/>
  <c r="F1315" i="10"/>
  <c r="Q1315" i="10" s="1"/>
  <c r="E1315" i="10"/>
  <c r="D1315" i="10"/>
  <c r="C1315" i="10"/>
  <c r="B1315" i="10"/>
  <c r="A1315" i="10"/>
  <c r="R1314" i="10"/>
  <c r="N1314" i="10"/>
  <c r="M1314" i="10"/>
  <c r="L1314" i="10"/>
  <c r="K1314" i="10"/>
  <c r="J1314" i="10"/>
  <c r="O1314" i="10" s="1"/>
  <c r="I1314" i="10"/>
  <c r="H1314" i="10"/>
  <c r="G1314" i="10"/>
  <c r="F1314" i="10"/>
  <c r="Q1314" i="10" s="1"/>
  <c r="E1314" i="10"/>
  <c r="P1314" i="10" s="1"/>
  <c r="D1314" i="10"/>
  <c r="C1314" i="10"/>
  <c r="B1314" i="10"/>
  <c r="A1314" i="10"/>
  <c r="P1313" i="10"/>
  <c r="N1313" i="10"/>
  <c r="M1313" i="10"/>
  <c r="L1313" i="10"/>
  <c r="K1313" i="10"/>
  <c r="J1313" i="10"/>
  <c r="O1313" i="10" s="1"/>
  <c r="I1313" i="10"/>
  <c r="H1313" i="10"/>
  <c r="G1313" i="10"/>
  <c r="F1313" i="10"/>
  <c r="Q1313" i="10" s="1"/>
  <c r="E1313" i="10"/>
  <c r="D1313" i="10"/>
  <c r="C1313" i="10"/>
  <c r="B1313" i="10"/>
  <c r="A1313" i="10"/>
  <c r="Q1312" i="10"/>
  <c r="R1312" i="10" s="1"/>
  <c r="P1312" i="10"/>
  <c r="N1312" i="10"/>
  <c r="M1312" i="10"/>
  <c r="L1312" i="10"/>
  <c r="K1312" i="10"/>
  <c r="J1312" i="10"/>
  <c r="O1312" i="10" s="1"/>
  <c r="I1312" i="10"/>
  <c r="H1312" i="10"/>
  <c r="G1312" i="10"/>
  <c r="F1312" i="10"/>
  <c r="E1312" i="10"/>
  <c r="D1312" i="10"/>
  <c r="C1312" i="10"/>
  <c r="B1312" i="10"/>
  <c r="A1312" i="10"/>
  <c r="P1311" i="10"/>
  <c r="N1311" i="10"/>
  <c r="M1311" i="10"/>
  <c r="L1311" i="10"/>
  <c r="K1311" i="10"/>
  <c r="J1311" i="10"/>
  <c r="O1311" i="10" s="1"/>
  <c r="R1311" i="10" s="1"/>
  <c r="I1311" i="10"/>
  <c r="H1311" i="10"/>
  <c r="G1311" i="10"/>
  <c r="F1311" i="10"/>
  <c r="Q1311" i="10" s="1"/>
  <c r="E1311" i="10"/>
  <c r="D1311" i="10"/>
  <c r="C1311" i="10"/>
  <c r="B1311" i="10"/>
  <c r="A1311" i="10"/>
  <c r="N1310" i="10"/>
  <c r="M1310" i="10"/>
  <c r="L1310" i="10"/>
  <c r="K1310" i="10"/>
  <c r="J1310" i="10"/>
  <c r="O1310" i="10" s="1"/>
  <c r="I1310" i="10"/>
  <c r="H1310" i="10"/>
  <c r="G1310" i="10"/>
  <c r="F1310" i="10"/>
  <c r="Q1310" i="10" s="1"/>
  <c r="R1310" i="10" s="1"/>
  <c r="E1310" i="10"/>
  <c r="P1310" i="10" s="1"/>
  <c r="D1310" i="10"/>
  <c r="C1310" i="10"/>
  <c r="B1310" i="10"/>
  <c r="A1310" i="10"/>
  <c r="P1309" i="10"/>
  <c r="N1309" i="10"/>
  <c r="M1309" i="10"/>
  <c r="L1309" i="10"/>
  <c r="K1309" i="10"/>
  <c r="J1309" i="10"/>
  <c r="O1309" i="10" s="1"/>
  <c r="I1309" i="10"/>
  <c r="H1309" i="10"/>
  <c r="G1309" i="10"/>
  <c r="F1309" i="10"/>
  <c r="Q1309" i="10" s="1"/>
  <c r="E1309" i="10"/>
  <c r="D1309" i="10"/>
  <c r="C1309" i="10"/>
  <c r="B1309" i="10"/>
  <c r="A1309" i="10"/>
  <c r="Q1308" i="10"/>
  <c r="R1308" i="10" s="1"/>
  <c r="P1308" i="10"/>
  <c r="N1308" i="10"/>
  <c r="M1308" i="10"/>
  <c r="L1308" i="10"/>
  <c r="K1308" i="10"/>
  <c r="J1308" i="10"/>
  <c r="O1308" i="10" s="1"/>
  <c r="I1308" i="10"/>
  <c r="H1308" i="10"/>
  <c r="G1308" i="10"/>
  <c r="F1308" i="10"/>
  <c r="E1308" i="10"/>
  <c r="D1308" i="10"/>
  <c r="C1308" i="10"/>
  <c r="B1308" i="10"/>
  <c r="A1308" i="10"/>
  <c r="P1307" i="10"/>
  <c r="N1307" i="10"/>
  <c r="M1307" i="10"/>
  <c r="L1307" i="10"/>
  <c r="K1307" i="10"/>
  <c r="J1307" i="10"/>
  <c r="O1307" i="10" s="1"/>
  <c r="R1307" i="10" s="1"/>
  <c r="I1307" i="10"/>
  <c r="H1307" i="10"/>
  <c r="G1307" i="10"/>
  <c r="F1307" i="10"/>
  <c r="Q1307" i="10" s="1"/>
  <c r="E1307" i="10"/>
  <c r="D1307" i="10"/>
  <c r="C1307" i="10"/>
  <c r="B1307" i="10"/>
  <c r="A1307" i="10"/>
  <c r="R1306" i="10"/>
  <c r="N1306" i="10"/>
  <c r="M1306" i="10"/>
  <c r="L1306" i="10"/>
  <c r="K1306" i="10"/>
  <c r="J1306" i="10"/>
  <c r="O1306" i="10" s="1"/>
  <c r="I1306" i="10"/>
  <c r="H1306" i="10"/>
  <c r="G1306" i="10"/>
  <c r="F1306" i="10"/>
  <c r="Q1306" i="10" s="1"/>
  <c r="E1306" i="10"/>
  <c r="P1306" i="10" s="1"/>
  <c r="D1306" i="10"/>
  <c r="C1306" i="10"/>
  <c r="B1306" i="10"/>
  <c r="A1306" i="10"/>
  <c r="P1305" i="10"/>
  <c r="N1305" i="10"/>
  <c r="M1305" i="10"/>
  <c r="L1305" i="10"/>
  <c r="K1305" i="10"/>
  <c r="J1305" i="10"/>
  <c r="O1305" i="10" s="1"/>
  <c r="I1305" i="10"/>
  <c r="H1305" i="10"/>
  <c r="G1305" i="10"/>
  <c r="F1305" i="10"/>
  <c r="Q1305" i="10" s="1"/>
  <c r="E1305" i="10"/>
  <c r="D1305" i="10"/>
  <c r="C1305" i="10"/>
  <c r="B1305" i="10"/>
  <c r="A1305" i="10"/>
  <c r="Q1304" i="10"/>
  <c r="R1304" i="10" s="1"/>
  <c r="P1304" i="10"/>
  <c r="N1304" i="10"/>
  <c r="M1304" i="10"/>
  <c r="L1304" i="10"/>
  <c r="K1304" i="10"/>
  <c r="J1304" i="10"/>
  <c r="O1304" i="10" s="1"/>
  <c r="I1304" i="10"/>
  <c r="H1304" i="10"/>
  <c r="G1304" i="10"/>
  <c r="F1304" i="10"/>
  <c r="E1304" i="10"/>
  <c r="D1304" i="10"/>
  <c r="C1304" i="10"/>
  <c r="B1304" i="10"/>
  <c r="A1304" i="10"/>
  <c r="P1303" i="10"/>
  <c r="N1303" i="10"/>
  <c r="M1303" i="10"/>
  <c r="L1303" i="10"/>
  <c r="K1303" i="10"/>
  <c r="J1303" i="10"/>
  <c r="O1303" i="10" s="1"/>
  <c r="R1303" i="10" s="1"/>
  <c r="I1303" i="10"/>
  <c r="H1303" i="10"/>
  <c r="G1303" i="10"/>
  <c r="F1303" i="10"/>
  <c r="Q1303" i="10" s="1"/>
  <c r="E1303" i="10"/>
  <c r="D1303" i="10"/>
  <c r="C1303" i="10"/>
  <c r="B1303" i="10"/>
  <c r="A1303" i="10"/>
  <c r="N1302" i="10"/>
  <c r="M1302" i="10"/>
  <c r="L1302" i="10"/>
  <c r="K1302" i="10"/>
  <c r="J1302" i="10"/>
  <c r="O1302" i="10" s="1"/>
  <c r="I1302" i="10"/>
  <c r="H1302" i="10"/>
  <c r="G1302" i="10"/>
  <c r="F1302" i="10"/>
  <c r="Q1302" i="10" s="1"/>
  <c r="R1302" i="10" s="1"/>
  <c r="E1302" i="10"/>
  <c r="P1302" i="10" s="1"/>
  <c r="D1302" i="10"/>
  <c r="C1302" i="10"/>
  <c r="B1302" i="10"/>
  <c r="A1302" i="10"/>
  <c r="P1301" i="10"/>
  <c r="N1301" i="10"/>
  <c r="M1301" i="10"/>
  <c r="L1301" i="10"/>
  <c r="K1301" i="10"/>
  <c r="J1301" i="10"/>
  <c r="O1301" i="10" s="1"/>
  <c r="I1301" i="10"/>
  <c r="H1301" i="10"/>
  <c r="G1301" i="10"/>
  <c r="F1301" i="10"/>
  <c r="Q1301" i="10" s="1"/>
  <c r="E1301" i="10"/>
  <c r="D1301" i="10"/>
  <c r="C1301" i="10"/>
  <c r="B1301" i="10"/>
  <c r="A1301" i="10"/>
  <c r="Q1300" i="10"/>
  <c r="R1300" i="10" s="1"/>
  <c r="P1300" i="10"/>
  <c r="N1300" i="10"/>
  <c r="M1300" i="10"/>
  <c r="L1300" i="10"/>
  <c r="K1300" i="10"/>
  <c r="J1300" i="10"/>
  <c r="O1300" i="10" s="1"/>
  <c r="I1300" i="10"/>
  <c r="H1300" i="10"/>
  <c r="G1300" i="10"/>
  <c r="F1300" i="10"/>
  <c r="E1300" i="10"/>
  <c r="D1300" i="10"/>
  <c r="C1300" i="10"/>
  <c r="B1300" i="10"/>
  <c r="A1300" i="10"/>
  <c r="P1299" i="10"/>
  <c r="N1299" i="10"/>
  <c r="M1299" i="10"/>
  <c r="L1299" i="10"/>
  <c r="K1299" i="10"/>
  <c r="J1299" i="10"/>
  <c r="O1299" i="10" s="1"/>
  <c r="R1299" i="10" s="1"/>
  <c r="I1299" i="10"/>
  <c r="H1299" i="10"/>
  <c r="G1299" i="10"/>
  <c r="F1299" i="10"/>
  <c r="Q1299" i="10" s="1"/>
  <c r="E1299" i="10"/>
  <c r="D1299" i="10"/>
  <c r="C1299" i="10"/>
  <c r="B1299" i="10"/>
  <c r="A1299" i="10"/>
  <c r="R1298" i="10"/>
  <c r="N1298" i="10"/>
  <c r="M1298" i="10"/>
  <c r="L1298" i="10"/>
  <c r="K1298" i="10"/>
  <c r="J1298" i="10"/>
  <c r="O1298" i="10" s="1"/>
  <c r="I1298" i="10"/>
  <c r="H1298" i="10"/>
  <c r="G1298" i="10"/>
  <c r="F1298" i="10"/>
  <c r="Q1298" i="10" s="1"/>
  <c r="E1298" i="10"/>
  <c r="P1298" i="10" s="1"/>
  <c r="D1298" i="10"/>
  <c r="C1298" i="10"/>
  <c r="B1298" i="10"/>
  <c r="A1298" i="10"/>
  <c r="P1297" i="10"/>
  <c r="N1297" i="10"/>
  <c r="M1297" i="10"/>
  <c r="L1297" i="10"/>
  <c r="K1297" i="10"/>
  <c r="J1297" i="10"/>
  <c r="O1297" i="10" s="1"/>
  <c r="I1297" i="10"/>
  <c r="H1297" i="10"/>
  <c r="G1297" i="10"/>
  <c r="F1297" i="10"/>
  <c r="Q1297" i="10" s="1"/>
  <c r="E1297" i="10"/>
  <c r="D1297" i="10"/>
  <c r="C1297" i="10"/>
  <c r="B1297" i="10"/>
  <c r="A1297" i="10"/>
  <c r="Q1296" i="10"/>
  <c r="P1296" i="10"/>
  <c r="N1296" i="10"/>
  <c r="M1296" i="10"/>
  <c r="L1296" i="10"/>
  <c r="K1296" i="10"/>
  <c r="J1296" i="10"/>
  <c r="O1296" i="10" s="1"/>
  <c r="R1296" i="10" s="1"/>
  <c r="I1296" i="10"/>
  <c r="H1296" i="10"/>
  <c r="G1296" i="10"/>
  <c r="F1296" i="10"/>
  <c r="E1296" i="10"/>
  <c r="D1296" i="10"/>
  <c r="C1296" i="10"/>
  <c r="B1296" i="10"/>
  <c r="A1296" i="10"/>
  <c r="R1295" i="10"/>
  <c r="P1295" i="10"/>
  <c r="N1295" i="10"/>
  <c r="M1295" i="10"/>
  <c r="L1295" i="10"/>
  <c r="K1295" i="10"/>
  <c r="J1295" i="10"/>
  <c r="O1295" i="10" s="1"/>
  <c r="I1295" i="10"/>
  <c r="H1295" i="10"/>
  <c r="G1295" i="10"/>
  <c r="F1295" i="10"/>
  <c r="Q1295" i="10" s="1"/>
  <c r="E1295" i="10"/>
  <c r="D1295" i="10"/>
  <c r="C1295" i="10"/>
  <c r="B1295" i="10"/>
  <c r="A1295" i="10"/>
  <c r="Q1294" i="10"/>
  <c r="P1294" i="10"/>
  <c r="N1294" i="10"/>
  <c r="M1294" i="10"/>
  <c r="L1294" i="10"/>
  <c r="K1294" i="10"/>
  <c r="J1294" i="10"/>
  <c r="O1294" i="10" s="1"/>
  <c r="R1294" i="10" s="1"/>
  <c r="I1294" i="10"/>
  <c r="H1294" i="10"/>
  <c r="G1294" i="10"/>
  <c r="F1294" i="10"/>
  <c r="E1294" i="10"/>
  <c r="D1294" i="10"/>
  <c r="C1294" i="10"/>
  <c r="B1294" i="10"/>
  <c r="A1294" i="10"/>
  <c r="R1293" i="10"/>
  <c r="P1293" i="10"/>
  <c r="N1293" i="10"/>
  <c r="M1293" i="10"/>
  <c r="L1293" i="10"/>
  <c r="K1293" i="10"/>
  <c r="J1293" i="10"/>
  <c r="O1293" i="10" s="1"/>
  <c r="I1293" i="10"/>
  <c r="H1293" i="10"/>
  <c r="G1293" i="10"/>
  <c r="F1293" i="10"/>
  <c r="Q1293" i="10" s="1"/>
  <c r="E1293" i="10"/>
  <c r="D1293" i="10"/>
  <c r="C1293" i="10"/>
  <c r="B1293" i="10"/>
  <c r="A1293" i="10"/>
  <c r="Q1292" i="10"/>
  <c r="P1292" i="10"/>
  <c r="N1292" i="10"/>
  <c r="M1292" i="10"/>
  <c r="L1292" i="10"/>
  <c r="K1292" i="10"/>
  <c r="J1292" i="10"/>
  <c r="O1292" i="10" s="1"/>
  <c r="R1292" i="10" s="1"/>
  <c r="I1292" i="10"/>
  <c r="H1292" i="10"/>
  <c r="G1292" i="10"/>
  <c r="F1292" i="10"/>
  <c r="E1292" i="10"/>
  <c r="D1292" i="10"/>
  <c r="C1292" i="10"/>
  <c r="B1292" i="10"/>
  <c r="A1292" i="10"/>
  <c r="R1291" i="10"/>
  <c r="P1291" i="10"/>
  <c r="N1291" i="10"/>
  <c r="M1291" i="10"/>
  <c r="L1291" i="10"/>
  <c r="K1291" i="10"/>
  <c r="J1291" i="10"/>
  <c r="O1291" i="10" s="1"/>
  <c r="I1291" i="10"/>
  <c r="H1291" i="10"/>
  <c r="G1291" i="10"/>
  <c r="F1291" i="10"/>
  <c r="Q1291" i="10" s="1"/>
  <c r="E1291" i="10"/>
  <c r="D1291" i="10"/>
  <c r="C1291" i="10"/>
  <c r="B1291" i="10"/>
  <c r="A1291" i="10"/>
  <c r="Q1290" i="10"/>
  <c r="P1290" i="10"/>
  <c r="N1290" i="10"/>
  <c r="M1290" i="10"/>
  <c r="L1290" i="10"/>
  <c r="K1290" i="10"/>
  <c r="J1290" i="10"/>
  <c r="O1290" i="10" s="1"/>
  <c r="R1290" i="10" s="1"/>
  <c r="I1290" i="10"/>
  <c r="H1290" i="10"/>
  <c r="G1290" i="10"/>
  <c r="F1290" i="10"/>
  <c r="E1290" i="10"/>
  <c r="D1290" i="10"/>
  <c r="C1290" i="10"/>
  <c r="B1290" i="10"/>
  <c r="A1290" i="10"/>
  <c r="R1289" i="10"/>
  <c r="P1289" i="10"/>
  <c r="N1289" i="10"/>
  <c r="M1289" i="10"/>
  <c r="L1289" i="10"/>
  <c r="K1289" i="10"/>
  <c r="J1289" i="10"/>
  <c r="O1289" i="10" s="1"/>
  <c r="I1289" i="10"/>
  <c r="H1289" i="10"/>
  <c r="G1289" i="10"/>
  <c r="F1289" i="10"/>
  <c r="Q1289" i="10" s="1"/>
  <c r="E1289" i="10"/>
  <c r="D1289" i="10"/>
  <c r="C1289" i="10"/>
  <c r="B1289" i="10"/>
  <c r="A1289" i="10"/>
  <c r="Q1288" i="10"/>
  <c r="P1288" i="10"/>
  <c r="N1288" i="10"/>
  <c r="M1288" i="10"/>
  <c r="L1288" i="10"/>
  <c r="K1288" i="10"/>
  <c r="J1288" i="10"/>
  <c r="O1288" i="10" s="1"/>
  <c r="R1288" i="10" s="1"/>
  <c r="I1288" i="10"/>
  <c r="H1288" i="10"/>
  <c r="G1288" i="10"/>
  <c r="F1288" i="10"/>
  <c r="E1288" i="10"/>
  <c r="D1288" i="10"/>
  <c r="C1288" i="10"/>
  <c r="B1288" i="10"/>
  <c r="A1288" i="10"/>
  <c r="R1287" i="10"/>
  <c r="P1287" i="10"/>
  <c r="N1287" i="10"/>
  <c r="M1287" i="10"/>
  <c r="L1287" i="10"/>
  <c r="K1287" i="10"/>
  <c r="J1287" i="10"/>
  <c r="O1287" i="10" s="1"/>
  <c r="I1287" i="10"/>
  <c r="H1287" i="10"/>
  <c r="G1287" i="10"/>
  <c r="F1287" i="10"/>
  <c r="Q1287" i="10" s="1"/>
  <c r="E1287" i="10"/>
  <c r="D1287" i="10"/>
  <c r="C1287" i="10"/>
  <c r="B1287" i="10"/>
  <c r="A1287" i="10"/>
  <c r="Q1286" i="10"/>
  <c r="P1286" i="10"/>
  <c r="N1286" i="10"/>
  <c r="M1286" i="10"/>
  <c r="L1286" i="10"/>
  <c r="K1286" i="10"/>
  <c r="J1286" i="10"/>
  <c r="O1286" i="10" s="1"/>
  <c r="R1286" i="10" s="1"/>
  <c r="I1286" i="10"/>
  <c r="H1286" i="10"/>
  <c r="G1286" i="10"/>
  <c r="F1286" i="10"/>
  <c r="E1286" i="10"/>
  <c r="D1286" i="10"/>
  <c r="C1286" i="10"/>
  <c r="B1286" i="10"/>
  <c r="A1286" i="10"/>
  <c r="R1285" i="10"/>
  <c r="P1285" i="10"/>
  <c r="N1285" i="10"/>
  <c r="M1285" i="10"/>
  <c r="L1285" i="10"/>
  <c r="K1285" i="10"/>
  <c r="J1285" i="10"/>
  <c r="O1285" i="10" s="1"/>
  <c r="I1285" i="10"/>
  <c r="H1285" i="10"/>
  <c r="G1285" i="10"/>
  <c r="F1285" i="10"/>
  <c r="Q1285" i="10" s="1"/>
  <c r="E1285" i="10"/>
  <c r="D1285" i="10"/>
  <c r="C1285" i="10"/>
  <c r="B1285" i="10"/>
  <c r="A1285" i="10"/>
  <c r="Q1284" i="10"/>
  <c r="P1284" i="10"/>
  <c r="N1284" i="10"/>
  <c r="M1284" i="10"/>
  <c r="L1284" i="10"/>
  <c r="K1284" i="10"/>
  <c r="J1284" i="10"/>
  <c r="O1284" i="10" s="1"/>
  <c r="R1284" i="10" s="1"/>
  <c r="I1284" i="10"/>
  <c r="H1284" i="10"/>
  <c r="G1284" i="10"/>
  <c r="F1284" i="10"/>
  <c r="E1284" i="10"/>
  <c r="D1284" i="10"/>
  <c r="C1284" i="10"/>
  <c r="B1284" i="10"/>
  <c r="A1284" i="10"/>
  <c r="R1283" i="10"/>
  <c r="P1283" i="10"/>
  <c r="N1283" i="10"/>
  <c r="M1283" i="10"/>
  <c r="L1283" i="10"/>
  <c r="K1283" i="10"/>
  <c r="J1283" i="10"/>
  <c r="O1283" i="10" s="1"/>
  <c r="I1283" i="10"/>
  <c r="H1283" i="10"/>
  <c r="G1283" i="10"/>
  <c r="F1283" i="10"/>
  <c r="Q1283" i="10" s="1"/>
  <c r="E1283" i="10"/>
  <c r="D1283" i="10"/>
  <c r="C1283" i="10"/>
  <c r="B1283" i="10"/>
  <c r="A1283" i="10"/>
  <c r="Q1282" i="10"/>
  <c r="P1282" i="10"/>
  <c r="N1282" i="10"/>
  <c r="M1282" i="10"/>
  <c r="L1282" i="10"/>
  <c r="K1282" i="10"/>
  <c r="J1282" i="10"/>
  <c r="O1282" i="10" s="1"/>
  <c r="R1282" i="10" s="1"/>
  <c r="I1282" i="10"/>
  <c r="H1282" i="10"/>
  <c r="G1282" i="10"/>
  <c r="F1282" i="10"/>
  <c r="E1282" i="10"/>
  <c r="D1282" i="10"/>
  <c r="C1282" i="10"/>
  <c r="B1282" i="10"/>
  <c r="A1282" i="10"/>
  <c r="R1281" i="10"/>
  <c r="P1281" i="10"/>
  <c r="N1281" i="10"/>
  <c r="M1281" i="10"/>
  <c r="L1281" i="10"/>
  <c r="K1281" i="10"/>
  <c r="J1281" i="10"/>
  <c r="O1281" i="10" s="1"/>
  <c r="I1281" i="10"/>
  <c r="H1281" i="10"/>
  <c r="G1281" i="10"/>
  <c r="F1281" i="10"/>
  <c r="Q1281" i="10" s="1"/>
  <c r="E1281" i="10"/>
  <c r="D1281" i="10"/>
  <c r="C1281" i="10"/>
  <c r="B1281" i="10"/>
  <c r="A1281" i="10"/>
  <c r="Q1280" i="10"/>
  <c r="P1280" i="10"/>
  <c r="N1280" i="10"/>
  <c r="M1280" i="10"/>
  <c r="L1280" i="10"/>
  <c r="K1280" i="10"/>
  <c r="J1280" i="10"/>
  <c r="O1280" i="10" s="1"/>
  <c r="R1280" i="10" s="1"/>
  <c r="I1280" i="10"/>
  <c r="H1280" i="10"/>
  <c r="G1280" i="10"/>
  <c r="F1280" i="10"/>
  <c r="E1280" i="10"/>
  <c r="D1280" i="10"/>
  <c r="C1280" i="10"/>
  <c r="B1280" i="10"/>
  <c r="A1280" i="10"/>
  <c r="R1279" i="10"/>
  <c r="P1279" i="10"/>
  <c r="N1279" i="10"/>
  <c r="M1279" i="10"/>
  <c r="L1279" i="10"/>
  <c r="K1279" i="10"/>
  <c r="J1279" i="10"/>
  <c r="O1279" i="10" s="1"/>
  <c r="I1279" i="10"/>
  <c r="H1279" i="10"/>
  <c r="G1279" i="10"/>
  <c r="F1279" i="10"/>
  <c r="Q1279" i="10" s="1"/>
  <c r="E1279" i="10"/>
  <c r="D1279" i="10"/>
  <c r="C1279" i="10"/>
  <c r="B1279" i="10"/>
  <c r="A1279" i="10"/>
  <c r="Q1278" i="10"/>
  <c r="P1278" i="10"/>
  <c r="N1278" i="10"/>
  <c r="M1278" i="10"/>
  <c r="L1278" i="10"/>
  <c r="K1278" i="10"/>
  <c r="J1278" i="10"/>
  <c r="O1278" i="10" s="1"/>
  <c r="R1278" i="10" s="1"/>
  <c r="I1278" i="10"/>
  <c r="H1278" i="10"/>
  <c r="G1278" i="10"/>
  <c r="F1278" i="10"/>
  <c r="E1278" i="10"/>
  <c r="D1278" i="10"/>
  <c r="C1278" i="10"/>
  <c r="B1278" i="10"/>
  <c r="A1278" i="10"/>
  <c r="R1277" i="10"/>
  <c r="P1277" i="10"/>
  <c r="N1277" i="10"/>
  <c r="M1277" i="10"/>
  <c r="L1277" i="10"/>
  <c r="K1277" i="10"/>
  <c r="J1277" i="10"/>
  <c r="O1277" i="10" s="1"/>
  <c r="I1277" i="10"/>
  <c r="H1277" i="10"/>
  <c r="G1277" i="10"/>
  <c r="F1277" i="10"/>
  <c r="Q1277" i="10" s="1"/>
  <c r="E1277" i="10"/>
  <c r="D1277" i="10"/>
  <c r="C1277" i="10"/>
  <c r="B1277" i="10"/>
  <c r="A1277" i="10"/>
  <c r="Q1276" i="10"/>
  <c r="P1276" i="10"/>
  <c r="N1276" i="10"/>
  <c r="M1276" i="10"/>
  <c r="L1276" i="10"/>
  <c r="K1276" i="10"/>
  <c r="J1276" i="10"/>
  <c r="O1276" i="10" s="1"/>
  <c r="R1276" i="10" s="1"/>
  <c r="I1276" i="10"/>
  <c r="H1276" i="10"/>
  <c r="G1276" i="10"/>
  <c r="F1276" i="10"/>
  <c r="E1276" i="10"/>
  <c r="D1276" i="10"/>
  <c r="C1276" i="10"/>
  <c r="B1276" i="10"/>
  <c r="A1276" i="10"/>
  <c r="R1275" i="10"/>
  <c r="P1275" i="10"/>
  <c r="N1275" i="10"/>
  <c r="M1275" i="10"/>
  <c r="L1275" i="10"/>
  <c r="K1275" i="10"/>
  <c r="J1275" i="10"/>
  <c r="O1275" i="10" s="1"/>
  <c r="I1275" i="10"/>
  <c r="H1275" i="10"/>
  <c r="G1275" i="10"/>
  <c r="F1275" i="10"/>
  <c r="Q1275" i="10" s="1"/>
  <c r="E1275" i="10"/>
  <c r="D1275" i="10"/>
  <c r="C1275" i="10"/>
  <c r="B1275" i="10"/>
  <c r="A1275" i="10"/>
  <c r="Q1274" i="10"/>
  <c r="P1274" i="10"/>
  <c r="N1274" i="10"/>
  <c r="M1274" i="10"/>
  <c r="L1274" i="10"/>
  <c r="K1274" i="10"/>
  <c r="J1274" i="10"/>
  <c r="O1274" i="10" s="1"/>
  <c r="R1274" i="10" s="1"/>
  <c r="I1274" i="10"/>
  <c r="H1274" i="10"/>
  <c r="G1274" i="10"/>
  <c r="F1274" i="10"/>
  <c r="E1274" i="10"/>
  <c r="D1274" i="10"/>
  <c r="C1274" i="10"/>
  <c r="B1274" i="10"/>
  <c r="A1274" i="10"/>
  <c r="R1273" i="10"/>
  <c r="P1273" i="10"/>
  <c r="N1273" i="10"/>
  <c r="M1273" i="10"/>
  <c r="L1273" i="10"/>
  <c r="K1273" i="10"/>
  <c r="J1273" i="10"/>
  <c r="O1273" i="10" s="1"/>
  <c r="I1273" i="10"/>
  <c r="H1273" i="10"/>
  <c r="G1273" i="10"/>
  <c r="F1273" i="10"/>
  <c r="Q1273" i="10" s="1"/>
  <c r="E1273" i="10"/>
  <c r="D1273" i="10"/>
  <c r="C1273" i="10"/>
  <c r="B1273" i="10"/>
  <c r="A1273" i="10"/>
  <c r="Q1272" i="10"/>
  <c r="P1272" i="10"/>
  <c r="N1272" i="10"/>
  <c r="M1272" i="10"/>
  <c r="L1272" i="10"/>
  <c r="K1272" i="10"/>
  <c r="J1272" i="10"/>
  <c r="O1272" i="10" s="1"/>
  <c r="R1272" i="10" s="1"/>
  <c r="I1272" i="10"/>
  <c r="H1272" i="10"/>
  <c r="G1272" i="10"/>
  <c r="F1272" i="10"/>
  <c r="E1272" i="10"/>
  <c r="D1272" i="10"/>
  <c r="C1272" i="10"/>
  <c r="B1272" i="10"/>
  <c r="A1272" i="10"/>
  <c r="R1271" i="10"/>
  <c r="P1271" i="10"/>
  <c r="N1271" i="10"/>
  <c r="M1271" i="10"/>
  <c r="L1271" i="10"/>
  <c r="K1271" i="10"/>
  <c r="J1271" i="10"/>
  <c r="O1271" i="10" s="1"/>
  <c r="I1271" i="10"/>
  <c r="H1271" i="10"/>
  <c r="G1271" i="10"/>
  <c r="F1271" i="10"/>
  <c r="Q1271" i="10" s="1"/>
  <c r="E1271" i="10"/>
  <c r="D1271" i="10"/>
  <c r="C1271" i="10"/>
  <c r="B1271" i="10"/>
  <c r="A1271" i="10"/>
  <c r="Q1270" i="10"/>
  <c r="P1270" i="10"/>
  <c r="N1270" i="10"/>
  <c r="M1270" i="10"/>
  <c r="L1270" i="10"/>
  <c r="K1270" i="10"/>
  <c r="J1270" i="10"/>
  <c r="O1270" i="10" s="1"/>
  <c r="R1270" i="10" s="1"/>
  <c r="I1270" i="10"/>
  <c r="H1270" i="10"/>
  <c r="G1270" i="10"/>
  <c r="F1270" i="10"/>
  <c r="E1270" i="10"/>
  <c r="D1270" i="10"/>
  <c r="C1270" i="10"/>
  <c r="B1270" i="10"/>
  <c r="A1270" i="10"/>
  <c r="R1269" i="10"/>
  <c r="P1269" i="10"/>
  <c r="N1269" i="10"/>
  <c r="M1269" i="10"/>
  <c r="L1269" i="10"/>
  <c r="K1269" i="10"/>
  <c r="J1269" i="10"/>
  <c r="O1269" i="10" s="1"/>
  <c r="I1269" i="10"/>
  <c r="H1269" i="10"/>
  <c r="G1269" i="10"/>
  <c r="F1269" i="10"/>
  <c r="Q1269" i="10" s="1"/>
  <c r="E1269" i="10"/>
  <c r="D1269" i="10"/>
  <c r="C1269" i="10"/>
  <c r="B1269" i="10"/>
  <c r="A1269" i="10"/>
  <c r="Q1268" i="10"/>
  <c r="P1268" i="10"/>
  <c r="N1268" i="10"/>
  <c r="M1268" i="10"/>
  <c r="L1268" i="10"/>
  <c r="K1268" i="10"/>
  <c r="J1268" i="10"/>
  <c r="O1268" i="10" s="1"/>
  <c r="R1268" i="10" s="1"/>
  <c r="I1268" i="10"/>
  <c r="H1268" i="10"/>
  <c r="G1268" i="10"/>
  <c r="F1268" i="10"/>
  <c r="E1268" i="10"/>
  <c r="D1268" i="10"/>
  <c r="C1268" i="10"/>
  <c r="B1268" i="10"/>
  <c r="A1268" i="10"/>
  <c r="R1267" i="10"/>
  <c r="P1267" i="10"/>
  <c r="N1267" i="10"/>
  <c r="M1267" i="10"/>
  <c r="L1267" i="10"/>
  <c r="K1267" i="10"/>
  <c r="J1267" i="10"/>
  <c r="O1267" i="10" s="1"/>
  <c r="I1267" i="10"/>
  <c r="H1267" i="10"/>
  <c r="G1267" i="10"/>
  <c r="F1267" i="10"/>
  <c r="Q1267" i="10" s="1"/>
  <c r="E1267" i="10"/>
  <c r="D1267" i="10"/>
  <c r="C1267" i="10"/>
  <c r="B1267" i="10"/>
  <c r="A1267" i="10"/>
  <c r="Q1266" i="10"/>
  <c r="P1266" i="10"/>
  <c r="N1266" i="10"/>
  <c r="M1266" i="10"/>
  <c r="L1266" i="10"/>
  <c r="K1266" i="10"/>
  <c r="J1266" i="10"/>
  <c r="O1266" i="10" s="1"/>
  <c r="R1266" i="10" s="1"/>
  <c r="I1266" i="10"/>
  <c r="H1266" i="10"/>
  <c r="G1266" i="10"/>
  <c r="F1266" i="10"/>
  <c r="E1266" i="10"/>
  <c r="D1266" i="10"/>
  <c r="C1266" i="10"/>
  <c r="B1266" i="10"/>
  <c r="A1266" i="10"/>
  <c r="R1265" i="10"/>
  <c r="P1265" i="10"/>
  <c r="N1265" i="10"/>
  <c r="M1265" i="10"/>
  <c r="L1265" i="10"/>
  <c r="K1265" i="10"/>
  <c r="J1265" i="10"/>
  <c r="O1265" i="10" s="1"/>
  <c r="I1265" i="10"/>
  <c r="H1265" i="10"/>
  <c r="G1265" i="10"/>
  <c r="F1265" i="10"/>
  <c r="Q1265" i="10" s="1"/>
  <c r="E1265" i="10"/>
  <c r="D1265" i="10"/>
  <c r="C1265" i="10"/>
  <c r="B1265" i="10"/>
  <c r="A1265" i="10"/>
  <c r="Q1264" i="10"/>
  <c r="P1264" i="10"/>
  <c r="N1264" i="10"/>
  <c r="M1264" i="10"/>
  <c r="L1264" i="10"/>
  <c r="K1264" i="10"/>
  <c r="J1264" i="10"/>
  <c r="O1264" i="10" s="1"/>
  <c r="R1264" i="10" s="1"/>
  <c r="I1264" i="10"/>
  <c r="H1264" i="10"/>
  <c r="G1264" i="10"/>
  <c r="F1264" i="10"/>
  <c r="E1264" i="10"/>
  <c r="D1264" i="10"/>
  <c r="C1264" i="10"/>
  <c r="B1264" i="10"/>
  <c r="A1264" i="10"/>
  <c r="R1263" i="10"/>
  <c r="P1263" i="10"/>
  <c r="N1263" i="10"/>
  <c r="M1263" i="10"/>
  <c r="L1263" i="10"/>
  <c r="K1263" i="10"/>
  <c r="J1263" i="10"/>
  <c r="O1263" i="10" s="1"/>
  <c r="I1263" i="10"/>
  <c r="H1263" i="10"/>
  <c r="G1263" i="10"/>
  <c r="F1263" i="10"/>
  <c r="Q1263" i="10" s="1"/>
  <c r="E1263" i="10"/>
  <c r="D1263" i="10"/>
  <c r="C1263" i="10"/>
  <c r="B1263" i="10"/>
  <c r="A1263" i="10"/>
  <c r="Q1262" i="10"/>
  <c r="P1262" i="10"/>
  <c r="N1262" i="10"/>
  <c r="M1262" i="10"/>
  <c r="L1262" i="10"/>
  <c r="K1262" i="10"/>
  <c r="J1262" i="10"/>
  <c r="O1262" i="10" s="1"/>
  <c r="R1262" i="10" s="1"/>
  <c r="I1262" i="10"/>
  <c r="H1262" i="10"/>
  <c r="G1262" i="10"/>
  <c r="F1262" i="10"/>
  <c r="E1262" i="10"/>
  <c r="D1262" i="10"/>
  <c r="C1262" i="10"/>
  <c r="B1262" i="10"/>
  <c r="A1262" i="10"/>
  <c r="R1261" i="10"/>
  <c r="P1261" i="10"/>
  <c r="N1261" i="10"/>
  <c r="M1261" i="10"/>
  <c r="L1261" i="10"/>
  <c r="K1261" i="10"/>
  <c r="J1261" i="10"/>
  <c r="O1261" i="10" s="1"/>
  <c r="I1261" i="10"/>
  <c r="H1261" i="10"/>
  <c r="G1261" i="10"/>
  <c r="F1261" i="10"/>
  <c r="Q1261" i="10" s="1"/>
  <c r="E1261" i="10"/>
  <c r="D1261" i="10"/>
  <c r="C1261" i="10"/>
  <c r="B1261" i="10"/>
  <c r="A1261" i="10"/>
  <c r="Q1260" i="10"/>
  <c r="P1260" i="10"/>
  <c r="N1260" i="10"/>
  <c r="M1260" i="10"/>
  <c r="L1260" i="10"/>
  <c r="K1260" i="10"/>
  <c r="J1260" i="10"/>
  <c r="O1260" i="10" s="1"/>
  <c r="R1260" i="10" s="1"/>
  <c r="I1260" i="10"/>
  <c r="H1260" i="10"/>
  <c r="G1260" i="10"/>
  <c r="F1260" i="10"/>
  <c r="E1260" i="10"/>
  <c r="D1260" i="10"/>
  <c r="C1260" i="10"/>
  <c r="B1260" i="10"/>
  <c r="A1260" i="10"/>
  <c r="R1259" i="10"/>
  <c r="P1259" i="10"/>
  <c r="N1259" i="10"/>
  <c r="M1259" i="10"/>
  <c r="L1259" i="10"/>
  <c r="K1259" i="10"/>
  <c r="J1259" i="10"/>
  <c r="O1259" i="10" s="1"/>
  <c r="I1259" i="10"/>
  <c r="H1259" i="10"/>
  <c r="G1259" i="10"/>
  <c r="F1259" i="10"/>
  <c r="Q1259" i="10" s="1"/>
  <c r="E1259" i="10"/>
  <c r="D1259" i="10"/>
  <c r="C1259" i="10"/>
  <c r="B1259" i="10"/>
  <c r="A1259" i="10"/>
  <c r="Q1258" i="10"/>
  <c r="P1258" i="10"/>
  <c r="N1258" i="10"/>
  <c r="M1258" i="10"/>
  <c r="L1258" i="10"/>
  <c r="K1258" i="10"/>
  <c r="J1258" i="10"/>
  <c r="O1258" i="10" s="1"/>
  <c r="R1258" i="10" s="1"/>
  <c r="I1258" i="10"/>
  <c r="H1258" i="10"/>
  <c r="G1258" i="10"/>
  <c r="F1258" i="10"/>
  <c r="E1258" i="10"/>
  <c r="D1258" i="10"/>
  <c r="C1258" i="10"/>
  <c r="B1258" i="10"/>
  <c r="A1258" i="10"/>
  <c r="R1257" i="10"/>
  <c r="P1257" i="10"/>
  <c r="N1257" i="10"/>
  <c r="M1257" i="10"/>
  <c r="L1257" i="10"/>
  <c r="K1257" i="10"/>
  <c r="J1257" i="10"/>
  <c r="O1257" i="10" s="1"/>
  <c r="I1257" i="10"/>
  <c r="H1257" i="10"/>
  <c r="G1257" i="10"/>
  <c r="F1257" i="10"/>
  <c r="Q1257" i="10" s="1"/>
  <c r="E1257" i="10"/>
  <c r="D1257" i="10"/>
  <c r="C1257" i="10"/>
  <c r="B1257" i="10"/>
  <c r="A1257" i="10"/>
  <c r="Q1256" i="10"/>
  <c r="P1256" i="10"/>
  <c r="N1256" i="10"/>
  <c r="M1256" i="10"/>
  <c r="L1256" i="10"/>
  <c r="K1256" i="10"/>
  <c r="J1256" i="10"/>
  <c r="O1256" i="10" s="1"/>
  <c r="R1256" i="10" s="1"/>
  <c r="I1256" i="10"/>
  <c r="H1256" i="10"/>
  <c r="G1256" i="10"/>
  <c r="F1256" i="10"/>
  <c r="E1256" i="10"/>
  <c r="D1256" i="10"/>
  <c r="C1256" i="10"/>
  <c r="B1256" i="10"/>
  <c r="A1256" i="10"/>
  <c r="R1255" i="10"/>
  <c r="P1255" i="10"/>
  <c r="N1255" i="10"/>
  <c r="M1255" i="10"/>
  <c r="L1255" i="10"/>
  <c r="K1255" i="10"/>
  <c r="J1255" i="10"/>
  <c r="O1255" i="10" s="1"/>
  <c r="I1255" i="10"/>
  <c r="H1255" i="10"/>
  <c r="G1255" i="10"/>
  <c r="F1255" i="10"/>
  <c r="Q1255" i="10" s="1"/>
  <c r="E1255" i="10"/>
  <c r="D1255" i="10"/>
  <c r="C1255" i="10"/>
  <c r="B1255" i="10"/>
  <c r="A1255" i="10"/>
  <c r="Q1254" i="10"/>
  <c r="P1254" i="10"/>
  <c r="N1254" i="10"/>
  <c r="M1254" i="10"/>
  <c r="L1254" i="10"/>
  <c r="K1254" i="10"/>
  <c r="J1254" i="10"/>
  <c r="O1254" i="10" s="1"/>
  <c r="R1254" i="10" s="1"/>
  <c r="I1254" i="10"/>
  <c r="H1254" i="10"/>
  <c r="G1254" i="10"/>
  <c r="F1254" i="10"/>
  <c r="E1254" i="10"/>
  <c r="D1254" i="10"/>
  <c r="C1254" i="10"/>
  <c r="B1254" i="10"/>
  <c r="A1254" i="10"/>
  <c r="R1253" i="10"/>
  <c r="P1253" i="10"/>
  <c r="N1253" i="10"/>
  <c r="M1253" i="10"/>
  <c r="L1253" i="10"/>
  <c r="K1253" i="10"/>
  <c r="J1253" i="10"/>
  <c r="O1253" i="10" s="1"/>
  <c r="I1253" i="10"/>
  <c r="H1253" i="10"/>
  <c r="G1253" i="10"/>
  <c r="F1253" i="10"/>
  <c r="Q1253" i="10" s="1"/>
  <c r="E1253" i="10"/>
  <c r="D1253" i="10"/>
  <c r="C1253" i="10"/>
  <c r="B1253" i="10"/>
  <c r="A1253" i="10"/>
  <c r="Q1252" i="10"/>
  <c r="P1252" i="10"/>
  <c r="N1252" i="10"/>
  <c r="M1252" i="10"/>
  <c r="L1252" i="10"/>
  <c r="K1252" i="10"/>
  <c r="J1252" i="10"/>
  <c r="O1252" i="10" s="1"/>
  <c r="R1252" i="10" s="1"/>
  <c r="I1252" i="10"/>
  <c r="H1252" i="10"/>
  <c r="G1252" i="10"/>
  <c r="F1252" i="10"/>
  <c r="E1252" i="10"/>
  <c r="D1252" i="10"/>
  <c r="C1252" i="10"/>
  <c r="B1252" i="10"/>
  <c r="A1252" i="10"/>
  <c r="R1251" i="10"/>
  <c r="P1251" i="10"/>
  <c r="N1251" i="10"/>
  <c r="M1251" i="10"/>
  <c r="L1251" i="10"/>
  <c r="K1251" i="10"/>
  <c r="J1251" i="10"/>
  <c r="O1251" i="10" s="1"/>
  <c r="I1251" i="10"/>
  <c r="H1251" i="10"/>
  <c r="G1251" i="10"/>
  <c r="F1251" i="10"/>
  <c r="Q1251" i="10" s="1"/>
  <c r="E1251" i="10"/>
  <c r="D1251" i="10"/>
  <c r="C1251" i="10"/>
  <c r="B1251" i="10"/>
  <c r="A1251" i="10"/>
  <c r="Q1250" i="10"/>
  <c r="P1250" i="10"/>
  <c r="N1250" i="10"/>
  <c r="M1250" i="10"/>
  <c r="L1250" i="10"/>
  <c r="K1250" i="10"/>
  <c r="J1250" i="10"/>
  <c r="O1250" i="10" s="1"/>
  <c r="R1250" i="10" s="1"/>
  <c r="I1250" i="10"/>
  <c r="H1250" i="10"/>
  <c r="G1250" i="10"/>
  <c r="F1250" i="10"/>
  <c r="E1250" i="10"/>
  <c r="D1250" i="10"/>
  <c r="C1250" i="10"/>
  <c r="B1250" i="10"/>
  <c r="A1250" i="10"/>
  <c r="R1249" i="10"/>
  <c r="P1249" i="10"/>
  <c r="N1249" i="10"/>
  <c r="M1249" i="10"/>
  <c r="L1249" i="10"/>
  <c r="K1249" i="10"/>
  <c r="J1249" i="10"/>
  <c r="O1249" i="10" s="1"/>
  <c r="I1249" i="10"/>
  <c r="H1249" i="10"/>
  <c r="G1249" i="10"/>
  <c r="F1249" i="10"/>
  <c r="Q1249" i="10" s="1"/>
  <c r="E1249" i="10"/>
  <c r="D1249" i="10"/>
  <c r="C1249" i="10"/>
  <c r="B1249" i="10"/>
  <c r="A1249" i="10"/>
  <c r="Q1248" i="10"/>
  <c r="P1248" i="10"/>
  <c r="N1248" i="10"/>
  <c r="M1248" i="10"/>
  <c r="L1248" i="10"/>
  <c r="K1248" i="10"/>
  <c r="J1248" i="10"/>
  <c r="O1248" i="10" s="1"/>
  <c r="R1248" i="10" s="1"/>
  <c r="I1248" i="10"/>
  <c r="H1248" i="10"/>
  <c r="G1248" i="10"/>
  <c r="F1248" i="10"/>
  <c r="E1248" i="10"/>
  <c r="D1248" i="10"/>
  <c r="C1248" i="10"/>
  <c r="B1248" i="10"/>
  <c r="A1248" i="10"/>
  <c r="R1247" i="10"/>
  <c r="P1247" i="10"/>
  <c r="N1247" i="10"/>
  <c r="M1247" i="10"/>
  <c r="L1247" i="10"/>
  <c r="K1247" i="10"/>
  <c r="J1247" i="10"/>
  <c r="O1247" i="10" s="1"/>
  <c r="I1247" i="10"/>
  <c r="H1247" i="10"/>
  <c r="G1247" i="10"/>
  <c r="F1247" i="10"/>
  <c r="Q1247" i="10" s="1"/>
  <c r="E1247" i="10"/>
  <c r="D1247" i="10"/>
  <c r="C1247" i="10"/>
  <c r="B1247" i="10"/>
  <c r="A1247" i="10"/>
  <c r="Q1246" i="10"/>
  <c r="P1246" i="10"/>
  <c r="N1246" i="10"/>
  <c r="M1246" i="10"/>
  <c r="L1246" i="10"/>
  <c r="K1246" i="10"/>
  <c r="J1246" i="10"/>
  <c r="O1246" i="10" s="1"/>
  <c r="R1246" i="10" s="1"/>
  <c r="I1246" i="10"/>
  <c r="H1246" i="10"/>
  <c r="G1246" i="10"/>
  <c r="F1246" i="10"/>
  <c r="E1246" i="10"/>
  <c r="D1246" i="10"/>
  <c r="C1246" i="10"/>
  <c r="B1246" i="10"/>
  <c r="A1246" i="10"/>
  <c r="R1245" i="10"/>
  <c r="P1245" i="10"/>
  <c r="N1245" i="10"/>
  <c r="M1245" i="10"/>
  <c r="L1245" i="10"/>
  <c r="K1245" i="10"/>
  <c r="J1245" i="10"/>
  <c r="O1245" i="10" s="1"/>
  <c r="I1245" i="10"/>
  <c r="H1245" i="10"/>
  <c r="G1245" i="10"/>
  <c r="F1245" i="10"/>
  <c r="Q1245" i="10" s="1"/>
  <c r="E1245" i="10"/>
  <c r="D1245" i="10"/>
  <c r="C1245" i="10"/>
  <c r="B1245" i="10"/>
  <c r="A1245" i="10"/>
  <c r="Q1244" i="10"/>
  <c r="P1244" i="10"/>
  <c r="N1244" i="10"/>
  <c r="M1244" i="10"/>
  <c r="L1244" i="10"/>
  <c r="K1244" i="10"/>
  <c r="J1244" i="10"/>
  <c r="O1244" i="10" s="1"/>
  <c r="R1244" i="10" s="1"/>
  <c r="I1244" i="10"/>
  <c r="H1244" i="10"/>
  <c r="G1244" i="10"/>
  <c r="F1244" i="10"/>
  <c r="E1244" i="10"/>
  <c r="D1244" i="10"/>
  <c r="C1244" i="10"/>
  <c r="B1244" i="10"/>
  <c r="A1244" i="10"/>
  <c r="R1243" i="10"/>
  <c r="P1243" i="10"/>
  <c r="N1243" i="10"/>
  <c r="M1243" i="10"/>
  <c r="L1243" i="10"/>
  <c r="K1243" i="10"/>
  <c r="J1243" i="10"/>
  <c r="O1243" i="10" s="1"/>
  <c r="I1243" i="10"/>
  <c r="H1243" i="10"/>
  <c r="G1243" i="10"/>
  <c r="F1243" i="10"/>
  <c r="Q1243" i="10" s="1"/>
  <c r="E1243" i="10"/>
  <c r="D1243" i="10"/>
  <c r="C1243" i="10"/>
  <c r="B1243" i="10"/>
  <c r="A1243" i="10"/>
  <c r="Q1242" i="10"/>
  <c r="P1242" i="10"/>
  <c r="N1242" i="10"/>
  <c r="M1242" i="10"/>
  <c r="L1242" i="10"/>
  <c r="K1242" i="10"/>
  <c r="J1242" i="10"/>
  <c r="O1242" i="10" s="1"/>
  <c r="R1242" i="10" s="1"/>
  <c r="I1242" i="10"/>
  <c r="H1242" i="10"/>
  <c r="G1242" i="10"/>
  <c r="F1242" i="10"/>
  <c r="E1242" i="10"/>
  <c r="D1242" i="10"/>
  <c r="C1242" i="10"/>
  <c r="B1242" i="10"/>
  <c r="A1242" i="10"/>
  <c r="R1241" i="10"/>
  <c r="P1241" i="10"/>
  <c r="N1241" i="10"/>
  <c r="M1241" i="10"/>
  <c r="L1241" i="10"/>
  <c r="K1241" i="10"/>
  <c r="J1241" i="10"/>
  <c r="O1241" i="10" s="1"/>
  <c r="I1241" i="10"/>
  <c r="H1241" i="10"/>
  <c r="G1241" i="10"/>
  <c r="F1241" i="10"/>
  <c r="Q1241" i="10" s="1"/>
  <c r="E1241" i="10"/>
  <c r="D1241" i="10"/>
  <c r="C1241" i="10"/>
  <c r="B1241" i="10"/>
  <c r="A1241" i="10"/>
  <c r="Q1240" i="10"/>
  <c r="P1240" i="10"/>
  <c r="N1240" i="10"/>
  <c r="M1240" i="10"/>
  <c r="L1240" i="10"/>
  <c r="K1240" i="10"/>
  <c r="J1240" i="10"/>
  <c r="O1240" i="10" s="1"/>
  <c r="R1240" i="10" s="1"/>
  <c r="I1240" i="10"/>
  <c r="H1240" i="10"/>
  <c r="G1240" i="10"/>
  <c r="F1240" i="10"/>
  <c r="E1240" i="10"/>
  <c r="D1240" i="10"/>
  <c r="C1240" i="10"/>
  <c r="B1240" i="10"/>
  <c r="A1240" i="10"/>
  <c r="R1239" i="10"/>
  <c r="P1239" i="10"/>
  <c r="N1239" i="10"/>
  <c r="M1239" i="10"/>
  <c r="L1239" i="10"/>
  <c r="K1239" i="10"/>
  <c r="J1239" i="10"/>
  <c r="O1239" i="10" s="1"/>
  <c r="I1239" i="10"/>
  <c r="H1239" i="10"/>
  <c r="G1239" i="10"/>
  <c r="F1239" i="10"/>
  <c r="Q1239" i="10" s="1"/>
  <c r="E1239" i="10"/>
  <c r="D1239" i="10"/>
  <c r="C1239" i="10"/>
  <c r="B1239" i="10"/>
  <c r="A1239" i="10"/>
  <c r="Q1238" i="10"/>
  <c r="P1238" i="10"/>
  <c r="N1238" i="10"/>
  <c r="M1238" i="10"/>
  <c r="L1238" i="10"/>
  <c r="K1238" i="10"/>
  <c r="J1238" i="10"/>
  <c r="O1238" i="10" s="1"/>
  <c r="R1238" i="10" s="1"/>
  <c r="I1238" i="10"/>
  <c r="H1238" i="10"/>
  <c r="G1238" i="10"/>
  <c r="F1238" i="10"/>
  <c r="E1238" i="10"/>
  <c r="D1238" i="10"/>
  <c r="C1238" i="10"/>
  <c r="B1238" i="10"/>
  <c r="A1238" i="10"/>
  <c r="R1237" i="10"/>
  <c r="P1237" i="10"/>
  <c r="N1237" i="10"/>
  <c r="M1237" i="10"/>
  <c r="L1237" i="10"/>
  <c r="K1237" i="10"/>
  <c r="J1237" i="10"/>
  <c r="O1237" i="10" s="1"/>
  <c r="I1237" i="10"/>
  <c r="H1237" i="10"/>
  <c r="G1237" i="10"/>
  <c r="F1237" i="10"/>
  <c r="Q1237" i="10" s="1"/>
  <c r="E1237" i="10"/>
  <c r="D1237" i="10"/>
  <c r="C1237" i="10"/>
  <c r="B1237" i="10"/>
  <c r="A1237" i="10"/>
  <c r="Q1236" i="10"/>
  <c r="P1236" i="10"/>
  <c r="N1236" i="10"/>
  <c r="M1236" i="10"/>
  <c r="L1236" i="10"/>
  <c r="K1236" i="10"/>
  <c r="J1236" i="10"/>
  <c r="O1236" i="10" s="1"/>
  <c r="R1236" i="10" s="1"/>
  <c r="I1236" i="10"/>
  <c r="H1236" i="10"/>
  <c r="G1236" i="10"/>
  <c r="F1236" i="10"/>
  <c r="E1236" i="10"/>
  <c r="D1236" i="10"/>
  <c r="C1236" i="10"/>
  <c r="B1236" i="10"/>
  <c r="A1236" i="10"/>
  <c r="R1235" i="10"/>
  <c r="P1235" i="10"/>
  <c r="N1235" i="10"/>
  <c r="M1235" i="10"/>
  <c r="L1235" i="10"/>
  <c r="K1235" i="10"/>
  <c r="J1235" i="10"/>
  <c r="O1235" i="10" s="1"/>
  <c r="I1235" i="10"/>
  <c r="H1235" i="10"/>
  <c r="G1235" i="10"/>
  <c r="F1235" i="10"/>
  <c r="Q1235" i="10" s="1"/>
  <c r="E1235" i="10"/>
  <c r="D1235" i="10"/>
  <c r="C1235" i="10"/>
  <c r="B1235" i="10"/>
  <c r="A1235" i="10"/>
  <c r="Q1234" i="10"/>
  <c r="P1234" i="10"/>
  <c r="N1234" i="10"/>
  <c r="M1234" i="10"/>
  <c r="L1234" i="10"/>
  <c r="K1234" i="10"/>
  <c r="J1234" i="10"/>
  <c r="O1234" i="10" s="1"/>
  <c r="R1234" i="10" s="1"/>
  <c r="I1234" i="10"/>
  <c r="H1234" i="10"/>
  <c r="G1234" i="10"/>
  <c r="F1234" i="10"/>
  <c r="E1234" i="10"/>
  <c r="D1234" i="10"/>
  <c r="C1234" i="10"/>
  <c r="B1234" i="10"/>
  <c r="A1234" i="10"/>
  <c r="R1233" i="10"/>
  <c r="P1233" i="10"/>
  <c r="N1233" i="10"/>
  <c r="M1233" i="10"/>
  <c r="L1233" i="10"/>
  <c r="K1233" i="10"/>
  <c r="J1233" i="10"/>
  <c r="O1233" i="10" s="1"/>
  <c r="I1233" i="10"/>
  <c r="H1233" i="10"/>
  <c r="G1233" i="10"/>
  <c r="F1233" i="10"/>
  <c r="Q1233" i="10" s="1"/>
  <c r="E1233" i="10"/>
  <c r="D1233" i="10"/>
  <c r="C1233" i="10"/>
  <c r="B1233" i="10"/>
  <c r="A1233" i="10"/>
  <c r="Q1232" i="10"/>
  <c r="P1232" i="10"/>
  <c r="N1232" i="10"/>
  <c r="M1232" i="10"/>
  <c r="L1232" i="10"/>
  <c r="K1232" i="10"/>
  <c r="J1232" i="10"/>
  <c r="O1232" i="10" s="1"/>
  <c r="R1232" i="10" s="1"/>
  <c r="I1232" i="10"/>
  <c r="H1232" i="10"/>
  <c r="G1232" i="10"/>
  <c r="F1232" i="10"/>
  <c r="E1232" i="10"/>
  <c r="D1232" i="10"/>
  <c r="C1232" i="10"/>
  <c r="B1232" i="10"/>
  <c r="A1232" i="10"/>
  <c r="R1231" i="10"/>
  <c r="P1231" i="10"/>
  <c r="N1231" i="10"/>
  <c r="M1231" i="10"/>
  <c r="L1231" i="10"/>
  <c r="K1231" i="10"/>
  <c r="J1231" i="10"/>
  <c r="O1231" i="10" s="1"/>
  <c r="I1231" i="10"/>
  <c r="H1231" i="10"/>
  <c r="G1231" i="10"/>
  <c r="F1231" i="10"/>
  <c r="Q1231" i="10" s="1"/>
  <c r="E1231" i="10"/>
  <c r="D1231" i="10"/>
  <c r="C1231" i="10"/>
  <c r="B1231" i="10"/>
  <c r="A1231" i="10"/>
  <c r="Q1230" i="10"/>
  <c r="P1230" i="10"/>
  <c r="N1230" i="10"/>
  <c r="M1230" i="10"/>
  <c r="L1230" i="10"/>
  <c r="K1230" i="10"/>
  <c r="J1230" i="10"/>
  <c r="O1230" i="10" s="1"/>
  <c r="R1230" i="10" s="1"/>
  <c r="I1230" i="10"/>
  <c r="H1230" i="10"/>
  <c r="G1230" i="10"/>
  <c r="F1230" i="10"/>
  <c r="E1230" i="10"/>
  <c r="D1230" i="10"/>
  <c r="C1230" i="10"/>
  <c r="B1230" i="10"/>
  <c r="A1230" i="10"/>
  <c r="R1229" i="10"/>
  <c r="P1229" i="10"/>
  <c r="N1229" i="10"/>
  <c r="M1229" i="10"/>
  <c r="L1229" i="10"/>
  <c r="K1229" i="10"/>
  <c r="J1229" i="10"/>
  <c r="O1229" i="10" s="1"/>
  <c r="I1229" i="10"/>
  <c r="H1229" i="10"/>
  <c r="G1229" i="10"/>
  <c r="F1229" i="10"/>
  <c r="Q1229" i="10" s="1"/>
  <c r="E1229" i="10"/>
  <c r="D1229" i="10"/>
  <c r="C1229" i="10"/>
  <c r="B1229" i="10"/>
  <c r="A1229" i="10"/>
  <c r="Q1228" i="10"/>
  <c r="P1228" i="10"/>
  <c r="N1228" i="10"/>
  <c r="M1228" i="10"/>
  <c r="L1228" i="10"/>
  <c r="K1228" i="10"/>
  <c r="J1228" i="10"/>
  <c r="O1228" i="10" s="1"/>
  <c r="R1228" i="10" s="1"/>
  <c r="I1228" i="10"/>
  <c r="H1228" i="10"/>
  <c r="G1228" i="10"/>
  <c r="F1228" i="10"/>
  <c r="E1228" i="10"/>
  <c r="D1228" i="10"/>
  <c r="C1228" i="10"/>
  <c r="B1228" i="10"/>
  <c r="A1228" i="10"/>
  <c r="R1227" i="10"/>
  <c r="P1227" i="10"/>
  <c r="N1227" i="10"/>
  <c r="M1227" i="10"/>
  <c r="L1227" i="10"/>
  <c r="K1227" i="10"/>
  <c r="J1227" i="10"/>
  <c r="O1227" i="10" s="1"/>
  <c r="I1227" i="10"/>
  <c r="H1227" i="10"/>
  <c r="G1227" i="10"/>
  <c r="F1227" i="10"/>
  <c r="Q1227" i="10" s="1"/>
  <c r="E1227" i="10"/>
  <c r="D1227" i="10"/>
  <c r="C1227" i="10"/>
  <c r="B1227" i="10"/>
  <c r="A1227" i="10"/>
  <c r="Q1226" i="10"/>
  <c r="P1226" i="10"/>
  <c r="N1226" i="10"/>
  <c r="M1226" i="10"/>
  <c r="L1226" i="10"/>
  <c r="K1226" i="10"/>
  <c r="J1226" i="10"/>
  <c r="O1226" i="10" s="1"/>
  <c r="R1226" i="10" s="1"/>
  <c r="I1226" i="10"/>
  <c r="H1226" i="10"/>
  <c r="G1226" i="10"/>
  <c r="F1226" i="10"/>
  <c r="E1226" i="10"/>
  <c r="D1226" i="10"/>
  <c r="C1226" i="10"/>
  <c r="B1226" i="10"/>
  <c r="A1226" i="10"/>
  <c r="R1225" i="10"/>
  <c r="P1225" i="10"/>
  <c r="N1225" i="10"/>
  <c r="M1225" i="10"/>
  <c r="L1225" i="10"/>
  <c r="K1225" i="10"/>
  <c r="J1225" i="10"/>
  <c r="O1225" i="10" s="1"/>
  <c r="I1225" i="10"/>
  <c r="H1225" i="10"/>
  <c r="G1225" i="10"/>
  <c r="F1225" i="10"/>
  <c r="Q1225" i="10" s="1"/>
  <c r="E1225" i="10"/>
  <c r="D1225" i="10"/>
  <c r="C1225" i="10"/>
  <c r="B1225" i="10"/>
  <c r="A1225" i="10"/>
  <c r="Q1224" i="10"/>
  <c r="P1224" i="10"/>
  <c r="N1224" i="10"/>
  <c r="M1224" i="10"/>
  <c r="L1224" i="10"/>
  <c r="K1224" i="10"/>
  <c r="J1224" i="10"/>
  <c r="O1224" i="10" s="1"/>
  <c r="R1224" i="10" s="1"/>
  <c r="I1224" i="10"/>
  <c r="H1224" i="10"/>
  <c r="G1224" i="10"/>
  <c r="F1224" i="10"/>
  <c r="E1224" i="10"/>
  <c r="D1224" i="10"/>
  <c r="C1224" i="10"/>
  <c r="B1224" i="10"/>
  <c r="A1224" i="10"/>
  <c r="R1223" i="10"/>
  <c r="P1223" i="10"/>
  <c r="N1223" i="10"/>
  <c r="M1223" i="10"/>
  <c r="L1223" i="10"/>
  <c r="K1223" i="10"/>
  <c r="J1223" i="10"/>
  <c r="O1223" i="10" s="1"/>
  <c r="I1223" i="10"/>
  <c r="H1223" i="10"/>
  <c r="G1223" i="10"/>
  <c r="F1223" i="10"/>
  <c r="Q1223" i="10" s="1"/>
  <c r="E1223" i="10"/>
  <c r="D1223" i="10"/>
  <c r="C1223" i="10"/>
  <c r="B1223" i="10"/>
  <c r="A1223" i="10"/>
  <c r="Q1222" i="10"/>
  <c r="P1222" i="10"/>
  <c r="N1222" i="10"/>
  <c r="M1222" i="10"/>
  <c r="L1222" i="10"/>
  <c r="K1222" i="10"/>
  <c r="J1222" i="10"/>
  <c r="O1222" i="10" s="1"/>
  <c r="R1222" i="10" s="1"/>
  <c r="I1222" i="10"/>
  <c r="H1222" i="10"/>
  <c r="G1222" i="10"/>
  <c r="F1222" i="10"/>
  <c r="E1222" i="10"/>
  <c r="D1222" i="10"/>
  <c r="C1222" i="10"/>
  <c r="B1222" i="10"/>
  <c r="A1222" i="10"/>
  <c r="R1221" i="10"/>
  <c r="P1221" i="10"/>
  <c r="N1221" i="10"/>
  <c r="M1221" i="10"/>
  <c r="L1221" i="10"/>
  <c r="K1221" i="10"/>
  <c r="J1221" i="10"/>
  <c r="O1221" i="10" s="1"/>
  <c r="I1221" i="10"/>
  <c r="H1221" i="10"/>
  <c r="G1221" i="10"/>
  <c r="F1221" i="10"/>
  <c r="Q1221" i="10" s="1"/>
  <c r="E1221" i="10"/>
  <c r="D1221" i="10"/>
  <c r="C1221" i="10"/>
  <c r="B1221" i="10"/>
  <c r="A1221" i="10"/>
  <c r="Q1220" i="10"/>
  <c r="P1220" i="10"/>
  <c r="N1220" i="10"/>
  <c r="M1220" i="10"/>
  <c r="L1220" i="10"/>
  <c r="K1220" i="10"/>
  <c r="J1220" i="10"/>
  <c r="O1220" i="10" s="1"/>
  <c r="R1220" i="10" s="1"/>
  <c r="I1220" i="10"/>
  <c r="H1220" i="10"/>
  <c r="G1220" i="10"/>
  <c r="F1220" i="10"/>
  <c r="E1220" i="10"/>
  <c r="D1220" i="10"/>
  <c r="C1220" i="10"/>
  <c r="B1220" i="10"/>
  <c r="A1220" i="10"/>
  <c r="R1219" i="10"/>
  <c r="P1219" i="10"/>
  <c r="N1219" i="10"/>
  <c r="M1219" i="10"/>
  <c r="L1219" i="10"/>
  <c r="K1219" i="10"/>
  <c r="J1219" i="10"/>
  <c r="O1219" i="10" s="1"/>
  <c r="I1219" i="10"/>
  <c r="H1219" i="10"/>
  <c r="G1219" i="10"/>
  <c r="F1219" i="10"/>
  <c r="Q1219" i="10" s="1"/>
  <c r="E1219" i="10"/>
  <c r="D1219" i="10"/>
  <c r="C1219" i="10"/>
  <c r="B1219" i="10"/>
  <c r="A1219" i="10"/>
  <c r="Q1218" i="10"/>
  <c r="P1218" i="10"/>
  <c r="N1218" i="10"/>
  <c r="M1218" i="10"/>
  <c r="L1218" i="10"/>
  <c r="K1218" i="10"/>
  <c r="J1218" i="10"/>
  <c r="O1218" i="10" s="1"/>
  <c r="R1218" i="10" s="1"/>
  <c r="I1218" i="10"/>
  <c r="H1218" i="10"/>
  <c r="G1218" i="10"/>
  <c r="F1218" i="10"/>
  <c r="E1218" i="10"/>
  <c r="D1218" i="10"/>
  <c r="C1218" i="10"/>
  <c r="B1218" i="10"/>
  <c r="A1218" i="10"/>
  <c r="R1217" i="10"/>
  <c r="P1217" i="10"/>
  <c r="N1217" i="10"/>
  <c r="M1217" i="10"/>
  <c r="L1217" i="10"/>
  <c r="K1217" i="10"/>
  <c r="J1217" i="10"/>
  <c r="O1217" i="10" s="1"/>
  <c r="I1217" i="10"/>
  <c r="H1217" i="10"/>
  <c r="G1217" i="10"/>
  <c r="F1217" i="10"/>
  <c r="Q1217" i="10" s="1"/>
  <c r="E1217" i="10"/>
  <c r="D1217" i="10"/>
  <c r="C1217" i="10"/>
  <c r="B1217" i="10"/>
  <c r="A1217" i="10"/>
  <c r="Q1216" i="10"/>
  <c r="P1216" i="10"/>
  <c r="N1216" i="10"/>
  <c r="M1216" i="10"/>
  <c r="L1216" i="10"/>
  <c r="K1216" i="10"/>
  <c r="J1216" i="10"/>
  <c r="O1216" i="10" s="1"/>
  <c r="R1216" i="10" s="1"/>
  <c r="I1216" i="10"/>
  <c r="H1216" i="10"/>
  <c r="G1216" i="10"/>
  <c r="F1216" i="10"/>
  <c r="E1216" i="10"/>
  <c r="D1216" i="10"/>
  <c r="C1216" i="10"/>
  <c r="B1216" i="10"/>
  <c r="A1216" i="10"/>
  <c r="R1215" i="10"/>
  <c r="P1215" i="10"/>
  <c r="N1215" i="10"/>
  <c r="M1215" i="10"/>
  <c r="L1215" i="10"/>
  <c r="K1215" i="10"/>
  <c r="J1215" i="10"/>
  <c r="O1215" i="10" s="1"/>
  <c r="I1215" i="10"/>
  <c r="H1215" i="10"/>
  <c r="G1215" i="10"/>
  <c r="F1215" i="10"/>
  <c r="Q1215" i="10" s="1"/>
  <c r="E1215" i="10"/>
  <c r="D1215" i="10"/>
  <c r="C1215" i="10"/>
  <c r="B1215" i="10"/>
  <c r="A1215" i="10"/>
  <c r="Q1214" i="10"/>
  <c r="P1214" i="10"/>
  <c r="N1214" i="10"/>
  <c r="M1214" i="10"/>
  <c r="L1214" i="10"/>
  <c r="K1214" i="10"/>
  <c r="J1214" i="10"/>
  <c r="O1214" i="10" s="1"/>
  <c r="R1214" i="10" s="1"/>
  <c r="I1214" i="10"/>
  <c r="H1214" i="10"/>
  <c r="G1214" i="10"/>
  <c r="F1214" i="10"/>
  <c r="E1214" i="10"/>
  <c r="D1214" i="10"/>
  <c r="C1214" i="10"/>
  <c r="B1214" i="10"/>
  <c r="A1214" i="10"/>
  <c r="R1213" i="10"/>
  <c r="P1213" i="10"/>
  <c r="N1213" i="10"/>
  <c r="M1213" i="10"/>
  <c r="L1213" i="10"/>
  <c r="K1213" i="10"/>
  <c r="J1213" i="10"/>
  <c r="O1213" i="10" s="1"/>
  <c r="I1213" i="10"/>
  <c r="H1213" i="10"/>
  <c r="G1213" i="10"/>
  <c r="F1213" i="10"/>
  <c r="Q1213" i="10" s="1"/>
  <c r="E1213" i="10"/>
  <c r="D1213" i="10"/>
  <c r="C1213" i="10"/>
  <c r="B1213" i="10"/>
  <c r="A1213" i="10"/>
  <c r="Q1212" i="10"/>
  <c r="P1212" i="10"/>
  <c r="N1212" i="10"/>
  <c r="M1212" i="10"/>
  <c r="L1212" i="10"/>
  <c r="K1212" i="10"/>
  <c r="J1212" i="10"/>
  <c r="O1212" i="10" s="1"/>
  <c r="R1212" i="10" s="1"/>
  <c r="I1212" i="10"/>
  <c r="H1212" i="10"/>
  <c r="G1212" i="10"/>
  <c r="F1212" i="10"/>
  <c r="E1212" i="10"/>
  <c r="D1212" i="10"/>
  <c r="C1212" i="10"/>
  <c r="B1212" i="10"/>
  <c r="A1212" i="10"/>
  <c r="R1211" i="10"/>
  <c r="P1211" i="10"/>
  <c r="N1211" i="10"/>
  <c r="M1211" i="10"/>
  <c r="L1211" i="10"/>
  <c r="K1211" i="10"/>
  <c r="J1211" i="10"/>
  <c r="O1211" i="10" s="1"/>
  <c r="I1211" i="10"/>
  <c r="H1211" i="10"/>
  <c r="G1211" i="10"/>
  <c r="F1211" i="10"/>
  <c r="Q1211" i="10" s="1"/>
  <c r="E1211" i="10"/>
  <c r="D1211" i="10"/>
  <c r="C1211" i="10"/>
  <c r="B1211" i="10"/>
  <c r="A1211" i="10"/>
  <c r="Q1210" i="10"/>
  <c r="P1210" i="10"/>
  <c r="N1210" i="10"/>
  <c r="M1210" i="10"/>
  <c r="L1210" i="10"/>
  <c r="K1210" i="10"/>
  <c r="J1210" i="10"/>
  <c r="O1210" i="10" s="1"/>
  <c r="R1210" i="10" s="1"/>
  <c r="I1210" i="10"/>
  <c r="H1210" i="10"/>
  <c r="G1210" i="10"/>
  <c r="F1210" i="10"/>
  <c r="E1210" i="10"/>
  <c r="D1210" i="10"/>
  <c r="C1210" i="10"/>
  <c r="B1210" i="10"/>
  <c r="A1210" i="10"/>
  <c r="R1209" i="10"/>
  <c r="P1209" i="10"/>
  <c r="N1209" i="10"/>
  <c r="M1209" i="10"/>
  <c r="L1209" i="10"/>
  <c r="K1209" i="10"/>
  <c r="J1209" i="10"/>
  <c r="O1209" i="10" s="1"/>
  <c r="I1209" i="10"/>
  <c r="H1209" i="10"/>
  <c r="G1209" i="10"/>
  <c r="F1209" i="10"/>
  <c r="Q1209" i="10" s="1"/>
  <c r="E1209" i="10"/>
  <c r="D1209" i="10"/>
  <c r="C1209" i="10"/>
  <c r="B1209" i="10"/>
  <c r="A1209" i="10"/>
  <c r="Q1208" i="10"/>
  <c r="P1208" i="10"/>
  <c r="N1208" i="10"/>
  <c r="M1208" i="10"/>
  <c r="L1208" i="10"/>
  <c r="K1208" i="10"/>
  <c r="J1208" i="10"/>
  <c r="O1208" i="10" s="1"/>
  <c r="R1208" i="10" s="1"/>
  <c r="I1208" i="10"/>
  <c r="H1208" i="10"/>
  <c r="G1208" i="10"/>
  <c r="F1208" i="10"/>
  <c r="E1208" i="10"/>
  <c r="D1208" i="10"/>
  <c r="C1208" i="10"/>
  <c r="B1208" i="10"/>
  <c r="A1208" i="10"/>
  <c r="R1207" i="10"/>
  <c r="P1207" i="10"/>
  <c r="N1207" i="10"/>
  <c r="M1207" i="10"/>
  <c r="L1207" i="10"/>
  <c r="K1207" i="10"/>
  <c r="J1207" i="10"/>
  <c r="O1207" i="10" s="1"/>
  <c r="I1207" i="10"/>
  <c r="H1207" i="10"/>
  <c r="G1207" i="10"/>
  <c r="F1207" i="10"/>
  <c r="Q1207" i="10" s="1"/>
  <c r="E1207" i="10"/>
  <c r="D1207" i="10"/>
  <c r="C1207" i="10"/>
  <c r="B1207" i="10"/>
  <c r="A1207" i="10"/>
  <c r="Q1206" i="10"/>
  <c r="P1206" i="10"/>
  <c r="N1206" i="10"/>
  <c r="M1206" i="10"/>
  <c r="L1206" i="10"/>
  <c r="K1206" i="10"/>
  <c r="J1206" i="10"/>
  <c r="O1206" i="10" s="1"/>
  <c r="R1206" i="10" s="1"/>
  <c r="I1206" i="10"/>
  <c r="H1206" i="10"/>
  <c r="G1206" i="10"/>
  <c r="F1206" i="10"/>
  <c r="E1206" i="10"/>
  <c r="D1206" i="10"/>
  <c r="C1206" i="10"/>
  <c r="B1206" i="10"/>
  <c r="A1206" i="10"/>
  <c r="R1205" i="10"/>
  <c r="P1205" i="10"/>
  <c r="N1205" i="10"/>
  <c r="M1205" i="10"/>
  <c r="L1205" i="10"/>
  <c r="K1205" i="10"/>
  <c r="J1205" i="10"/>
  <c r="O1205" i="10" s="1"/>
  <c r="I1205" i="10"/>
  <c r="H1205" i="10"/>
  <c r="G1205" i="10"/>
  <c r="F1205" i="10"/>
  <c r="Q1205" i="10" s="1"/>
  <c r="E1205" i="10"/>
  <c r="D1205" i="10"/>
  <c r="C1205" i="10"/>
  <c r="B1205" i="10"/>
  <c r="A1205" i="10"/>
  <c r="Q1204" i="10"/>
  <c r="P1204" i="10"/>
  <c r="N1204" i="10"/>
  <c r="M1204" i="10"/>
  <c r="L1204" i="10"/>
  <c r="K1204" i="10"/>
  <c r="J1204" i="10"/>
  <c r="O1204" i="10" s="1"/>
  <c r="R1204" i="10" s="1"/>
  <c r="I1204" i="10"/>
  <c r="H1204" i="10"/>
  <c r="G1204" i="10"/>
  <c r="F1204" i="10"/>
  <c r="E1204" i="10"/>
  <c r="D1204" i="10"/>
  <c r="C1204" i="10"/>
  <c r="B1204" i="10"/>
  <c r="A1204" i="10"/>
  <c r="R1203" i="10"/>
  <c r="P1203" i="10"/>
  <c r="N1203" i="10"/>
  <c r="M1203" i="10"/>
  <c r="L1203" i="10"/>
  <c r="K1203" i="10"/>
  <c r="J1203" i="10"/>
  <c r="O1203" i="10" s="1"/>
  <c r="I1203" i="10"/>
  <c r="H1203" i="10"/>
  <c r="G1203" i="10"/>
  <c r="F1203" i="10"/>
  <c r="Q1203" i="10" s="1"/>
  <c r="E1203" i="10"/>
  <c r="D1203" i="10"/>
  <c r="C1203" i="10"/>
  <c r="B1203" i="10"/>
  <c r="A1203" i="10"/>
  <c r="Q1202" i="10"/>
  <c r="P1202" i="10"/>
  <c r="N1202" i="10"/>
  <c r="M1202" i="10"/>
  <c r="L1202" i="10"/>
  <c r="K1202" i="10"/>
  <c r="J1202" i="10"/>
  <c r="O1202" i="10" s="1"/>
  <c r="R1202" i="10" s="1"/>
  <c r="I1202" i="10"/>
  <c r="H1202" i="10"/>
  <c r="G1202" i="10"/>
  <c r="F1202" i="10"/>
  <c r="E1202" i="10"/>
  <c r="D1202" i="10"/>
  <c r="C1202" i="10"/>
  <c r="B1202" i="10"/>
  <c r="A1202" i="10"/>
  <c r="R1201" i="10"/>
  <c r="P1201" i="10"/>
  <c r="N1201" i="10"/>
  <c r="M1201" i="10"/>
  <c r="L1201" i="10"/>
  <c r="K1201" i="10"/>
  <c r="J1201" i="10"/>
  <c r="O1201" i="10" s="1"/>
  <c r="I1201" i="10"/>
  <c r="H1201" i="10"/>
  <c r="G1201" i="10"/>
  <c r="F1201" i="10"/>
  <c r="Q1201" i="10" s="1"/>
  <c r="E1201" i="10"/>
  <c r="D1201" i="10"/>
  <c r="C1201" i="10"/>
  <c r="B1201" i="10"/>
  <c r="A1201" i="10"/>
  <c r="Q1200" i="10"/>
  <c r="P1200" i="10"/>
  <c r="N1200" i="10"/>
  <c r="M1200" i="10"/>
  <c r="L1200" i="10"/>
  <c r="K1200" i="10"/>
  <c r="J1200" i="10"/>
  <c r="O1200" i="10" s="1"/>
  <c r="R1200" i="10" s="1"/>
  <c r="I1200" i="10"/>
  <c r="H1200" i="10"/>
  <c r="G1200" i="10"/>
  <c r="F1200" i="10"/>
  <c r="E1200" i="10"/>
  <c r="D1200" i="10"/>
  <c r="C1200" i="10"/>
  <c r="B1200" i="10"/>
  <c r="A1200" i="10"/>
  <c r="R1199" i="10"/>
  <c r="P1199" i="10"/>
  <c r="N1199" i="10"/>
  <c r="M1199" i="10"/>
  <c r="L1199" i="10"/>
  <c r="K1199" i="10"/>
  <c r="J1199" i="10"/>
  <c r="O1199" i="10" s="1"/>
  <c r="I1199" i="10"/>
  <c r="H1199" i="10"/>
  <c r="G1199" i="10"/>
  <c r="F1199" i="10"/>
  <c r="Q1199" i="10" s="1"/>
  <c r="E1199" i="10"/>
  <c r="D1199" i="10"/>
  <c r="C1199" i="10"/>
  <c r="B1199" i="10"/>
  <c r="A1199" i="10"/>
  <c r="Q1198" i="10"/>
  <c r="P1198" i="10"/>
  <c r="N1198" i="10"/>
  <c r="M1198" i="10"/>
  <c r="L1198" i="10"/>
  <c r="K1198" i="10"/>
  <c r="J1198" i="10"/>
  <c r="O1198" i="10" s="1"/>
  <c r="R1198" i="10" s="1"/>
  <c r="I1198" i="10"/>
  <c r="H1198" i="10"/>
  <c r="G1198" i="10"/>
  <c r="F1198" i="10"/>
  <c r="E1198" i="10"/>
  <c r="D1198" i="10"/>
  <c r="C1198" i="10"/>
  <c r="B1198" i="10"/>
  <c r="A1198" i="10"/>
  <c r="R1197" i="10"/>
  <c r="P1197" i="10"/>
  <c r="N1197" i="10"/>
  <c r="M1197" i="10"/>
  <c r="L1197" i="10"/>
  <c r="K1197" i="10"/>
  <c r="J1197" i="10"/>
  <c r="O1197" i="10" s="1"/>
  <c r="I1197" i="10"/>
  <c r="H1197" i="10"/>
  <c r="G1197" i="10"/>
  <c r="F1197" i="10"/>
  <c r="Q1197" i="10" s="1"/>
  <c r="E1197" i="10"/>
  <c r="D1197" i="10"/>
  <c r="C1197" i="10"/>
  <c r="B1197" i="10"/>
  <c r="A1197" i="10"/>
  <c r="Q1196" i="10"/>
  <c r="P1196" i="10"/>
  <c r="N1196" i="10"/>
  <c r="M1196" i="10"/>
  <c r="L1196" i="10"/>
  <c r="K1196" i="10"/>
  <c r="J1196" i="10"/>
  <c r="O1196" i="10" s="1"/>
  <c r="R1196" i="10" s="1"/>
  <c r="I1196" i="10"/>
  <c r="H1196" i="10"/>
  <c r="G1196" i="10"/>
  <c r="F1196" i="10"/>
  <c r="E1196" i="10"/>
  <c r="D1196" i="10"/>
  <c r="C1196" i="10"/>
  <c r="B1196" i="10"/>
  <c r="A1196" i="10"/>
  <c r="R1195" i="10"/>
  <c r="P1195" i="10"/>
  <c r="N1195" i="10"/>
  <c r="M1195" i="10"/>
  <c r="L1195" i="10"/>
  <c r="K1195" i="10"/>
  <c r="J1195" i="10"/>
  <c r="O1195" i="10" s="1"/>
  <c r="I1195" i="10"/>
  <c r="H1195" i="10"/>
  <c r="G1195" i="10"/>
  <c r="F1195" i="10"/>
  <c r="Q1195" i="10" s="1"/>
  <c r="E1195" i="10"/>
  <c r="D1195" i="10"/>
  <c r="C1195" i="10"/>
  <c r="B1195" i="10"/>
  <c r="A1195" i="10"/>
  <c r="Q1194" i="10"/>
  <c r="P1194" i="10"/>
  <c r="N1194" i="10"/>
  <c r="M1194" i="10"/>
  <c r="L1194" i="10"/>
  <c r="K1194" i="10"/>
  <c r="J1194" i="10"/>
  <c r="O1194" i="10" s="1"/>
  <c r="R1194" i="10" s="1"/>
  <c r="I1194" i="10"/>
  <c r="H1194" i="10"/>
  <c r="G1194" i="10"/>
  <c r="F1194" i="10"/>
  <c r="E1194" i="10"/>
  <c r="D1194" i="10"/>
  <c r="C1194" i="10"/>
  <c r="B1194" i="10"/>
  <c r="A1194" i="10"/>
  <c r="R1193" i="10"/>
  <c r="P1193" i="10"/>
  <c r="N1193" i="10"/>
  <c r="M1193" i="10"/>
  <c r="L1193" i="10"/>
  <c r="K1193" i="10"/>
  <c r="J1193" i="10"/>
  <c r="O1193" i="10" s="1"/>
  <c r="I1193" i="10"/>
  <c r="H1193" i="10"/>
  <c r="G1193" i="10"/>
  <c r="F1193" i="10"/>
  <c r="Q1193" i="10" s="1"/>
  <c r="E1193" i="10"/>
  <c r="D1193" i="10"/>
  <c r="C1193" i="10"/>
  <c r="B1193" i="10"/>
  <c r="A1193" i="10"/>
  <c r="Q1192" i="10"/>
  <c r="P1192" i="10"/>
  <c r="N1192" i="10"/>
  <c r="M1192" i="10"/>
  <c r="L1192" i="10"/>
  <c r="K1192" i="10"/>
  <c r="J1192" i="10"/>
  <c r="O1192" i="10" s="1"/>
  <c r="R1192" i="10" s="1"/>
  <c r="I1192" i="10"/>
  <c r="H1192" i="10"/>
  <c r="G1192" i="10"/>
  <c r="F1192" i="10"/>
  <c r="E1192" i="10"/>
  <c r="D1192" i="10"/>
  <c r="C1192" i="10"/>
  <c r="B1192" i="10"/>
  <c r="A1192" i="10"/>
  <c r="R1191" i="10"/>
  <c r="P1191" i="10"/>
  <c r="N1191" i="10"/>
  <c r="M1191" i="10"/>
  <c r="L1191" i="10"/>
  <c r="K1191" i="10"/>
  <c r="J1191" i="10"/>
  <c r="O1191" i="10" s="1"/>
  <c r="I1191" i="10"/>
  <c r="H1191" i="10"/>
  <c r="G1191" i="10"/>
  <c r="F1191" i="10"/>
  <c r="Q1191" i="10" s="1"/>
  <c r="E1191" i="10"/>
  <c r="D1191" i="10"/>
  <c r="C1191" i="10"/>
  <c r="B1191" i="10"/>
  <c r="A1191" i="10"/>
  <c r="Q1190" i="10"/>
  <c r="P1190" i="10"/>
  <c r="N1190" i="10"/>
  <c r="M1190" i="10"/>
  <c r="L1190" i="10"/>
  <c r="K1190" i="10"/>
  <c r="J1190" i="10"/>
  <c r="O1190" i="10" s="1"/>
  <c r="R1190" i="10" s="1"/>
  <c r="I1190" i="10"/>
  <c r="H1190" i="10"/>
  <c r="G1190" i="10"/>
  <c r="F1190" i="10"/>
  <c r="E1190" i="10"/>
  <c r="D1190" i="10"/>
  <c r="C1190" i="10"/>
  <c r="B1190" i="10"/>
  <c r="A1190" i="10"/>
  <c r="R1189" i="10"/>
  <c r="P1189" i="10"/>
  <c r="N1189" i="10"/>
  <c r="M1189" i="10"/>
  <c r="L1189" i="10"/>
  <c r="K1189" i="10"/>
  <c r="J1189" i="10"/>
  <c r="O1189" i="10" s="1"/>
  <c r="I1189" i="10"/>
  <c r="H1189" i="10"/>
  <c r="G1189" i="10"/>
  <c r="F1189" i="10"/>
  <c r="Q1189" i="10" s="1"/>
  <c r="E1189" i="10"/>
  <c r="D1189" i="10"/>
  <c r="C1189" i="10"/>
  <c r="B1189" i="10"/>
  <c r="A1189" i="10"/>
  <c r="Q1188" i="10"/>
  <c r="P1188" i="10"/>
  <c r="N1188" i="10"/>
  <c r="M1188" i="10"/>
  <c r="L1188" i="10"/>
  <c r="K1188" i="10"/>
  <c r="J1188" i="10"/>
  <c r="O1188" i="10" s="1"/>
  <c r="R1188" i="10" s="1"/>
  <c r="I1188" i="10"/>
  <c r="H1188" i="10"/>
  <c r="G1188" i="10"/>
  <c r="F1188" i="10"/>
  <c r="E1188" i="10"/>
  <c r="D1188" i="10"/>
  <c r="C1188" i="10"/>
  <c r="B1188" i="10"/>
  <c r="A1188" i="10"/>
  <c r="R1187" i="10"/>
  <c r="P1187" i="10"/>
  <c r="N1187" i="10"/>
  <c r="M1187" i="10"/>
  <c r="L1187" i="10"/>
  <c r="K1187" i="10"/>
  <c r="J1187" i="10"/>
  <c r="O1187" i="10" s="1"/>
  <c r="I1187" i="10"/>
  <c r="H1187" i="10"/>
  <c r="G1187" i="10"/>
  <c r="F1187" i="10"/>
  <c r="Q1187" i="10" s="1"/>
  <c r="E1187" i="10"/>
  <c r="D1187" i="10"/>
  <c r="C1187" i="10"/>
  <c r="B1187" i="10"/>
  <c r="A1187" i="10"/>
  <c r="Q1186" i="10"/>
  <c r="P1186" i="10"/>
  <c r="N1186" i="10"/>
  <c r="M1186" i="10"/>
  <c r="L1186" i="10"/>
  <c r="K1186" i="10"/>
  <c r="J1186" i="10"/>
  <c r="O1186" i="10" s="1"/>
  <c r="R1186" i="10" s="1"/>
  <c r="I1186" i="10"/>
  <c r="H1186" i="10"/>
  <c r="G1186" i="10"/>
  <c r="F1186" i="10"/>
  <c r="E1186" i="10"/>
  <c r="D1186" i="10"/>
  <c r="C1186" i="10"/>
  <c r="B1186" i="10"/>
  <c r="A1186" i="10"/>
  <c r="R1185" i="10"/>
  <c r="P1185" i="10"/>
  <c r="N1185" i="10"/>
  <c r="M1185" i="10"/>
  <c r="L1185" i="10"/>
  <c r="K1185" i="10"/>
  <c r="J1185" i="10"/>
  <c r="O1185" i="10" s="1"/>
  <c r="I1185" i="10"/>
  <c r="H1185" i="10"/>
  <c r="G1185" i="10"/>
  <c r="F1185" i="10"/>
  <c r="Q1185" i="10" s="1"/>
  <c r="E1185" i="10"/>
  <c r="D1185" i="10"/>
  <c r="C1185" i="10"/>
  <c r="B1185" i="10"/>
  <c r="A1185" i="10"/>
  <c r="Q1184" i="10"/>
  <c r="P1184" i="10"/>
  <c r="N1184" i="10"/>
  <c r="M1184" i="10"/>
  <c r="L1184" i="10"/>
  <c r="K1184" i="10"/>
  <c r="J1184" i="10"/>
  <c r="O1184" i="10" s="1"/>
  <c r="R1184" i="10" s="1"/>
  <c r="I1184" i="10"/>
  <c r="H1184" i="10"/>
  <c r="G1184" i="10"/>
  <c r="F1184" i="10"/>
  <c r="E1184" i="10"/>
  <c r="D1184" i="10"/>
  <c r="C1184" i="10"/>
  <c r="B1184" i="10"/>
  <c r="A1184" i="10"/>
  <c r="R1183" i="10"/>
  <c r="P1183" i="10"/>
  <c r="N1183" i="10"/>
  <c r="M1183" i="10"/>
  <c r="L1183" i="10"/>
  <c r="K1183" i="10"/>
  <c r="J1183" i="10"/>
  <c r="O1183" i="10" s="1"/>
  <c r="I1183" i="10"/>
  <c r="H1183" i="10"/>
  <c r="G1183" i="10"/>
  <c r="F1183" i="10"/>
  <c r="Q1183" i="10" s="1"/>
  <c r="E1183" i="10"/>
  <c r="D1183" i="10"/>
  <c r="C1183" i="10"/>
  <c r="B1183" i="10"/>
  <c r="A1183" i="10"/>
  <c r="Q1182" i="10"/>
  <c r="P1182" i="10"/>
  <c r="N1182" i="10"/>
  <c r="M1182" i="10"/>
  <c r="L1182" i="10"/>
  <c r="K1182" i="10"/>
  <c r="J1182" i="10"/>
  <c r="O1182" i="10" s="1"/>
  <c r="R1182" i="10" s="1"/>
  <c r="I1182" i="10"/>
  <c r="H1182" i="10"/>
  <c r="G1182" i="10"/>
  <c r="F1182" i="10"/>
  <c r="E1182" i="10"/>
  <c r="D1182" i="10"/>
  <c r="C1182" i="10"/>
  <c r="B1182" i="10"/>
  <c r="A1182" i="10"/>
  <c r="R1181" i="10"/>
  <c r="P1181" i="10"/>
  <c r="N1181" i="10"/>
  <c r="M1181" i="10"/>
  <c r="L1181" i="10"/>
  <c r="K1181" i="10"/>
  <c r="J1181" i="10"/>
  <c r="O1181" i="10" s="1"/>
  <c r="I1181" i="10"/>
  <c r="H1181" i="10"/>
  <c r="G1181" i="10"/>
  <c r="F1181" i="10"/>
  <c r="Q1181" i="10" s="1"/>
  <c r="E1181" i="10"/>
  <c r="D1181" i="10"/>
  <c r="C1181" i="10"/>
  <c r="B1181" i="10"/>
  <c r="A1181" i="10"/>
  <c r="Q1180" i="10"/>
  <c r="P1180" i="10"/>
  <c r="N1180" i="10"/>
  <c r="M1180" i="10"/>
  <c r="L1180" i="10"/>
  <c r="K1180" i="10"/>
  <c r="J1180" i="10"/>
  <c r="O1180" i="10" s="1"/>
  <c r="R1180" i="10" s="1"/>
  <c r="I1180" i="10"/>
  <c r="H1180" i="10"/>
  <c r="G1180" i="10"/>
  <c r="F1180" i="10"/>
  <c r="E1180" i="10"/>
  <c r="D1180" i="10"/>
  <c r="C1180" i="10"/>
  <c r="B1180" i="10"/>
  <c r="A1180" i="10"/>
  <c r="R1179" i="10"/>
  <c r="P1179" i="10"/>
  <c r="N1179" i="10"/>
  <c r="M1179" i="10"/>
  <c r="L1179" i="10"/>
  <c r="K1179" i="10"/>
  <c r="J1179" i="10"/>
  <c r="O1179" i="10" s="1"/>
  <c r="I1179" i="10"/>
  <c r="H1179" i="10"/>
  <c r="G1179" i="10"/>
  <c r="F1179" i="10"/>
  <c r="Q1179" i="10" s="1"/>
  <c r="E1179" i="10"/>
  <c r="D1179" i="10"/>
  <c r="C1179" i="10"/>
  <c r="B1179" i="10"/>
  <c r="A1179" i="10"/>
  <c r="Q1178" i="10"/>
  <c r="P1178" i="10"/>
  <c r="N1178" i="10"/>
  <c r="M1178" i="10"/>
  <c r="L1178" i="10"/>
  <c r="K1178" i="10"/>
  <c r="J1178" i="10"/>
  <c r="O1178" i="10" s="1"/>
  <c r="R1178" i="10" s="1"/>
  <c r="I1178" i="10"/>
  <c r="H1178" i="10"/>
  <c r="G1178" i="10"/>
  <c r="F1178" i="10"/>
  <c r="E1178" i="10"/>
  <c r="D1178" i="10"/>
  <c r="C1178" i="10"/>
  <c r="B1178" i="10"/>
  <c r="A1178" i="10"/>
  <c r="R1177" i="10"/>
  <c r="P1177" i="10"/>
  <c r="N1177" i="10"/>
  <c r="M1177" i="10"/>
  <c r="L1177" i="10"/>
  <c r="K1177" i="10"/>
  <c r="J1177" i="10"/>
  <c r="O1177" i="10" s="1"/>
  <c r="I1177" i="10"/>
  <c r="H1177" i="10"/>
  <c r="G1177" i="10"/>
  <c r="F1177" i="10"/>
  <c r="Q1177" i="10" s="1"/>
  <c r="E1177" i="10"/>
  <c r="D1177" i="10"/>
  <c r="C1177" i="10"/>
  <c r="B1177" i="10"/>
  <c r="A1177" i="10"/>
  <c r="Q1176" i="10"/>
  <c r="P1176" i="10"/>
  <c r="N1176" i="10"/>
  <c r="M1176" i="10"/>
  <c r="L1176" i="10"/>
  <c r="K1176" i="10"/>
  <c r="J1176" i="10"/>
  <c r="O1176" i="10" s="1"/>
  <c r="R1176" i="10" s="1"/>
  <c r="I1176" i="10"/>
  <c r="H1176" i="10"/>
  <c r="G1176" i="10"/>
  <c r="F1176" i="10"/>
  <c r="E1176" i="10"/>
  <c r="D1176" i="10"/>
  <c r="C1176" i="10"/>
  <c r="B1176" i="10"/>
  <c r="A1176" i="10"/>
  <c r="R1175" i="10"/>
  <c r="P1175" i="10"/>
  <c r="N1175" i="10"/>
  <c r="M1175" i="10"/>
  <c r="L1175" i="10"/>
  <c r="K1175" i="10"/>
  <c r="J1175" i="10"/>
  <c r="O1175" i="10" s="1"/>
  <c r="I1175" i="10"/>
  <c r="H1175" i="10"/>
  <c r="G1175" i="10"/>
  <c r="F1175" i="10"/>
  <c r="Q1175" i="10" s="1"/>
  <c r="E1175" i="10"/>
  <c r="D1175" i="10"/>
  <c r="C1175" i="10"/>
  <c r="B1175" i="10"/>
  <c r="A1175" i="10"/>
  <c r="Q1174" i="10"/>
  <c r="P1174" i="10"/>
  <c r="N1174" i="10"/>
  <c r="M1174" i="10"/>
  <c r="L1174" i="10"/>
  <c r="K1174" i="10"/>
  <c r="J1174" i="10"/>
  <c r="O1174" i="10" s="1"/>
  <c r="R1174" i="10" s="1"/>
  <c r="I1174" i="10"/>
  <c r="H1174" i="10"/>
  <c r="G1174" i="10"/>
  <c r="F1174" i="10"/>
  <c r="E1174" i="10"/>
  <c r="D1174" i="10"/>
  <c r="C1174" i="10"/>
  <c r="B1174" i="10"/>
  <c r="A1174" i="10"/>
  <c r="R1173" i="10"/>
  <c r="P1173" i="10"/>
  <c r="N1173" i="10"/>
  <c r="M1173" i="10"/>
  <c r="L1173" i="10"/>
  <c r="K1173" i="10"/>
  <c r="J1173" i="10"/>
  <c r="O1173" i="10" s="1"/>
  <c r="I1173" i="10"/>
  <c r="H1173" i="10"/>
  <c r="G1173" i="10"/>
  <c r="F1173" i="10"/>
  <c r="Q1173" i="10" s="1"/>
  <c r="E1173" i="10"/>
  <c r="D1173" i="10"/>
  <c r="C1173" i="10"/>
  <c r="B1173" i="10"/>
  <c r="A1173" i="10"/>
  <c r="Q1172" i="10"/>
  <c r="P1172" i="10"/>
  <c r="N1172" i="10"/>
  <c r="M1172" i="10"/>
  <c r="L1172" i="10"/>
  <c r="K1172" i="10"/>
  <c r="J1172" i="10"/>
  <c r="O1172" i="10" s="1"/>
  <c r="R1172" i="10" s="1"/>
  <c r="I1172" i="10"/>
  <c r="H1172" i="10"/>
  <c r="G1172" i="10"/>
  <c r="F1172" i="10"/>
  <c r="E1172" i="10"/>
  <c r="D1172" i="10"/>
  <c r="C1172" i="10"/>
  <c r="B1172" i="10"/>
  <c r="A1172" i="10"/>
  <c r="R1171" i="10"/>
  <c r="P1171" i="10"/>
  <c r="N1171" i="10"/>
  <c r="M1171" i="10"/>
  <c r="L1171" i="10"/>
  <c r="K1171" i="10"/>
  <c r="J1171" i="10"/>
  <c r="O1171" i="10" s="1"/>
  <c r="I1171" i="10"/>
  <c r="H1171" i="10"/>
  <c r="G1171" i="10"/>
  <c r="F1171" i="10"/>
  <c r="Q1171" i="10" s="1"/>
  <c r="E1171" i="10"/>
  <c r="D1171" i="10"/>
  <c r="C1171" i="10"/>
  <c r="B1171" i="10"/>
  <c r="A1171" i="10"/>
  <c r="Q1170" i="10"/>
  <c r="P1170" i="10"/>
  <c r="N1170" i="10"/>
  <c r="M1170" i="10"/>
  <c r="L1170" i="10"/>
  <c r="K1170" i="10"/>
  <c r="J1170" i="10"/>
  <c r="O1170" i="10" s="1"/>
  <c r="R1170" i="10" s="1"/>
  <c r="I1170" i="10"/>
  <c r="H1170" i="10"/>
  <c r="G1170" i="10"/>
  <c r="F1170" i="10"/>
  <c r="E1170" i="10"/>
  <c r="D1170" i="10"/>
  <c r="C1170" i="10"/>
  <c r="B1170" i="10"/>
  <c r="A1170" i="10"/>
  <c r="R1169" i="10"/>
  <c r="P1169" i="10"/>
  <c r="N1169" i="10"/>
  <c r="M1169" i="10"/>
  <c r="L1169" i="10"/>
  <c r="K1169" i="10"/>
  <c r="J1169" i="10"/>
  <c r="O1169" i="10" s="1"/>
  <c r="I1169" i="10"/>
  <c r="H1169" i="10"/>
  <c r="G1169" i="10"/>
  <c r="F1169" i="10"/>
  <c r="Q1169" i="10" s="1"/>
  <c r="E1169" i="10"/>
  <c r="D1169" i="10"/>
  <c r="C1169" i="10"/>
  <c r="B1169" i="10"/>
  <c r="A1169" i="10"/>
  <c r="Q1168" i="10"/>
  <c r="P1168" i="10"/>
  <c r="N1168" i="10"/>
  <c r="M1168" i="10"/>
  <c r="L1168" i="10"/>
  <c r="K1168" i="10"/>
  <c r="J1168" i="10"/>
  <c r="O1168" i="10" s="1"/>
  <c r="R1168" i="10" s="1"/>
  <c r="I1168" i="10"/>
  <c r="H1168" i="10"/>
  <c r="G1168" i="10"/>
  <c r="F1168" i="10"/>
  <c r="E1168" i="10"/>
  <c r="D1168" i="10"/>
  <c r="C1168" i="10"/>
  <c r="B1168" i="10"/>
  <c r="A1168" i="10"/>
  <c r="R1167" i="10"/>
  <c r="P1167" i="10"/>
  <c r="N1167" i="10"/>
  <c r="M1167" i="10"/>
  <c r="L1167" i="10"/>
  <c r="K1167" i="10"/>
  <c r="J1167" i="10"/>
  <c r="O1167" i="10" s="1"/>
  <c r="I1167" i="10"/>
  <c r="H1167" i="10"/>
  <c r="G1167" i="10"/>
  <c r="F1167" i="10"/>
  <c r="Q1167" i="10" s="1"/>
  <c r="E1167" i="10"/>
  <c r="D1167" i="10"/>
  <c r="C1167" i="10"/>
  <c r="B1167" i="10"/>
  <c r="A1167" i="10"/>
  <c r="Q1166" i="10"/>
  <c r="P1166" i="10"/>
  <c r="N1166" i="10"/>
  <c r="M1166" i="10"/>
  <c r="L1166" i="10"/>
  <c r="K1166" i="10"/>
  <c r="J1166" i="10"/>
  <c r="O1166" i="10" s="1"/>
  <c r="R1166" i="10" s="1"/>
  <c r="I1166" i="10"/>
  <c r="H1166" i="10"/>
  <c r="G1166" i="10"/>
  <c r="F1166" i="10"/>
  <c r="E1166" i="10"/>
  <c r="D1166" i="10"/>
  <c r="C1166" i="10"/>
  <c r="B1166" i="10"/>
  <c r="A1166" i="10"/>
  <c r="R1165" i="10"/>
  <c r="P1165" i="10"/>
  <c r="N1165" i="10"/>
  <c r="M1165" i="10"/>
  <c r="L1165" i="10"/>
  <c r="K1165" i="10"/>
  <c r="J1165" i="10"/>
  <c r="O1165" i="10" s="1"/>
  <c r="I1165" i="10"/>
  <c r="H1165" i="10"/>
  <c r="G1165" i="10"/>
  <c r="F1165" i="10"/>
  <c r="Q1165" i="10" s="1"/>
  <c r="E1165" i="10"/>
  <c r="D1165" i="10"/>
  <c r="C1165" i="10"/>
  <c r="B1165" i="10"/>
  <c r="A1165" i="10"/>
  <c r="Q1164" i="10"/>
  <c r="P1164" i="10"/>
  <c r="N1164" i="10"/>
  <c r="M1164" i="10"/>
  <c r="L1164" i="10"/>
  <c r="K1164" i="10"/>
  <c r="J1164" i="10"/>
  <c r="O1164" i="10" s="1"/>
  <c r="R1164" i="10" s="1"/>
  <c r="I1164" i="10"/>
  <c r="H1164" i="10"/>
  <c r="G1164" i="10"/>
  <c r="F1164" i="10"/>
  <c r="E1164" i="10"/>
  <c r="D1164" i="10"/>
  <c r="C1164" i="10"/>
  <c r="B1164" i="10"/>
  <c r="A1164" i="10"/>
  <c r="R1163" i="10"/>
  <c r="P1163" i="10"/>
  <c r="N1163" i="10"/>
  <c r="M1163" i="10"/>
  <c r="L1163" i="10"/>
  <c r="K1163" i="10"/>
  <c r="J1163" i="10"/>
  <c r="O1163" i="10" s="1"/>
  <c r="I1163" i="10"/>
  <c r="H1163" i="10"/>
  <c r="G1163" i="10"/>
  <c r="F1163" i="10"/>
  <c r="Q1163" i="10" s="1"/>
  <c r="E1163" i="10"/>
  <c r="D1163" i="10"/>
  <c r="C1163" i="10"/>
  <c r="B1163" i="10"/>
  <c r="A1163" i="10"/>
  <c r="Q1162" i="10"/>
  <c r="P1162" i="10"/>
  <c r="N1162" i="10"/>
  <c r="M1162" i="10"/>
  <c r="L1162" i="10"/>
  <c r="K1162" i="10"/>
  <c r="J1162" i="10"/>
  <c r="O1162" i="10" s="1"/>
  <c r="R1162" i="10" s="1"/>
  <c r="I1162" i="10"/>
  <c r="H1162" i="10"/>
  <c r="G1162" i="10"/>
  <c r="F1162" i="10"/>
  <c r="E1162" i="10"/>
  <c r="D1162" i="10"/>
  <c r="C1162" i="10"/>
  <c r="B1162" i="10"/>
  <c r="A1162" i="10"/>
  <c r="R1161" i="10"/>
  <c r="P1161" i="10"/>
  <c r="N1161" i="10"/>
  <c r="M1161" i="10"/>
  <c r="L1161" i="10"/>
  <c r="K1161" i="10"/>
  <c r="J1161" i="10"/>
  <c r="O1161" i="10" s="1"/>
  <c r="I1161" i="10"/>
  <c r="H1161" i="10"/>
  <c r="G1161" i="10"/>
  <c r="F1161" i="10"/>
  <c r="Q1161" i="10" s="1"/>
  <c r="E1161" i="10"/>
  <c r="D1161" i="10"/>
  <c r="C1161" i="10"/>
  <c r="B1161" i="10"/>
  <c r="A1161" i="10"/>
  <c r="Q1160" i="10"/>
  <c r="P1160" i="10"/>
  <c r="N1160" i="10"/>
  <c r="M1160" i="10"/>
  <c r="L1160" i="10"/>
  <c r="K1160" i="10"/>
  <c r="J1160" i="10"/>
  <c r="O1160" i="10" s="1"/>
  <c r="R1160" i="10" s="1"/>
  <c r="I1160" i="10"/>
  <c r="H1160" i="10"/>
  <c r="G1160" i="10"/>
  <c r="F1160" i="10"/>
  <c r="E1160" i="10"/>
  <c r="D1160" i="10"/>
  <c r="C1160" i="10"/>
  <c r="B1160" i="10"/>
  <c r="A1160" i="10"/>
  <c r="R1159" i="10"/>
  <c r="P1159" i="10"/>
  <c r="N1159" i="10"/>
  <c r="M1159" i="10"/>
  <c r="L1159" i="10"/>
  <c r="K1159" i="10"/>
  <c r="J1159" i="10"/>
  <c r="O1159" i="10" s="1"/>
  <c r="I1159" i="10"/>
  <c r="H1159" i="10"/>
  <c r="G1159" i="10"/>
  <c r="F1159" i="10"/>
  <c r="Q1159" i="10" s="1"/>
  <c r="E1159" i="10"/>
  <c r="D1159" i="10"/>
  <c r="C1159" i="10"/>
  <c r="B1159" i="10"/>
  <c r="A1159" i="10"/>
  <c r="Q1158" i="10"/>
  <c r="P1158" i="10"/>
  <c r="N1158" i="10"/>
  <c r="M1158" i="10"/>
  <c r="L1158" i="10"/>
  <c r="K1158" i="10"/>
  <c r="J1158" i="10"/>
  <c r="O1158" i="10" s="1"/>
  <c r="R1158" i="10" s="1"/>
  <c r="I1158" i="10"/>
  <c r="H1158" i="10"/>
  <c r="G1158" i="10"/>
  <c r="F1158" i="10"/>
  <c r="E1158" i="10"/>
  <c r="D1158" i="10"/>
  <c r="C1158" i="10"/>
  <c r="B1158" i="10"/>
  <c r="A1158" i="10"/>
  <c r="R1157" i="10"/>
  <c r="P1157" i="10"/>
  <c r="N1157" i="10"/>
  <c r="M1157" i="10"/>
  <c r="L1157" i="10"/>
  <c r="K1157" i="10"/>
  <c r="J1157" i="10"/>
  <c r="O1157" i="10" s="1"/>
  <c r="I1157" i="10"/>
  <c r="H1157" i="10"/>
  <c r="G1157" i="10"/>
  <c r="F1157" i="10"/>
  <c r="Q1157" i="10" s="1"/>
  <c r="E1157" i="10"/>
  <c r="D1157" i="10"/>
  <c r="C1157" i="10"/>
  <c r="B1157" i="10"/>
  <c r="A1157" i="10"/>
  <c r="Q1156" i="10"/>
  <c r="P1156" i="10"/>
  <c r="N1156" i="10"/>
  <c r="M1156" i="10"/>
  <c r="L1156" i="10"/>
  <c r="K1156" i="10"/>
  <c r="J1156" i="10"/>
  <c r="O1156" i="10" s="1"/>
  <c r="R1156" i="10" s="1"/>
  <c r="I1156" i="10"/>
  <c r="H1156" i="10"/>
  <c r="G1156" i="10"/>
  <c r="F1156" i="10"/>
  <c r="E1156" i="10"/>
  <c r="D1156" i="10"/>
  <c r="C1156" i="10"/>
  <c r="B1156" i="10"/>
  <c r="A1156" i="10"/>
  <c r="R1155" i="10"/>
  <c r="P1155" i="10"/>
  <c r="N1155" i="10"/>
  <c r="M1155" i="10"/>
  <c r="L1155" i="10"/>
  <c r="K1155" i="10"/>
  <c r="J1155" i="10"/>
  <c r="O1155" i="10" s="1"/>
  <c r="I1155" i="10"/>
  <c r="H1155" i="10"/>
  <c r="G1155" i="10"/>
  <c r="F1155" i="10"/>
  <c r="Q1155" i="10" s="1"/>
  <c r="E1155" i="10"/>
  <c r="D1155" i="10"/>
  <c r="C1155" i="10"/>
  <c r="B1155" i="10"/>
  <c r="A1155" i="10"/>
  <c r="Q1154" i="10"/>
  <c r="P1154" i="10"/>
  <c r="N1154" i="10"/>
  <c r="M1154" i="10"/>
  <c r="L1154" i="10"/>
  <c r="K1154" i="10"/>
  <c r="J1154" i="10"/>
  <c r="O1154" i="10" s="1"/>
  <c r="R1154" i="10" s="1"/>
  <c r="I1154" i="10"/>
  <c r="H1154" i="10"/>
  <c r="G1154" i="10"/>
  <c r="F1154" i="10"/>
  <c r="E1154" i="10"/>
  <c r="D1154" i="10"/>
  <c r="C1154" i="10"/>
  <c r="B1154" i="10"/>
  <c r="A1154" i="10"/>
  <c r="R1153" i="10"/>
  <c r="P1153" i="10"/>
  <c r="N1153" i="10"/>
  <c r="M1153" i="10"/>
  <c r="L1153" i="10"/>
  <c r="K1153" i="10"/>
  <c r="J1153" i="10"/>
  <c r="O1153" i="10" s="1"/>
  <c r="I1153" i="10"/>
  <c r="H1153" i="10"/>
  <c r="G1153" i="10"/>
  <c r="F1153" i="10"/>
  <c r="Q1153" i="10" s="1"/>
  <c r="E1153" i="10"/>
  <c r="D1153" i="10"/>
  <c r="C1153" i="10"/>
  <c r="B1153" i="10"/>
  <c r="A1153" i="10"/>
  <c r="Q1152" i="10"/>
  <c r="P1152" i="10"/>
  <c r="N1152" i="10"/>
  <c r="M1152" i="10"/>
  <c r="L1152" i="10"/>
  <c r="K1152" i="10"/>
  <c r="J1152" i="10"/>
  <c r="O1152" i="10" s="1"/>
  <c r="R1152" i="10" s="1"/>
  <c r="I1152" i="10"/>
  <c r="H1152" i="10"/>
  <c r="G1152" i="10"/>
  <c r="F1152" i="10"/>
  <c r="E1152" i="10"/>
  <c r="D1152" i="10"/>
  <c r="C1152" i="10"/>
  <c r="B1152" i="10"/>
  <c r="A1152" i="10"/>
  <c r="R1151" i="10"/>
  <c r="P1151" i="10"/>
  <c r="N1151" i="10"/>
  <c r="M1151" i="10"/>
  <c r="L1151" i="10"/>
  <c r="K1151" i="10"/>
  <c r="J1151" i="10"/>
  <c r="O1151" i="10" s="1"/>
  <c r="I1151" i="10"/>
  <c r="H1151" i="10"/>
  <c r="G1151" i="10"/>
  <c r="F1151" i="10"/>
  <c r="Q1151" i="10" s="1"/>
  <c r="E1151" i="10"/>
  <c r="D1151" i="10"/>
  <c r="C1151" i="10"/>
  <c r="B1151" i="10"/>
  <c r="A1151" i="10"/>
  <c r="Q1150" i="10"/>
  <c r="P1150" i="10"/>
  <c r="N1150" i="10"/>
  <c r="M1150" i="10"/>
  <c r="L1150" i="10"/>
  <c r="K1150" i="10"/>
  <c r="J1150" i="10"/>
  <c r="O1150" i="10" s="1"/>
  <c r="R1150" i="10" s="1"/>
  <c r="I1150" i="10"/>
  <c r="H1150" i="10"/>
  <c r="G1150" i="10"/>
  <c r="F1150" i="10"/>
  <c r="E1150" i="10"/>
  <c r="D1150" i="10"/>
  <c r="C1150" i="10"/>
  <c r="B1150" i="10"/>
  <c r="A1150" i="10"/>
  <c r="R1149" i="10"/>
  <c r="P1149" i="10"/>
  <c r="N1149" i="10"/>
  <c r="M1149" i="10"/>
  <c r="L1149" i="10"/>
  <c r="K1149" i="10"/>
  <c r="J1149" i="10"/>
  <c r="O1149" i="10" s="1"/>
  <c r="I1149" i="10"/>
  <c r="H1149" i="10"/>
  <c r="G1149" i="10"/>
  <c r="F1149" i="10"/>
  <c r="Q1149" i="10" s="1"/>
  <c r="E1149" i="10"/>
  <c r="D1149" i="10"/>
  <c r="C1149" i="10"/>
  <c r="B1149" i="10"/>
  <c r="A1149" i="10"/>
  <c r="Q1148" i="10"/>
  <c r="P1148" i="10"/>
  <c r="N1148" i="10"/>
  <c r="M1148" i="10"/>
  <c r="L1148" i="10"/>
  <c r="K1148" i="10"/>
  <c r="J1148" i="10"/>
  <c r="O1148" i="10" s="1"/>
  <c r="R1148" i="10" s="1"/>
  <c r="I1148" i="10"/>
  <c r="H1148" i="10"/>
  <c r="G1148" i="10"/>
  <c r="F1148" i="10"/>
  <c r="E1148" i="10"/>
  <c r="D1148" i="10"/>
  <c r="C1148" i="10"/>
  <c r="B1148" i="10"/>
  <c r="A1148" i="10"/>
  <c r="R1147" i="10"/>
  <c r="P1147" i="10"/>
  <c r="N1147" i="10"/>
  <c r="M1147" i="10"/>
  <c r="L1147" i="10"/>
  <c r="K1147" i="10"/>
  <c r="J1147" i="10"/>
  <c r="O1147" i="10" s="1"/>
  <c r="I1147" i="10"/>
  <c r="H1147" i="10"/>
  <c r="G1147" i="10"/>
  <c r="F1147" i="10"/>
  <c r="Q1147" i="10" s="1"/>
  <c r="E1147" i="10"/>
  <c r="D1147" i="10"/>
  <c r="C1147" i="10"/>
  <c r="B1147" i="10"/>
  <c r="A1147" i="10"/>
  <c r="Q1146" i="10"/>
  <c r="P1146" i="10"/>
  <c r="N1146" i="10"/>
  <c r="M1146" i="10"/>
  <c r="L1146" i="10"/>
  <c r="K1146" i="10"/>
  <c r="J1146" i="10"/>
  <c r="O1146" i="10" s="1"/>
  <c r="R1146" i="10" s="1"/>
  <c r="I1146" i="10"/>
  <c r="H1146" i="10"/>
  <c r="G1146" i="10"/>
  <c r="F1146" i="10"/>
  <c r="E1146" i="10"/>
  <c r="D1146" i="10"/>
  <c r="C1146" i="10"/>
  <c r="B1146" i="10"/>
  <c r="A1146" i="10"/>
  <c r="R1145" i="10"/>
  <c r="P1145" i="10"/>
  <c r="O1145" i="10"/>
  <c r="N1145" i="10"/>
  <c r="M1145" i="10"/>
  <c r="L1145" i="10"/>
  <c r="K1145" i="10"/>
  <c r="J1145" i="10"/>
  <c r="I1145" i="10"/>
  <c r="H1145" i="10"/>
  <c r="G1145" i="10"/>
  <c r="F1145" i="10"/>
  <c r="Q1145" i="10" s="1"/>
  <c r="E1145" i="10"/>
  <c r="D1145" i="10"/>
  <c r="C1145" i="10"/>
  <c r="B1145" i="10"/>
  <c r="A1145" i="10"/>
  <c r="Q1144" i="10"/>
  <c r="N1144" i="10"/>
  <c r="M1144" i="10"/>
  <c r="L1144" i="10"/>
  <c r="K1144" i="10"/>
  <c r="J1144" i="10"/>
  <c r="O1144" i="10" s="1"/>
  <c r="I1144" i="10"/>
  <c r="H1144" i="10"/>
  <c r="G1144" i="10"/>
  <c r="F1144" i="10"/>
  <c r="E1144" i="10"/>
  <c r="P1144" i="10" s="1"/>
  <c r="D1144" i="10"/>
  <c r="C1144" i="10"/>
  <c r="B1144" i="10"/>
  <c r="A1144" i="10"/>
  <c r="P1143" i="10"/>
  <c r="N1143" i="10"/>
  <c r="M1143" i="10"/>
  <c r="L1143" i="10"/>
  <c r="K1143" i="10"/>
  <c r="J1143" i="10"/>
  <c r="O1143" i="10" s="1"/>
  <c r="I1143" i="10"/>
  <c r="H1143" i="10"/>
  <c r="G1143" i="10"/>
  <c r="F1143" i="10"/>
  <c r="Q1143" i="10" s="1"/>
  <c r="E1143" i="10"/>
  <c r="D1143" i="10"/>
  <c r="C1143" i="10"/>
  <c r="B1143" i="10"/>
  <c r="A1143" i="10"/>
  <c r="Q1142" i="10"/>
  <c r="N1142" i="10"/>
  <c r="M1142" i="10"/>
  <c r="L1142" i="10"/>
  <c r="K1142" i="10"/>
  <c r="J1142" i="10"/>
  <c r="O1142" i="10" s="1"/>
  <c r="R1142" i="10" s="1"/>
  <c r="I1142" i="10"/>
  <c r="H1142" i="10"/>
  <c r="G1142" i="10"/>
  <c r="F1142" i="10"/>
  <c r="E1142" i="10"/>
  <c r="P1142" i="10" s="1"/>
  <c r="D1142" i="10"/>
  <c r="C1142" i="10"/>
  <c r="B1142" i="10"/>
  <c r="A1142" i="10"/>
  <c r="P1141" i="10"/>
  <c r="O1141" i="10"/>
  <c r="R1141" i="10" s="1"/>
  <c r="N1141" i="10"/>
  <c r="M1141" i="10"/>
  <c r="L1141" i="10"/>
  <c r="K1141" i="10"/>
  <c r="J1141" i="10"/>
  <c r="I1141" i="10"/>
  <c r="H1141" i="10"/>
  <c r="G1141" i="10"/>
  <c r="F1141" i="10"/>
  <c r="Q1141" i="10" s="1"/>
  <c r="E1141" i="10"/>
  <c r="D1141" i="10"/>
  <c r="C1141" i="10"/>
  <c r="B1141" i="10"/>
  <c r="A1141" i="10"/>
  <c r="Q1140" i="10"/>
  <c r="P1140" i="10"/>
  <c r="N1140" i="10"/>
  <c r="M1140" i="10"/>
  <c r="L1140" i="10"/>
  <c r="K1140" i="10"/>
  <c r="J1140" i="10"/>
  <c r="O1140" i="10" s="1"/>
  <c r="R1140" i="10" s="1"/>
  <c r="I1140" i="10"/>
  <c r="H1140" i="10"/>
  <c r="G1140" i="10"/>
  <c r="F1140" i="10"/>
  <c r="E1140" i="10"/>
  <c r="D1140" i="10"/>
  <c r="C1140" i="10"/>
  <c r="B1140" i="10"/>
  <c r="A1140" i="10"/>
  <c r="P1139" i="10"/>
  <c r="N1139" i="10"/>
  <c r="M1139" i="10"/>
  <c r="L1139" i="10"/>
  <c r="K1139" i="10"/>
  <c r="J1139" i="10"/>
  <c r="O1139" i="10" s="1"/>
  <c r="R1139" i="10" s="1"/>
  <c r="I1139" i="10"/>
  <c r="H1139" i="10"/>
  <c r="G1139" i="10"/>
  <c r="F1139" i="10"/>
  <c r="Q1139" i="10" s="1"/>
  <c r="E1139" i="10"/>
  <c r="D1139" i="10"/>
  <c r="C1139" i="10"/>
  <c r="B1139" i="10"/>
  <c r="A1139" i="10"/>
  <c r="Q1138" i="10"/>
  <c r="P1138" i="10"/>
  <c r="N1138" i="10"/>
  <c r="M1138" i="10"/>
  <c r="L1138" i="10"/>
  <c r="K1138" i="10"/>
  <c r="J1138" i="10"/>
  <c r="O1138" i="10" s="1"/>
  <c r="I1138" i="10"/>
  <c r="H1138" i="10"/>
  <c r="G1138" i="10"/>
  <c r="F1138" i="10"/>
  <c r="E1138" i="10"/>
  <c r="D1138" i="10"/>
  <c r="C1138" i="10"/>
  <c r="B1138" i="10"/>
  <c r="A1138" i="10"/>
  <c r="R1137" i="10"/>
  <c r="P1137" i="10"/>
  <c r="O1137" i="10"/>
  <c r="N1137" i="10"/>
  <c r="M1137" i="10"/>
  <c r="L1137" i="10"/>
  <c r="K1137" i="10"/>
  <c r="J1137" i="10"/>
  <c r="I1137" i="10"/>
  <c r="H1137" i="10"/>
  <c r="G1137" i="10"/>
  <c r="F1137" i="10"/>
  <c r="Q1137" i="10" s="1"/>
  <c r="E1137" i="10"/>
  <c r="D1137" i="10"/>
  <c r="C1137" i="10"/>
  <c r="B1137" i="10"/>
  <c r="A1137" i="10"/>
  <c r="Q1136" i="10"/>
  <c r="N1136" i="10"/>
  <c r="M1136" i="10"/>
  <c r="L1136" i="10"/>
  <c r="K1136" i="10"/>
  <c r="J1136" i="10"/>
  <c r="O1136" i="10" s="1"/>
  <c r="I1136" i="10"/>
  <c r="H1136" i="10"/>
  <c r="G1136" i="10"/>
  <c r="F1136" i="10"/>
  <c r="E1136" i="10"/>
  <c r="P1136" i="10" s="1"/>
  <c r="D1136" i="10"/>
  <c r="C1136" i="10"/>
  <c r="B1136" i="10"/>
  <c r="A1136" i="10"/>
  <c r="P1135" i="10"/>
  <c r="N1135" i="10"/>
  <c r="M1135" i="10"/>
  <c r="L1135" i="10"/>
  <c r="K1135" i="10"/>
  <c r="J1135" i="10"/>
  <c r="O1135" i="10" s="1"/>
  <c r="I1135" i="10"/>
  <c r="H1135" i="10"/>
  <c r="G1135" i="10"/>
  <c r="F1135" i="10"/>
  <c r="Q1135" i="10" s="1"/>
  <c r="E1135" i="10"/>
  <c r="D1135" i="10"/>
  <c r="C1135" i="10"/>
  <c r="B1135" i="10"/>
  <c r="A1135" i="10"/>
  <c r="Q1134" i="10"/>
  <c r="N1134" i="10"/>
  <c r="M1134" i="10"/>
  <c r="L1134" i="10"/>
  <c r="K1134" i="10"/>
  <c r="J1134" i="10"/>
  <c r="O1134" i="10" s="1"/>
  <c r="R1134" i="10" s="1"/>
  <c r="I1134" i="10"/>
  <c r="H1134" i="10"/>
  <c r="G1134" i="10"/>
  <c r="F1134" i="10"/>
  <c r="E1134" i="10"/>
  <c r="P1134" i="10" s="1"/>
  <c r="D1134" i="10"/>
  <c r="C1134" i="10"/>
  <c r="B1134" i="10"/>
  <c r="A1134" i="10"/>
  <c r="P1133" i="10"/>
  <c r="O1133" i="10"/>
  <c r="R1133" i="10" s="1"/>
  <c r="N1133" i="10"/>
  <c r="M1133" i="10"/>
  <c r="L1133" i="10"/>
  <c r="K1133" i="10"/>
  <c r="J1133" i="10"/>
  <c r="I1133" i="10"/>
  <c r="H1133" i="10"/>
  <c r="G1133" i="10"/>
  <c r="F1133" i="10"/>
  <c r="Q1133" i="10" s="1"/>
  <c r="E1133" i="10"/>
  <c r="D1133" i="10"/>
  <c r="C1133" i="10"/>
  <c r="B1133" i="10"/>
  <c r="A1133" i="10"/>
  <c r="Q1132" i="10"/>
  <c r="P1132" i="10"/>
  <c r="N1132" i="10"/>
  <c r="M1132" i="10"/>
  <c r="L1132" i="10"/>
  <c r="K1132" i="10"/>
  <c r="J1132" i="10"/>
  <c r="O1132" i="10" s="1"/>
  <c r="R1132" i="10" s="1"/>
  <c r="I1132" i="10"/>
  <c r="H1132" i="10"/>
  <c r="G1132" i="10"/>
  <c r="F1132" i="10"/>
  <c r="E1132" i="10"/>
  <c r="D1132" i="10"/>
  <c r="C1132" i="10"/>
  <c r="B1132" i="10"/>
  <c r="A1132" i="10"/>
  <c r="P1131" i="10"/>
  <c r="N1131" i="10"/>
  <c r="M1131" i="10"/>
  <c r="L1131" i="10"/>
  <c r="K1131" i="10"/>
  <c r="J1131" i="10"/>
  <c r="O1131" i="10" s="1"/>
  <c r="R1131" i="10" s="1"/>
  <c r="I1131" i="10"/>
  <c r="H1131" i="10"/>
  <c r="G1131" i="10"/>
  <c r="F1131" i="10"/>
  <c r="Q1131" i="10" s="1"/>
  <c r="E1131" i="10"/>
  <c r="D1131" i="10"/>
  <c r="C1131" i="10"/>
  <c r="B1131" i="10"/>
  <c r="A1131" i="10"/>
  <c r="Q1130" i="10"/>
  <c r="P1130" i="10"/>
  <c r="N1130" i="10"/>
  <c r="M1130" i="10"/>
  <c r="L1130" i="10"/>
  <c r="K1130" i="10"/>
  <c r="J1130" i="10"/>
  <c r="O1130" i="10" s="1"/>
  <c r="I1130" i="10"/>
  <c r="H1130" i="10"/>
  <c r="G1130" i="10"/>
  <c r="F1130" i="10"/>
  <c r="E1130" i="10"/>
  <c r="D1130" i="10"/>
  <c r="C1130" i="10"/>
  <c r="B1130" i="10"/>
  <c r="A1130" i="10"/>
  <c r="R1129" i="10"/>
  <c r="P1129" i="10"/>
  <c r="O1129" i="10"/>
  <c r="N1129" i="10"/>
  <c r="M1129" i="10"/>
  <c r="L1129" i="10"/>
  <c r="K1129" i="10"/>
  <c r="J1129" i="10"/>
  <c r="I1129" i="10"/>
  <c r="H1129" i="10"/>
  <c r="G1129" i="10"/>
  <c r="F1129" i="10"/>
  <c r="Q1129" i="10" s="1"/>
  <c r="E1129" i="10"/>
  <c r="D1129" i="10"/>
  <c r="C1129" i="10"/>
  <c r="B1129" i="10"/>
  <c r="A1129" i="10"/>
  <c r="Q1128" i="10"/>
  <c r="N1128" i="10"/>
  <c r="M1128" i="10"/>
  <c r="L1128" i="10"/>
  <c r="K1128" i="10"/>
  <c r="J1128" i="10"/>
  <c r="O1128" i="10" s="1"/>
  <c r="I1128" i="10"/>
  <c r="H1128" i="10"/>
  <c r="G1128" i="10"/>
  <c r="F1128" i="10"/>
  <c r="E1128" i="10"/>
  <c r="P1128" i="10" s="1"/>
  <c r="D1128" i="10"/>
  <c r="C1128" i="10"/>
  <c r="B1128" i="10"/>
  <c r="A1128" i="10"/>
  <c r="P1127" i="10"/>
  <c r="N1127" i="10"/>
  <c r="M1127" i="10"/>
  <c r="L1127" i="10"/>
  <c r="K1127" i="10"/>
  <c r="J1127" i="10"/>
  <c r="O1127" i="10" s="1"/>
  <c r="I1127" i="10"/>
  <c r="H1127" i="10"/>
  <c r="G1127" i="10"/>
  <c r="F1127" i="10"/>
  <c r="Q1127" i="10" s="1"/>
  <c r="E1127" i="10"/>
  <c r="D1127" i="10"/>
  <c r="C1127" i="10"/>
  <c r="B1127" i="10"/>
  <c r="A1127" i="10"/>
  <c r="Q1126" i="10"/>
  <c r="N1126" i="10"/>
  <c r="M1126" i="10"/>
  <c r="L1126" i="10"/>
  <c r="K1126" i="10"/>
  <c r="J1126" i="10"/>
  <c r="O1126" i="10" s="1"/>
  <c r="R1126" i="10" s="1"/>
  <c r="I1126" i="10"/>
  <c r="H1126" i="10"/>
  <c r="G1126" i="10"/>
  <c r="F1126" i="10"/>
  <c r="E1126" i="10"/>
  <c r="P1126" i="10" s="1"/>
  <c r="D1126" i="10"/>
  <c r="C1126" i="10"/>
  <c r="B1126" i="10"/>
  <c r="A1126" i="10"/>
  <c r="P1125" i="10"/>
  <c r="O1125" i="10"/>
  <c r="R1125" i="10" s="1"/>
  <c r="N1125" i="10"/>
  <c r="M1125" i="10"/>
  <c r="L1125" i="10"/>
  <c r="K1125" i="10"/>
  <c r="J1125" i="10"/>
  <c r="I1125" i="10"/>
  <c r="H1125" i="10"/>
  <c r="G1125" i="10"/>
  <c r="F1125" i="10"/>
  <c r="Q1125" i="10" s="1"/>
  <c r="E1125" i="10"/>
  <c r="D1125" i="10"/>
  <c r="C1125" i="10"/>
  <c r="B1125" i="10"/>
  <c r="A1125" i="10"/>
  <c r="Q1124" i="10"/>
  <c r="P1124" i="10"/>
  <c r="N1124" i="10"/>
  <c r="M1124" i="10"/>
  <c r="L1124" i="10"/>
  <c r="K1124" i="10"/>
  <c r="J1124" i="10"/>
  <c r="O1124" i="10" s="1"/>
  <c r="R1124" i="10" s="1"/>
  <c r="I1124" i="10"/>
  <c r="H1124" i="10"/>
  <c r="G1124" i="10"/>
  <c r="F1124" i="10"/>
  <c r="E1124" i="10"/>
  <c r="D1124" i="10"/>
  <c r="C1124" i="10"/>
  <c r="B1124" i="10"/>
  <c r="A1124" i="10"/>
  <c r="P1123" i="10"/>
  <c r="N1123" i="10"/>
  <c r="M1123" i="10"/>
  <c r="L1123" i="10"/>
  <c r="K1123" i="10"/>
  <c r="J1123" i="10"/>
  <c r="O1123" i="10" s="1"/>
  <c r="R1123" i="10" s="1"/>
  <c r="I1123" i="10"/>
  <c r="H1123" i="10"/>
  <c r="G1123" i="10"/>
  <c r="F1123" i="10"/>
  <c r="Q1123" i="10" s="1"/>
  <c r="E1123" i="10"/>
  <c r="D1123" i="10"/>
  <c r="C1123" i="10"/>
  <c r="B1123" i="10"/>
  <c r="A1123" i="10"/>
  <c r="R1122" i="10"/>
  <c r="Q1122" i="10"/>
  <c r="N1122" i="10"/>
  <c r="M1122" i="10"/>
  <c r="L1122" i="10"/>
  <c r="K1122" i="10"/>
  <c r="J1122" i="10"/>
  <c r="O1122" i="10" s="1"/>
  <c r="I1122" i="10"/>
  <c r="H1122" i="10"/>
  <c r="G1122" i="10"/>
  <c r="F1122" i="10"/>
  <c r="E1122" i="10"/>
  <c r="P1122" i="10" s="1"/>
  <c r="D1122" i="10"/>
  <c r="C1122" i="10"/>
  <c r="B1122" i="10"/>
  <c r="A1122" i="10"/>
  <c r="P1121" i="10"/>
  <c r="N1121" i="10"/>
  <c r="M1121" i="10"/>
  <c r="L1121" i="10"/>
  <c r="K1121" i="10"/>
  <c r="J1121" i="10"/>
  <c r="O1121" i="10" s="1"/>
  <c r="I1121" i="10"/>
  <c r="H1121" i="10"/>
  <c r="G1121" i="10"/>
  <c r="F1121" i="10"/>
  <c r="Q1121" i="10" s="1"/>
  <c r="E1121" i="10"/>
  <c r="D1121" i="10"/>
  <c r="C1121" i="10"/>
  <c r="B1121" i="10"/>
  <c r="A1121" i="10"/>
  <c r="P1120" i="10"/>
  <c r="N1120" i="10"/>
  <c r="M1120" i="10"/>
  <c r="L1120" i="10"/>
  <c r="K1120" i="10"/>
  <c r="J1120" i="10"/>
  <c r="O1120" i="10" s="1"/>
  <c r="I1120" i="10"/>
  <c r="H1120" i="10"/>
  <c r="G1120" i="10"/>
  <c r="F1120" i="10"/>
  <c r="Q1120" i="10" s="1"/>
  <c r="R1120" i="10" s="1"/>
  <c r="E1120" i="10"/>
  <c r="D1120" i="10"/>
  <c r="C1120" i="10"/>
  <c r="B1120" i="10"/>
  <c r="A1120" i="10"/>
  <c r="P1119" i="10"/>
  <c r="N1119" i="10"/>
  <c r="M1119" i="10"/>
  <c r="L1119" i="10"/>
  <c r="K1119" i="10"/>
  <c r="J1119" i="10"/>
  <c r="O1119" i="10" s="1"/>
  <c r="R1119" i="10" s="1"/>
  <c r="I1119" i="10"/>
  <c r="H1119" i="10"/>
  <c r="G1119" i="10"/>
  <c r="F1119" i="10"/>
  <c r="Q1119" i="10" s="1"/>
  <c r="E1119" i="10"/>
  <c r="D1119" i="10"/>
  <c r="C1119" i="10"/>
  <c r="B1119" i="10"/>
  <c r="A1119" i="10"/>
  <c r="R1118" i="10"/>
  <c r="Q1118" i="10"/>
  <c r="N1118" i="10"/>
  <c r="M1118" i="10"/>
  <c r="L1118" i="10"/>
  <c r="K1118" i="10"/>
  <c r="J1118" i="10"/>
  <c r="O1118" i="10" s="1"/>
  <c r="I1118" i="10"/>
  <c r="H1118" i="10"/>
  <c r="G1118" i="10"/>
  <c r="F1118" i="10"/>
  <c r="E1118" i="10"/>
  <c r="P1118" i="10" s="1"/>
  <c r="D1118" i="10"/>
  <c r="C1118" i="10"/>
  <c r="B1118" i="10"/>
  <c r="A1118" i="10"/>
  <c r="P1117" i="10"/>
  <c r="N1117" i="10"/>
  <c r="M1117" i="10"/>
  <c r="L1117" i="10"/>
  <c r="K1117" i="10"/>
  <c r="J1117" i="10"/>
  <c r="O1117" i="10" s="1"/>
  <c r="I1117" i="10"/>
  <c r="H1117" i="10"/>
  <c r="G1117" i="10"/>
  <c r="F1117" i="10"/>
  <c r="Q1117" i="10" s="1"/>
  <c r="E1117" i="10"/>
  <c r="D1117" i="10"/>
  <c r="C1117" i="10"/>
  <c r="B1117" i="10"/>
  <c r="A1117" i="10"/>
  <c r="P1116" i="10"/>
  <c r="N1116" i="10"/>
  <c r="M1116" i="10"/>
  <c r="L1116" i="10"/>
  <c r="K1116" i="10"/>
  <c r="J1116" i="10"/>
  <c r="O1116" i="10" s="1"/>
  <c r="I1116" i="10"/>
  <c r="H1116" i="10"/>
  <c r="G1116" i="10"/>
  <c r="F1116" i="10"/>
  <c r="Q1116" i="10" s="1"/>
  <c r="R1116" i="10" s="1"/>
  <c r="E1116" i="10"/>
  <c r="D1116" i="10"/>
  <c r="C1116" i="10"/>
  <c r="B1116" i="10"/>
  <c r="A1116" i="10"/>
  <c r="P1115" i="10"/>
  <c r="N1115" i="10"/>
  <c r="M1115" i="10"/>
  <c r="L1115" i="10"/>
  <c r="K1115" i="10"/>
  <c r="J1115" i="10"/>
  <c r="O1115" i="10" s="1"/>
  <c r="R1115" i="10" s="1"/>
  <c r="I1115" i="10"/>
  <c r="H1115" i="10"/>
  <c r="G1115" i="10"/>
  <c r="F1115" i="10"/>
  <c r="Q1115" i="10" s="1"/>
  <c r="E1115" i="10"/>
  <c r="D1115" i="10"/>
  <c r="C1115" i="10"/>
  <c r="B1115" i="10"/>
  <c r="A1115" i="10"/>
  <c r="R1114" i="10"/>
  <c r="Q1114" i="10"/>
  <c r="N1114" i="10"/>
  <c r="M1114" i="10"/>
  <c r="L1114" i="10"/>
  <c r="K1114" i="10"/>
  <c r="J1114" i="10"/>
  <c r="O1114" i="10" s="1"/>
  <c r="I1114" i="10"/>
  <c r="H1114" i="10"/>
  <c r="G1114" i="10"/>
  <c r="F1114" i="10"/>
  <c r="E1114" i="10"/>
  <c r="P1114" i="10" s="1"/>
  <c r="D1114" i="10"/>
  <c r="C1114" i="10"/>
  <c r="B1114" i="10"/>
  <c r="A1114" i="10"/>
  <c r="P1113" i="10"/>
  <c r="N1113" i="10"/>
  <c r="M1113" i="10"/>
  <c r="L1113" i="10"/>
  <c r="K1113" i="10"/>
  <c r="J1113" i="10"/>
  <c r="O1113" i="10" s="1"/>
  <c r="I1113" i="10"/>
  <c r="H1113" i="10"/>
  <c r="G1113" i="10"/>
  <c r="F1113" i="10"/>
  <c r="Q1113" i="10" s="1"/>
  <c r="E1113" i="10"/>
  <c r="D1113" i="10"/>
  <c r="C1113" i="10"/>
  <c r="B1113" i="10"/>
  <c r="A1113" i="10"/>
  <c r="P1112" i="10"/>
  <c r="N1112" i="10"/>
  <c r="M1112" i="10"/>
  <c r="L1112" i="10"/>
  <c r="K1112" i="10"/>
  <c r="J1112" i="10"/>
  <c r="O1112" i="10" s="1"/>
  <c r="I1112" i="10"/>
  <c r="H1112" i="10"/>
  <c r="G1112" i="10"/>
  <c r="F1112" i="10"/>
  <c r="Q1112" i="10" s="1"/>
  <c r="R1112" i="10" s="1"/>
  <c r="E1112" i="10"/>
  <c r="D1112" i="10"/>
  <c r="C1112" i="10"/>
  <c r="B1112" i="10"/>
  <c r="A1112" i="10"/>
  <c r="P1111" i="10"/>
  <c r="N1111" i="10"/>
  <c r="M1111" i="10"/>
  <c r="L1111" i="10"/>
  <c r="K1111" i="10"/>
  <c r="J1111" i="10"/>
  <c r="O1111" i="10" s="1"/>
  <c r="R1111" i="10" s="1"/>
  <c r="I1111" i="10"/>
  <c r="H1111" i="10"/>
  <c r="G1111" i="10"/>
  <c r="F1111" i="10"/>
  <c r="Q1111" i="10" s="1"/>
  <c r="E1111" i="10"/>
  <c r="D1111" i="10"/>
  <c r="C1111" i="10"/>
  <c r="B1111" i="10"/>
  <c r="A1111" i="10"/>
  <c r="R1110" i="10"/>
  <c r="Q1110" i="10"/>
  <c r="N1110" i="10"/>
  <c r="M1110" i="10"/>
  <c r="L1110" i="10"/>
  <c r="K1110" i="10"/>
  <c r="J1110" i="10"/>
  <c r="O1110" i="10" s="1"/>
  <c r="I1110" i="10"/>
  <c r="H1110" i="10"/>
  <c r="G1110" i="10"/>
  <c r="F1110" i="10"/>
  <c r="E1110" i="10"/>
  <c r="P1110" i="10" s="1"/>
  <c r="D1110" i="10"/>
  <c r="C1110" i="10"/>
  <c r="B1110" i="10"/>
  <c r="A1110" i="10"/>
  <c r="P1109" i="10"/>
  <c r="N1109" i="10"/>
  <c r="M1109" i="10"/>
  <c r="L1109" i="10"/>
  <c r="K1109" i="10"/>
  <c r="J1109" i="10"/>
  <c r="O1109" i="10" s="1"/>
  <c r="I1109" i="10"/>
  <c r="H1109" i="10"/>
  <c r="G1109" i="10"/>
  <c r="F1109" i="10"/>
  <c r="Q1109" i="10" s="1"/>
  <c r="E1109" i="10"/>
  <c r="D1109" i="10"/>
  <c r="C1109" i="10"/>
  <c r="B1109" i="10"/>
  <c r="A1109" i="10"/>
  <c r="P1108" i="10"/>
  <c r="N1108" i="10"/>
  <c r="M1108" i="10"/>
  <c r="L1108" i="10"/>
  <c r="K1108" i="10"/>
  <c r="J1108" i="10"/>
  <c r="O1108" i="10" s="1"/>
  <c r="I1108" i="10"/>
  <c r="H1108" i="10"/>
  <c r="G1108" i="10"/>
  <c r="F1108" i="10"/>
  <c r="Q1108" i="10" s="1"/>
  <c r="R1108" i="10" s="1"/>
  <c r="E1108" i="10"/>
  <c r="D1108" i="10"/>
  <c r="C1108" i="10"/>
  <c r="B1108" i="10"/>
  <c r="A1108" i="10"/>
  <c r="P1107" i="10"/>
  <c r="N1107" i="10"/>
  <c r="M1107" i="10"/>
  <c r="L1107" i="10"/>
  <c r="K1107" i="10"/>
  <c r="J1107" i="10"/>
  <c r="O1107" i="10" s="1"/>
  <c r="R1107" i="10" s="1"/>
  <c r="I1107" i="10"/>
  <c r="H1107" i="10"/>
  <c r="G1107" i="10"/>
  <c r="F1107" i="10"/>
  <c r="Q1107" i="10" s="1"/>
  <c r="E1107" i="10"/>
  <c r="D1107" i="10"/>
  <c r="C1107" i="10"/>
  <c r="B1107" i="10"/>
  <c r="A1107" i="10"/>
  <c r="R1106" i="10"/>
  <c r="Q1106" i="10"/>
  <c r="N1106" i="10"/>
  <c r="M1106" i="10"/>
  <c r="L1106" i="10"/>
  <c r="K1106" i="10"/>
  <c r="J1106" i="10"/>
  <c r="O1106" i="10" s="1"/>
  <c r="I1106" i="10"/>
  <c r="H1106" i="10"/>
  <c r="G1106" i="10"/>
  <c r="F1106" i="10"/>
  <c r="E1106" i="10"/>
  <c r="P1106" i="10" s="1"/>
  <c r="D1106" i="10"/>
  <c r="C1106" i="10"/>
  <c r="B1106" i="10"/>
  <c r="A1106" i="10"/>
  <c r="P1105" i="10"/>
  <c r="N1105" i="10"/>
  <c r="M1105" i="10"/>
  <c r="L1105" i="10"/>
  <c r="K1105" i="10"/>
  <c r="J1105" i="10"/>
  <c r="O1105" i="10" s="1"/>
  <c r="I1105" i="10"/>
  <c r="H1105" i="10"/>
  <c r="G1105" i="10"/>
  <c r="F1105" i="10"/>
  <c r="Q1105" i="10" s="1"/>
  <c r="E1105" i="10"/>
  <c r="D1105" i="10"/>
  <c r="C1105" i="10"/>
  <c r="B1105" i="10"/>
  <c r="A1105" i="10"/>
  <c r="P1104" i="10"/>
  <c r="N1104" i="10"/>
  <c r="M1104" i="10"/>
  <c r="L1104" i="10"/>
  <c r="K1104" i="10"/>
  <c r="J1104" i="10"/>
  <c r="O1104" i="10" s="1"/>
  <c r="I1104" i="10"/>
  <c r="H1104" i="10"/>
  <c r="G1104" i="10"/>
  <c r="F1104" i="10"/>
  <c r="Q1104" i="10" s="1"/>
  <c r="R1104" i="10" s="1"/>
  <c r="E1104" i="10"/>
  <c r="D1104" i="10"/>
  <c r="C1104" i="10"/>
  <c r="B1104" i="10"/>
  <c r="A1104" i="10"/>
  <c r="P1103" i="10"/>
  <c r="N1103" i="10"/>
  <c r="M1103" i="10"/>
  <c r="L1103" i="10"/>
  <c r="K1103" i="10"/>
  <c r="J1103" i="10"/>
  <c r="O1103" i="10" s="1"/>
  <c r="R1103" i="10" s="1"/>
  <c r="I1103" i="10"/>
  <c r="H1103" i="10"/>
  <c r="G1103" i="10"/>
  <c r="F1103" i="10"/>
  <c r="Q1103" i="10" s="1"/>
  <c r="E1103" i="10"/>
  <c r="D1103" i="10"/>
  <c r="C1103" i="10"/>
  <c r="B1103" i="10"/>
  <c r="A1103" i="10"/>
  <c r="R1102" i="10"/>
  <c r="Q1102" i="10"/>
  <c r="N1102" i="10"/>
  <c r="M1102" i="10"/>
  <c r="L1102" i="10"/>
  <c r="K1102" i="10"/>
  <c r="J1102" i="10"/>
  <c r="O1102" i="10" s="1"/>
  <c r="I1102" i="10"/>
  <c r="H1102" i="10"/>
  <c r="G1102" i="10"/>
  <c r="F1102" i="10"/>
  <c r="E1102" i="10"/>
  <c r="P1102" i="10" s="1"/>
  <c r="D1102" i="10"/>
  <c r="C1102" i="10"/>
  <c r="B1102" i="10"/>
  <c r="A1102" i="10"/>
  <c r="P1101" i="10"/>
  <c r="N1101" i="10"/>
  <c r="M1101" i="10"/>
  <c r="L1101" i="10"/>
  <c r="K1101" i="10"/>
  <c r="J1101" i="10"/>
  <c r="O1101" i="10" s="1"/>
  <c r="I1101" i="10"/>
  <c r="H1101" i="10"/>
  <c r="G1101" i="10"/>
  <c r="F1101" i="10"/>
  <c r="Q1101" i="10" s="1"/>
  <c r="E1101" i="10"/>
  <c r="D1101" i="10"/>
  <c r="C1101" i="10"/>
  <c r="B1101" i="10"/>
  <c r="A1101" i="10"/>
  <c r="P1100" i="10"/>
  <c r="N1100" i="10"/>
  <c r="M1100" i="10"/>
  <c r="L1100" i="10"/>
  <c r="K1100" i="10"/>
  <c r="J1100" i="10"/>
  <c r="O1100" i="10" s="1"/>
  <c r="I1100" i="10"/>
  <c r="H1100" i="10"/>
  <c r="G1100" i="10"/>
  <c r="F1100" i="10"/>
  <c r="Q1100" i="10" s="1"/>
  <c r="R1100" i="10" s="1"/>
  <c r="E1100" i="10"/>
  <c r="D1100" i="10"/>
  <c r="C1100" i="10"/>
  <c r="B1100" i="10"/>
  <c r="A1100" i="10"/>
  <c r="P1099" i="10"/>
  <c r="N1099" i="10"/>
  <c r="M1099" i="10"/>
  <c r="L1099" i="10"/>
  <c r="K1099" i="10"/>
  <c r="J1099" i="10"/>
  <c r="O1099" i="10" s="1"/>
  <c r="R1099" i="10" s="1"/>
  <c r="I1099" i="10"/>
  <c r="H1099" i="10"/>
  <c r="G1099" i="10"/>
  <c r="F1099" i="10"/>
  <c r="Q1099" i="10" s="1"/>
  <c r="E1099" i="10"/>
  <c r="D1099" i="10"/>
  <c r="C1099" i="10"/>
  <c r="B1099" i="10"/>
  <c r="A1099" i="10"/>
  <c r="R1098" i="10"/>
  <c r="Q1098" i="10"/>
  <c r="N1098" i="10"/>
  <c r="M1098" i="10"/>
  <c r="L1098" i="10"/>
  <c r="K1098" i="10"/>
  <c r="J1098" i="10"/>
  <c r="O1098" i="10" s="1"/>
  <c r="I1098" i="10"/>
  <c r="H1098" i="10"/>
  <c r="G1098" i="10"/>
  <c r="F1098" i="10"/>
  <c r="E1098" i="10"/>
  <c r="P1098" i="10" s="1"/>
  <c r="D1098" i="10"/>
  <c r="C1098" i="10"/>
  <c r="B1098" i="10"/>
  <c r="A1098" i="10"/>
  <c r="P1097" i="10"/>
  <c r="N1097" i="10"/>
  <c r="M1097" i="10"/>
  <c r="L1097" i="10"/>
  <c r="K1097" i="10"/>
  <c r="J1097" i="10"/>
  <c r="O1097" i="10" s="1"/>
  <c r="I1097" i="10"/>
  <c r="H1097" i="10"/>
  <c r="G1097" i="10"/>
  <c r="F1097" i="10"/>
  <c r="Q1097" i="10" s="1"/>
  <c r="E1097" i="10"/>
  <c r="D1097" i="10"/>
  <c r="C1097" i="10"/>
  <c r="B1097" i="10"/>
  <c r="A1097" i="10"/>
  <c r="P1096" i="10"/>
  <c r="N1096" i="10"/>
  <c r="M1096" i="10"/>
  <c r="L1096" i="10"/>
  <c r="K1096" i="10"/>
  <c r="J1096" i="10"/>
  <c r="O1096" i="10" s="1"/>
  <c r="I1096" i="10"/>
  <c r="H1096" i="10"/>
  <c r="G1096" i="10"/>
  <c r="F1096" i="10"/>
  <c r="Q1096" i="10" s="1"/>
  <c r="R1096" i="10" s="1"/>
  <c r="E1096" i="10"/>
  <c r="D1096" i="10"/>
  <c r="C1096" i="10"/>
  <c r="B1096" i="10"/>
  <c r="A1096" i="10"/>
  <c r="P1095" i="10"/>
  <c r="N1095" i="10"/>
  <c r="M1095" i="10"/>
  <c r="L1095" i="10"/>
  <c r="K1095" i="10"/>
  <c r="J1095" i="10"/>
  <c r="O1095" i="10" s="1"/>
  <c r="R1095" i="10" s="1"/>
  <c r="I1095" i="10"/>
  <c r="H1095" i="10"/>
  <c r="G1095" i="10"/>
  <c r="F1095" i="10"/>
  <c r="Q1095" i="10" s="1"/>
  <c r="E1095" i="10"/>
  <c r="D1095" i="10"/>
  <c r="C1095" i="10"/>
  <c r="B1095" i="10"/>
  <c r="A1095" i="10"/>
  <c r="R1094" i="10"/>
  <c r="Q1094" i="10"/>
  <c r="N1094" i="10"/>
  <c r="M1094" i="10"/>
  <c r="L1094" i="10"/>
  <c r="K1094" i="10"/>
  <c r="J1094" i="10"/>
  <c r="O1094" i="10" s="1"/>
  <c r="I1094" i="10"/>
  <c r="H1094" i="10"/>
  <c r="G1094" i="10"/>
  <c r="F1094" i="10"/>
  <c r="E1094" i="10"/>
  <c r="P1094" i="10" s="1"/>
  <c r="D1094" i="10"/>
  <c r="C1094" i="10"/>
  <c r="B1094" i="10"/>
  <c r="A1094" i="10"/>
  <c r="P1093" i="10"/>
  <c r="N1093" i="10"/>
  <c r="M1093" i="10"/>
  <c r="L1093" i="10"/>
  <c r="K1093" i="10"/>
  <c r="J1093" i="10"/>
  <c r="O1093" i="10" s="1"/>
  <c r="I1093" i="10"/>
  <c r="H1093" i="10"/>
  <c r="G1093" i="10"/>
  <c r="F1093" i="10"/>
  <c r="Q1093" i="10" s="1"/>
  <c r="E1093" i="10"/>
  <c r="D1093" i="10"/>
  <c r="C1093" i="10"/>
  <c r="B1093" i="10"/>
  <c r="A1093" i="10"/>
  <c r="P1092" i="10"/>
  <c r="N1092" i="10"/>
  <c r="M1092" i="10"/>
  <c r="L1092" i="10"/>
  <c r="K1092" i="10"/>
  <c r="J1092" i="10"/>
  <c r="O1092" i="10" s="1"/>
  <c r="I1092" i="10"/>
  <c r="H1092" i="10"/>
  <c r="G1092" i="10"/>
  <c r="F1092" i="10"/>
  <c r="Q1092" i="10" s="1"/>
  <c r="R1092" i="10" s="1"/>
  <c r="E1092" i="10"/>
  <c r="D1092" i="10"/>
  <c r="C1092" i="10"/>
  <c r="B1092" i="10"/>
  <c r="A1092" i="10"/>
  <c r="P1091" i="10"/>
  <c r="N1091" i="10"/>
  <c r="M1091" i="10"/>
  <c r="L1091" i="10"/>
  <c r="K1091" i="10"/>
  <c r="J1091" i="10"/>
  <c r="O1091" i="10" s="1"/>
  <c r="R1091" i="10" s="1"/>
  <c r="I1091" i="10"/>
  <c r="H1091" i="10"/>
  <c r="G1091" i="10"/>
  <c r="F1091" i="10"/>
  <c r="Q1091" i="10" s="1"/>
  <c r="E1091" i="10"/>
  <c r="D1091" i="10"/>
  <c r="C1091" i="10"/>
  <c r="B1091" i="10"/>
  <c r="A1091" i="10"/>
  <c r="R1090" i="10"/>
  <c r="Q1090" i="10"/>
  <c r="N1090" i="10"/>
  <c r="M1090" i="10"/>
  <c r="L1090" i="10"/>
  <c r="K1090" i="10"/>
  <c r="J1090" i="10"/>
  <c r="O1090" i="10" s="1"/>
  <c r="I1090" i="10"/>
  <c r="H1090" i="10"/>
  <c r="G1090" i="10"/>
  <c r="F1090" i="10"/>
  <c r="E1090" i="10"/>
  <c r="P1090" i="10" s="1"/>
  <c r="D1090" i="10"/>
  <c r="C1090" i="10"/>
  <c r="B1090" i="10"/>
  <c r="A1090" i="10"/>
  <c r="P1089" i="10"/>
  <c r="N1089" i="10"/>
  <c r="M1089" i="10"/>
  <c r="L1089" i="10"/>
  <c r="K1089" i="10"/>
  <c r="J1089" i="10"/>
  <c r="O1089" i="10" s="1"/>
  <c r="I1089" i="10"/>
  <c r="H1089" i="10"/>
  <c r="G1089" i="10"/>
  <c r="F1089" i="10"/>
  <c r="Q1089" i="10" s="1"/>
  <c r="E1089" i="10"/>
  <c r="D1089" i="10"/>
  <c r="C1089" i="10"/>
  <c r="B1089" i="10"/>
  <c r="A1089" i="10"/>
  <c r="P1088" i="10"/>
  <c r="N1088" i="10"/>
  <c r="M1088" i="10"/>
  <c r="L1088" i="10"/>
  <c r="K1088" i="10"/>
  <c r="J1088" i="10"/>
  <c r="O1088" i="10" s="1"/>
  <c r="I1088" i="10"/>
  <c r="H1088" i="10"/>
  <c r="G1088" i="10"/>
  <c r="F1088" i="10"/>
  <c r="Q1088" i="10" s="1"/>
  <c r="R1088" i="10" s="1"/>
  <c r="E1088" i="10"/>
  <c r="D1088" i="10"/>
  <c r="C1088" i="10"/>
  <c r="B1088" i="10"/>
  <c r="A1088" i="10"/>
  <c r="P1087" i="10"/>
  <c r="N1087" i="10"/>
  <c r="M1087" i="10"/>
  <c r="L1087" i="10"/>
  <c r="K1087" i="10"/>
  <c r="J1087" i="10"/>
  <c r="O1087" i="10" s="1"/>
  <c r="R1087" i="10" s="1"/>
  <c r="I1087" i="10"/>
  <c r="H1087" i="10"/>
  <c r="G1087" i="10"/>
  <c r="F1087" i="10"/>
  <c r="Q1087" i="10" s="1"/>
  <c r="E1087" i="10"/>
  <c r="D1087" i="10"/>
  <c r="C1087" i="10"/>
  <c r="B1087" i="10"/>
  <c r="A1087" i="10"/>
  <c r="R1086" i="10"/>
  <c r="Q1086" i="10"/>
  <c r="N1086" i="10"/>
  <c r="M1086" i="10"/>
  <c r="L1086" i="10"/>
  <c r="K1086" i="10"/>
  <c r="J1086" i="10"/>
  <c r="O1086" i="10" s="1"/>
  <c r="I1086" i="10"/>
  <c r="H1086" i="10"/>
  <c r="G1086" i="10"/>
  <c r="F1086" i="10"/>
  <c r="E1086" i="10"/>
  <c r="P1086" i="10" s="1"/>
  <c r="D1086" i="10"/>
  <c r="C1086" i="10"/>
  <c r="B1086" i="10"/>
  <c r="A1086" i="10"/>
  <c r="P1085" i="10"/>
  <c r="N1085" i="10"/>
  <c r="M1085" i="10"/>
  <c r="L1085" i="10"/>
  <c r="K1085" i="10"/>
  <c r="J1085" i="10"/>
  <c r="O1085" i="10" s="1"/>
  <c r="I1085" i="10"/>
  <c r="H1085" i="10"/>
  <c r="G1085" i="10"/>
  <c r="F1085" i="10"/>
  <c r="Q1085" i="10" s="1"/>
  <c r="E1085" i="10"/>
  <c r="D1085" i="10"/>
  <c r="C1085" i="10"/>
  <c r="B1085" i="10"/>
  <c r="A1085" i="10"/>
  <c r="P1084" i="10"/>
  <c r="N1084" i="10"/>
  <c r="M1084" i="10"/>
  <c r="L1084" i="10"/>
  <c r="K1084" i="10"/>
  <c r="J1084" i="10"/>
  <c r="O1084" i="10" s="1"/>
  <c r="I1084" i="10"/>
  <c r="H1084" i="10"/>
  <c r="G1084" i="10"/>
  <c r="F1084" i="10"/>
  <c r="Q1084" i="10" s="1"/>
  <c r="R1084" i="10" s="1"/>
  <c r="E1084" i="10"/>
  <c r="D1084" i="10"/>
  <c r="C1084" i="10"/>
  <c r="B1084" i="10"/>
  <c r="A1084" i="10"/>
  <c r="P1083" i="10"/>
  <c r="N1083" i="10"/>
  <c r="M1083" i="10"/>
  <c r="L1083" i="10"/>
  <c r="K1083" i="10"/>
  <c r="J1083" i="10"/>
  <c r="O1083" i="10" s="1"/>
  <c r="R1083" i="10" s="1"/>
  <c r="I1083" i="10"/>
  <c r="H1083" i="10"/>
  <c r="G1083" i="10"/>
  <c r="F1083" i="10"/>
  <c r="Q1083" i="10" s="1"/>
  <c r="E1083" i="10"/>
  <c r="D1083" i="10"/>
  <c r="C1083" i="10"/>
  <c r="B1083" i="10"/>
  <c r="A1083" i="10"/>
  <c r="R1082" i="10"/>
  <c r="Q1082" i="10"/>
  <c r="N1082" i="10"/>
  <c r="M1082" i="10"/>
  <c r="L1082" i="10"/>
  <c r="K1082" i="10"/>
  <c r="J1082" i="10"/>
  <c r="O1082" i="10" s="1"/>
  <c r="I1082" i="10"/>
  <c r="H1082" i="10"/>
  <c r="G1082" i="10"/>
  <c r="F1082" i="10"/>
  <c r="E1082" i="10"/>
  <c r="P1082" i="10" s="1"/>
  <c r="D1082" i="10"/>
  <c r="C1082" i="10"/>
  <c r="B1082" i="10"/>
  <c r="A1082" i="10"/>
  <c r="P1081" i="10"/>
  <c r="N1081" i="10"/>
  <c r="M1081" i="10"/>
  <c r="L1081" i="10"/>
  <c r="K1081" i="10"/>
  <c r="J1081" i="10"/>
  <c r="O1081" i="10" s="1"/>
  <c r="I1081" i="10"/>
  <c r="H1081" i="10"/>
  <c r="G1081" i="10"/>
  <c r="F1081" i="10"/>
  <c r="Q1081" i="10" s="1"/>
  <c r="E1081" i="10"/>
  <c r="D1081" i="10"/>
  <c r="C1081" i="10"/>
  <c r="B1081" i="10"/>
  <c r="A1081" i="10"/>
  <c r="P1080" i="10"/>
  <c r="N1080" i="10"/>
  <c r="M1080" i="10"/>
  <c r="L1080" i="10"/>
  <c r="K1080" i="10"/>
  <c r="J1080" i="10"/>
  <c r="O1080" i="10" s="1"/>
  <c r="I1080" i="10"/>
  <c r="H1080" i="10"/>
  <c r="G1080" i="10"/>
  <c r="F1080" i="10"/>
  <c r="Q1080" i="10" s="1"/>
  <c r="R1080" i="10" s="1"/>
  <c r="E1080" i="10"/>
  <c r="D1080" i="10"/>
  <c r="C1080" i="10"/>
  <c r="B1080" i="10"/>
  <c r="A1080" i="10"/>
  <c r="P1079" i="10"/>
  <c r="N1079" i="10"/>
  <c r="M1079" i="10"/>
  <c r="L1079" i="10"/>
  <c r="K1079" i="10"/>
  <c r="J1079" i="10"/>
  <c r="O1079" i="10" s="1"/>
  <c r="R1079" i="10" s="1"/>
  <c r="I1079" i="10"/>
  <c r="H1079" i="10"/>
  <c r="G1079" i="10"/>
  <c r="F1079" i="10"/>
  <c r="Q1079" i="10" s="1"/>
  <c r="E1079" i="10"/>
  <c r="D1079" i="10"/>
  <c r="C1079" i="10"/>
  <c r="B1079" i="10"/>
  <c r="A1079" i="10"/>
  <c r="R1078" i="10"/>
  <c r="Q1078" i="10"/>
  <c r="N1078" i="10"/>
  <c r="M1078" i="10"/>
  <c r="L1078" i="10"/>
  <c r="K1078" i="10"/>
  <c r="J1078" i="10"/>
  <c r="O1078" i="10" s="1"/>
  <c r="I1078" i="10"/>
  <c r="H1078" i="10"/>
  <c r="G1078" i="10"/>
  <c r="F1078" i="10"/>
  <c r="E1078" i="10"/>
  <c r="P1078" i="10" s="1"/>
  <c r="D1078" i="10"/>
  <c r="C1078" i="10"/>
  <c r="B1078" i="10"/>
  <c r="A1078" i="10"/>
  <c r="P1077" i="10"/>
  <c r="N1077" i="10"/>
  <c r="M1077" i="10"/>
  <c r="L1077" i="10"/>
  <c r="K1077" i="10"/>
  <c r="J1077" i="10"/>
  <c r="O1077" i="10" s="1"/>
  <c r="I1077" i="10"/>
  <c r="H1077" i="10"/>
  <c r="G1077" i="10"/>
  <c r="F1077" i="10"/>
  <c r="Q1077" i="10" s="1"/>
  <c r="E1077" i="10"/>
  <c r="D1077" i="10"/>
  <c r="C1077" i="10"/>
  <c r="B1077" i="10"/>
  <c r="A1077" i="10"/>
  <c r="P1076" i="10"/>
  <c r="N1076" i="10"/>
  <c r="M1076" i="10"/>
  <c r="L1076" i="10"/>
  <c r="K1076" i="10"/>
  <c r="J1076" i="10"/>
  <c r="O1076" i="10" s="1"/>
  <c r="I1076" i="10"/>
  <c r="H1076" i="10"/>
  <c r="G1076" i="10"/>
  <c r="F1076" i="10"/>
  <c r="Q1076" i="10" s="1"/>
  <c r="R1076" i="10" s="1"/>
  <c r="E1076" i="10"/>
  <c r="D1076" i="10"/>
  <c r="C1076" i="10"/>
  <c r="B1076" i="10"/>
  <c r="A1076" i="10"/>
  <c r="P1075" i="10"/>
  <c r="N1075" i="10"/>
  <c r="M1075" i="10"/>
  <c r="L1075" i="10"/>
  <c r="K1075" i="10"/>
  <c r="J1075" i="10"/>
  <c r="O1075" i="10" s="1"/>
  <c r="R1075" i="10" s="1"/>
  <c r="I1075" i="10"/>
  <c r="H1075" i="10"/>
  <c r="G1075" i="10"/>
  <c r="F1075" i="10"/>
  <c r="Q1075" i="10" s="1"/>
  <c r="E1075" i="10"/>
  <c r="D1075" i="10"/>
  <c r="C1075" i="10"/>
  <c r="B1075" i="10"/>
  <c r="A1075" i="10"/>
  <c r="R1074" i="10"/>
  <c r="Q1074" i="10"/>
  <c r="N1074" i="10"/>
  <c r="M1074" i="10"/>
  <c r="L1074" i="10"/>
  <c r="K1074" i="10"/>
  <c r="J1074" i="10"/>
  <c r="O1074" i="10" s="1"/>
  <c r="I1074" i="10"/>
  <c r="H1074" i="10"/>
  <c r="G1074" i="10"/>
  <c r="F1074" i="10"/>
  <c r="E1074" i="10"/>
  <c r="P1074" i="10" s="1"/>
  <c r="D1074" i="10"/>
  <c r="C1074" i="10"/>
  <c r="B1074" i="10"/>
  <c r="A1074" i="10"/>
  <c r="P1073" i="10"/>
  <c r="N1073" i="10"/>
  <c r="M1073" i="10"/>
  <c r="L1073" i="10"/>
  <c r="K1073" i="10"/>
  <c r="J1073" i="10"/>
  <c r="O1073" i="10" s="1"/>
  <c r="I1073" i="10"/>
  <c r="H1073" i="10"/>
  <c r="G1073" i="10"/>
  <c r="F1073" i="10"/>
  <c r="Q1073" i="10" s="1"/>
  <c r="E1073" i="10"/>
  <c r="D1073" i="10"/>
  <c r="C1073" i="10"/>
  <c r="B1073" i="10"/>
  <c r="A1073" i="10"/>
  <c r="P1072" i="10"/>
  <c r="N1072" i="10"/>
  <c r="M1072" i="10"/>
  <c r="L1072" i="10"/>
  <c r="K1072" i="10"/>
  <c r="J1072" i="10"/>
  <c r="O1072" i="10" s="1"/>
  <c r="I1072" i="10"/>
  <c r="H1072" i="10"/>
  <c r="G1072" i="10"/>
  <c r="F1072" i="10"/>
  <c r="Q1072" i="10" s="1"/>
  <c r="R1072" i="10" s="1"/>
  <c r="E1072" i="10"/>
  <c r="D1072" i="10"/>
  <c r="C1072" i="10"/>
  <c r="B1072" i="10"/>
  <c r="A1072" i="10"/>
  <c r="P1071" i="10"/>
  <c r="N1071" i="10"/>
  <c r="M1071" i="10"/>
  <c r="L1071" i="10"/>
  <c r="K1071" i="10"/>
  <c r="J1071" i="10"/>
  <c r="O1071" i="10" s="1"/>
  <c r="R1071" i="10" s="1"/>
  <c r="I1071" i="10"/>
  <c r="H1071" i="10"/>
  <c r="G1071" i="10"/>
  <c r="F1071" i="10"/>
  <c r="Q1071" i="10" s="1"/>
  <c r="E1071" i="10"/>
  <c r="D1071" i="10"/>
  <c r="C1071" i="10"/>
  <c r="B1071" i="10"/>
  <c r="A1071" i="10"/>
  <c r="R1070" i="10"/>
  <c r="Q1070" i="10"/>
  <c r="N1070" i="10"/>
  <c r="M1070" i="10"/>
  <c r="L1070" i="10"/>
  <c r="K1070" i="10"/>
  <c r="J1070" i="10"/>
  <c r="O1070" i="10" s="1"/>
  <c r="I1070" i="10"/>
  <c r="H1070" i="10"/>
  <c r="G1070" i="10"/>
  <c r="F1070" i="10"/>
  <c r="E1070" i="10"/>
  <c r="P1070" i="10" s="1"/>
  <c r="D1070" i="10"/>
  <c r="C1070" i="10"/>
  <c r="B1070" i="10"/>
  <c r="A1070" i="10"/>
  <c r="P1069" i="10"/>
  <c r="N1069" i="10"/>
  <c r="M1069" i="10"/>
  <c r="L1069" i="10"/>
  <c r="K1069" i="10"/>
  <c r="J1069" i="10"/>
  <c r="O1069" i="10" s="1"/>
  <c r="I1069" i="10"/>
  <c r="H1069" i="10"/>
  <c r="G1069" i="10"/>
  <c r="F1069" i="10"/>
  <c r="Q1069" i="10" s="1"/>
  <c r="E1069" i="10"/>
  <c r="D1069" i="10"/>
  <c r="C1069" i="10"/>
  <c r="B1069" i="10"/>
  <c r="A1069" i="10"/>
  <c r="P1068" i="10"/>
  <c r="N1068" i="10"/>
  <c r="M1068" i="10"/>
  <c r="L1068" i="10"/>
  <c r="K1068" i="10"/>
  <c r="J1068" i="10"/>
  <c r="O1068" i="10" s="1"/>
  <c r="I1068" i="10"/>
  <c r="H1068" i="10"/>
  <c r="G1068" i="10"/>
  <c r="F1068" i="10"/>
  <c r="Q1068" i="10" s="1"/>
  <c r="R1068" i="10" s="1"/>
  <c r="E1068" i="10"/>
  <c r="D1068" i="10"/>
  <c r="C1068" i="10"/>
  <c r="B1068" i="10"/>
  <c r="A1068" i="10"/>
  <c r="P1067" i="10"/>
  <c r="N1067" i="10"/>
  <c r="M1067" i="10"/>
  <c r="L1067" i="10"/>
  <c r="K1067" i="10"/>
  <c r="J1067" i="10"/>
  <c r="O1067" i="10" s="1"/>
  <c r="R1067" i="10" s="1"/>
  <c r="I1067" i="10"/>
  <c r="H1067" i="10"/>
  <c r="G1067" i="10"/>
  <c r="F1067" i="10"/>
  <c r="Q1067" i="10" s="1"/>
  <c r="E1067" i="10"/>
  <c r="D1067" i="10"/>
  <c r="C1067" i="10"/>
  <c r="B1067" i="10"/>
  <c r="A1067" i="10"/>
  <c r="R1066" i="10"/>
  <c r="Q1066" i="10"/>
  <c r="N1066" i="10"/>
  <c r="M1066" i="10"/>
  <c r="L1066" i="10"/>
  <c r="K1066" i="10"/>
  <c r="J1066" i="10"/>
  <c r="O1066" i="10" s="1"/>
  <c r="I1066" i="10"/>
  <c r="H1066" i="10"/>
  <c r="G1066" i="10"/>
  <c r="F1066" i="10"/>
  <c r="E1066" i="10"/>
  <c r="P1066" i="10" s="1"/>
  <c r="D1066" i="10"/>
  <c r="C1066" i="10"/>
  <c r="B1066" i="10"/>
  <c r="A1066" i="10"/>
  <c r="P1065" i="10"/>
  <c r="N1065" i="10"/>
  <c r="M1065" i="10"/>
  <c r="L1065" i="10"/>
  <c r="K1065" i="10"/>
  <c r="J1065" i="10"/>
  <c r="O1065" i="10" s="1"/>
  <c r="I1065" i="10"/>
  <c r="H1065" i="10"/>
  <c r="G1065" i="10"/>
  <c r="F1065" i="10"/>
  <c r="Q1065" i="10" s="1"/>
  <c r="E1065" i="10"/>
  <c r="D1065" i="10"/>
  <c r="C1065" i="10"/>
  <c r="B1065" i="10"/>
  <c r="A1065" i="10"/>
  <c r="P1064" i="10"/>
  <c r="N1064" i="10"/>
  <c r="M1064" i="10"/>
  <c r="L1064" i="10"/>
  <c r="K1064" i="10"/>
  <c r="J1064" i="10"/>
  <c r="O1064" i="10" s="1"/>
  <c r="I1064" i="10"/>
  <c r="H1064" i="10"/>
  <c r="G1064" i="10"/>
  <c r="F1064" i="10"/>
  <c r="Q1064" i="10" s="1"/>
  <c r="R1064" i="10" s="1"/>
  <c r="E1064" i="10"/>
  <c r="D1064" i="10"/>
  <c r="C1064" i="10"/>
  <c r="B1064" i="10"/>
  <c r="A1064" i="10"/>
  <c r="P1063" i="10"/>
  <c r="N1063" i="10"/>
  <c r="M1063" i="10"/>
  <c r="L1063" i="10"/>
  <c r="K1063" i="10"/>
  <c r="J1063" i="10"/>
  <c r="O1063" i="10" s="1"/>
  <c r="R1063" i="10" s="1"/>
  <c r="I1063" i="10"/>
  <c r="H1063" i="10"/>
  <c r="G1063" i="10"/>
  <c r="F1063" i="10"/>
  <c r="Q1063" i="10" s="1"/>
  <c r="E1063" i="10"/>
  <c r="D1063" i="10"/>
  <c r="C1063" i="10"/>
  <c r="B1063" i="10"/>
  <c r="A1063" i="10"/>
  <c r="R1062" i="10"/>
  <c r="Q1062" i="10"/>
  <c r="N1062" i="10"/>
  <c r="M1062" i="10"/>
  <c r="L1062" i="10"/>
  <c r="K1062" i="10"/>
  <c r="J1062" i="10"/>
  <c r="O1062" i="10" s="1"/>
  <c r="I1062" i="10"/>
  <c r="H1062" i="10"/>
  <c r="G1062" i="10"/>
  <c r="F1062" i="10"/>
  <c r="E1062" i="10"/>
  <c r="P1062" i="10" s="1"/>
  <c r="D1062" i="10"/>
  <c r="C1062" i="10"/>
  <c r="B1062" i="10"/>
  <c r="A1062" i="10"/>
  <c r="P1061" i="10"/>
  <c r="N1061" i="10"/>
  <c r="M1061" i="10"/>
  <c r="L1061" i="10"/>
  <c r="K1061" i="10"/>
  <c r="J1061" i="10"/>
  <c r="O1061" i="10" s="1"/>
  <c r="I1061" i="10"/>
  <c r="H1061" i="10"/>
  <c r="G1061" i="10"/>
  <c r="F1061" i="10"/>
  <c r="Q1061" i="10" s="1"/>
  <c r="E1061" i="10"/>
  <c r="D1061" i="10"/>
  <c r="C1061" i="10"/>
  <c r="B1061" i="10"/>
  <c r="A1061" i="10"/>
  <c r="P1060" i="10"/>
  <c r="N1060" i="10"/>
  <c r="M1060" i="10"/>
  <c r="L1060" i="10"/>
  <c r="K1060" i="10"/>
  <c r="J1060" i="10"/>
  <c r="O1060" i="10" s="1"/>
  <c r="I1060" i="10"/>
  <c r="H1060" i="10"/>
  <c r="G1060" i="10"/>
  <c r="F1060" i="10"/>
  <c r="Q1060" i="10" s="1"/>
  <c r="R1060" i="10" s="1"/>
  <c r="E1060" i="10"/>
  <c r="D1060" i="10"/>
  <c r="C1060" i="10"/>
  <c r="B1060" i="10"/>
  <c r="A1060" i="10"/>
  <c r="P1059" i="10"/>
  <c r="N1059" i="10"/>
  <c r="M1059" i="10"/>
  <c r="L1059" i="10"/>
  <c r="K1059" i="10"/>
  <c r="J1059" i="10"/>
  <c r="O1059" i="10" s="1"/>
  <c r="R1059" i="10" s="1"/>
  <c r="I1059" i="10"/>
  <c r="H1059" i="10"/>
  <c r="G1059" i="10"/>
  <c r="F1059" i="10"/>
  <c r="Q1059" i="10" s="1"/>
  <c r="E1059" i="10"/>
  <c r="D1059" i="10"/>
  <c r="C1059" i="10"/>
  <c r="B1059" i="10"/>
  <c r="A1059" i="10"/>
  <c r="R1058" i="10"/>
  <c r="Q1058" i="10"/>
  <c r="N1058" i="10"/>
  <c r="M1058" i="10"/>
  <c r="L1058" i="10"/>
  <c r="K1058" i="10"/>
  <c r="J1058" i="10"/>
  <c r="O1058" i="10" s="1"/>
  <c r="I1058" i="10"/>
  <c r="H1058" i="10"/>
  <c r="G1058" i="10"/>
  <c r="F1058" i="10"/>
  <c r="E1058" i="10"/>
  <c r="P1058" i="10" s="1"/>
  <c r="D1058" i="10"/>
  <c r="C1058" i="10"/>
  <c r="B1058" i="10"/>
  <c r="A1058" i="10"/>
  <c r="P1057" i="10"/>
  <c r="N1057" i="10"/>
  <c r="M1057" i="10"/>
  <c r="L1057" i="10"/>
  <c r="K1057" i="10"/>
  <c r="J1057" i="10"/>
  <c r="O1057" i="10" s="1"/>
  <c r="I1057" i="10"/>
  <c r="H1057" i="10"/>
  <c r="G1057" i="10"/>
  <c r="F1057" i="10"/>
  <c r="Q1057" i="10" s="1"/>
  <c r="E1057" i="10"/>
  <c r="D1057" i="10"/>
  <c r="C1057" i="10"/>
  <c r="B1057" i="10"/>
  <c r="A1057" i="10"/>
  <c r="P1056" i="10"/>
  <c r="N1056" i="10"/>
  <c r="M1056" i="10"/>
  <c r="L1056" i="10"/>
  <c r="K1056" i="10"/>
  <c r="J1056" i="10"/>
  <c r="O1056" i="10" s="1"/>
  <c r="I1056" i="10"/>
  <c r="H1056" i="10"/>
  <c r="G1056" i="10"/>
  <c r="F1056" i="10"/>
  <c r="Q1056" i="10" s="1"/>
  <c r="R1056" i="10" s="1"/>
  <c r="E1056" i="10"/>
  <c r="D1056" i="10"/>
  <c r="C1056" i="10"/>
  <c r="B1056" i="10"/>
  <c r="A1056" i="10"/>
  <c r="P1055" i="10"/>
  <c r="N1055" i="10"/>
  <c r="M1055" i="10"/>
  <c r="L1055" i="10"/>
  <c r="K1055" i="10"/>
  <c r="J1055" i="10"/>
  <c r="O1055" i="10" s="1"/>
  <c r="R1055" i="10" s="1"/>
  <c r="I1055" i="10"/>
  <c r="H1055" i="10"/>
  <c r="G1055" i="10"/>
  <c r="F1055" i="10"/>
  <c r="Q1055" i="10" s="1"/>
  <c r="E1055" i="10"/>
  <c r="D1055" i="10"/>
  <c r="C1055" i="10"/>
  <c r="B1055" i="10"/>
  <c r="A1055" i="10"/>
  <c r="R1054" i="10"/>
  <c r="Q1054" i="10"/>
  <c r="N1054" i="10"/>
  <c r="M1054" i="10"/>
  <c r="L1054" i="10"/>
  <c r="K1054" i="10"/>
  <c r="J1054" i="10"/>
  <c r="O1054" i="10" s="1"/>
  <c r="I1054" i="10"/>
  <c r="H1054" i="10"/>
  <c r="G1054" i="10"/>
  <c r="F1054" i="10"/>
  <c r="E1054" i="10"/>
  <c r="P1054" i="10" s="1"/>
  <c r="D1054" i="10"/>
  <c r="C1054" i="10"/>
  <c r="B1054" i="10"/>
  <c r="A1054" i="10"/>
  <c r="P1053" i="10"/>
  <c r="N1053" i="10"/>
  <c r="M1053" i="10"/>
  <c r="L1053" i="10"/>
  <c r="K1053" i="10"/>
  <c r="J1053" i="10"/>
  <c r="O1053" i="10" s="1"/>
  <c r="I1053" i="10"/>
  <c r="H1053" i="10"/>
  <c r="G1053" i="10"/>
  <c r="F1053" i="10"/>
  <c r="Q1053" i="10" s="1"/>
  <c r="E1053" i="10"/>
  <c r="D1053" i="10"/>
  <c r="C1053" i="10"/>
  <c r="B1053" i="10"/>
  <c r="A1053" i="10"/>
  <c r="P1052" i="10"/>
  <c r="N1052" i="10"/>
  <c r="M1052" i="10"/>
  <c r="L1052" i="10"/>
  <c r="K1052" i="10"/>
  <c r="J1052" i="10"/>
  <c r="O1052" i="10" s="1"/>
  <c r="I1052" i="10"/>
  <c r="H1052" i="10"/>
  <c r="G1052" i="10"/>
  <c r="F1052" i="10"/>
  <c r="Q1052" i="10" s="1"/>
  <c r="R1052" i="10" s="1"/>
  <c r="E1052" i="10"/>
  <c r="D1052" i="10"/>
  <c r="C1052" i="10"/>
  <c r="B1052" i="10"/>
  <c r="A1052" i="10"/>
  <c r="P1051" i="10"/>
  <c r="N1051" i="10"/>
  <c r="M1051" i="10"/>
  <c r="L1051" i="10"/>
  <c r="K1051" i="10"/>
  <c r="J1051" i="10"/>
  <c r="O1051" i="10" s="1"/>
  <c r="R1051" i="10" s="1"/>
  <c r="I1051" i="10"/>
  <c r="H1051" i="10"/>
  <c r="G1051" i="10"/>
  <c r="F1051" i="10"/>
  <c r="Q1051" i="10" s="1"/>
  <c r="E1051" i="10"/>
  <c r="D1051" i="10"/>
  <c r="C1051" i="10"/>
  <c r="B1051" i="10"/>
  <c r="A1051" i="10"/>
  <c r="R1050" i="10"/>
  <c r="Q1050" i="10"/>
  <c r="N1050" i="10"/>
  <c r="M1050" i="10"/>
  <c r="L1050" i="10"/>
  <c r="K1050" i="10"/>
  <c r="J1050" i="10"/>
  <c r="O1050" i="10" s="1"/>
  <c r="I1050" i="10"/>
  <c r="H1050" i="10"/>
  <c r="G1050" i="10"/>
  <c r="F1050" i="10"/>
  <c r="E1050" i="10"/>
  <c r="P1050" i="10" s="1"/>
  <c r="D1050" i="10"/>
  <c r="C1050" i="10"/>
  <c r="B1050" i="10"/>
  <c r="A1050" i="10"/>
  <c r="P1049" i="10"/>
  <c r="N1049" i="10"/>
  <c r="M1049" i="10"/>
  <c r="L1049" i="10"/>
  <c r="K1049" i="10"/>
  <c r="J1049" i="10"/>
  <c r="O1049" i="10" s="1"/>
  <c r="I1049" i="10"/>
  <c r="H1049" i="10"/>
  <c r="G1049" i="10"/>
  <c r="F1049" i="10"/>
  <c r="Q1049" i="10" s="1"/>
  <c r="E1049" i="10"/>
  <c r="D1049" i="10"/>
  <c r="C1049" i="10"/>
  <c r="B1049" i="10"/>
  <c r="A1049" i="10"/>
  <c r="P1048" i="10"/>
  <c r="N1048" i="10"/>
  <c r="M1048" i="10"/>
  <c r="L1048" i="10"/>
  <c r="K1048" i="10"/>
  <c r="J1048" i="10"/>
  <c r="O1048" i="10" s="1"/>
  <c r="I1048" i="10"/>
  <c r="H1048" i="10"/>
  <c r="G1048" i="10"/>
  <c r="F1048" i="10"/>
  <c r="Q1048" i="10" s="1"/>
  <c r="R1048" i="10" s="1"/>
  <c r="E1048" i="10"/>
  <c r="D1048" i="10"/>
  <c r="C1048" i="10"/>
  <c r="B1048" i="10"/>
  <c r="A1048" i="10"/>
  <c r="P1047" i="10"/>
  <c r="N1047" i="10"/>
  <c r="M1047" i="10"/>
  <c r="L1047" i="10"/>
  <c r="K1047" i="10"/>
  <c r="J1047" i="10"/>
  <c r="O1047" i="10" s="1"/>
  <c r="R1047" i="10" s="1"/>
  <c r="I1047" i="10"/>
  <c r="H1047" i="10"/>
  <c r="G1047" i="10"/>
  <c r="F1047" i="10"/>
  <c r="Q1047" i="10" s="1"/>
  <c r="E1047" i="10"/>
  <c r="D1047" i="10"/>
  <c r="C1047" i="10"/>
  <c r="B1047" i="10"/>
  <c r="A1047" i="10"/>
  <c r="R1046" i="10"/>
  <c r="Q1046" i="10"/>
  <c r="N1046" i="10"/>
  <c r="M1046" i="10"/>
  <c r="L1046" i="10"/>
  <c r="K1046" i="10"/>
  <c r="J1046" i="10"/>
  <c r="O1046" i="10" s="1"/>
  <c r="I1046" i="10"/>
  <c r="H1046" i="10"/>
  <c r="G1046" i="10"/>
  <c r="F1046" i="10"/>
  <c r="E1046" i="10"/>
  <c r="P1046" i="10" s="1"/>
  <c r="D1046" i="10"/>
  <c r="C1046" i="10"/>
  <c r="B1046" i="10"/>
  <c r="A1046" i="10"/>
  <c r="P1045" i="10"/>
  <c r="N1045" i="10"/>
  <c r="M1045" i="10"/>
  <c r="L1045" i="10"/>
  <c r="K1045" i="10"/>
  <c r="J1045" i="10"/>
  <c r="O1045" i="10" s="1"/>
  <c r="I1045" i="10"/>
  <c r="H1045" i="10"/>
  <c r="G1045" i="10"/>
  <c r="F1045" i="10"/>
  <c r="Q1045" i="10" s="1"/>
  <c r="E1045" i="10"/>
  <c r="D1045" i="10"/>
  <c r="C1045" i="10"/>
  <c r="B1045" i="10"/>
  <c r="A1045" i="10"/>
  <c r="P1044" i="10"/>
  <c r="N1044" i="10"/>
  <c r="M1044" i="10"/>
  <c r="L1044" i="10"/>
  <c r="K1044" i="10"/>
  <c r="J1044" i="10"/>
  <c r="O1044" i="10" s="1"/>
  <c r="I1044" i="10"/>
  <c r="H1044" i="10"/>
  <c r="G1044" i="10"/>
  <c r="F1044" i="10"/>
  <c r="Q1044" i="10" s="1"/>
  <c r="R1044" i="10" s="1"/>
  <c r="E1044" i="10"/>
  <c r="D1044" i="10"/>
  <c r="C1044" i="10"/>
  <c r="B1044" i="10"/>
  <c r="A1044" i="10"/>
  <c r="P1043" i="10"/>
  <c r="N1043" i="10"/>
  <c r="M1043" i="10"/>
  <c r="L1043" i="10"/>
  <c r="K1043" i="10"/>
  <c r="J1043" i="10"/>
  <c r="O1043" i="10" s="1"/>
  <c r="R1043" i="10" s="1"/>
  <c r="I1043" i="10"/>
  <c r="H1043" i="10"/>
  <c r="G1043" i="10"/>
  <c r="F1043" i="10"/>
  <c r="Q1043" i="10" s="1"/>
  <c r="E1043" i="10"/>
  <c r="D1043" i="10"/>
  <c r="C1043" i="10"/>
  <c r="B1043" i="10"/>
  <c r="A1043" i="10"/>
  <c r="R1042" i="10"/>
  <c r="Q1042" i="10"/>
  <c r="N1042" i="10"/>
  <c r="M1042" i="10"/>
  <c r="L1042" i="10"/>
  <c r="K1042" i="10"/>
  <c r="J1042" i="10"/>
  <c r="O1042" i="10" s="1"/>
  <c r="I1042" i="10"/>
  <c r="H1042" i="10"/>
  <c r="G1042" i="10"/>
  <c r="F1042" i="10"/>
  <c r="E1042" i="10"/>
  <c r="P1042" i="10" s="1"/>
  <c r="D1042" i="10"/>
  <c r="C1042" i="10"/>
  <c r="B1042" i="10"/>
  <c r="A1042" i="10"/>
  <c r="P1041" i="10"/>
  <c r="N1041" i="10"/>
  <c r="M1041" i="10"/>
  <c r="L1041" i="10"/>
  <c r="K1041" i="10"/>
  <c r="J1041" i="10"/>
  <c r="O1041" i="10" s="1"/>
  <c r="I1041" i="10"/>
  <c r="H1041" i="10"/>
  <c r="G1041" i="10"/>
  <c r="F1041" i="10"/>
  <c r="Q1041" i="10" s="1"/>
  <c r="E1041" i="10"/>
  <c r="D1041" i="10"/>
  <c r="C1041" i="10"/>
  <c r="B1041" i="10"/>
  <c r="A1041" i="10"/>
  <c r="P1040" i="10"/>
  <c r="N1040" i="10"/>
  <c r="M1040" i="10"/>
  <c r="L1040" i="10"/>
  <c r="K1040" i="10"/>
  <c r="J1040" i="10"/>
  <c r="O1040" i="10" s="1"/>
  <c r="I1040" i="10"/>
  <c r="H1040" i="10"/>
  <c r="G1040" i="10"/>
  <c r="F1040" i="10"/>
  <c r="Q1040" i="10" s="1"/>
  <c r="R1040" i="10" s="1"/>
  <c r="E1040" i="10"/>
  <c r="D1040" i="10"/>
  <c r="C1040" i="10"/>
  <c r="B1040" i="10"/>
  <c r="A1040" i="10"/>
  <c r="P1039" i="10"/>
  <c r="N1039" i="10"/>
  <c r="M1039" i="10"/>
  <c r="L1039" i="10"/>
  <c r="K1039" i="10"/>
  <c r="J1039" i="10"/>
  <c r="O1039" i="10" s="1"/>
  <c r="R1039" i="10" s="1"/>
  <c r="I1039" i="10"/>
  <c r="H1039" i="10"/>
  <c r="G1039" i="10"/>
  <c r="F1039" i="10"/>
  <c r="Q1039" i="10" s="1"/>
  <c r="E1039" i="10"/>
  <c r="D1039" i="10"/>
  <c r="C1039" i="10"/>
  <c r="B1039" i="10"/>
  <c r="A1039" i="10"/>
  <c r="R1038" i="10"/>
  <c r="Q1038" i="10"/>
  <c r="N1038" i="10"/>
  <c r="M1038" i="10"/>
  <c r="L1038" i="10"/>
  <c r="K1038" i="10"/>
  <c r="J1038" i="10"/>
  <c r="O1038" i="10" s="1"/>
  <c r="I1038" i="10"/>
  <c r="H1038" i="10"/>
  <c r="G1038" i="10"/>
  <c r="F1038" i="10"/>
  <c r="E1038" i="10"/>
  <c r="P1038" i="10" s="1"/>
  <c r="D1038" i="10"/>
  <c r="C1038" i="10"/>
  <c r="B1038" i="10"/>
  <c r="A1038" i="10"/>
  <c r="P1037" i="10"/>
  <c r="N1037" i="10"/>
  <c r="M1037" i="10"/>
  <c r="L1037" i="10"/>
  <c r="K1037" i="10"/>
  <c r="J1037" i="10"/>
  <c r="O1037" i="10" s="1"/>
  <c r="I1037" i="10"/>
  <c r="H1037" i="10"/>
  <c r="G1037" i="10"/>
  <c r="F1037" i="10"/>
  <c r="Q1037" i="10" s="1"/>
  <c r="E1037" i="10"/>
  <c r="D1037" i="10"/>
  <c r="C1037" i="10"/>
  <c r="B1037" i="10"/>
  <c r="A1037" i="10"/>
  <c r="N1036" i="10"/>
  <c r="M1036" i="10"/>
  <c r="L1036" i="10"/>
  <c r="K1036" i="10"/>
  <c r="J1036" i="10"/>
  <c r="O1036" i="10" s="1"/>
  <c r="I1036" i="10"/>
  <c r="H1036" i="10"/>
  <c r="G1036" i="10"/>
  <c r="F1036" i="10"/>
  <c r="Q1036" i="10" s="1"/>
  <c r="R1036" i="10" s="1"/>
  <c r="E1036" i="10"/>
  <c r="P1036" i="10" s="1"/>
  <c r="D1036" i="10"/>
  <c r="C1036" i="10"/>
  <c r="B1036" i="10"/>
  <c r="A1036" i="10"/>
  <c r="P1035" i="10"/>
  <c r="N1035" i="10"/>
  <c r="M1035" i="10"/>
  <c r="L1035" i="10"/>
  <c r="K1035" i="10"/>
  <c r="J1035" i="10"/>
  <c r="O1035" i="10" s="1"/>
  <c r="I1035" i="10"/>
  <c r="H1035" i="10"/>
  <c r="G1035" i="10"/>
  <c r="F1035" i="10"/>
  <c r="Q1035" i="10" s="1"/>
  <c r="E1035" i="10"/>
  <c r="D1035" i="10"/>
  <c r="C1035" i="10"/>
  <c r="B1035" i="10"/>
  <c r="A1035" i="10"/>
  <c r="R1034" i="10"/>
  <c r="Q1034" i="10"/>
  <c r="N1034" i="10"/>
  <c r="M1034" i="10"/>
  <c r="L1034" i="10"/>
  <c r="K1034" i="10"/>
  <c r="J1034" i="10"/>
  <c r="O1034" i="10" s="1"/>
  <c r="I1034" i="10"/>
  <c r="H1034" i="10"/>
  <c r="G1034" i="10"/>
  <c r="F1034" i="10"/>
  <c r="E1034" i="10"/>
  <c r="P1034" i="10" s="1"/>
  <c r="D1034" i="10"/>
  <c r="C1034" i="10"/>
  <c r="B1034" i="10"/>
  <c r="A1034" i="10"/>
  <c r="P1033" i="10"/>
  <c r="N1033" i="10"/>
  <c r="M1033" i="10"/>
  <c r="L1033" i="10"/>
  <c r="K1033" i="10"/>
  <c r="J1033" i="10"/>
  <c r="O1033" i="10" s="1"/>
  <c r="I1033" i="10"/>
  <c r="H1033" i="10"/>
  <c r="G1033" i="10"/>
  <c r="F1033" i="10"/>
  <c r="Q1033" i="10" s="1"/>
  <c r="E1033" i="10"/>
  <c r="D1033" i="10"/>
  <c r="C1033" i="10"/>
  <c r="B1033" i="10"/>
  <c r="A1033" i="10"/>
  <c r="R1032" i="10"/>
  <c r="N1032" i="10"/>
  <c r="M1032" i="10"/>
  <c r="L1032" i="10"/>
  <c r="K1032" i="10"/>
  <c r="J1032" i="10"/>
  <c r="O1032" i="10" s="1"/>
  <c r="I1032" i="10"/>
  <c r="H1032" i="10"/>
  <c r="G1032" i="10"/>
  <c r="F1032" i="10"/>
  <c r="Q1032" i="10" s="1"/>
  <c r="E1032" i="10"/>
  <c r="P1032" i="10" s="1"/>
  <c r="D1032" i="10"/>
  <c r="C1032" i="10"/>
  <c r="B1032" i="10"/>
  <c r="A1032" i="10"/>
  <c r="P1031" i="10"/>
  <c r="N1031" i="10"/>
  <c r="M1031" i="10"/>
  <c r="L1031" i="10"/>
  <c r="K1031" i="10"/>
  <c r="J1031" i="10"/>
  <c r="O1031" i="10" s="1"/>
  <c r="I1031" i="10"/>
  <c r="H1031" i="10"/>
  <c r="G1031" i="10"/>
  <c r="F1031" i="10"/>
  <c r="Q1031" i="10" s="1"/>
  <c r="E1031" i="10"/>
  <c r="D1031" i="10"/>
  <c r="C1031" i="10"/>
  <c r="B1031" i="10"/>
  <c r="A1031" i="10"/>
  <c r="R1030" i="10"/>
  <c r="Q1030" i="10"/>
  <c r="N1030" i="10"/>
  <c r="M1030" i="10"/>
  <c r="L1030" i="10"/>
  <c r="K1030" i="10"/>
  <c r="J1030" i="10"/>
  <c r="O1030" i="10" s="1"/>
  <c r="I1030" i="10"/>
  <c r="H1030" i="10"/>
  <c r="G1030" i="10"/>
  <c r="F1030" i="10"/>
  <c r="E1030" i="10"/>
  <c r="P1030" i="10" s="1"/>
  <c r="D1030" i="10"/>
  <c r="C1030" i="10"/>
  <c r="B1030" i="10"/>
  <c r="A1030" i="10"/>
  <c r="P1029" i="10"/>
  <c r="N1029" i="10"/>
  <c r="M1029" i="10"/>
  <c r="L1029" i="10"/>
  <c r="K1029" i="10"/>
  <c r="J1029" i="10"/>
  <c r="O1029" i="10" s="1"/>
  <c r="I1029" i="10"/>
  <c r="H1029" i="10"/>
  <c r="G1029" i="10"/>
  <c r="F1029" i="10"/>
  <c r="Q1029" i="10" s="1"/>
  <c r="E1029" i="10"/>
  <c r="D1029" i="10"/>
  <c r="C1029" i="10"/>
  <c r="B1029" i="10"/>
  <c r="A1029" i="10"/>
  <c r="R1028" i="10"/>
  <c r="P1028" i="10"/>
  <c r="N1028" i="10"/>
  <c r="M1028" i="10"/>
  <c r="L1028" i="10"/>
  <c r="K1028" i="10"/>
  <c r="J1028" i="10"/>
  <c r="O1028" i="10" s="1"/>
  <c r="I1028" i="10"/>
  <c r="H1028" i="10"/>
  <c r="G1028" i="10"/>
  <c r="F1028" i="10"/>
  <c r="Q1028" i="10" s="1"/>
  <c r="E1028" i="10"/>
  <c r="D1028" i="10"/>
  <c r="C1028" i="10"/>
  <c r="B1028" i="10"/>
  <c r="A1028" i="10"/>
  <c r="P1027" i="10"/>
  <c r="N1027" i="10"/>
  <c r="M1027" i="10"/>
  <c r="L1027" i="10"/>
  <c r="K1027" i="10"/>
  <c r="J1027" i="10"/>
  <c r="O1027" i="10" s="1"/>
  <c r="I1027" i="10"/>
  <c r="H1027" i="10"/>
  <c r="G1027" i="10"/>
  <c r="F1027" i="10"/>
  <c r="Q1027" i="10" s="1"/>
  <c r="E1027" i="10"/>
  <c r="D1027" i="10"/>
  <c r="C1027" i="10"/>
  <c r="B1027" i="10"/>
  <c r="A1027" i="10"/>
  <c r="R1026" i="10"/>
  <c r="Q1026" i="10"/>
  <c r="P1026" i="10"/>
  <c r="N1026" i="10"/>
  <c r="M1026" i="10"/>
  <c r="L1026" i="10"/>
  <c r="K1026" i="10"/>
  <c r="J1026" i="10"/>
  <c r="O1026" i="10" s="1"/>
  <c r="I1026" i="10"/>
  <c r="H1026" i="10"/>
  <c r="G1026" i="10"/>
  <c r="F1026" i="10"/>
  <c r="E1026" i="10"/>
  <c r="D1026" i="10"/>
  <c r="C1026" i="10"/>
  <c r="B1026" i="10"/>
  <c r="A1026" i="10"/>
  <c r="P1025" i="10"/>
  <c r="N1025" i="10"/>
  <c r="M1025" i="10"/>
  <c r="L1025" i="10"/>
  <c r="K1025" i="10"/>
  <c r="J1025" i="10"/>
  <c r="O1025" i="10" s="1"/>
  <c r="I1025" i="10"/>
  <c r="H1025" i="10"/>
  <c r="G1025" i="10"/>
  <c r="F1025" i="10"/>
  <c r="Q1025" i="10" s="1"/>
  <c r="E1025" i="10"/>
  <c r="D1025" i="10"/>
  <c r="C1025" i="10"/>
  <c r="B1025" i="10"/>
  <c r="A1025" i="10"/>
  <c r="P1024" i="10"/>
  <c r="N1024" i="10"/>
  <c r="M1024" i="10"/>
  <c r="L1024" i="10"/>
  <c r="K1024" i="10"/>
  <c r="J1024" i="10"/>
  <c r="O1024" i="10" s="1"/>
  <c r="I1024" i="10"/>
  <c r="H1024" i="10"/>
  <c r="G1024" i="10"/>
  <c r="F1024" i="10"/>
  <c r="Q1024" i="10" s="1"/>
  <c r="R1024" i="10" s="1"/>
  <c r="E1024" i="10"/>
  <c r="D1024" i="10"/>
  <c r="C1024" i="10"/>
  <c r="B1024" i="10"/>
  <c r="A1024" i="10"/>
  <c r="P1023" i="10"/>
  <c r="N1023" i="10"/>
  <c r="M1023" i="10"/>
  <c r="L1023" i="10"/>
  <c r="K1023" i="10"/>
  <c r="J1023" i="10"/>
  <c r="O1023" i="10" s="1"/>
  <c r="I1023" i="10"/>
  <c r="H1023" i="10"/>
  <c r="G1023" i="10"/>
  <c r="F1023" i="10"/>
  <c r="Q1023" i="10" s="1"/>
  <c r="E1023" i="10"/>
  <c r="D1023" i="10"/>
  <c r="C1023" i="10"/>
  <c r="B1023" i="10"/>
  <c r="A1023" i="10"/>
  <c r="R1022" i="10"/>
  <c r="Q1022" i="10"/>
  <c r="P1022" i="10"/>
  <c r="N1022" i="10"/>
  <c r="M1022" i="10"/>
  <c r="L1022" i="10"/>
  <c r="K1022" i="10"/>
  <c r="J1022" i="10"/>
  <c r="O1022" i="10" s="1"/>
  <c r="I1022" i="10"/>
  <c r="H1022" i="10"/>
  <c r="G1022" i="10"/>
  <c r="F1022" i="10"/>
  <c r="E1022" i="10"/>
  <c r="D1022" i="10"/>
  <c r="C1022" i="10"/>
  <c r="B1022" i="10"/>
  <c r="A1022" i="10"/>
  <c r="P1021" i="10"/>
  <c r="N1021" i="10"/>
  <c r="M1021" i="10"/>
  <c r="L1021" i="10"/>
  <c r="K1021" i="10"/>
  <c r="J1021" i="10"/>
  <c r="O1021" i="10" s="1"/>
  <c r="I1021" i="10"/>
  <c r="H1021" i="10"/>
  <c r="G1021" i="10"/>
  <c r="F1021" i="10"/>
  <c r="Q1021" i="10" s="1"/>
  <c r="E1021" i="10"/>
  <c r="D1021" i="10"/>
  <c r="C1021" i="10"/>
  <c r="B1021" i="10"/>
  <c r="A1021" i="10"/>
  <c r="N1020" i="10"/>
  <c r="M1020" i="10"/>
  <c r="L1020" i="10"/>
  <c r="K1020" i="10"/>
  <c r="J1020" i="10"/>
  <c r="O1020" i="10" s="1"/>
  <c r="I1020" i="10"/>
  <c r="H1020" i="10"/>
  <c r="G1020" i="10"/>
  <c r="F1020" i="10"/>
  <c r="Q1020" i="10" s="1"/>
  <c r="R1020" i="10" s="1"/>
  <c r="E1020" i="10"/>
  <c r="P1020" i="10" s="1"/>
  <c r="D1020" i="10"/>
  <c r="C1020" i="10"/>
  <c r="B1020" i="10"/>
  <c r="A1020" i="10"/>
  <c r="P1019" i="10"/>
  <c r="N1019" i="10"/>
  <c r="M1019" i="10"/>
  <c r="L1019" i="10"/>
  <c r="K1019" i="10"/>
  <c r="J1019" i="10"/>
  <c r="O1019" i="10" s="1"/>
  <c r="I1019" i="10"/>
  <c r="H1019" i="10"/>
  <c r="G1019" i="10"/>
  <c r="F1019" i="10"/>
  <c r="Q1019" i="10" s="1"/>
  <c r="E1019" i="10"/>
  <c r="D1019" i="10"/>
  <c r="C1019" i="10"/>
  <c r="B1019" i="10"/>
  <c r="A1019" i="10"/>
  <c r="R1018" i="10"/>
  <c r="P1018" i="10"/>
  <c r="N1018" i="10"/>
  <c r="M1018" i="10"/>
  <c r="L1018" i="10"/>
  <c r="K1018" i="10"/>
  <c r="J1018" i="10"/>
  <c r="O1018" i="10" s="1"/>
  <c r="I1018" i="10"/>
  <c r="H1018" i="10"/>
  <c r="G1018" i="10"/>
  <c r="F1018" i="10"/>
  <c r="Q1018" i="10" s="1"/>
  <c r="E1018" i="10"/>
  <c r="D1018" i="10"/>
  <c r="C1018" i="10"/>
  <c r="B1018" i="10"/>
  <c r="A1018" i="10"/>
  <c r="R1017" i="10"/>
  <c r="P1017" i="10"/>
  <c r="N1017" i="10"/>
  <c r="M1017" i="10"/>
  <c r="L1017" i="10"/>
  <c r="K1017" i="10"/>
  <c r="J1017" i="10"/>
  <c r="O1017" i="10" s="1"/>
  <c r="I1017" i="10"/>
  <c r="H1017" i="10"/>
  <c r="G1017" i="10"/>
  <c r="F1017" i="10"/>
  <c r="Q1017" i="10" s="1"/>
  <c r="E1017" i="10"/>
  <c r="D1017" i="10"/>
  <c r="C1017" i="10"/>
  <c r="B1017" i="10"/>
  <c r="A1017" i="10"/>
  <c r="R1016" i="10"/>
  <c r="P1016" i="10"/>
  <c r="N1016" i="10"/>
  <c r="M1016" i="10"/>
  <c r="L1016" i="10"/>
  <c r="K1016" i="10"/>
  <c r="J1016" i="10"/>
  <c r="O1016" i="10" s="1"/>
  <c r="I1016" i="10"/>
  <c r="H1016" i="10"/>
  <c r="G1016" i="10"/>
  <c r="F1016" i="10"/>
  <c r="Q1016" i="10" s="1"/>
  <c r="E1016" i="10"/>
  <c r="D1016" i="10"/>
  <c r="C1016" i="10"/>
  <c r="B1016" i="10"/>
  <c r="A1016" i="10"/>
  <c r="R1015" i="10"/>
  <c r="P1015" i="10"/>
  <c r="N1015" i="10"/>
  <c r="M1015" i="10"/>
  <c r="L1015" i="10"/>
  <c r="K1015" i="10"/>
  <c r="J1015" i="10"/>
  <c r="O1015" i="10" s="1"/>
  <c r="I1015" i="10"/>
  <c r="H1015" i="10"/>
  <c r="G1015" i="10"/>
  <c r="F1015" i="10"/>
  <c r="Q1015" i="10" s="1"/>
  <c r="E1015" i="10"/>
  <c r="D1015" i="10"/>
  <c r="C1015" i="10"/>
  <c r="B1015" i="10"/>
  <c r="A1015" i="10"/>
  <c r="R1014" i="10"/>
  <c r="P1014" i="10"/>
  <c r="N1014" i="10"/>
  <c r="M1014" i="10"/>
  <c r="L1014" i="10"/>
  <c r="K1014" i="10"/>
  <c r="J1014" i="10"/>
  <c r="O1014" i="10" s="1"/>
  <c r="I1014" i="10"/>
  <c r="H1014" i="10"/>
  <c r="G1014" i="10"/>
  <c r="F1014" i="10"/>
  <c r="Q1014" i="10" s="1"/>
  <c r="E1014" i="10"/>
  <c r="D1014" i="10"/>
  <c r="C1014" i="10"/>
  <c r="B1014" i="10"/>
  <c r="A1014" i="10"/>
  <c r="R1013" i="10"/>
  <c r="P1013" i="10"/>
  <c r="N1013" i="10"/>
  <c r="M1013" i="10"/>
  <c r="L1013" i="10"/>
  <c r="K1013" i="10"/>
  <c r="J1013" i="10"/>
  <c r="O1013" i="10" s="1"/>
  <c r="I1013" i="10"/>
  <c r="H1013" i="10"/>
  <c r="G1013" i="10"/>
  <c r="F1013" i="10"/>
  <c r="Q1013" i="10" s="1"/>
  <c r="E1013" i="10"/>
  <c r="D1013" i="10"/>
  <c r="C1013" i="10"/>
  <c r="B1013" i="10"/>
  <c r="A1013" i="10"/>
  <c r="R1012" i="10"/>
  <c r="P1012" i="10"/>
  <c r="N1012" i="10"/>
  <c r="M1012" i="10"/>
  <c r="L1012" i="10"/>
  <c r="K1012" i="10"/>
  <c r="J1012" i="10"/>
  <c r="O1012" i="10" s="1"/>
  <c r="I1012" i="10"/>
  <c r="H1012" i="10"/>
  <c r="G1012" i="10"/>
  <c r="F1012" i="10"/>
  <c r="Q1012" i="10" s="1"/>
  <c r="E1012" i="10"/>
  <c r="D1012" i="10"/>
  <c r="C1012" i="10"/>
  <c r="B1012" i="10"/>
  <c r="A1012" i="10"/>
  <c r="R1011" i="10"/>
  <c r="P1011" i="10"/>
  <c r="N1011" i="10"/>
  <c r="M1011" i="10"/>
  <c r="L1011" i="10"/>
  <c r="K1011" i="10"/>
  <c r="J1011" i="10"/>
  <c r="O1011" i="10" s="1"/>
  <c r="I1011" i="10"/>
  <c r="H1011" i="10"/>
  <c r="G1011" i="10"/>
  <c r="F1011" i="10"/>
  <c r="Q1011" i="10" s="1"/>
  <c r="E1011" i="10"/>
  <c r="D1011" i="10"/>
  <c r="C1011" i="10"/>
  <c r="B1011" i="10"/>
  <c r="A1011" i="10"/>
  <c r="R1010" i="10"/>
  <c r="P1010" i="10"/>
  <c r="N1010" i="10"/>
  <c r="M1010" i="10"/>
  <c r="L1010" i="10"/>
  <c r="K1010" i="10"/>
  <c r="J1010" i="10"/>
  <c r="O1010" i="10" s="1"/>
  <c r="I1010" i="10"/>
  <c r="H1010" i="10"/>
  <c r="G1010" i="10"/>
  <c r="F1010" i="10"/>
  <c r="Q1010" i="10" s="1"/>
  <c r="E1010" i="10"/>
  <c r="D1010" i="10"/>
  <c r="C1010" i="10"/>
  <c r="B1010" i="10"/>
  <c r="A1010" i="10"/>
  <c r="R1009" i="10"/>
  <c r="P1009" i="10"/>
  <c r="N1009" i="10"/>
  <c r="M1009" i="10"/>
  <c r="L1009" i="10"/>
  <c r="K1009" i="10"/>
  <c r="J1009" i="10"/>
  <c r="O1009" i="10" s="1"/>
  <c r="I1009" i="10"/>
  <c r="H1009" i="10"/>
  <c r="G1009" i="10"/>
  <c r="F1009" i="10"/>
  <c r="Q1009" i="10" s="1"/>
  <c r="E1009" i="10"/>
  <c r="D1009" i="10"/>
  <c r="C1009" i="10"/>
  <c r="B1009" i="10"/>
  <c r="A1009" i="10"/>
  <c r="R1008" i="10"/>
  <c r="P1008" i="10"/>
  <c r="N1008" i="10"/>
  <c r="M1008" i="10"/>
  <c r="L1008" i="10"/>
  <c r="K1008" i="10"/>
  <c r="J1008" i="10"/>
  <c r="O1008" i="10" s="1"/>
  <c r="I1008" i="10"/>
  <c r="H1008" i="10"/>
  <c r="G1008" i="10"/>
  <c r="F1008" i="10"/>
  <c r="Q1008" i="10" s="1"/>
  <c r="E1008" i="10"/>
  <c r="D1008" i="10"/>
  <c r="C1008" i="10"/>
  <c r="B1008" i="10"/>
  <c r="A1008" i="10"/>
  <c r="R1007" i="10"/>
  <c r="P1007" i="10"/>
  <c r="N1007" i="10"/>
  <c r="M1007" i="10"/>
  <c r="L1007" i="10"/>
  <c r="K1007" i="10"/>
  <c r="J1007" i="10"/>
  <c r="O1007" i="10" s="1"/>
  <c r="I1007" i="10"/>
  <c r="H1007" i="10"/>
  <c r="G1007" i="10"/>
  <c r="F1007" i="10"/>
  <c r="Q1007" i="10" s="1"/>
  <c r="E1007" i="10"/>
  <c r="D1007" i="10"/>
  <c r="C1007" i="10"/>
  <c r="B1007" i="10"/>
  <c r="A1007" i="10"/>
  <c r="R1006" i="10"/>
  <c r="P1006" i="10"/>
  <c r="N1006" i="10"/>
  <c r="M1006" i="10"/>
  <c r="L1006" i="10"/>
  <c r="K1006" i="10"/>
  <c r="J1006" i="10"/>
  <c r="O1006" i="10" s="1"/>
  <c r="I1006" i="10"/>
  <c r="H1006" i="10"/>
  <c r="G1006" i="10"/>
  <c r="F1006" i="10"/>
  <c r="Q1006" i="10" s="1"/>
  <c r="E1006" i="10"/>
  <c r="D1006" i="10"/>
  <c r="C1006" i="10"/>
  <c r="B1006" i="10"/>
  <c r="A1006" i="10"/>
  <c r="R1005" i="10"/>
  <c r="P1005" i="10"/>
  <c r="N1005" i="10"/>
  <c r="M1005" i="10"/>
  <c r="L1005" i="10"/>
  <c r="K1005" i="10"/>
  <c r="J1005" i="10"/>
  <c r="O1005" i="10" s="1"/>
  <c r="I1005" i="10"/>
  <c r="H1005" i="10"/>
  <c r="G1005" i="10"/>
  <c r="F1005" i="10"/>
  <c r="Q1005" i="10" s="1"/>
  <c r="E1005" i="10"/>
  <c r="D1005" i="10"/>
  <c r="C1005" i="10"/>
  <c r="B1005" i="10"/>
  <c r="A1005" i="10"/>
  <c r="R1004" i="10"/>
  <c r="P1004" i="10"/>
  <c r="N1004" i="10"/>
  <c r="M1004" i="10"/>
  <c r="L1004" i="10"/>
  <c r="K1004" i="10"/>
  <c r="J1004" i="10"/>
  <c r="O1004" i="10" s="1"/>
  <c r="I1004" i="10"/>
  <c r="H1004" i="10"/>
  <c r="G1004" i="10"/>
  <c r="F1004" i="10"/>
  <c r="Q1004" i="10" s="1"/>
  <c r="E1004" i="10"/>
  <c r="D1004" i="10"/>
  <c r="C1004" i="10"/>
  <c r="B1004" i="10"/>
  <c r="A1004" i="10"/>
  <c r="R1003" i="10"/>
  <c r="P1003" i="10"/>
  <c r="N1003" i="10"/>
  <c r="M1003" i="10"/>
  <c r="L1003" i="10"/>
  <c r="K1003" i="10"/>
  <c r="J1003" i="10"/>
  <c r="O1003" i="10" s="1"/>
  <c r="I1003" i="10"/>
  <c r="H1003" i="10"/>
  <c r="G1003" i="10"/>
  <c r="F1003" i="10"/>
  <c r="Q1003" i="10" s="1"/>
  <c r="E1003" i="10"/>
  <c r="D1003" i="10"/>
  <c r="C1003" i="10"/>
  <c r="B1003" i="10"/>
  <c r="A1003" i="10"/>
  <c r="R1002" i="10"/>
  <c r="P1002" i="10"/>
  <c r="N1002" i="10"/>
  <c r="M1002" i="10"/>
  <c r="L1002" i="10"/>
  <c r="K1002" i="10"/>
  <c r="J1002" i="10"/>
  <c r="O1002" i="10" s="1"/>
  <c r="I1002" i="10"/>
  <c r="H1002" i="10"/>
  <c r="G1002" i="10"/>
  <c r="F1002" i="10"/>
  <c r="Q1002" i="10" s="1"/>
  <c r="E1002" i="10"/>
  <c r="D1002" i="10"/>
  <c r="C1002" i="10"/>
  <c r="B1002" i="10"/>
  <c r="A1002" i="10"/>
  <c r="R1001" i="10"/>
  <c r="P1001" i="10"/>
  <c r="N1001" i="10"/>
  <c r="M1001" i="10"/>
  <c r="L1001" i="10"/>
  <c r="K1001" i="10"/>
  <c r="J1001" i="10"/>
  <c r="O1001" i="10" s="1"/>
  <c r="I1001" i="10"/>
  <c r="H1001" i="10"/>
  <c r="G1001" i="10"/>
  <c r="F1001" i="10"/>
  <c r="Q1001" i="10" s="1"/>
  <c r="E1001" i="10"/>
  <c r="D1001" i="10"/>
  <c r="C1001" i="10"/>
  <c r="B1001" i="10"/>
  <c r="A1001" i="10"/>
  <c r="R1000" i="10"/>
  <c r="P1000" i="10"/>
  <c r="N1000" i="10"/>
  <c r="M1000" i="10"/>
  <c r="L1000" i="10"/>
  <c r="K1000" i="10"/>
  <c r="J1000" i="10"/>
  <c r="O1000" i="10" s="1"/>
  <c r="I1000" i="10"/>
  <c r="H1000" i="10"/>
  <c r="G1000" i="10"/>
  <c r="F1000" i="10"/>
  <c r="Q1000" i="10" s="1"/>
  <c r="E1000" i="10"/>
  <c r="D1000" i="10"/>
  <c r="C1000" i="10"/>
  <c r="B1000" i="10"/>
  <c r="A1000" i="10"/>
  <c r="R999" i="10"/>
  <c r="P999" i="10"/>
  <c r="N999" i="10"/>
  <c r="M999" i="10"/>
  <c r="L999" i="10"/>
  <c r="K999" i="10"/>
  <c r="J999" i="10"/>
  <c r="O999" i="10" s="1"/>
  <c r="I999" i="10"/>
  <c r="H999" i="10"/>
  <c r="G999" i="10"/>
  <c r="F999" i="10"/>
  <c r="Q999" i="10" s="1"/>
  <c r="E999" i="10"/>
  <c r="D999" i="10"/>
  <c r="C999" i="10"/>
  <c r="B999" i="10"/>
  <c r="A999" i="10"/>
  <c r="R998" i="10"/>
  <c r="P998" i="10"/>
  <c r="N998" i="10"/>
  <c r="M998" i="10"/>
  <c r="L998" i="10"/>
  <c r="K998" i="10"/>
  <c r="J998" i="10"/>
  <c r="O998" i="10" s="1"/>
  <c r="I998" i="10"/>
  <c r="H998" i="10"/>
  <c r="G998" i="10"/>
  <c r="F998" i="10"/>
  <c r="Q998" i="10" s="1"/>
  <c r="E998" i="10"/>
  <c r="D998" i="10"/>
  <c r="C998" i="10"/>
  <c r="B998" i="10"/>
  <c r="A998" i="10"/>
  <c r="R997" i="10"/>
  <c r="P997" i="10"/>
  <c r="N997" i="10"/>
  <c r="M997" i="10"/>
  <c r="L997" i="10"/>
  <c r="K997" i="10"/>
  <c r="J997" i="10"/>
  <c r="O997" i="10" s="1"/>
  <c r="I997" i="10"/>
  <c r="H997" i="10"/>
  <c r="G997" i="10"/>
  <c r="F997" i="10"/>
  <c r="Q997" i="10" s="1"/>
  <c r="E997" i="10"/>
  <c r="D997" i="10"/>
  <c r="C997" i="10"/>
  <c r="B997" i="10"/>
  <c r="A997" i="10"/>
  <c r="R996" i="10"/>
  <c r="P996" i="10"/>
  <c r="N996" i="10"/>
  <c r="M996" i="10"/>
  <c r="L996" i="10"/>
  <c r="K996" i="10"/>
  <c r="J996" i="10"/>
  <c r="O996" i="10" s="1"/>
  <c r="I996" i="10"/>
  <c r="H996" i="10"/>
  <c r="G996" i="10"/>
  <c r="F996" i="10"/>
  <c r="Q996" i="10" s="1"/>
  <c r="E996" i="10"/>
  <c r="D996" i="10"/>
  <c r="C996" i="10"/>
  <c r="B996" i="10"/>
  <c r="A996" i="10"/>
  <c r="R995" i="10"/>
  <c r="P995" i="10"/>
  <c r="N995" i="10"/>
  <c r="M995" i="10"/>
  <c r="L995" i="10"/>
  <c r="K995" i="10"/>
  <c r="J995" i="10"/>
  <c r="O995" i="10" s="1"/>
  <c r="I995" i="10"/>
  <c r="H995" i="10"/>
  <c r="G995" i="10"/>
  <c r="F995" i="10"/>
  <c r="Q995" i="10" s="1"/>
  <c r="E995" i="10"/>
  <c r="D995" i="10"/>
  <c r="C995" i="10"/>
  <c r="B995" i="10"/>
  <c r="A995" i="10"/>
  <c r="R994" i="10"/>
  <c r="P994" i="10"/>
  <c r="N994" i="10"/>
  <c r="M994" i="10"/>
  <c r="L994" i="10"/>
  <c r="K994" i="10"/>
  <c r="J994" i="10"/>
  <c r="O994" i="10" s="1"/>
  <c r="I994" i="10"/>
  <c r="H994" i="10"/>
  <c r="G994" i="10"/>
  <c r="F994" i="10"/>
  <c r="Q994" i="10" s="1"/>
  <c r="E994" i="10"/>
  <c r="D994" i="10"/>
  <c r="C994" i="10"/>
  <c r="B994" i="10"/>
  <c r="A994" i="10"/>
  <c r="R993" i="10"/>
  <c r="P993" i="10"/>
  <c r="N993" i="10"/>
  <c r="M993" i="10"/>
  <c r="L993" i="10"/>
  <c r="K993" i="10"/>
  <c r="J993" i="10"/>
  <c r="O993" i="10" s="1"/>
  <c r="I993" i="10"/>
  <c r="H993" i="10"/>
  <c r="G993" i="10"/>
  <c r="F993" i="10"/>
  <c r="Q993" i="10" s="1"/>
  <c r="E993" i="10"/>
  <c r="D993" i="10"/>
  <c r="C993" i="10"/>
  <c r="B993" i="10"/>
  <c r="A993" i="10"/>
  <c r="R992" i="10"/>
  <c r="P992" i="10"/>
  <c r="N992" i="10"/>
  <c r="M992" i="10"/>
  <c r="L992" i="10"/>
  <c r="K992" i="10"/>
  <c r="J992" i="10"/>
  <c r="O992" i="10" s="1"/>
  <c r="I992" i="10"/>
  <c r="H992" i="10"/>
  <c r="G992" i="10"/>
  <c r="F992" i="10"/>
  <c r="Q992" i="10" s="1"/>
  <c r="E992" i="10"/>
  <c r="D992" i="10"/>
  <c r="C992" i="10"/>
  <c r="B992" i="10"/>
  <c r="A992" i="10"/>
  <c r="R991" i="10"/>
  <c r="P991" i="10"/>
  <c r="N991" i="10"/>
  <c r="M991" i="10"/>
  <c r="L991" i="10"/>
  <c r="K991" i="10"/>
  <c r="J991" i="10"/>
  <c r="O991" i="10" s="1"/>
  <c r="I991" i="10"/>
  <c r="H991" i="10"/>
  <c r="G991" i="10"/>
  <c r="F991" i="10"/>
  <c r="Q991" i="10" s="1"/>
  <c r="E991" i="10"/>
  <c r="D991" i="10"/>
  <c r="C991" i="10"/>
  <c r="B991" i="10"/>
  <c r="A991" i="10"/>
  <c r="R990" i="10"/>
  <c r="P990" i="10"/>
  <c r="N990" i="10"/>
  <c r="M990" i="10"/>
  <c r="L990" i="10"/>
  <c r="K990" i="10"/>
  <c r="J990" i="10"/>
  <c r="O990" i="10" s="1"/>
  <c r="I990" i="10"/>
  <c r="H990" i="10"/>
  <c r="G990" i="10"/>
  <c r="F990" i="10"/>
  <c r="Q990" i="10" s="1"/>
  <c r="E990" i="10"/>
  <c r="D990" i="10"/>
  <c r="C990" i="10"/>
  <c r="B990" i="10"/>
  <c r="A990" i="10"/>
  <c r="R989" i="10"/>
  <c r="P989" i="10"/>
  <c r="N989" i="10"/>
  <c r="M989" i="10"/>
  <c r="L989" i="10"/>
  <c r="K989" i="10"/>
  <c r="J989" i="10"/>
  <c r="O989" i="10" s="1"/>
  <c r="I989" i="10"/>
  <c r="H989" i="10"/>
  <c r="G989" i="10"/>
  <c r="F989" i="10"/>
  <c r="Q989" i="10" s="1"/>
  <c r="E989" i="10"/>
  <c r="D989" i="10"/>
  <c r="C989" i="10"/>
  <c r="B989" i="10"/>
  <c r="A989" i="10"/>
  <c r="R988" i="10"/>
  <c r="P988" i="10"/>
  <c r="N988" i="10"/>
  <c r="M988" i="10"/>
  <c r="L988" i="10"/>
  <c r="K988" i="10"/>
  <c r="J988" i="10"/>
  <c r="O988" i="10" s="1"/>
  <c r="I988" i="10"/>
  <c r="H988" i="10"/>
  <c r="G988" i="10"/>
  <c r="F988" i="10"/>
  <c r="Q988" i="10" s="1"/>
  <c r="E988" i="10"/>
  <c r="D988" i="10"/>
  <c r="C988" i="10"/>
  <c r="B988" i="10"/>
  <c r="A988" i="10"/>
  <c r="R987" i="10"/>
  <c r="P987" i="10"/>
  <c r="N987" i="10"/>
  <c r="M987" i="10"/>
  <c r="L987" i="10"/>
  <c r="K987" i="10"/>
  <c r="J987" i="10"/>
  <c r="O987" i="10" s="1"/>
  <c r="I987" i="10"/>
  <c r="H987" i="10"/>
  <c r="G987" i="10"/>
  <c r="F987" i="10"/>
  <c r="Q987" i="10" s="1"/>
  <c r="E987" i="10"/>
  <c r="D987" i="10"/>
  <c r="C987" i="10"/>
  <c r="B987" i="10"/>
  <c r="A987" i="10"/>
  <c r="R986" i="10"/>
  <c r="P986" i="10"/>
  <c r="N986" i="10"/>
  <c r="M986" i="10"/>
  <c r="L986" i="10"/>
  <c r="K986" i="10"/>
  <c r="J986" i="10"/>
  <c r="O986" i="10" s="1"/>
  <c r="I986" i="10"/>
  <c r="H986" i="10"/>
  <c r="G986" i="10"/>
  <c r="F986" i="10"/>
  <c r="Q986" i="10" s="1"/>
  <c r="E986" i="10"/>
  <c r="D986" i="10"/>
  <c r="C986" i="10"/>
  <c r="B986" i="10"/>
  <c r="A986" i="10"/>
  <c r="R985" i="10"/>
  <c r="P985" i="10"/>
  <c r="N985" i="10"/>
  <c r="M985" i="10"/>
  <c r="L985" i="10"/>
  <c r="K985" i="10"/>
  <c r="J985" i="10"/>
  <c r="O985" i="10" s="1"/>
  <c r="I985" i="10"/>
  <c r="H985" i="10"/>
  <c r="G985" i="10"/>
  <c r="F985" i="10"/>
  <c r="Q985" i="10" s="1"/>
  <c r="E985" i="10"/>
  <c r="D985" i="10"/>
  <c r="C985" i="10"/>
  <c r="B985" i="10"/>
  <c r="A985" i="10"/>
  <c r="R984" i="10"/>
  <c r="P984" i="10"/>
  <c r="N984" i="10"/>
  <c r="M984" i="10"/>
  <c r="L984" i="10"/>
  <c r="K984" i="10"/>
  <c r="J984" i="10"/>
  <c r="O984" i="10" s="1"/>
  <c r="I984" i="10"/>
  <c r="H984" i="10"/>
  <c r="G984" i="10"/>
  <c r="F984" i="10"/>
  <c r="Q984" i="10" s="1"/>
  <c r="E984" i="10"/>
  <c r="D984" i="10"/>
  <c r="C984" i="10"/>
  <c r="B984" i="10"/>
  <c r="A984" i="10"/>
  <c r="R983" i="10"/>
  <c r="P983" i="10"/>
  <c r="N983" i="10"/>
  <c r="M983" i="10"/>
  <c r="L983" i="10"/>
  <c r="K983" i="10"/>
  <c r="J983" i="10"/>
  <c r="O983" i="10" s="1"/>
  <c r="I983" i="10"/>
  <c r="H983" i="10"/>
  <c r="G983" i="10"/>
  <c r="F983" i="10"/>
  <c r="Q983" i="10" s="1"/>
  <c r="E983" i="10"/>
  <c r="D983" i="10"/>
  <c r="C983" i="10"/>
  <c r="B983" i="10"/>
  <c r="A983" i="10"/>
  <c r="R982" i="10"/>
  <c r="P982" i="10"/>
  <c r="N982" i="10"/>
  <c r="M982" i="10"/>
  <c r="L982" i="10"/>
  <c r="K982" i="10"/>
  <c r="J982" i="10"/>
  <c r="O982" i="10" s="1"/>
  <c r="I982" i="10"/>
  <c r="H982" i="10"/>
  <c r="G982" i="10"/>
  <c r="F982" i="10"/>
  <c r="Q982" i="10" s="1"/>
  <c r="E982" i="10"/>
  <c r="D982" i="10"/>
  <c r="C982" i="10"/>
  <c r="B982" i="10"/>
  <c r="A982" i="10"/>
  <c r="R981" i="10"/>
  <c r="P981" i="10"/>
  <c r="N981" i="10"/>
  <c r="M981" i="10"/>
  <c r="L981" i="10"/>
  <c r="K981" i="10"/>
  <c r="J981" i="10"/>
  <c r="O981" i="10" s="1"/>
  <c r="I981" i="10"/>
  <c r="H981" i="10"/>
  <c r="G981" i="10"/>
  <c r="F981" i="10"/>
  <c r="Q981" i="10" s="1"/>
  <c r="E981" i="10"/>
  <c r="D981" i="10"/>
  <c r="C981" i="10"/>
  <c r="B981" i="10"/>
  <c r="A981" i="10"/>
  <c r="R980" i="10"/>
  <c r="P980" i="10"/>
  <c r="N980" i="10"/>
  <c r="M980" i="10"/>
  <c r="L980" i="10"/>
  <c r="K980" i="10"/>
  <c r="J980" i="10"/>
  <c r="O980" i="10" s="1"/>
  <c r="I980" i="10"/>
  <c r="H980" i="10"/>
  <c r="G980" i="10"/>
  <c r="F980" i="10"/>
  <c r="Q980" i="10" s="1"/>
  <c r="E980" i="10"/>
  <c r="D980" i="10"/>
  <c r="C980" i="10"/>
  <c r="B980" i="10"/>
  <c r="A980" i="10"/>
  <c r="R979" i="10"/>
  <c r="P979" i="10"/>
  <c r="N979" i="10"/>
  <c r="M979" i="10"/>
  <c r="L979" i="10"/>
  <c r="K979" i="10"/>
  <c r="J979" i="10"/>
  <c r="O979" i="10" s="1"/>
  <c r="I979" i="10"/>
  <c r="H979" i="10"/>
  <c r="G979" i="10"/>
  <c r="F979" i="10"/>
  <c r="Q979" i="10" s="1"/>
  <c r="E979" i="10"/>
  <c r="D979" i="10"/>
  <c r="C979" i="10"/>
  <c r="B979" i="10"/>
  <c r="A979" i="10"/>
  <c r="R978" i="10"/>
  <c r="P978" i="10"/>
  <c r="N978" i="10"/>
  <c r="M978" i="10"/>
  <c r="L978" i="10"/>
  <c r="K978" i="10"/>
  <c r="J978" i="10"/>
  <c r="O978" i="10" s="1"/>
  <c r="I978" i="10"/>
  <c r="H978" i="10"/>
  <c r="G978" i="10"/>
  <c r="F978" i="10"/>
  <c r="Q978" i="10" s="1"/>
  <c r="E978" i="10"/>
  <c r="D978" i="10"/>
  <c r="C978" i="10"/>
  <c r="B978" i="10"/>
  <c r="A978" i="10"/>
  <c r="R977" i="10"/>
  <c r="P977" i="10"/>
  <c r="N977" i="10"/>
  <c r="M977" i="10"/>
  <c r="L977" i="10"/>
  <c r="K977" i="10"/>
  <c r="J977" i="10"/>
  <c r="O977" i="10" s="1"/>
  <c r="I977" i="10"/>
  <c r="H977" i="10"/>
  <c r="G977" i="10"/>
  <c r="F977" i="10"/>
  <c r="Q977" i="10" s="1"/>
  <c r="E977" i="10"/>
  <c r="D977" i="10"/>
  <c r="C977" i="10"/>
  <c r="B977" i="10"/>
  <c r="A977" i="10"/>
  <c r="R976" i="10"/>
  <c r="P976" i="10"/>
  <c r="N976" i="10"/>
  <c r="M976" i="10"/>
  <c r="L976" i="10"/>
  <c r="K976" i="10"/>
  <c r="J976" i="10"/>
  <c r="O976" i="10" s="1"/>
  <c r="I976" i="10"/>
  <c r="H976" i="10"/>
  <c r="G976" i="10"/>
  <c r="F976" i="10"/>
  <c r="Q976" i="10" s="1"/>
  <c r="E976" i="10"/>
  <c r="D976" i="10"/>
  <c r="C976" i="10"/>
  <c r="B976" i="10"/>
  <c r="A976" i="10"/>
  <c r="R975" i="10"/>
  <c r="P975" i="10"/>
  <c r="N975" i="10"/>
  <c r="M975" i="10"/>
  <c r="L975" i="10"/>
  <c r="K975" i="10"/>
  <c r="J975" i="10"/>
  <c r="O975" i="10" s="1"/>
  <c r="I975" i="10"/>
  <c r="H975" i="10"/>
  <c r="G975" i="10"/>
  <c r="F975" i="10"/>
  <c r="Q975" i="10" s="1"/>
  <c r="E975" i="10"/>
  <c r="D975" i="10"/>
  <c r="C975" i="10"/>
  <c r="B975" i="10"/>
  <c r="A975" i="10"/>
  <c r="R974" i="10"/>
  <c r="P974" i="10"/>
  <c r="N974" i="10"/>
  <c r="M974" i="10"/>
  <c r="L974" i="10"/>
  <c r="K974" i="10"/>
  <c r="J974" i="10"/>
  <c r="O974" i="10" s="1"/>
  <c r="I974" i="10"/>
  <c r="H974" i="10"/>
  <c r="G974" i="10"/>
  <c r="F974" i="10"/>
  <c r="Q974" i="10" s="1"/>
  <c r="E974" i="10"/>
  <c r="D974" i="10"/>
  <c r="C974" i="10"/>
  <c r="B974" i="10"/>
  <c r="A974" i="10"/>
  <c r="R973" i="10"/>
  <c r="P973" i="10"/>
  <c r="N973" i="10"/>
  <c r="M973" i="10"/>
  <c r="L973" i="10"/>
  <c r="K973" i="10"/>
  <c r="J973" i="10"/>
  <c r="O973" i="10" s="1"/>
  <c r="I973" i="10"/>
  <c r="H973" i="10"/>
  <c r="G973" i="10"/>
  <c r="F973" i="10"/>
  <c r="Q973" i="10" s="1"/>
  <c r="E973" i="10"/>
  <c r="D973" i="10"/>
  <c r="C973" i="10"/>
  <c r="B973" i="10"/>
  <c r="A973" i="10"/>
  <c r="R972" i="10"/>
  <c r="P972" i="10"/>
  <c r="N972" i="10"/>
  <c r="M972" i="10"/>
  <c r="L972" i="10"/>
  <c r="K972" i="10"/>
  <c r="J972" i="10"/>
  <c r="O972" i="10" s="1"/>
  <c r="I972" i="10"/>
  <c r="H972" i="10"/>
  <c r="G972" i="10"/>
  <c r="F972" i="10"/>
  <c r="Q972" i="10" s="1"/>
  <c r="E972" i="10"/>
  <c r="D972" i="10"/>
  <c r="C972" i="10"/>
  <c r="B972" i="10"/>
  <c r="A972" i="10"/>
  <c r="R971" i="10"/>
  <c r="P971" i="10"/>
  <c r="N971" i="10"/>
  <c r="M971" i="10"/>
  <c r="L971" i="10"/>
  <c r="K971" i="10"/>
  <c r="J971" i="10"/>
  <c r="O971" i="10" s="1"/>
  <c r="I971" i="10"/>
  <c r="H971" i="10"/>
  <c r="G971" i="10"/>
  <c r="F971" i="10"/>
  <c r="Q971" i="10" s="1"/>
  <c r="E971" i="10"/>
  <c r="D971" i="10"/>
  <c r="C971" i="10"/>
  <c r="B971" i="10"/>
  <c r="A971" i="10"/>
  <c r="R970" i="10"/>
  <c r="P970" i="10"/>
  <c r="N970" i="10"/>
  <c r="M970" i="10"/>
  <c r="L970" i="10"/>
  <c r="K970" i="10"/>
  <c r="J970" i="10"/>
  <c r="O970" i="10" s="1"/>
  <c r="I970" i="10"/>
  <c r="H970" i="10"/>
  <c r="G970" i="10"/>
  <c r="F970" i="10"/>
  <c r="Q970" i="10" s="1"/>
  <c r="E970" i="10"/>
  <c r="D970" i="10"/>
  <c r="C970" i="10"/>
  <c r="B970" i="10"/>
  <c r="A970" i="10"/>
  <c r="R969" i="10"/>
  <c r="P969" i="10"/>
  <c r="N969" i="10"/>
  <c r="M969" i="10"/>
  <c r="L969" i="10"/>
  <c r="K969" i="10"/>
  <c r="J969" i="10"/>
  <c r="O969" i="10" s="1"/>
  <c r="I969" i="10"/>
  <c r="H969" i="10"/>
  <c r="G969" i="10"/>
  <c r="F969" i="10"/>
  <c r="Q969" i="10" s="1"/>
  <c r="E969" i="10"/>
  <c r="D969" i="10"/>
  <c r="C969" i="10"/>
  <c r="B969" i="10"/>
  <c r="A969" i="10"/>
  <c r="R968" i="10"/>
  <c r="P968" i="10"/>
  <c r="N968" i="10"/>
  <c r="M968" i="10"/>
  <c r="L968" i="10"/>
  <c r="K968" i="10"/>
  <c r="J968" i="10"/>
  <c r="O968" i="10" s="1"/>
  <c r="I968" i="10"/>
  <c r="H968" i="10"/>
  <c r="G968" i="10"/>
  <c r="F968" i="10"/>
  <c r="Q968" i="10" s="1"/>
  <c r="E968" i="10"/>
  <c r="D968" i="10"/>
  <c r="C968" i="10"/>
  <c r="B968" i="10"/>
  <c r="A968" i="10"/>
  <c r="R967" i="10"/>
  <c r="P967" i="10"/>
  <c r="N967" i="10"/>
  <c r="M967" i="10"/>
  <c r="L967" i="10"/>
  <c r="K967" i="10"/>
  <c r="J967" i="10"/>
  <c r="O967" i="10" s="1"/>
  <c r="I967" i="10"/>
  <c r="H967" i="10"/>
  <c r="G967" i="10"/>
  <c r="F967" i="10"/>
  <c r="Q967" i="10" s="1"/>
  <c r="E967" i="10"/>
  <c r="D967" i="10"/>
  <c r="C967" i="10"/>
  <c r="B967" i="10"/>
  <c r="A967" i="10"/>
  <c r="R966" i="10"/>
  <c r="P966" i="10"/>
  <c r="N966" i="10"/>
  <c r="M966" i="10"/>
  <c r="L966" i="10"/>
  <c r="K966" i="10"/>
  <c r="J966" i="10"/>
  <c r="O966" i="10" s="1"/>
  <c r="I966" i="10"/>
  <c r="H966" i="10"/>
  <c r="G966" i="10"/>
  <c r="F966" i="10"/>
  <c r="Q966" i="10" s="1"/>
  <c r="E966" i="10"/>
  <c r="D966" i="10"/>
  <c r="C966" i="10"/>
  <c r="B966" i="10"/>
  <c r="A966" i="10"/>
  <c r="R965" i="10"/>
  <c r="P965" i="10"/>
  <c r="N965" i="10"/>
  <c r="M965" i="10"/>
  <c r="L965" i="10"/>
  <c r="K965" i="10"/>
  <c r="J965" i="10"/>
  <c r="O965" i="10" s="1"/>
  <c r="I965" i="10"/>
  <c r="H965" i="10"/>
  <c r="G965" i="10"/>
  <c r="F965" i="10"/>
  <c r="Q965" i="10" s="1"/>
  <c r="E965" i="10"/>
  <c r="D965" i="10"/>
  <c r="C965" i="10"/>
  <c r="B965" i="10"/>
  <c r="A965" i="10"/>
  <c r="R964" i="10"/>
  <c r="P964" i="10"/>
  <c r="N964" i="10"/>
  <c r="M964" i="10"/>
  <c r="L964" i="10"/>
  <c r="K964" i="10"/>
  <c r="J964" i="10"/>
  <c r="O964" i="10" s="1"/>
  <c r="I964" i="10"/>
  <c r="H964" i="10"/>
  <c r="G964" i="10"/>
  <c r="F964" i="10"/>
  <c r="Q964" i="10" s="1"/>
  <c r="E964" i="10"/>
  <c r="D964" i="10"/>
  <c r="C964" i="10"/>
  <c r="B964" i="10"/>
  <c r="A964" i="10"/>
  <c r="R963" i="10"/>
  <c r="P963" i="10"/>
  <c r="N963" i="10"/>
  <c r="M963" i="10"/>
  <c r="L963" i="10"/>
  <c r="K963" i="10"/>
  <c r="J963" i="10"/>
  <c r="O963" i="10" s="1"/>
  <c r="I963" i="10"/>
  <c r="H963" i="10"/>
  <c r="G963" i="10"/>
  <c r="F963" i="10"/>
  <c r="Q963" i="10" s="1"/>
  <c r="E963" i="10"/>
  <c r="D963" i="10"/>
  <c r="C963" i="10"/>
  <c r="B963" i="10"/>
  <c r="A963" i="10"/>
  <c r="R962" i="10"/>
  <c r="P962" i="10"/>
  <c r="N962" i="10"/>
  <c r="M962" i="10"/>
  <c r="L962" i="10"/>
  <c r="K962" i="10"/>
  <c r="J962" i="10"/>
  <c r="O962" i="10" s="1"/>
  <c r="I962" i="10"/>
  <c r="H962" i="10"/>
  <c r="G962" i="10"/>
  <c r="F962" i="10"/>
  <c r="Q962" i="10" s="1"/>
  <c r="E962" i="10"/>
  <c r="D962" i="10"/>
  <c r="C962" i="10"/>
  <c r="B962" i="10"/>
  <c r="A962" i="10"/>
  <c r="R961" i="10"/>
  <c r="P961" i="10"/>
  <c r="N961" i="10"/>
  <c r="M961" i="10"/>
  <c r="L961" i="10"/>
  <c r="K961" i="10"/>
  <c r="J961" i="10"/>
  <c r="O961" i="10" s="1"/>
  <c r="I961" i="10"/>
  <c r="H961" i="10"/>
  <c r="G961" i="10"/>
  <c r="F961" i="10"/>
  <c r="Q961" i="10" s="1"/>
  <c r="E961" i="10"/>
  <c r="D961" i="10"/>
  <c r="C961" i="10"/>
  <c r="B961" i="10"/>
  <c r="A961" i="10"/>
  <c r="R960" i="10"/>
  <c r="P960" i="10"/>
  <c r="N960" i="10"/>
  <c r="M960" i="10"/>
  <c r="L960" i="10"/>
  <c r="K960" i="10"/>
  <c r="J960" i="10"/>
  <c r="O960" i="10" s="1"/>
  <c r="I960" i="10"/>
  <c r="H960" i="10"/>
  <c r="G960" i="10"/>
  <c r="F960" i="10"/>
  <c r="Q960" i="10" s="1"/>
  <c r="E960" i="10"/>
  <c r="D960" i="10"/>
  <c r="C960" i="10"/>
  <c r="B960" i="10"/>
  <c r="A960" i="10"/>
  <c r="R959" i="10"/>
  <c r="P959" i="10"/>
  <c r="N959" i="10"/>
  <c r="M959" i="10"/>
  <c r="L959" i="10"/>
  <c r="K959" i="10"/>
  <c r="J959" i="10"/>
  <c r="O959" i="10" s="1"/>
  <c r="I959" i="10"/>
  <c r="H959" i="10"/>
  <c r="G959" i="10"/>
  <c r="F959" i="10"/>
  <c r="Q959" i="10" s="1"/>
  <c r="E959" i="10"/>
  <c r="D959" i="10"/>
  <c r="C959" i="10"/>
  <c r="B959" i="10"/>
  <c r="A959" i="10"/>
  <c r="R958" i="10"/>
  <c r="P958" i="10"/>
  <c r="N958" i="10"/>
  <c r="M958" i="10"/>
  <c r="L958" i="10"/>
  <c r="K958" i="10"/>
  <c r="J958" i="10"/>
  <c r="O958" i="10" s="1"/>
  <c r="I958" i="10"/>
  <c r="H958" i="10"/>
  <c r="G958" i="10"/>
  <c r="F958" i="10"/>
  <c r="Q958" i="10" s="1"/>
  <c r="E958" i="10"/>
  <c r="D958" i="10"/>
  <c r="C958" i="10"/>
  <c r="B958" i="10"/>
  <c r="A958" i="10"/>
  <c r="R957" i="10"/>
  <c r="P957" i="10"/>
  <c r="N957" i="10"/>
  <c r="M957" i="10"/>
  <c r="L957" i="10"/>
  <c r="K957" i="10"/>
  <c r="J957" i="10"/>
  <c r="O957" i="10" s="1"/>
  <c r="I957" i="10"/>
  <c r="H957" i="10"/>
  <c r="G957" i="10"/>
  <c r="F957" i="10"/>
  <c r="Q957" i="10" s="1"/>
  <c r="E957" i="10"/>
  <c r="D957" i="10"/>
  <c r="C957" i="10"/>
  <c r="B957" i="10"/>
  <c r="A957" i="10"/>
  <c r="R956" i="10"/>
  <c r="P956" i="10"/>
  <c r="N956" i="10"/>
  <c r="M956" i="10"/>
  <c r="L956" i="10"/>
  <c r="K956" i="10"/>
  <c r="J956" i="10"/>
  <c r="O956" i="10" s="1"/>
  <c r="I956" i="10"/>
  <c r="H956" i="10"/>
  <c r="G956" i="10"/>
  <c r="F956" i="10"/>
  <c r="Q956" i="10" s="1"/>
  <c r="E956" i="10"/>
  <c r="D956" i="10"/>
  <c r="C956" i="10"/>
  <c r="B956" i="10"/>
  <c r="A956" i="10"/>
  <c r="R955" i="10"/>
  <c r="P955" i="10"/>
  <c r="N955" i="10"/>
  <c r="M955" i="10"/>
  <c r="L955" i="10"/>
  <c r="K955" i="10"/>
  <c r="J955" i="10"/>
  <c r="O955" i="10" s="1"/>
  <c r="I955" i="10"/>
  <c r="H955" i="10"/>
  <c r="G955" i="10"/>
  <c r="F955" i="10"/>
  <c r="Q955" i="10" s="1"/>
  <c r="E955" i="10"/>
  <c r="D955" i="10"/>
  <c r="C955" i="10"/>
  <c r="B955" i="10"/>
  <c r="A955" i="10"/>
  <c r="R954" i="10"/>
  <c r="P954" i="10"/>
  <c r="N954" i="10"/>
  <c r="M954" i="10"/>
  <c r="L954" i="10"/>
  <c r="K954" i="10"/>
  <c r="J954" i="10"/>
  <c r="O954" i="10" s="1"/>
  <c r="I954" i="10"/>
  <c r="H954" i="10"/>
  <c r="G954" i="10"/>
  <c r="F954" i="10"/>
  <c r="Q954" i="10" s="1"/>
  <c r="E954" i="10"/>
  <c r="D954" i="10"/>
  <c r="C954" i="10"/>
  <c r="B954" i="10"/>
  <c r="A954" i="10"/>
  <c r="R953" i="10"/>
  <c r="P953" i="10"/>
  <c r="N953" i="10"/>
  <c r="M953" i="10"/>
  <c r="L953" i="10"/>
  <c r="K953" i="10"/>
  <c r="J953" i="10"/>
  <c r="O953" i="10" s="1"/>
  <c r="I953" i="10"/>
  <c r="H953" i="10"/>
  <c r="G953" i="10"/>
  <c r="F953" i="10"/>
  <c r="Q953" i="10" s="1"/>
  <c r="E953" i="10"/>
  <c r="D953" i="10"/>
  <c r="C953" i="10"/>
  <c r="B953" i="10"/>
  <c r="A953" i="10"/>
  <c r="R952" i="10"/>
  <c r="P952" i="10"/>
  <c r="N952" i="10"/>
  <c r="M952" i="10"/>
  <c r="L952" i="10"/>
  <c r="K952" i="10"/>
  <c r="J952" i="10"/>
  <c r="O952" i="10" s="1"/>
  <c r="I952" i="10"/>
  <c r="H952" i="10"/>
  <c r="G952" i="10"/>
  <c r="F952" i="10"/>
  <c r="Q952" i="10" s="1"/>
  <c r="E952" i="10"/>
  <c r="D952" i="10"/>
  <c r="C952" i="10"/>
  <c r="B952" i="10"/>
  <c r="A952" i="10"/>
  <c r="R951" i="10"/>
  <c r="P951" i="10"/>
  <c r="N951" i="10"/>
  <c r="M951" i="10"/>
  <c r="L951" i="10"/>
  <c r="K951" i="10"/>
  <c r="J951" i="10"/>
  <c r="O951" i="10" s="1"/>
  <c r="I951" i="10"/>
  <c r="H951" i="10"/>
  <c r="G951" i="10"/>
  <c r="F951" i="10"/>
  <c r="Q951" i="10" s="1"/>
  <c r="E951" i="10"/>
  <c r="D951" i="10"/>
  <c r="C951" i="10"/>
  <c r="B951" i="10"/>
  <c r="A951" i="10"/>
  <c r="R950" i="10"/>
  <c r="P950" i="10"/>
  <c r="N950" i="10"/>
  <c r="M950" i="10"/>
  <c r="L950" i="10"/>
  <c r="K950" i="10"/>
  <c r="J950" i="10"/>
  <c r="O950" i="10" s="1"/>
  <c r="I950" i="10"/>
  <c r="H950" i="10"/>
  <c r="G950" i="10"/>
  <c r="F950" i="10"/>
  <c r="Q950" i="10" s="1"/>
  <c r="E950" i="10"/>
  <c r="D950" i="10"/>
  <c r="C950" i="10"/>
  <c r="B950" i="10"/>
  <c r="A950" i="10"/>
  <c r="R949" i="10"/>
  <c r="P949" i="10"/>
  <c r="N949" i="10"/>
  <c r="M949" i="10"/>
  <c r="L949" i="10"/>
  <c r="K949" i="10"/>
  <c r="J949" i="10"/>
  <c r="O949" i="10" s="1"/>
  <c r="I949" i="10"/>
  <c r="H949" i="10"/>
  <c r="G949" i="10"/>
  <c r="F949" i="10"/>
  <c r="Q949" i="10" s="1"/>
  <c r="E949" i="10"/>
  <c r="D949" i="10"/>
  <c r="C949" i="10"/>
  <c r="B949" i="10"/>
  <c r="A949" i="10"/>
  <c r="R948" i="10"/>
  <c r="P948" i="10"/>
  <c r="N948" i="10"/>
  <c r="M948" i="10"/>
  <c r="L948" i="10"/>
  <c r="K948" i="10"/>
  <c r="J948" i="10"/>
  <c r="O948" i="10" s="1"/>
  <c r="I948" i="10"/>
  <c r="H948" i="10"/>
  <c r="G948" i="10"/>
  <c r="F948" i="10"/>
  <c r="Q948" i="10" s="1"/>
  <c r="E948" i="10"/>
  <c r="D948" i="10"/>
  <c r="C948" i="10"/>
  <c r="B948" i="10"/>
  <c r="A948" i="10"/>
  <c r="R947" i="10"/>
  <c r="P947" i="10"/>
  <c r="N947" i="10"/>
  <c r="M947" i="10"/>
  <c r="L947" i="10"/>
  <c r="K947" i="10"/>
  <c r="J947" i="10"/>
  <c r="O947" i="10" s="1"/>
  <c r="I947" i="10"/>
  <c r="H947" i="10"/>
  <c r="G947" i="10"/>
  <c r="F947" i="10"/>
  <c r="Q947" i="10" s="1"/>
  <c r="E947" i="10"/>
  <c r="D947" i="10"/>
  <c r="C947" i="10"/>
  <c r="B947" i="10"/>
  <c r="A947" i="10"/>
  <c r="R946" i="10"/>
  <c r="P946" i="10"/>
  <c r="N946" i="10"/>
  <c r="M946" i="10"/>
  <c r="L946" i="10"/>
  <c r="K946" i="10"/>
  <c r="J946" i="10"/>
  <c r="O946" i="10" s="1"/>
  <c r="I946" i="10"/>
  <c r="H946" i="10"/>
  <c r="G946" i="10"/>
  <c r="F946" i="10"/>
  <c r="Q946" i="10" s="1"/>
  <c r="E946" i="10"/>
  <c r="D946" i="10"/>
  <c r="C946" i="10"/>
  <c r="B946" i="10"/>
  <c r="A946" i="10"/>
  <c r="R945" i="10"/>
  <c r="P945" i="10"/>
  <c r="N945" i="10"/>
  <c r="M945" i="10"/>
  <c r="L945" i="10"/>
  <c r="K945" i="10"/>
  <c r="J945" i="10"/>
  <c r="O945" i="10" s="1"/>
  <c r="I945" i="10"/>
  <c r="H945" i="10"/>
  <c r="G945" i="10"/>
  <c r="F945" i="10"/>
  <c r="Q945" i="10" s="1"/>
  <c r="E945" i="10"/>
  <c r="D945" i="10"/>
  <c r="C945" i="10"/>
  <c r="B945" i="10"/>
  <c r="A945" i="10"/>
  <c r="R944" i="10"/>
  <c r="P944" i="10"/>
  <c r="N944" i="10"/>
  <c r="M944" i="10"/>
  <c r="L944" i="10"/>
  <c r="K944" i="10"/>
  <c r="J944" i="10"/>
  <c r="O944" i="10" s="1"/>
  <c r="I944" i="10"/>
  <c r="H944" i="10"/>
  <c r="G944" i="10"/>
  <c r="F944" i="10"/>
  <c r="Q944" i="10" s="1"/>
  <c r="E944" i="10"/>
  <c r="D944" i="10"/>
  <c r="C944" i="10"/>
  <c r="B944" i="10"/>
  <c r="A944" i="10"/>
  <c r="R943" i="10"/>
  <c r="P943" i="10"/>
  <c r="N943" i="10"/>
  <c r="M943" i="10"/>
  <c r="L943" i="10"/>
  <c r="K943" i="10"/>
  <c r="J943" i="10"/>
  <c r="O943" i="10" s="1"/>
  <c r="I943" i="10"/>
  <c r="H943" i="10"/>
  <c r="G943" i="10"/>
  <c r="F943" i="10"/>
  <c r="Q943" i="10" s="1"/>
  <c r="E943" i="10"/>
  <c r="D943" i="10"/>
  <c r="C943" i="10"/>
  <c r="B943" i="10"/>
  <c r="A943" i="10"/>
  <c r="R942" i="10"/>
  <c r="P942" i="10"/>
  <c r="N942" i="10"/>
  <c r="M942" i="10"/>
  <c r="L942" i="10"/>
  <c r="K942" i="10"/>
  <c r="J942" i="10"/>
  <c r="O942" i="10" s="1"/>
  <c r="I942" i="10"/>
  <c r="H942" i="10"/>
  <c r="G942" i="10"/>
  <c r="F942" i="10"/>
  <c r="Q942" i="10" s="1"/>
  <c r="E942" i="10"/>
  <c r="D942" i="10"/>
  <c r="C942" i="10"/>
  <c r="B942" i="10"/>
  <c r="A942" i="10"/>
  <c r="R941" i="10"/>
  <c r="P941" i="10"/>
  <c r="N941" i="10"/>
  <c r="M941" i="10"/>
  <c r="L941" i="10"/>
  <c r="K941" i="10"/>
  <c r="J941" i="10"/>
  <c r="O941" i="10" s="1"/>
  <c r="I941" i="10"/>
  <c r="H941" i="10"/>
  <c r="G941" i="10"/>
  <c r="F941" i="10"/>
  <c r="Q941" i="10" s="1"/>
  <c r="E941" i="10"/>
  <c r="D941" i="10"/>
  <c r="C941" i="10"/>
  <c r="B941" i="10"/>
  <c r="A941" i="10"/>
  <c r="R940" i="10"/>
  <c r="P940" i="10"/>
  <c r="N940" i="10"/>
  <c r="M940" i="10"/>
  <c r="L940" i="10"/>
  <c r="K940" i="10"/>
  <c r="J940" i="10"/>
  <c r="O940" i="10" s="1"/>
  <c r="I940" i="10"/>
  <c r="H940" i="10"/>
  <c r="G940" i="10"/>
  <c r="F940" i="10"/>
  <c r="Q940" i="10" s="1"/>
  <c r="E940" i="10"/>
  <c r="D940" i="10"/>
  <c r="C940" i="10"/>
  <c r="B940" i="10"/>
  <c r="A940" i="10"/>
  <c r="R939" i="10"/>
  <c r="P939" i="10"/>
  <c r="N939" i="10"/>
  <c r="M939" i="10"/>
  <c r="L939" i="10"/>
  <c r="K939" i="10"/>
  <c r="J939" i="10"/>
  <c r="O939" i="10" s="1"/>
  <c r="I939" i="10"/>
  <c r="H939" i="10"/>
  <c r="G939" i="10"/>
  <c r="F939" i="10"/>
  <c r="Q939" i="10" s="1"/>
  <c r="E939" i="10"/>
  <c r="D939" i="10"/>
  <c r="C939" i="10"/>
  <c r="B939" i="10"/>
  <c r="A939" i="10"/>
  <c r="R938" i="10"/>
  <c r="P938" i="10"/>
  <c r="N938" i="10"/>
  <c r="M938" i="10"/>
  <c r="L938" i="10"/>
  <c r="K938" i="10"/>
  <c r="J938" i="10"/>
  <c r="O938" i="10" s="1"/>
  <c r="I938" i="10"/>
  <c r="H938" i="10"/>
  <c r="G938" i="10"/>
  <c r="F938" i="10"/>
  <c r="Q938" i="10" s="1"/>
  <c r="E938" i="10"/>
  <c r="D938" i="10"/>
  <c r="C938" i="10"/>
  <c r="B938" i="10"/>
  <c r="A938" i="10"/>
  <c r="R937" i="10"/>
  <c r="P937" i="10"/>
  <c r="N937" i="10"/>
  <c r="M937" i="10"/>
  <c r="L937" i="10"/>
  <c r="K937" i="10"/>
  <c r="J937" i="10"/>
  <c r="O937" i="10" s="1"/>
  <c r="I937" i="10"/>
  <c r="H937" i="10"/>
  <c r="G937" i="10"/>
  <c r="F937" i="10"/>
  <c r="Q937" i="10" s="1"/>
  <c r="E937" i="10"/>
  <c r="D937" i="10"/>
  <c r="C937" i="10"/>
  <c r="B937" i="10"/>
  <c r="A937" i="10"/>
  <c r="R936" i="10"/>
  <c r="P936" i="10"/>
  <c r="N936" i="10"/>
  <c r="M936" i="10"/>
  <c r="L936" i="10"/>
  <c r="K936" i="10"/>
  <c r="J936" i="10"/>
  <c r="O936" i="10" s="1"/>
  <c r="I936" i="10"/>
  <c r="H936" i="10"/>
  <c r="G936" i="10"/>
  <c r="F936" i="10"/>
  <c r="Q936" i="10" s="1"/>
  <c r="E936" i="10"/>
  <c r="D936" i="10"/>
  <c r="C936" i="10"/>
  <c r="B936" i="10"/>
  <c r="A936" i="10"/>
  <c r="R935" i="10"/>
  <c r="P935" i="10"/>
  <c r="N935" i="10"/>
  <c r="M935" i="10"/>
  <c r="L935" i="10"/>
  <c r="K935" i="10"/>
  <c r="J935" i="10"/>
  <c r="O935" i="10" s="1"/>
  <c r="I935" i="10"/>
  <c r="H935" i="10"/>
  <c r="G935" i="10"/>
  <c r="F935" i="10"/>
  <c r="Q935" i="10" s="1"/>
  <c r="E935" i="10"/>
  <c r="D935" i="10"/>
  <c r="C935" i="10"/>
  <c r="B935" i="10"/>
  <c r="A935" i="10"/>
  <c r="R934" i="10"/>
  <c r="P934" i="10"/>
  <c r="N934" i="10"/>
  <c r="M934" i="10"/>
  <c r="L934" i="10"/>
  <c r="K934" i="10"/>
  <c r="J934" i="10"/>
  <c r="O934" i="10" s="1"/>
  <c r="I934" i="10"/>
  <c r="H934" i="10"/>
  <c r="G934" i="10"/>
  <c r="F934" i="10"/>
  <c r="Q934" i="10" s="1"/>
  <c r="E934" i="10"/>
  <c r="D934" i="10"/>
  <c r="C934" i="10"/>
  <c r="B934" i="10"/>
  <c r="A934" i="10"/>
  <c r="R933" i="10"/>
  <c r="P933" i="10"/>
  <c r="N933" i="10"/>
  <c r="M933" i="10"/>
  <c r="L933" i="10"/>
  <c r="K933" i="10"/>
  <c r="J933" i="10"/>
  <c r="O933" i="10" s="1"/>
  <c r="I933" i="10"/>
  <c r="H933" i="10"/>
  <c r="G933" i="10"/>
  <c r="F933" i="10"/>
  <c r="Q933" i="10" s="1"/>
  <c r="E933" i="10"/>
  <c r="D933" i="10"/>
  <c r="C933" i="10"/>
  <c r="B933" i="10"/>
  <c r="A933" i="10"/>
  <c r="R932" i="10"/>
  <c r="P932" i="10"/>
  <c r="N932" i="10"/>
  <c r="M932" i="10"/>
  <c r="L932" i="10"/>
  <c r="K932" i="10"/>
  <c r="J932" i="10"/>
  <c r="O932" i="10" s="1"/>
  <c r="I932" i="10"/>
  <c r="H932" i="10"/>
  <c r="G932" i="10"/>
  <c r="F932" i="10"/>
  <c r="Q932" i="10" s="1"/>
  <c r="E932" i="10"/>
  <c r="D932" i="10"/>
  <c r="C932" i="10"/>
  <c r="B932" i="10"/>
  <c r="A932" i="10"/>
  <c r="R931" i="10"/>
  <c r="P931" i="10"/>
  <c r="N931" i="10"/>
  <c r="M931" i="10"/>
  <c r="L931" i="10"/>
  <c r="K931" i="10"/>
  <c r="J931" i="10"/>
  <c r="O931" i="10" s="1"/>
  <c r="I931" i="10"/>
  <c r="H931" i="10"/>
  <c r="G931" i="10"/>
  <c r="F931" i="10"/>
  <c r="Q931" i="10" s="1"/>
  <c r="E931" i="10"/>
  <c r="D931" i="10"/>
  <c r="C931" i="10"/>
  <c r="B931" i="10"/>
  <c r="A931" i="10"/>
  <c r="R930" i="10"/>
  <c r="P930" i="10"/>
  <c r="N930" i="10"/>
  <c r="M930" i="10"/>
  <c r="L930" i="10"/>
  <c r="K930" i="10"/>
  <c r="J930" i="10"/>
  <c r="O930" i="10" s="1"/>
  <c r="I930" i="10"/>
  <c r="H930" i="10"/>
  <c r="G930" i="10"/>
  <c r="F930" i="10"/>
  <c r="Q930" i="10" s="1"/>
  <c r="E930" i="10"/>
  <c r="D930" i="10"/>
  <c r="C930" i="10"/>
  <c r="B930" i="10"/>
  <c r="A930" i="10"/>
  <c r="R929" i="10"/>
  <c r="P929" i="10"/>
  <c r="N929" i="10"/>
  <c r="M929" i="10"/>
  <c r="L929" i="10"/>
  <c r="K929" i="10"/>
  <c r="J929" i="10"/>
  <c r="O929" i="10" s="1"/>
  <c r="I929" i="10"/>
  <c r="H929" i="10"/>
  <c r="G929" i="10"/>
  <c r="F929" i="10"/>
  <c r="Q929" i="10" s="1"/>
  <c r="E929" i="10"/>
  <c r="D929" i="10"/>
  <c r="C929" i="10"/>
  <c r="B929" i="10"/>
  <c r="A929" i="10"/>
  <c r="R928" i="10"/>
  <c r="P928" i="10"/>
  <c r="N928" i="10"/>
  <c r="M928" i="10"/>
  <c r="L928" i="10"/>
  <c r="K928" i="10"/>
  <c r="J928" i="10"/>
  <c r="O928" i="10" s="1"/>
  <c r="I928" i="10"/>
  <c r="H928" i="10"/>
  <c r="G928" i="10"/>
  <c r="F928" i="10"/>
  <c r="Q928" i="10" s="1"/>
  <c r="E928" i="10"/>
  <c r="D928" i="10"/>
  <c r="C928" i="10"/>
  <c r="B928" i="10"/>
  <c r="A928" i="10"/>
  <c r="R927" i="10"/>
  <c r="P927" i="10"/>
  <c r="N927" i="10"/>
  <c r="M927" i="10"/>
  <c r="L927" i="10"/>
  <c r="K927" i="10"/>
  <c r="J927" i="10"/>
  <c r="O927" i="10" s="1"/>
  <c r="I927" i="10"/>
  <c r="H927" i="10"/>
  <c r="G927" i="10"/>
  <c r="F927" i="10"/>
  <c r="Q927" i="10" s="1"/>
  <c r="E927" i="10"/>
  <c r="D927" i="10"/>
  <c r="C927" i="10"/>
  <c r="B927" i="10"/>
  <c r="A927" i="10"/>
  <c r="R926" i="10"/>
  <c r="P926" i="10"/>
  <c r="N926" i="10"/>
  <c r="M926" i="10"/>
  <c r="L926" i="10"/>
  <c r="K926" i="10"/>
  <c r="J926" i="10"/>
  <c r="O926" i="10" s="1"/>
  <c r="I926" i="10"/>
  <c r="H926" i="10"/>
  <c r="G926" i="10"/>
  <c r="F926" i="10"/>
  <c r="Q926" i="10" s="1"/>
  <c r="E926" i="10"/>
  <c r="D926" i="10"/>
  <c r="C926" i="10"/>
  <c r="B926" i="10"/>
  <c r="A926" i="10"/>
  <c r="R925" i="10"/>
  <c r="P925" i="10"/>
  <c r="N925" i="10"/>
  <c r="M925" i="10"/>
  <c r="L925" i="10"/>
  <c r="K925" i="10"/>
  <c r="J925" i="10"/>
  <c r="O925" i="10" s="1"/>
  <c r="I925" i="10"/>
  <c r="H925" i="10"/>
  <c r="G925" i="10"/>
  <c r="F925" i="10"/>
  <c r="Q925" i="10" s="1"/>
  <c r="E925" i="10"/>
  <c r="D925" i="10"/>
  <c r="C925" i="10"/>
  <c r="B925" i="10"/>
  <c r="A925" i="10"/>
  <c r="R924" i="10"/>
  <c r="P924" i="10"/>
  <c r="N924" i="10"/>
  <c r="M924" i="10"/>
  <c r="L924" i="10"/>
  <c r="K924" i="10"/>
  <c r="J924" i="10"/>
  <c r="O924" i="10" s="1"/>
  <c r="I924" i="10"/>
  <c r="H924" i="10"/>
  <c r="G924" i="10"/>
  <c r="F924" i="10"/>
  <c r="Q924" i="10" s="1"/>
  <c r="E924" i="10"/>
  <c r="D924" i="10"/>
  <c r="C924" i="10"/>
  <c r="B924" i="10"/>
  <c r="A924" i="10"/>
  <c r="R923" i="10"/>
  <c r="P923" i="10"/>
  <c r="N923" i="10"/>
  <c r="M923" i="10"/>
  <c r="L923" i="10"/>
  <c r="K923" i="10"/>
  <c r="J923" i="10"/>
  <c r="O923" i="10" s="1"/>
  <c r="I923" i="10"/>
  <c r="H923" i="10"/>
  <c r="G923" i="10"/>
  <c r="F923" i="10"/>
  <c r="Q923" i="10" s="1"/>
  <c r="E923" i="10"/>
  <c r="D923" i="10"/>
  <c r="C923" i="10"/>
  <c r="B923" i="10"/>
  <c r="A923" i="10"/>
  <c r="R922" i="10"/>
  <c r="P922" i="10"/>
  <c r="N922" i="10"/>
  <c r="M922" i="10"/>
  <c r="L922" i="10"/>
  <c r="K922" i="10"/>
  <c r="J922" i="10"/>
  <c r="O922" i="10" s="1"/>
  <c r="I922" i="10"/>
  <c r="H922" i="10"/>
  <c r="G922" i="10"/>
  <c r="F922" i="10"/>
  <c r="Q922" i="10" s="1"/>
  <c r="E922" i="10"/>
  <c r="D922" i="10"/>
  <c r="C922" i="10"/>
  <c r="B922" i="10"/>
  <c r="A922" i="10"/>
  <c r="R921" i="10"/>
  <c r="P921" i="10"/>
  <c r="N921" i="10"/>
  <c r="M921" i="10"/>
  <c r="L921" i="10"/>
  <c r="K921" i="10"/>
  <c r="J921" i="10"/>
  <c r="O921" i="10" s="1"/>
  <c r="I921" i="10"/>
  <c r="H921" i="10"/>
  <c r="G921" i="10"/>
  <c r="F921" i="10"/>
  <c r="Q921" i="10" s="1"/>
  <c r="E921" i="10"/>
  <c r="D921" i="10"/>
  <c r="C921" i="10"/>
  <c r="B921" i="10"/>
  <c r="A921" i="10"/>
  <c r="R920" i="10"/>
  <c r="P920" i="10"/>
  <c r="N920" i="10"/>
  <c r="M920" i="10"/>
  <c r="L920" i="10"/>
  <c r="K920" i="10"/>
  <c r="J920" i="10"/>
  <c r="O920" i="10" s="1"/>
  <c r="I920" i="10"/>
  <c r="H920" i="10"/>
  <c r="G920" i="10"/>
  <c r="F920" i="10"/>
  <c r="Q920" i="10" s="1"/>
  <c r="E920" i="10"/>
  <c r="D920" i="10"/>
  <c r="C920" i="10"/>
  <c r="B920" i="10"/>
  <c r="A920" i="10"/>
  <c r="R919" i="10"/>
  <c r="P919" i="10"/>
  <c r="N919" i="10"/>
  <c r="M919" i="10"/>
  <c r="L919" i="10"/>
  <c r="K919" i="10"/>
  <c r="J919" i="10"/>
  <c r="O919" i="10" s="1"/>
  <c r="I919" i="10"/>
  <c r="H919" i="10"/>
  <c r="G919" i="10"/>
  <c r="F919" i="10"/>
  <c r="Q919" i="10" s="1"/>
  <c r="E919" i="10"/>
  <c r="D919" i="10"/>
  <c r="C919" i="10"/>
  <c r="B919" i="10"/>
  <c r="A919" i="10"/>
  <c r="R918" i="10"/>
  <c r="P918" i="10"/>
  <c r="N918" i="10"/>
  <c r="M918" i="10"/>
  <c r="L918" i="10"/>
  <c r="K918" i="10"/>
  <c r="J918" i="10"/>
  <c r="O918" i="10" s="1"/>
  <c r="I918" i="10"/>
  <c r="H918" i="10"/>
  <c r="G918" i="10"/>
  <c r="F918" i="10"/>
  <c r="Q918" i="10" s="1"/>
  <c r="E918" i="10"/>
  <c r="D918" i="10"/>
  <c r="C918" i="10"/>
  <c r="B918" i="10"/>
  <c r="A918" i="10"/>
  <c r="R917" i="10"/>
  <c r="P917" i="10"/>
  <c r="N917" i="10"/>
  <c r="M917" i="10"/>
  <c r="L917" i="10"/>
  <c r="K917" i="10"/>
  <c r="J917" i="10"/>
  <c r="O917" i="10" s="1"/>
  <c r="I917" i="10"/>
  <c r="H917" i="10"/>
  <c r="G917" i="10"/>
  <c r="F917" i="10"/>
  <c r="Q917" i="10" s="1"/>
  <c r="E917" i="10"/>
  <c r="D917" i="10"/>
  <c r="C917" i="10"/>
  <c r="B917" i="10"/>
  <c r="A917" i="10"/>
  <c r="R916" i="10"/>
  <c r="P916" i="10"/>
  <c r="N916" i="10"/>
  <c r="M916" i="10"/>
  <c r="L916" i="10"/>
  <c r="K916" i="10"/>
  <c r="J916" i="10"/>
  <c r="O916" i="10" s="1"/>
  <c r="I916" i="10"/>
  <c r="H916" i="10"/>
  <c r="G916" i="10"/>
  <c r="F916" i="10"/>
  <c r="Q916" i="10" s="1"/>
  <c r="E916" i="10"/>
  <c r="D916" i="10"/>
  <c r="C916" i="10"/>
  <c r="B916" i="10"/>
  <c r="A916" i="10"/>
  <c r="R915" i="10"/>
  <c r="P915" i="10"/>
  <c r="N915" i="10"/>
  <c r="M915" i="10"/>
  <c r="L915" i="10"/>
  <c r="K915" i="10"/>
  <c r="J915" i="10"/>
  <c r="O915" i="10" s="1"/>
  <c r="I915" i="10"/>
  <c r="H915" i="10"/>
  <c r="G915" i="10"/>
  <c r="F915" i="10"/>
  <c r="Q915" i="10" s="1"/>
  <c r="E915" i="10"/>
  <c r="D915" i="10"/>
  <c r="C915" i="10"/>
  <c r="B915" i="10"/>
  <c r="A915" i="10"/>
  <c r="R914" i="10"/>
  <c r="P914" i="10"/>
  <c r="N914" i="10"/>
  <c r="M914" i="10"/>
  <c r="L914" i="10"/>
  <c r="K914" i="10"/>
  <c r="J914" i="10"/>
  <c r="O914" i="10" s="1"/>
  <c r="I914" i="10"/>
  <c r="H914" i="10"/>
  <c r="G914" i="10"/>
  <c r="F914" i="10"/>
  <c r="Q914" i="10" s="1"/>
  <c r="E914" i="10"/>
  <c r="D914" i="10"/>
  <c r="C914" i="10"/>
  <c r="B914" i="10"/>
  <c r="A914" i="10"/>
  <c r="R913" i="10"/>
  <c r="P913" i="10"/>
  <c r="N913" i="10"/>
  <c r="M913" i="10"/>
  <c r="L913" i="10"/>
  <c r="K913" i="10"/>
  <c r="J913" i="10"/>
  <c r="O913" i="10" s="1"/>
  <c r="I913" i="10"/>
  <c r="H913" i="10"/>
  <c r="G913" i="10"/>
  <c r="F913" i="10"/>
  <c r="Q913" i="10" s="1"/>
  <c r="E913" i="10"/>
  <c r="D913" i="10"/>
  <c r="C913" i="10"/>
  <c r="B913" i="10"/>
  <c r="A913" i="10"/>
  <c r="R912" i="10"/>
  <c r="P912" i="10"/>
  <c r="N912" i="10"/>
  <c r="M912" i="10"/>
  <c r="L912" i="10"/>
  <c r="K912" i="10"/>
  <c r="J912" i="10"/>
  <c r="O912" i="10" s="1"/>
  <c r="I912" i="10"/>
  <c r="H912" i="10"/>
  <c r="G912" i="10"/>
  <c r="F912" i="10"/>
  <c r="Q912" i="10" s="1"/>
  <c r="E912" i="10"/>
  <c r="D912" i="10"/>
  <c r="C912" i="10"/>
  <c r="B912" i="10"/>
  <c r="A912" i="10"/>
  <c r="R911" i="10"/>
  <c r="P911" i="10"/>
  <c r="N911" i="10"/>
  <c r="M911" i="10"/>
  <c r="L911" i="10"/>
  <c r="K911" i="10"/>
  <c r="J911" i="10"/>
  <c r="O911" i="10" s="1"/>
  <c r="I911" i="10"/>
  <c r="H911" i="10"/>
  <c r="G911" i="10"/>
  <c r="F911" i="10"/>
  <c r="Q911" i="10" s="1"/>
  <c r="E911" i="10"/>
  <c r="D911" i="10"/>
  <c r="C911" i="10"/>
  <c r="B911" i="10"/>
  <c r="A911" i="10"/>
  <c r="R910" i="10"/>
  <c r="P910" i="10"/>
  <c r="N910" i="10"/>
  <c r="M910" i="10"/>
  <c r="L910" i="10"/>
  <c r="K910" i="10"/>
  <c r="J910" i="10"/>
  <c r="O910" i="10" s="1"/>
  <c r="I910" i="10"/>
  <c r="H910" i="10"/>
  <c r="G910" i="10"/>
  <c r="F910" i="10"/>
  <c r="Q910" i="10" s="1"/>
  <c r="E910" i="10"/>
  <c r="D910" i="10"/>
  <c r="C910" i="10"/>
  <c r="B910" i="10"/>
  <c r="A910" i="10"/>
  <c r="R909" i="10"/>
  <c r="P909" i="10"/>
  <c r="N909" i="10"/>
  <c r="M909" i="10"/>
  <c r="L909" i="10"/>
  <c r="K909" i="10"/>
  <c r="J909" i="10"/>
  <c r="O909" i="10" s="1"/>
  <c r="I909" i="10"/>
  <c r="H909" i="10"/>
  <c r="G909" i="10"/>
  <c r="F909" i="10"/>
  <c r="Q909" i="10" s="1"/>
  <c r="E909" i="10"/>
  <c r="D909" i="10"/>
  <c r="C909" i="10"/>
  <c r="B909" i="10"/>
  <c r="A909" i="10"/>
  <c r="R908" i="10"/>
  <c r="P908" i="10"/>
  <c r="N908" i="10"/>
  <c r="M908" i="10"/>
  <c r="L908" i="10"/>
  <c r="K908" i="10"/>
  <c r="J908" i="10"/>
  <c r="O908" i="10" s="1"/>
  <c r="I908" i="10"/>
  <c r="H908" i="10"/>
  <c r="G908" i="10"/>
  <c r="F908" i="10"/>
  <c r="Q908" i="10" s="1"/>
  <c r="E908" i="10"/>
  <c r="D908" i="10"/>
  <c r="C908" i="10"/>
  <c r="B908" i="10"/>
  <c r="A908" i="10"/>
  <c r="R907" i="10"/>
  <c r="P907" i="10"/>
  <c r="N907" i="10"/>
  <c r="M907" i="10"/>
  <c r="L907" i="10"/>
  <c r="K907" i="10"/>
  <c r="J907" i="10"/>
  <c r="O907" i="10" s="1"/>
  <c r="I907" i="10"/>
  <c r="H907" i="10"/>
  <c r="G907" i="10"/>
  <c r="F907" i="10"/>
  <c r="Q907" i="10" s="1"/>
  <c r="E907" i="10"/>
  <c r="D907" i="10"/>
  <c r="C907" i="10"/>
  <c r="B907" i="10"/>
  <c r="A907" i="10"/>
  <c r="R906" i="10"/>
  <c r="P906" i="10"/>
  <c r="N906" i="10"/>
  <c r="M906" i="10"/>
  <c r="L906" i="10"/>
  <c r="K906" i="10"/>
  <c r="J906" i="10"/>
  <c r="O906" i="10" s="1"/>
  <c r="I906" i="10"/>
  <c r="H906" i="10"/>
  <c r="G906" i="10"/>
  <c r="F906" i="10"/>
  <c r="Q906" i="10" s="1"/>
  <c r="E906" i="10"/>
  <c r="D906" i="10"/>
  <c r="C906" i="10"/>
  <c r="B906" i="10"/>
  <c r="A906" i="10"/>
  <c r="R905" i="10"/>
  <c r="P905" i="10"/>
  <c r="N905" i="10"/>
  <c r="M905" i="10"/>
  <c r="L905" i="10"/>
  <c r="K905" i="10"/>
  <c r="J905" i="10"/>
  <c r="O905" i="10" s="1"/>
  <c r="I905" i="10"/>
  <c r="H905" i="10"/>
  <c r="G905" i="10"/>
  <c r="F905" i="10"/>
  <c r="Q905" i="10" s="1"/>
  <c r="E905" i="10"/>
  <c r="D905" i="10"/>
  <c r="C905" i="10"/>
  <c r="B905" i="10"/>
  <c r="A905" i="10"/>
  <c r="R904" i="10"/>
  <c r="P904" i="10"/>
  <c r="N904" i="10"/>
  <c r="M904" i="10"/>
  <c r="L904" i="10"/>
  <c r="K904" i="10"/>
  <c r="J904" i="10"/>
  <c r="O904" i="10" s="1"/>
  <c r="I904" i="10"/>
  <c r="H904" i="10"/>
  <c r="G904" i="10"/>
  <c r="F904" i="10"/>
  <c r="Q904" i="10" s="1"/>
  <c r="E904" i="10"/>
  <c r="D904" i="10"/>
  <c r="C904" i="10"/>
  <c r="B904" i="10"/>
  <c r="A904" i="10"/>
  <c r="R903" i="10"/>
  <c r="P903" i="10"/>
  <c r="N903" i="10"/>
  <c r="M903" i="10"/>
  <c r="L903" i="10"/>
  <c r="K903" i="10"/>
  <c r="J903" i="10"/>
  <c r="O903" i="10" s="1"/>
  <c r="I903" i="10"/>
  <c r="H903" i="10"/>
  <c r="G903" i="10"/>
  <c r="F903" i="10"/>
  <c r="Q903" i="10" s="1"/>
  <c r="E903" i="10"/>
  <c r="D903" i="10"/>
  <c r="C903" i="10"/>
  <c r="B903" i="10"/>
  <c r="A903" i="10"/>
  <c r="R902" i="10"/>
  <c r="P902" i="10"/>
  <c r="N902" i="10"/>
  <c r="M902" i="10"/>
  <c r="L902" i="10"/>
  <c r="K902" i="10"/>
  <c r="J902" i="10"/>
  <c r="O902" i="10" s="1"/>
  <c r="I902" i="10"/>
  <c r="H902" i="10"/>
  <c r="G902" i="10"/>
  <c r="F902" i="10"/>
  <c r="Q902" i="10" s="1"/>
  <c r="E902" i="10"/>
  <c r="D902" i="10"/>
  <c r="C902" i="10"/>
  <c r="B902" i="10"/>
  <c r="A902" i="10"/>
  <c r="R901" i="10"/>
  <c r="P901" i="10"/>
  <c r="N901" i="10"/>
  <c r="M901" i="10"/>
  <c r="L901" i="10"/>
  <c r="K901" i="10"/>
  <c r="J901" i="10"/>
  <c r="O901" i="10" s="1"/>
  <c r="I901" i="10"/>
  <c r="H901" i="10"/>
  <c r="G901" i="10"/>
  <c r="F901" i="10"/>
  <c r="Q901" i="10" s="1"/>
  <c r="E901" i="10"/>
  <c r="D901" i="10"/>
  <c r="C901" i="10"/>
  <c r="B901" i="10"/>
  <c r="A901" i="10"/>
  <c r="R900" i="10"/>
  <c r="P900" i="10"/>
  <c r="N900" i="10"/>
  <c r="M900" i="10"/>
  <c r="L900" i="10"/>
  <c r="K900" i="10"/>
  <c r="J900" i="10"/>
  <c r="O900" i="10" s="1"/>
  <c r="I900" i="10"/>
  <c r="H900" i="10"/>
  <c r="G900" i="10"/>
  <c r="F900" i="10"/>
  <c r="Q900" i="10" s="1"/>
  <c r="E900" i="10"/>
  <c r="D900" i="10"/>
  <c r="C900" i="10"/>
  <c r="B900" i="10"/>
  <c r="A900" i="10"/>
  <c r="R899" i="10"/>
  <c r="P899" i="10"/>
  <c r="N899" i="10"/>
  <c r="M899" i="10"/>
  <c r="L899" i="10"/>
  <c r="K899" i="10"/>
  <c r="J899" i="10"/>
  <c r="O899" i="10" s="1"/>
  <c r="I899" i="10"/>
  <c r="H899" i="10"/>
  <c r="G899" i="10"/>
  <c r="F899" i="10"/>
  <c r="Q899" i="10" s="1"/>
  <c r="E899" i="10"/>
  <c r="D899" i="10"/>
  <c r="C899" i="10"/>
  <c r="B899" i="10"/>
  <c r="A899" i="10"/>
  <c r="R898" i="10"/>
  <c r="P898" i="10"/>
  <c r="N898" i="10"/>
  <c r="M898" i="10"/>
  <c r="L898" i="10"/>
  <c r="K898" i="10"/>
  <c r="J898" i="10"/>
  <c r="O898" i="10" s="1"/>
  <c r="I898" i="10"/>
  <c r="H898" i="10"/>
  <c r="G898" i="10"/>
  <c r="F898" i="10"/>
  <c r="Q898" i="10" s="1"/>
  <c r="E898" i="10"/>
  <c r="D898" i="10"/>
  <c r="C898" i="10"/>
  <c r="B898" i="10"/>
  <c r="A898" i="10"/>
  <c r="R897" i="10"/>
  <c r="P897" i="10"/>
  <c r="N897" i="10"/>
  <c r="M897" i="10"/>
  <c r="L897" i="10"/>
  <c r="K897" i="10"/>
  <c r="J897" i="10"/>
  <c r="O897" i="10" s="1"/>
  <c r="I897" i="10"/>
  <c r="H897" i="10"/>
  <c r="G897" i="10"/>
  <c r="F897" i="10"/>
  <c r="Q897" i="10" s="1"/>
  <c r="E897" i="10"/>
  <c r="D897" i="10"/>
  <c r="C897" i="10"/>
  <c r="B897" i="10"/>
  <c r="A897" i="10"/>
  <c r="R896" i="10"/>
  <c r="P896" i="10"/>
  <c r="N896" i="10"/>
  <c r="M896" i="10"/>
  <c r="L896" i="10"/>
  <c r="K896" i="10"/>
  <c r="J896" i="10"/>
  <c r="O896" i="10" s="1"/>
  <c r="I896" i="10"/>
  <c r="H896" i="10"/>
  <c r="G896" i="10"/>
  <c r="F896" i="10"/>
  <c r="Q896" i="10" s="1"/>
  <c r="E896" i="10"/>
  <c r="D896" i="10"/>
  <c r="C896" i="10"/>
  <c r="B896" i="10"/>
  <c r="A896" i="10"/>
  <c r="R895" i="10"/>
  <c r="P895" i="10"/>
  <c r="N895" i="10"/>
  <c r="M895" i="10"/>
  <c r="L895" i="10"/>
  <c r="K895" i="10"/>
  <c r="J895" i="10"/>
  <c r="O895" i="10" s="1"/>
  <c r="I895" i="10"/>
  <c r="H895" i="10"/>
  <c r="G895" i="10"/>
  <c r="F895" i="10"/>
  <c r="Q895" i="10" s="1"/>
  <c r="E895" i="10"/>
  <c r="D895" i="10"/>
  <c r="C895" i="10"/>
  <c r="B895" i="10"/>
  <c r="A895" i="10"/>
  <c r="R894" i="10"/>
  <c r="P894" i="10"/>
  <c r="N894" i="10"/>
  <c r="M894" i="10"/>
  <c r="L894" i="10"/>
  <c r="K894" i="10"/>
  <c r="J894" i="10"/>
  <c r="O894" i="10" s="1"/>
  <c r="I894" i="10"/>
  <c r="H894" i="10"/>
  <c r="G894" i="10"/>
  <c r="F894" i="10"/>
  <c r="Q894" i="10" s="1"/>
  <c r="E894" i="10"/>
  <c r="D894" i="10"/>
  <c r="C894" i="10"/>
  <c r="B894" i="10"/>
  <c r="A894" i="10"/>
  <c r="R893" i="10"/>
  <c r="P893" i="10"/>
  <c r="N893" i="10"/>
  <c r="M893" i="10"/>
  <c r="L893" i="10"/>
  <c r="K893" i="10"/>
  <c r="J893" i="10"/>
  <c r="O893" i="10" s="1"/>
  <c r="I893" i="10"/>
  <c r="H893" i="10"/>
  <c r="G893" i="10"/>
  <c r="F893" i="10"/>
  <c r="Q893" i="10" s="1"/>
  <c r="E893" i="10"/>
  <c r="D893" i="10"/>
  <c r="C893" i="10"/>
  <c r="B893" i="10"/>
  <c r="A893" i="10"/>
  <c r="R892" i="10"/>
  <c r="P892" i="10"/>
  <c r="N892" i="10"/>
  <c r="M892" i="10"/>
  <c r="L892" i="10"/>
  <c r="K892" i="10"/>
  <c r="J892" i="10"/>
  <c r="O892" i="10" s="1"/>
  <c r="I892" i="10"/>
  <c r="H892" i="10"/>
  <c r="G892" i="10"/>
  <c r="F892" i="10"/>
  <c r="Q892" i="10" s="1"/>
  <c r="E892" i="10"/>
  <c r="D892" i="10"/>
  <c r="C892" i="10"/>
  <c r="B892" i="10"/>
  <c r="A892" i="10"/>
  <c r="R891" i="10"/>
  <c r="P891" i="10"/>
  <c r="N891" i="10"/>
  <c r="M891" i="10"/>
  <c r="L891" i="10"/>
  <c r="K891" i="10"/>
  <c r="J891" i="10"/>
  <c r="O891" i="10" s="1"/>
  <c r="I891" i="10"/>
  <c r="H891" i="10"/>
  <c r="G891" i="10"/>
  <c r="F891" i="10"/>
  <c r="Q891" i="10" s="1"/>
  <c r="E891" i="10"/>
  <c r="D891" i="10"/>
  <c r="C891" i="10"/>
  <c r="B891" i="10"/>
  <c r="A891" i="10"/>
  <c r="R890" i="10"/>
  <c r="P890" i="10"/>
  <c r="N890" i="10"/>
  <c r="M890" i="10"/>
  <c r="L890" i="10"/>
  <c r="K890" i="10"/>
  <c r="J890" i="10"/>
  <c r="O890" i="10" s="1"/>
  <c r="I890" i="10"/>
  <c r="H890" i="10"/>
  <c r="G890" i="10"/>
  <c r="F890" i="10"/>
  <c r="Q890" i="10" s="1"/>
  <c r="E890" i="10"/>
  <c r="D890" i="10"/>
  <c r="C890" i="10"/>
  <c r="B890" i="10"/>
  <c r="A890" i="10"/>
  <c r="R889" i="10"/>
  <c r="P889" i="10"/>
  <c r="N889" i="10"/>
  <c r="M889" i="10"/>
  <c r="L889" i="10"/>
  <c r="K889" i="10"/>
  <c r="J889" i="10"/>
  <c r="O889" i="10" s="1"/>
  <c r="I889" i="10"/>
  <c r="H889" i="10"/>
  <c r="G889" i="10"/>
  <c r="F889" i="10"/>
  <c r="Q889" i="10" s="1"/>
  <c r="E889" i="10"/>
  <c r="D889" i="10"/>
  <c r="C889" i="10"/>
  <c r="B889" i="10"/>
  <c r="A889" i="10"/>
  <c r="R888" i="10"/>
  <c r="P888" i="10"/>
  <c r="N888" i="10"/>
  <c r="M888" i="10"/>
  <c r="L888" i="10"/>
  <c r="K888" i="10"/>
  <c r="J888" i="10"/>
  <c r="O888" i="10" s="1"/>
  <c r="I888" i="10"/>
  <c r="H888" i="10"/>
  <c r="G888" i="10"/>
  <c r="F888" i="10"/>
  <c r="Q888" i="10" s="1"/>
  <c r="E888" i="10"/>
  <c r="D888" i="10"/>
  <c r="C888" i="10"/>
  <c r="B888" i="10"/>
  <c r="A888" i="10"/>
  <c r="R887" i="10"/>
  <c r="P887" i="10"/>
  <c r="N887" i="10"/>
  <c r="M887" i="10"/>
  <c r="L887" i="10"/>
  <c r="K887" i="10"/>
  <c r="J887" i="10"/>
  <c r="O887" i="10" s="1"/>
  <c r="I887" i="10"/>
  <c r="H887" i="10"/>
  <c r="G887" i="10"/>
  <c r="F887" i="10"/>
  <c r="Q887" i="10" s="1"/>
  <c r="E887" i="10"/>
  <c r="D887" i="10"/>
  <c r="C887" i="10"/>
  <c r="B887" i="10"/>
  <c r="A887" i="10"/>
  <c r="R886" i="10"/>
  <c r="P886" i="10"/>
  <c r="N886" i="10"/>
  <c r="M886" i="10"/>
  <c r="L886" i="10"/>
  <c r="K886" i="10"/>
  <c r="J886" i="10"/>
  <c r="O886" i="10" s="1"/>
  <c r="I886" i="10"/>
  <c r="H886" i="10"/>
  <c r="G886" i="10"/>
  <c r="F886" i="10"/>
  <c r="Q886" i="10" s="1"/>
  <c r="E886" i="10"/>
  <c r="D886" i="10"/>
  <c r="C886" i="10"/>
  <c r="B886" i="10"/>
  <c r="A886" i="10"/>
  <c r="R885" i="10"/>
  <c r="P885" i="10"/>
  <c r="N885" i="10"/>
  <c r="M885" i="10"/>
  <c r="L885" i="10"/>
  <c r="K885" i="10"/>
  <c r="J885" i="10"/>
  <c r="O885" i="10" s="1"/>
  <c r="I885" i="10"/>
  <c r="H885" i="10"/>
  <c r="G885" i="10"/>
  <c r="F885" i="10"/>
  <c r="Q885" i="10" s="1"/>
  <c r="E885" i="10"/>
  <c r="D885" i="10"/>
  <c r="C885" i="10"/>
  <c r="B885" i="10"/>
  <c r="A885" i="10"/>
  <c r="R884" i="10"/>
  <c r="P884" i="10"/>
  <c r="N884" i="10"/>
  <c r="M884" i="10"/>
  <c r="L884" i="10"/>
  <c r="K884" i="10"/>
  <c r="J884" i="10"/>
  <c r="O884" i="10" s="1"/>
  <c r="I884" i="10"/>
  <c r="H884" i="10"/>
  <c r="G884" i="10"/>
  <c r="F884" i="10"/>
  <c r="Q884" i="10" s="1"/>
  <c r="E884" i="10"/>
  <c r="D884" i="10"/>
  <c r="C884" i="10"/>
  <c r="B884" i="10"/>
  <c r="A884" i="10"/>
  <c r="R883" i="10"/>
  <c r="P883" i="10"/>
  <c r="N883" i="10"/>
  <c r="M883" i="10"/>
  <c r="L883" i="10"/>
  <c r="K883" i="10"/>
  <c r="J883" i="10"/>
  <c r="O883" i="10" s="1"/>
  <c r="I883" i="10"/>
  <c r="H883" i="10"/>
  <c r="G883" i="10"/>
  <c r="F883" i="10"/>
  <c r="Q883" i="10" s="1"/>
  <c r="E883" i="10"/>
  <c r="D883" i="10"/>
  <c r="C883" i="10"/>
  <c r="B883" i="10"/>
  <c r="A883" i="10"/>
  <c r="R882" i="10"/>
  <c r="P882" i="10"/>
  <c r="N882" i="10"/>
  <c r="M882" i="10"/>
  <c r="L882" i="10"/>
  <c r="K882" i="10"/>
  <c r="J882" i="10"/>
  <c r="O882" i="10" s="1"/>
  <c r="I882" i="10"/>
  <c r="H882" i="10"/>
  <c r="G882" i="10"/>
  <c r="F882" i="10"/>
  <c r="Q882" i="10" s="1"/>
  <c r="E882" i="10"/>
  <c r="D882" i="10"/>
  <c r="C882" i="10"/>
  <c r="B882" i="10"/>
  <c r="A882" i="10"/>
  <c r="R881" i="10"/>
  <c r="P881" i="10"/>
  <c r="N881" i="10"/>
  <c r="M881" i="10"/>
  <c r="L881" i="10"/>
  <c r="K881" i="10"/>
  <c r="J881" i="10"/>
  <c r="O881" i="10" s="1"/>
  <c r="I881" i="10"/>
  <c r="H881" i="10"/>
  <c r="G881" i="10"/>
  <c r="F881" i="10"/>
  <c r="Q881" i="10" s="1"/>
  <c r="E881" i="10"/>
  <c r="D881" i="10"/>
  <c r="C881" i="10"/>
  <c r="B881" i="10"/>
  <c r="A881" i="10"/>
  <c r="R880" i="10"/>
  <c r="P880" i="10"/>
  <c r="N880" i="10"/>
  <c r="M880" i="10"/>
  <c r="L880" i="10"/>
  <c r="K880" i="10"/>
  <c r="J880" i="10"/>
  <c r="O880" i="10" s="1"/>
  <c r="I880" i="10"/>
  <c r="H880" i="10"/>
  <c r="G880" i="10"/>
  <c r="F880" i="10"/>
  <c r="Q880" i="10" s="1"/>
  <c r="E880" i="10"/>
  <c r="D880" i="10"/>
  <c r="C880" i="10"/>
  <c r="B880" i="10"/>
  <c r="A880" i="10"/>
  <c r="R879" i="10"/>
  <c r="P879" i="10"/>
  <c r="N879" i="10"/>
  <c r="M879" i="10"/>
  <c r="L879" i="10"/>
  <c r="K879" i="10"/>
  <c r="J879" i="10"/>
  <c r="O879" i="10" s="1"/>
  <c r="I879" i="10"/>
  <c r="H879" i="10"/>
  <c r="G879" i="10"/>
  <c r="F879" i="10"/>
  <c r="Q879" i="10" s="1"/>
  <c r="E879" i="10"/>
  <c r="D879" i="10"/>
  <c r="C879" i="10"/>
  <c r="B879" i="10"/>
  <c r="A879" i="10"/>
  <c r="R878" i="10"/>
  <c r="P878" i="10"/>
  <c r="N878" i="10"/>
  <c r="M878" i="10"/>
  <c r="L878" i="10"/>
  <c r="K878" i="10"/>
  <c r="J878" i="10"/>
  <c r="O878" i="10" s="1"/>
  <c r="I878" i="10"/>
  <c r="H878" i="10"/>
  <c r="G878" i="10"/>
  <c r="F878" i="10"/>
  <c r="Q878" i="10" s="1"/>
  <c r="E878" i="10"/>
  <c r="D878" i="10"/>
  <c r="C878" i="10"/>
  <c r="B878" i="10"/>
  <c r="A878" i="10"/>
  <c r="R877" i="10"/>
  <c r="P877" i="10"/>
  <c r="N877" i="10"/>
  <c r="M877" i="10"/>
  <c r="L877" i="10"/>
  <c r="K877" i="10"/>
  <c r="J877" i="10"/>
  <c r="O877" i="10" s="1"/>
  <c r="I877" i="10"/>
  <c r="H877" i="10"/>
  <c r="G877" i="10"/>
  <c r="F877" i="10"/>
  <c r="Q877" i="10" s="1"/>
  <c r="E877" i="10"/>
  <c r="D877" i="10"/>
  <c r="C877" i="10"/>
  <c r="B877" i="10"/>
  <c r="A877" i="10"/>
  <c r="R876" i="10"/>
  <c r="P876" i="10"/>
  <c r="N876" i="10"/>
  <c r="M876" i="10"/>
  <c r="L876" i="10"/>
  <c r="K876" i="10"/>
  <c r="J876" i="10"/>
  <c r="O876" i="10" s="1"/>
  <c r="I876" i="10"/>
  <c r="H876" i="10"/>
  <c r="G876" i="10"/>
  <c r="F876" i="10"/>
  <c r="Q876" i="10" s="1"/>
  <c r="E876" i="10"/>
  <c r="D876" i="10"/>
  <c r="C876" i="10"/>
  <c r="B876" i="10"/>
  <c r="A876" i="10"/>
  <c r="R875" i="10"/>
  <c r="P875" i="10"/>
  <c r="N875" i="10"/>
  <c r="M875" i="10"/>
  <c r="L875" i="10"/>
  <c r="K875" i="10"/>
  <c r="J875" i="10"/>
  <c r="O875" i="10" s="1"/>
  <c r="I875" i="10"/>
  <c r="H875" i="10"/>
  <c r="G875" i="10"/>
  <c r="F875" i="10"/>
  <c r="Q875" i="10" s="1"/>
  <c r="E875" i="10"/>
  <c r="D875" i="10"/>
  <c r="C875" i="10"/>
  <c r="B875" i="10"/>
  <c r="A875" i="10"/>
  <c r="R874" i="10"/>
  <c r="P874" i="10"/>
  <c r="N874" i="10"/>
  <c r="M874" i="10"/>
  <c r="L874" i="10"/>
  <c r="K874" i="10"/>
  <c r="J874" i="10"/>
  <c r="O874" i="10" s="1"/>
  <c r="I874" i="10"/>
  <c r="H874" i="10"/>
  <c r="G874" i="10"/>
  <c r="F874" i="10"/>
  <c r="Q874" i="10" s="1"/>
  <c r="E874" i="10"/>
  <c r="D874" i="10"/>
  <c r="C874" i="10"/>
  <c r="B874" i="10"/>
  <c r="A874" i="10"/>
  <c r="R873" i="10"/>
  <c r="P873" i="10"/>
  <c r="N873" i="10"/>
  <c r="M873" i="10"/>
  <c r="L873" i="10"/>
  <c r="K873" i="10"/>
  <c r="J873" i="10"/>
  <c r="O873" i="10" s="1"/>
  <c r="I873" i="10"/>
  <c r="H873" i="10"/>
  <c r="G873" i="10"/>
  <c r="F873" i="10"/>
  <c r="Q873" i="10" s="1"/>
  <c r="E873" i="10"/>
  <c r="D873" i="10"/>
  <c r="C873" i="10"/>
  <c r="B873" i="10"/>
  <c r="A873" i="10"/>
  <c r="R872" i="10"/>
  <c r="P872" i="10"/>
  <c r="N872" i="10"/>
  <c r="M872" i="10"/>
  <c r="L872" i="10"/>
  <c r="K872" i="10"/>
  <c r="J872" i="10"/>
  <c r="O872" i="10" s="1"/>
  <c r="I872" i="10"/>
  <c r="H872" i="10"/>
  <c r="G872" i="10"/>
  <c r="F872" i="10"/>
  <c r="Q872" i="10" s="1"/>
  <c r="E872" i="10"/>
  <c r="D872" i="10"/>
  <c r="C872" i="10"/>
  <c r="B872" i="10"/>
  <c r="A872" i="10"/>
  <c r="R871" i="10"/>
  <c r="P871" i="10"/>
  <c r="N871" i="10"/>
  <c r="M871" i="10"/>
  <c r="L871" i="10"/>
  <c r="K871" i="10"/>
  <c r="J871" i="10"/>
  <c r="O871" i="10" s="1"/>
  <c r="I871" i="10"/>
  <c r="H871" i="10"/>
  <c r="G871" i="10"/>
  <c r="F871" i="10"/>
  <c r="Q871" i="10" s="1"/>
  <c r="E871" i="10"/>
  <c r="D871" i="10"/>
  <c r="C871" i="10"/>
  <c r="B871" i="10"/>
  <c r="A871" i="10"/>
  <c r="R870" i="10"/>
  <c r="P870" i="10"/>
  <c r="N870" i="10"/>
  <c r="M870" i="10"/>
  <c r="L870" i="10"/>
  <c r="K870" i="10"/>
  <c r="J870" i="10"/>
  <c r="O870" i="10" s="1"/>
  <c r="I870" i="10"/>
  <c r="H870" i="10"/>
  <c r="G870" i="10"/>
  <c r="F870" i="10"/>
  <c r="Q870" i="10" s="1"/>
  <c r="E870" i="10"/>
  <c r="D870" i="10"/>
  <c r="C870" i="10"/>
  <c r="B870" i="10"/>
  <c r="A870" i="10"/>
  <c r="R869" i="10"/>
  <c r="P869" i="10"/>
  <c r="N869" i="10"/>
  <c r="M869" i="10"/>
  <c r="L869" i="10"/>
  <c r="K869" i="10"/>
  <c r="J869" i="10"/>
  <c r="O869" i="10" s="1"/>
  <c r="I869" i="10"/>
  <c r="H869" i="10"/>
  <c r="G869" i="10"/>
  <c r="F869" i="10"/>
  <c r="Q869" i="10" s="1"/>
  <c r="E869" i="10"/>
  <c r="D869" i="10"/>
  <c r="C869" i="10"/>
  <c r="B869" i="10"/>
  <c r="A869" i="10"/>
  <c r="R868" i="10"/>
  <c r="Q868" i="10"/>
  <c r="N868" i="10"/>
  <c r="M868" i="10"/>
  <c r="L868" i="10"/>
  <c r="K868" i="10"/>
  <c r="J868" i="10"/>
  <c r="O868" i="10" s="1"/>
  <c r="I868" i="10"/>
  <c r="H868" i="10"/>
  <c r="G868" i="10"/>
  <c r="F868" i="10"/>
  <c r="E868" i="10"/>
  <c r="P868" i="10" s="1"/>
  <c r="D868" i="10"/>
  <c r="C868" i="10"/>
  <c r="B868" i="10"/>
  <c r="A868" i="10"/>
  <c r="P867" i="10"/>
  <c r="N867" i="10"/>
  <c r="M867" i="10"/>
  <c r="L867" i="10"/>
  <c r="K867" i="10"/>
  <c r="J867" i="10"/>
  <c r="O867" i="10" s="1"/>
  <c r="I867" i="10"/>
  <c r="H867" i="10"/>
  <c r="G867" i="10"/>
  <c r="F867" i="10"/>
  <c r="Q867" i="10" s="1"/>
  <c r="E867" i="10"/>
  <c r="D867" i="10"/>
  <c r="C867" i="10"/>
  <c r="B867" i="10"/>
  <c r="A867" i="10"/>
  <c r="P866" i="10"/>
  <c r="N866" i="10"/>
  <c r="M866" i="10"/>
  <c r="L866" i="10"/>
  <c r="K866" i="10"/>
  <c r="J866" i="10"/>
  <c r="O866" i="10" s="1"/>
  <c r="I866" i="10"/>
  <c r="H866" i="10"/>
  <c r="G866" i="10"/>
  <c r="F866" i="10"/>
  <c r="Q866" i="10" s="1"/>
  <c r="R866" i="10" s="1"/>
  <c r="E866" i="10"/>
  <c r="D866" i="10"/>
  <c r="C866" i="10"/>
  <c r="B866" i="10"/>
  <c r="A866" i="10"/>
  <c r="P865" i="10"/>
  <c r="N865" i="10"/>
  <c r="M865" i="10"/>
  <c r="L865" i="10"/>
  <c r="K865" i="10"/>
  <c r="J865" i="10"/>
  <c r="O865" i="10" s="1"/>
  <c r="R865" i="10" s="1"/>
  <c r="I865" i="10"/>
  <c r="H865" i="10"/>
  <c r="G865" i="10"/>
  <c r="F865" i="10"/>
  <c r="Q865" i="10" s="1"/>
  <c r="E865" i="10"/>
  <c r="D865" i="10"/>
  <c r="C865" i="10"/>
  <c r="B865" i="10"/>
  <c r="A865" i="10"/>
  <c r="R864" i="10"/>
  <c r="Q864" i="10"/>
  <c r="N864" i="10"/>
  <c r="M864" i="10"/>
  <c r="L864" i="10"/>
  <c r="K864" i="10"/>
  <c r="J864" i="10"/>
  <c r="O864" i="10" s="1"/>
  <c r="I864" i="10"/>
  <c r="H864" i="10"/>
  <c r="G864" i="10"/>
  <c r="F864" i="10"/>
  <c r="E864" i="10"/>
  <c r="P864" i="10" s="1"/>
  <c r="D864" i="10"/>
  <c r="C864" i="10"/>
  <c r="B864" i="10"/>
  <c r="A864" i="10"/>
  <c r="P863" i="10"/>
  <c r="N863" i="10"/>
  <c r="M863" i="10"/>
  <c r="L863" i="10"/>
  <c r="K863" i="10"/>
  <c r="J863" i="10"/>
  <c r="O863" i="10" s="1"/>
  <c r="I863" i="10"/>
  <c r="H863" i="10"/>
  <c r="G863" i="10"/>
  <c r="F863" i="10"/>
  <c r="Q863" i="10" s="1"/>
  <c r="E863" i="10"/>
  <c r="D863" i="10"/>
  <c r="C863" i="10"/>
  <c r="B863" i="10"/>
  <c r="A863" i="10"/>
  <c r="P862" i="10"/>
  <c r="N862" i="10"/>
  <c r="M862" i="10"/>
  <c r="L862" i="10"/>
  <c r="K862" i="10"/>
  <c r="J862" i="10"/>
  <c r="O862" i="10" s="1"/>
  <c r="I862" i="10"/>
  <c r="H862" i="10"/>
  <c r="G862" i="10"/>
  <c r="F862" i="10"/>
  <c r="Q862" i="10" s="1"/>
  <c r="R862" i="10" s="1"/>
  <c r="E862" i="10"/>
  <c r="D862" i="10"/>
  <c r="C862" i="10"/>
  <c r="B862" i="10"/>
  <c r="A862" i="10"/>
  <c r="P861" i="10"/>
  <c r="N861" i="10"/>
  <c r="M861" i="10"/>
  <c r="L861" i="10"/>
  <c r="K861" i="10"/>
  <c r="J861" i="10"/>
  <c r="O861" i="10" s="1"/>
  <c r="R861" i="10" s="1"/>
  <c r="I861" i="10"/>
  <c r="H861" i="10"/>
  <c r="G861" i="10"/>
  <c r="F861" i="10"/>
  <c r="Q861" i="10" s="1"/>
  <c r="E861" i="10"/>
  <c r="D861" i="10"/>
  <c r="C861" i="10"/>
  <c r="B861" i="10"/>
  <c r="A861" i="10"/>
  <c r="R860" i="10"/>
  <c r="Q860" i="10"/>
  <c r="N860" i="10"/>
  <c r="M860" i="10"/>
  <c r="L860" i="10"/>
  <c r="K860" i="10"/>
  <c r="J860" i="10"/>
  <c r="O860" i="10" s="1"/>
  <c r="I860" i="10"/>
  <c r="H860" i="10"/>
  <c r="G860" i="10"/>
  <c r="F860" i="10"/>
  <c r="E860" i="10"/>
  <c r="P860" i="10" s="1"/>
  <c r="D860" i="10"/>
  <c r="C860" i="10"/>
  <c r="B860" i="10"/>
  <c r="A860" i="10"/>
  <c r="P859" i="10"/>
  <c r="N859" i="10"/>
  <c r="M859" i="10"/>
  <c r="L859" i="10"/>
  <c r="K859" i="10"/>
  <c r="J859" i="10"/>
  <c r="O859" i="10" s="1"/>
  <c r="I859" i="10"/>
  <c r="H859" i="10"/>
  <c r="G859" i="10"/>
  <c r="F859" i="10"/>
  <c r="Q859" i="10" s="1"/>
  <c r="E859" i="10"/>
  <c r="D859" i="10"/>
  <c r="C859" i="10"/>
  <c r="B859" i="10"/>
  <c r="A859" i="10"/>
  <c r="P858" i="10"/>
  <c r="N858" i="10"/>
  <c r="M858" i="10"/>
  <c r="L858" i="10"/>
  <c r="K858" i="10"/>
  <c r="J858" i="10"/>
  <c r="O858" i="10" s="1"/>
  <c r="I858" i="10"/>
  <c r="H858" i="10"/>
  <c r="G858" i="10"/>
  <c r="F858" i="10"/>
  <c r="Q858" i="10" s="1"/>
  <c r="R858" i="10" s="1"/>
  <c r="E858" i="10"/>
  <c r="D858" i="10"/>
  <c r="C858" i="10"/>
  <c r="B858" i="10"/>
  <c r="A858" i="10"/>
  <c r="P857" i="10"/>
  <c r="N857" i="10"/>
  <c r="M857" i="10"/>
  <c r="L857" i="10"/>
  <c r="K857" i="10"/>
  <c r="J857" i="10"/>
  <c r="O857" i="10" s="1"/>
  <c r="R857" i="10" s="1"/>
  <c r="I857" i="10"/>
  <c r="H857" i="10"/>
  <c r="G857" i="10"/>
  <c r="F857" i="10"/>
  <c r="Q857" i="10" s="1"/>
  <c r="E857" i="10"/>
  <c r="D857" i="10"/>
  <c r="C857" i="10"/>
  <c r="B857" i="10"/>
  <c r="A857" i="10"/>
  <c r="R856" i="10"/>
  <c r="Q856" i="10"/>
  <c r="N856" i="10"/>
  <c r="M856" i="10"/>
  <c r="L856" i="10"/>
  <c r="K856" i="10"/>
  <c r="J856" i="10"/>
  <c r="O856" i="10" s="1"/>
  <c r="I856" i="10"/>
  <c r="H856" i="10"/>
  <c r="G856" i="10"/>
  <c r="F856" i="10"/>
  <c r="E856" i="10"/>
  <c r="P856" i="10" s="1"/>
  <c r="D856" i="10"/>
  <c r="C856" i="10"/>
  <c r="B856" i="10"/>
  <c r="A856" i="10"/>
  <c r="P855" i="10"/>
  <c r="N855" i="10"/>
  <c r="M855" i="10"/>
  <c r="L855" i="10"/>
  <c r="K855" i="10"/>
  <c r="J855" i="10"/>
  <c r="O855" i="10" s="1"/>
  <c r="I855" i="10"/>
  <c r="H855" i="10"/>
  <c r="G855" i="10"/>
  <c r="F855" i="10"/>
  <c r="Q855" i="10" s="1"/>
  <c r="E855" i="10"/>
  <c r="D855" i="10"/>
  <c r="C855" i="10"/>
  <c r="B855" i="10"/>
  <c r="A855" i="10"/>
  <c r="P854" i="10"/>
  <c r="N854" i="10"/>
  <c r="M854" i="10"/>
  <c r="L854" i="10"/>
  <c r="K854" i="10"/>
  <c r="J854" i="10"/>
  <c r="O854" i="10" s="1"/>
  <c r="I854" i="10"/>
  <c r="H854" i="10"/>
  <c r="G854" i="10"/>
  <c r="F854" i="10"/>
  <c r="Q854" i="10" s="1"/>
  <c r="R854" i="10" s="1"/>
  <c r="E854" i="10"/>
  <c r="D854" i="10"/>
  <c r="C854" i="10"/>
  <c r="B854" i="10"/>
  <c r="A854" i="10"/>
  <c r="P853" i="10"/>
  <c r="N853" i="10"/>
  <c r="M853" i="10"/>
  <c r="L853" i="10"/>
  <c r="K853" i="10"/>
  <c r="J853" i="10"/>
  <c r="O853" i="10" s="1"/>
  <c r="R853" i="10" s="1"/>
  <c r="I853" i="10"/>
  <c r="H853" i="10"/>
  <c r="G853" i="10"/>
  <c r="F853" i="10"/>
  <c r="Q853" i="10" s="1"/>
  <c r="E853" i="10"/>
  <c r="D853" i="10"/>
  <c r="C853" i="10"/>
  <c r="B853" i="10"/>
  <c r="A853" i="10"/>
  <c r="R852" i="10"/>
  <c r="Q852" i="10"/>
  <c r="N852" i="10"/>
  <c r="M852" i="10"/>
  <c r="L852" i="10"/>
  <c r="K852" i="10"/>
  <c r="J852" i="10"/>
  <c r="O852" i="10" s="1"/>
  <c r="I852" i="10"/>
  <c r="H852" i="10"/>
  <c r="G852" i="10"/>
  <c r="F852" i="10"/>
  <c r="E852" i="10"/>
  <c r="P852" i="10" s="1"/>
  <c r="D852" i="10"/>
  <c r="C852" i="10"/>
  <c r="B852" i="10"/>
  <c r="A852" i="10"/>
  <c r="P851" i="10"/>
  <c r="N851" i="10"/>
  <c r="M851" i="10"/>
  <c r="L851" i="10"/>
  <c r="K851" i="10"/>
  <c r="J851" i="10"/>
  <c r="O851" i="10" s="1"/>
  <c r="I851" i="10"/>
  <c r="H851" i="10"/>
  <c r="G851" i="10"/>
  <c r="F851" i="10"/>
  <c r="Q851" i="10" s="1"/>
  <c r="E851" i="10"/>
  <c r="D851" i="10"/>
  <c r="C851" i="10"/>
  <c r="B851" i="10"/>
  <c r="A851" i="10"/>
  <c r="P850" i="10"/>
  <c r="N850" i="10"/>
  <c r="M850" i="10"/>
  <c r="L850" i="10"/>
  <c r="K850" i="10"/>
  <c r="J850" i="10"/>
  <c r="O850" i="10" s="1"/>
  <c r="I850" i="10"/>
  <c r="H850" i="10"/>
  <c r="G850" i="10"/>
  <c r="F850" i="10"/>
  <c r="Q850" i="10" s="1"/>
  <c r="R850" i="10" s="1"/>
  <c r="E850" i="10"/>
  <c r="D850" i="10"/>
  <c r="C850" i="10"/>
  <c r="B850" i="10"/>
  <c r="A850" i="10"/>
  <c r="P849" i="10"/>
  <c r="N849" i="10"/>
  <c r="M849" i="10"/>
  <c r="L849" i="10"/>
  <c r="K849" i="10"/>
  <c r="J849" i="10"/>
  <c r="O849" i="10" s="1"/>
  <c r="R849" i="10" s="1"/>
  <c r="I849" i="10"/>
  <c r="H849" i="10"/>
  <c r="G849" i="10"/>
  <c r="F849" i="10"/>
  <c r="Q849" i="10" s="1"/>
  <c r="E849" i="10"/>
  <c r="D849" i="10"/>
  <c r="C849" i="10"/>
  <c r="B849" i="10"/>
  <c r="A849" i="10"/>
  <c r="R848" i="10"/>
  <c r="Q848" i="10"/>
  <c r="N848" i="10"/>
  <c r="M848" i="10"/>
  <c r="L848" i="10"/>
  <c r="K848" i="10"/>
  <c r="J848" i="10"/>
  <c r="O848" i="10" s="1"/>
  <c r="I848" i="10"/>
  <c r="H848" i="10"/>
  <c r="G848" i="10"/>
  <c r="F848" i="10"/>
  <c r="E848" i="10"/>
  <c r="P848" i="10" s="1"/>
  <c r="D848" i="10"/>
  <c r="C848" i="10"/>
  <c r="B848" i="10"/>
  <c r="A848" i="10"/>
  <c r="P847" i="10"/>
  <c r="N847" i="10"/>
  <c r="M847" i="10"/>
  <c r="L847" i="10"/>
  <c r="K847" i="10"/>
  <c r="J847" i="10"/>
  <c r="O847" i="10" s="1"/>
  <c r="I847" i="10"/>
  <c r="H847" i="10"/>
  <c r="G847" i="10"/>
  <c r="F847" i="10"/>
  <c r="Q847" i="10" s="1"/>
  <c r="E847" i="10"/>
  <c r="D847" i="10"/>
  <c r="C847" i="10"/>
  <c r="B847" i="10"/>
  <c r="A847" i="10"/>
  <c r="P846" i="10"/>
  <c r="N846" i="10"/>
  <c r="M846" i="10"/>
  <c r="L846" i="10"/>
  <c r="K846" i="10"/>
  <c r="J846" i="10"/>
  <c r="O846" i="10" s="1"/>
  <c r="I846" i="10"/>
  <c r="H846" i="10"/>
  <c r="G846" i="10"/>
  <c r="F846" i="10"/>
  <c r="Q846" i="10" s="1"/>
  <c r="R846" i="10" s="1"/>
  <c r="E846" i="10"/>
  <c r="D846" i="10"/>
  <c r="C846" i="10"/>
  <c r="B846" i="10"/>
  <c r="A846" i="10"/>
  <c r="P845" i="10"/>
  <c r="N845" i="10"/>
  <c r="M845" i="10"/>
  <c r="L845" i="10"/>
  <c r="K845" i="10"/>
  <c r="J845" i="10"/>
  <c r="O845" i="10" s="1"/>
  <c r="R845" i="10" s="1"/>
  <c r="I845" i="10"/>
  <c r="H845" i="10"/>
  <c r="G845" i="10"/>
  <c r="F845" i="10"/>
  <c r="Q845" i="10" s="1"/>
  <c r="E845" i="10"/>
  <c r="D845" i="10"/>
  <c r="C845" i="10"/>
  <c r="B845" i="10"/>
  <c r="A845" i="10"/>
  <c r="R844" i="10"/>
  <c r="Q844" i="10"/>
  <c r="N844" i="10"/>
  <c r="M844" i="10"/>
  <c r="L844" i="10"/>
  <c r="K844" i="10"/>
  <c r="J844" i="10"/>
  <c r="O844" i="10" s="1"/>
  <c r="I844" i="10"/>
  <c r="H844" i="10"/>
  <c r="G844" i="10"/>
  <c r="F844" i="10"/>
  <c r="E844" i="10"/>
  <c r="P844" i="10" s="1"/>
  <c r="D844" i="10"/>
  <c r="C844" i="10"/>
  <c r="B844" i="10"/>
  <c r="A844" i="10"/>
  <c r="P843" i="10"/>
  <c r="N843" i="10"/>
  <c r="M843" i="10"/>
  <c r="L843" i="10"/>
  <c r="K843" i="10"/>
  <c r="J843" i="10"/>
  <c r="O843" i="10" s="1"/>
  <c r="I843" i="10"/>
  <c r="H843" i="10"/>
  <c r="G843" i="10"/>
  <c r="F843" i="10"/>
  <c r="Q843" i="10" s="1"/>
  <c r="E843" i="10"/>
  <c r="D843" i="10"/>
  <c r="C843" i="10"/>
  <c r="B843" i="10"/>
  <c r="A843" i="10"/>
  <c r="P842" i="10"/>
  <c r="N842" i="10"/>
  <c r="M842" i="10"/>
  <c r="L842" i="10"/>
  <c r="K842" i="10"/>
  <c r="J842" i="10"/>
  <c r="O842" i="10" s="1"/>
  <c r="I842" i="10"/>
  <c r="H842" i="10"/>
  <c r="G842" i="10"/>
  <c r="F842" i="10"/>
  <c r="Q842" i="10" s="1"/>
  <c r="R842" i="10" s="1"/>
  <c r="E842" i="10"/>
  <c r="D842" i="10"/>
  <c r="C842" i="10"/>
  <c r="B842" i="10"/>
  <c r="A842" i="10"/>
  <c r="P841" i="10"/>
  <c r="N841" i="10"/>
  <c r="M841" i="10"/>
  <c r="L841" i="10"/>
  <c r="K841" i="10"/>
  <c r="J841" i="10"/>
  <c r="O841" i="10" s="1"/>
  <c r="R841" i="10" s="1"/>
  <c r="I841" i="10"/>
  <c r="H841" i="10"/>
  <c r="G841" i="10"/>
  <c r="F841" i="10"/>
  <c r="Q841" i="10" s="1"/>
  <c r="E841" i="10"/>
  <c r="D841" i="10"/>
  <c r="C841" i="10"/>
  <c r="B841" i="10"/>
  <c r="A841" i="10"/>
  <c r="R840" i="10"/>
  <c r="Q840" i="10"/>
  <c r="N840" i="10"/>
  <c r="M840" i="10"/>
  <c r="L840" i="10"/>
  <c r="K840" i="10"/>
  <c r="J840" i="10"/>
  <c r="O840" i="10" s="1"/>
  <c r="I840" i="10"/>
  <c r="H840" i="10"/>
  <c r="G840" i="10"/>
  <c r="F840" i="10"/>
  <c r="E840" i="10"/>
  <c r="P840" i="10" s="1"/>
  <c r="D840" i="10"/>
  <c r="C840" i="10"/>
  <c r="B840" i="10"/>
  <c r="A840" i="10"/>
  <c r="P839" i="10"/>
  <c r="N839" i="10"/>
  <c r="M839" i="10"/>
  <c r="L839" i="10"/>
  <c r="K839" i="10"/>
  <c r="J839" i="10"/>
  <c r="O839" i="10" s="1"/>
  <c r="I839" i="10"/>
  <c r="H839" i="10"/>
  <c r="G839" i="10"/>
  <c r="F839" i="10"/>
  <c r="Q839" i="10" s="1"/>
  <c r="E839" i="10"/>
  <c r="D839" i="10"/>
  <c r="C839" i="10"/>
  <c r="B839" i="10"/>
  <c r="A839" i="10"/>
  <c r="P838" i="10"/>
  <c r="N838" i="10"/>
  <c r="M838" i="10"/>
  <c r="L838" i="10"/>
  <c r="K838" i="10"/>
  <c r="J838" i="10"/>
  <c r="O838" i="10" s="1"/>
  <c r="I838" i="10"/>
  <c r="H838" i="10"/>
  <c r="G838" i="10"/>
  <c r="F838" i="10"/>
  <c r="Q838" i="10" s="1"/>
  <c r="R838" i="10" s="1"/>
  <c r="E838" i="10"/>
  <c r="D838" i="10"/>
  <c r="C838" i="10"/>
  <c r="B838" i="10"/>
  <c r="A838" i="10"/>
  <c r="P837" i="10"/>
  <c r="N837" i="10"/>
  <c r="M837" i="10"/>
  <c r="L837" i="10"/>
  <c r="K837" i="10"/>
  <c r="J837" i="10"/>
  <c r="O837" i="10" s="1"/>
  <c r="R837" i="10" s="1"/>
  <c r="I837" i="10"/>
  <c r="H837" i="10"/>
  <c r="G837" i="10"/>
  <c r="F837" i="10"/>
  <c r="Q837" i="10" s="1"/>
  <c r="E837" i="10"/>
  <c r="D837" i="10"/>
  <c r="C837" i="10"/>
  <c r="B837" i="10"/>
  <c r="A837" i="10"/>
  <c r="R836" i="10"/>
  <c r="Q836" i="10"/>
  <c r="N836" i="10"/>
  <c r="M836" i="10"/>
  <c r="L836" i="10"/>
  <c r="K836" i="10"/>
  <c r="J836" i="10"/>
  <c r="O836" i="10" s="1"/>
  <c r="I836" i="10"/>
  <c r="H836" i="10"/>
  <c r="G836" i="10"/>
  <c r="F836" i="10"/>
  <c r="E836" i="10"/>
  <c r="P836" i="10" s="1"/>
  <c r="D836" i="10"/>
  <c r="C836" i="10"/>
  <c r="B836" i="10"/>
  <c r="A836" i="10"/>
  <c r="P835" i="10"/>
  <c r="N835" i="10"/>
  <c r="M835" i="10"/>
  <c r="L835" i="10"/>
  <c r="K835" i="10"/>
  <c r="J835" i="10"/>
  <c r="O835" i="10" s="1"/>
  <c r="I835" i="10"/>
  <c r="H835" i="10"/>
  <c r="G835" i="10"/>
  <c r="F835" i="10"/>
  <c r="Q835" i="10" s="1"/>
  <c r="E835" i="10"/>
  <c r="D835" i="10"/>
  <c r="C835" i="10"/>
  <c r="B835" i="10"/>
  <c r="A835" i="10"/>
  <c r="P834" i="10"/>
  <c r="N834" i="10"/>
  <c r="M834" i="10"/>
  <c r="L834" i="10"/>
  <c r="K834" i="10"/>
  <c r="J834" i="10"/>
  <c r="O834" i="10" s="1"/>
  <c r="I834" i="10"/>
  <c r="H834" i="10"/>
  <c r="G834" i="10"/>
  <c r="F834" i="10"/>
  <c r="Q834" i="10" s="1"/>
  <c r="R834" i="10" s="1"/>
  <c r="E834" i="10"/>
  <c r="D834" i="10"/>
  <c r="C834" i="10"/>
  <c r="B834" i="10"/>
  <c r="A834" i="10"/>
  <c r="P833" i="10"/>
  <c r="N833" i="10"/>
  <c r="M833" i="10"/>
  <c r="L833" i="10"/>
  <c r="K833" i="10"/>
  <c r="J833" i="10"/>
  <c r="O833" i="10" s="1"/>
  <c r="R833" i="10" s="1"/>
  <c r="I833" i="10"/>
  <c r="H833" i="10"/>
  <c r="G833" i="10"/>
  <c r="F833" i="10"/>
  <c r="Q833" i="10" s="1"/>
  <c r="E833" i="10"/>
  <c r="D833" i="10"/>
  <c r="C833" i="10"/>
  <c r="B833" i="10"/>
  <c r="A833" i="10"/>
  <c r="R832" i="10"/>
  <c r="Q832" i="10"/>
  <c r="N832" i="10"/>
  <c r="M832" i="10"/>
  <c r="L832" i="10"/>
  <c r="K832" i="10"/>
  <c r="J832" i="10"/>
  <c r="O832" i="10" s="1"/>
  <c r="I832" i="10"/>
  <c r="H832" i="10"/>
  <c r="G832" i="10"/>
  <c r="F832" i="10"/>
  <c r="E832" i="10"/>
  <c r="P832" i="10" s="1"/>
  <c r="D832" i="10"/>
  <c r="C832" i="10"/>
  <c r="B832" i="10"/>
  <c r="A832" i="10"/>
  <c r="P831" i="10"/>
  <c r="N831" i="10"/>
  <c r="M831" i="10"/>
  <c r="L831" i="10"/>
  <c r="K831" i="10"/>
  <c r="J831" i="10"/>
  <c r="O831" i="10" s="1"/>
  <c r="I831" i="10"/>
  <c r="H831" i="10"/>
  <c r="G831" i="10"/>
  <c r="F831" i="10"/>
  <c r="Q831" i="10" s="1"/>
  <c r="E831" i="10"/>
  <c r="D831" i="10"/>
  <c r="C831" i="10"/>
  <c r="B831" i="10"/>
  <c r="A831" i="10"/>
  <c r="P830" i="10"/>
  <c r="N830" i="10"/>
  <c r="M830" i="10"/>
  <c r="L830" i="10"/>
  <c r="K830" i="10"/>
  <c r="J830" i="10"/>
  <c r="O830" i="10" s="1"/>
  <c r="I830" i="10"/>
  <c r="H830" i="10"/>
  <c r="G830" i="10"/>
  <c r="F830" i="10"/>
  <c r="Q830" i="10" s="1"/>
  <c r="R830" i="10" s="1"/>
  <c r="E830" i="10"/>
  <c r="D830" i="10"/>
  <c r="C830" i="10"/>
  <c r="B830" i="10"/>
  <c r="A830" i="10"/>
  <c r="P829" i="10"/>
  <c r="N829" i="10"/>
  <c r="M829" i="10"/>
  <c r="L829" i="10"/>
  <c r="K829" i="10"/>
  <c r="J829" i="10"/>
  <c r="O829" i="10" s="1"/>
  <c r="R829" i="10" s="1"/>
  <c r="I829" i="10"/>
  <c r="H829" i="10"/>
  <c r="G829" i="10"/>
  <c r="F829" i="10"/>
  <c r="Q829" i="10" s="1"/>
  <c r="E829" i="10"/>
  <c r="D829" i="10"/>
  <c r="C829" i="10"/>
  <c r="B829" i="10"/>
  <c r="A829" i="10"/>
  <c r="R828" i="10"/>
  <c r="Q828" i="10"/>
  <c r="N828" i="10"/>
  <c r="M828" i="10"/>
  <c r="L828" i="10"/>
  <c r="K828" i="10"/>
  <c r="J828" i="10"/>
  <c r="O828" i="10" s="1"/>
  <c r="I828" i="10"/>
  <c r="H828" i="10"/>
  <c r="G828" i="10"/>
  <c r="F828" i="10"/>
  <c r="E828" i="10"/>
  <c r="P828" i="10" s="1"/>
  <c r="D828" i="10"/>
  <c r="C828" i="10"/>
  <c r="B828" i="10"/>
  <c r="A828" i="10"/>
  <c r="P827" i="10"/>
  <c r="N827" i="10"/>
  <c r="M827" i="10"/>
  <c r="L827" i="10"/>
  <c r="K827" i="10"/>
  <c r="J827" i="10"/>
  <c r="O827" i="10" s="1"/>
  <c r="I827" i="10"/>
  <c r="H827" i="10"/>
  <c r="G827" i="10"/>
  <c r="F827" i="10"/>
  <c r="Q827" i="10" s="1"/>
  <c r="E827" i="10"/>
  <c r="D827" i="10"/>
  <c r="C827" i="10"/>
  <c r="B827" i="10"/>
  <c r="A827" i="10"/>
  <c r="P826" i="10"/>
  <c r="N826" i="10"/>
  <c r="M826" i="10"/>
  <c r="L826" i="10"/>
  <c r="K826" i="10"/>
  <c r="J826" i="10"/>
  <c r="O826" i="10" s="1"/>
  <c r="I826" i="10"/>
  <c r="H826" i="10"/>
  <c r="G826" i="10"/>
  <c r="F826" i="10"/>
  <c r="Q826" i="10" s="1"/>
  <c r="R826" i="10" s="1"/>
  <c r="E826" i="10"/>
  <c r="D826" i="10"/>
  <c r="C826" i="10"/>
  <c r="B826" i="10"/>
  <c r="A826" i="10"/>
  <c r="P825" i="10"/>
  <c r="N825" i="10"/>
  <c r="M825" i="10"/>
  <c r="L825" i="10"/>
  <c r="K825" i="10"/>
  <c r="J825" i="10"/>
  <c r="O825" i="10" s="1"/>
  <c r="R825" i="10" s="1"/>
  <c r="I825" i="10"/>
  <c r="H825" i="10"/>
  <c r="G825" i="10"/>
  <c r="F825" i="10"/>
  <c r="Q825" i="10" s="1"/>
  <c r="E825" i="10"/>
  <c r="D825" i="10"/>
  <c r="C825" i="10"/>
  <c r="B825" i="10"/>
  <c r="A825" i="10"/>
  <c r="R824" i="10"/>
  <c r="Q824" i="10"/>
  <c r="N824" i="10"/>
  <c r="M824" i="10"/>
  <c r="L824" i="10"/>
  <c r="K824" i="10"/>
  <c r="J824" i="10"/>
  <c r="O824" i="10" s="1"/>
  <c r="I824" i="10"/>
  <c r="H824" i="10"/>
  <c r="G824" i="10"/>
  <c r="F824" i="10"/>
  <c r="E824" i="10"/>
  <c r="P824" i="10" s="1"/>
  <c r="D824" i="10"/>
  <c r="C824" i="10"/>
  <c r="B824" i="10"/>
  <c r="A824" i="10"/>
  <c r="P823" i="10"/>
  <c r="N823" i="10"/>
  <c r="M823" i="10"/>
  <c r="L823" i="10"/>
  <c r="K823" i="10"/>
  <c r="J823" i="10"/>
  <c r="O823" i="10" s="1"/>
  <c r="I823" i="10"/>
  <c r="H823" i="10"/>
  <c r="G823" i="10"/>
  <c r="F823" i="10"/>
  <c r="Q823" i="10" s="1"/>
  <c r="E823" i="10"/>
  <c r="D823" i="10"/>
  <c r="C823" i="10"/>
  <c r="B823" i="10"/>
  <c r="A823" i="10"/>
  <c r="P822" i="10"/>
  <c r="N822" i="10"/>
  <c r="M822" i="10"/>
  <c r="L822" i="10"/>
  <c r="K822" i="10"/>
  <c r="J822" i="10"/>
  <c r="O822" i="10" s="1"/>
  <c r="I822" i="10"/>
  <c r="H822" i="10"/>
  <c r="G822" i="10"/>
  <c r="F822" i="10"/>
  <c r="Q822" i="10" s="1"/>
  <c r="R822" i="10" s="1"/>
  <c r="E822" i="10"/>
  <c r="D822" i="10"/>
  <c r="C822" i="10"/>
  <c r="B822" i="10"/>
  <c r="A822" i="10"/>
  <c r="P821" i="10"/>
  <c r="N821" i="10"/>
  <c r="M821" i="10"/>
  <c r="L821" i="10"/>
  <c r="K821" i="10"/>
  <c r="J821" i="10"/>
  <c r="O821" i="10" s="1"/>
  <c r="R821" i="10" s="1"/>
  <c r="I821" i="10"/>
  <c r="H821" i="10"/>
  <c r="G821" i="10"/>
  <c r="F821" i="10"/>
  <c r="Q821" i="10" s="1"/>
  <c r="E821" i="10"/>
  <c r="D821" i="10"/>
  <c r="C821" i="10"/>
  <c r="B821" i="10"/>
  <c r="A821" i="10"/>
  <c r="R820" i="10"/>
  <c r="Q820" i="10"/>
  <c r="N820" i="10"/>
  <c r="M820" i="10"/>
  <c r="L820" i="10"/>
  <c r="K820" i="10"/>
  <c r="J820" i="10"/>
  <c r="O820" i="10" s="1"/>
  <c r="I820" i="10"/>
  <c r="H820" i="10"/>
  <c r="G820" i="10"/>
  <c r="F820" i="10"/>
  <c r="E820" i="10"/>
  <c r="P820" i="10" s="1"/>
  <c r="D820" i="10"/>
  <c r="C820" i="10"/>
  <c r="B820" i="10"/>
  <c r="A820" i="10"/>
  <c r="P819" i="10"/>
  <c r="N819" i="10"/>
  <c r="M819" i="10"/>
  <c r="L819" i="10"/>
  <c r="K819" i="10"/>
  <c r="J819" i="10"/>
  <c r="O819" i="10" s="1"/>
  <c r="I819" i="10"/>
  <c r="H819" i="10"/>
  <c r="G819" i="10"/>
  <c r="F819" i="10"/>
  <c r="Q819" i="10" s="1"/>
  <c r="E819" i="10"/>
  <c r="D819" i="10"/>
  <c r="C819" i="10"/>
  <c r="B819" i="10"/>
  <c r="A819" i="10"/>
  <c r="P818" i="10"/>
  <c r="N818" i="10"/>
  <c r="M818" i="10"/>
  <c r="L818" i="10"/>
  <c r="K818" i="10"/>
  <c r="J818" i="10"/>
  <c r="O818" i="10" s="1"/>
  <c r="I818" i="10"/>
  <c r="H818" i="10"/>
  <c r="G818" i="10"/>
  <c r="F818" i="10"/>
  <c r="Q818" i="10" s="1"/>
  <c r="R818" i="10" s="1"/>
  <c r="E818" i="10"/>
  <c r="D818" i="10"/>
  <c r="C818" i="10"/>
  <c r="B818" i="10"/>
  <c r="A818" i="10"/>
  <c r="P817" i="10"/>
  <c r="N817" i="10"/>
  <c r="M817" i="10"/>
  <c r="L817" i="10"/>
  <c r="K817" i="10"/>
  <c r="J817" i="10"/>
  <c r="O817" i="10" s="1"/>
  <c r="R817" i="10" s="1"/>
  <c r="I817" i="10"/>
  <c r="H817" i="10"/>
  <c r="G817" i="10"/>
  <c r="F817" i="10"/>
  <c r="Q817" i="10" s="1"/>
  <c r="E817" i="10"/>
  <c r="D817" i="10"/>
  <c r="C817" i="10"/>
  <c r="B817" i="10"/>
  <c r="A817" i="10"/>
  <c r="R816" i="10"/>
  <c r="Q816" i="10"/>
  <c r="N816" i="10"/>
  <c r="M816" i="10"/>
  <c r="L816" i="10"/>
  <c r="K816" i="10"/>
  <c r="J816" i="10"/>
  <c r="O816" i="10" s="1"/>
  <c r="I816" i="10"/>
  <c r="H816" i="10"/>
  <c r="G816" i="10"/>
  <c r="F816" i="10"/>
  <c r="E816" i="10"/>
  <c r="P816" i="10" s="1"/>
  <c r="D816" i="10"/>
  <c r="C816" i="10"/>
  <c r="B816" i="10"/>
  <c r="A816" i="10"/>
  <c r="P815" i="10"/>
  <c r="N815" i="10"/>
  <c r="M815" i="10"/>
  <c r="L815" i="10"/>
  <c r="K815" i="10"/>
  <c r="J815" i="10"/>
  <c r="O815" i="10" s="1"/>
  <c r="I815" i="10"/>
  <c r="H815" i="10"/>
  <c r="G815" i="10"/>
  <c r="F815" i="10"/>
  <c r="Q815" i="10" s="1"/>
  <c r="E815" i="10"/>
  <c r="D815" i="10"/>
  <c r="C815" i="10"/>
  <c r="B815" i="10"/>
  <c r="A815" i="10"/>
  <c r="P814" i="10"/>
  <c r="N814" i="10"/>
  <c r="M814" i="10"/>
  <c r="L814" i="10"/>
  <c r="K814" i="10"/>
  <c r="J814" i="10"/>
  <c r="O814" i="10" s="1"/>
  <c r="I814" i="10"/>
  <c r="H814" i="10"/>
  <c r="G814" i="10"/>
  <c r="F814" i="10"/>
  <c r="Q814" i="10" s="1"/>
  <c r="R814" i="10" s="1"/>
  <c r="E814" i="10"/>
  <c r="D814" i="10"/>
  <c r="C814" i="10"/>
  <c r="B814" i="10"/>
  <c r="A814" i="10"/>
  <c r="P813" i="10"/>
  <c r="N813" i="10"/>
  <c r="M813" i="10"/>
  <c r="L813" i="10"/>
  <c r="K813" i="10"/>
  <c r="J813" i="10"/>
  <c r="O813" i="10" s="1"/>
  <c r="R813" i="10" s="1"/>
  <c r="I813" i="10"/>
  <c r="H813" i="10"/>
  <c r="G813" i="10"/>
  <c r="F813" i="10"/>
  <c r="Q813" i="10" s="1"/>
  <c r="E813" i="10"/>
  <c r="D813" i="10"/>
  <c r="C813" i="10"/>
  <c r="B813" i="10"/>
  <c r="A813" i="10"/>
  <c r="R812" i="10"/>
  <c r="Q812" i="10"/>
  <c r="N812" i="10"/>
  <c r="M812" i="10"/>
  <c r="L812" i="10"/>
  <c r="K812" i="10"/>
  <c r="J812" i="10"/>
  <c r="O812" i="10" s="1"/>
  <c r="I812" i="10"/>
  <c r="H812" i="10"/>
  <c r="G812" i="10"/>
  <c r="F812" i="10"/>
  <c r="E812" i="10"/>
  <c r="P812" i="10" s="1"/>
  <c r="D812" i="10"/>
  <c r="C812" i="10"/>
  <c r="B812" i="10"/>
  <c r="A812" i="10"/>
  <c r="P811" i="10"/>
  <c r="N811" i="10"/>
  <c r="M811" i="10"/>
  <c r="L811" i="10"/>
  <c r="K811" i="10"/>
  <c r="J811" i="10"/>
  <c r="O811" i="10" s="1"/>
  <c r="I811" i="10"/>
  <c r="H811" i="10"/>
  <c r="G811" i="10"/>
  <c r="F811" i="10"/>
  <c r="Q811" i="10" s="1"/>
  <c r="E811" i="10"/>
  <c r="D811" i="10"/>
  <c r="C811" i="10"/>
  <c r="B811" i="10"/>
  <c r="A811" i="10"/>
  <c r="P810" i="10"/>
  <c r="N810" i="10"/>
  <c r="M810" i="10"/>
  <c r="L810" i="10"/>
  <c r="K810" i="10"/>
  <c r="J810" i="10"/>
  <c r="O810" i="10" s="1"/>
  <c r="I810" i="10"/>
  <c r="H810" i="10"/>
  <c r="G810" i="10"/>
  <c r="F810" i="10"/>
  <c r="Q810" i="10" s="1"/>
  <c r="R810" i="10" s="1"/>
  <c r="E810" i="10"/>
  <c r="D810" i="10"/>
  <c r="C810" i="10"/>
  <c r="B810" i="10"/>
  <c r="A810" i="10"/>
  <c r="P809" i="10"/>
  <c r="N809" i="10"/>
  <c r="M809" i="10"/>
  <c r="L809" i="10"/>
  <c r="K809" i="10"/>
  <c r="J809" i="10"/>
  <c r="O809" i="10" s="1"/>
  <c r="R809" i="10" s="1"/>
  <c r="I809" i="10"/>
  <c r="H809" i="10"/>
  <c r="G809" i="10"/>
  <c r="F809" i="10"/>
  <c r="Q809" i="10" s="1"/>
  <c r="E809" i="10"/>
  <c r="D809" i="10"/>
  <c r="C809" i="10"/>
  <c r="B809" i="10"/>
  <c r="A809" i="10"/>
  <c r="R808" i="10"/>
  <c r="Q808" i="10"/>
  <c r="N808" i="10"/>
  <c r="M808" i="10"/>
  <c r="L808" i="10"/>
  <c r="K808" i="10"/>
  <c r="J808" i="10"/>
  <c r="O808" i="10" s="1"/>
  <c r="I808" i="10"/>
  <c r="H808" i="10"/>
  <c r="G808" i="10"/>
  <c r="F808" i="10"/>
  <c r="E808" i="10"/>
  <c r="P808" i="10" s="1"/>
  <c r="D808" i="10"/>
  <c r="C808" i="10"/>
  <c r="B808" i="10"/>
  <c r="A808" i="10"/>
  <c r="P807" i="10"/>
  <c r="N807" i="10"/>
  <c r="M807" i="10"/>
  <c r="L807" i="10"/>
  <c r="K807" i="10"/>
  <c r="J807" i="10"/>
  <c r="O807" i="10" s="1"/>
  <c r="I807" i="10"/>
  <c r="H807" i="10"/>
  <c r="G807" i="10"/>
  <c r="F807" i="10"/>
  <c r="Q807" i="10" s="1"/>
  <c r="E807" i="10"/>
  <c r="D807" i="10"/>
  <c r="C807" i="10"/>
  <c r="B807" i="10"/>
  <c r="A807" i="10"/>
  <c r="P806" i="10"/>
  <c r="N806" i="10"/>
  <c r="M806" i="10"/>
  <c r="L806" i="10"/>
  <c r="K806" i="10"/>
  <c r="J806" i="10"/>
  <c r="O806" i="10" s="1"/>
  <c r="I806" i="10"/>
  <c r="H806" i="10"/>
  <c r="G806" i="10"/>
  <c r="F806" i="10"/>
  <c r="Q806" i="10" s="1"/>
  <c r="R806" i="10" s="1"/>
  <c r="E806" i="10"/>
  <c r="D806" i="10"/>
  <c r="C806" i="10"/>
  <c r="B806" i="10"/>
  <c r="A806" i="10"/>
  <c r="P805" i="10"/>
  <c r="N805" i="10"/>
  <c r="M805" i="10"/>
  <c r="L805" i="10"/>
  <c r="K805" i="10"/>
  <c r="J805" i="10"/>
  <c r="O805" i="10" s="1"/>
  <c r="R805" i="10" s="1"/>
  <c r="I805" i="10"/>
  <c r="H805" i="10"/>
  <c r="G805" i="10"/>
  <c r="F805" i="10"/>
  <c r="Q805" i="10" s="1"/>
  <c r="E805" i="10"/>
  <c r="D805" i="10"/>
  <c r="C805" i="10"/>
  <c r="B805" i="10"/>
  <c r="A805" i="10"/>
  <c r="R804" i="10"/>
  <c r="Q804" i="10"/>
  <c r="N804" i="10"/>
  <c r="M804" i="10"/>
  <c r="L804" i="10"/>
  <c r="K804" i="10"/>
  <c r="J804" i="10"/>
  <c r="O804" i="10" s="1"/>
  <c r="I804" i="10"/>
  <c r="H804" i="10"/>
  <c r="G804" i="10"/>
  <c r="F804" i="10"/>
  <c r="E804" i="10"/>
  <c r="P804" i="10" s="1"/>
  <c r="D804" i="10"/>
  <c r="C804" i="10"/>
  <c r="B804" i="10"/>
  <c r="A804" i="10"/>
  <c r="P803" i="10"/>
  <c r="N803" i="10"/>
  <c r="M803" i="10"/>
  <c r="L803" i="10"/>
  <c r="K803" i="10"/>
  <c r="J803" i="10"/>
  <c r="O803" i="10" s="1"/>
  <c r="I803" i="10"/>
  <c r="H803" i="10"/>
  <c r="G803" i="10"/>
  <c r="F803" i="10"/>
  <c r="Q803" i="10" s="1"/>
  <c r="E803" i="10"/>
  <c r="D803" i="10"/>
  <c r="C803" i="10"/>
  <c r="B803" i="10"/>
  <c r="A803" i="10"/>
  <c r="P802" i="10"/>
  <c r="N802" i="10"/>
  <c r="M802" i="10"/>
  <c r="L802" i="10"/>
  <c r="K802" i="10"/>
  <c r="J802" i="10"/>
  <c r="O802" i="10" s="1"/>
  <c r="I802" i="10"/>
  <c r="H802" i="10"/>
  <c r="G802" i="10"/>
  <c r="F802" i="10"/>
  <c r="Q802" i="10" s="1"/>
  <c r="R802" i="10" s="1"/>
  <c r="E802" i="10"/>
  <c r="D802" i="10"/>
  <c r="C802" i="10"/>
  <c r="B802" i="10"/>
  <c r="A802" i="10"/>
  <c r="P801" i="10"/>
  <c r="N801" i="10"/>
  <c r="M801" i="10"/>
  <c r="L801" i="10"/>
  <c r="K801" i="10"/>
  <c r="J801" i="10"/>
  <c r="O801" i="10" s="1"/>
  <c r="R801" i="10" s="1"/>
  <c r="I801" i="10"/>
  <c r="H801" i="10"/>
  <c r="G801" i="10"/>
  <c r="F801" i="10"/>
  <c r="Q801" i="10" s="1"/>
  <c r="E801" i="10"/>
  <c r="D801" i="10"/>
  <c r="C801" i="10"/>
  <c r="B801" i="10"/>
  <c r="A801" i="10"/>
  <c r="R800" i="10"/>
  <c r="Q800" i="10"/>
  <c r="N800" i="10"/>
  <c r="M800" i="10"/>
  <c r="L800" i="10"/>
  <c r="K800" i="10"/>
  <c r="J800" i="10"/>
  <c r="O800" i="10" s="1"/>
  <c r="I800" i="10"/>
  <c r="H800" i="10"/>
  <c r="G800" i="10"/>
  <c r="F800" i="10"/>
  <c r="E800" i="10"/>
  <c r="P800" i="10" s="1"/>
  <c r="D800" i="10"/>
  <c r="C800" i="10"/>
  <c r="B800" i="10"/>
  <c r="A800" i="10"/>
  <c r="P799" i="10"/>
  <c r="N799" i="10"/>
  <c r="M799" i="10"/>
  <c r="L799" i="10"/>
  <c r="K799" i="10"/>
  <c r="J799" i="10"/>
  <c r="O799" i="10" s="1"/>
  <c r="I799" i="10"/>
  <c r="H799" i="10"/>
  <c r="G799" i="10"/>
  <c r="F799" i="10"/>
  <c r="Q799" i="10" s="1"/>
  <c r="E799" i="10"/>
  <c r="D799" i="10"/>
  <c r="C799" i="10"/>
  <c r="B799" i="10"/>
  <c r="A799" i="10"/>
  <c r="P798" i="10"/>
  <c r="N798" i="10"/>
  <c r="M798" i="10"/>
  <c r="L798" i="10"/>
  <c r="K798" i="10"/>
  <c r="J798" i="10"/>
  <c r="O798" i="10" s="1"/>
  <c r="I798" i="10"/>
  <c r="H798" i="10"/>
  <c r="G798" i="10"/>
  <c r="F798" i="10"/>
  <c r="Q798" i="10" s="1"/>
  <c r="R798" i="10" s="1"/>
  <c r="E798" i="10"/>
  <c r="D798" i="10"/>
  <c r="C798" i="10"/>
  <c r="B798" i="10"/>
  <c r="A798" i="10"/>
  <c r="P797" i="10"/>
  <c r="N797" i="10"/>
  <c r="M797" i="10"/>
  <c r="L797" i="10"/>
  <c r="K797" i="10"/>
  <c r="J797" i="10"/>
  <c r="O797" i="10" s="1"/>
  <c r="R797" i="10" s="1"/>
  <c r="I797" i="10"/>
  <c r="H797" i="10"/>
  <c r="G797" i="10"/>
  <c r="F797" i="10"/>
  <c r="Q797" i="10" s="1"/>
  <c r="E797" i="10"/>
  <c r="D797" i="10"/>
  <c r="C797" i="10"/>
  <c r="B797" i="10"/>
  <c r="A797" i="10"/>
  <c r="R796" i="10"/>
  <c r="Q796" i="10"/>
  <c r="N796" i="10"/>
  <c r="M796" i="10"/>
  <c r="L796" i="10"/>
  <c r="K796" i="10"/>
  <c r="J796" i="10"/>
  <c r="O796" i="10" s="1"/>
  <c r="I796" i="10"/>
  <c r="H796" i="10"/>
  <c r="G796" i="10"/>
  <c r="F796" i="10"/>
  <c r="E796" i="10"/>
  <c r="P796" i="10" s="1"/>
  <c r="D796" i="10"/>
  <c r="C796" i="10"/>
  <c r="B796" i="10"/>
  <c r="A796" i="10"/>
  <c r="P795" i="10"/>
  <c r="N795" i="10"/>
  <c r="M795" i="10"/>
  <c r="L795" i="10"/>
  <c r="K795" i="10"/>
  <c r="J795" i="10"/>
  <c r="O795" i="10" s="1"/>
  <c r="I795" i="10"/>
  <c r="H795" i="10"/>
  <c r="G795" i="10"/>
  <c r="F795" i="10"/>
  <c r="Q795" i="10" s="1"/>
  <c r="E795" i="10"/>
  <c r="D795" i="10"/>
  <c r="C795" i="10"/>
  <c r="B795" i="10"/>
  <c r="A795" i="10"/>
  <c r="P794" i="10"/>
  <c r="N794" i="10"/>
  <c r="M794" i="10"/>
  <c r="L794" i="10"/>
  <c r="K794" i="10"/>
  <c r="J794" i="10"/>
  <c r="O794" i="10" s="1"/>
  <c r="I794" i="10"/>
  <c r="H794" i="10"/>
  <c r="G794" i="10"/>
  <c r="F794" i="10"/>
  <c r="Q794" i="10" s="1"/>
  <c r="R794" i="10" s="1"/>
  <c r="E794" i="10"/>
  <c r="D794" i="10"/>
  <c r="C794" i="10"/>
  <c r="B794" i="10"/>
  <c r="A794" i="10"/>
  <c r="P793" i="10"/>
  <c r="N793" i="10"/>
  <c r="M793" i="10"/>
  <c r="L793" i="10"/>
  <c r="K793" i="10"/>
  <c r="J793" i="10"/>
  <c r="O793" i="10" s="1"/>
  <c r="R793" i="10" s="1"/>
  <c r="I793" i="10"/>
  <c r="H793" i="10"/>
  <c r="G793" i="10"/>
  <c r="F793" i="10"/>
  <c r="Q793" i="10" s="1"/>
  <c r="E793" i="10"/>
  <c r="D793" i="10"/>
  <c r="C793" i="10"/>
  <c r="B793" i="10"/>
  <c r="A793" i="10"/>
  <c r="R792" i="10"/>
  <c r="Q792" i="10"/>
  <c r="N792" i="10"/>
  <c r="M792" i="10"/>
  <c r="L792" i="10"/>
  <c r="K792" i="10"/>
  <c r="J792" i="10"/>
  <c r="O792" i="10" s="1"/>
  <c r="I792" i="10"/>
  <c r="H792" i="10"/>
  <c r="G792" i="10"/>
  <c r="F792" i="10"/>
  <c r="E792" i="10"/>
  <c r="P792" i="10" s="1"/>
  <c r="D792" i="10"/>
  <c r="C792" i="10"/>
  <c r="B792" i="10"/>
  <c r="A792" i="10"/>
  <c r="P791" i="10"/>
  <c r="N791" i="10"/>
  <c r="M791" i="10"/>
  <c r="L791" i="10"/>
  <c r="K791" i="10"/>
  <c r="J791" i="10"/>
  <c r="O791" i="10" s="1"/>
  <c r="I791" i="10"/>
  <c r="H791" i="10"/>
  <c r="G791" i="10"/>
  <c r="F791" i="10"/>
  <c r="Q791" i="10" s="1"/>
  <c r="E791" i="10"/>
  <c r="D791" i="10"/>
  <c r="C791" i="10"/>
  <c r="B791" i="10"/>
  <c r="A791" i="10"/>
  <c r="P790" i="10"/>
  <c r="N790" i="10"/>
  <c r="M790" i="10"/>
  <c r="L790" i="10"/>
  <c r="K790" i="10"/>
  <c r="J790" i="10"/>
  <c r="O790" i="10" s="1"/>
  <c r="I790" i="10"/>
  <c r="H790" i="10"/>
  <c r="G790" i="10"/>
  <c r="F790" i="10"/>
  <c r="Q790" i="10" s="1"/>
  <c r="R790" i="10" s="1"/>
  <c r="E790" i="10"/>
  <c r="D790" i="10"/>
  <c r="C790" i="10"/>
  <c r="B790" i="10"/>
  <c r="A790" i="10"/>
  <c r="P789" i="10"/>
  <c r="N789" i="10"/>
  <c r="M789" i="10"/>
  <c r="L789" i="10"/>
  <c r="K789" i="10"/>
  <c r="J789" i="10"/>
  <c r="O789" i="10" s="1"/>
  <c r="R789" i="10" s="1"/>
  <c r="I789" i="10"/>
  <c r="H789" i="10"/>
  <c r="G789" i="10"/>
  <c r="F789" i="10"/>
  <c r="Q789" i="10" s="1"/>
  <c r="E789" i="10"/>
  <c r="D789" i="10"/>
  <c r="C789" i="10"/>
  <c r="B789" i="10"/>
  <c r="A789" i="10"/>
  <c r="R788" i="10"/>
  <c r="Q788" i="10"/>
  <c r="N788" i="10"/>
  <c r="M788" i="10"/>
  <c r="L788" i="10"/>
  <c r="K788" i="10"/>
  <c r="J788" i="10"/>
  <c r="O788" i="10" s="1"/>
  <c r="I788" i="10"/>
  <c r="H788" i="10"/>
  <c r="G788" i="10"/>
  <c r="F788" i="10"/>
  <c r="E788" i="10"/>
  <c r="P788" i="10" s="1"/>
  <c r="D788" i="10"/>
  <c r="C788" i="10"/>
  <c r="B788" i="10"/>
  <c r="A788" i="10"/>
  <c r="P787" i="10"/>
  <c r="N787" i="10"/>
  <c r="M787" i="10"/>
  <c r="L787" i="10"/>
  <c r="K787" i="10"/>
  <c r="J787" i="10"/>
  <c r="O787" i="10" s="1"/>
  <c r="I787" i="10"/>
  <c r="H787" i="10"/>
  <c r="G787" i="10"/>
  <c r="F787" i="10"/>
  <c r="Q787" i="10" s="1"/>
  <c r="E787" i="10"/>
  <c r="D787" i="10"/>
  <c r="C787" i="10"/>
  <c r="B787" i="10"/>
  <c r="A787" i="10"/>
  <c r="P786" i="10"/>
  <c r="N786" i="10"/>
  <c r="M786" i="10"/>
  <c r="L786" i="10"/>
  <c r="K786" i="10"/>
  <c r="J786" i="10"/>
  <c r="O786" i="10" s="1"/>
  <c r="I786" i="10"/>
  <c r="H786" i="10"/>
  <c r="G786" i="10"/>
  <c r="F786" i="10"/>
  <c r="Q786" i="10" s="1"/>
  <c r="R786" i="10" s="1"/>
  <c r="E786" i="10"/>
  <c r="D786" i="10"/>
  <c r="C786" i="10"/>
  <c r="B786" i="10"/>
  <c r="A786" i="10"/>
  <c r="P785" i="10"/>
  <c r="N785" i="10"/>
  <c r="M785" i="10"/>
  <c r="L785" i="10"/>
  <c r="K785" i="10"/>
  <c r="J785" i="10"/>
  <c r="O785" i="10" s="1"/>
  <c r="R785" i="10" s="1"/>
  <c r="I785" i="10"/>
  <c r="H785" i="10"/>
  <c r="G785" i="10"/>
  <c r="F785" i="10"/>
  <c r="Q785" i="10" s="1"/>
  <c r="E785" i="10"/>
  <c r="D785" i="10"/>
  <c r="C785" i="10"/>
  <c r="B785" i="10"/>
  <c r="A785" i="10"/>
  <c r="R784" i="10"/>
  <c r="Q784" i="10"/>
  <c r="N784" i="10"/>
  <c r="M784" i="10"/>
  <c r="L784" i="10"/>
  <c r="K784" i="10"/>
  <c r="J784" i="10"/>
  <c r="O784" i="10" s="1"/>
  <c r="I784" i="10"/>
  <c r="H784" i="10"/>
  <c r="G784" i="10"/>
  <c r="F784" i="10"/>
  <c r="E784" i="10"/>
  <c r="P784" i="10" s="1"/>
  <c r="D784" i="10"/>
  <c r="C784" i="10"/>
  <c r="B784" i="10"/>
  <c r="A784" i="10"/>
  <c r="P783" i="10"/>
  <c r="N783" i="10"/>
  <c r="M783" i="10"/>
  <c r="L783" i="10"/>
  <c r="K783" i="10"/>
  <c r="J783" i="10"/>
  <c r="O783" i="10" s="1"/>
  <c r="I783" i="10"/>
  <c r="H783" i="10"/>
  <c r="G783" i="10"/>
  <c r="F783" i="10"/>
  <c r="Q783" i="10" s="1"/>
  <c r="E783" i="10"/>
  <c r="D783" i="10"/>
  <c r="C783" i="10"/>
  <c r="B783" i="10"/>
  <c r="A783" i="10"/>
  <c r="P782" i="10"/>
  <c r="N782" i="10"/>
  <c r="M782" i="10"/>
  <c r="L782" i="10"/>
  <c r="K782" i="10"/>
  <c r="J782" i="10"/>
  <c r="O782" i="10" s="1"/>
  <c r="I782" i="10"/>
  <c r="H782" i="10"/>
  <c r="G782" i="10"/>
  <c r="F782" i="10"/>
  <c r="Q782" i="10" s="1"/>
  <c r="R782" i="10" s="1"/>
  <c r="E782" i="10"/>
  <c r="D782" i="10"/>
  <c r="C782" i="10"/>
  <c r="B782" i="10"/>
  <c r="A782" i="10"/>
  <c r="P781" i="10"/>
  <c r="N781" i="10"/>
  <c r="M781" i="10"/>
  <c r="L781" i="10"/>
  <c r="K781" i="10"/>
  <c r="J781" i="10"/>
  <c r="O781" i="10" s="1"/>
  <c r="R781" i="10" s="1"/>
  <c r="I781" i="10"/>
  <c r="H781" i="10"/>
  <c r="G781" i="10"/>
  <c r="F781" i="10"/>
  <c r="Q781" i="10" s="1"/>
  <c r="E781" i="10"/>
  <c r="D781" i="10"/>
  <c r="C781" i="10"/>
  <c r="B781" i="10"/>
  <c r="A781" i="10"/>
  <c r="R780" i="10"/>
  <c r="Q780" i="10"/>
  <c r="N780" i="10"/>
  <c r="M780" i="10"/>
  <c r="L780" i="10"/>
  <c r="K780" i="10"/>
  <c r="J780" i="10"/>
  <c r="O780" i="10" s="1"/>
  <c r="I780" i="10"/>
  <c r="H780" i="10"/>
  <c r="G780" i="10"/>
  <c r="F780" i="10"/>
  <c r="E780" i="10"/>
  <c r="P780" i="10" s="1"/>
  <c r="D780" i="10"/>
  <c r="C780" i="10"/>
  <c r="B780" i="10"/>
  <c r="A780" i="10"/>
  <c r="P779" i="10"/>
  <c r="N779" i="10"/>
  <c r="M779" i="10"/>
  <c r="L779" i="10"/>
  <c r="K779" i="10"/>
  <c r="J779" i="10"/>
  <c r="O779" i="10" s="1"/>
  <c r="I779" i="10"/>
  <c r="H779" i="10"/>
  <c r="G779" i="10"/>
  <c r="F779" i="10"/>
  <c r="Q779" i="10" s="1"/>
  <c r="E779" i="10"/>
  <c r="D779" i="10"/>
  <c r="C779" i="10"/>
  <c r="B779" i="10"/>
  <c r="A779" i="10"/>
  <c r="P778" i="10"/>
  <c r="N778" i="10"/>
  <c r="M778" i="10"/>
  <c r="L778" i="10"/>
  <c r="K778" i="10"/>
  <c r="J778" i="10"/>
  <c r="O778" i="10" s="1"/>
  <c r="I778" i="10"/>
  <c r="H778" i="10"/>
  <c r="G778" i="10"/>
  <c r="F778" i="10"/>
  <c r="Q778" i="10" s="1"/>
  <c r="R778" i="10" s="1"/>
  <c r="E778" i="10"/>
  <c r="D778" i="10"/>
  <c r="C778" i="10"/>
  <c r="B778" i="10"/>
  <c r="A778" i="10"/>
  <c r="P777" i="10"/>
  <c r="N777" i="10"/>
  <c r="M777" i="10"/>
  <c r="L777" i="10"/>
  <c r="K777" i="10"/>
  <c r="J777" i="10"/>
  <c r="O777" i="10" s="1"/>
  <c r="R777" i="10" s="1"/>
  <c r="I777" i="10"/>
  <c r="H777" i="10"/>
  <c r="G777" i="10"/>
  <c r="F777" i="10"/>
  <c r="Q777" i="10" s="1"/>
  <c r="E777" i="10"/>
  <c r="D777" i="10"/>
  <c r="C777" i="10"/>
  <c r="B777" i="10"/>
  <c r="A777" i="10"/>
  <c r="R776" i="10"/>
  <c r="P776" i="10"/>
  <c r="N776" i="10"/>
  <c r="M776" i="10"/>
  <c r="L776" i="10"/>
  <c r="K776" i="10"/>
  <c r="J776" i="10"/>
  <c r="O776" i="10" s="1"/>
  <c r="I776" i="10"/>
  <c r="H776" i="10"/>
  <c r="G776" i="10"/>
  <c r="F776" i="10"/>
  <c r="Q776" i="10" s="1"/>
  <c r="E776" i="10"/>
  <c r="D776" i="10"/>
  <c r="C776" i="10"/>
  <c r="B776" i="10"/>
  <c r="A776" i="10"/>
  <c r="P775" i="10"/>
  <c r="N775" i="10"/>
  <c r="M775" i="10"/>
  <c r="L775" i="10"/>
  <c r="K775" i="10"/>
  <c r="J775" i="10"/>
  <c r="O775" i="10" s="1"/>
  <c r="I775" i="10"/>
  <c r="H775" i="10"/>
  <c r="G775" i="10"/>
  <c r="F775" i="10"/>
  <c r="Q775" i="10" s="1"/>
  <c r="E775" i="10"/>
  <c r="D775" i="10"/>
  <c r="C775" i="10"/>
  <c r="B775" i="10"/>
  <c r="A775" i="10"/>
  <c r="P774" i="10"/>
  <c r="N774" i="10"/>
  <c r="M774" i="10"/>
  <c r="L774" i="10"/>
  <c r="K774" i="10"/>
  <c r="J774" i="10"/>
  <c r="O774" i="10" s="1"/>
  <c r="I774" i="10"/>
  <c r="H774" i="10"/>
  <c r="G774" i="10"/>
  <c r="F774" i="10"/>
  <c r="Q774" i="10" s="1"/>
  <c r="E774" i="10"/>
  <c r="D774" i="10"/>
  <c r="C774" i="10"/>
  <c r="B774" i="10"/>
  <c r="A774" i="10"/>
  <c r="P773" i="10"/>
  <c r="N773" i="10"/>
  <c r="M773" i="10"/>
  <c r="L773" i="10"/>
  <c r="K773" i="10"/>
  <c r="J773" i="10"/>
  <c r="O773" i="10" s="1"/>
  <c r="I773" i="10"/>
  <c r="H773" i="10"/>
  <c r="G773" i="10"/>
  <c r="F773" i="10"/>
  <c r="Q773" i="10" s="1"/>
  <c r="E773" i="10"/>
  <c r="D773" i="10"/>
  <c r="C773" i="10"/>
  <c r="B773" i="10"/>
  <c r="A773" i="10"/>
  <c r="P772" i="10"/>
  <c r="N772" i="10"/>
  <c r="M772" i="10"/>
  <c r="L772" i="10"/>
  <c r="K772" i="10"/>
  <c r="J772" i="10"/>
  <c r="O772" i="10" s="1"/>
  <c r="R772" i="10" s="1"/>
  <c r="I772" i="10"/>
  <c r="H772" i="10"/>
  <c r="G772" i="10"/>
  <c r="F772" i="10"/>
  <c r="Q772" i="10" s="1"/>
  <c r="E772" i="10"/>
  <c r="D772" i="10"/>
  <c r="C772" i="10"/>
  <c r="B772" i="10"/>
  <c r="A772" i="10"/>
  <c r="P771" i="10"/>
  <c r="N771" i="10"/>
  <c r="M771" i="10"/>
  <c r="L771" i="10"/>
  <c r="K771" i="10"/>
  <c r="J771" i="10"/>
  <c r="O771" i="10" s="1"/>
  <c r="I771" i="10"/>
  <c r="H771" i="10"/>
  <c r="G771" i="10"/>
  <c r="F771" i="10"/>
  <c r="Q771" i="10" s="1"/>
  <c r="E771" i="10"/>
  <c r="D771" i="10"/>
  <c r="C771" i="10"/>
  <c r="B771" i="10"/>
  <c r="A771" i="10"/>
  <c r="R770" i="10"/>
  <c r="P770" i="10"/>
  <c r="N770" i="10"/>
  <c r="M770" i="10"/>
  <c r="L770" i="10"/>
  <c r="K770" i="10"/>
  <c r="J770" i="10"/>
  <c r="O770" i="10" s="1"/>
  <c r="I770" i="10"/>
  <c r="H770" i="10"/>
  <c r="G770" i="10"/>
  <c r="F770" i="10"/>
  <c r="Q770" i="10" s="1"/>
  <c r="E770" i="10"/>
  <c r="D770" i="10"/>
  <c r="C770" i="10"/>
  <c r="B770" i="10"/>
  <c r="A770" i="10"/>
  <c r="P769" i="10"/>
  <c r="N769" i="10"/>
  <c r="M769" i="10"/>
  <c r="L769" i="10"/>
  <c r="K769" i="10"/>
  <c r="J769" i="10"/>
  <c r="O769" i="10" s="1"/>
  <c r="I769" i="10"/>
  <c r="H769" i="10"/>
  <c r="G769" i="10"/>
  <c r="F769" i="10"/>
  <c r="Q769" i="10" s="1"/>
  <c r="E769" i="10"/>
  <c r="D769" i="10"/>
  <c r="C769" i="10"/>
  <c r="B769" i="10"/>
  <c r="A769" i="10"/>
  <c r="R768" i="10"/>
  <c r="P768" i="10"/>
  <c r="N768" i="10"/>
  <c r="M768" i="10"/>
  <c r="L768" i="10"/>
  <c r="K768" i="10"/>
  <c r="J768" i="10"/>
  <c r="O768" i="10" s="1"/>
  <c r="I768" i="10"/>
  <c r="H768" i="10"/>
  <c r="G768" i="10"/>
  <c r="F768" i="10"/>
  <c r="Q768" i="10" s="1"/>
  <c r="E768" i="10"/>
  <c r="D768" i="10"/>
  <c r="C768" i="10"/>
  <c r="B768" i="10"/>
  <c r="A768" i="10"/>
  <c r="P767" i="10"/>
  <c r="N767" i="10"/>
  <c r="M767" i="10"/>
  <c r="L767" i="10"/>
  <c r="K767" i="10"/>
  <c r="J767" i="10"/>
  <c r="O767" i="10" s="1"/>
  <c r="I767" i="10"/>
  <c r="H767" i="10"/>
  <c r="G767" i="10"/>
  <c r="F767" i="10"/>
  <c r="Q767" i="10" s="1"/>
  <c r="E767" i="10"/>
  <c r="D767" i="10"/>
  <c r="C767" i="10"/>
  <c r="B767" i="10"/>
  <c r="A767" i="10"/>
  <c r="P766" i="10"/>
  <c r="N766" i="10"/>
  <c r="M766" i="10"/>
  <c r="L766" i="10"/>
  <c r="K766" i="10"/>
  <c r="J766" i="10"/>
  <c r="O766" i="10" s="1"/>
  <c r="I766" i="10"/>
  <c r="H766" i="10"/>
  <c r="G766" i="10"/>
  <c r="F766" i="10"/>
  <c r="Q766" i="10" s="1"/>
  <c r="E766" i="10"/>
  <c r="D766" i="10"/>
  <c r="C766" i="10"/>
  <c r="B766" i="10"/>
  <c r="A766" i="10"/>
  <c r="P765" i="10"/>
  <c r="N765" i="10"/>
  <c r="M765" i="10"/>
  <c r="L765" i="10"/>
  <c r="K765" i="10"/>
  <c r="J765" i="10"/>
  <c r="O765" i="10" s="1"/>
  <c r="I765" i="10"/>
  <c r="H765" i="10"/>
  <c r="G765" i="10"/>
  <c r="F765" i="10"/>
  <c r="Q765" i="10" s="1"/>
  <c r="E765" i="10"/>
  <c r="D765" i="10"/>
  <c r="C765" i="10"/>
  <c r="B765" i="10"/>
  <c r="A765" i="10"/>
  <c r="P764" i="10"/>
  <c r="N764" i="10"/>
  <c r="M764" i="10"/>
  <c r="L764" i="10"/>
  <c r="K764" i="10"/>
  <c r="J764" i="10"/>
  <c r="O764" i="10" s="1"/>
  <c r="R764" i="10" s="1"/>
  <c r="I764" i="10"/>
  <c r="H764" i="10"/>
  <c r="G764" i="10"/>
  <c r="F764" i="10"/>
  <c r="Q764" i="10" s="1"/>
  <c r="E764" i="10"/>
  <c r="D764" i="10"/>
  <c r="C764" i="10"/>
  <c r="B764" i="10"/>
  <c r="A764" i="10"/>
  <c r="P763" i="10"/>
  <c r="N763" i="10"/>
  <c r="M763" i="10"/>
  <c r="L763" i="10"/>
  <c r="K763" i="10"/>
  <c r="J763" i="10"/>
  <c r="O763" i="10" s="1"/>
  <c r="I763" i="10"/>
  <c r="H763" i="10"/>
  <c r="G763" i="10"/>
  <c r="F763" i="10"/>
  <c r="Q763" i="10" s="1"/>
  <c r="E763" i="10"/>
  <c r="D763" i="10"/>
  <c r="C763" i="10"/>
  <c r="B763" i="10"/>
  <c r="A763" i="10"/>
  <c r="R762" i="10"/>
  <c r="P762" i="10"/>
  <c r="N762" i="10"/>
  <c r="M762" i="10"/>
  <c r="L762" i="10"/>
  <c r="K762" i="10"/>
  <c r="J762" i="10"/>
  <c r="O762" i="10" s="1"/>
  <c r="I762" i="10"/>
  <c r="H762" i="10"/>
  <c r="G762" i="10"/>
  <c r="F762" i="10"/>
  <c r="Q762" i="10" s="1"/>
  <c r="E762" i="10"/>
  <c r="D762" i="10"/>
  <c r="C762" i="10"/>
  <c r="B762" i="10"/>
  <c r="A762" i="10"/>
  <c r="P761" i="10"/>
  <c r="N761" i="10"/>
  <c r="M761" i="10"/>
  <c r="L761" i="10"/>
  <c r="K761" i="10"/>
  <c r="J761" i="10"/>
  <c r="O761" i="10" s="1"/>
  <c r="I761" i="10"/>
  <c r="H761" i="10"/>
  <c r="G761" i="10"/>
  <c r="F761" i="10"/>
  <c r="Q761" i="10" s="1"/>
  <c r="E761" i="10"/>
  <c r="D761" i="10"/>
  <c r="C761" i="10"/>
  <c r="B761" i="10"/>
  <c r="A761" i="10"/>
  <c r="R760" i="10"/>
  <c r="P760" i="10"/>
  <c r="N760" i="10"/>
  <c r="M760" i="10"/>
  <c r="L760" i="10"/>
  <c r="K760" i="10"/>
  <c r="J760" i="10"/>
  <c r="O760" i="10" s="1"/>
  <c r="I760" i="10"/>
  <c r="H760" i="10"/>
  <c r="G760" i="10"/>
  <c r="F760" i="10"/>
  <c r="Q760" i="10" s="1"/>
  <c r="E760" i="10"/>
  <c r="D760" i="10"/>
  <c r="C760" i="10"/>
  <c r="B760" i="10"/>
  <c r="A760" i="10"/>
  <c r="P759" i="10"/>
  <c r="N759" i="10"/>
  <c r="M759" i="10"/>
  <c r="L759" i="10"/>
  <c r="K759" i="10"/>
  <c r="J759" i="10"/>
  <c r="O759" i="10" s="1"/>
  <c r="I759" i="10"/>
  <c r="H759" i="10"/>
  <c r="G759" i="10"/>
  <c r="F759" i="10"/>
  <c r="Q759" i="10" s="1"/>
  <c r="E759" i="10"/>
  <c r="D759" i="10"/>
  <c r="C759" i="10"/>
  <c r="B759" i="10"/>
  <c r="A759" i="10"/>
  <c r="P758" i="10"/>
  <c r="N758" i="10"/>
  <c r="M758" i="10"/>
  <c r="L758" i="10"/>
  <c r="K758" i="10"/>
  <c r="J758" i="10"/>
  <c r="O758" i="10" s="1"/>
  <c r="I758" i="10"/>
  <c r="H758" i="10"/>
  <c r="G758" i="10"/>
  <c r="F758" i="10"/>
  <c r="Q758" i="10" s="1"/>
  <c r="E758" i="10"/>
  <c r="D758" i="10"/>
  <c r="C758" i="10"/>
  <c r="B758" i="10"/>
  <c r="A758" i="10"/>
  <c r="P757" i="10"/>
  <c r="N757" i="10"/>
  <c r="M757" i="10"/>
  <c r="L757" i="10"/>
  <c r="K757" i="10"/>
  <c r="J757" i="10"/>
  <c r="O757" i="10" s="1"/>
  <c r="I757" i="10"/>
  <c r="H757" i="10"/>
  <c r="G757" i="10"/>
  <c r="F757" i="10"/>
  <c r="Q757" i="10" s="1"/>
  <c r="E757" i="10"/>
  <c r="D757" i="10"/>
  <c r="C757" i="10"/>
  <c r="B757" i="10"/>
  <c r="A757" i="10"/>
  <c r="P756" i="10"/>
  <c r="N756" i="10"/>
  <c r="M756" i="10"/>
  <c r="L756" i="10"/>
  <c r="K756" i="10"/>
  <c r="J756" i="10"/>
  <c r="O756" i="10" s="1"/>
  <c r="R756" i="10" s="1"/>
  <c r="I756" i="10"/>
  <c r="H756" i="10"/>
  <c r="G756" i="10"/>
  <c r="F756" i="10"/>
  <c r="Q756" i="10" s="1"/>
  <c r="E756" i="10"/>
  <c r="D756" i="10"/>
  <c r="C756" i="10"/>
  <c r="B756" i="10"/>
  <c r="A756" i="10"/>
  <c r="P755" i="10"/>
  <c r="N755" i="10"/>
  <c r="M755" i="10"/>
  <c r="L755" i="10"/>
  <c r="K755" i="10"/>
  <c r="J755" i="10"/>
  <c r="O755" i="10" s="1"/>
  <c r="I755" i="10"/>
  <c r="H755" i="10"/>
  <c r="G755" i="10"/>
  <c r="F755" i="10"/>
  <c r="Q755" i="10" s="1"/>
  <c r="E755" i="10"/>
  <c r="D755" i="10"/>
  <c r="C755" i="10"/>
  <c r="B755" i="10"/>
  <c r="A755" i="10"/>
  <c r="R754" i="10"/>
  <c r="P754" i="10"/>
  <c r="N754" i="10"/>
  <c r="M754" i="10"/>
  <c r="L754" i="10"/>
  <c r="K754" i="10"/>
  <c r="J754" i="10"/>
  <c r="O754" i="10" s="1"/>
  <c r="I754" i="10"/>
  <c r="H754" i="10"/>
  <c r="G754" i="10"/>
  <c r="F754" i="10"/>
  <c r="Q754" i="10" s="1"/>
  <c r="E754" i="10"/>
  <c r="D754" i="10"/>
  <c r="C754" i="10"/>
  <c r="B754" i="10"/>
  <c r="A754" i="10"/>
  <c r="P753" i="10"/>
  <c r="N753" i="10"/>
  <c r="M753" i="10"/>
  <c r="L753" i="10"/>
  <c r="K753" i="10"/>
  <c r="J753" i="10"/>
  <c r="O753" i="10" s="1"/>
  <c r="I753" i="10"/>
  <c r="H753" i="10"/>
  <c r="G753" i="10"/>
  <c r="F753" i="10"/>
  <c r="Q753" i="10" s="1"/>
  <c r="E753" i="10"/>
  <c r="D753" i="10"/>
  <c r="C753" i="10"/>
  <c r="B753" i="10"/>
  <c r="A753" i="10"/>
  <c r="R752" i="10"/>
  <c r="P752" i="10"/>
  <c r="N752" i="10"/>
  <c r="M752" i="10"/>
  <c r="L752" i="10"/>
  <c r="K752" i="10"/>
  <c r="J752" i="10"/>
  <c r="O752" i="10" s="1"/>
  <c r="I752" i="10"/>
  <c r="H752" i="10"/>
  <c r="G752" i="10"/>
  <c r="F752" i="10"/>
  <c r="Q752" i="10" s="1"/>
  <c r="E752" i="10"/>
  <c r="D752" i="10"/>
  <c r="C752" i="10"/>
  <c r="B752" i="10"/>
  <c r="A752" i="10"/>
  <c r="P751" i="10"/>
  <c r="N751" i="10"/>
  <c r="M751" i="10"/>
  <c r="L751" i="10"/>
  <c r="K751" i="10"/>
  <c r="J751" i="10"/>
  <c r="O751" i="10" s="1"/>
  <c r="I751" i="10"/>
  <c r="H751" i="10"/>
  <c r="G751" i="10"/>
  <c r="F751" i="10"/>
  <c r="Q751" i="10" s="1"/>
  <c r="E751" i="10"/>
  <c r="D751" i="10"/>
  <c r="C751" i="10"/>
  <c r="B751" i="10"/>
  <c r="A751" i="10"/>
  <c r="P750" i="10"/>
  <c r="N750" i="10"/>
  <c r="M750" i="10"/>
  <c r="L750" i="10"/>
  <c r="K750" i="10"/>
  <c r="J750" i="10"/>
  <c r="O750" i="10" s="1"/>
  <c r="I750" i="10"/>
  <c r="H750" i="10"/>
  <c r="G750" i="10"/>
  <c r="F750" i="10"/>
  <c r="Q750" i="10" s="1"/>
  <c r="E750" i="10"/>
  <c r="D750" i="10"/>
  <c r="C750" i="10"/>
  <c r="B750" i="10"/>
  <c r="A750" i="10"/>
  <c r="P749" i="10"/>
  <c r="N749" i="10"/>
  <c r="M749" i="10"/>
  <c r="L749" i="10"/>
  <c r="K749" i="10"/>
  <c r="J749" i="10"/>
  <c r="O749" i="10" s="1"/>
  <c r="I749" i="10"/>
  <c r="H749" i="10"/>
  <c r="G749" i="10"/>
  <c r="F749" i="10"/>
  <c r="Q749" i="10" s="1"/>
  <c r="E749" i="10"/>
  <c r="D749" i="10"/>
  <c r="C749" i="10"/>
  <c r="B749" i="10"/>
  <c r="A749" i="10"/>
  <c r="P748" i="10"/>
  <c r="N748" i="10"/>
  <c r="M748" i="10"/>
  <c r="L748" i="10"/>
  <c r="K748" i="10"/>
  <c r="J748" i="10"/>
  <c r="O748" i="10" s="1"/>
  <c r="R748" i="10" s="1"/>
  <c r="I748" i="10"/>
  <c r="H748" i="10"/>
  <c r="G748" i="10"/>
  <c r="F748" i="10"/>
  <c r="Q748" i="10" s="1"/>
  <c r="E748" i="10"/>
  <c r="D748" i="10"/>
  <c r="C748" i="10"/>
  <c r="B748" i="10"/>
  <c r="A748" i="10"/>
  <c r="P747" i="10"/>
  <c r="N747" i="10"/>
  <c r="M747" i="10"/>
  <c r="L747" i="10"/>
  <c r="K747" i="10"/>
  <c r="J747" i="10"/>
  <c r="O747" i="10" s="1"/>
  <c r="I747" i="10"/>
  <c r="H747" i="10"/>
  <c r="G747" i="10"/>
  <c r="F747" i="10"/>
  <c r="Q747" i="10" s="1"/>
  <c r="E747" i="10"/>
  <c r="D747" i="10"/>
  <c r="C747" i="10"/>
  <c r="B747" i="10"/>
  <c r="A747" i="10"/>
  <c r="R746" i="10"/>
  <c r="P746" i="10"/>
  <c r="N746" i="10"/>
  <c r="M746" i="10"/>
  <c r="L746" i="10"/>
  <c r="K746" i="10"/>
  <c r="J746" i="10"/>
  <c r="O746" i="10" s="1"/>
  <c r="I746" i="10"/>
  <c r="H746" i="10"/>
  <c r="G746" i="10"/>
  <c r="F746" i="10"/>
  <c r="Q746" i="10" s="1"/>
  <c r="E746" i="10"/>
  <c r="D746" i="10"/>
  <c r="C746" i="10"/>
  <c r="B746" i="10"/>
  <c r="A746" i="10"/>
  <c r="P745" i="10"/>
  <c r="N745" i="10"/>
  <c r="M745" i="10"/>
  <c r="L745" i="10"/>
  <c r="K745" i="10"/>
  <c r="J745" i="10"/>
  <c r="O745" i="10" s="1"/>
  <c r="I745" i="10"/>
  <c r="H745" i="10"/>
  <c r="G745" i="10"/>
  <c r="F745" i="10"/>
  <c r="Q745" i="10" s="1"/>
  <c r="E745" i="10"/>
  <c r="D745" i="10"/>
  <c r="C745" i="10"/>
  <c r="B745" i="10"/>
  <c r="A745" i="10"/>
  <c r="R744" i="10"/>
  <c r="P744" i="10"/>
  <c r="N744" i="10"/>
  <c r="M744" i="10"/>
  <c r="L744" i="10"/>
  <c r="K744" i="10"/>
  <c r="J744" i="10"/>
  <c r="O744" i="10" s="1"/>
  <c r="I744" i="10"/>
  <c r="H744" i="10"/>
  <c r="G744" i="10"/>
  <c r="F744" i="10"/>
  <c r="Q744" i="10" s="1"/>
  <c r="E744" i="10"/>
  <c r="D744" i="10"/>
  <c r="C744" i="10"/>
  <c r="B744" i="10"/>
  <c r="A744" i="10"/>
  <c r="P743" i="10"/>
  <c r="N743" i="10"/>
  <c r="M743" i="10"/>
  <c r="L743" i="10"/>
  <c r="K743" i="10"/>
  <c r="J743" i="10"/>
  <c r="O743" i="10" s="1"/>
  <c r="I743" i="10"/>
  <c r="H743" i="10"/>
  <c r="G743" i="10"/>
  <c r="F743" i="10"/>
  <c r="Q743" i="10" s="1"/>
  <c r="E743" i="10"/>
  <c r="D743" i="10"/>
  <c r="C743" i="10"/>
  <c r="B743" i="10"/>
  <c r="A743" i="10"/>
  <c r="P742" i="10"/>
  <c r="N742" i="10"/>
  <c r="M742" i="10"/>
  <c r="L742" i="10"/>
  <c r="K742" i="10"/>
  <c r="J742" i="10"/>
  <c r="O742" i="10" s="1"/>
  <c r="I742" i="10"/>
  <c r="H742" i="10"/>
  <c r="G742" i="10"/>
  <c r="F742" i="10"/>
  <c r="Q742" i="10" s="1"/>
  <c r="E742" i="10"/>
  <c r="D742" i="10"/>
  <c r="C742" i="10"/>
  <c r="B742" i="10"/>
  <c r="A742" i="10"/>
  <c r="P741" i="10"/>
  <c r="N741" i="10"/>
  <c r="M741" i="10"/>
  <c r="L741" i="10"/>
  <c r="K741" i="10"/>
  <c r="J741" i="10"/>
  <c r="O741" i="10" s="1"/>
  <c r="I741" i="10"/>
  <c r="H741" i="10"/>
  <c r="G741" i="10"/>
  <c r="F741" i="10"/>
  <c r="Q741" i="10" s="1"/>
  <c r="E741" i="10"/>
  <c r="D741" i="10"/>
  <c r="C741" i="10"/>
  <c r="B741" i="10"/>
  <c r="A741" i="10"/>
  <c r="P740" i="10"/>
  <c r="N740" i="10"/>
  <c r="M740" i="10"/>
  <c r="L740" i="10"/>
  <c r="K740" i="10"/>
  <c r="J740" i="10"/>
  <c r="O740" i="10" s="1"/>
  <c r="R740" i="10" s="1"/>
  <c r="I740" i="10"/>
  <c r="H740" i="10"/>
  <c r="G740" i="10"/>
  <c r="F740" i="10"/>
  <c r="Q740" i="10" s="1"/>
  <c r="E740" i="10"/>
  <c r="D740" i="10"/>
  <c r="C740" i="10"/>
  <c r="B740" i="10"/>
  <c r="A740" i="10"/>
  <c r="P739" i="10"/>
  <c r="N739" i="10"/>
  <c r="M739" i="10"/>
  <c r="L739" i="10"/>
  <c r="K739" i="10"/>
  <c r="J739" i="10"/>
  <c r="O739" i="10" s="1"/>
  <c r="I739" i="10"/>
  <c r="H739" i="10"/>
  <c r="G739" i="10"/>
  <c r="F739" i="10"/>
  <c r="Q739" i="10" s="1"/>
  <c r="E739" i="10"/>
  <c r="D739" i="10"/>
  <c r="C739" i="10"/>
  <c r="B739" i="10"/>
  <c r="A739" i="10"/>
  <c r="R738" i="10"/>
  <c r="P738" i="10"/>
  <c r="N738" i="10"/>
  <c r="M738" i="10"/>
  <c r="L738" i="10"/>
  <c r="K738" i="10"/>
  <c r="J738" i="10"/>
  <c r="O738" i="10" s="1"/>
  <c r="I738" i="10"/>
  <c r="H738" i="10"/>
  <c r="G738" i="10"/>
  <c r="F738" i="10"/>
  <c r="Q738" i="10" s="1"/>
  <c r="E738" i="10"/>
  <c r="D738" i="10"/>
  <c r="C738" i="10"/>
  <c r="B738" i="10"/>
  <c r="A738" i="10"/>
  <c r="P737" i="10"/>
  <c r="N737" i="10"/>
  <c r="M737" i="10"/>
  <c r="L737" i="10"/>
  <c r="K737" i="10"/>
  <c r="J737" i="10"/>
  <c r="O737" i="10" s="1"/>
  <c r="I737" i="10"/>
  <c r="H737" i="10"/>
  <c r="G737" i="10"/>
  <c r="F737" i="10"/>
  <c r="Q737" i="10" s="1"/>
  <c r="E737" i="10"/>
  <c r="D737" i="10"/>
  <c r="C737" i="10"/>
  <c r="B737" i="10"/>
  <c r="A737" i="10"/>
  <c r="R736" i="10"/>
  <c r="P736" i="10"/>
  <c r="N736" i="10"/>
  <c r="M736" i="10"/>
  <c r="L736" i="10"/>
  <c r="K736" i="10"/>
  <c r="J736" i="10"/>
  <c r="O736" i="10" s="1"/>
  <c r="I736" i="10"/>
  <c r="H736" i="10"/>
  <c r="G736" i="10"/>
  <c r="F736" i="10"/>
  <c r="Q736" i="10" s="1"/>
  <c r="E736" i="10"/>
  <c r="D736" i="10"/>
  <c r="C736" i="10"/>
  <c r="B736" i="10"/>
  <c r="A736" i="10"/>
  <c r="P735" i="10"/>
  <c r="N735" i="10"/>
  <c r="M735" i="10"/>
  <c r="L735" i="10"/>
  <c r="K735" i="10"/>
  <c r="J735" i="10"/>
  <c r="O735" i="10" s="1"/>
  <c r="I735" i="10"/>
  <c r="H735" i="10"/>
  <c r="G735" i="10"/>
  <c r="F735" i="10"/>
  <c r="Q735" i="10" s="1"/>
  <c r="E735" i="10"/>
  <c r="D735" i="10"/>
  <c r="C735" i="10"/>
  <c r="B735" i="10"/>
  <c r="A735" i="10"/>
  <c r="P734" i="10"/>
  <c r="N734" i="10"/>
  <c r="M734" i="10"/>
  <c r="L734" i="10"/>
  <c r="K734" i="10"/>
  <c r="J734" i="10"/>
  <c r="O734" i="10" s="1"/>
  <c r="I734" i="10"/>
  <c r="H734" i="10"/>
  <c r="G734" i="10"/>
  <c r="F734" i="10"/>
  <c r="Q734" i="10" s="1"/>
  <c r="E734" i="10"/>
  <c r="D734" i="10"/>
  <c r="C734" i="10"/>
  <c r="B734" i="10"/>
  <c r="A734" i="10"/>
  <c r="P733" i="10"/>
  <c r="N733" i="10"/>
  <c r="M733" i="10"/>
  <c r="L733" i="10"/>
  <c r="K733" i="10"/>
  <c r="J733" i="10"/>
  <c r="O733" i="10" s="1"/>
  <c r="I733" i="10"/>
  <c r="H733" i="10"/>
  <c r="G733" i="10"/>
  <c r="F733" i="10"/>
  <c r="Q733" i="10" s="1"/>
  <c r="E733" i="10"/>
  <c r="D733" i="10"/>
  <c r="C733" i="10"/>
  <c r="B733" i="10"/>
  <c r="A733" i="10"/>
  <c r="P732" i="10"/>
  <c r="N732" i="10"/>
  <c r="M732" i="10"/>
  <c r="L732" i="10"/>
  <c r="K732" i="10"/>
  <c r="J732" i="10"/>
  <c r="O732" i="10" s="1"/>
  <c r="R732" i="10" s="1"/>
  <c r="I732" i="10"/>
  <c r="H732" i="10"/>
  <c r="G732" i="10"/>
  <c r="F732" i="10"/>
  <c r="Q732" i="10" s="1"/>
  <c r="E732" i="10"/>
  <c r="D732" i="10"/>
  <c r="C732" i="10"/>
  <c r="B732" i="10"/>
  <c r="A732" i="10"/>
  <c r="P731" i="10"/>
  <c r="N731" i="10"/>
  <c r="M731" i="10"/>
  <c r="L731" i="10"/>
  <c r="K731" i="10"/>
  <c r="J731" i="10"/>
  <c r="O731" i="10" s="1"/>
  <c r="I731" i="10"/>
  <c r="H731" i="10"/>
  <c r="G731" i="10"/>
  <c r="F731" i="10"/>
  <c r="Q731" i="10" s="1"/>
  <c r="E731" i="10"/>
  <c r="D731" i="10"/>
  <c r="C731" i="10"/>
  <c r="B731" i="10"/>
  <c r="A731" i="10"/>
  <c r="R730" i="10"/>
  <c r="P730" i="10"/>
  <c r="N730" i="10"/>
  <c r="M730" i="10"/>
  <c r="L730" i="10"/>
  <c r="K730" i="10"/>
  <c r="J730" i="10"/>
  <c r="O730" i="10" s="1"/>
  <c r="I730" i="10"/>
  <c r="H730" i="10"/>
  <c r="G730" i="10"/>
  <c r="F730" i="10"/>
  <c r="Q730" i="10" s="1"/>
  <c r="E730" i="10"/>
  <c r="D730" i="10"/>
  <c r="C730" i="10"/>
  <c r="B730" i="10"/>
  <c r="A730" i="10"/>
  <c r="P729" i="10"/>
  <c r="N729" i="10"/>
  <c r="M729" i="10"/>
  <c r="L729" i="10"/>
  <c r="K729" i="10"/>
  <c r="J729" i="10"/>
  <c r="O729" i="10" s="1"/>
  <c r="I729" i="10"/>
  <c r="H729" i="10"/>
  <c r="G729" i="10"/>
  <c r="F729" i="10"/>
  <c r="Q729" i="10" s="1"/>
  <c r="E729" i="10"/>
  <c r="D729" i="10"/>
  <c r="C729" i="10"/>
  <c r="B729" i="10"/>
  <c r="A729" i="10"/>
  <c r="R728" i="10"/>
  <c r="P728" i="10"/>
  <c r="N728" i="10"/>
  <c r="M728" i="10"/>
  <c r="L728" i="10"/>
  <c r="K728" i="10"/>
  <c r="J728" i="10"/>
  <c r="O728" i="10" s="1"/>
  <c r="I728" i="10"/>
  <c r="H728" i="10"/>
  <c r="G728" i="10"/>
  <c r="F728" i="10"/>
  <c r="Q728" i="10" s="1"/>
  <c r="E728" i="10"/>
  <c r="D728" i="10"/>
  <c r="C728" i="10"/>
  <c r="B728" i="10"/>
  <c r="A728" i="10"/>
  <c r="P727" i="10"/>
  <c r="N727" i="10"/>
  <c r="M727" i="10"/>
  <c r="L727" i="10"/>
  <c r="K727" i="10"/>
  <c r="J727" i="10"/>
  <c r="O727" i="10" s="1"/>
  <c r="I727" i="10"/>
  <c r="H727" i="10"/>
  <c r="G727" i="10"/>
  <c r="F727" i="10"/>
  <c r="Q727" i="10" s="1"/>
  <c r="E727" i="10"/>
  <c r="D727" i="10"/>
  <c r="C727" i="10"/>
  <c r="B727" i="10"/>
  <c r="A727" i="10"/>
  <c r="P726" i="10"/>
  <c r="N726" i="10"/>
  <c r="M726" i="10"/>
  <c r="L726" i="10"/>
  <c r="K726" i="10"/>
  <c r="J726" i="10"/>
  <c r="O726" i="10" s="1"/>
  <c r="I726" i="10"/>
  <c r="H726" i="10"/>
  <c r="G726" i="10"/>
  <c r="F726" i="10"/>
  <c r="Q726" i="10" s="1"/>
  <c r="E726" i="10"/>
  <c r="D726" i="10"/>
  <c r="C726" i="10"/>
  <c r="B726" i="10"/>
  <c r="A726" i="10"/>
  <c r="P725" i="10"/>
  <c r="N725" i="10"/>
  <c r="M725" i="10"/>
  <c r="L725" i="10"/>
  <c r="K725" i="10"/>
  <c r="J725" i="10"/>
  <c r="O725" i="10" s="1"/>
  <c r="I725" i="10"/>
  <c r="H725" i="10"/>
  <c r="G725" i="10"/>
  <c r="F725" i="10"/>
  <c r="Q725" i="10" s="1"/>
  <c r="E725" i="10"/>
  <c r="D725" i="10"/>
  <c r="C725" i="10"/>
  <c r="B725" i="10"/>
  <c r="A725" i="10"/>
  <c r="P724" i="10"/>
  <c r="N724" i="10"/>
  <c r="M724" i="10"/>
  <c r="L724" i="10"/>
  <c r="K724" i="10"/>
  <c r="J724" i="10"/>
  <c r="O724" i="10" s="1"/>
  <c r="R724" i="10" s="1"/>
  <c r="I724" i="10"/>
  <c r="H724" i="10"/>
  <c r="G724" i="10"/>
  <c r="F724" i="10"/>
  <c r="Q724" i="10" s="1"/>
  <c r="E724" i="10"/>
  <c r="D724" i="10"/>
  <c r="C724" i="10"/>
  <c r="B724" i="10"/>
  <c r="A724" i="10"/>
  <c r="P723" i="10"/>
  <c r="N723" i="10"/>
  <c r="M723" i="10"/>
  <c r="L723" i="10"/>
  <c r="K723" i="10"/>
  <c r="J723" i="10"/>
  <c r="O723" i="10" s="1"/>
  <c r="I723" i="10"/>
  <c r="H723" i="10"/>
  <c r="G723" i="10"/>
  <c r="F723" i="10"/>
  <c r="Q723" i="10" s="1"/>
  <c r="E723" i="10"/>
  <c r="D723" i="10"/>
  <c r="C723" i="10"/>
  <c r="B723" i="10"/>
  <c r="A723" i="10"/>
  <c r="R722" i="10"/>
  <c r="P722" i="10"/>
  <c r="N722" i="10"/>
  <c r="M722" i="10"/>
  <c r="L722" i="10"/>
  <c r="K722" i="10"/>
  <c r="J722" i="10"/>
  <c r="O722" i="10" s="1"/>
  <c r="I722" i="10"/>
  <c r="H722" i="10"/>
  <c r="G722" i="10"/>
  <c r="F722" i="10"/>
  <c r="Q722" i="10" s="1"/>
  <c r="E722" i="10"/>
  <c r="D722" i="10"/>
  <c r="C722" i="10"/>
  <c r="B722" i="10"/>
  <c r="A722" i="10"/>
  <c r="P721" i="10"/>
  <c r="N721" i="10"/>
  <c r="M721" i="10"/>
  <c r="L721" i="10"/>
  <c r="K721" i="10"/>
  <c r="J721" i="10"/>
  <c r="O721" i="10" s="1"/>
  <c r="I721" i="10"/>
  <c r="H721" i="10"/>
  <c r="G721" i="10"/>
  <c r="F721" i="10"/>
  <c r="Q721" i="10" s="1"/>
  <c r="E721" i="10"/>
  <c r="D721" i="10"/>
  <c r="C721" i="10"/>
  <c r="B721" i="10"/>
  <c r="A721" i="10"/>
  <c r="R720" i="10"/>
  <c r="P720" i="10"/>
  <c r="N720" i="10"/>
  <c r="M720" i="10"/>
  <c r="L720" i="10"/>
  <c r="K720" i="10"/>
  <c r="J720" i="10"/>
  <c r="O720" i="10" s="1"/>
  <c r="I720" i="10"/>
  <c r="H720" i="10"/>
  <c r="G720" i="10"/>
  <c r="F720" i="10"/>
  <c r="Q720" i="10" s="1"/>
  <c r="E720" i="10"/>
  <c r="D720" i="10"/>
  <c r="C720" i="10"/>
  <c r="B720" i="10"/>
  <c r="A720" i="10"/>
  <c r="P719" i="10"/>
  <c r="N719" i="10"/>
  <c r="M719" i="10"/>
  <c r="L719" i="10"/>
  <c r="K719" i="10"/>
  <c r="J719" i="10"/>
  <c r="O719" i="10" s="1"/>
  <c r="I719" i="10"/>
  <c r="H719" i="10"/>
  <c r="G719" i="10"/>
  <c r="F719" i="10"/>
  <c r="Q719" i="10" s="1"/>
  <c r="E719" i="10"/>
  <c r="D719" i="10"/>
  <c r="C719" i="10"/>
  <c r="B719" i="10"/>
  <c r="A719" i="10"/>
  <c r="P718" i="10"/>
  <c r="N718" i="10"/>
  <c r="M718" i="10"/>
  <c r="L718" i="10"/>
  <c r="K718" i="10"/>
  <c r="J718" i="10"/>
  <c r="O718" i="10" s="1"/>
  <c r="I718" i="10"/>
  <c r="H718" i="10"/>
  <c r="G718" i="10"/>
  <c r="F718" i="10"/>
  <c r="Q718" i="10" s="1"/>
  <c r="E718" i="10"/>
  <c r="D718" i="10"/>
  <c r="C718" i="10"/>
  <c r="B718" i="10"/>
  <c r="A718" i="10"/>
  <c r="P717" i="10"/>
  <c r="N717" i="10"/>
  <c r="M717" i="10"/>
  <c r="L717" i="10"/>
  <c r="K717" i="10"/>
  <c r="J717" i="10"/>
  <c r="O717" i="10" s="1"/>
  <c r="I717" i="10"/>
  <c r="H717" i="10"/>
  <c r="G717" i="10"/>
  <c r="F717" i="10"/>
  <c r="Q717" i="10" s="1"/>
  <c r="E717" i="10"/>
  <c r="D717" i="10"/>
  <c r="C717" i="10"/>
  <c r="B717" i="10"/>
  <c r="A717" i="10"/>
  <c r="P716" i="10"/>
  <c r="N716" i="10"/>
  <c r="M716" i="10"/>
  <c r="L716" i="10"/>
  <c r="K716" i="10"/>
  <c r="J716" i="10"/>
  <c r="O716" i="10" s="1"/>
  <c r="R716" i="10" s="1"/>
  <c r="I716" i="10"/>
  <c r="H716" i="10"/>
  <c r="G716" i="10"/>
  <c r="F716" i="10"/>
  <c r="Q716" i="10" s="1"/>
  <c r="E716" i="10"/>
  <c r="D716" i="10"/>
  <c r="C716" i="10"/>
  <c r="B716" i="10"/>
  <c r="A716" i="10"/>
  <c r="P715" i="10"/>
  <c r="N715" i="10"/>
  <c r="M715" i="10"/>
  <c r="L715" i="10"/>
  <c r="K715" i="10"/>
  <c r="J715" i="10"/>
  <c r="O715" i="10" s="1"/>
  <c r="I715" i="10"/>
  <c r="H715" i="10"/>
  <c r="G715" i="10"/>
  <c r="F715" i="10"/>
  <c r="Q715" i="10" s="1"/>
  <c r="E715" i="10"/>
  <c r="D715" i="10"/>
  <c r="C715" i="10"/>
  <c r="B715" i="10"/>
  <c r="A715" i="10"/>
  <c r="R714" i="10"/>
  <c r="P714" i="10"/>
  <c r="N714" i="10"/>
  <c r="M714" i="10"/>
  <c r="L714" i="10"/>
  <c r="K714" i="10"/>
  <c r="J714" i="10"/>
  <c r="O714" i="10" s="1"/>
  <c r="I714" i="10"/>
  <c r="H714" i="10"/>
  <c r="G714" i="10"/>
  <c r="F714" i="10"/>
  <c r="Q714" i="10" s="1"/>
  <c r="E714" i="10"/>
  <c r="D714" i="10"/>
  <c r="C714" i="10"/>
  <c r="B714" i="10"/>
  <c r="A714" i="10"/>
  <c r="P713" i="10"/>
  <c r="N713" i="10"/>
  <c r="M713" i="10"/>
  <c r="L713" i="10"/>
  <c r="K713" i="10"/>
  <c r="J713" i="10"/>
  <c r="O713" i="10" s="1"/>
  <c r="I713" i="10"/>
  <c r="H713" i="10"/>
  <c r="G713" i="10"/>
  <c r="F713" i="10"/>
  <c r="Q713" i="10" s="1"/>
  <c r="E713" i="10"/>
  <c r="D713" i="10"/>
  <c r="C713" i="10"/>
  <c r="B713" i="10"/>
  <c r="A713" i="10"/>
  <c r="R712" i="10"/>
  <c r="P712" i="10"/>
  <c r="N712" i="10"/>
  <c r="M712" i="10"/>
  <c r="L712" i="10"/>
  <c r="K712" i="10"/>
  <c r="J712" i="10"/>
  <c r="O712" i="10" s="1"/>
  <c r="I712" i="10"/>
  <c r="H712" i="10"/>
  <c r="G712" i="10"/>
  <c r="F712" i="10"/>
  <c r="Q712" i="10" s="1"/>
  <c r="E712" i="10"/>
  <c r="D712" i="10"/>
  <c r="C712" i="10"/>
  <c r="B712" i="10"/>
  <c r="A712" i="10"/>
  <c r="P711" i="10"/>
  <c r="N711" i="10"/>
  <c r="M711" i="10"/>
  <c r="L711" i="10"/>
  <c r="K711" i="10"/>
  <c r="J711" i="10"/>
  <c r="O711" i="10" s="1"/>
  <c r="I711" i="10"/>
  <c r="H711" i="10"/>
  <c r="G711" i="10"/>
  <c r="F711" i="10"/>
  <c r="Q711" i="10" s="1"/>
  <c r="E711" i="10"/>
  <c r="D711" i="10"/>
  <c r="C711" i="10"/>
  <c r="B711" i="10"/>
  <c r="A711" i="10"/>
  <c r="P710" i="10"/>
  <c r="N710" i="10"/>
  <c r="M710" i="10"/>
  <c r="L710" i="10"/>
  <c r="K710" i="10"/>
  <c r="J710" i="10"/>
  <c r="O710" i="10" s="1"/>
  <c r="I710" i="10"/>
  <c r="H710" i="10"/>
  <c r="G710" i="10"/>
  <c r="F710" i="10"/>
  <c r="Q710" i="10" s="1"/>
  <c r="E710" i="10"/>
  <c r="D710" i="10"/>
  <c r="C710" i="10"/>
  <c r="B710" i="10"/>
  <c r="A710" i="10"/>
  <c r="P709" i="10"/>
  <c r="N709" i="10"/>
  <c r="M709" i="10"/>
  <c r="L709" i="10"/>
  <c r="K709" i="10"/>
  <c r="J709" i="10"/>
  <c r="O709" i="10" s="1"/>
  <c r="I709" i="10"/>
  <c r="H709" i="10"/>
  <c r="G709" i="10"/>
  <c r="F709" i="10"/>
  <c r="Q709" i="10" s="1"/>
  <c r="E709" i="10"/>
  <c r="D709" i="10"/>
  <c r="C709" i="10"/>
  <c r="B709" i="10"/>
  <c r="A709" i="10"/>
  <c r="P708" i="10"/>
  <c r="N708" i="10"/>
  <c r="M708" i="10"/>
  <c r="L708" i="10"/>
  <c r="K708" i="10"/>
  <c r="J708" i="10"/>
  <c r="O708" i="10" s="1"/>
  <c r="R708" i="10" s="1"/>
  <c r="I708" i="10"/>
  <c r="H708" i="10"/>
  <c r="G708" i="10"/>
  <c r="F708" i="10"/>
  <c r="Q708" i="10" s="1"/>
  <c r="E708" i="10"/>
  <c r="D708" i="10"/>
  <c r="C708" i="10"/>
  <c r="B708" i="10"/>
  <c r="A708" i="10"/>
  <c r="P707" i="10"/>
  <c r="N707" i="10"/>
  <c r="M707" i="10"/>
  <c r="L707" i="10"/>
  <c r="K707" i="10"/>
  <c r="J707" i="10"/>
  <c r="O707" i="10" s="1"/>
  <c r="I707" i="10"/>
  <c r="H707" i="10"/>
  <c r="G707" i="10"/>
  <c r="F707" i="10"/>
  <c r="Q707" i="10" s="1"/>
  <c r="E707" i="10"/>
  <c r="D707" i="10"/>
  <c r="C707" i="10"/>
  <c r="B707" i="10"/>
  <c r="A707" i="10"/>
  <c r="R706" i="10"/>
  <c r="P706" i="10"/>
  <c r="N706" i="10"/>
  <c r="M706" i="10"/>
  <c r="L706" i="10"/>
  <c r="K706" i="10"/>
  <c r="J706" i="10"/>
  <c r="O706" i="10" s="1"/>
  <c r="I706" i="10"/>
  <c r="H706" i="10"/>
  <c r="G706" i="10"/>
  <c r="F706" i="10"/>
  <c r="Q706" i="10" s="1"/>
  <c r="E706" i="10"/>
  <c r="D706" i="10"/>
  <c r="C706" i="10"/>
  <c r="B706" i="10"/>
  <c r="A706" i="10"/>
  <c r="P705" i="10"/>
  <c r="N705" i="10"/>
  <c r="M705" i="10"/>
  <c r="L705" i="10"/>
  <c r="K705" i="10"/>
  <c r="J705" i="10"/>
  <c r="O705" i="10" s="1"/>
  <c r="I705" i="10"/>
  <c r="H705" i="10"/>
  <c r="G705" i="10"/>
  <c r="F705" i="10"/>
  <c r="Q705" i="10" s="1"/>
  <c r="E705" i="10"/>
  <c r="D705" i="10"/>
  <c r="C705" i="10"/>
  <c r="B705" i="10"/>
  <c r="A705" i="10"/>
  <c r="R704" i="10"/>
  <c r="P704" i="10"/>
  <c r="N704" i="10"/>
  <c r="M704" i="10"/>
  <c r="L704" i="10"/>
  <c r="K704" i="10"/>
  <c r="J704" i="10"/>
  <c r="O704" i="10" s="1"/>
  <c r="I704" i="10"/>
  <c r="H704" i="10"/>
  <c r="G704" i="10"/>
  <c r="F704" i="10"/>
  <c r="Q704" i="10" s="1"/>
  <c r="E704" i="10"/>
  <c r="D704" i="10"/>
  <c r="C704" i="10"/>
  <c r="B704" i="10"/>
  <c r="A704" i="10"/>
  <c r="P703" i="10"/>
  <c r="N703" i="10"/>
  <c r="M703" i="10"/>
  <c r="L703" i="10"/>
  <c r="K703" i="10"/>
  <c r="J703" i="10"/>
  <c r="O703" i="10" s="1"/>
  <c r="I703" i="10"/>
  <c r="H703" i="10"/>
  <c r="G703" i="10"/>
  <c r="F703" i="10"/>
  <c r="Q703" i="10" s="1"/>
  <c r="E703" i="10"/>
  <c r="D703" i="10"/>
  <c r="C703" i="10"/>
  <c r="B703" i="10"/>
  <c r="A703" i="10"/>
  <c r="P702" i="10"/>
  <c r="N702" i="10"/>
  <c r="M702" i="10"/>
  <c r="L702" i="10"/>
  <c r="K702" i="10"/>
  <c r="J702" i="10"/>
  <c r="O702" i="10" s="1"/>
  <c r="I702" i="10"/>
  <c r="H702" i="10"/>
  <c r="G702" i="10"/>
  <c r="F702" i="10"/>
  <c r="Q702" i="10" s="1"/>
  <c r="E702" i="10"/>
  <c r="D702" i="10"/>
  <c r="C702" i="10"/>
  <c r="B702" i="10"/>
  <c r="A702" i="10"/>
  <c r="P701" i="10"/>
  <c r="N701" i="10"/>
  <c r="M701" i="10"/>
  <c r="L701" i="10"/>
  <c r="K701" i="10"/>
  <c r="J701" i="10"/>
  <c r="O701" i="10" s="1"/>
  <c r="I701" i="10"/>
  <c r="H701" i="10"/>
  <c r="G701" i="10"/>
  <c r="F701" i="10"/>
  <c r="Q701" i="10" s="1"/>
  <c r="E701" i="10"/>
  <c r="D701" i="10"/>
  <c r="C701" i="10"/>
  <c r="B701" i="10"/>
  <c r="A701" i="10"/>
  <c r="P700" i="10"/>
  <c r="N700" i="10"/>
  <c r="M700" i="10"/>
  <c r="L700" i="10"/>
  <c r="K700" i="10"/>
  <c r="J700" i="10"/>
  <c r="O700" i="10" s="1"/>
  <c r="R700" i="10" s="1"/>
  <c r="I700" i="10"/>
  <c r="H700" i="10"/>
  <c r="G700" i="10"/>
  <c r="F700" i="10"/>
  <c r="Q700" i="10" s="1"/>
  <c r="E700" i="10"/>
  <c r="D700" i="10"/>
  <c r="C700" i="10"/>
  <c r="B700" i="10"/>
  <c r="A700" i="10"/>
  <c r="P699" i="10"/>
  <c r="N699" i="10"/>
  <c r="M699" i="10"/>
  <c r="L699" i="10"/>
  <c r="K699" i="10"/>
  <c r="J699" i="10"/>
  <c r="O699" i="10" s="1"/>
  <c r="I699" i="10"/>
  <c r="H699" i="10"/>
  <c r="G699" i="10"/>
  <c r="F699" i="10"/>
  <c r="Q699" i="10" s="1"/>
  <c r="E699" i="10"/>
  <c r="D699" i="10"/>
  <c r="C699" i="10"/>
  <c r="B699" i="10"/>
  <c r="A699" i="10"/>
  <c r="R698" i="10"/>
  <c r="P698" i="10"/>
  <c r="N698" i="10"/>
  <c r="M698" i="10"/>
  <c r="L698" i="10"/>
  <c r="K698" i="10"/>
  <c r="J698" i="10"/>
  <c r="O698" i="10" s="1"/>
  <c r="I698" i="10"/>
  <c r="H698" i="10"/>
  <c r="G698" i="10"/>
  <c r="F698" i="10"/>
  <c r="Q698" i="10" s="1"/>
  <c r="E698" i="10"/>
  <c r="D698" i="10"/>
  <c r="C698" i="10"/>
  <c r="B698" i="10"/>
  <c r="A698" i="10"/>
  <c r="P697" i="10"/>
  <c r="N697" i="10"/>
  <c r="M697" i="10"/>
  <c r="L697" i="10"/>
  <c r="K697" i="10"/>
  <c r="J697" i="10"/>
  <c r="O697" i="10" s="1"/>
  <c r="I697" i="10"/>
  <c r="H697" i="10"/>
  <c r="G697" i="10"/>
  <c r="F697" i="10"/>
  <c r="Q697" i="10" s="1"/>
  <c r="E697" i="10"/>
  <c r="D697" i="10"/>
  <c r="C697" i="10"/>
  <c r="B697" i="10"/>
  <c r="A697" i="10"/>
  <c r="R696" i="10"/>
  <c r="P696" i="10"/>
  <c r="N696" i="10"/>
  <c r="M696" i="10"/>
  <c r="L696" i="10"/>
  <c r="K696" i="10"/>
  <c r="J696" i="10"/>
  <c r="O696" i="10" s="1"/>
  <c r="I696" i="10"/>
  <c r="H696" i="10"/>
  <c r="G696" i="10"/>
  <c r="F696" i="10"/>
  <c r="Q696" i="10" s="1"/>
  <c r="E696" i="10"/>
  <c r="D696" i="10"/>
  <c r="C696" i="10"/>
  <c r="B696" i="10"/>
  <c r="A696" i="10"/>
  <c r="P695" i="10"/>
  <c r="N695" i="10"/>
  <c r="M695" i="10"/>
  <c r="L695" i="10"/>
  <c r="K695" i="10"/>
  <c r="J695" i="10"/>
  <c r="O695" i="10" s="1"/>
  <c r="I695" i="10"/>
  <c r="H695" i="10"/>
  <c r="G695" i="10"/>
  <c r="F695" i="10"/>
  <c r="Q695" i="10" s="1"/>
  <c r="E695" i="10"/>
  <c r="D695" i="10"/>
  <c r="C695" i="10"/>
  <c r="B695" i="10"/>
  <c r="A695" i="10"/>
  <c r="P694" i="10"/>
  <c r="N694" i="10"/>
  <c r="M694" i="10"/>
  <c r="L694" i="10"/>
  <c r="K694" i="10"/>
  <c r="J694" i="10"/>
  <c r="O694" i="10" s="1"/>
  <c r="I694" i="10"/>
  <c r="H694" i="10"/>
  <c r="G694" i="10"/>
  <c r="F694" i="10"/>
  <c r="Q694" i="10" s="1"/>
  <c r="E694" i="10"/>
  <c r="D694" i="10"/>
  <c r="C694" i="10"/>
  <c r="B694" i="10"/>
  <c r="A694" i="10"/>
  <c r="P693" i="10"/>
  <c r="N693" i="10"/>
  <c r="M693" i="10"/>
  <c r="L693" i="10"/>
  <c r="K693" i="10"/>
  <c r="J693" i="10"/>
  <c r="O693" i="10" s="1"/>
  <c r="I693" i="10"/>
  <c r="H693" i="10"/>
  <c r="G693" i="10"/>
  <c r="F693" i="10"/>
  <c r="Q693" i="10" s="1"/>
  <c r="E693" i="10"/>
  <c r="D693" i="10"/>
  <c r="C693" i="10"/>
  <c r="B693" i="10"/>
  <c r="A693" i="10"/>
  <c r="P692" i="10"/>
  <c r="N692" i="10"/>
  <c r="M692" i="10"/>
  <c r="L692" i="10"/>
  <c r="K692" i="10"/>
  <c r="J692" i="10"/>
  <c r="O692" i="10" s="1"/>
  <c r="R692" i="10" s="1"/>
  <c r="I692" i="10"/>
  <c r="H692" i="10"/>
  <c r="G692" i="10"/>
  <c r="F692" i="10"/>
  <c r="Q692" i="10" s="1"/>
  <c r="E692" i="10"/>
  <c r="D692" i="10"/>
  <c r="C692" i="10"/>
  <c r="B692" i="10"/>
  <c r="A692" i="10"/>
  <c r="P691" i="10"/>
  <c r="N691" i="10"/>
  <c r="M691" i="10"/>
  <c r="L691" i="10"/>
  <c r="K691" i="10"/>
  <c r="J691" i="10"/>
  <c r="O691" i="10" s="1"/>
  <c r="I691" i="10"/>
  <c r="H691" i="10"/>
  <c r="G691" i="10"/>
  <c r="F691" i="10"/>
  <c r="Q691" i="10" s="1"/>
  <c r="E691" i="10"/>
  <c r="D691" i="10"/>
  <c r="C691" i="10"/>
  <c r="B691" i="10"/>
  <c r="A691" i="10"/>
  <c r="R690" i="10"/>
  <c r="P690" i="10"/>
  <c r="N690" i="10"/>
  <c r="M690" i="10"/>
  <c r="L690" i="10"/>
  <c r="K690" i="10"/>
  <c r="J690" i="10"/>
  <c r="O690" i="10" s="1"/>
  <c r="I690" i="10"/>
  <c r="H690" i="10"/>
  <c r="G690" i="10"/>
  <c r="F690" i="10"/>
  <c r="Q690" i="10" s="1"/>
  <c r="E690" i="10"/>
  <c r="D690" i="10"/>
  <c r="C690" i="10"/>
  <c r="B690" i="10"/>
  <c r="A690" i="10"/>
  <c r="P689" i="10"/>
  <c r="N689" i="10"/>
  <c r="M689" i="10"/>
  <c r="L689" i="10"/>
  <c r="K689" i="10"/>
  <c r="J689" i="10"/>
  <c r="O689" i="10" s="1"/>
  <c r="I689" i="10"/>
  <c r="H689" i="10"/>
  <c r="G689" i="10"/>
  <c r="F689" i="10"/>
  <c r="Q689" i="10" s="1"/>
  <c r="E689" i="10"/>
  <c r="D689" i="10"/>
  <c r="C689" i="10"/>
  <c r="B689" i="10"/>
  <c r="A689" i="10"/>
  <c r="R688" i="10"/>
  <c r="P688" i="10"/>
  <c r="N688" i="10"/>
  <c r="M688" i="10"/>
  <c r="L688" i="10"/>
  <c r="K688" i="10"/>
  <c r="J688" i="10"/>
  <c r="O688" i="10" s="1"/>
  <c r="I688" i="10"/>
  <c r="H688" i="10"/>
  <c r="G688" i="10"/>
  <c r="F688" i="10"/>
  <c r="Q688" i="10" s="1"/>
  <c r="E688" i="10"/>
  <c r="D688" i="10"/>
  <c r="C688" i="10"/>
  <c r="B688" i="10"/>
  <c r="A688" i="10"/>
  <c r="P687" i="10"/>
  <c r="N687" i="10"/>
  <c r="M687" i="10"/>
  <c r="L687" i="10"/>
  <c r="K687" i="10"/>
  <c r="J687" i="10"/>
  <c r="O687" i="10" s="1"/>
  <c r="I687" i="10"/>
  <c r="H687" i="10"/>
  <c r="G687" i="10"/>
  <c r="F687" i="10"/>
  <c r="Q687" i="10" s="1"/>
  <c r="E687" i="10"/>
  <c r="D687" i="10"/>
  <c r="C687" i="10"/>
  <c r="B687" i="10"/>
  <c r="A687" i="10"/>
  <c r="P686" i="10"/>
  <c r="N686" i="10"/>
  <c r="M686" i="10"/>
  <c r="L686" i="10"/>
  <c r="K686" i="10"/>
  <c r="J686" i="10"/>
  <c r="O686" i="10" s="1"/>
  <c r="I686" i="10"/>
  <c r="H686" i="10"/>
  <c r="G686" i="10"/>
  <c r="F686" i="10"/>
  <c r="Q686" i="10" s="1"/>
  <c r="E686" i="10"/>
  <c r="D686" i="10"/>
  <c r="C686" i="10"/>
  <c r="B686" i="10"/>
  <c r="A686" i="10"/>
  <c r="P685" i="10"/>
  <c r="N685" i="10"/>
  <c r="M685" i="10"/>
  <c r="L685" i="10"/>
  <c r="K685" i="10"/>
  <c r="J685" i="10"/>
  <c r="O685" i="10" s="1"/>
  <c r="I685" i="10"/>
  <c r="H685" i="10"/>
  <c r="G685" i="10"/>
  <c r="F685" i="10"/>
  <c r="Q685" i="10" s="1"/>
  <c r="E685" i="10"/>
  <c r="D685" i="10"/>
  <c r="C685" i="10"/>
  <c r="B685" i="10"/>
  <c r="A685" i="10"/>
  <c r="P684" i="10"/>
  <c r="N684" i="10"/>
  <c r="M684" i="10"/>
  <c r="L684" i="10"/>
  <c r="K684" i="10"/>
  <c r="J684" i="10"/>
  <c r="O684" i="10" s="1"/>
  <c r="R684" i="10" s="1"/>
  <c r="I684" i="10"/>
  <c r="H684" i="10"/>
  <c r="G684" i="10"/>
  <c r="F684" i="10"/>
  <c r="Q684" i="10" s="1"/>
  <c r="E684" i="10"/>
  <c r="D684" i="10"/>
  <c r="C684" i="10"/>
  <c r="B684" i="10"/>
  <c r="A684" i="10"/>
  <c r="P683" i="10"/>
  <c r="N683" i="10"/>
  <c r="M683" i="10"/>
  <c r="L683" i="10"/>
  <c r="K683" i="10"/>
  <c r="J683" i="10"/>
  <c r="O683" i="10" s="1"/>
  <c r="I683" i="10"/>
  <c r="H683" i="10"/>
  <c r="G683" i="10"/>
  <c r="F683" i="10"/>
  <c r="Q683" i="10" s="1"/>
  <c r="E683" i="10"/>
  <c r="D683" i="10"/>
  <c r="C683" i="10"/>
  <c r="B683" i="10"/>
  <c r="A683" i="10"/>
  <c r="R682" i="10"/>
  <c r="P682" i="10"/>
  <c r="N682" i="10"/>
  <c r="M682" i="10"/>
  <c r="L682" i="10"/>
  <c r="K682" i="10"/>
  <c r="J682" i="10"/>
  <c r="O682" i="10" s="1"/>
  <c r="I682" i="10"/>
  <c r="H682" i="10"/>
  <c r="G682" i="10"/>
  <c r="F682" i="10"/>
  <c r="Q682" i="10" s="1"/>
  <c r="E682" i="10"/>
  <c r="D682" i="10"/>
  <c r="C682" i="10"/>
  <c r="B682" i="10"/>
  <c r="A682" i="10"/>
  <c r="P681" i="10"/>
  <c r="N681" i="10"/>
  <c r="M681" i="10"/>
  <c r="L681" i="10"/>
  <c r="K681" i="10"/>
  <c r="J681" i="10"/>
  <c r="O681" i="10" s="1"/>
  <c r="I681" i="10"/>
  <c r="H681" i="10"/>
  <c r="G681" i="10"/>
  <c r="F681" i="10"/>
  <c r="Q681" i="10" s="1"/>
  <c r="E681" i="10"/>
  <c r="D681" i="10"/>
  <c r="C681" i="10"/>
  <c r="B681" i="10"/>
  <c r="A681" i="10"/>
  <c r="R680" i="10"/>
  <c r="P680" i="10"/>
  <c r="N680" i="10"/>
  <c r="M680" i="10"/>
  <c r="L680" i="10"/>
  <c r="K680" i="10"/>
  <c r="J680" i="10"/>
  <c r="O680" i="10" s="1"/>
  <c r="I680" i="10"/>
  <c r="H680" i="10"/>
  <c r="G680" i="10"/>
  <c r="F680" i="10"/>
  <c r="Q680" i="10" s="1"/>
  <c r="E680" i="10"/>
  <c r="D680" i="10"/>
  <c r="C680" i="10"/>
  <c r="B680" i="10"/>
  <c r="A680" i="10"/>
  <c r="P679" i="10"/>
  <c r="N679" i="10"/>
  <c r="M679" i="10"/>
  <c r="L679" i="10"/>
  <c r="K679" i="10"/>
  <c r="J679" i="10"/>
  <c r="O679" i="10" s="1"/>
  <c r="I679" i="10"/>
  <c r="H679" i="10"/>
  <c r="G679" i="10"/>
  <c r="F679" i="10"/>
  <c r="Q679" i="10" s="1"/>
  <c r="E679" i="10"/>
  <c r="D679" i="10"/>
  <c r="C679" i="10"/>
  <c r="B679" i="10"/>
  <c r="A679" i="10"/>
  <c r="P678" i="10"/>
  <c r="N678" i="10"/>
  <c r="M678" i="10"/>
  <c r="L678" i="10"/>
  <c r="K678" i="10"/>
  <c r="J678" i="10"/>
  <c r="O678" i="10" s="1"/>
  <c r="I678" i="10"/>
  <c r="H678" i="10"/>
  <c r="G678" i="10"/>
  <c r="F678" i="10"/>
  <c r="Q678" i="10" s="1"/>
  <c r="E678" i="10"/>
  <c r="D678" i="10"/>
  <c r="C678" i="10"/>
  <c r="B678" i="10"/>
  <c r="A678" i="10"/>
  <c r="P677" i="10"/>
  <c r="N677" i="10"/>
  <c r="M677" i="10"/>
  <c r="L677" i="10"/>
  <c r="K677" i="10"/>
  <c r="J677" i="10"/>
  <c r="O677" i="10" s="1"/>
  <c r="I677" i="10"/>
  <c r="H677" i="10"/>
  <c r="G677" i="10"/>
  <c r="F677" i="10"/>
  <c r="Q677" i="10" s="1"/>
  <c r="E677" i="10"/>
  <c r="D677" i="10"/>
  <c r="C677" i="10"/>
  <c r="B677" i="10"/>
  <c r="A677" i="10"/>
  <c r="P676" i="10"/>
  <c r="N676" i="10"/>
  <c r="M676" i="10"/>
  <c r="L676" i="10"/>
  <c r="K676" i="10"/>
  <c r="J676" i="10"/>
  <c r="O676" i="10" s="1"/>
  <c r="R676" i="10" s="1"/>
  <c r="I676" i="10"/>
  <c r="H676" i="10"/>
  <c r="G676" i="10"/>
  <c r="F676" i="10"/>
  <c r="Q676" i="10" s="1"/>
  <c r="E676" i="10"/>
  <c r="D676" i="10"/>
  <c r="C676" i="10"/>
  <c r="B676" i="10"/>
  <c r="A676" i="10"/>
  <c r="P675" i="10"/>
  <c r="N675" i="10"/>
  <c r="M675" i="10"/>
  <c r="L675" i="10"/>
  <c r="K675" i="10"/>
  <c r="J675" i="10"/>
  <c r="O675" i="10" s="1"/>
  <c r="I675" i="10"/>
  <c r="H675" i="10"/>
  <c r="G675" i="10"/>
  <c r="F675" i="10"/>
  <c r="Q675" i="10" s="1"/>
  <c r="E675" i="10"/>
  <c r="D675" i="10"/>
  <c r="C675" i="10"/>
  <c r="B675" i="10"/>
  <c r="A675" i="10"/>
  <c r="R674" i="10"/>
  <c r="P674" i="10"/>
  <c r="N674" i="10"/>
  <c r="M674" i="10"/>
  <c r="L674" i="10"/>
  <c r="K674" i="10"/>
  <c r="J674" i="10"/>
  <c r="O674" i="10" s="1"/>
  <c r="I674" i="10"/>
  <c r="H674" i="10"/>
  <c r="G674" i="10"/>
  <c r="F674" i="10"/>
  <c r="Q674" i="10" s="1"/>
  <c r="E674" i="10"/>
  <c r="D674" i="10"/>
  <c r="C674" i="10"/>
  <c r="B674" i="10"/>
  <c r="A674" i="10"/>
  <c r="P673" i="10"/>
  <c r="N673" i="10"/>
  <c r="M673" i="10"/>
  <c r="L673" i="10"/>
  <c r="K673" i="10"/>
  <c r="J673" i="10"/>
  <c r="O673" i="10" s="1"/>
  <c r="I673" i="10"/>
  <c r="H673" i="10"/>
  <c r="G673" i="10"/>
  <c r="F673" i="10"/>
  <c r="Q673" i="10" s="1"/>
  <c r="E673" i="10"/>
  <c r="D673" i="10"/>
  <c r="C673" i="10"/>
  <c r="B673" i="10"/>
  <c r="A673" i="10"/>
  <c r="R672" i="10"/>
  <c r="P672" i="10"/>
  <c r="N672" i="10"/>
  <c r="M672" i="10"/>
  <c r="L672" i="10"/>
  <c r="K672" i="10"/>
  <c r="J672" i="10"/>
  <c r="O672" i="10" s="1"/>
  <c r="I672" i="10"/>
  <c r="H672" i="10"/>
  <c r="G672" i="10"/>
  <c r="F672" i="10"/>
  <c r="Q672" i="10" s="1"/>
  <c r="E672" i="10"/>
  <c r="D672" i="10"/>
  <c r="C672" i="10"/>
  <c r="B672" i="10"/>
  <c r="A672" i="10"/>
  <c r="P671" i="10"/>
  <c r="N671" i="10"/>
  <c r="M671" i="10"/>
  <c r="L671" i="10"/>
  <c r="K671" i="10"/>
  <c r="J671" i="10"/>
  <c r="O671" i="10" s="1"/>
  <c r="I671" i="10"/>
  <c r="H671" i="10"/>
  <c r="G671" i="10"/>
  <c r="F671" i="10"/>
  <c r="Q671" i="10" s="1"/>
  <c r="E671" i="10"/>
  <c r="D671" i="10"/>
  <c r="C671" i="10"/>
  <c r="B671" i="10"/>
  <c r="A671" i="10"/>
  <c r="P670" i="10"/>
  <c r="N670" i="10"/>
  <c r="M670" i="10"/>
  <c r="L670" i="10"/>
  <c r="K670" i="10"/>
  <c r="J670" i="10"/>
  <c r="O670" i="10" s="1"/>
  <c r="I670" i="10"/>
  <c r="H670" i="10"/>
  <c r="G670" i="10"/>
  <c r="F670" i="10"/>
  <c r="Q670" i="10" s="1"/>
  <c r="E670" i="10"/>
  <c r="D670" i="10"/>
  <c r="C670" i="10"/>
  <c r="B670" i="10"/>
  <c r="A670" i="10"/>
  <c r="P669" i="10"/>
  <c r="N669" i="10"/>
  <c r="M669" i="10"/>
  <c r="L669" i="10"/>
  <c r="K669" i="10"/>
  <c r="J669" i="10"/>
  <c r="O669" i="10" s="1"/>
  <c r="I669" i="10"/>
  <c r="H669" i="10"/>
  <c r="G669" i="10"/>
  <c r="F669" i="10"/>
  <c r="Q669" i="10" s="1"/>
  <c r="E669" i="10"/>
  <c r="D669" i="10"/>
  <c r="C669" i="10"/>
  <c r="B669" i="10"/>
  <c r="A669" i="10"/>
  <c r="P668" i="10"/>
  <c r="N668" i="10"/>
  <c r="M668" i="10"/>
  <c r="L668" i="10"/>
  <c r="K668" i="10"/>
  <c r="J668" i="10"/>
  <c r="O668" i="10" s="1"/>
  <c r="R668" i="10" s="1"/>
  <c r="I668" i="10"/>
  <c r="H668" i="10"/>
  <c r="G668" i="10"/>
  <c r="F668" i="10"/>
  <c r="Q668" i="10" s="1"/>
  <c r="E668" i="10"/>
  <c r="D668" i="10"/>
  <c r="C668" i="10"/>
  <c r="B668" i="10"/>
  <c r="A668" i="10"/>
  <c r="P667" i="10"/>
  <c r="N667" i="10"/>
  <c r="M667" i="10"/>
  <c r="L667" i="10"/>
  <c r="K667" i="10"/>
  <c r="J667" i="10"/>
  <c r="O667" i="10" s="1"/>
  <c r="I667" i="10"/>
  <c r="H667" i="10"/>
  <c r="G667" i="10"/>
  <c r="F667" i="10"/>
  <c r="Q667" i="10" s="1"/>
  <c r="E667" i="10"/>
  <c r="D667" i="10"/>
  <c r="C667" i="10"/>
  <c r="B667" i="10"/>
  <c r="A667" i="10"/>
  <c r="R666" i="10"/>
  <c r="P666" i="10"/>
  <c r="N666" i="10"/>
  <c r="M666" i="10"/>
  <c r="L666" i="10"/>
  <c r="K666" i="10"/>
  <c r="J666" i="10"/>
  <c r="O666" i="10" s="1"/>
  <c r="I666" i="10"/>
  <c r="H666" i="10"/>
  <c r="G666" i="10"/>
  <c r="F666" i="10"/>
  <c r="Q666" i="10" s="1"/>
  <c r="E666" i="10"/>
  <c r="D666" i="10"/>
  <c r="C666" i="10"/>
  <c r="B666" i="10"/>
  <c r="A666" i="10"/>
  <c r="P665" i="10"/>
  <c r="N665" i="10"/>
  <c r="M665" i="10"/>
  <c r="L665" i="10"/>
  <c r="K665" i="10"/>
  <c r="J665" i="10"/>
  <c r="O665" i="10" s="1"/>
  <c r="I665" i="10"/>
  <c r="H665" i="10"/>
  <c r="G665" i="10"/>
  <c r="F665" i="10"/>
  <c r="Q665" i="10" s="1"/>
  <c r="E665" i="10"/>
  <c r="D665" i="10"/>
  <c r="C665" i="10"/>
  <c r="B665" i="10"/>
  <c r="A665" i="10"/>
  <c r="R664" i="10"/>
  <c r="P664" i="10"/>
  <c r="N664" i="10"/>
  <c r="M664" i="10"/>
  <c r="L664" i="10"/>
  <c r="K664" i="10"/>
  <c r="J664" i="10"/>
  <c r="O664" i="10" s="1"/>
  <c r="I664" i="10"/>
  <c r="H664" i="10"/>
  <c r="G664" i="10"/>
  <c r="F664" i="10"/>
  <c r="Q664" i="10" s="1"/>
  <c r="E664" i="10"/>
  <c r="D664" i="10"/>
  <c r="C664" i="10"/>
  <c r="B664" i="10"/>
  <c r="A664" i="10"/>
  <c r="P663" i="10"/>
  <c r="N663" i="10"/>
  <c r="M663" i="10"/>
  <c r="L663" i="10"/>
  <c r="K663" i="10"/>
  <c r="J663" i="10"/>
  <c r="O663" i="10" s="1"/>
  <c r="I663" i="10"/>
  <c r="H663" i="10"/>
  <c r="G663" i="10"/>
  <c r="F663" i="10"/>
  <c r="Q663" i="10" s="1"/>
  <c r="E663" i="10"/>
  <c r="D663" i="10"/>
  <c r="C663" i="10"/>
  <c r="B663" i="10"/>
  <c r="A663" i="10"/>
  <c r="P662" i="10"/>
  <c r="N662" i="10"/>
  <c r="M662" i="10"/>
  <c r="L662" i="10"/>
  <c r="K662" i="10"/>
  <c r="J662" i="10"/>
  <c r="O662" i="10" s="1"/>
  <c r="I662" i="10"/>
  <c r="H662" i="10"/>
  <c r="G662" i="10"/>
  <c r="F662" i="10"/>
  <c r="Q662" i="10" s="1"/>
  <c r="E662" i="10"/>
  <c r="D662" i="10"/>
  <c r="C662" i="10"/>
  <c r="B662" i="10"/>
  <c r="A662" i="10"/>
  <c r="P661" i="10"/>
  <c r="N661" i="10"/>
  <c r="M661" i="10"/>
  <c r="L661" i="10"/>
  <c r="K661" i="10"/>
  <c r="J661" i="10"/>
  <c r="O661" i="10" s="1"/>
  <c r="I661" i="10"/>
  <c r="H661" i="10"/>
  <c r="G661" i="10"/>
  <c r="F661" i="10"/>
  <c r="Q661" i="10" s="1"/>
  <c r="E661" i="10"/>
  <c r="D661" i="10"/>
  <c r="C661" i="10"/>
  <c r="B661" i="10"/>
  <c r="A661" i="10"/>
  <c r="P660" i="10"/>
  <c r="N660" i="10"/>
  <c r="M660" i="10"/>
  <c r="L660" i="10"/>
  <c r="K660" i="10"/>
  <c r="J660" i="10"/>
  <c r="O660" i="10" s="1"/>
  <c r="R660" i="10" s="1"/>
  <c r="I660" i="10"/>
  <c r="H660" i="10"/>
  <c r="G660" i="10"/>
  <c r="F660" i="10"/>
  <c r="Q660" i="10" s="1"/>
  <c r="E660" i="10"/>
  <c r="D660" i="10"/>
  <c r="C660" i="10"/>
  <c r="B660" i="10"/>
  <c r="A660" i="10"/>
  <c r="P659" i="10"/>
  <c r="N659" i="10"/>
  <c r="M659" i="10"/>
  <c r="L659" i="10"/>
  <c r="K659" i="10"/>
  <c r="J659" i="10"/>
  <c r="O659" i="10" s="1"/>
  <c r="I659" i="10"/>
  <c r="H659" i="10"/>
  <c r="G659" i="10"/>
  <c r="F659" i="10"/>
  <c r="Q659" i="10" s="1"/>
  <c r="E659" i="10"/>
  <c r="D659" i="10"/>
  <c r="C659" i="10"/>
  <c r="B659" i="10"/>
  <c r="A659" i="10"/>
  <c r="R658" i="10"/>
  <c r="P658" i="10"/>
  <c r="N658" i="10"/>
  <c r="M658" i="10"/>
  <c r="L658" i="10"/>
  <c r="K658" i="10"/>
  <c r="J658" i="10"/>
  <c r="O658" i="10" s="1"/>
  <c r="I658" i="10"/>
  <c r="H658" i="10"/>
  <c r="G658" i="10"/>
  <c r="F658" i="10"/>
  <c r="Q658" i="10" s="1"/>
  <c r="E658" i="10"/>
  <c r="D658" i="10"/>
  <c r="C658" i="10"/>
  <c r="B658" i="10"/>
  <c r="A658" i="10"/>
  <c r="P657" i="10"/>
  <c r="N657" i="10"/>
  <c r="M657" i="10"/>
  <c r="L657" i="10"/>
  <c r="K657" i="10"/>
  <c r="J657" i="10"/>
  <c r="O657" i="10" s="1"/>
  <c r="I657" i="10"/>
  <c r="H657" i="10"/>
  <c r="G657" i="10"/>
  <c r="F657" i="10"/>
  <c r="Q657" i="10" s="1"/>
  <c r="E657" i="10"/>
  <c r="D657" i="10"/>
  <c r="C657" i="10"/>
  <c r="B657" i="10"/>
  <c r="A657" i="10"/>
  <c r="R656" i="10"/>
  <c r="P656" i="10"/>
  <c r="N656" i="10"/>
  <c r="M656" i="10"/>
  <c r="L656" i="10"/>
  <c r="K656" i="10"/>
  <c r="J656" i="10"/>
  <c r="O656" i="10" s="1"/>
  <c r="I656" i="10"/>
  <c r="H656" i="10"/>
  <c r="G656" i="10"/>
  <c r="F656" i="10"/>
  <c r="Q656" i="10" s="1"/>
  <c r="E656" i="10"/>
  <c r="D656" i="10"/>
  <c r="C656" i="10"/>
  <c r="B656" i="10"/>
  <c r="A656" i="10"/>
  <c r="P655" i="10"/>
  <c r="N655" i="10"/>
  <c r="M655" i="10"/>
  <c r="L655" i="10"/>
  <c r="K655" i="10"/>
  <c r="J655" i="10"/>
  <c r="O655" i="10" s="1"/>
  <c r="I655" i="10"/>
  <c r="H655" i="10"/>
  <c r="G655" i="10"/>
  <c r="F655" i="10"/>
  <c r="Q655" i="10" s="1"/>
  <c r="E655" i="10"/>
  <c r="D655" i="10"/>
  <c r="C655" i="10"/>
  <c r="B655" i="10"/>
  <c r="A655" i="10"/>
  <c r="P654" i="10"/>
  <c r="N654" i="10"/>
  <c r="M654" i="10"/>
  <c r="L654" i="10"/>
  <c r="K654" i="10"/>
  <c r="J654" i="10"/>
  <c r="O654" i="10" s="1"/>
  <c r="I654" i="10"/>
  <c r="H654" i="10"/>
  <c r="G654" i="10"/>
  <c r="F654" i="10"/>
  <c r="Q654" i="10" s="1"/>
  <c r="E654" i="10"/>
  <c r="D654" i="10"/>
  <c r="C654" i="10"/>
  <c r="B654" i="10"/>
  <c r="A654" i="10"/>
  <c r="P653" i="10"/>
  <c r="N653" i="10"/>
  <c r="M653" i="10"/>
  <c r="L653" i="10"/>
  <c r="K653" i="10"/>
  <c r="J653" i="10"/>
  <c r="O653" i="10" s="1"/>
  <c r="I653" i="10"/>
  <c r="H653" i="10"/>
  <c r="G653" i="10"/>
  <c r="F653" i="10"/>
  <c r="Q653" i="10" s="1"/>
  <c r="E653" i="10"/>
  <c r="D653" i="10"/>
  <c r="C653" i="10"/>
  <c r="B653" i="10"/>
  <c r="A653" i="10"/>
  <c r="P652" i="10"/>
  <c r="N652" i="10"/>
  <c r="M652" i="10"/>
  <c r="L652" i="10"/>
  <c r="K652" i="10"/>
  <c r="J652" i="10"/>
  <c r="O652" i="10" s="1"/>
  <c r="R652" i="10" s="1"/>
  <c r="I652" i="10"/>
  <c r="H652" i="10"/>
  <c r="G652" i="10"/>
  <c r="F652" i="10"/>
  <c r="Q652" i="10" s="1"/>
  <c r="E652" i="10"/>
  <c r="D652" i="10"/>
  <c r="C652" i="10"/>
  <c r="B652" i="10"/>
  <c r="A652" i="10"/>
  <c r="P651" i="10"/>
  <c r="N651" i="10"/>
  <c r="M651" i="10"/>
  <c r="L651" i="10"/>
  <c r="K651" i="10"/>
  <c r="J651" i="10"/>
  <c r="O651" i="10" s="1"/>
  <c r="I651" i="10"/>
  <c r="H651" i="10"/>
  <c r="G651" i="10"/>
  <c r="F651" i="10"/>
  <c r="Q651" i="10" s="1"/>
  <c r="E651" i="10"/>
  <c r="D651" i="10"/>
  <c r="C651" i="10"/>
  <c r="B651" i="10"/>
  <c r="A651" i="10"/>
  <c r="R650" i="10"/>
  <c r="P650" i="10"/>
  <c r="N650" i="10"/>
  <c r="M650" i="10"/>
  <c r="L650" i="10"/>
  <c r="K650" i="10"/>
  <c r="J650" i="10"/>
  <c r="O650" i="10" s="1"/>
  <c r="I650" i="10"/>
  <c r="H650" i="10"/>
  <c r="G650" i="10"/>
  <c r="F650" i="10"/>
  <c r="Q650" i="10" s="1"/>
  <c r="E650" i="10"/>
  <c r="D650" i="10"/>
  <c r="C650" i="10"/>
  <c r="B650" i="10"/>
  <c r="A650" i="10"/>
  <c r="P649" i="10"/>
  <c r="N649" i="10"/>
  <c r="M649" i="10"/>
  <c r="L649" i="10"/>
  <c r="K649" i="10"/>
  <c r="J649" i="10"/>
  <c r="O649" i="10" s="1"/>
  <c r="I649" i="10"/>
  <c r="H649" i="10"/>
  <c r="G649" i="10"/>
  <c r="F649" i="10"/>
  <c r="Q649" i="10" s="1"/>
  <c r="E649" i="10"/>
  <c r="D649" i="10"/>
  <c r="C649" i="10"/>
  <c r="B649" i="10"/>
  <c r="A649" i="10"/>
  <c r="R648" i="10"/>
  <c r="P648" i="10"/>
  <c r="N648" i="10"/>
  <c r="M648" i="10"/>
  <c r="L648" i="10"/>
  <c r="K648" i="10"/>
  <c r="J648" i="10"/>
  <c r="O648" i="10" s="1"/>
  <c r="I648" i="10"/>
  <c r="H648" i="10"/>
  <c r="G648" i="10"/>
  <c r="F648" i="10"/>
  <c r="Q648" i="10" s="1"/>
  <c r="E648" i="10"/>
  <c r="D648" i="10"/>
  <c r="C648" i="10"/>
  <c r="B648" i="10"/>
  <c r="A648" i="10"/>
  <c r="P647" i="10"/>
  <c r="N647" i="10"/>
  <c r="M647" i="10"/>
  <c r="L647" i="10"/>
  <c r="K647" i="10"/>
  <c r="J647" i="10"/>
  <c r="O647" i="10" s="1"/>
  <c r="I647" i="10"/>
  <c r="H647" i="10"/>
  <c r="G647" i="10"/>
  <c r="F647" i="10"/>
  <c r="Q647" i="10" s="1"/>
  <c r="E647" i="10"/>
  <c r="D647" i="10"/>
  <c r="C647" i="10"/>
  <c r="B647" i="10"/>
  <c r="A647" i="10"/>
  <c r="P646" i="10"/>
  <c r="N646" i="10"/>
  <c r="M646" i="10"/>
  <c r="L646" i="10"/>
  <c r="K646" i="10"/>
  <c r="J646" i="10"/>
  <c r="O646" i="10" s="1"/>
  <c r="I646" i="10"/>
  <c r="H646" i="10"/>
  <c r="G646" i="10"/>
  <c r="F646" i="10"/>
  <c r="Q646" i="10" s="1"/>
  <c r="E646" i="10"/>
  <c r="D646" i="10"/>
  <c r="C646" i="10"/>
  <c r="B646" i="10"/>
  <c r="A646" i="10"/>
  <c r="P645" i="10"/>
  <c r="N645" i="10"/>
  <c r="M645" i="10"/>
  <c r="L645" i="10"/>
  <c r="K645" i="10"/>
  <c r="J645" i="10"/>
  <c r="O645" i="10" s="1"/>
  <c r="I645" i="10"/>
  <c r="H645" i="10"/>
  <c r="G645" i="10"/>
  <c r="F645" i="10"/>
  <c r="Q645" i="10" s="1"/>
  <c r="E645" i="10"/>
  <c r="D645" i="10"/>
  <c r="C645" i="10"/>
  <c r="B645" i="10"/>
  <c r="A645" i="10"/>
  <c r="P644" i="10"/>
  <c r="N644" i="10"/>
  <c r="M644" i="10"/>
  <c r="L644" i="10"/>
  <c r="K644" i="10"/>
  <c r="J644" i="10"/>
  <c r="O644" i="10" s="1"/>
  <c r="R644" i="10" s="1"/>
  <c r="I644" i="10"/>
  <c r="H644" i="10"/>
  <c r="G644" i="10"/>
  <c r="F644" i="10"/>
  <c r="Q644" i="10" s="1"/>
  <c r="E644" i="10"/>
  <c r="D644" i="10"/>
  <c r="C644" i="10"/>
  <c r="B644" i="10"/>
  <c r="A644" i="10"/>
  <c r="P643" i="10"/>
  <c r="N643" i="10"/>
  <c r="M643" i="10"/>
  <c r="L643" i="10"/>
  <c r="K643" i="10"/>
  <c r="J643" i="10"/>
  <c r="O643" i="10" s="1"/>
  <c r="I643" i="10"/>
  <c r="H643" i="10"/>
  <c r="G643" i="10"/>
  <c r="F643" i="10"/>
  <c r="Q643" i="10" s="1"/>
  <c r="E643" i="10"/>
  <c r="D643" i="10"/>
  <c r="C643" i="10"/>
  <c r="B643" i="10"/>
  <c r="A643" i="10"/>
  <c r="R642" i="10"/>
  <c r="P642" i="10"/>
  <c r="N642" i="10"/>
  <c r="M642" i="10"/>
  <c r="L642" i="10"/>
  <c r="K642" i="10"/>
  <c r="J642" i="10"/>
  <c r="O642" i="10" s="1"/>
  <c r="I642" i="10"/>
  <c r="H642" i="10"/>
  <c r="G642" i="10"/>
  <c r="F642" i="10"/>
  <c r="Q642" i="10" s="1"/>
  <c r="E642" i="10"/>
  <c r="D642" i="10"/>
  <c r="C642" i="10"/>
  <c r="B642" i="10"/>
  <c r="A642" i="10"/>
  <c r="P641" i="10"/>
  <c r="N641" i="10"/>
  <c r="M641" i="10"/>
  <c r="L641" i="10"/>
  <c r="K641" i="10"/>
  <c r="J641" i="10"/>
  <c r="O641" i="10" s="1"/>
  <c r="I641" i="10"/>
  <c r="H641" i="10"/>
  <c r="G641" i="10"/>
  <c r="F641" i="10"/>
  <c r="Q641" i="10" s="1"/>
  <c r="E641" i="10"/>
  <c r="D641" i="10"/>
  <c r="C641" i="10"/>
  <c r="B641" i="10"/>
  <c r="A641" i="10"/>
  <c r="R640" i="10"/>
  <c r="P640" i="10"/>
  <c r="N640" i="10"/>
  <c r="M640" i="10"/>
  <c r="L640" i="10"/>
  <c r="K640" i="10"/>
  <c r="J640" i="10"/>
  <c r="O640" i="10" s="1"/>
  <c r="I640" i="10"/>
  <c r="H640" i="10"/>
  <c r="G640" i="10"/>
  <c r="F640" i="10"/>
  <c r="Q640" i="10" s="1"/>
  <c r="E640" i="10"/>
  <c r="D640" i="10"/>
  <c r="C640" i="10"/>
  <c r="B640" i="10"/>
  <c r="A640" i="10"/>
  <c r="P639" i="10"/>
  <c r="N639" i="10"/>
  <c r="M639" i="10"/>
  <c r="L639" i="10"/>
  <c r="K639" i="10"/>
  <c r="J639" i="10"/>
  <c r="O639" i="10" s="1"/>
  <c r="I639" i="10"/>
  <c r="H639" i="10"/>
  <c r="G639" i="10"/>
  <c r="F639" i="10"/>
  <c r="Q639" i="10" s="1"/>
  <c r="E639" i="10"/>
  <c r="D639" i="10"/>
  <c r="C639" i="10"/>
  <c r="B639" i="10"/>
  <c r="A639" i="10"/>
  <c r="P638" i="10"/>
  <c r="N638" i="10"/>
  <c r="M638" i="10"/>
  <c r="L638" i="10"/>
  <c r="K638" i="10"/>
  <c r="J638" i="10"/>
  <c r="O638" i="10" s="1"/>
  <c r="I638" i="10"/>
  <c r="H638" i="10"/>
  <c r="G638" i="10"/>
  <c r="F638" i="10"/>
  <c r="Q638" i="10" s="1"/>
  <c r="E638" i="10"/>
  <c r="D638" i="10"/>
  <c r="C638" i="10"/>
  <c r="B638" i="10"/>
  <c r="A638" i="10"/>
  <c r="P637" i="10"/>
  <c r="N637" i="10"/>
  <c r="M637" i="10"/>
  <c r="L637" i="10"/>
  <c r="K637" i="10"/>
  <c r="J637" i="10"/>
  <c r="O637" i="10" s="1"/>
  <c r="I637" i="10"/>
  <c r="H637" i="10"/>
  <c r="G637" i="10"/>
  <c r="F637" i="10"/>
  <c r="Q637" i="10" s="1"/>
  <c r="E637" i="10"/>
  <c r="D637" i="10"/>
  <c r="C637" i="10"/>
  <c r="B637" i="10"/>
  <c r="A637" i="10"/>
  <c r="P636" i="10"/>
  <c r="N636" i="10"/>
  <c r="M636" i="10"/>
  <c r="L636" i="10"/>
  <c r="K636" i="10"/>
  <c r="J636" i="10"/>
  <c r="O636" i="10" s="1"/>
  <c r="R636" i="10" s="1"/>
  <c r="I636" i="10"/>
  <c r="H636" i="10"/>
  <c r="G636" i="10"/>
  <c r="F636" i="10"/>
  <c r="Q636" i="10" s="1"/>
  <c r="E636" i="10"/>
  <c r="D636" i="10"/>
  <c r="C636" i="10"/>
  <c r="B636" i="10"/>
  <c r="A636" i="10"/>
  <c r="P635" i="10"/>
  <c r="N635" i="10"/>
  <c r="M635" i="10"/>
  <c r="L635" i="10"/>
  <c r="K635" i="10"/>
  <c r="J635" i="10"/>
  <c r="O635" i="10" s="1"/>
  <c r="I635" i="10"/>
  <c r="H635" i="10"/>
  <c r="G635" i="10"/>
  <c r="F635" i="10"/>
  <c r="Q635" i="10" s="1"/>
  <c r="E635" i="10"/>
  <c r="D635" i="10"/>
  <c r="C635" i="10"/>
  <c r="B635" i="10"/>
  <c r="A635" i="10"/>
  <c r="R634" i="10"/>
  <c r="P634" i="10"/>
  <c r="N634" i="10"/>
  <c r="M634" i="10"/>
  <c r="L634" i="10"/>
  <c r="K634" i="10"/>
  <c r="J634" i="10"/>
  <c r="O634" i="10" s="1"/>
  <c r="I634" i="10"/>
  <c r="H634" i="10"/>
  <c r="G634" i="10"/>
  <c r="F634" i="10"/>
  <c r="Q634" i="10" s="1"/>
  <c r="E634" i="10"/>
  <c r="D634" i="10"/>
  <c r="C634" i="10"/>
  <c r="B634" i="10"/>
  <c r="A634" i="10"/>
  <c r="P633" i="10"/>
  <c r="N633" i="10"/>
  <c r="M633" i="10"/>
  <c r="L633" i="10"/>
  <c r="K633" i="10"/>
  <c r="J633" i="10"/>
  <c r="O633" i="10" s="1"/>
  <c r="I633" i="10"/>
  <c r="H633" i="10"/>
  <c r="G633" i="10"/>
  <c r="F633" i="10"/>
  <c r="Q633" i="10" s="1"/>
  <c r="E633" i="10"/>
  <c r="D633" i="10"/>
  <c r="C633" i="10"/>
  <c r="B633" i="10"/>
  <c r="A633" i="10"/>
  <c r="R632" i="10"/>
  <c r="P632" i="10"/>
  <c r="N632" i="10"/>
  <c r="M632" i="10"/>
  <c r="L632" i="10"/>
  <c r="K632" i="10"/>
  <c r="J632" i="10"/>
  <c r="O632" i="10" s="1"/>
  <c r="I632" i="10"/>
  <c r="H632" i="10"/>
  <c r="G632" i="10"/>
  <c r="F632" i="10"/>
  <c r="Q632" i="10" s="1"/>
  <c r="E632" i="10"/>
  <c r="D632" i="10"/>
  <c r="C632" i="10"/>
  <c r="B632" i="10"/>
  <c r="A632" i="10"/>
  <c r="P631" i="10"/>
  <c r="N631" i="10"/>
  <c r="M631" i="10"/>
  <c r="L631" i="10"/>
  <c r="K631" i="10"/>
  <c r="J631" i="10"/>
  <c r="O631" i="10" s="1"/>
  <c r="I631" i="10"/>
  <c r="H631" i="10"/>
  <c r="G631" i="10"/>
  <c r="F631" i="10"/>
  <c r="Q631" i="10" s="1"/>
  <c r="E631" i="10"/>
  <c r="D631" i="10"/>
  <c r="C631" i="10"/>
  <c r="B631" i="10"/>
  <c r="A631" i="10"/>
  <c r="P630" i="10"/>
  <c r="N630" i="10"/>
  <c r="M630" i="10"/>
  <c r="L630" i="10"/>
  <c r="K630" i="10"/>
  <c r="J630" i="10"/>
  <c r="O630" i="10" s="1"/>
  <c r="I630" i="10"/>
  <c r="H630" i="10"/>
  <c r="G630" i="10"/>
  <c r="F630" i="10"/>
  <c r="Q630" i="10" s="1"/>
  <c r="E630" i="10"/>
  <c r="D630" i="10"/>
  <c r="C630" i="10"/>
  <c r="B630" i="10"/>
  <c r="A630" i="10"/>
  <c r="P629" i="10"/>
  <c r="N629" i="10"/>
  <c r="M629" i="10"/>
  <c r="L629" i="10"/>
  <c r="K629" i="10"/>
  <c r="J629" i="10"/>
  <c r="O629" i="10" s="1"/>
  <c r="I629" i="10"/>
  <c r="H629" i="10"/>
  <c r="G629" i="10"/>
  <c r="F629" i="10"/>
  <c r="Q629" i="10" s="1"/>
  <c r="E629" i="10"/>
  <c r="D629" i="10"/>
  <c r="C629" i="10"/>
  <c r="B629" i="10"/>
  <c r="A629" i="10"/>
  <c r="P628" i="10"/>
  <c r="N628" i="10"/>
  <c r="M628" i="10"/>
  <c r="L628" i="10"/>
  <c r="K628" i="10"/>
  <c r="J628" i="10"/>
  <c r="O628" i="10" s="1"/>
  <c r="R628" i="10" s="1"/>
  <c r="I628" i="10"/>
  <c r="H628" i="10"/>
  <c r="G628" i="10"/>
  <c r="F628" i="10"/>
  <c r="Q628" i="10" s="1"/>
  <c r="E628" i="10"/>
  <c r="D628" i="10"/>
  <c r="C628" i="10"/>
  <c r="B628" i="10"/>
  <c r="A628" i="10"/>
  <c r="P627" i="10"/>
  <c r="N627" i="10"/>
  <c r="M627" i="10"/>
  <c r="L627" i="10"/>
  <c r="K627" i="10"/>
  <c r="J627" i="10"/>
  <c r="O627" i="10" s="1"/>
  <c r="I627" i="10"/>
  <c r="H627" i="10"/>
  <c r="G627" i="10"/>
  <c r="F627" i="10"/>
  <c r="Q627" i="10" s="1"/>
  <c r="E627" i="10"/>
  <c r="D627" i="10"/>
  <c r="C627" i="10"/>
  <c r="B627" i="10"/>
  <c r="A627" i="10"/>
  <c r="R626" i="10"/>
  <c r="P626" i="10"/>
  <c r="N626" i="10"/>
  <c r="M626" i="10"/>
  <c r="L626" i="10"/>
  <c r="K626" i="10"/>
  <c r="J626" i="10"/>
  <c r="O626" i="10" s="1"/>
  <c r="I626" i="10"/>
  <c r="H626" i="10"/>
  <c r="G626" i="10"/>
  <c r="F626" i="10"/>
  <c r="Q626" i="10" s="1"/>
  <c r="E626" i="10"/>
  <c r="D626" i="10"/>
  <c r="C626" i="10"/>
  <c r="B626" i="10"/>
  <c r="A626" i="10"/>
  <c r="P625" i="10"/>
  <c r="N625" i="10"/>
  <c r="M625" i="10"/>
  <c r="L625" i="10"/>
  <c r="K625" i="10"/>
  <c r="J625" i="10"/>
  <c r="O625" i="10" s="1"/>
  <c r="I625" i="10"/>
  <c r="H625" i="10"/>
  <c r="G625" i="10"/>
  <c r="F625" i="10"/>
  <c r="Q625" i="10" s="1"/>
  <c r="E625" i="10"/>
  <c r="D625" i="10"/>
  <c r="C625" i="10"/>
  <c r="B625" i="10"/>
  <c r="A625" i="10"/>
  <c r="R624" i="10"/>
  <c r="P624" i="10"/>
  <c r="N624" i="10"/>
  <c r="M624" i="10"/>
  <c r="L624" i="10"/>
  <c r="K624" i="10"/>
  <c r="J624" i="10"/>
  <c r="O624" i="10" s="1"/>
  <c r="I624" i="10"/>
  <c r="H624" i="10"/>
  <c r="G624" i="10"/>
  <c r="F624" i="10"/>
  <c r="Q624" i="10" s="1"/>
  <c r="E624" i="10"/>
  <c r="D624" i="10"/>
  <c r="C624" i="10"/>
  <c r="B624" i="10"/>
  <c r="A624" i="10"/>
  <c r="P623" i="10"/>
  <c r="N623" i="10"/>
  <c r="M623" i="10"/>
  <c r="L623" i="10"/>
  <c r="K623" i="10"/>
  <c r="J623" i="10"/>
  <c r="O623" i="10" s="1"/>
  <c r="I623" i="10"/>
  <c r="H623" i="10"/>
  <c r="G623" i="10"/>
  <c r="F623" i="10"/>
  <c r="Q623" i="10" s="1"/>
  <c r="E623" i="10"/>
  <c r="D623" i="10"/>
  <c r="C623" i="10"/>
  <c r="B623" i="10"/>
  <c r="A623" i="10"/>
  <c r="P622" i="10"/>
  <c r="N622" i="10"/>
  <c r="M622" i="10"/>
  <c r="L622" i="10"/>
  <c r="K622" i="10"/>
  <c r="J622" i="10"/>
  <c r="O622" i="10" s="1"/>
  <c r="I622" i="10"/>
  <c r="H622" i="10"/>
  <c r="G622" i="10"/>
  <c r="F622" i="10"/>
  <c r="Q622" i="10" s="1"/>
  <c r="E622" i="10"/>
  <c r="D622" i="10"/>
  <c r="C622" i="10"/>
  <c r="B622" i="10"/>
  <c r="A622" i="10"/>
  <c r="P621" i="10"/>
  <c r="N621" i="10"/>
  <c r="M621" i="10"/>
  <c r="L621" i="10"/>
  <c r="K621" i="10"/>
  <c r="J621" i="10"/>
  <c r="O621" i="10" s="1"/>
  <c r="I621" i="10"/>
  <c r="H621" i="10"/>
  <c r="G621" i="10"/>
  <c r="F621" i="10"/>
  <c r="Q621" i="10" s="1"/>
  <c r="E621" i="10"/>
  <c r="D621" i="10"/>
  <c r="C621" i="10"/>
  <c r="B621" i="10"/>
  <c r="A621" i="10"/>
  <c r="P620" i="10"/>
  <c r="N620" i="10"/>
  <c r="M620" i="10"/>
  <c r="L620" i="10"/>
  <c r="K620" i="10"/>
  <c r="J620" i="10"/>
  <c r="O620" i="10" s="1"/>
  <c r="R620" i="10" s="1"/>
  <c r="I620" i="10"/>
  <c r="H620" i="10"/>
  <c r="G620" i="10"/>
  <c r="F620" i="10"/>
  <c r="Q620" i="10" s="1"/>
  <c r="E620" i="10"/>
  <c r="D620" i="10"/>
  <c r="C620" i="10"/>
  <c r="B620" i="10"/>
  <c r="A620" i="10"/>
  <c r="P619" i="10"/>
  <c r="N619" i="10"/>
  <c r="M619" i="10"/>
  <c r="L619" i="10"/>
  <c r="K619" i="10"/>
  <c r="J619" i="10"/>
  <c r="O619" i="10" s="1"/>
  <c r="I619" i="10"/>
  <c r="H619" i="10"/>
  <c r="G619" i="10"/>
  <c r="F619" i="10"/>
  <c r="Q619" i="10" s="1"/>
  <c r="E619" i="10"/>
  <c r="D619" i="10"/>
  <c r="C619" i="10"/>
  <c r="B619" i="10"/>
  <c r="A619" i="10"/>
  <c r="R618" i="10"/>
  <c r="P618" i="10"/>
  <c r="N618" i="10"/>
  <c r="M618" i="10"/>
  <c r="L618" i="10"/>
  <c r="K618" i="10"/>
  <c r="J618" i="10"/>
  <c r="O618" i="10" s="1"/>
  <c r="I618" i="10"/>
  <c r="H618" i="10"/>
  <c r="G618" i="10"/>
  <c r="F618" i="10"/>
  <c r="Q618" i="10" s="1"/>
  <c r="E618" i="10"/>
  <c r="D618" i="10"/>
  <c r="C618" i="10"/>
  <c r="B618" i="10"/>
  <c r="A618" i="10"/>
  <c r="P617" i="10"/>
  <c r="N617" i="10"/>
  <c r="M617" i="10"/>
  <c r="L617" i="10"/>
  <c r="K617" i="10"/>
  <c r="J617" i="10"/>
  <c r="O617" i="10" s="1"/>
  <c r="I617" i="10"/>
  <c r="H617" i="10"/>
  <c r="G617" i="10"/>
  <c r="F617" i="10"/>
  <c r="Q617" i="10" s="1"/>
  <c r="E617" i="10"/>
  <c r="D617" i="10"/>
  <c r="C617" i="10"/>
  <c r="B617" i="10"/>
  <c r="A617" i="10"/>
  <c r="R616" i="10"/>
  <c r="P616" i="10"/>
  <c r="N616" i="10"/>
  <c r="M616" i="10"/>
  <c r="L616" i="10"/>
  <c r="K616" i="10"/>
  <c r="J616" i="10"/>
  <c r="O616" i="10" s="1"/>
  <c r="I616" i="10"/>
  <c r="H616" i="10"/>
  <c r="G616" i="10"/>
  <c r="F616" i="10"/>
  <c r="Q616" i="10" s="1"/>
  <c r="E616" i="10"/>
  <c r="D616" i="10"/>
  <c r="C616" i="10"/>
  <c r="B616" i="10"/>
  <c r="A616" i="10"/>
  <c r="P615" i="10"/>
  <c r="N615" i="10"/>
  <c r="M615" i="10"/>
  <c r="L615" i="10"/>
  <c r="K615" i="10"/>
  <c r="J615" i="10"/>
  <c r="O615" i="10" s="1"/>
  <c r="I615" i="10"/>
  <c r="H615" i="10"/>
  <c r="G615" i="10"/>
  <c r="F615" i="10"/>
  <c r="Q615" i="10" s="1"/>
  <c r="E615" i="10"/>
  <c r="D615" i="10"/>
  <c r="C615" i="10"/>
  <c r="B615" i="10"/>
  <c r="A615" i="10"/>
  <c r="P614" i="10"/>
  <c r="N614" i="10"/>
  <c r="M614" i="10"/>
  <c r="L614" i="10"/>
  <c r="K614" i="10"/>
  <c r="J614" i="10"/>
  <c r="O614" i="10" s="1"/>
  <c r="I614" i="10"/>
  <c r="H614" i="10"/>
  <c r="G614" i="10"/>
  <c r="F614" i="10"/>
  <c r="Q614" i="10" s="1"/>
  <c r="E614" i="10"/>
  <c r="D614" i="10"/>
  <c r="C614" i="10"/>
  <c r="B614" i="10"/>
  <c r="A614" i="10"/>
  <c r="P613" i="10"/>
  <c r="N613" i="10"/>
  <c r="M613" i="10"/>
  <c r="L613" i="10"/>
  <c r="K613" i="10"/>
  <c r="J613" i="10"/>
  <c r="O613" i="10" s="1"/>
  <c r="I613" i="10"/>
  <c r="H613" i="10"/>
  <c r="G613" i="10"/>
  <c r="F613" i="10"/>
  <c r="Q613" i="10" s="1"/>
  <c r="E613" i="10"/>
  <c r="D613" i="10"/>
  <c r="C613" i="10"/>
  <c r="B613" i="10"/>
  <c r="A613" i="10"/>
  <c r="P612" i="10"/>
  <c r="N612" i="10"/>
  <c r="M612" i="10"/>
  <c r="L612" i="10"/>
  <c r="K612" i="10"/>
  <c r="J612" i="10"/>
  <c r="O612" i="10" s="1"/>
  <c r="R612" i="10" s="1"/>
  <c r="I612" i="10"/>
  <c r="H612" i="10"/>
  <c r="G612" i="10"/>
  <c r="F612" i="10"/>
  <c r="Q612" i="10" s="1"/>
  <c r="E612" i="10"/>
  <c r="D612" i="10"/>
  <c r="C612" i="10"/>
  <c r="B612" i="10"/>
  <c r="A612" i="10"/>
  <c r="P611" i="10"/>
  <c r="N611" i="10"/>
  <c r="M611" i="10"/>
  <c r="L611" i="10"/>
  <c r="K611" i="10"/>
  <c r="J611" i="10"/>
  <c r="O611" i="10" s="1"/>
  <c r="I611" i="10"/>
  <c r="H611" i="10"/>
  <c r="G611" i="10"/>
  <c r="F611" i="10"/>
  <c r="Q611" i="10" s="1"/>
  <c r="E611" i="10"/>
  <c r="D611" i="10"/>
  <c r="C611" i="10"/>
  <c r="B611" i="10"/>
  <c r="A611" i="10"/>
  <c r="R610" i="10"/>
  <c r="P610" i="10"/>
  <c r="N610" i="10"/>
  <c r="M610" i="10"/>
  <c r="L610" i="10"/>
  <c r="K610" i="10"/>
  <c r="J610" i="10"/>
  <c r="O610" i="10" s="1"/>
  <c r="I610" i="10"/>
  <c r="H610" i="10"/>
  <c r="G610" i="10"/>
  <c r="F610" i="10"/>
  <c r="Q610" i="10" s="1"/>
  <c r="E610" i="10"/>
  <c r="D610" i="10"/>
  <c r="C610" i="10"/>
  <c r="B610" i="10"/>
  <c r="A610" i="10"/>
  <c r="P609" i="10"/>
  <c r="N609" i="10"/>
  <c r="M609" i="10"/>
  <c r="L609" i="10"/>
  <c r="K609" i="10"/>
  <c r="J609" i="10"/>
  <c r="O609" i="10" s="1"/>
  <c r="I609" i="10"/>
  <c r="H609" i="10"/>
  <c r="G609" i="10"/>
  <c r="F609" i="10"/>
  <c r="Q609" i="10" s="1"/>
  <c r="E609" i="10"/>
  <c r="D609" i="10"/>
  <c r="C609" i="10"/>
  <c r="B609" i="10"/>
  <c r="A609" i="10"/>
  <c r="R608" i="10"/>
  <c r="P608" i="10"/>
  <c r="N608" i="10"/>
  <c r="M608" i="10"/>
  <c r="L608" i="10"/>
  <c r="K608" i="10"/>
  <c r="J608" i="10"/>
  <c r="O608" i="10" s="1"/>
  <c r="I608" i="10"/>
  <c r="H608" i="10"/>
  <c r="G608" i="10"/>
  <c r="F608" i="10"/>
  <c r="Q608" i="10" s="1"/>
  <c r="E608" i="10"/>
  <c r="D608" i="10"/>
  <c r="C608" i="10"/>
  <c r="B608" i="10"/>
  <c r="A608" i="10"/>
  <c r="P607" i="10"/>
  <c r="N607" i="10"/>
  <c r="M607" i="10"/>
  <c r="L607" i="10"/>
  <c r="K607" i="10"/>
  <c r="J607" i="10"/>
  <c r="O607" i="10" s="1"/>
  <c r="I607" i="10"/>
  <c r="H607" i="10"/>
  <c r="G607" i="10"/>
  <c r="F607" i="10"/>
  <c r="Q607" i="10" s="1"/>
  <c r="E607" i="10"/>
  <c r="D607" i="10"/>
  <c r="C607" i="10"/>
  <c r="B607" i="10"/>
  <c r="A607" i="10"/>
  <c r="P606" i="10"/>
  <c r="N606" i="10"/>
  <c r="M606" i="10"/>
  <c r="L606" i="10"/>
  <c r="K606" i="10"/>
  <c r="J606" i="10"/>
  <c r="O606" i="10" s="1"/>
  <c r="I606" i="10"/>
  <c r="H606" i="10"/>
  <c r="G606" i="10"/>
  <c r="F606" i="10"/>
  <c r="Q606" i="10" s="1"/>
  <c r="E606" i="10"/>
  <c r="D606" i="10"/>
  <c r="C606" i="10"/>
  <c r="B606" i="10"/>
  <c r="A606" i="10"/>
  <c r="P605" i="10"/>
  <c r="N605" i="10"/>
  <c r="M605" i="10"/>
  <c r="L605" i="10"/>
  <c r="K605" i="10"/>
  <c r="J605" i="10"/>
  <c r="O605" i="10" s="1"/>
  <c r="I605" i="10"/>
  <c r="H605" i="10"/>
  <c r="G605" i="10"/>
  <c r="F605" i="10"/>
  <c r="Q605" i="10" s="1"/>
  <c r="E605" i="10"/>
  <c r="D605" i="10"/>
  <c r="C605" i="10"/>
  <c r="B605" i="10"/>
  <c r="A605" i="10"/>
  <c r="P604" i="10"/>
  <c r="N604" i="10"/>
  <c r="M604" i="10"/>
  <c r="L604" i="10"/>
  <c r="K604" i="10"/>
  <c r="J604" i="10"/>
  <c r="O604" i="10" s="1"/>
  <c r="R604" i="10" s="1"/>
  <c r="I604" i="10"/>
  <c r="H604" i="10"/>
  <c r="G604" i="10"/>
  <c r="F604" i="10"/>
  <c r="Q604" i="10" s="1"/>
  <c r="E604" i="10"/>
  <c r="D604" i="10"/>
  <c r="C604" i="10"/>
  <c r="B604" i="10"/>
  <c r="A604" i="10"/>
  <c r="P603" i="10"/>
  <c r="N603" i="10"/>
  <c r="M603" i="10"/>
  <c r="L603" i="10"/>
  <c r="K603" i="10"/>
  <c r="J603" i="10"/>
  <c r="O603" i="10" s="1"/>
  <c r="I603" i="10"/>
  <c r="H603" i="10"/>
  <c r="G603" i="10"/>
  <c r="F603" i="10"/>
  <c r="Q603" i="10" s="1"/>
  <c r="E603" i="10"/>
  <c r="D603" i="10"/>
  <c r="C603" i="10"/>
  <c r="B603" i="10"/>
  <c r="A603" i="10"/>
  <c r="R602" i="10"/>
  <c r="P602" i="10"/>
  <c r="N602" i="10"/>
  <c r="M602" i="10"/>
  <c r="L602" i="10"/>
  <c r="K602" i="10"/>
  <c r="J602" i="10"/>
  <c r="O602" i="10" s="1"/>
  <c r="I602" i="10"/>
  <c r="H602" i="10"/>
  <c r="G602" i="10"/>
  <c r="F602" i="10"/>
  <c r="Q602" i="10" s="1"/>
  <c r="E602" i="10"/>
  <c r="D602" i="10"/>
  <c r="C602" i="10"/>
  <c r="B602" i="10"/>
  <c r="A602" i="10"/>
  <c r="P601" i="10"/>
  <c r="N601" i="10"/>
  <c r="M601" i="10"/>
  <c r="L601" i="10"/>
  <c r="K601" i="10"/>
  <c r="J601" i="10"/>
  <c r="O601" i="10" s="1"/>
  <c r="I601" i="10"/>
  <c r="H601" i="10"/>
  <c r="G601" i="10"/>
  <c r="F601" i="10"/>
  <c r="Q601" i="10" s="1"/>
  <c r="E601" i="10"/>
  <c r="D601" i="10"/>
  <c r="C601" i="10"/>
  <c r="B601" i="10"/>
  <c r="A601" i="10"/>
  <c r="R600" i="10"/>
  <c r="P600" i="10"/>
  <c r="N600" i="10"/>
  <c r="M600" i="10"/>
  <c r="L600" i="10"/>
  <c r="K600" i="10"/>
  <c r="J600" i="10"/>
  <c r="O600" i="10" s="1"/>
  <c r="I600" i="10"/>
  <c r="H600" i="10"/>
  <c r="G600" i="10"/>
  <c r="F600" i="10"/>
  <c r="Q600" i="10" s="1"/>
  <c r="E600" i="10"/>
  <c r="D600" i="10"/>
  <c r="C600" i="10"/>
  <c r="B600" i="10"/>
  <c r="A600" i="10"/>
  <c r="P599" i="10"/>
  <c r="N599" i="10"/>
  <c r="M599" i="10"/>
  <c r="L599" i="10"/>
  <c r="K599" i="10"/>
  <c r="J599" i="10"/>
  <c r="O599" i="10" s="1"/>
  <c r="I599" i="10"/>
  <c r="H599" i="10"/>
  <c r="G599" i="10"/>
  <c r="F599" i="10"/>
  <c r="Q599" i="10" s="1"/>
  <c r="E599" i="10"/>
  <c r="D599" i="10"/>
  <c r="C599" i="10"/>
  <c r="B599" i="10"/>
  <c r="A599" i="10"/>
  <c r="P598" i="10"/>
  <c r="N598" i="10"/>
  <c r="M598" i="10"/>
  <c r="L598" i="10"/>
  <c r="K598" i="10"/>
  <c r="J598" i="10"/>
  <c r="O598" i="10" s="1"/>
  <c r="I598" i="10"/>
  <c r="H598" i="10"/>
  <c r="G598" i="10"/>
  <c r="F598" i="10"/>
  <c r="Q598" i="10" s="1"/>
  <c r="E598" i="10"/>
  <c r="D598" i="10"/>
  <c r="C598" i="10"/>
  <c r="B598" i="10"/>
  <c r="A598" i="10"/>
  <c r="P597" i="10"/>
  <c r="N597" i="10"/>
  <c r="M597" i="10"/>
  <c r="L597" i="10"/>
  <c r="K597" i="10"/>
  <c r="J597" i="10"/>
  <c r="O597" i="10" s="1"/>
  <c r="I597" i="10"/>
  <c r="H597" i="10"/>
  <c r="G597" i="10"/>
  <c r="F597" i="10"/>
  <c r="Q597" i="10" s="1"/>
  <c r="E597" i="10"/>
  <c r="D597" i="10"/>
  <c r="C597" i="10"/>
  <c r="B597" i="10"/>
  <c r="A597" i="10"/>
  <c r="P596" i="10"/>
  <c r="N596" i="10"/>
  <c r="M596" i="10"/>
  <c r="L596" i="10"/>
  <c r="K596" i="10"/>
  <c r="J596" i="10"/>
  <c r="O596" i="10" s="1"/>
  <c r="R596" i="10" s="1"/>
  <c r="I596" i="10"/>
  <c r="H596" i="10"/>
  <c r="G596" i="10"/>
  <c r="F596" i="10"/>
  <c r="Q596" i="10" s="1"/>
  <c r="E596" i="10"/>
  <c r="D596" i="10"/>
  <c r="C596" i="10"/>
  <c r="B596" i="10"/>
  <c r="A596" i="10"/>
  <c r="P595" i="10"/>
  <c r="N595" i="10"/>
  <c r="M595" i="10"/>
  <c r="L595" i="10"/>
  <c r="K595" i="10"/>
  <c r="J595" i="10"/>
  <c r="O595" i="10" s="1"/>
  <c r="I595" i="10"/>
  <c r="H595" i="10"/>
  <c r="G595" i="10"/>
  <c r="F595" i="10"/>
  <c r="Q595" i="10" s="1"/>
  <c r="E595" i="10"/>
  <c r="D595" i="10"/>
  <c r="C595" i="10"/>
  <c r="B595" i="10"/>
  <c r="A595" i="10"/>
  <c r="R594" i="10"/>
  <c r="P594" i="10"/>
  <c r="N594" i="10"/>
  <c r="M594" i="10"/>
  <c r="L594" i="10"/>
  <c r="K594" i="10"/>
  <c r="J594" i="10"/>
  <c r="O594" i="10" s="1"/>
  <c r="I594" i="10"/>
  <c r="H594" i="10"/>
  <c r="G594" i="10"/>
  <c r="F594" i="10"/>
  <c r="Q594" i="10" s="1"/>
  <c r="E594" i="10"/>
  <c r="D594" i="10"/>
  <c r="C594" i="10"/>
  <c r="B594" i="10"/>
  <c r="A594" i="10"/>
  <c r="P593" i="10"/>
  <c r="N593" i="10"/>
  <c r="M593" i="10"/>
  <c r="L593" i="10"/>
  <c r="K593" i="10"/>
  <c r="J593" i="10"/>
  <c r="O593" i="10" s="1"/>
  <c r="I593" i="10"/>
  <c r="H593" i="10"/>
  <c r="G593" i="10"/>
  <c r="F593" i="10"/>
  <c r="Q593" i="10" s="1"/>
  <c r="E593" i="10"/>
  <c r="D593" i="10"/>
  <c r="C593" i="10"/>
  <c r="B593" i="10"/>
  <c r="A593" i="10"/>
  <c r="R592" i="10"/>
  <c r="P592" i="10"/>
  <c r="N592" i="10"/>
  <c r="M592" i="10"/>
  <c r="L592" i="10"/>
  <c r="K592" i="10"/>
  <c r="J592" i="10"/>
  <c r="O592" i="10" s="1"/>
  <c r="I592" i="10"/>
  <c r="H592" i="10"/>
  <c r="G592" i="10"/>
  <c r="F592" i="10"/>
  <c r="Q592" i="10" s="1"/>
  <c r="E592" i="10"/>
  <c r="D592" i="10"/>
  <c r="C592" i="10"/>
  <c r="B592" i="10"/>
  <c r="A592" i="10"/>
  <c r="P591" i="10"/>
  <c r="N591" i="10"/>
  <c r="M591" i="10"/>
  <c r="L591" i="10"/>
  <c r="K591" i="10"/>
  <c r="J591" i="10"/>
  <c r="O591" i="10" s="1"/>
  <c r="I591" i="10"/>
  <c r="H591" i="10"/>
  <c r="G591" i="10"/>
  <c r="F591" i="10"/>
  <c r="Q591" i="10" s="1"/>
  <c r="E591" i="10"/>
  <c r="D591" i="10"/>
  <c r="C591" i="10"/>
  <c r="B591" i="10"/>
  <c r="A591" i="10"/>
  <c r="P590" i="10"/>
  <c r="N590" i="10"/>
  <c r="M590" i="10"/>
  <c r="L590" i="10"/>
  <c r="K590" i="10"/>
  <c r="J590" i="10"/>
  <c r="O590" i="10" s="1"/>
  <c r="I590" i="10"/>
  <c r="H590" i="10"/>
  <c r="G590" i="10"/>
  <c r="F590" i="10"/>
  <c r="Q590" i="10" s="1"/>
  <c r="E590" i="10"/>
  <c r="D590" i="10"/>
  <c r="C590" i="10"/>
  <c r="B590" i="10"/>
  <c r="A590" i="10"/>
  <c r="P589" i="10"/>
  <c r="N589" i="10"/>
  <c r="M589" i="10"/>
  <c r="L589" i="10"/>
  <c r="K589" i="10"/>
  <c r="J589" i="10"/>
  <c r="O589" i="10" s="1"/>
  <c r="I589" i="10"/>
  <c r="H589" i="10"/>
  <c r="G589" i="10"/>
  <c r="F589" i="10"/>
  <c r="Q589" i="10" s="1"/>
  <c r="E589" i="10"/>
  <c r="D589" i="10"/>
  <c r="C589" i="10"/>
  <c r="B589" i="10"/>
  <c r="A589" i="10"/>
  <c r="P588" i="10"/>
  <c r="N588" i="10"/>
  <c r="M588" i="10"/>
  <c r="L588" i="10"/>
  <c r="K588" i="10"/>
  <c r="J588" i="10"/>
  <c r="O588" i="10" s="1"/>
  <c r="R588" i="10" s="1"/>
  <c r="I588" i="10"/>
  <c r="H588" i="10"/>
  <c r="G588" i="10"/>
  <c r="F588" i="10"/>
  <c r="Q588" i="10" s="1"/>
  <c r="E588" i="10"/>
  <c r="D588" i="10"/>
  <c r="C588" i="10"/>
  <c r="B588" i="10"/>
  <c r="A588" i="10"/>
  <c r="P587" i="10"/>
  <c r="N587" i="10"/>
  <c r="M587" i="10"/>
  <c r="L587" i="10"/>
  <c r="K587" i="10"/>
  <c r="J587" i="10"/>
  <c r="O587" i="10" s="1"/>
  <c r="I587" i="10"/>
  <c r="H587" i="10"/>
  <c r="G587" i="10"/>
  <c r="F587" i="10"/>
  <c r="Q587" i="10" s="1"/>
  <c r="E587" i="10"/>
  <c r="D587" i="10"/>
  <c r="C587" i="10"/>
  <c r="B587" i="10"/>
  <c r="A587" i="10"/>
  <c r="R586" i="10"/>
  <c r="P586" i="10"/>
  <c r="N586" i="10"/>
  <c r="M586" i="10"/>
  <c r="L586" i="10"/>
  <c r="K586" i="10"/>
  <c r="J586" i="10"/>
  <c r="O586" i="10" s="1"/>
  <c r="I586" i="10"/>
  <c r="H586" i="10"/>
  <c r="G586" i="10"/>
  <c r="F586" i="10"/>
  <c r="Q586" i="10" s="1"/>
  <c r="E586" i="10"/>
  <c r="D586" i="10"/>
  <c r="C586" i="10"/>
  <c r="B586" i="10"/>
  <c r="A586" i="10"/>
  <c r="P585" i="10"/>
  <c r="N585" i="10"/>
  <c r="M585" i="10"/>
  <c r="L585" i="10"/>
  <c r="K585" i="10"/>
  <c r="J585" i="10"/>
  <c r="O585" i="10" s="1"/>
  <c r="I585" i="10"/>
  <c r="H585" i="10"/>
  <c r="G585" i="10"/>
  <c r="F585" i="10"/>
  <c r="Q585" i="10" s="1"/>
  <c r="E585" i="10"/>
  <c r="D585" i="10"/>
  <c r="C585" i="10"/>
  <c r="B585" i="10"/>
  <c r="A585" i="10"/>
  <c r="R584" i="10"/>
  <c r="P584" i="10"/>
  <c r="N584" i="10"/>
  <c r="M584" i="10"/>
  <c r="L584" i="10"/>
  <c r="K584" i="10"/>
  <c r="J584" i="10"/>
  <c r="O584" i="10" s="1"/>
  <c r="I584" i="10"/>
  <c r="H584" i="10"/>
  <c r="G584" i="10"/>
  <c r="F584" i="10"/>
  <c r="Q584" i="10" s="1"/>
  <c r="E584" i="10"/>
  <c r="D584" i="10"/>
  <c r="C584" i="10"/>
  <c r="B584" i="10"/>
  <c r="A584" i="10"/>
  <c r="P583" i="10"/>
  <c r="N583" i="10"/>
  <c r="M583" i="10"/>
  <c r="L583" i="10"/>
  <c r="K583" i="10"/>
  <c r="J583" i="10"/>
  <c r="O583" i="10" s="1"/>
  <c r="I583" i="10"/>
  <c r="H583" i="10"/>
  <c r="G583" i="10"/>
  <c r="F583" i="10"/>
  <c r="Q583" i="10" s="1"/>
  <c r="E583" i="10"/>
  <c r="D583" i="10"/>
  <c r="C583" i="10"/>
  <c r="B583" i="10"/>
  <c r="A583" i="10"/>
  <c r="P582" i="10"/>
  <c r="N582" i="10"/>
  <c r="M582" i="10"/>
  <c r="L582" i="10"/>
  <c r="K582" i="10"/>
  <c r="J582" i="10"/>
  <c r="O582" i="10" s="1"/>
  <c r="I582" i="10"/>
  <c r="H582" i="10"/>
  <c r="G582" i="10"/>
  <c r="F582" i="10"/>
  <c r="Q582" i="10" s="1"/>
  <c r="E582" i="10"/>
  <c r="D582" i="10"/>
  <c r="C582" i="10"/>
  <c r="B582" i="10"/>
  <c r="A582" i="10"/>
  <c r="P581" i="10"/>
  <c r="N581" i="10"/>
  <c r="M581" i="10"/>
  <c r="L581" i="10"/>
  <c r="K581" i="10"/>
  <c r="J581" i="10"/>
  <c r="O581" i="10" s="1"/>
  <c r="I581" i="10"/>
  <c r="H581" i="10"/>
  <c r="G581" i="10"/>
  <c r="F581" i="10"/>
  <c r="Q581" i="10" s="1"/>
  <c r="E581" i="10"/>
  <c r="D581" i="10"/>
  <c r="C581" i="10"/>
  <c r="B581" i="10"/>
  <c r="A581" i="10"/>
  <c r="P580" i="10"/>
  <c r="N580" i="10"/>
  <c r="M580" i="10"/>
  <c r="L580" i="10"/>
  <c r="K580" i="10"/>
  <c r="J580" i="10"/>
  <c r="O580" i="10" s="1"/>
  <c r="R580" i="10" s="1"/>
  <c r="I580" i="10"/>
  <c r="H580" i="10"/>
  <c r="G580" i="10"/>
  <c r="F580" i="10"/>
  <c r="Q580" i="10" s="1"/>
  <c r="E580" i="10"/>
  <c r="D580" i="10"/>
  <c r="C580" i="10"/>
  <c r="B580" i="10"/>
  <c r="A580" i="10"/>
  <c r="P579" i="10"/>
  <c r="N579" i="10"/>
  <c r="M579" i="10"/>
  <c r="L579" i="10"/>
  <c r="K579" i="10"/>
  <c r="J579" i="10"/>
  <c r="O579" i="10" s="1"/>
  <c r="I579" i="10"/>
  <c r="H579" i="10"/>
  <c r="G579" i="10"/>
  <c r="F579" i="10"/>
  <c r="Q579" i="10" s="1"/>
  <c r="E579" i="10"/>
  <c r="D579" i="10"/>
  <c r="C579" i="10"/>
  <c r="B579" i="10"/>
  <c r="A579" i="10"/>
  <c r="R578" i="10"/>
  <c r="P578" i="10"/>
  <c r="N578" i="10"/>
  <c r="M578" i="10"/>
  <c r="L578" i="10"/>
  <c r="K578" i="10"/>
  <c r="J578" i="10"/>
  <c r="O578" i="10" s="1"/>
  <c r="I578" i="10"/>
  <c r="H578" i="10"/>
  <c r="G578" i="10"/>
  <c r="F578" i="10"/>
  <c r="Q578" i="10" s="1"/>
  <c r="E578" i="10"/>
  <c r="D578" i="10"/>
  <c r="C578" i="10"/>
  <c r="B578" i="10"/>
  <c r="A578" i="10"/>
  <c r="P577" i="10"/>
  <c r="N577" i="10"/>
  <c r="M577" i="10"/>
  <c r="L577" i="10"/>
  <c r="K577" i="10"/>
  <c r="J577" i="10"/>
  <c r="O577" i="10" s="1"/>
  <c r="I577" i="10"/>
  <c r="H577" i="10"/>
  <c r="G577" i="10"/>
  <c r="F577" i="10"/>
  <c r="Q577" i="10" s="1"/>
  <c r="E577" i="10"/>
  <c r="D577" i="10"/>
  <c r="C577" i="10"/>
  <c r="B577" i="10"/>
  <c r="A577" i="10"/>
  <c r="R576" i="10"/>
  <c r="P576" i="10"/>
  <c r="N576" i="10"/>
  <c r="M576" i="10"/>
  <c r="L576" i="10"/>
  <c r="K576" i="10"/>
  <c r="J576" i="10"/>
  <c r="O576" i="10" s="1"/>
  <c r="I576" i="10"/>
  <c r="H576" i="10"/>
  <c r="G576" i="10"/>
  <c r="F576" i="10"/>
  <c r="Q576" i="10" s="1"/>
  <c r="E576" i="10"/>
  <c r="D576" i="10"/>
  <c r="C576" i="10"/>
  <c r="B576" i="10"/>
  <c r="A576" i="10"/>
  <c r="P575" i="10"/>
  <c r="N575" i="10"/>
  <c r="M575" i="10"/>
  <c r="L575" i="10"/>
  <c r="K575" i="10"/>
  <c r="J575" i="10"/>
  <c r="O575" i="10" s="1"/>
  <c r="I575" i="10"/>
  <c r="H575" i="10"/>
  <c r="G575" i="10"/>
  <c r="F575" i="10"/>
  <c r="Q575" i="10" s="1"/>
  <c r="E575" i="10"/>
  <c r="D575" i="10"/>
  <c r="C575" i="10"/>
  <c r="B575" i="10"/>
  <c r="A575" i="10"/>
  <c r="P574" i="10"/>
  <c r="N574" i="10"/>
  <c r="M574" i="10"/>
  <c r="L574" i="10"/>
  <c r="K574" i="10"/>
  <c r="J574" i="10"/>
  <c r="O574" i="10" s="1"/>
  <c r="I574" i="10"/>
  <c r="H574" i="10"/>
  <c r="G574" i="10"/>
  <c r="F574" i="10"/>
  <c r="Q574" i="10" s="1"/>
  <c r="E574" i="10"/>
  <c r="D574" i="10"/>
  <c r="C574" i="10"/>
  <c r="B574" i="10"/>
  <c r="A574" i="10"/>
  <c r="P573" i="10"/>
  <c r="N573" i="10"/>
  <c r="M573" i="10"/>
  <c r="L573" i="10"/>
  <c r="K573" i="10"/>
  <c r="J573" i="10"/>
  <c r="O573" i="10" s="1"/>
  <c r="I573" i="10"/>
  <c r="H573" i="10"/>
  <c r="G573" i="10"/>
  <c r="F573" i="10"/>
  <c r="Q573" i="10" s="1"/>
  <c r="E573" i="10"/>
  <c r="D573" i="10"/>
  <c r="C573" i="10"/>
  <c r="B573" i="10"/>
  <c r="A573" i="10"/>
  <c r="P572" i="10"/>
  <c r="N572" i="10"/>
  <c r="M572" i="10"/>
  <c r="L572" i="10"/>
  <c r="K572" i="10"/>
  <c r="J572" i="10"/>
  <c r="O572" i="10" s="1"/>
  <c r="R572" i="10" s="1"/>
  <c r="I572" i="10"/>
  <c r="H572" i="10"/>
  <c r="G572" i="10"/>
  <c r="F572" i="10"/>
  <c r="Q572" i="10" s="1"/>
  <c r="E572" i="10"/>
  <c r="D572" i="10"/>
  <c r="C572" i="10"/>
  <c r="B572" i="10"/>
  <c r="A572" i="10"/>
  <c r="P571" i="10"/>
  <c r="N571" i="10"/>
  <c r="M571" i="10"/>
  <c r="L571" i="10"/>
  <c r="K571" i="10"/>
  <c r="J571" i="10"/>
  <c r="O571" i="10" s="1"/>
  <c r="I571" i="10"/>
  <c r="H571" i="10"/>
  <c r="G571" i="10"/>
  <c r="F571" i="10"/>
  <c r="Q571" i="10" s="1"/>
  <c r="E571" i="10"/>
  <c r="D571" i="10"/>
  <c r="C571" i="10"/>
  <c r="B571" i="10"/>
  <c r="A571" i="10"/>
  <c r="R570" i="10"/>
  <c r="P570" i="10"/>
  <c r="N570" i="10"/>
  <c r="M570" i="10"/>
  <c r="L570" i="10"/>
  <c r="K570" i="10"/>
  <c r="J570" i="10"/>
  <c r="O570" i="10" s="1"/>
  <c r="I570" i="10"/>
  <c r="H570" i="10"/>
  <c r="G570" i="10"/>
  <c r="F570" i="10"/>
  <c r="Q570" i="10" s="1"/>
  <c r="E570" i="10"/>
  <c r="D570" i="10"/>
  <c r="C570" i="10"/>
  <c r="B570" i="10"/>
  <c r="A570" i="10"/>
  <c r="P569" i="10"/>
  <c r="N569" i="10"/>
  <c r="M569" i="10"/>
  <c r="L569" i="10"/>
  <c r="K569" i="10"/>
  <c r="J569" i="10"/>
  <c r="O569" i="10" s="1"/>
  <c r="I569" i="10"/>
  <c r="H569" i="10"/>
  <c r="G569" i="10"/>
  <c r="F569" i="10"/>
  <c r="Q569" i="10" s="1"/>
  <c r="E569" i="10"/>
  <c r="D569" i="10"/>
  <c r="C569" i="10"/>
  <c r="B569" i="10"/>
  <c r="A569" i="10"/>
  <c r="R568" i="10"/>
  <c r="P568" i="10"/>
  <c r="N568" i="10"/>
  <c r="M568" i="10"/>
  <c r="L568" i="10"/>
  <c r="K568" i="10"/>
  <c r="J568" i="10"/>
  <c r="O568" i="10" s="1"/>
  <c r="I568" i="10"/>
  <c r="H568" i="10"/>
  <c r="G568" i="10"/>
  <c r="F568" i="10"/>
  <c r="Q568" i="10" s="1"/>
  <c r="E568" i="10"/>
  <c r="D568" i="10"/>
  <c r="C568" i="10"/>
  <c r="B568" i="10"/>
  <c r="A568" i="10"/>
  <c r="P567" i="10"/>
  <c r="N567" i="10"/>
  <c r="M567" i="10"/>
  <c r="L567" i="10"/>
  <c r="K567" i="10"/>
  <c r="J567" i="10"/>
  <c r="O567" i="10" s="1"/>
  <c r="I567" i="10"/>
  <c r="H567" i="10"/>
  <c r="G567" i="10"/>
  <c r="F567" i="10"/>
  <c r="Q567" i="10" s="1"/>
  <c r="E567" i="10"/>
  <c r="D567" i="10"/>
  <c r="C567" i="10"/>
  <c r="B567" i="10"/>
  <c r="A567" i="10"/>
  <c r="P566" i="10"/>
  <c r="N566" i="10"/>
  <c r="M566" i="10"/>
  <c r="L566" i="10"/>
  <c r="K566" i="10"/>
  <c r="J566" i="10"/>
  <c r="O566" i="10" s="1"/>
  <c r="I566" i="10"/>
  <c r="H566" i="10"/>
  <c r="G566" i="10"/>
  <c r="F566" i="10"/>
  <c r="Q566" i="10" s="1"/>
  <c r="E566" i="10"/>
  <c r="D566" i="10"/>
  <c r="C566" i="10"/>
  <c r="B566" i="10"/>
  <c r="A566" i="10"/>
  <c r="P565" i="10"/>
  <c r="N565" i="10"/>
  <c r="M565" i="10"/>
  <c r="L565" i="10"/>
  <c r="K565" i="10"/>
  <c r="J565" i="10"/>
  <c r="O565" i="10" s="1"/>
  <c r="I565" i="10"/>
  <c r="H565" i="10"/>
  <c r="G565" i="10"/>
  <c r="F565" i="10"/>
  <c r="Q565" i="10" s="1"/>
  <c r="E565" i="10"/>
  <c r="D565" i="10"/>
  <c r="C565" i="10"/>
  <c r="B565" i="10"/>
  <c r="A565" i="10"/>
  <c r="P564" i="10"/>
  <c r="N564" i="10"/>
  <c r="M564" i="10"/>
  <c r="L564" i="10"/>
  <c r="K564" i="10"/>
  <c r="J564" i="10"/>
  <c r="O564" i="10" s="1"/>
  <c r="R564" i="10" s="1"/>
  <c r="I564" i="10"/>
  <c r="H564" i="10"/>
  <c r="G564" i="10"/>
  <c r="F564" i="10"/>
  <c r="Q564" i="10" s="1"/>
  <c r="E564" i="10"/>
  <c r="D564" i="10"/>
  <c r="C564" i="10"/>
  <c r="B564" i="10"/>
  <c r="A564" i="10"/>
  <c r="P563" i="10"/>
  <c r="N563" i="10"/>
  <c r="M563" i="10"/>
  <c r="L563" i="10"/>
  <c r="K563" i="10"/>
  <c r="J563" i="10"/>
  <c r="O563" i="10" s="1"/>
  <c r="I563" i="10"/>
  <c r="H563" i="10"/>
  <c r="G563" i="10"/>
  <c r="F563" i="10"/>
  <c r="Q563" i="10" s="1"/>
  <c r="E563" i="10"/>
  <c r="D563" i="10"/>
  <c r="C563" i="10"/>
  <c r="B563" i="10"/>
  <c r="A563" i="10"/>
  <c r="R562" i="10"/>
  <c r="P562" i="10"/>
  <c r="N562" i="10"/>
  <c r="M562" i="10"/>
  <c r="L562" i="10"/>
  <c r="K562" i="10"/>
  <c r="J562" i="10"/>
  <c r="O562" i="10" s="1"/>
  <c r="I562" i="10"/>
  <c r="H562" i="10"/>
  <c r="G562" i="10"/>
  <c r="F562" i="10"/>
  <c r="Q562" i="10" s="1"/>
  <c r="E562" i="10"/>
  <c r="D562" i="10"/>
  <c r="C562" i="10"/>
  <c r="B562" i="10"/>
  <c r="A562" i="10"/>
  <c r="P561" i="10"/>
  <c r="N561" i="10"/>
  <c r="M561" i="10"/>
  <c r="L561" i="10"/>
  <c r="K561" i="10"/>
  <c r="J561" i="10"/>
  <c r="O561" i="10" s="1"/>
  <c r="I561" i="10"/>
  <c r="H561" i="10"/>
  <c r="G561" i="10"/>
  <c r="F561" i="10"/>
  <c r="Q561" i="10" s="1"/>
  <c r="E561" i="10"/>
  <c r="D561" i="10"/>
  <c r="C561" i="10"/>
  <c r="B561" i="10"/>
  <c r="A561" i="10"/>
  <c r="R560" i="10"/>
  <c r="P560" i="10"/>
  <c r="N560" i="10"/>
  <c r="M560" i="10"/>
  <c r="L560" i="10"/>
  <c r="K560" i="10"/>
  <c r="J560" i="10"/>
  <c r="O560" i="10" s="1"/>
  <c r="I560" i="10"/>
  <c r="H560" i="10"/>
  <c r="G560" i="10"/>
  <c r="F560" i="10"/>
  <c r="Q560" i="10" s="1"/>
  <c r="E560" i="10"/>
  <c r="D560" i="10"/>
  <c r="C560" i="10"/>
  <c r="B560" i="10"/>
  <c r="A560" i="10"/>
  <c r="P559" i="10"/>
  <c r="N559" i="10"/>
  <c r="M559" i="10"/>
  <c r="L559" i="10"/>
  <c r="K559" i="10"/>
  <c r="J559" i="10"/>
  <c r="O559" i="10" s="1"/>
  <c r="I559" i="10"/>
  <c r="H559" i="10"/>
  <c r="G559" i="10"/>
  <c r="F559" i="10"/>
  <c r="Q559" i="10" s="1"/>
  <c r="E559" i="10"/>
  <c r="D559" i="10"/>
  <c r="C559" i="10"/>
  <c r="B559" i="10"/>
  <c r="A559" i="10"/>
  <c r="P558" i="10"/>
  <c r="N558" i="10"/>
  <c r="M558" i="10"/>
  <c r="L558" i="10"/>
  <c r="K558" i="10"/>
  <c r="J558" i="10"/>
  <c r="O558" i="10" s="1"/>
  <c r="I558" i="10"/>
  <c r="H558" i="10"/>
  <c r="G558" i="10"/>
  <c r="F558" i="10"/>
  <c r="Q558" i="10" s="1"/>
  <c r="E558" i="10"/>
  <c r="D558" i="10"/>
  <c r="C558" i="10"/>
  <c r="B558" i="10"/>
  <c r="A558" i="10"/>
  <c r="P557" i="10"/>
  <c r="N557" i="10"/>
  <c r="M557" i="10"/>
  <c r="L557" i="10"/>
  <c r="K557" i="10"/>
  <c r="J557" i="10"/>
  <c r="O557" i="10" s="1"/>
  <c r="I557" i="10"/>
  <c r="H557" i="10"/>
  <c r="G557" i="10"/>
  <c r="F557" i="10"/>
  <c r="Q557" i="10" s="1"/>
  <c r="E557" i="10"/>
  <c r="D557" i="10"/>
  <c r="C557" i="10"/>
  <c r="B557" i="10"/>
  <c r="A557" i="10"/>
  <c r="P556" i="10"/>
  <c r="N556" i="10"/>
  <c r="M556" i="10"/>
  <c r="L556" i="10"/>
  <c r="K556" i="10"/>
  <c r="J556" i="10"/>
  <c r="O556" i="10" s="1"/>
  <c r="R556" i="10" s="1"/>
  <c r="I556" i="10"/>
  <c r="H556" i="10"/>
  <c r="G556" i="10"/>
  <c r="F556" i="10"/>
  <c r="Q556" i="10" s="1"/>
  <c r="E556" i="10"/>
  <c r="D556" i="10"/>
  <c r="C556" i="10"/>
  <c r="B556" i="10"/>
  <c r="A556" i="10"/>
  <c r="P555" i="10"/>
  <c r="N555" i="10"/>
  <c r="M555" i="10"/>
  <c r="L555" i="10"/>
  <c r="K555" i="10"/>
  <c r="J555" i="10"/>
  <c r="O555" i="10" s="1"/>
  <c r="I555" i="10"/>
  <c r="H555" i="10"/>
  <c r="G555" i="10"/>
  <c r="F555" i="10"/>
  <c r="Q555" i="10" s="1"/>
  <c r="E555" i="10"/>
  <c r="D555" i="10"/>
  <c r="C555" i="10"/>
  <c r="B555" i="10"/>
  <c r="A555" i="10"/>
  <c r="R554" i="10"/>
  <c r="P554" i="10"/>
  <c r="N554" i="10"/>
  <c r="M554" i="10"/>
  <c r="L554" i="10"/>
  <c r="K554" i="10"/>
  <c r="J554" i="10"/>
  <c r="O554" i="10" s="1"/>
  <c r="I554" i="10"/>
  <c r="H554" i="10"/>
  <c r="G554" i="10"/>
  <c r="F554" i="10"/>
  <c r="Q554" i="10" s="1"/>
  <c r="E554" i="10"/>
  <c r="D554" i="10"/>
  <c r="C554" i="10"/>
  <c r="B554" i="10"/>
  <c r="A554" i="10"/>
  <c r="P553" i="10"/>
  <c r="N553" i="10"/>
  <c r="M553" i="10"/>
  <c r="L553" i="10"/>
  <c r="K553" i="10"/>
  <c r="J553" i="10"/>
  <c r="O553" i="10" s="1"/>
  <c r="I553" i="10"/>
  <c r="H553" i="10"/>
  <c r="G553" i="10"/>
  <c r="F553" i="10"/>
  <c r="Q553" i="10" s="1"/>
  <c r="E553" i="10"/>
  <c r="D553" i="10"/>
  <c r="C553" i="10"/>
  <c r="B553" i="10"/>
  <c r="A553" i="10"/>
  <c r="R552" i="10"/>
  <c r="P552" i="10"/>
  <c r="N552" i="10"/>
  <c r="M552" i="10"/>
  <c r="L552" i="10"/>
  <c r="K552" i="10"/>
  <c r="J552" i="10"/>
  <c r="O552" i="10" s="1"/>
  <c r="I552" i="10"/>
  <c r="H552" i="10"/>
  <c r="G552" i="10"/>
  <c r="F552" i="10"/>
  <c r="Q552" i="10" s="1"/>
  <c r="E552" i="10"/>
  <c r="D552" i="10"/>
  <c r="C552" i="10"/>
  <c r="B552" i="10"/>
  <c r="A552" i="10"/>
  <c r="P551" i="10"/>
  <c r="N551" i="10"/>
  <c r="M551" i="10"/>
  <c r="L551" i="10"/>
  <c r="K551" i="10"/>
  <c r="J551" i="10"/>
  <c r="O551" i="10" s="1"/>
  <c r="R551" i="10" s="1"/>
  <c r="I551" i="10"/>
  <c r="H551" i="10"/>
  <c r="G551" i="10"/>
  <c r="F551" i="10"/>
  <c r="Q551" i="10" s="1"/>
  <c r="E551" i="10"/>
  <c r="D551" i="10"/>
  <c r="C551" i="10"/>
  <c r="B551" i="10"/>
  <c r="A551" i="10"/>
  <c r="P550" i="10"/>
  <c r="N550" i="10"/>
  <c r="M550" i="10"/>
  <c r="L550" i="10"/>
  <c r="K550" i="10"/>
  <c r="J550" i="10"/>
  <c r="O550" i="10" s="1"/>
  <c r="I550" i="10"/>
  <c r="H550" i="10"/>
  <c r="G550" i="10"/>
  <c r="F550" i="10"/>
  <c r="Q550" i="10" s="1"/>
  <c r="E550" i="10"/>
  <c r="D550" i="10"/>
  <c r="C550" i="10"/>
  <c r="B550" i="10"/>
  <c r="A550" i="10"/>
  <c r="P549" i="10"/>
  <c r="N549" i="10"/>
  <c r="M549" i="10"/>
  <c r="L549" i="10"/>
  <c r="K549" i="10"/>
  <c r="J549" i="10"/>
  <c r="O549" i="10" s="1"/>
  <c r="I549" i="10"/>
  <c r="H549" i="10"/>
  <c r="G549" i="10"/>
  <c r="F549" i="10"/>
  <c r="Q549" i="10" s="1"/>
  <c r="E549" i="10"/>
  <c r="D549" i="10"/>
  <c r="C549" i="10"/>
  <c r="B549" i="10"/>
  <c r="A549" i="10"/>
  <c r="P548" i="10"/>
  <c r="N548" i="10"/>
  <c r="M548" i="10"/>
  <c r="L548" i="10"/>
  <c r="K548" i="10"/>
  <c r="J548" i="10"/>
  <c r="O548" i="10" s="1"/>
  <c r="R548" i="10" s="1"/>
  <c r="I548" i="10"/>
  <c r="H548" i="10"/>
  <c r="G548" i="10"/>
  <c r="F548" i="10"/>
  <c r="Q548" i="10" s="1"/>
  <c r="E548" i="10"/>
  <c r="D548" i="10"/>
  <c r="C548" i="10"/>
  <c r="B548" i="10"/>
  <c r="A548" i="10"/>
  <c r="P547" i="10"/>
  <c r="N547" i="10"/>
  <c r="M547" i="10"/>
  <c r="L547" i="10"/>
  <c r="K547" i="10"/>
  <c r="J547" i="10"/>
  <c r="O547" i="10" s="1"/>
  <c r="I547" i="10"/>
  <c r="H547" i="10"/>
  <c r="G547" i="10"/>
  <c r="F547" i="10"/>
  <c r="Q547" i="10" s="1"/>
  <c r="E547" i="10"/>
  <c r="D547" i="10"/>
  <c r="C547" i="10"/>
  <c r="B547" i="10"/>
  <c r="A547" i="10"/>
  <c r="R546" i="10"/>
  <c r="P546" i="10"/>
  <c r="N546" i="10"/>
  <c r="M546" i="10"/>
  <c r="L546" i="10"/>
  <c r="K546" i="10"/>
  <c r="J546" i="10"/>
  <c r="O546" i="10" s="1"/>
  <c r="I546" i="10"/>
  <c r="H546" i="10"/>
  <c r="G546" i="10"/>
  <c r="F546" i="10"/>
  <c r="Q546" i="10" s="1"/>
  <c r="E546" i="10"/>
  <c r="D546" i="10"/>
  <c r="C546" i="10"/>
  <c r="B546" i="10"/>
  <c r="A546" i="10"/>
  <c r="P545" i="10"/>
  <c r="N545" i="10"/>
  <c r="M545" i="10"/>
  <c r="L545" i="10"/>
  <c r="K545" i="10"/>
  <c r="J545" i="10"/>
  <c r="O545" i="10" s="1"/>
  <c r="I545" i="10"/>
  <c r="H545" i="10"/>
  <c r="G545" i="10"/>
  <c r="F545" i="10"/>
  <c r="Q545" i="10" s="1"/>
  <c r="E545" i="10"/>
  <c r="D545" i="10"/>
  <c r="C545" i="10"/>
  <c r="B545" i="10"/>
  <c r="A545" i="10"/>
  <c r="R544" i="10"/>
  <c r="P544" i="10"/>
  <c r="N544" i="10"/>
  <c r="M544" i="10"/>
  <c r="L544" i="10"/>
  <c r="K544" i="10"/>
  <c r="J544" i="10"/>
  <c r="O544" i="10" s="1"/>
  <c r="I544" i="10"/>
  <c r="H544" i="10"/>
  <c r="G544" i="10"/>
  <c r="F544" i="10"/>
  <c r="Q544" i="10" s="1"/>
  <c r="E544" i="10"/>
  <c r="D544" i="10"/>
  <c r="C544" i="10"/>
  <c r="B544" i="10"/>
  <c r="A544" i="10"/>
  <c r="P543" i="10"/>
  <c r="N543" i="10"/>
  <c r="M543" i="10"/>
  <c r="L543" i="10"/>
  <c r="K543" i="10"/>
  <c r="J543" i="10"/>
  <c r="O543" i="10" s="1"/>
  <c r="I543" i="10"/>
  <c r="H543" i="10"/>
  <c r="G543" i="10"/>
  <c r="F543" i="10"/>
  <c r="Q543" i="10" s="1"/>
  <c r="E543" i="10"/>
  <c r="D543" i="10"/>
  <c r="C543" i="10"/>
  <c r="B543" i="10"/>
  <c r="A543" i="10"/>
  <c r="P542" i="10"/>
  <c r="N542" i="10"/>
  <c r="M542" i="10"/>
  <c r="L542" i="10"/>
  <c r="K542" i="10"/>
  <c r="J542" i="10"/>
  <c r="O542" i="10" s="1"/>
  <c r="I542" i="10"/>
  <c r="H542" i="10"/>
  <c r="G542" i="10"/>
  <c r="F542" i="10"/>
  <c r="Q542" i="10" s="1"/>
  <c r="E542" i="10"/>
  <c r="D542" i="10"/>
  <c r="C542" i="10"/>
  <c r="B542" i="10"/>
  <c r="A542" i="10"/>
  <c r="P541" i="10"/>
  <c r="N541" i="10"/>
  <c r="M541" i="10"/>
  <c r="L541" i="10"/>
  <c r="K541" i="10"/>
  <c r="J541" i="10"/>
  <c r="O541" i="10" s="1"/>
  <c r="I541" i="10"/>
  <c r="H541" i="10"/>
  <c r="G541" i="10"/>
  <c r="F541" i="10"/>
  <c r="Q541" i="10" s="1"/>
  <c r="E541" i="10"/>
  <c r="D541" i="10"/>
  <c r="C541" i="10"/>
  <c r="B541" i="10"/>
  <c r="A541" i="10"/>
  <c r="P540" i="10"/>
  <c r="N540" i="10"/>
  <c r="M540" i="10"/>
  <c r="L540" i="10"/>
  <c r="K540" i="10"/>
  <c r="J540" i="10"/>
  <c r="O540" i="10" s="1"/>
  <c r="R540" i="10" s="1"/>
  <c r="I540" i="10"/>
  <c r="H540" i="10"/>
  <c r="G540" i="10"/>
  <c r="F540" i="10"/>
  <c r="Q540" i="10" s="1"/>
  <c r="E540" i="10"/>
  <c r="D540" i="10"/>
  <c r="C540" i="10"/>
  <c r="B540" i="10"/>
  <c r="A540" i="10"/>
  <c r="P539" i="10"/>
  <c r="N539" i="10"/>
  <c r="M539" i="10"/>
  <c r="L539" i="10"/>
  <c r="K539" i="10"/>
  <c r="J539" i="10"/>
  <c r="O539" i="10" s="1"/>
  <c r="I539" i="10"/>
  <c r="H539" i="10"/>
  <c r="G539" i="10"/>
  <c r="F539" i="10"/>
  <c r="Q539" i="10" s="1"/>
  <c r="E539" i="10"/>
  <c r="D539" i="10"/>
  <c r="C539" i="10"/>
  <c r="B539" i="10"/>
  <c r="A539" i="10"/>
  <c r="R538" i="10"/>
  <c r="P538" i="10"/>
  <c r="N538" i="10"/>
  <c r="M538" i="10"/>
  <c r="L538" i="10"/>
  <c r="K538" i="10"/>
  <c r="J538" i="10"/>
  <c r="O538" i="10" s="1"/>
  <c r="I538" i="10"/>
  <c r="H538" i="10"/>
  <c r="G538" i="10"/>
  <c r="F538" i="10"/>
  <c r="Q538" i="10" s="1"/>
  <c r="E538" i="10"/>
  <c r="D538" i="10"/>
  <c r="C538" i="10"/>
  <c r="B538" i="10"/>
  <c r="A538" i="10"/>
  <c r="P537" i="10"/>
  <c r="N537" i="10"/>
  <c r="M537" i="10"/>
  <c r="L537" i="10"/>
  <c r="K537" i="10"/>
  <c r="J537" i="10"/>
  <c r="O537" i="10" s="1"/>
  <c r="I537" i="10"/>
  <c r="H537" i="10"/>
  <c r="G537" i="10"/>
  <c r="F537" i="10"/>
  <c r="Q537" i="10" s="1"/>
  <c r="E537" i="10"/>
  <c r="D537" i="10"/>
  <c r="C537" i="10"/>
  <c r="B537" i="10"/>
  <c r="A537" i="10"/>
  <c r="R536" i="10"/>
  <c r="P536" i="10"/>
  <c r="N536" i="10"/>
  <c r="M536" i="10"/>
  <c r="L536" i="10"/>
  <c r="K536" i="10"/>
  <c r="J536" i="10"/>
  <c r="O536" i="10" s="1"/>
  <c r="I536" i="10"/>
  <c r="H536" i="10"/>
  <c r="G536" i="10"/>
  <c r="F536" i="10"/>
  <c r="Q536" i="10" s="1"/>
  <c r="E536" i="10"/>
  <c r="D536" i="10"/>
  <c r="C536" i="10"/>
  <c r="B536" i="10"/>
  <c r="A536" i="10"/>
  <c r="P535" i="10"/>
  <c r="N535" i="10"/>
  <c r="M535" i="10"/>
  <c r="L535" i="10"/>
  <c r="K535" i="10"/>
  <c r="J535" i="10"/>
  <c r="O535" i="10" s="1"/>
  <c r="I535" i="10"/>
  <c r="H535" i="10"/>
  <c r="G535" i="10"/>
  <c r="F535" i="10"/>
  <c r="Q535" i="10" s="1"/>
  <c r="E535" i="10"/>
  <c r="D535" i="10"/>
  <c r="C535" i="10"/>
  <c r="B535" i="10"/>
  <c r="A535" i="10"/>
  <c r="P534" i="10"/>
  <c r="N534" i="10"/>
  <c r="M534" i="10"/>
  <c r="L534" i="10"/>
  <c r="K534" i="10"/>
  <c r="J534" i="10"/>
  <c r="O534" i="10" s="1"/>
  <c r="I534" i="10"/>
  <c r="H534" i="10"/>
  <c r="G534" i="10"/>
  <c r="F534" i="10"/>
  <c r="Q534" i="10" s="1"/>
  <c r="E534" i="10"/>
  <c r="D534" i="10"/>
  <c r="C534" i="10"/>
  <c r="B534" i="10"/>
  <c r="A534" i="10"/>
  <c r="P533" i="10"/>
  <c r="N533" i="10"/>
  <c r="M533" i="10"/>
  <c r="L533" i="10"/>
  <c r="K533" i="10"/>
  <c r="J533" i="10"/>
  <c r="O533" i="10" s="1"/>
  <c r="I533" i="10"/>
  <c r="H533" i="10"/>
  <c r="G533" i="10"/>
  <c r="F533" i="10"/>
  <c r="Q533" i="10" s="1"/>
  <c r="E533" i="10"/>
  <c r="D533" i="10"/>
  <c r="C533" i="10"/>
  <c r="B533" i="10"/>
  <c r="A533" i="10"/>
  <c r="P532" i="10"/>
  <c r="N532" i="10"/>
  <c r="M532" i="10"/>
  <c r="L532" i="10"/>
  <c r="K532" i="10"/>
  <c r="J532" i="10"/>
  <c r="O532" i="10" s="1"/>
  <c r="R532" i="10" s="1"/>
  <c r="I532" i="10"/>
  <c r="H532" i="10"/>
  <c r="G532" i="10"/>
  <c r="F532" i="10"/>
  <c r="Q532" i="10" s="1"/>
  <c r="E532" i="10"/>
  <c r="D532" i="10"/>
  <c r="C532" i="10"/>
  <c r="B532" i="10"/>
  <c r="A532" i="10"/>
  <c r="P531" i="10"/>
  <c r="N531" i="10"/>
  <c r="M531" i="10"/>
  <c r="L531" i="10"/>
  <c r="K531" i="10"/>
  <c r="J531" i="10"/>
  <c r="O531" i="10" s="1"/>
  <c r="I531" i="10"/>
  <c r="H531" i="10"/>
  <c r="G531" i="10"/>
  <c r="F531" i="10"/>
  <c r="Q531" i="10" s="1"/>
  <c r="E531" i="10"/>
  <c r="D531" i="10"/>
  <c r="C531" i="10"/>
  <c r="B531" i="10"/>
  <c r="A531" i="10"/>
  <c r="R530" i="10"/>
  <c r="P530" i="10"/>
  <c r="N530" i="10"/>
  <c r="M530" i="10"/>
  <c r="L530" i="10"/>
  <c r="K530" i="10"/>
  <c r="J530" i="10"/>
  <c r="O530" i="10" s="1"/>
  <c r="I530" i="10"/>
  <c r="H530" i="10"/>
  <c r="G530" i="10"/>
  <c r="F530" i="10"/>
  <c r="Q530" i="10" s="1"/>
  <c r="E530" i="10"/>
  <c r="D530" i="10"/>
  <c r="C530" i="10"/>
  <c r="B530" i="10"/>
  <c r="A530" i="10"/>
  <c r="P529" i="10"/>
  <c r="N529" i="10"/>
  <c r="M529" i="10"/>
  <c r="L529" i="10"/>
  <c r="K529" i="10"/>
  <c r="J529" i="10"/>
  <c r="O529" i="10" s="1"/>
  <c r="I529" i="10"/>
  <c r="H529" i="10"/>
  <c r="G529" i="10"/>
  <c r="F529" i="10"/>
  <c r="Q529" i="10" s="1"/>
  <c r="E529" i="10"/>
  <c r="D529" i="10"/>
  <c r="C529" i="10"/>
  <c r="B529" i="10"/>
  <c r="A529" i="10"/>
  <c r="R528" i="10"/>
  <c r="P528" i="10"/>
  <c r="N528" i="10"/>
  <c r="M528" i="10"/>
  <c r="L528" i="10"/>
  <c r="K528" i="10"/>
  <c r="J528" i="10"/>
  <c r="O528" i="10" s="1"/>
  <c r="I528" i="10"/>
  <c r="H528" i="10"/>
  <c r="G528" i="10"/>
  <c r="F528" i="10"/>
  <c r="Q528" i="10" s="1"/>
  <c r="E528" i="10"/>
  <c r="D528" i="10"/>
  <c r="C528" i="10"/>
  <c r="B528" i="10"/>
  <c r="A528" i="10"/>
  <c r="P527" i="10"/>
  <c r="N527" i="10"/>
  <c r="M527" i="10"/>
  <c r="L527" i="10"/>
  <c r="K527" i="10"/>
  <c r="J527" i="10"/>
  <c r="O527" i="10" s="1"/>
  <c r="I527" i="10"/>
  <c r="H527" i="10"/>
  <c r="G527" i="10"/>
  <c r="F527" i="10"/>
  <c r="Q527" i="10" s="1"/>
  <c r="E527" i="10"/>
  <c r="D527" i="10"/>
  <c r="C527" i="10"/>
  <c r="B527" i="10"/>
  <c r="A527" i="10"/>
  <c r="P526" i="10"/>
  <c r="N526" i="10"/>
  <c r="M526" i="10"/>
  <c r="L526" i="10"/>
  <c r="K526" i="10"/>
  <c r="J526" i="10"/>
  <c r="O526" i="10" s="1"/>
  <c r="I526" i="10"/>
  <c r="H526" i="10"/>
  <c r="G526" i="10"/>
  <c r="F526" i="10"/>
  <c r="Q526" i="10" s="1"/>
  <c r="E526" i="10"/>
  <c r="D526" i="10"/>
  <c r="C526" i="10"/>
  <c r="B526" i="10"/>
  <c r="A526" i="10"/>
  <c r="P525" i="10"/>
  <c r="N525" i="10"/>
  <c r="M525" i="10"/>
  <c r="L525" i="10"/>
  <c r="K525" i="10"/>
  <c r="J525" i="10"/>
  <c r="O525" i="10" s="1"/>
  <c r="I525" i="10"/>
  <c r="H525" i="10"/>
  <c r="G525" i="10"/>
  <c r="F525" i="10"/>
  <c r="Q525" i="10" s="1"/>
  <c r="E525" i="10"/>
  <c r="D525" i="10"/>
  <c r="C525" i="10"/>
  <c r="B525" i="10"/>
  <c r="A525" i="10"/>
  <c r="P524" i="10"/>
  <c r="N524" i="10"/>
  <c r="M524" i="10"/>
  <c r="L524" i="10"/>
  <c r="K524" i="10"/>
  <c r="J524" i="10"/>
  <c r="O524" i="10" s="1"/>
  <c r="R524" i="10" s="1"/>
  <c r="I524" i="10"/>
  <c r="H524" i="10"/>
  <c r="G524" i="10"/>
  <c r="F524" i="10"/>
  <c r="Q524" i="10" s="1"/>
  <c r="E524" i="10"/>
  <c r="D524" i="10"/>
  <c r="C524" i="10"/>
  <c r="B524" i="10"/>
  <c r="A524" i="10"/>
  <c r="P523" i="10"/>
  <c r="N523" i="10"/>
  <c r="M523" i="10"/>
  <c r="L523" i="10"/>
  <c r="K523" i="10"/>
  <c r="J523" i="10"/>
  <c r="O523" i="10" s="1"/>
  <c r="I523" i="10"/>
  <c r="H523" i="10"/>
  <c r="G523" i="10"/>
  <c r="F523" i="10"/>
  <c r="Q523" i="10" s="1"/>
  <c r="E523" i="10"/>
  <c r="D523" i="10"/>
  <c r="C523" i="10"/>
  <c r="B523" i="10"/>
  <c r="A523" i="10"/>
  <c r="R522" i="10"/>
  <c r="P522" i="10"/>
  <c r="N522" i="10"/>
  <c r="M522" i="10"/>
  <c r="L522" i="10"/>
  <c r="K522" i="10"/>
  <c r="J522" i="10"/>
  <c r="O522" i="10" s="1"/>
  <c r="I522" i="10"/>
  <c r="H522" i="10"/>
  <c r="G522" i="10"/>
  <c r="F522" i="10"/>
  <c r="Q522" i="10" s="1"/>
  <c r="E522" i="10"/>
  <c r="D522" i="10"/>
  <c r="C522" i="10"/>
  <c r="B522" i="10"/>
  <c r="A522" i="10"/>
  <c r="P521" i="10"/>
  <c r="N521" i="10"/>
  <c r="M521" i="10"/>
  <c r="L521" i="10"/>
  <c r="K521" i="10"/>
  <c r="J521" i="10"/>
  <c r="O521" i="10" s="1"/>
  <c r="I521" i="10"/>
  <c r="H521" i="10"/>
  <c r="G521" i="10"/>
  <c r="F521" i="10"/>
  <c r="Q521" i="10" s="1"/>
  <c r="E521" i="10"/>
  <c r="D521" i="10"/>
  <c r="C521" i="10"/>
  <c r="B521" i="10"/>
  <c r="A521" i="10"/>
  <c r="R520" i="10"/>
  <c r="P520" i="10"/>
  <c r="N520" i="10"/>
  <c r="M520" i="10"/>
  <c r="L520" i="10"/>
  <c r="K520" i="10"/>
  <c r="J520" i="10"/>
  <c r="O520" i="10" s="1"/>
  <c r="I520" i="10"/>
  <c r="H520" i="10"/>
  <c r="G520" i="10"/>
  <c r="F520" i="10"/>
  <c r="Q520" i="10" s="1"/>
  <c r="E520" i="10"/>
  <c r="D520" i="10"/>
  <c r="C520" i="10"/>
  <c r="B520" i="10"/>
  <c r="A520" i="10"/>
  <c r="P519" i="10"/>
  <c r="N519" i="10"/>
  <c r="M519" i="10"/>
  <c r="L519" i="10"/>
  <c r="K519" i="10"/>
  <c r="J519" i="10"/>
  <c r="O519" i="10" s="1"/>
  <c r="I519" i="10"/>
  <c r="H519" i="10"/>
  <c r="G519" i="10"/>
  <c r="F519" i="10"/>
  <c r="Q519" i="10" s="1"/>
  <c r="E519" i="10"/>
  <c r="D519" i="10"/>
  <c r="C519" i="10"/>
  <c r="B519" i="10"/>
  <c r="A519" i="10"/>
  <c r="P518" i="10"/>
  <c r="N518" i="10"/>
  <c r="M518" i="10"/>
  <c r="L518" i="10"/>
  <c r="K518" i="10"/>
  <c r="J518" i="10"/>
  <c r="O518" i="10" s="1"/>
  <c r="I518" i="10"/>
  <c r="H518" i="10"/>
  <c r="G518" i="10"/>
  <c r="F518" i="10"/>
  <c r="Q518" i="10" s="1"/>
  <c r="E518" i="10"/>
  <c r="D518" i="10"/>
  <c r="C518" i="10"/>
  <c r="B518" i="10"/>
  <c r="A518" i="10"/>
  <c r="P517" i="10"/>
  <c r="N517" i="10"/>
  <c r="M517" i="10"/>
  <c r="L517" i="10"/>
  <c r="K517" i="10"/>
  <c r="J517" i="10"/>
  <c r="O517" i="10" s="1"/>
  <c r="I517" i="10"/>
  <c r="H517" i="10"/>
  <c r="G517" i="10"/>
  <c r="F517" i="10"/>
  <c r="Q517" i="10" s="1"/>
  <c r="E517" i="10"/>
  <c r="D517" i="10"/>
  <c r="C517" i="10"/>
  <c r="B517" i="10"/>
  <c r="A517" i="10"/>
  <c r="P516" i="10"/>
  <c r="N516" i="10"/>
  <c r="M516" i="10"/>
  <c r="L516" i="10"/>
  <c r="K516" i="10"/>
  <c r="J516" i="10"/>
  <c r="O516" i="10" s="1"/>
  <c r="R516" i="10" s="1"/>
  <c r="I516" i="10"/>
  <c r="H516" i="10"/>
  <c r="G516" i="10"/>
  <c r="F516" i="10"/>
  <c r="Q516" i="10" s="1"/>
  <c r="E516" i="10"/>
  <c r="D516" i="10"/>
  <c r="C516" i="10"/>
  <c r="B516" i="10"/>
  <c r="A516" i="10"/>
  <c r="P515" i="10"/>
  <c r="N515" i="10"/>
  <c r="M515" i="10"/>
  <c r="L515" i="10"/>
  <c r="K515" i="10"/>
  <c r="J515" i="10"/>
  <c r="O515" i="10" s="1"/>
  <c r="I515" i="10"/>
  <c r="H515" i="10"/>
  <c r="G515" i="10"/>
  <c r="F515" i="10"/>
  <c r="Q515" i="10" s="1"/>
  <c r="E515" i="10"/>
  <c r="D515" i="10"/>
  <c r="C515" i="10"/>
  <c r="B515" i="10"/>
  <c r="A515" i="10"/>
  <c r="R514" i="10"/>
  <c r="P514" i="10"/>
  <c r="N514" i="10"/>
  <c r="M514" i="10"/>
  <c r="L514" i="10"/>
  <c r="K514" i="10"/>
  <c r="J514" i="10"/>
  <c r="O514" i="10" s="1"/>
  <c r="I514" i="10"/>
  <c r="H514" i="10"/>
  <c r="G514" i="10"/>
  <c r="F514" i="10"/>
  <c r="Q514" i="10" s="1"/>
  <c r="E514" i="10"/>
  <c r="D514" i="10"/>
  <c r="C514" i="10"/>
  <c r="B514" i="10"/>
  <c r="A514" i="10"/>
  <c r="P513" i="10"/>
  <c r="N513" i="10"/>
  <c r="M513" i="10"/>
  <c r="L513" i="10"/>
  <c r="K513" i="10"/>
  <c r="J513" i="10"/>
  <c r="O513" i="10" s="1"/>
  <c r="I513" i="10"/>
  <c r="H513" i="10"/>
  <c r="G513" i="10"/>
  <c r="F513" i="10"/>
  <c r="Q513" i="10" s="1"/>
  <c r="E513" i="10"/>
  <c r="D513" i="10"/>
  <c r="C513" i="10"/>
  <c r="B513" i="10"/>
  <c r="A513" i="10"/>
  <c r="R512" i="10"/>
  <c r="P512" i="10"/>
  <c r="N512" i="10"/>
  <c r="M512" i="10"/>
  <c r="L512" i="10"/>
  <c r="K512" i="10"/>
  <c r="J512" i="10"/>
  <c r="O512" i="10" s="1"/>
  <c r="I512" i="10"/>
  <c r="H512" i="10"/>
  <c r="G512" i="10"/>
  <c r="F512" i="10"/>
  <c r="Q512" i="10" s="1"/>
  <c r="E512" i="10"/>
  <c r="D512" i="10"/>
  <c r="C512" i="10"/>
  <c r="B512" i="10"/>
  <c r="A512" i="10"/>
  <c r="P511" i="10"/>
  <c r="N511" i="10"/>
  <c r="M511" i="10"/>
  <c r="L511" i="10"/>
  <c r="K511" i="10"/>
  <c r="J511" i="10"/>
  <c r="O511" i="10" s="1"/>
  <c r="I511" i="10"/>
  <c r="H511" i="10"/>
  <c r="G511" i="10"/>
  <c r="F511" i="10"/>
  <c r="Q511" i="10" s="1"/>
  <c r="E511" i="10"/>
  <c r="D511" i="10"/>
  <c r="C511" i="10"/>
  <c r="B511" i="10"/>
  <c r="A511" i="10"/>
  <c r="P510" i="10"/>
  <c r="N510" i="10"/>
  <c r="M510" i="10"/>
  <c r="L510" i="10"/>
  <c r="K510" i="10"/>
  <c r="J510" i="10"/>
  <c r="O510" i="10" s="1"/>
  <c r="I510" i="10"/>
  <c r="H510" i="10"/>
  <c r="G510" i="10"/>
  <c r="F510" i="10"/>
  <c r="Q510" i="10" s="1"/>
  <c r="E510" i="10"/>
  <c r="D510" i="10"/>
  <c r="C510" i="10"/>
  <c r="B510" i="10"/>
  <c r="A510" i="10"/>
  <c r="P509" i="10"/>
  <c r="N509" i="10"/>
  <c r="M509" i="10"/>
  <c r="L509" i="10"/>
  <c r="K509" i="10"/>
  <c r="J509" i="10"/>
  <c r="O509" i="10" s="1"/>
  <c r="I509" i="10"/>
  <c r="H509" i="10"/>
  <c r="G509" i="10"/>
  <c r="F509" i="10"/>
  <c r="Q509" i="10" s="1"/>
  <c r="E509" i="10"/>
  <c r="D509" i="10"/>
  <c r="C509" i="10"/>
  <c r="B509" i="10"/>
  <c r="A509" i="10"/>
  <c r="P508" i="10"/>
  <c r="N508" i="10"/>
  <c r="M508" i="10"/>
  <c r="L508" i="10"/>
  <c r="K508" i="10"/>
  <c r="J508" i="10"/>
  <c r="O508" i="10" s="1"/>
  <c r="I508" i="10"/>
  <c r="H508" i="10"/>
  <c r="G508" i="10"/>
  <c r="F508" i="10"/>
  <c r="Q508" i="10" s="1"/>
  <c r="E508" i="10"/>
  <c r="D508" i="10"/>
  <c r="C508" i="10"/>
  <c r="B508" i="10"/>
  <c r="A508" i="10"/>
  <c r="P507" i="10"/>
  <c r="N507" i="10"/>
  <c r="M507" i="10"/>
  <c r="L507" i="10"/>
  <c r="K507" i="10"/>
  <c r="J507" i="10"/>
  <c r="O507" i="10" s="1"/>
  <c r="I507" i="10"/>
  <c r="H507" i="10"/>
  <c r="G507" i="10"/>
  <c r="F507" i="10"/>
  <c r="Q507" i="10" s="1"/>
  <c r="E507" i="10"/>
  <c r="D507" i="10"/>
  <c r="C507" i="10"/>
  <c r="B507" i="10"/>
  <c r="A507" i="10"/>
  <c r="P506" i="10"/>
  <c r="N506" i="10"/>
  <c r="M506" i="10"/>
  <c r="L506" i="10"/>
  <c r="K506" i="10"/>
  <c r="J506" i="10"/>
  <c r="O506" i="10" s="1"/>
  <c r="I506" i="10"/>
  <c r="H506" i="10"/>
  <c r="G506" i="10"/>
  <c r="F506" i="10"/>
  <c r="Q506" i="10" s="1"/>
  <c r="E506" i="10"/>
  <c r="D506" i="10"/>
  <c r="C506" i="10"/>
  <c r="B506" i="10"/>
  <c r="A506" i="10"/>
  <c r="P505" i="10"/>
  <c r="N505" i="10"/>
  <c r="M505" i="10"/>
  <c r="L505" i="10"/>
  <c r="K505" i="10"/>
  <c r="J505" i="10"/>
  <c r="O505" i="10" s="1"/>
  <c r="I505" i="10"/>
  <c r="H505" i="10"/>
  <c r="G505" i="10"/>
  <c r="F505" i="10"/>
  <c r="Q505" i="10" s="1"/>
  <c r="E505" i="10"/>
  <c r="D505" i="10"/>
  <c r="C505" i="10"/>
  <c r="B505" i="10"/>
  <c r="A505" i="10"/>
  <c r="P504" i="10"/>
  <c r="N504" i="10"/>
  <c r="M504" i="10"/>
  <c r="L504" i="10"/>
  <c r="K504" i="10"/>
  <c r="J504" i="10"/>
  <c r="O504" i="10" s="1"/>
  <c r="I504" i="10"/>
  <c r="H504" i="10"/>
  <c r="G504" i="10"/>
  <c r="F504" i="10"/>
  <c r="Q504" i="10" s="1"/>
  <c r="E504" i="10"/>
  <c r="D504" i="10"/>
  <c r="C504" i="10"/>
  <c r="B504" i="10"/>
  <c r="A504" i="10"/>
  <c r="P503" i="10"/>
  <c r="N503" i="10"/>
  <c r="M503" i="10"/>
  <c r="L503" i="10"/>
  <c r="K503" i="10"/>
  <c r="J503" i="10"/>
  <c r="O503" i="10" s="1"/>
  <c r="I503" i="10"/>
  <c r="H503" i="10"/>
  <c r="G503" i="10"/>
  <c r="F503" i="10"/>
  <c r="Q503" i="10" s="1"/>
  <c r="E503" i="10"/>
  <c r="D503" i="10"/>
  <c r="C503" i="10"/>
  <c r="B503" i="10"/>
  <c r="A503" i="10"/>
  <c r="P502" i="10"/>
  <c r="N502" i="10"/>
  <c r="M502" i="10"/>
  <c r="L502" i="10"/>
  <c r="K502" i="10"/>
  <c r="J502" i="10"/>
  <c r="O502" i="10" s="1"/>
  <c r="I502" i="10"/>
  <c r="H502" i="10"/>
  <c r="G502" i="10"/>
  <c r="F502" i="10"/>
  <c r="Q502" i="10" s="1"/>
  <c r="E502" i="10"/>
  <c r="D502" i="10"/>
  <c r="C502" i="10"/>
  <c r="B502" i="10"/>
  <c r="A502" i="10"/>
  <c r="P501" i="10"/>
  <c r="N501" i="10"/>
  <c r="M501" i="10"/>
  <c r="L501" i="10"/>
  <c r="K501" i="10"/>
  <c r="J501" i="10"/>
  <c r="O501" i="10" s="1"/>
  <c r="I501" i="10"/>
  <c r="H501" i="10"/>
  <c r="G501" i="10"/>
  <c r="F501" i="10"/>
  <c r="Q501" i="10" s="1"/>
  <c r="E501" i="10"/>
  <c r="D501" i="10"/>
  <c r="C501" i="10"/>
  <c r="B501" i="10"/>
  <c r="A501" i="10"/>
  <c r="P500" i="10"/>
  <c r="N500" i="10"/>
  <c r="M500" i="10"/>
  <c r="L500" i="10"/>
  <c r="K500" i="10"/>
  <c r="J500" i="10"/>
  <c r="O500" i="10" s="1"/>
  <c r="I500" i="10"/>
  <c r="H500" i="10"/>
  <c r="G500" i="10"/>
  <c r="F500" i="10"/>
  <c r="Q500" i="10" s="1"/>
  <c r="E500" i="10"/>
  <c r="D500" i="10"/>
  <c r="C500" i="10"/>
  <c r="B500" i="10"/>
  <c r="A500" i="10"/>
  <c r="P499" i="10"/>
  <c r="N499" i="10"/>
  <c r="M499" i="10"/>
  <c r="L499" i="10"/>
  <c r="K499" i="10"/>
  <c r="J499" i="10"/>
  <c r="O499" i="10" s="1"/>
  <c r="I499" i="10"/>
  <c r="H499" i="10"/>
  <c r="G499" i="10"/>
  <c r="F499" i="10"/>
  <c r="Q499" i="10" s="1"/>
  <c r="E499" i="10"/>
  <c r="D499" i="10"/>
  <c r="C499" i="10"/>
  <c r="B499" i="10"/>
  <c r="A499" i="10"/>
  <c r="P498" i="10"/>
  <c r="N498" i="10"/>
  <c r="M498" i="10"/>
  <c r="L498" i="10"/>
  <c r="K498" i="10"/>
  <c r="J498" i="10"/>
  <c r="O498" i="10" s="1"/>
  <c r="I498" i="10"/>
  <c r="H498" i="10"/>
  <c r="G498" i="10"/>
  <c r="F498" i="10"/>
  <c r="Q498" i="10" s="1"/>
  <c r="E498" i="10"/>
  <c r="D498" i="10"/>
  <c r="C498" i="10"/>
  <c r="B498" i="10"/>
  <c r="A498" i="10"/>
  <c r="P497" i="10"/>
  <c r="N497" i="10"/>
  <c r="M497" i="10"/>
  <c r="L497" i="10"/>
  <c r="K497" i="10"/>
  <c r="J497" i="10"/>
  <c r="O497" i="10" s="1"/>
  <c r="I497" i="10"/>
  <c r="H497" i="10"/>
  <c r="G497" i="10"/>
  <c r="F497" i="10"/>
  <c r="Q497" i="10" s="1"/>
  <c r="E497" i="10"/>
  <c r="D497" i="10"/>
  <c r="C497" i="10"/>
  <c r="B497" i="10"/>
  <c r="A497" i="10"/>
  <c r="P496" i="10"/>
  <c r="N496" i="10"/>
  <c r="M496" i="10"/>
  <c r="L496" i="10"/>
  <c r="K496" i="10"/>
  <c r="J496" i="10"/>
  <c r="O496" i="10" s="1"/>
  <c r="I496" i="10"/>
  <c r="H496" i="10"/>
  <c r="G496" i="10"/>
  <c r="F496" i="10"/>
  <c r="Q496" i="10" s="1"/>
  <c r="E496" i="10"/>
  <c r="D496" i="10"/>
  <c r="C496" i="10"/>
  <c r="B496" i="10"/>
  <c r="A496" i="10"/>
  <c r="P495" i="10"/>
  <c r="N495" i="10"/>
  <c r="M495" i="10"/>
  <c r="L495" i="10"/>
  <c r="K495" i="10"/>
  <c r="J495" i="10"/>
  <c r="O495" i="10" s="1"/>
  <c r="I495" i="10"/>
  <c r="H495" i="10"/>
  <c r="G495" i="10"/>
  <c r="F495" i="10"/>
  <c r="Q495" i="10" s="1"/>
  <c r="E495" i="10"/>
  <c r="D495" i="10"/>
  <c r="C495" i="10"/>
  <c r="B495" i="10"/>
  <c r="A495" i="10"/>
  <c r="P494" i="10"/>
  <c r="N494" i="10"/>
  <c r="M494" i="10"/>
  <c r="L494" i="10"/>
  <c r="K494" i="10"/>
  <c r="J494" i="10"/>
  <c r="O494" i="10" s="1"/>
  <c r="I494" i="10"/>
  <c r="H494" i="10"/>
  <c r="G494" i="10"/>
  <c r="F494" i="10"/>
  <c r="Q494" i="10" s="1"/>
  <c r="E494" i="10"/>
  <c r="D494" i="10"/>
  <c r="C494" i="10"/>
  <c r="B494" i="10"/>
  <c r="A494" i="10"/>
  <c r="P493" i="10"/>
  <c r="N493" i="10"/>
  <c r="M493" i="10"/>
  <c r="L493" i="10"/>
  <c r="K493" i="10"/>
  <c r="J493" i="10"/>
  <c r="O493" i="10" s="1"/>
  <c r="I493" i="10"/>
  <c r="H493" i="10"/>
  <c r="G493" i="10"/>
  <c r="F493" i="10"/>
  <c r="Q493" i="10" s="1"/>
  <c r="E493" i="10"/>
  <c r="D493" i="10"/>
  <c r="C493" i="10"/>
  <c r="B493" i="10"/>
  <c r="A493" i="10"/>
  <c r="P492" i="10"/>
  <c r="N492" i="10"/>
  <c r="M492" i="10"/>
  <c r="L492" i="10"/>
  <c r="K492" i="10"/>
  <c r="J492" i="10"/>
  <c r="O492" i="10" s="1"/>
  <c r="I492" i="10"/>
  <c r="H492" i="10"/>
  <c r="G492" i="10"/>
  <c r="F492" i="10"/>
  <c r="Q492" i="10" s="1"/>
  <c r="E492" i="10"/>
  <c r="D492" i="10"/>
  <c r="C492" i="10"/>
  <c r="B492" i="10"/>
  <c r="A492" i="10"/>
  <c r="P491" i="10"/>
  <c r="N491" i="10"/>
  <c r="M491" i="10"/>
  <c r="L491" i="10"/>
  <c r="K491" i="10"/>
  <c r="J491" i="10"/>
  <c r="O491" i="10" s="1"/>
  <c r="I491" i="10"/>
  <c r="H491" i="10"/>
  <c r="G491" i="10"/>
  <c r="F491" i="10"/>
  <c r="Q491" i="10" s="1"/>
  <c r="E491" i="10"/>
  <c r="D491" i="10"/>
  <c r="C491" i="10"/>
  <c r="B491" i="10"/>
  <c r="A491" i="10"/>
  <c r="P490" i="10"/>
  <c r="N490" i="10"/>
  <c r="M490" i="10"/>
  <c r="L490" i="10"/>
  <c r="K490" i="10"/>
  <c r="J490" i="10"/>
  <c r="O490" i="10" s="1"/>
  <c r="I490" i="10"/>
  <c r="H490" i="10"/>
  <c r="G490" i="10"/>
  <c r="F490" i="10"/>
  <c r="Q490" i="10" s="1"/>
  <c r="E490" i="10"/>
  <c r="D490" i="10"/>
  <c r="C490" i="10"/>
  <c r="B490" i="10"/>
  <c r="A490" i="10"/>
  <c r="P489" i="10"/>
  <c r="N489" i="10"/>
  <c r="M489" i="10"/>
  <c r="L489" i="10"/>
  <c r="K489" i="10"/>
  <c r="J489" i="10"/>
  <c r="O489" i="10" s="1"/>
  <c r="I489" i="10"/>
  <c r="H489" i="10"/>
  <c r="G489" i="10"/>
  <c r="F489" i="10"/>
  <c r="Q489" i="10" s="1"/>
  <c r="E489" i="10"/>
  <c r="D489" i="10"/>
  <c r="C489" i="10"/>
  <c r="B489" i="10"/>
  <c r="A489" i="10"/>
  <c r="P488" i="10"/>
  <c r="N488" i="10"/>
  <c r="M488" i="10"/>
  <c r="L488" i="10"/>
  <c r="K488" i="10"/>
  <c r="J488" i="10"/>
  <c r="O488" i="10" s="1"/>
  <c r="I488" i="10"/>
  <c r="H488" i="10"/>
  <c r="G488" i="10"/>
  <c r="F488" i="10"/>
  <c r="Q488" i="10" s="1"/>
  <c r="E488" i="10"/>
  <c r="D488" i="10"/>
  <c r="C488" i="10"/>
  <c r="B488" i="10"/>
  <c r="A488" i="10"/>
  <c r="P487" i="10"/>
  <c r="N487" i="10"/>
  <c r="M487" i="10"/>
  <c r="L487" i="10"/>
  <c r="K487" i="10"/>
  <c r="J487" i="10"/>
  <c r="O487" i="10" s="1"/>
  <c r="I487" i="10"/>
  <c r="H487" i="10"/>
  <c r="G487" i="10"/>
  <c r="F487" i="10"/>
  <c r="Q487" i="10" s="1"/>
  <c r="E487" i="10"/>
  <c r="D487" i="10"/>
  <c r="C487" i="10"/>
  <c r="B487" i="10"/>
  <c r="A487" i="10"/>
  <c r="P486" i="10"/>
  <c r="N486" i="10"/>
  <c r="M486" i="10"/>
  <c r="L486" i="10"/>
  <c r="K486" i="10"/>
  <c r="J486" i="10"/>
  <c r="O486" i="10" s="1"/>
  <c r="I486" i="10"/>
  <c r="H486" i="10"/>
  <c r="G486" i="10"/>
  <c r="F486" i="10"/>
  <c r="Q486" i="10" s="1"/>
  <c r="E486" i="10"/>
  <c r="D486" i="10"/>
  <c r="C486" i="10"/>
  <c r="B486" i="10"/>
  <c r="A486" i="10"/>
  <c r="P485" i="10"/>
  <c r="N485" i="10"/>
  <c r="M485" i="10"/>
  <c r="L485" i="10"/>
  <c r="K485" i="10"/>
  <c r="J485" i="10"/>
  <c r="O485" i="10" s="1"/>
  <c r="I485" i="10"/>
  <c r="H485" i="10"/>
  <c r="G485" i="10"/>
  <c r="F485" i="10"/>
  <c r="Q485" i="10" s="1"/>
  <c r="E485" i="10"/>
  <c r="D485" i="10"/>
  <c r="C485" i="10"/>
  <c r="B485" i="10"/>
  <c r="A485" i="10"/>
  <c r="P484" i="10"/>
  <c r="N484" i="10"/>
  <c r="M484" i="10"/>
  <c r="L484" i="10"/>
  <c r="K484" i="10"/>
  <c r="J484" i="10"/>
  <c r="O484" i="10" s="1"/>
  <c r="I484" i="10"/>
  <c r="H484" i="10"/>
  <c r="G484" i="10"/>
  <c r="F484" i="10"/>
  <c r="Q484" i="10" s="1"/>
  <c r="E484" i="10"/>
  <c r="D484" i="10"/>
  <c r="C484" i="10"/>
  <c r="B484" i="10"/>
  <c r="A484" i="10"/>
  <c r="P483" i="10"/>
  <c r="N483" i="10"/>
  <c r="M483" i="10"/>
  <c r="L483" i="10"/>
  <c r="K483" i="10"/>
  <c r="J483" i="10"/>
  <c r="O483" i="10" s="1"/>
  <c r="I483" i="10"/>
  <c r="H483" i="10"/>
  <c r="G483" i="10"/>
  <c r="F483" i="10"/>
  <c r="Q483" i="10" s="1"/>
  <c r="E483" i="10"/>
  <c r="D483" i="10"/>
  <c r="C483" i="10"/>
  <c r="B483" i="10"/>
  <c r="A483" i="10"/>
  <c r="P482" i="10"/>
  <c r="N482" i="10"/>
  <c r="M482" i="10"/>
  <c r="L482" i="10"/>
  <c r="K482" i="10"/>
  <c r="J482" i="10"/>
  <c r="O482" i="10" s="1"/>
  <c r="I482" i="10"/>
  <c r="H482" i="10"/>
  <c r="G482" i="10"/>
  <c r="F482" i="10"/>
  <c r="Q482" i="10" s="1"/>
  <c r="E482" i="10"/>
  <c r="D482" i="10"/>
  <c r="C482" i="10"/>
  <c r="B482" i="10"/>
  <c r="A482" i="10"/>
  <c r="P481" i="10"/>
  <c r="N481" i="10"/>
  <c r="M481" i="10"/>
  <c r="L481" i="10"/>
  <c r="K481" i="10"/>
  <c r="J481" i="10"/>
  <c r="O481" i="10" s="1"/>
  <c r="I481" i="10"/>
  <c r="H481" i="10"/>
  <c r="G481" i="10"/>
  <c r="F481" i="10"/>
  <c r="Q481" i="10" s="1"/>
  <c r="E481" i="10"/>
  <c r="D481" i="10"/>
  <c r="C481" i="10"/>
  <c r="B481" i="10"/>
  <c r="A481" i="10"/>
  <c r="P480" i="10"/>
  <c r="N480" i="10"/>
  <c r="M480" i="10"/>
  <c r="L480" i="10"/>
  <c r="K480" i="10"/>
  <c r="J480" i="10"/>
  <c r="O480" i="10" s="1"/>
  <c r="I480" i="10"/>
  <c r="H480" i="10"/>
  <c r="G480" i="10"/>
  <c r="F480" i="10"/>
  <c r="Q480" i="10" s="1"/>
  <c r="E480" i="10"/>
  <c r="D480" i="10"/>
  <c r="C480" i="10"/>
  <c r="B480" i="10"/>
  <c r="A480" i="10"/>
  <c r="P479" i="10"/>
  <c r="N479" i="10"/>
  <c r="M479" i="10"/>
  <c r="L479" i="10"/>
  <c r="K479" i="10"/>
  <c r="J479" i="10"/>
  <c r="O479" i="10" s="1"/>
  <c r="I479" i="10"/>
  <c r="H479" i="10"/>
  <c r="G479" i="10"/>
  <c r="F479" i="10"/>
  <c r="Q479" i="10" s="1"/>
  <c r="E479" i="10"/>
  <c r="D479" i="10"/>
  <c r="C479" i="10"/>
  <c r="B479" i="10"/>
  <c r="A479" i="10"/>
  <c r="P478" i="10"/>
  <c r="N478" i="10"/>
  <c r="M478" i="10"/>
  <c r="L478" i="10"/>
  <c r="K478" i="10"/>
  <c r="J478" i="10"/>
  <c r="O478" i="10" s="1"/>
  <c r="I478" i="10"/>
  <c r="H478" i="10"/>
  <c r="G478" i="10"/>
  <c r="F478" i="10"/>
  <c r="Q478" i="10" s="1"/>
  <c r="E478" i="10"/>
  <c r="D478" i="10"/>
  <c r="C478" i="10"/>
  <c r="B478" i="10"/>
  <c r="A478" i="10"/>
  <c r="P477" i="10"/>
  <c r="N477" i="10"/>
  <c r="M477" i="10"/>
  <c r="L477" i="10"/>
  <c r="K477" i="10"/>
  <c r="J477" i="10"/>
  <c r="O477" i="10" s="1"/>
  <c r="I477" i="10"/>
  <c r="H477" i="10"/>
  <c r="G477" i="10"/>
  <c r="F477" i="10"/>
  <c r="Q477" i="10" s="1"/>
  <c r="E477" i="10"/>
  <c r="D477" i="10"/>
  <c r="C477" i="10"/>
  <c r="B477" i="10"/>
  <c r="A477" i="10"/>
  <c r="P476" i="10"/>
  <c r="N476" i="10"/>
  <c r="M476" i="10"/>
  <c r="L476" i="10"/>
  <c r="K476" i="10"/>
  <c r="J476" i="10"/>
  <c r="O476" i="10" s="1"/>
  <c r="I476" i="10"/>
  <c r="H476" i="10"/>
  <c r="G476" i="10"/>
  <c r="F476" i="10"/>
  <c r="Q476" i="10" s="1"/>
  <c r="E476" i="10"/>
  <c r="D476" i="10"/>
  <c r="C476" i="10"/>
  <c r="B476" i="10"/>
  <c r="A476" i="10"/>
  <c r="P475" i="10"/>
  <c r="N475" i="10"/>
  <c r="M475" i="10"/>
  <c r="L475" i="10"/>
  <c r="K475" i="10"/>
  <c r="J475" i="10"/>
  <c r="O475" i="10" s="1"/>
  <c r="I475" i="10"/>
  <c r="H475" i="10"/>
  <c r="G475" i="10"/>
  <c r="F475" i="10"/>
  <c r="Q475" i="10" s="1"/>
  <c r="E475" i="10"/>
  <c r="D475" i="10"/>
  <c r="C475" i="10"/>
  <c r="B475" i="10"/>
  <c r="A475" i="10"/>
  <c r="P474" i="10"/>
  <c r="N474" i="10"/>
  <c r="M474" i="10"/>
  <c r="L474" i="10"/>
  <c r="K474" i="10"/>
  <c r="J474" i="10"/>
  <c r="O474" i="10" s="1"/>
  <c r="I474" i="10"/>
  <c r="H474" i="10"/>
  <c r="G474" i="10"/>
  <c r="F474" i="10"/>
  <c r="Q474" i="10" s="1"/>
  <c r="E474" i="10"/>
  <c r="D474" i="10"/>
  <c r="C474" i="10"/>
  <c r="B474" i="10"/>
  <c r="A474" i="10"/>
  <c r="P473" i="10"/>
  <c r="N473" i="10"/>
  <c r="M473" i="10"/>
  <c r="L473" i="10"/>
  <c r="K473" i="10"/>
  <c r="J473" i="10"/>
  <c r="O473" i="10" s="1"/>
  <c r="I473" i="10"/>
  <c r="H473" i="10"/>
  <c r="G473" i="10"/>
  <c r="F473" i="10"/>
  <c r="Q473" i="10" s="1"/>
  <c r="E473" i="10"/>
  <c r="D473" i="10"/>
  <c r="C473" i="10"/>
  <c r="B473" i="10"/>
  <c r="A473" i="10"/>
  <c r="P472" i="10"/>
  <c r="N472" i="10"/>
  <c r="M472" i="10"/>
  <c r="L472" i="10"/>
  <c r="K472" i="10"/>
  <c r="J472" i="10"/>
  <c r="O472" i="10" s="1"/>
  <c r="I472" i="10"/>
  <c r="H472" i="10"/>
  <c r="G472" i="10"/>
  <c r="F472" i="10"/>
  <c r="Q472" i="10" s="1"/>
  <c r="E472" i="10"/>
  <c r="D472" i="10"/>
  <c r="C472" i="10"/>
  <c r="B472" i="10"/>
  <c r="A472" i="10"/>
  <c r="P471" i="10"/>
  <c r="N471" i="10"/>
  <c r="M471" i="10"/>
  <c r="L471" i="10"/>
  <c r="K471" i="10"/>
  <c r="J471" i="10"/>
  <c r="O471" i="10" s="1"/>
  <c r="I471" i="10"/>
  <c r="H471" i="10"/>
  <c r="G471" i="10"/>
  <c r="F471" i="10"/>
  <c r="Q471" i="10" s="1"/>
  <c r="E471" i="10"/>
  <c r="D471" i="10"/>
  <c r="C471" i="10"/>
  <c r="B471" i="10"/>
  <c r="A471" i="10"/>
  <c r="P470" i="10"/>
  <c r="N470" i="10"/>
  <c r="M470" i="10"/>
  <c r="L470" i="10"/>
  <c r="K470" i="10"/>
  <c r="J470" i="10"/>
  <c r="O470" i="10" s="1"/>
  <c r="I470" i="10"/>
  <c r="H470" i="10"/>
  <c r="G470" i="10"/>
  <c r="F470" i="10"/>
  <c r="Q470" i="10" s="1"/>
  <c r="E470" i="10"/>
  <c r="D470" i="10"/>
  <c r="C470" i="10"/>
  <c r="B470" i="10"/>
  <c r="A470" i="10"/>
  <c r="P469" i="10"/>
  <c r="N469" i="10"/>
  <c r="M469" i="10"/>
  <c r="L469" i="10"/>
  <c r="K469" i="10"/>
  <c r="J469" i="10"/>
  <c r="O469" i="10" s="1"/>
  <c r="I469" i="10"/>
  <c r="H469" i="10"/>
  <c r="G469" i="10"/>
  <c r="F469" i="10"/>
  <c r="Q469" i="10" s="1"/>
  <c r="E469" i="10"/>
  <c r="D469" i="10"/>
  <c r="C469" i="10"/>
  <c r="B469" i="10"/>
  <c r="A469" i="10"/>
  <c r="P468" i="10"/>
  <c r="N468" i="10"/>
  <c r="M468" i="10"/>
  <c r="L468" i="10"/>
  <c r="K468" i="10"/>
  <c r="J468" i="10"/>
  <c r="O468" i="10" s="1"/>
  <c r="I468" i="10"/>
  <c r="H468" i="10"/>
  <c r="G468" i="10"/>
  <c r="F468" i="10"/>
  <c r="Q468" i="10" s="1"/>
  <c r="E468" i="10"/>
  <c r="D468" i="10"/>
  <c r="C468" i="10"/>
  <c r="B468" i="10"/>
  <c r="A468" i="10"/>
  <c r="P467" i="10"/>
  <c r="N467" i="10"/>
  <c r="M467" i="10"/>
  <c r="L467" i="10"/>
  <c r="K467" i="10"/>
  <c r="J467" i="10"/>
  <c r="O467" i="10" s="1"/>
  <c r="I467" i="10"/>
  <c r="H467" i="10"/>
  <c r="G467" i="10"/>
  <c r="F467" i="10"/>
  <c r="Q467" i="10" s="1"/>
  <c r="E467" i="10"/>
  <c r="D467" i="10"/>
  <c r="C467" i="10"/>
  <c r="B467" i="10"/>
  <c r="A467" i="10"/>
  <c r="P466" i="10"/>
  <c r="N466" i="10"/>
  <c r="M466" i="10"/>
  <c r="L466" i="10"/>
  <c r="K466" i="10"/>
  <c r="J466" i="10"/>
  <c r="O466" i="10" s="1"/>
  <c r="I466" i="10"/>
  <c r="H466" i="10"/>
  <c r="G466" i="10"/>
  <c r="F466" i="10"/>
  <c r="Q466" i="10" s="1"/>
  <c r="E466" i="10"/>
  <c r="D466" i="10"/>
  <c r="C466" i="10"/>
  <c r="B466" i="10"/>
  <c r="A466" i="10"/>
  <c r="P465" i="10"/>
  <c r="N465" i="10"/>
  <c r="M465" i="10"/>
  <c r="L465" i="10"/>
  <c r="K465" i="10"/>
  <c r="J465" i="10"/>
  <c r="O465" i="10" s="1"/>
  <c r="I465" i="10"/>
  <c r="H465" i="10"/>
  <c r="G465" i="10"/>
  <c r="F465" i="10"/>
  <c r="Q465" i="10" s="1"/>
  <c r="E465" i="10"/>
  <c r="D465" i="10"/>
  <c r="C465" i="10"/>
  <c r="B465" i="10"/>
  <c r="A465" i="10"/>
  <c r="P464" i="10"/>
  <c r="N464" i="10"/>
  <c r="M464" i="10"/>
  <c r="L464" i="10"/>
  <c r="K464" i="10"/>
  <c r="J464" i="10"/>
  <c r="O464" i="10" s="1"/>
  <c r="I464" i="10"/>
  <c r="H464" i="10"/>
  <c r="G464" i="10"/>
  <c r="F464" i="10"/>
  <c r="Q464" i="10" s="1"/>
  <c r="E464" i="10"/>
  <c r="D464" i="10"/>
  <c r="C464" i="10"/>
  <c r="B464" i="10"/>
  <c r="A464" i="10"/>
  <c r="P463" i="10"/>
  <c r="N463" i="10"/>
  <c r="M463" i="10"/>
  <c r="L463" i="10"/>
  <c r="K463" i="10"/>
  <c r="J463" i="10"/>
  <c r="O463" i="10" s="1"/>
  <c r="I463" i="10"/>
  <c r="H463" i="10"/>
  <c r="G463" i="10"/>
  <c r="F463" i="10"/>
  <c r="Q463" i="10" s="1"/>
  <c r="E463" i="10"/>
  <c r="D463" i="10"/>
  <c r="C463" i="10"/>
  <c r="B463" i="10"/>
  <c r="A463" i="10"/>
  <c r="P462" i="10"/>
  <c r="N462" i="10"/>
  <c r="M462" i="10"/>
  <c r="L462" i="10"/>
  <c r="K462" i="10"/>
  <c r="J462" i="10"/>
  <c r="O462" i="10" s="1"/>
  <c r="I462" i="10"/>
  <c r="H462" i="10"/>
  <c r="G462" i="10"/>
  <c r="F462" i="10"/>
  <c r="Q462" i="10" s="1"/>
  <c r="E462" i="10"/>
  <c r="D462" i="10"/>
  <c r="C462" i="10"/>
  <c r="B462" i="10"/>
  <c r="A462" i="10"/>
  <c r="P461" i="10"/>
  <c r="N461" i="10"/>
  <c r="M461" i="10"/>
  <c r="L461" i="10"/>
  <c r="K461" i="10"/>
  <c r="J461" i="10"/>
  <c r="O461" i="10" s="1"/>
  <c r="I461" i="10"/>
  <c r="H461" i="10"/>
  <c r="G461" i="10"/>
  <c r="F461" i="10"/>
  <c r="Q461" i="10" s="1"/>
  <c r="E461" i="10"/>
  <c r="D461" i="10"/>
  <c r="C461" i="10"/>
  <c r="B461" i="10"/>
  <c r="A461" i="10"/>
  <c r="P460" i="10"/>
  <c r="N460" i="10"/>
  <c r="M460" i="10"/>
  <c r="L460" i="10"/>
  <c r="K460" i="10"/>
  <c r="J460" i="10"/>
  <c r="O460" i="10" s="1"/>
  <c r="I460" i="10"/>
  <c r="H460" i="10"/>
  <c r="G460" i="10"/>
  <c r="F460" i="10"/>
  <c r="Q460" i="10" s="1"/>
  <c r="E460" i="10"/>
  <c r="D460" i="10"/>
  <c r="C460" i="10"/>
  <c r="B460" i="10"/>
  <c r="A460" i="10"/>
  <c r="P459" i="10"/>
  <c r="N459" i="10"/>
  <c r="M459" i="10"/>
  <c r="L459" i="10"/>
  <c r="K459" i="10"/>
  <c r="J459" i="10"/>
  <c r="O459" i="10" s="1"/>
  <c r="I459" i="10"/>
  <c r="H459" i="10"/>
  <c r="G459" i="10"/>
  <c r="F459" i="10"/>
  <c r="Q459" i="10" s="1"/>
  <c r="E459" i="10"/>
  <c r="D459" i="10"/>
  <c r="C459" i="10"/>
  <c r="B459" i="10"/>
  <c r="A459" i="10"/>
  <c r="P458" i="10"/>
  <c r="N458" i="10"/>
  <c r="M458" i="10"/>
  <c r="L458" i="10"/>
  <c r="K458" i="10"/>
  <c r="J458" i="10"/>
  <c r="O458" i="10" s="1"/>
  <c r="I458" i="10"/>
  <c r="H458" i="10"/>
  <c r="G458" i="10"/>
  <c r="F458" i="10"/>
  <c r="Q458" i="10" s="1"/>
  <c r="E458" i="10"/>
  <c r="D458" i="10"/>
  <c r="C458" i="10"/>
  <c r="B458" i="10"/>
  <c r="A458" i="10"/>
  <c r="P457" i="10"/>
  <c r="N457" i="10"/>
  <c r="M457" i="10"/>
  <c r="L457" i="10"/>
  <c r="K457" i="10"/>
  <c r="J457" i="10"/>
  <c r="O457" i="10" s="1"/>
  <c r="I457" i="10"/>
  <c r="H457" i="10"/>
  <c r="G457" i="10"/>
  <c r="F457" i="10"/>
  <c r="Q457" i="10" s="1"/>
  <c r="E457" i="10"/>
  <c r="D457" i="10"/>
  <c r="C457" i="10"/>
  <c r="B457" i="10"/>
  <c r="A457" i="10"/>
  <c r="P456" i="10"/>
  <c r="N456" i="10"/>
  <c r="M456" i="10"/>
  <c r="L456" i="10"/>
  <c r="K456" i="10"/>
  <c r="J456" i="10"/>
  <c r="O456" i="10" s="1"/>
  <c r="I456" i="10"/>
  <c r="H456" i="10"/>
  <c r="G456" i="10"/>
  <c r="F456" i="10"/>
  <c r="Q456" i="10" s="1"/>
  <c r="E456" i="10"/>
  <c r="D456" i="10"/>
  <c r="C456" i="10"/>
  <c r="B456" i="10"/>
  <c r="A456" i="10"/>
  <c r="P455" i="10"/>
  <c r="N455" i="10"/>
  <c r="M455" i="10"/>
  <c r="L455" i="10"/>
  <c r="K455" i="10"/>
  <c r="J455" i="10"/>
  <c r="O455" i="10" s="1"/>
  <c r="I455" i="10"/>
  <c r="H455" i="10"/>
  <c r="G455" i="10"/>
  <c r="F455" i="10"/>
  <c r="Q455" i="10" s="1"/>
  <c r="E455" i="10"/>
  <c r="D455" i="10"/>
  <c r="C455" i="10"/>
  <c r="B455" i="10"/>
  <c r="A455" i="10"/>
  <c r="P454" i="10"/>
  <c r="N454" i="10"/>
  <c r="M454" i="10"/>
  <c r="L454" i="10"/>
  <c r="K454" i="10"/>
  <c r="J454" i="10"/>
  <c r="O454" i="10" s="1"/>
  <c r="I454" i="10"/>
  <c r="H454" i="10"/>
  <c r="G454" i="10"/>
  <c r="F454" i="10"/>
  <c r="Q454" i="10" s="1"/>
  <c r="E454" i="10"/>
  <c r="D454" i="10"/>
  <c r="C454" i="10"/>
  <c r="B454" i="10"/>
  <c r="A454" i="10"/>
  <c r="P453" i="10"/>
  <c r="N453" i="10"/>
  <c r="M453" i="10"/>
  <c r="L453" i="10"/>
  <c r="K453" i="10"/>
  <c r="J453" i="10"/>
  <c r="O453" i="10" s="1"/>
  <c r="I453" i="10"/>
  <c r="H453" i="10"/>
  <c r="G453" i="10"/>
  <c r="F453" i="10"/>
  <c r="Q453" i="10" s="1"/>
  <c r="E453" i="10"/>
  <c r="D453" i="10"/>
  <c r="C453" i="10"/>
  <c r="B453" i="10"/>
  <c r="A453" i="10"/>
  <c r="P452" i="10"/>
  <c r="N452" i="10"/>
  <c r="M452" i="10"/>
  <c r="L452" i="10"/>
  <c r="K452" i="10"/>
  <c r="J452" i="10"/>
  <c r="O452" i="10" s="1"/>
  <c r="I452" i="10"/>
  <c r="H452" i="10"/>
  <c r="G452" i="10"/>
  <c r="F452" i="10"/>
  <c r="Q452" i="10" s="1"/>
  <c r="E452" i="10"/>
  <c r="D452" i="10"/>
  <c r="C452" i="10"/>
  <c r="B452" i="10"/>
  <c r="A452" i="10"/>
  <c r="P451" i="10"/>
  <c r="N451" i="10"/>
  <c r="M451" i="10"/>
  <c r="L451" i="10"/>
  <c r="K451" i="10"/>
  <c r="J451" i="10"/>
  <c r="O451" i="10" s="1"/>
  <c r="I451" i="10"/>
  <c r="H451" i="10"/>
  <c r="G451" i="10"/>
  <c r="F451" i="10"/>
  <c r="Q451" i="10" s="1"/>
  <c r="E451" i="10"/>
  <c r="D451" i="10"/>
  <c r="C451" i="10"/>
  <c r="B451" i="10"/>
  <c r="A451" i="10"/>
  <c r="P450" i="10"/>
  <c r="N450" i="10"/>
  <c r="M450" i="10"/>
  <c r="L450" i="10"/>
  <c r="K450" i="10"/>
  <c r="J450" i="10"/>
  <c r="O450" i="10" s="1"/>
  <c r="I450" i="10"/>
  <c r="H450" i="10"/>
  <c r="G450" i="10"/>
  <c r="F450" i="10"/>
  <c r="Q450" i="10" s="1"/>
  <c r="E450" i="10"/>
  <c r="D450" i="10"/>
  <c r="C450" i="10"/>
  <c r="B450" i="10"/>
  <c r="A450" i="10"/>
  <c r="P449" i="10"/>
  <c r="N449" i="10"/>
  <c r="M449" i="10"/>
  <c r="L449" i="10"/>
  <c r="K449" i="10"/>
  <c r="J449" i="10"/>
  <c r="O449" i="10" s="1"/>
  <c r="I449" i="10"/>
  <c r="H449" i="10"/>
  <c r="G449" i="10"/>
  <c r="F449" i="10"/>
  <c r="Q449" i="10" s="1"/>
  <c r="E449" i="10"/>
  <c r="D449" i="10"/>
  <c r="C449" i="10"/>
  <c r="B449" i="10"/>
  <c r="A449" i="10"/>
  <c r="P448" i="10"/>
  <c r="N448" i="10"/>
  <c r="M448" i="10"/>
  <c r="L448" i="10"/>
  <c r="K448" i="10"/>
  <c r="J448" i="10"/>
  <c r="O448" i="10" s="1"/>
  <c r="I448" i="10"/>
  <c r="H448" i="10"/>
  <c r="G448" i="10"/>
  <c r="F448" i="10"/>
  <c r="Q448" i="10" s="1"/>
  <c r="E448" i="10"/>
  <c r="D448" i="10"/>
  <c r="C448" i="10"/>
  <c r="B448" i="10"/>
  <c r="A448" i="10"/>
  <c r="P447" i="10"/>
  <c r="N447" i="10"/>
  <c r="M447" i="10"/>
  <c r="L447" i="10"/>
  <c r="K447" i="10"/>
  <c r="J447" i="10"/>
  <c r="O447" i="10" s="1"/>
  <c r="I447" i="10"/>
  <c r="H447" i="10"/>
  <c r="G447" i="10"/>
  <c r="F447" i="10"/>
  <c r="Q447" i="10" s="1"/>
  <c r="E447" i="10"/>
  <c r="D447" i="10"/>
  <c r="C447" i="10"/>
  <c r="B447" i="10"/>
  <c r="A447" i="10"/>
  <c r="P446" i="10"/>
  <c r="N446" i="10"/>
  <c r="M446" i="10"/>
  <c r="L446" i="10"/>
  <c r="K446" i="10"/>
  <c r="J446" i="10"/>
  <c r="O446" i="10" s="1"/>
  <c r="I446" i="10"/>
  <c r="H446" i="10"/>
  <c r="G446" i="10"/>
  <c r="F446" i="10"/>
  <c r="Q446" i="10" s="1"/>
  <c r="E446" i="10"/>
  <c r="D446" i="10"/>
  <c r="C446" i="10"/>
  <c r="B446" i="10"/>
  <c r="A446" i="10"/>
  <c r="P445" i="10"/>
  <c r="N445" i="10"/>
  <c r="M445" i="10"/>
  <c r="L445" i="10"/>
  <c r="K445" i="10"/>
  <c r="J445" i="10"/>
  <c r="O445" i="10" s="1"/>
  <c r="I445" i="10"/>
  <c r="H445" i="10"/>
  <c r="G445" i="10"/>
  <c r="F445" i="10"/>
  <c r="Q445" i="10" s="1"/>
  <c r="E445" i="10"/>
  <c r="D445" i="10"/>
  <c r="C445" i="10"/>
  <c r="B445" i="10"/>
  <c r="A445" i="10"/>
  <c r="P444" i="10"/>
  <c r="N444" i="10"/>
  <c r="M444" i="10"/>
  <c r="L444" i="10"/>
  <c r="K444" i="10"/>
  <c r="J444" i="10"/>
  <c r="O444" i="10" s="1"/>
  <c r="I444" i="10"/>
  <c r="H444" i="10"/>
  <c r="G444" i="10"/>
  <c r="F444" i="10"/>
  <c r="Q444" i="10" s="1"/>
  <c r="E444" i="10"/>
  <c r="D444" i="10"/>
  <c r="C444" i="10"/>
  <c r="B444" i="10"/>
  <c r="A444" i="10"/>
  <c r="P443" i="10"/>
  <c r="N443" i="10"/>
  <c r="M443" i="10"/>
  <c r="L443" i="10"/>
  <c r="K443" i="10"/>
  <c r="J443" i="10"/>
  <c r="O443" i="10" s="1"/>
  <c r="I443" i="10"/>
  <c r="H443" i="10"/>
  <c r="G443" i="10"/>
  <c r="F443" i="10"/>
  <c r="Q443" i="10" s="1"/>
  <c r="E443" i="10"/>
  <c r="D443" i="10"/>
  <c r="C443" i="10"/>
  <c r="B443" i="10"/>
  <c r="A443" i="10"/>
  <c r="P442" i="10"/>
  <c r="N442" i="10"/>
  <c r="M442" i="10"/>
  <c r="L442" i="10"/>
  <c r="K442" i="10"/>
  <c r="J442" i="10"/>
  <c r="O442" i="10" s="1"/>
  <c r="I442" i="10"/>
  <c r="H442" i="10"/>
  <c r="G442" i="10"/>
  <c r="F442" i="10"/>
  <c r="Q442" i="10" s="1"/>
  <c r="E442" i="10"/>
  <c r="D442" i="10"/>
  <c r="C442" i="10"/>
  <c r="B442" i="10"/>
  <c r="A442" i="10"/>
  <c r="P441" i="10"/>
  <c r="N441" i="10"/>
  <c r="M441" i="10"/>
  <c r="L441" i="10"/>
  <c r="K441" i="10"/>
  <c r="J441" i="10"/>
  <c r="O441" i="10" s="1"/>
  <c r="I441" i="10"/>
  <c r="H441" i="10"/>
  <c r="G441" i="10"/>
  <c r="F441" i="10"/>
  <c r="Q441" i="10" s="1"/>
  <c r="E441" i="10"/>
  <c r="D441" i="10"/>
  <c r="C441" i="10"/>
  <c r="B441" i="10"/>
  <c r="A441" i="10"/>
  <c r="P440" i="10"/>
  <c r="N440" i="10"/>
  <c r="M440" i="10"/>
  <c r="L440" i="10"/>
  <c r="K440" i="10"/>
  <c r="J440" i="10"/>
  <c r="O440" i="10" s="1"/>
  <c r="I440" i="10"/>
  <c r="H440" i="10"/>
  <c r="G440" i="10"/>
  <c r="F440" i="10"/>
  <c r="Q440" i="10" s="1"/>
  <c r="E440" i="10"/>
  <c r="D440" i="10"/>
  <c r="C440" i="10"/>
  <c r="B440" i="10"/>
  <c r="A440" i="10"/>
  <c r="P439" i="10"/>
  <c r="N439" i="10"/>
  <c r="M439" i="10"/>
  <c r="L439" i="10"/>
  <c r="K439" i="10"/>
  <c r="J439" i="10"/>
  <c r="O439" i="10" s="1"/>
  <c r="I439" i="10"/>
  <c r="H439" i="10"/>
  <c r="G439" i="10"/>
  <c r="F439" i="10"/>
  <c r="Q439" i="10" s="1"/>
  <c r="E439" i="10"/>
  <c r="D439" i="10"/>
  <c r="C439" i="10"/>
  <c r="B439" i="10"/>
  <c r="A439" i="10"/>
  <c r="P438" i="10"/>
  <c r="N438" i="10"/>
  <c r="M438" i="10"/>
  <c r="L438" i="10"/>
  <c r="K438" i="10"/>
  <c r="J438" i="10"/>
  <c r="O438" i="10" s="1"/>
  <c r="I438" i="10"/>
  <c r="H438" i="10"/>
  <c r="G438" i="10"/>
  <c r="F438" i="10"/>
  <c r="Q438" i="10" s="1"/>
  <c r="E438" i="10"/>
  <c r="D438" i="10"/>
  <c r="C438" i="10"/>
  <c r="B438" i="10"/>
  <c r="A438" i="10"/>
  <c r="P437" i="10"/>
  <c r="N437" i="10"/>
  <c r="M437" i="10"/>
  <c r="L437" i="10"/>
  <c r="K437" i="10"/>
  <c r="J437" i="10"/>
  <c r="O437" i="10" s="1"/>
  <c r="I437" i="10"/>
  <c r="H437" i="10"/>
  <c r="G437" i="10"/>
  <c r="F437" i="10"/>
  <c r="Q437" i="10" s="1"/>
  <c r="E437" i="10"/>
  <c r="D437" i="10"/>
  <c r="C437" i="10"/>
  <c r="B437" i="10"/>
  <c r="A437" i="10"/>
  <c r="P436" i="10"/>
  <c r="N436" i="10"/>
  <c r="M436" i="10"/>
  <c r="L436" i="10"/>
  <c r="K436" i="10"/>
  <c r="J436" i="10"/>
  <c r="O436" i="10" s="1"/>
  <c r="I436" i="10"/>
  <c r="H436" i="10"/>
  <c r="G436" i="10"/>
  <c r="F436" i="10"/>
  <c r="Q436" i="10" s="1"/>
  <c r="E436" i="10"/>
  <c r="D436" i="10"/>
  <c r="C436" i="10"/>
  <c r="B436" i="10"/>
  <c r="A436" i="10"/>
  <c r="P435" i="10"/>
  <c r="N435" i="10"/>
  <c r="M435" i="10"/>
  <c r="L435" i="10"/>
  <c r="K435" i="10"/>
  <c r="J435" i="10"/>
  <c r="O435" i="10" s="1"/>
  <c r="I435" i="10"/>
  <c r="H435" i="10"/>
  <c r="G435" i="10"/>
  <c r="F435" i="10"/>
  <c r="Q435" i="10" s="1"/>
  <c r="E435" i="10"/>
  <c r="D435" i="10"/>
  <c r="C435" i="10"/>
  <c r="B435" i="10"/>
  <c r="A435" i="10"/>
  <c r="P434" i="10"/>
  <c r="N434" i="10"/>
  <c r="M434" i="10"/>
  <c r="L434" i="10"/>
  <c r="K434" i="10"/>
  <c r="J434" i="10"/>
  <c r="O434" i="10" s="1"/>
  <c r="I434" i="10"/>
  <c r="H434" i="10"/>
  <c r="G434" i="10"/>
  <c r="F434" i="10"/>
  <c r="Q434" i="10" s="1"/>
  <c r="E434" i="10"/>
  <c r="D434" i="10"/>
  <c r="C434" i="10"/>
  <c r="B434" i="10"/>
  <c r="A434" i="10"/>
  <c r="P433" i="10"/>
  <c r="N433" i="10"/>
  <c r="M433" i="10"/>
  <c r="L433" i="10"/>
  <c r="K433" i="10"/>
  <c r="J433" i="10"/>
  <c r="O433" i="10" s="1"/>
  <c r="I433" i="10"/>
  <c r="H433" i="10"/>
  <c r="G433" i="10"/>
  <c r="F433" i="10"/>
  <c r="Q433" i="10" s="1"/>
  <c r="E433" i="10"/>
  <c r="D433" i="10"/>
  <c r="C433" i="10"/>
  <c r="B433" i="10"/>
  <c r="A433" i="10"/>
  <c r="P432" i="10"/>
  <c r="N432" i="10"/>
  <c r="M432" i="10"/>
  <c r="L432" i="10"/>
  <c r="K432" i="10"/>
  <c r="J432" i="10"/>
  <c r="O432" i="10" s="1"/>
  <c r="I432" i="10"/>
  <c r="H432" i="10"/>
  <c r="G432" i="10"/>
  <c r="F432" i="10"/>
  <c r="Q432" i="10" s="1"/>
  <c r="E432" i="10"/>
  <c r="D432" i="10"/>
  <c r="C432" i="10"/>
  <c r="B432" i="10"/>
  <c r="A432" i="10"/>
  <c r="P431" i="10"/>
  <c r="N431" i="10"/>
  <c r="M431" i="10"/>
  <c r="L431" i="10"/>
  <c r="K431" i="10"/>
  <c r="J431" i="10"/>
  <c r="O431" i="10" s="1"/>
  <c r="I431" i="10"/>
  <c r="H431" i="10"/>
  <c r="G431" i="10"/>
  <c r="F431" i="10"/>
  <c r="Q431" i="10" s="1"/>
  <c r="E431" i="10"/>
  <c r="D431" i="10"/>
  <c r="C431" i="10"/>
  <c r="B431" i="10"/>
  <c r="A431" i="10"/>
  <c r="P430" i="10"/>
  <c r="N430" i="10"/>
  <c r="M430" i="10"/>
  <c r="L430" i="10"/>
  <c r="K430" i="10"/>
  <c r="J430" i="10"/>
  <c r="O430" i="10" s="1"/>
  <c r="I430" i="10"/>
  <c r="H430" i="10"/>
  <c r="G430" i="10"/>
  <c r="F430" i="10"/>
  <c r="Q430" i="10" s="1"/>
  <c r="E430" i="10"/>
  <c r="D430" i="10"/>
  <c r="C430" i="10"/>
  <c r="B430" i="10"/>
  <c r="A430" i="10"/>
  <c r="P429" i="10"/>
  <c r="N429" i="10"/>
  <c r="M429" i="10"/>
  <c r="L429" i="10"/>
  <c r="K429" i="10"/>
  <c r="J429" i="10"/>
  <c r="O429" i="10" s="1"/>
  <c r="I429" i="10"/>
  <c r="H429" i="10"/>
  <c r="G429" i="10"/>
  <c r="F429" i="10"/>
  <c r="Q429" i="10" s="1"/>
  <c r="E429" i="10"/>
  <c r="D429" i="10"/>
  <c r="C429" i="10"/>
  <c r="B429" i="10"/>
  <c r="A429" i="10"/>
  <c r="P428" i="10"/>
  <c r="N428" i="10"/>
  <c r="M428" i="10"/>
  <c r="L428" i="10"/>
  <c r="K428" i="10"/>
  <c r="J428" i="10"/>
  <c r="O428" i="10" s="1"/>
  <c r="I428" i="10"/>
  <c r="H428" i="10"/>
  <c r="G428" i="10"/>
  <c r="F428" i="10"/>
  <c r="Q428" i="10" s="1"/>
  <c r="E428" i="10"/>
  <c r="D428" i="10"/>
  <c r="C428" i="10"/>
  <c r="B428" i="10"/>
  <c r="A428" i="10"/>
  <c r="P427" i="10"/>
  <c r="N427" i="10"/>
  <c r="M427" i="10"/>
  <c r="L427" i="10"/>
  <c r="K427" i="10"/>
  <c r="J427" i="10"/>
  <c r="O427" i="10" s="1"/>
  <c r="I427" i="10"/>
  <c r="H427" i="10"/>
  <c r="G427" i="10"/>
  <c r="F427" i="10"/>
  <c r="Q427" i="10" s="1"/>
  <c r="E427" i="10"/>
  <c r="D427" i="10"/>
  <c r="C427" i="10"/>
  <c r="B427" i="10"/>
  <c r="A427" i="10"/>
  <c r="P426" i="10"/>
  <c r="N426" i="10"/>
  <c r="M426" i="10"/>
  <c r="L426" i="10"/>
  <c r="K426" i="10"/>
  <c r="J426" i="10"/>
  <c r="O426" i="10" s="1"/>
  <c r="I426" i="10"/>
  <c r="H426" i="10"/>
  <c r="G426" i="10"/>
  <c r="F426" i="10"/>
  <c r="Q426" i="10" s="1"/>
  <c r="E426" i="10"/>
  <c r="D426" i="10"/>
  <c r="C426" i="10"/>
  <c r="B426" i="10"/>
  <c r="A426" i="10"/>
  <c r="P425" i="10"/>
  <c r="N425" i="10"/>
  <c r="M425" i="10"/>
  <c r="L425" i="10"/>
  <c r="K425" i="10"/>
  <c r="J425" i="10"/>
  <c r="O425" i="10" s="1"/>
  <c r="I425" i="10"/>
  <c r="H425" i="10"/>
  <c r="G425" i="10"/>
  <c r="F425" i="10"/>
  <c r="Q425" i="10" s="1"/>
  <c r="E425" i="10"/>
  <c r="D425" i="10"/>
  <c r="C425" i="10"/>
  <c r="B425" i="10"/>
  <c r="A425" i="10"/>
  <c r="P424" i="10"/>
  <c r="N424" i="10"/>
  <c r="M424" i="10"/>
  <c r="L424" i="10"/>
  <c r="K424" i="10"/>
  <c r="J424" i="10"/>
  <c r="O424" i="10" s="1"/>
  <c r="I424" i="10"/>
  <c r="H424" i="10"/>
  <c r="G424" i="10"/>
  <c r="F424" i="10"/>
  <c r="Q424" i="10" s="1"/>
  <c r="E424" i="10"/>
  <c r="D424" i="10"/>
  <c r="C424" i="10"/>
  <c r="B424" i="10"/>
  <c r="A424" i="10"/>
  <c r="P423" i="10"/>
  <c r="N423" i="10"/>
  <c r="M423" i="10"/>
  <c r="L423" i="10"/>
  <c r="K423" i="10"/>
  <c r="J423" i="10"/>
  <c r="O423" i="10" s="1"/>
  <c r="I423" i="10"/>
  <c r="H423" i="10"/>
  <c r="G423" i="10"/>
  <c r="F423" i="10"/>
  <c r="Q423" i="10" s="1"/>
  <c r="E423" i="10"/>
  <c r="D423" i="10"/>
  <c r="C423" i="10"/>
  <c r="B423" i="10"/>
  <c r="A423" i="10"/>
  <c r="P422" i="10"/>
  <c r="N422" i="10"/>
  <c r="M422" i="10"/>
  <c r="L422" i="10"/>
  <c r="K422" i="10"/>
  <c r="J422" i="10"/>
  <c r="O422" i="10" s="1"/>
  <c r="I422" i="10"/>
  <c r="H422" i="10"/>
  <c r="G422" i="10"/>
  <c r="F422" i="10"/>
  <c r="Q422" i="10" s="1"/>
  <c r="E422" i="10"/>
  <c r="D422" i="10"/>
  <c r="C422" i="10"/>
  <c r="B422" i="10"/>
  <c r="A422" i="10"/>
  <c r="P421" i="10"/>
  <c r="N421" i="10"/>
  <c r="M421" i="10"/>
  <c r="L421" i="10"/>
  <c r="K421" i="10"/>
  <c r="J421" i="10"/>
  <c r="O421" i="10" s="1"/>
  <c r="I421" i="10"/>
  <c r="H421" i="10"/>
  <c r="G421" i="10"/>
  <c r="F421" i="10"/>
  <c r="Q421" i="10" s="1"/>
  <c r="E421" i="10"/>
  <c r="D421" i="10"/>
  <c r="C421" i="10"/>
  <c r="B421" i="10"/>
  <c r="A421" i="10"/>
  <c r="P420" i="10"/>
  <c r="N420" i="10"/>
  <c r="M420" i="10"/>
  <c r="L420" i="10"/>
  <c r="K420" i="10"/>
  <c r="J420" i="10"/>
  <c r="O420" i="10" s="1"/>
  <c r="I420" i="10"/>
  <c r="H420" i="10"/>
  <c r="G420" i="10"/>
  <c r="F420" i="10"/>
  <c r="Q420" i="10" s="1"/>
  <c r="E420" i="10"/>
  <c r="D420" i="10"/>
  <c r="C420" i="10"/>
  <c r="B420" i="10"/>
  <c r="A420" i="10"/>
  <c r="P419" i="10"/>
  <c r="N419" i="10"/>
  <c r="M419" i="10"/>
  <c r="L419" i="10"/>
  <c r="K419" i="10"/>
  <c r="J419" i="10"/>
  <c r="O419" i="10" s="1"/>
  <c r="I419" i="10"/>
  <c r="H419" i="10"/>
  <c r="G419" i="10"/>
  <c r="F419" i="10"/>
  <c r="Q419" i="10" s="1"/>
  <c r="E419" i="10"/>
  <c r="D419" i="10"/>
  <c r="C419" i="10"/>
  <c r="B419" i="10"/>
  <c r="A419" i="10"/>
  <c r="P418" i="10"/>
  <c r="N418" i="10"/>
  <c r="M418" i="10"/>
  <c r="L418" i="10"/>
  <c r="K418" i="10"/>
  <c r="J418" i="10"/>
  <c r="O418" i="10" s="1"/>
  <c r="I418" i="10"/>
  <c r="H418" i="10"/>
  <c r="G418" i="10"/>
  <c r="F418" i="10"/>
  <c r="Q418" i="10" s="1"/>
  <c r="E418" i="10"/>
  <c r="D418" i="10"/>
  <c r="C418" i="10"/>
  <c r="B418" i="10"/>
  <c r="A418" i="10"/>
  <c r="P417" i="10"/>
  <c r="N417" i="10"/>
  <c r="M417" i="10"/>
  <c r="L417" i="10"/>
  <c r="K417" i="10"/>
  <c r="J417" i="10"/>
  <c r="O417" i="10" s="1"/>
  <c r="I417" i="10"/>
  <c r="H417" i="10"/>
  <c r="G417" i="10"/>
  <c r="F417" i="10"/>
  <c r="Q417" i="10" s="1"/>
  <c r="E417" i="10"/>
  <c r="D417" i="10"/>
  <c r="C417" i="10"/>
  <c r="B417" i="10"/>
  <c r="A417" i="10"/>
  <c r="P416" i="10"/>
  <c r="N416" i="10"/>
  <c r="M416" i="10"/>
  <c r="L416" i="10"/>
  <c r="K416" i="10"/>
  <c r="J416" i="10"/>
  <c r="O416" i="10" s="1"/>
  <c r="I416" i="10"/>
  <c r="H416" i="10"/>
  <c r="G416" i="10"/>
  <c r="F416" i="10"/>
  <c r="Q416" i="10" s="1"/>
  <c r="E416" i="10"/>
  <c r="D416" i="10"/>
  <c r="C416" i="10"/>
  <c r="B416" i="10"/>
  <c r="A416" i="10"/>
  <c r="P415" i="10"/>
  <c r="N415" i="10"/>
  <c r="M415" i="10"/>
  <c r="L415" i="10"/>
  <c r="K415" i="10"/>
  <c r="J415" i="10"/>
  <c r="O415" i="10" s="1"/>
  <c r="I415" i="10"/>
  <c r="H415" i="10"/>
  <c r="G415" i="10"/>
  <c r="F415" i="10"/>
  <c r="Q415" i="10" s="1"/>
  <c r="E415" i="10"/>
  <c r="D415" i="10"/>
  <c r="C415" i="10"/>
  <c r="B415" i="10"/>
  <c r="A415" i="10"/>
  <c r="P414" i="10"/>
  <c r="N414" i="10"/>
  <c r="M414" i="10"/>
  <c r="L414" i="10"/>
  <c r="K414" i="10"/>
  <c r="J414" i="10"/>
  <c r="O414" i="10" s="1"/>
  <c r="I414" i="10"/>
  <c r="H414" i="10"/>
  <c r="G414" i="10"/>
  <c r="F414" i="10"/>
  <c r="Q414" i="10" s="1"/>
  <c r="E414" i="10"/>
  <c r="D414" i="10"/>
  <c r="C414" i="10"/>
  <c r="B414" i="10"/>
  <c r="A414" i="10"/>
  <c r="P413" i="10"/>
  <c r="N413" i="10"/>
  <c r="M413" i="10"/>
  <c r="L413" i="10"/>
  <c r="K413" i="10"/>
  <c r="J413" i="10"/>
  <c r="O413" i="10" s="1"/>
  <c r="I413" i="10"/>
  <c r="H413" i="10"/>
  <c r="G413" i="10"/>
  <c r="F413" i="10"/>
  <c r="Q413" i="10" s="1"/>
  <c r="E413" i="10"/>
  <c r="D413" i="10"/>
  <c r="C413" i="10"/>
  <c r="B413" i="10"/>
  <c r="A413" i="10"/>
  <c r="P412" i="10"/>
  <c r="N412" i="10"/>
  <c r="M412" i="10"/>
  <c r="L412" i="10"/>
  <c r="K412" i="10"/>
  <c r="J412" i="10"/>
  <c r="O412" i="10" s="1"/>
  <c r="I412" i="10"/>
  <c r="H412" i="10"/>
  <c r="G412" i="10"/>
  <c r="F412" i="10"/>
  <c r="Q412" i="10" s="1"/>
  <c r="E412" i="10"/>
  <c r="D412" i="10"/>
  <c r="C412" i="10"/>
  <c r="B412" i="10"/>
  <c r="A412" i="10"/>
  <c r="P411" i="10"/>
  <c r="N411" i="10"/>
  <c r="M411" i="10"/>
  <c r="L411" i="10"/>
  <c r="K411" i="10"/>
  <c r="J411" i="10"/>
  <c r="O411" i="10" s="1"/>
  <c r="I411" i="10"/>
  <c r="H411" i="10"/>
  <c r="G411" i="10"/>
  <c r="F411" i="10"/>
  <c r="Q411" i="10" s="1"/>
  <c r="E411" i="10"/>
  <c r="D411" i="10"/>
  <c r="C411" i="10"/>
  <c r="B411" i="10"/>
  <c r="A411" i="10"/>
  <c r="P410" i="10"/>
  <c r="N410" i="10"/>
  <c r="M410" i="10"/>
  <c r="L410" i="10"/>
  <c r="K410" i="10"/>
  <c r="J410" i="10"/>
  <c r="O410" i="10" s="1"/>
  <c r="I410" i="10"/>
  <c r="H410" i="10"/>
  <c r="G410" i="10"/>
  <c r="F410" i="10"/>
  <c r="Q410" i="10" s="1"/>
  <c r="E410" i="10"/>
  <c r="D410" i="10"/>
  <c r="C410" i="10"/>
  <c r="B410" i="10"/>
  <c r="A410" i="10"/>
  <c r="P409" i="10"/>
  <c r="N409" i="10"/>
  <c r="M409" i="10"/>
  <c r="L409" i="10"/>
  <c r="K409" i="10"/>
  <c r="J409" i="10"/>
  <c r="O409" i="10" s="1"/>
  <c r="I409" i="10"/>
  <c r="H409" i="10"/>
  <c r="G409" i="10"/>
  <c r="F409" i="10"/>
  <c r="Q409" i="10" s="1"/>
  <c r="E409" i="10"/>
  <c r="D409" i="10"/>
  <c r="C409" i="10"/>
  <c r="B409" i="10"/>
  <c r="A409" i="10"/>
  <c r="P408" i="10"/>
  <c r="N408" i="10"/>
  <c r="M408" i="10"/>
  <c r="L408" i="10"/>
  <c r="K408" i="10"/>
  <c r="J408" i="10"/>
  <c r="O408" i="10" s="1"/>
  <c r="I408" i="10"/>
  <c r="H408" i="10"/>
  <c r="G408" i="10"/>
  <c r="F408" i="10"/>
  <c r="Q408" i="10" s="1"/>
  <c r="E408" i="10"/>
  <c r="D408" i="10"/>
  <c r="C408" i="10"/>
  <c r="B408" i="10"/>
  <c r="A408" i="10"/>
  <c r="P407" i="10"/>
  <c r="N407" i="10"/>
  <c r="M407" i="10"/>
  <c r="L407" i="10"/>
  <c r="K407" i="10"/>
  <c r="J407" i="10"/>
  <c r="O407" i="10" s="1"/>
  <c r="I407" i="10"/>
  <c r="H407" i="10"/>
  <c r="G407" i="10"/>
  <c r="F407" i="10"/>
  <c r="Q407" i="10" s="1"/>
  <c r="E407" i="10"/>
  <c r="D407" i="10"/>
  <c r="C407" i="10"/>
  <c r="B407" i="10"/>
  <c r="A407" i="10"/>
  <c r="P406" i="10"/>
  <c r="N406" i="10"/>
  <c r="M406" i="10"/>
  <c r="L406" i="10"/>
  <c r="K406" i="10"/>
  <c r="J406" i="10"/>
  <c r="O406" i="10" s="1"/>
  <c r="I406" i="10"/>
  <c r="H406" i="10"/>
  <c r="G406" i="10"/>
  <c r="F406" i="10"/>
  <c r="Q406" i="10" s="1"/>
  <c r="E406" i="10"/>
  <c r="D406" i="10"/>
  <c r="C406" i="10"/>
  <c r="B406" i="10"/>
  <c r="A406" i="10"/>
  <c r="P405" i="10"/>
  <c r="N405" i="10"/>
  <c r="M405" i="10"/>
  <c r="L405" i="10"/>
  <c r="K405" i="10"/>
  <c r="J405" i="10"/>
  <c r="O405" i="10" s="1"/>
  <c r="I405" i="10"/>
  <c r="H405" i="10"/>
  <c r="G405" i="10"/>
  <c r="F405" i="10"/>
  <c r="Q405" i="10" s="1"/>
  <c r="E405" i="10"/>
  <c r="D405" i="10"/>
  <c r="C405" i="10"/>
  <c r="B405" i="10"/>
  <c r="A405" i="10"/>
  <c r="P404" i="10"/>
  <c r="N404" i="10"/>
  <c r="M404" i="10"/>
  <c r="L404" i="10"/>
  <c r="K404" i="10"/>
  <c r="J404" i="10"/>
  <c r="O404" i="10" s="1"/>
  <c r="I404" i="10"/>
  <c r="H404" i="10"/>
  <c r="G404" i="10"/>
  <c r="F404" i="10"/>
  <c r="Q404" i="10" s="1"/>
  <c r="E404" i="10"/>
  <c r="D404" i="10"/>
  <c r="C404" i="10"/>
  <c r="B404" i="10"/>
  <c r="A404" i="10"/>
  <c r="P403" i="10"/>
  <c r="N403" i="10"/>
  <c r="M403" i="10"/>
  <c r="L403" i="10"/>
  <c r="K403" i="10"/>
  <c r="J403" i="10"/>
  <c r="O403" i="10" s="1"/>
  <c r="I403" i="10"/>
  <c r="H403" i="10"/>
  <c r="G403" i="10"/>
  <c r="F403" i="10"/>
  <c r="Q403" i="10" s="1"/>
  <c r="E403" i="10"/>
  <c r="D403" i="10"/>
  <c r="C403" i="10"/>
  <c r="B403" i="10"/>
  <c r="A403" i="10"/>
  <c r="P402" i="10"/>
  <c r="N402" i="10"/>
  <c r="M402" i="10"/>
  <c r="L402" i="10"/>
  <c r="K402" i="10"/>
  <c r="J402" i="10"/>
  <c r="O402" i="10" s="1"/>
  <c r="I402" i="10"/>
  <c r="H402" i="10"/>
  <c r="G402" i="10"/>
  <c r="F402" i="10"/>
  <c r="Q402" i="10" s="1"/>
  <c r="E402" i="10"/>
  <c r="D402" i="10"/>
  <c r="C402" i="10"/>
  <c r="B402" i="10"/>
  <c r="A402" i="10"/>
  <c r="P401" i="10"/>
  <c r="N401" i="10"/>
  <c r="M401" i="10"/>
  <c r="L401" i="10"/>
  <c r="K401" i="10"/>
  <c r="J401" i="10"/>
  <c r="O401" i="10" s="1"/>
  <c r="I401" i="10"/>
  <c r="H401" i="10"/>
  <c r="G401" i="10"/>
  <c r="F401" i="10"/>
  <c r="Q401" i="10" s="1"/>
  <c r="E401" i="10"/>
  <c r="D401" i="10"/>
  <c r="C401" i="10"/>
  <c r="B401" i="10"/>
  <c r="A401" i="10"/>
  <c r="P400" i="10"/>
  <c r="N400" i="10"/>
  <c r="M400" i="10"/>
  <c r="L400" i="10"/>
  <c r="K400" i="10"/>
  <c r="J400" i="10"/>
  <c r="O400" i="10" s="1"/>
  <c r="I400" i="10"/>
  <c r="H400" i="10"/>
  <c r="G400" i="10"/>
  <c r="F400" i="10"/>
  <c r="Q400" i="10" s="1"/>
  <c r="E400" i="10"/>
  <c r="D400" i="10"/>
  <c r="C400" i="10"/>
  <c r="B400" i="10"/>
  <c r="A400" i="10"/>
  <c r="P399" i="10"/>
  <c r="N399" i="10"/>
  <c r="M399" i="10"/>
  <c r="L399" i="10"/>
  <c r="K399" i="10"/>
  <c r="J399" i="10"/>
  <c r="O399" i="10" s="1"/>
  <c r="I399" i="10"/>
  <c r="H399" i="10"/>
  <c r="G399" i="10"/>
  <c r="F399" i="10"/>
  <c r="Q399" i="10" s="1"/>
  <c r="E399" i="10"/>
  <c r="D399" i="10"/>
  <c r="C399" i="10"/>
  <c r="B399" i="10"/>
  <c r="A399" i="10"/>
  <c r="P398" i="10"/>
  <c r="N398" i="10"/>
  <c r="M398" i="10"/>
  <c r="L398" i="10"/>
  <c r="K398" i="10"/>
  <c r="J398" i="10"/>
  <c r="O398" i="10" s="1"/>
  <c r="I398" i="10"/>
  <c r="H398" i="10"/>
  <c r="G398" i="10"/>
  <c r="F398" i="10"/>
  <c r="Q398" i="10" s="1"/>
  <c r="E398" i="10"/>
  <c r="D398" i="10"/>
  <c r="C398" i="10"/>
  <c r="B398" i="10"/>
  <c r="A398" i="10"/>
  <c r="P397" i="10"/>
  <c r="N397" i="10"/>
  <c r="M397" i="10"/>
  <c r="L397" i="10"/>
  <c r="K397" i="10"/>
  <c r="J397" i="10"/>
  <c r="O397" i="10" s="1"/>
  <c r="I397" i="10"/>
  <c r="H397" i="10"/>
  <c r="G397" i="10"/>
  <c r="F397" i="10"/>
  <c r="Q397" i="10" s="1"/>
  <c r="E397" i="10"/>
  <c r="D397" i="10"/>
  <c r="C397" i="10"/>
  <c r="B397" i="10"/>
  <c r="A397" i="10"/>
  <c r="P396" i="10"/>
  <c r="N396" i="10"/>
  <c r="M396" i="10"/>
  <c r="L396" i="10"/>
  <c r="K396" i="10"/>
  <c r="J396" i="10"/>
  <c r="O396" i="10" s="1"/>
  <c r="I396" i="10"/>
  <c r="H396" i="10"/>
  <c r="G396" i="10"/>
  <c r="F396" i="10"/>
  <c r="Q396" i="10" s="1"/>
  <c r="E396" i="10"/>
  <c r="D396" i="10"/>
  <c r="C396" i="10"/>
  <c r="B396" i="10"/>
  <c r="A396" i="10"/>
  <c r="P395" i="10"/>
  <c r="N395" i="10"/>
  <c r="M395" i="10"/>
  <c r="L395" i="10"/>
  <c r="K395" i="10"/>
  <c r="J395" i="10"/>
  <c r="O395" i="10" s="1"/>
  <c r="I395" i="10"/>
  <c r="H395" i="10"/>
  <c r="G395" i="10"/>
  <c r="F395" i="10"/>
  <c r="Q395" i="10" s="1"/>
  <c r="E395" i="10"/>
  <c r="D395" i="10"/>
  <c r="C395" i="10"/>
  <c r="B395" i="10"/>
  <c r="A395" i="10"/>
  <c r="P394" i="10"/>
  <c r="N394" i="10"/>
  <c r="M394" i="10"/>
  <c r="L394" i="10"/>
  <c r="K394" i="10"/>
  <c r="J394" i="10"/>
  <c r="O394" i="10" s="1"/>
  <c r="I394" i="10"/>
  <c r="H394" i="10"/>
  <c r="G394" i="10"/>
  <c r="F394" i="10"/>
  <c r="Q394" i="10" s="1"/>
  <c r="E394" i="10"/>
  <c r="D394" i="10"/>
  <c r="C394" i="10"/>
  <c r="B394" i="10"/>
  <c r="A394" i="10"/>
  <c r="P393" i="10"/>
  <c r="N393" i="10"/>
  <c r="M393" i="10"/>
  <c r="L393" i="10"/>
  <c r="K393" i="10"/>
  <c r="J393" i="10"/>
  <c r="O393" i="10" s="1"/>
  <c r="I393" i="10"/>
  <c r="H393" i="10"/>
  <c r="G393" i="10"/>
  <c r="F393" i="10"/>
  <c r="Q393" i="10" s="1"/>
  <c r="E393" i="10"/>
  <c r="D393" i="10"/>
  <c r="C393" i="10"/>
  <c r="B393" i="10"/>
  <c r="A393" i="10"/>
  <c r="P392" i="10"/>
  <c r="N392" i="10"/>
  <c r="M392" i="10"/>
  <c r="L392" i="10"/>
  <c r="K392" i="10"/>
  <c r="J392" i="10"/>
  <c r="O392" i="10" s="1"/>
  <c r="I392" i="10"/>
  <c r="H392" i="10"/>
  <c r="G392" i="10"/>
  <c r="F392" i="10"/>
  <c r="Q392" i="10" s="1"/>
  <c r="E392" i="10"/>
  <c r="D392" i="10"/>
  <c r="C392" i="10"/>
  <c r="B392" i="10"/>
  <c r="A392" i="10"/>
  <c r="P391" i="10"/>
  <c r="N391" i="10"/>
  <c r="M391" i="10"/>
  <c r="L391" i="10"/>
  <c r="K391" i="10"/>
  <c r="J391" i="10"/>
  <c r="O391" i="10" s="1"/>
  <c r="I391" i="10"/>
  <c r="H391" i="10"/>
  <c r="G391" i="10"/>
  <c r="F391" i="10"/>
  <c r="Q391" i="10" s="1"/>
  <c r="E391" i="10"/>
  <c r="D391" i="10"/>
  <c r="C391" i="10"/>
  <c r="B391" i="10"/>
  <c r="A391" i="10"/>
  <c r="P390" i="10"/>
  <c r="N390" i="10"/>
  <c r="M390" i="10"/>
  <c r="L390" i="10"/>
  <c r="K390" i="10"/>
  <c r="J390" i="10"/>
  <c r="O390" i="10" s="1"/>
  <c r="I390" i="10"/>
  <c r="H390" i="10"/>
  <c r="G390" i="10"/>
  <c r="F390" i="10"/>
  <c r="Q390" i="10" s="1"/>
  <c r="E390" i="10"/>
  <c r="D390" i="10"/>
  <c r="C390" i="10"/>
  <c r="B390" i="10"/>
  <c r="A390" i="10"/>
  <c r="P389" i="10"/>
  <c r="N389" i="10"/>
  <c r="M389" i="10"/>
  <c r="L389" i="10"/>
  <c r="K389" i="10"/>
  <c r="J389" i="10"/>
  <c r="O389" i="10" s="1"/>
  <c r="I389" i="10"/>
  <c r="H389" i="10"/>
  <c r="G389" i="10"/>
  <c r="F389" i="10"/>
  <c r="Q389" i="10" s="1"/>
  <c r="E389" i="10"/>
  <c r="D389" i="10"/>
  <c r="C389" i="10"/>
  <c r="B389" i="10"/>
  <c r="A389" i="10"/>
  <c r="P388" i="10"/>
  <c r="N388" i="10"/>
  <c r="M388" i="10"/>
  <c r="L388" i="10"/>
  <c r="K388" i="10"/>
  <c r="J388" i="10"/>
  <c r="O388" i="10" s="1"/>
  <c r="I388" i="10"/>
  <c r="H388" i="10"/>
  <c r="G388" i="10"/>
  <c r="F388" i="10"/>
  <c r="Q388" i="10" s="1"/>
  <c r="E388" i="10"/>
  <c r="D388" i="10"/>
  <c r="C388" i="10"/>
  <c r="B388" i="10"/>
  <c r="A388" i="10"/>
  <c r="P387" i="10"/>
  <c r="N387" i="10"/>
  <c r="M387" i="10"/>
  <c r="L387" i="10"/>
  <c r="K387" i="10"/>
  <c r="J387" i="10"/>
  <c r="O387" i="10" s="1"/>
  <c r="I387" i="10"/>
  <c r="H387" i="10"/>
  <c r="G387" i="10"/>
  <c r="F387" i="10"/>
  <c r="Q387" i="10" s="1"/>
  <c r="E387" i="10"/>
  <c r="D387" i="10"/>
  <c r="C387" i="10"/>
  <c r="B387" i="10"/>
  <c r="A387" i="10"/>
  <c r="P386" i="10"/>
  <c r="N386" i="10"/>
  <c r="M386" i="10"/>
  <c r="L386" i="10"/>
  <c r="K386" i="10"/>
  <c r="J386" i="10"/>
  <c r="O386" i="10" s="1"/>
  <c r="I386" i="10"/>
  <c r="H386" i="10"/>
  <c r="G386" i="10"/>
  <c r="F386" i="10"/>
  <c r="Q386" i="10" s="1"/>
  <c r="E386" i="10"/>
  <c r="D386" i="10"/>
  <c r="C386" i="10"/>
  <c r="B386" i="10"/>
  <c r="A386" i="10"/>
  <c r="P385" i="10"/>
  <c r="N385" i="10"/>
  <c r="M385" i="10"/>
  <c r="L385" i="10"/>
  <c r="K385" i="10"/>
  <c r="J385" i="10"/>
  <c r="O385" i="10" s="1"/>
  <c r="I385" i="10"/>
  <c r="H385" i="10"/>
  <c r="G385" i="10"/>
  <c r="F385" i="10"/>
  <c r="Q385" i="10" s="1"/>
  <c r="E385" i="10"/>
  <c r="D385" i="10"/>
  <c r="C385" i="10"/>
  <c r="B385" i="10"/>
  <c r="A385" i="10"/>
  <c r="P384" i="10"/>
  <c r="N384" i="10"/>
  <c r="M384" i="10"/>
  <c r="L384" i="10"/>
  <c r="K384" i="10"/>
  <c r="J384" i="10"/>
  <c r="O384" i="10" s="1"/>
  <c r="I384" i="10"/>
  <c r="H384" i="10"/>
  <c r="G384" i="10"/>
  <c r="F384" i="10"/>
  <c r="Q384" i="10" s="1"/>
  <c r="E384" i="10"/>
  <c r="D384" i="10"/>
  <c r="C384" i="10"/>
  <c r="B384" i="10"/>
  <c r="A384" i="10"/>
  <c r="P383" i="10"/>
  <c r="N383" i="10"/>
  <c r="M383" i="10"/>
  <c r="L383" i="10"/>
  <c r="K383" i="10"/>
  <c r="J383" i="10"/>
  <c r="O383" i="10" s="1"/>
  <c r="I383" i="10"/>
  <c r="H383" i="10"/>
  <c r="G383" i="10"/>
  <c r="F383" i="10"/>
  <c r="Q383" i="10" s="1"/>
  <c r="E383" i="10"/>
  <c r="D383" i="10"/>
  <c r="C383" i="10"/>
  <c r="B383" i="10"/>
  <c r="A383" i="10"/>
  <c r="P382" i="10"/>
  <c r="N382" i="10"/>
  <c r="M382" i="10"/>
  <c r="L382" i="10"/>
  <c r="K382" i="10"/>
  <c r="J382" i="10"/>
  <c r="O382" i="10" s="1"/>
  <c r="I382" i="10"/>
  <c r="H382" i="10"/>
  <c r="G382" i="10"/>
  <c r="F382" i="10"/>
  <c r="Q382" i="10" s="1"/>
  <c r="E382" i="10"/>
  <c r="D382" i="10"/>
  <c r="C382" i="10"/>
  <c r="B382" i="10"/>
  <c r="A382" i="10"/>
  <c r="P381" i="10"/>
  <c r="N381" i="10"/>
  <c r="M381" i="10"/>
  <c r="L381" i="10"/>
  <c r="K381" i="10"/>
  <c r="J381" i="10"/>
  <c r="O381" i="10" s="1"/>
  <c r="I381" i="10"/>
  <c r="H381" i="10"/>
  <c r="G381" i="10"/>
  <c r="F381" i="10"/>
  <c r="Q381" i="10" s="1"/>
  <c r="E381" i="10"/>
  <c r="D381" i="10"/>
  <c r="C381" i="10"/>
  <c r="B381" i="10"/>
  <c r="A381" i="10"/>
  <c r="P380" i="10"/>
  <c r="N380" i="10"/>
  <c r="M380" i="10"/>
  <c r="L380" i="10"/>
  <c r="K380" i="10"/>
  <c r="J380" i="10"/>
  <c r="O380" i="10" s="1"/>
  <c r="I380" i="10"/>
  <c r="H380" i="10"/>
  <c r="G380" i="10"/>
  <c r="F380" i="10"/>
  <c r="Q380" i="10" s="1"/>
  <c r="E380" i="10"/>
  <c r="D380" i="10"/>
  <c r="C380" i="10"/>
  <c r="B380" i="10"/>
  <c r="A380" i="10"/>
  <c r="P379" i="10"/>
  <c r="N379" i="10"/>
  <c r="M379" i="10"/>
  <c r="L379" i="10"/>
  <c r="K379" i="10"/>
  <c r="J379" i="10"/>
  <c r="O379" i="10" s="1"/>
  <c r="I379" i="10"/>
  <c r="H379" i="10"/>
  <c r="G379" i="10"/>
  <c r="F379" i="10"/>
  <c r="Q379" i="10" s="1"/>
  <c r="E379" i="10"/>
  <c r="D379" i="10"/>
  <c r="C379" i="10"/>
  <c r="B379" i="10"/>
  <c r="A379" i="10"/>
  <c r="P378" i="10"/>
  <c r="N378" i="10"/>
  <c r="M378" i="10"/>
  <c r="L378" i="10"/>
  <c r="K378" i="10"/>
  <c r="J378" i="10"/>
  <c r="O378" i="10" s="1"/>
  <c r="I378" i="10"/>
  <c r="H378" i="10"/>
  <c r="G378" i="10"/>
  <c r="F378" i="10"/>
  <c r="Q378" i="10" s="1"/>
  <c r="E378" i="10"/>
  <c r="D378" i="10"/>
  <c r="C378" i="10"/>
  <c r="B378" i="10"/>
  <c r="A378" i="10"/>
  <c r="P377" i="10"/>
  <c r="N377" i="10"/>
  <c r="M377" i="10"/>
  <c r="L377" i="10"/>
  <c r="K377" i="10"/>
  <c r="J377" i="10"/>
  <c r="O377" i="10" s="1"/>
  <c r="I377" i="10"/>
  <c r="H377" i="10"/>
  <c r="G377" i="10"/>
  <c r="F377" i="10"/>
  <c r="Q377" i="10" s="1"/>
  <c r="E377" i="10"/>
  <c r="D377" i="10"/>
  <c r="C377" i="10"/>
  <c r="B377" i="10"/>
  <c r="A377" i="10"/>
  <c r="P376" i="10"/>
  <c r="N376" i="10"/>
  <c r="M376" i="10"/>
  <c r="L376" i="10"/>
  <c r="K376" i="10"/>
  <c r="J376" i="10"/>
  <c r="O376" i="10" s="1"/>
  <c r="I376" i="10"/>
  <c r="H376" i="10"/>
  <c r="G376" i="10"/>
  <c r="F376" i="10"/>
  <c r="Q376" i="10" s="1"/>
  <c r="E376" i="10"/>
  <c r="D376" i="10"/>
  <c r="C376" i="10"/>
  <c r="B376" i="10"/>
  <c r="A376" i="10"/>
  <c r="P375" i="10"/>
  <c r="N375" i="10"/>
  <c r="M375" i="10"/>
  <c r="L375" i="10"/>
  <c r="K375" i="10"/>
  <c r="J375" i="10"/>
  <c r="O375" i="10" s="1"/>
  <c r="I375" i="10"/>
  <c r="H375" i="10"/>
  <c r="G375" i="10"/>
  <c r="F375" i="10"/>
  <c r="Q375" i="10" s="1"/>
  <c r="E375" i="10"/>
  <c r="D375" i="10"/>
  <c r="C375" i="10"/>
  <c r="B375" i="10"/>
  <c r="A375" i="10"/>
  <c r="P374" i="10"/>
  <c r="N374" i="10"/>
  <c r="M374" i="10"/>
  <c r="L374" i="10"/>
  <c r="K374" i="10"/>
  <c r="J374" i="10"/>
  <c r="O374" i="10" s="1"/>
  <c r="I374" i="10"/>
  <c r="H374" i="10"/>
  <c r="G374" i="10"/>
  <c r="F374" i="10"/>
  <c r="Q374" i="10" s="1"/>
  <c r="E374" i="10"/>
  <c r="D374" i="10"/>
  <c r="C374" i="10"/>
  <c r="B374" i="10"/>
  <c r="A374" i="10"/>
  <c r="P373" i="10"/>
  <c r="N373" i="10"/>
  <c r="M373" i="10"/>
  <c r="L373" i="10"/>
  <c r="K373" i="10"/>
  <c r="J373" i="10"/>
  <c r="O373" i="10" s="1"/>
  <c r="I373" i="10"/>
  <c r="H373" i="10"/>
  <c r="G373" i="10"/>
  <c r="F373" i="10"/>
  <c r="Q373" i="10" s="1"/>
  <c r="E373" i="10"/>
  <c r="D373" i="10"/>
  <c r="C373" i="10"/>
  <c r="B373" i="10"/>
  <c r="A373" i="10"/>
  <c r="P372" i="10"/>
  <c r="N372" i="10"/>
  <c r="M372" i="10"/>
  <c r="L372" i="10"/>
  <c r="K372" i="10"/>
  <c r="J372" i="10"/>
  <c r="O372" i="10" s="1"/>
  <c r="I372" i="10"/>
  <c r="H372" i="10"/>
  <c r="G372" i="10"/>
  <c r="F372" i="10"/>
  <c r="Q372" i="10" s="1"/>
  <c r="E372" i="10"/>
  <c r="D372" i="10"/>
  <c r="C372" i="10"/>
  <c r="B372" i="10"/>
  <c r="A372" i="10"/>
  <c r="P371" i="10"/>
  <c r="N371" i="10"/>
  <c r="M371" i="10"/>
  <c r="L371" i="10"/>
  <c r="K371" i="10"/>
  <c r="J371" i="10"/>
  <c r="O371" i="10" s="1"/>
  <c r="I371" i="10"/>
  <c r="H371" i="10"/>
  <c r="G371" i="10"/>
  <c r="F371" i="10"/>
  <c r="Q371" i="10" s="1"/>
  <c r="E371" i="10"/>
  <c r="D371" i="10"/>
  <c r="C371" i="10"/>
  <c r="B371" i="10"/>
  <c r="A371" i="10"/>
  <c r="P370" i="10"/>
  <c r="N370" i="10"/>
  <c r="M370" i="10"/>
  <c r="L370" i="10"/>
  <c r="K370" i="10"/>
  <c r="J370" i="10"/>
  <c r="O370" i="10" s="1"/>
  <c r="I370" i="10"/>
  <c r="H370" i="10"/>
  <c r="G370" i="10"/>
  <c r="F370" i="10"/>
  <c r="Q370" i="10" s="1"/>
  <c r="E370" i="10"/>
  <c r="D370" i="10"/>
  <c r="C370" i="10"/>
  <c r="B370" i="10"/>
  <c r="A370" i="10"/>
  <c r="P369" i="10"/>
  <c r="N369" i="10"/>
  <c r="M369" i="10"/>
  <c r="L369" i="10"/>
  <c r="K369" i="10"/>
  <c r="J369" i="10"/>
  <c r="O369" i="10" s="1"/>
  <c r="I369" i="10"/>
  <c r="H369" i="10"/>
  <c r="G369" i="10"/>
  <c r="F369" i="10"/>
  <c r="Q369" i="10" s="1"/>
  <c r="E369" i="10"/>
  <c r="D369" i="10"/>
  <c r="C369" i="10"/>
  <c r="B369" i="10"/>
  <c r="A369" i="10"/>
  <c r="P368" i="10"/>
  <c r="N368" i="10"/>
  <c r="M368" i="10"/>
  <c r="L368" i="10"/>
  <c r="K368" i="10"/>
  <c r="J368" i="10"/>
  <c r="O368" i="10" s="1"/>
  <c r="I368" i="10"/>
  <c r="H368" i="10"/>
  <c r="G368" i="10"/>
  <c r="F368" i="10"/>
  <c r="Q368" i="10" s="1"/>
  <c r="E368" i="10"/>
  <c r="D368" i="10"/>
  <c r="C368" i="10"/>
  <c r="B368" i="10"/>
  <c r="A368" i="10"/>
  <c r="P367" i="10"/>
  <c r="N367" i="10"/>
  <c r="M367" i="10"/>
  <c r="L367" i="10"/>
  <c r="K367" i="10"/>
  <c r="J367" i="10"/>
  <c r="O367" i="10" s="1"/>
  <c r="I367" i="10"/>
  <c r="H367" i="10"/>
  <c r="G367" i="10"/>
  <c r="F367" i="10"/>
  <c r="Q367" i="10" s="1"/>
  <c r="E367" i="10"/>
  <c r="D367" i="10"/>
  <c r="C367" i="10"/>
  <c r="B367" i="10"/>
  <c r="A367" i="10"/>
  <c r="P366" i="10"/>
  <c r="N366" i="10"/>
  <c r="M366" i="10"/>
  <c r="L366" i="10"/>
  <c r="K366" i="10"/>
  <c r="J366" i="10"/>
  <c r="O366" i="10" s="1"/>
  <c r="I366" i="10"/>
  <c r="H366" i="10"/>
  <c r="G366" i="10"/>
  <c r="F366" i="10"/>
  <c r="Q366" i="10" s="1"/>
  <c r="E366" i="10"/>
  <c r="D366" i="10"/>
  <c r="C366" i="10"/>
  <c r="B366" i="10"/>
  <c r="A366" i="10"/>
  <c r="P365" i="10"/>
  <c r="N365" i="10"/>
  <c r="M365" i="10"/>
  <c r="L365" i="10"/>
  <c r="K365" i="10"/>
  <c r="J365" i="10"/>
  <c r="O365" i="10" s="1"/>
  <c r="I365" i="10"/>
  <c r="H365" i="10"/>
  <c r="G365" i="10"/>
  <c r="F365" i="10"/>
  <c r="Q365" i="10" s="1"/>
  <c r="E365" i="10"/>
  <c r="D365" i="10"/>
  <c r="C365" i="10"/>
  <c r="B365" i="10"/>
  <c r="A365" i="10"/>
  <c r="P364" i="10"/>
  <c r="N364" i="10"/>
  <c r="M364" i="10"/>
  <c r="L364" i="10"/>
  <c r="K364" i="10"/>
  <c r="J364" i="10"/>
  <c r="O364" i="10" s="1"/>
  <c r="I364" i="10"/>
  <c r="H364" i="10"/>
  <c r="G364" i="10"/>
  <c r="F364" i="10"/>
  <c r="Q364" i="10" s="1"/>
  <c r="E364" i="10"/>
  <c r="D364" i="10"/>
  <c r="C364" i="10"/>
  <c r="B364" i="10"/>
  <c r="A364" i="10"/>
  <c r="P363" i="10"/>
  <c r="N363" i="10"/>
  <c r="M363" i="10"/>
  <c r="L363" i="10"/>
  <c r="K363" i="10"/>
  <c r="J363" i="10"/>
  <c r="O363" i="10" s="1"/>
  <c r="I363" i="10"/>
  <c r="H363" i="10"/>
  <c r="G363" i="10"/>
  <c r="F363" i="10"/>
  <c r="Q363" i="10" s="1"/>
  <c r="E363" i="10"/>
  <c r="D363" i="10"/>
  <c r="C363" i="10"/>
  <c r="B363" i="10"/>
  <c r="A363" i="10"/>
  <c r="P362" i="10"/>
  <c r="N362" i="10"/>
  <c r="M362" i="10"/>
  <c r="L362" i="10"/>
  <c r="K362" i="10"/>
  <c r="J362" i="10"/>
  <c r="O362" i="10" s="1"/>
  <c r="I362" i="10"/>
  <c r="H362" i="10"/>
  <c r="G362" i="10"/>
  <c r="F362" i="10"/>
  <c r="Q362" i="10" s="1"/>
  <c r="E362" i="10"/>
  <c r="D362" i="10"/>
  <c r="C362" i="10"/>
  <c r="B362" i="10"/>
  <c r="A362" i="10"/>
  <c r="P361" i="10"/>
  <c r="N361" i="10"/>
  <c r="M361" i="10"/>
  <c r="L361" i="10"/>
  <c r="K361" i="10"/>
  <c r="J361" i="10"/>
  <c r="O361" i="10" s="1"/>
  <c r="I361" i="10"/>
  <c r="H361" i="10"/>
  <c r="G361" i="10"/>
  <c r="F361" i="10"/>
  <c r="Q361" i="10" s="1"/>
  <c r="E361" i="10"/>
  <c r="D361" i="10"/>
  <c r="C361" i="10"/>
  <c r="B361" i="10"/>
  <c r="A361" i="10"/>
  <c r="P360" i="10"/>
  <c r="N360" i="10"/>
  <c r="M360" i="10"/>
  <c r="L360" i="10"/>
  <c r="K360" i="10"/>
  <c r="J360" i="10"/>
  <c r="O360" i="10" s="1"/>
  <c r="I360" i="10"/>
  <c r="H360" i="10"/>
  <c r="G360" i="10"/>
  <c r="F360" i="10"/>
  <c r="Q360" i="10" s="1"/>
  <c r="E360" i="10"/>
  <c r="D360" i="10"/>
  <c r="C360" i="10"/>
  <c r="B360" i="10"/>
  <c r="A360" i="10"/>
  <c r="P359" i="10"/>
  <c r="N359" i="10"/>
  <c r="M359" i="10"/>
  <c r="L359" i="10"/>
  <c r="K359" i="10"/>
  <c r="J359" i="10"/>
  <c r="O359" i="10" s="1"/>
  <c r="I359" i="10"/>
  <c r="H359" i="10"/>
  <c r="G359" i="10"/>
  <c r="F359" i="10"/>
  <c r="Q359" i="10" s="1"/>
  <c r="E359" i="10"/>
  <c r="D359" i="10"/>
  <c r="C359" i="10"/>
  <c r="B359" i="10"/>
  <c r="A359" i="10"/>
  <c r="P358" i="10"/>
  <c r="N358" i="10"/>
  <c r="M358" i="10"/>
  <c r="L358" i="10"/>
  <c r="K358" i="10"/>
  <c r="J358" i="10"/>
  <c r="O358" i="10" s="1"/>
  <c r="I358" i="10"/>
  <c r="H358" i="10"/>
  <c r="G358" i="10"/>
  <c r="F358" i="10"/>
  <c r="Q358" i="10" s="1"/>
  <c r="E358" i="10"/>
  <c r="D358" i="10"/>
  <c r="C358" i="10"/>
  <c r="B358" i="10"/>
  <c r="A358" i="10"/>
  <c r="P357" i="10"/>
  <c r="N357" i="10"/>
  <c r="M357" i="10"/>
  <c r="L357" i="10"/>
  <c r="K357" i="10"/>
  <c r="J357" i="10"/>
  <c r="O357" i="10" s="1"/>
  <c r="I357" i="10"/>
  <c r="H357" i="10"/>
  <c r="G357" i="10"/>
  <c r="F357" i="10"/>
  <c r="Q357" i="10" s="1"/>
  <c r="E357" i="10"/>
  <c r="D357" i="10"/>
  <c r="C357" i="10"/>
  <c r="B357" i="10"/>
  <c r="A357" i="10"/>
  <c r="P356" i="10"/>
  <c r="N356" i="10"/>
  <c r="M356" i="10"/>
  <c r="L356" i="10"/>
  <c r="K356" i="10"/>
  <c r="J356" i="10"/>
  <c r="O356" i="10" s="1"/>
  <c r="I356" i="10"/>
  <c r="H356" i="10"/>
  <c r="G356" i="10"/>
  <c r="F356" i="10"/>
  <c r="Q356" i="10" s="1"/>
  <c r="E356" i="10"/>
  <c r="D356" i="10"/>
  <c r="C356" i="10"/>
  <c r="B356" i="10"/>
  <c r="A356" i="10"/>
  <c r="P355" i="10"/>
  <c r="N355" i="10"/>
  <c r="M355" i="10"/>
  <c r="L355" i="10"/>
  <c r="K355" i="10"/>
  <c r="J355" i="10"/>
  <c r="O355" i="10" s="1"/>
  <c r="I355" i="10"/>
  <c r="H355" i="10"/>
  <c r="G355" i="10"/>
  <c r="F355" i="10"/>
  <c r="Q355" i="10" s="1"/>
  <c r="E355" i="10"/>
  <c r="D355" i="10"/>
  <c r="C355" i="10"/>
  <c r="B355" i="10"/>
  <c r="A355" i="10"/>
  <c r="P354" i="10"/>
  <c r="N354" i="10"/>
  <c r="M354" i="10"/>
  <c r="L354" i="10"/>
  <c r="K354" i="10"/>
  <c r="J354" i="10"/>
  <c r="O354" i="10" s="1"/>
  <c r="I354" i="10"/>
  <c r="H354" i="10"/>
  <c r="G354" i="10"/>
  <c r="F354" i="10"/>
  <c r="Q354" i="10" s="1"/>
  <c r="E354" i="10"/>
  <c r="D354" i="10"/>
  <c r="C354" i="10"/>
  <c r="B354" i="10"/>
  <c r="A354" i="10"/>
  <c r="P353" i="10"/>
  <c r="N353" i="10"/>
  <c r="M353" i="10"/>
  <c r="L353" i="10"/>
  <c r="K353" i="10"/>
  <c r="J353" i="10"/>
  <c r="O353" i="10" s="1"/>
  <c r="I353" i="10"/>
  <c r="H353" i="10"/>
  <c r="G353" i="10"/>
  <c r="F353" i="10"/>
  <c r="Q353" i="10" s="1"/>
  <c r="E353" i="10"/>
  <c r="D353" i="10"/>
  <c r="C353" i="10"/>
  <c r="B353" i="10"/>
  <c r="A353" i="10"/>
  <c r="P352" i="10"/>
  <c r="N352" i="10"/>
  <c r="M352" i="10"/>
  <c r="L352" i="10"/>
  <c r="K352" i="10"/>
  <c r="J352" i="10"/>
  <c r="O352" i="10" s="1"/>
  <c r="I352" i="10"/>
  <c r="H352" i="10"/>
  <c r="G352" i="10"/>
  <c r="F352" i="10"/>
  <c r="Q352" i="10" s="1"/>
  <c r="E352" i="10"/>
  <c r="D352" i="10"/>
  <c r="C352" i="10"/>
  <c r="B352" i="10"/>
  <c r="A352" i="10"/>
  <c r="P351" i="10"/>
  <c r="N351" i="10"/>
  <c r="M351" i="10"/>
  <c r="L351" i="10"/>
  <c r="K351" i="10"/>
  <c r="J351" i="10"/>
  <c r="O351" i="10" s="1"/>
  <c r="I351" i="10"/>
  <c r="H351" i="10"/>
  <c r="G351" i="10"/>
  <c r="F351" i="10"/>
  <c r="Q351" i="10" s="1"/>
  <c r="E351" i="10"/>
  <c r="D351" i="10"/>
  <c r="C351" i="10"/>
  <c r="B351" i="10"/>
  <c r="A351" i="10"/>
  <c r="P350" i="10"/>
  <c r="N350" i="10"/>
  <c r="M350" i="10"/>
  <c r="L350" i="10"/>
  <c r="K350" i="10"/>
  <c r="J350" i="10"/>
  <c r="O350" i="10" s="1"/>
  <c r="I350" i="10"/>
  <c r="H350" i="10"/>
  <c r="G350" i="10"/>
  <c r="F350" i="10"/>
  <c r="Q350" i="10" s="1"/>
  <c r="E350" i="10"/>
  <c r="D350" i="10"/>
  <c r="C350" i="10"/>
  <c r="B350" i="10"/>
  <c r="A350" i="10"/>
  <c r="P349" i="10"/>
  <c r="N349" i="10"/>
  <c r="M349" i="10"/>
  <c r="L349" i="10"/>
  <c r="K349" i="10"/>
  <c r="J349" i="10"/>
  <c r="O349" i="10" s="1"/>
  <c r="I349" i="10"/>
  <c r="H349" i="10"/>
  <c r="G349" i="10"/>
  <c r="F349" i="10"/>
  <c r="Q349" i="10" s="1"/>
  <c r="E349" i="10"/>
  <c r="D349" i="10"/>
  <c r="C349" i="10"/>
  <c r="B349" i="10"/>
  <c r="A349" i="10"/>
  <c r="P348" i="10"/>
  <c r="N348" i="10"/>
  <c r="M348" i="10"/>
  <c r="L348" i="10"/>
  <c r="K348" i="10"/>
  <c r="J348" i="10"/>
  <c r="O348" i="10" s="1"/>
  <c r="I348" i="10"/>
  <c r="H348" i="10"/>
  <c r="G348" i="10"/>
  <c r="F348" i="10"/>
  <c r="Q348" i="10" s="1"/>
  <c r="E348" i="10"/>
  <c r="D348" i="10"/>
  <c r="C348" i="10"/>
  <c r="B348" i="10"/>
  <c r="A348" i="10"/>
  <c r="P347" i="10"/>
  <c r="N347" i="10"/>
  <c r="M347" i="10"/>
  <c r="L347" i="10"/>
  <c r="K347" i="10"/>
  <c r="J347" i="10"/>
  <c r="O347" i="10" s="1"/>
  <c r="I347" i="10"/>
  <c r="H347" i="10"/>
  <c r="G347" i="10"/>
  <c r="F347" i="10"/>
  <c r="Q347" i="10" s="1"/>
  <c r="E347" i="10"/>
  <c r="D347" i="10"/>
  <c r="C347" i="10"/>
  <c r="B347" i="10"/>
  <c r="A347" i="10"/>
  <c r="P346" i="10"/>
  <c r="N346" i="10"/>
  <c r="M346" i="10"/>
  <c r="L346" i="10"/>
  <c r="K346" i="10"/>
  <c r="J346" i="10"/>
  <c r="O346" i="10" s="1"/>
  <c r="I346" i="10"/>
  <c r="H346" i="10"/>
  <c r="G346" i="10"/>
  <c r="F346" i="10"/>
  <c r="Q346" i="10" s="1"/>
  <c r="E346" i="10"/>
  <c r="D346" i="10"/>
  <c r="C346" i="10"/>
  <c r="B346" i="10"/>
  <c r="A346" i="10"/>
  <c r="P345" i="10"/>
  <c r="N345" i="10"/>
  <c r="M345" i="10"/>
  <c r="L345" i="10"/>
  <c r="K345" i="10"/>
  <c r="J345" i="10"/>
  <c r="O345" i="10" s="1"/>
  <c r="I345" i="10"/>
  <c r="H345" i="10"/>
  <c r="G345" i="10"/>
  <c r="F345" i="10"/>
  <c r="Q345" i="10" s="1"/>
  <c r="E345" i="10"/>
  <c r="D345" i="10"/>
  <c r="C345" i="10"/>
  <c r="B345" i="10"/>
  <c r="A345" i="10"/>
  <c r="P344" i="10"/>
  <c r="N344" i="10"/>
  <c r="M344" i="10"/>
  <c r="L344" i="10"/>
  <c r="K344" i="10"/>
  <c r="J344" i="10"/>
  <c r="O344" i="10" s="1"/>
  <c r="I344" i="10"/>
  <c r="H344" i="10"/>
  <c r="G344" i="10"/>
  <c r="F344" i="10"/>
  <c r="Q344" i="10" s="1"/>
  <c r="E344" i="10"/>
  <c r="D344" i="10"/>
  <c r="C344" i="10"/>
  <c r="B344" i="10"/>
  <c r="A344" i="10"/>
  <c r="P343" i="10"/>
  <c r="N343" i="10"/>
  <c r="M343" i="10"/>
  <c r="L343" i="10"/>
  <c r="K343" i="10"/>
  <c r="J343" i="10"/>
  <c r="O343" i="10" s="1"/>
  <c r="I343" i="10"/>
  <c r="H343" i="10"/>
  <c r="G343" i="10"/>
  <c r="F343" i="10"/>
  <c r="Q343" i="10" s="1"/>
  <c r="E343" i="10"/>
  <c r="D343" i="10"/>
  <c r="C343" i="10"/>
  <c r="B343" i="10"/>
  <c r="A343" i="10"/>
  <c r="P342" i="10"/>
  <c r="N342" i="10"/>
  <c r="M342" i="10"/>
  <c r="L342" i="10"/>
  <c r="K342" i="10"/>
  <c r="J342" i="10"/>
  <c r="O342" i="10" s="1"/>
  <c r="I342" i="10"/>
  <c r="H342" i="10"/>
  <c r="G342" i="10"/>
  <c r="F342" i="10"/>
  <c r="Q342" i="10" s="1"/>
  <c r="E342" i="10"/>
  <c r="D342" i="10"/>
  <c r="C342" i="10"/>
  <c r="B342" i="10"/>
  <c r="A342" i="10"/>
  <c r="P341" i="10"/>
  <c r="N341" i="10"/>
  <c r="M341" i="10"/>
  <c r="L341" i="10"/>
  <c r="K341" i="10"/>
  <c r="J341" i="10"/>
  <c r="O341" i="10" s="1"/>
  <c r="I341" i="10"/>
  <c r="H341" i="10"/>
  <c r="G341" i="10"/>
  <c r="F341" i="10"/>
  <c r="Q341" i="10" s="1"/>
  <c r="E341" i="10"/>
  <c r="D341" i="10"/>
  <c r="C341" i="10"/>
  <c r="B341" i="10"/>
  <c r="A341" i="10"/>
  <c r="P340" i="10"/>
  <c r="N340" i="10"/>
  <c r="M340" i="10"/>
  <c r="L340" i="10"/>
  <c r="K340" i="10"/>
  <c r="J340" i="10"/>
  <c r="O340" i="10" s="1"/>
  <c r="I340" i="10"/>
  <c r="H340" i="10"/>
  <c r="G340" i="10"/>
  <c r="F340" i="10"/>
  <c r="Q340" i="10" s="1"/>
  <c r="E340" i="10"/>
  <c r="D340" i="10"/>
  <c r="C340" i="10"/>
  <c r="B340" i="10"/>
  <c r="A340" i="10"/>
  <c r="P339" i="10"/>
  <c r="N339" i="10"/>
  <c r="M339" i="10"/>
  <c r="L339" i="10"/>
  <c r="K339" i="10"/>
  <c r="J339" i="10"/>
  <c r="O339" i="10" s="1"/>
  <c r="I339" i="10"/>
  <c r="H339" i="10"/>
  <c r="G339" i="10"/>
  <c r="F339" i="10"/>
  <c r="Q339" i="10" s="1"/>
  <c r="E339" i="10"/>
  <c r="D339" i="10"/>
  <c r="C339" i="10"/>
  <c r="B339" i="10"/>
  <c r="A339" i="10"/>
  <c r="P338" i="10"/>
  <c r="N338" i="10"/>
  <c r="M338" i="10"/>
  <c r="L338" i="10"/>
  <c r="K338" i="10"/>
  <c r="J338" i="10"/>
  <c r="O338" i="10" s="1"/>
  <c r="I338" i="10"/>
  <c r="H338" i="10"/>
  <c r="G338" i="10"/>
  <c r="F338" i="10"/>
  <c r="Q338" i="10" s="1"/>
  <c r="E338" i="10"/>
  <c r="D338" i="10"/>
  <c r="C338" i="10"/>
  <c r="B338" i="10"/>
  <c r="A338" i="10"/>
  <c r="P337" i="10"/>
  <c r="N337" i="10"/>
  <c r="M337" i="10"/>
  <c r="L337" i="10"/>
  <c r="K337" i="10"/>
  <c r="J337" i="10"/>
  <c r="O337" i="10" s="1"/>
  <c r="I337" i="10"/>
  <c r="H337" i="10"/>
  <c r="G337" i="10"/>
  <c r="F337" i="10"/>
  <c r="Q337" i="10" s="1"/>
  <c r="E337" i="10"/>
  <c r="D337" i="10"/>
  <c r="C337" i="10"/>
  <c r="B337" i="10"/>
  <c r="A337" i="10"/>
  <c r="P336" i="10"/>
  <c r="N336" i="10"/>
  <c r="M336" i="10"/>
  <c r="L336" i="10"/>
  <c r="K336" i="10"/>
  <c r="J336" i="10"/>
  <c r="O336" i="10" s="1"/>
  <c r="I336" i="10"/>
  <c r="H336" i="10"/>
  <c r="G336" i="10"/>
  <c r="F336" i="10"/>
  <c r="Q336" i="10" s="1"/>
  <c r="E336" i="10"/>
  <c r="D336" i="10"/>
  <c r="C336" i="10"/>
  <c r="B336" i="10"/>
  <c r="A336" i="10"/>
  <c r="P335" i="10"/>
  <c r="N335" i="10"/>
  <c r="M335" i="10"/>
  <c r="L335" i="10"/>
  <c r="K335" i="10"/>
  <c r="J335" i="10"/>
  <c r="O335" i="10" s="1"/>
  <c r="I335" i="10"/>
  <c r="H335" i="10"/>
  <c r="G335" i="10"/>
  <c r="F335" i="10"/>
  <c r="Q335" i="10" s="1"/>
  <c r="E335" i="10"/>
  <c r="D335" i="10"/>
  <c r="C335" i="10"/>
  <c r="B335" i="10"/>
  <c r="A335" i="10"/>
  <c r="P334" i="10"/>
  <c r="N334" i="10"/>
  <c r="M334" i="10"/>
  <c r="L334" i="10"/>
  <c r="K334" i="10"/>
  <c r="J334" i="10"/>
  <c r="O334" i="10" s="1"/>
  <c r="I334" i="10"/>
  <c r="H334" i="10"/>
  <c r="G334" i="10"/>
  <c r="F334" i="10"/>
  <c r="Q334" i="10" s="1"/>
  <c r="E334" i="10"/>
  <c r="D334" i="10"/>
  <c r="C334" i="10"/>
  <c r="B334" i="10"/>
  <c r="A334" i="10"/>
  <c r="P333" i="10"/>
  <c r="N333" i="10"/>
  <c r="M333" i="10"/>
  <c r="L333" i="10"/>
  <c r="K333" i="10"/>
  <c r="J333" i="10"/>
  <c r="O333" i="10" s="1"/>
  <c r="I333" i="10"/>
  <c r="H333" i="10"/>
  <c r="G333" i="10"/>
  <c r="F333" i="10"/>
  <c r="Q333" i="10" s="1"/>
  <c r="E333" i="10"/>
  <c r="D333" i="10"/>
  <c r="C333" i="10"/>
  <c r="B333" i="10"/>
  <c r="A333" i="10"/>
  <c r="P332" i="10"/>
  <c r="N332" i="10"/>
  <c r="M332" i="10"/>
  <c r="L332" i="10"/>
  <c r="K332" i="10"/>
  <c r="J332" i="10"/>
  <c r="O332" i="10" s="1"/>
  <c r="I332" i="10"/>
  <c r="H332" i="10"/>
  <c r="G332" i="10"/>
  <c r="F332" i="10"/>
  <c r="Q332" i="10" s="1"/>
  <c r="E332" i="10"/>
  <c r="D332" i="10"/>
  <c r="C332" i="10"/>
  <c r="B332" i="10"/>
  <c r="A332" i="10"/>
  <c r="P331" i="10"/>
  <c r="N331" i="10"/>
  <c r="M331" i="10"/>
  <c r="L331" i="10"/>
  <c r="K331" i="10"/>
  <c r="J331" i="10"/>
  <c r="O331" i="10" s="1"/>
  <c r="I331" i="10"/>
  <c r="H331" i="10"/>
  <c r="G331" i="10"/>
  <c r="F331" i="10"/>
  <c r="Q331" i="10" s="1"/>
  <c r="E331" i="10"/>
  <c r="D331" i="10"/>
  <c r="C331" i="10"/>
  <c r="B331" i="10"/>
  <c r="A331" i="10"/>
  <c r="P330" i="10"/>
  <c r="N330" i="10"/>
  <c r="M330" i="10"/>
  <c r="L330" i="10"/>
  <c r="K330" i="10"/>
  <c r="J330" i="10"/>
  <c r="O330" i="10" s="1"/>
  <c r="I330" i="10"/>
  <c r="H330" i="10"/>
  <c r="G330" i="10"/>
  <c r="F330" i="10"/>
  <c r="Q330" i="10" s="1"/>
  <c r="E330" i="10"/>
  <c r="D330" i="10"/>
  <c r="C330" i="10"/>
  <c r="B330" i="10"/>
  <c r="A330" i="10"/>
  <c r="P329" i="10"/>
  <c r="N329" i="10"/>
  <c r="M329" i="10"/>
  <c r="L329" i="10"/>
  <c r="K329" i="10"/>
  <c r="J329" i="10"/>
  <c r="O329" i="10" s="1"/>
  <c r="I329" i="10"/>
  <c r="H329" i="10"/>
  <c r="G329" i="10"/>
  <c r="F329" i="10"/>
  <c r="Q329" i="10" s="1"/>
  <c r="E329" i="10"/>
  <c r="D329" i="10"/>
  <c r="C329" i="10"/>
  <c r="B329" i="10"/>
  <c r="A329" i="10"/>
  <c r="P328" i="10"/>
  <c r="N328" i="10"/>
  <c r="M328" i="10"/>
  <c r="L328" i="10"/>
  <c r="K328" i="10"/>
  <c r="J328" i="10"/>
  <c r="O328" i="10" s="1"/>
  <c r="I328" i="10"/>
  <c r="H328" i="10"/>
  <c r="G328" i="10"/>
  <c r="F328" i="10"/>
  <c r="Q328" i="10" s="1"/>
  <c r="E328" i="10"/>
  <c r="D328" i="10"/>
  <c r="C328" i="10"/>
  <c r="B328" i="10"/>
  <c r="A328" i="10"/>
  <c r="P327" i="10"/>
  <c r="N327" i="10"/>
  <c r="M327" i="10"/>
  <c r="L327" i="10"/>
  <c r="K327" i="10"/>
  <c r="J327" i="10"/>
  <c r="O327" i="10" s="1"/>
  <c r="I327" i="10"/>
  <c r="H327" i="10"/>
  <c r="G327" i="10"/>
  <c r="F327" i="10"/>
  <c r="Q327" i="10" s="1"/>
  <c r="E327" i="10"/>
  <c r="D327" i="10"/>
  <c r="C327" i="10"/>
  <c r="B327" i="10"/>
  <c r="A327" i="10"/>
  <c r="P326" i="10"/>
  <c r="N326" i="10"/>
  <c r="M326" i="10"/>
  <c r="L326" i="10"/>
  <c r="K326" i="10"/>
  <c r="J326" i="10"/>
  <c r="O326" i="10" s="1"/>
  <c r="I326" i="10"/>
  <c r="H326" i="10"/>
  <c r="G326" i="10"/>
  <c r="F326" i="10"/>
  <c r="Q326" i="10" s="1"/>
  <c r="E326" i="10"/>
  <c r="D326" i="10"/>
  <c r="C326" i="10"/>
  <c r="B326" i="10"/>
  <c r="A326" i="10"/>
  <c r="P325" i="10"/>
  <c r="N325" i="10"/>
  <c r="M325" i="10"/>
  <c r="L325" i="10"/>
  <c r="K325" i="10"/>
  <c r="J325" i="10"/>
  <c r="O325" i="10" s="1"/>
  <c r="I325" i="10"/>
  <c r="H325" i="10"/>
  <c r="G325" i="10"/>
  <c r="F325" i="10"/>
  <c r="Q325" i="10" s="1"/>
  <c r="E325" i="10"/>
  <c r="D325" i="10"/>
  <c r="C325" i="10"/>
  <c r="B325" i="10"/>
  <c r="A325" i="10"/>
  <c r="P324" i="10"/>
  <c r="N324" i="10"/>
  <c r="M324" i="10"/>
  <c r="L324" i="10"/>
  <c r="K324" i="10"/>
  <c r="J324" i="10"/>
  <c r="O324" i="10" s="1"/>
  <c r="I324" i="10"/>
  <c r="H324" i="10"/>
  <c r="G324" i="10"/>
  <c r="F324" i="10"/>
  <c r="Q324" i="10" s="1"/>
  <c r="E324" i="10"/>
  <c r="D324" i="10"/>
  <c r="C324" i="10"/>
  <c r="B324" i="10"/>
  <c r="A324" i="10"/>
  <c r="P323" i="10"/>
  <c r="N323" i="10"/>
  <c r="M323" i="10"/>
  <c r="L323" i="10"/>
  <c r="K323" i="10"/>
  <c r="J323" i="10"/>
  <c r="O323" i="10" s="1"/>
  <c r="I323" i="10"/>
  <c r="H323" i="10"/>
  <c r="G323" i="10"/>
  <c r="F323" i="10"/>
  <c r="Q323" i="10" s="1"/>
  <c r="E323" i="10"/>
  <c r="D323" i="10"/>
  <c r="C323" i="10"/>
  <c r="B323" i="10"/>
  <c r="A323" i="10"/>
  <c r="P322" i="10"/>
  <c r="N322" i="10"/>
  <c r="M322" i="10"/>
  <c r="L322" i="10"/>
  <c r="K322" i="10"/>
  <c r="J322" i="10"/>
  <c r="O322" i="10" s="1"/>
  <c r="I322" i="10"/>
  <c r="H322" i="10"/>
  <c r="G322" i="10"/>
  <c r="F322" i="10"/>
  <c r="Q322" i="10" s="1"/>
  <c r="E322" i="10"/>
  <c r="D322" i="10"/>
  <c r="C322" i="10"/>
  <c r="B322" i="10"/>
  <c r="A322" i="10"/>
  <c r="P321" i="10"/>
  <c r="N321" i="10"/>
  <c r="M321" i="10"/>
  <c r="L321" i="10"/>
  <c r="K321" i="10"/>
  <c r="J321" i="10"/>
  <c r="O321" i="10" s="1"/>
  <c r="I321" i="10"/>
  <c r="H321" i="10"/>
  <c r="G321" i="10"/>
  <c r="F321" i="10"/>
  <c r="Q321" i="10" s="1"/>
  <c r="E321" i="10"/>
  <c r="D321" i="10"/>
  <c r="C321" i="10"/>
  <c r="B321" i="10"/>
  <c r="A321" i="10"/>
  <c r="P320" i="10"/>
  <c r="N320" i="10"/>
  <c r="M320" i="10"/>
  <c r="L320" i="10"/>
  <c r="K320" i="10"/>
  <c r="J320" i="10"/>
  <c r="O320" i="10" s="1"/>
  <c r="I320" i="10"/>
  <c r="H320" i="10"/>
  <c r="G320" i="10"/>
  <c r="F320" i="10"/>
  <c r="Q320" i="10" s="1"/>
  <c r="E320" i="10"/>
  <c r="D320" i="10"/>
  <c r="C320" i="10"/>
  <c r="B320" i="10"/>
  <c r="A320" i="10"/>
  <c r="P319" i="10"/>
  <c r="N319" i="10"/>
  <c r="M319" i="10"/>
  <c r="L319" i="10"/>
  <c r="K319" i="10"/>
  <c r="J319" i="10"/>
  <c r="O319" i="10" s="1"/>
  <c r="I319" i="10"/>
  <c r="H319" i="10"/>
  <c r="G319" i="10"/>
  <c r="F319" i="10"/>
  <c r="Q319" i="10" s="1"/>
  <c r="E319" i="10"/>
  <c r="D319" i="10"/>
  <c r="C319" i="10"/>
  <c r="B319" i="10"/>
  <c r="A319" i="10"/>
  <c r="P318" i="10"/>
  <c r="N318" i="10"/>
  <c r="M318" i="10"/>
  <c r="L318" i="10"/>
  <c r="K318" i="10"/>
  <c r="J318" i="10"/>
  <c r="O318" i="10" s="1"/>
  <c r="I318" i="10"/>
  <c r="H318" i="10"/>
  <c r="G318" i="10"/>
  <c r="F318" i="10"/>
  <c r="Q318" i="10" s="1"/>
  <c r="E318" i="10"/>
  <c r="D318" i="10"/>
  <c r="C318" i="10"/>
  <c r="B318" i="10"/>
  <c r="A318" i="10"/>
  <c r="P317" i="10"/>
  <c r="N317" i="10"/>
  <c r="M317" i="10"/>
  <c r="L317" i="10"/>
  <c r="K317" i="10"/>
  <c r="J317" i="10"/>
  <c r="O317" i="10" s="1"/>
  <c r="I317" i="10"/>
  <c r="H317" i="10"/>
  <c r="G317" i="10"/>
  <c r="F317" i="10"/>
  <c r="Q317" i="10" s="1"/>
  <c r="E317" i="10"/>
  <c r="D317" i="10"/>
  <c r="C317" i="10"/>
  <c r="B317" i="10"/>
  <c r="A317" i="10"/>
  <c r="P316" i="10"/>
  <c r="N316" i="10"/>
  <c r="M316" i="10"/>
  <c r="L316" i="10"/>
  <c r="K316" i="10"/>
  <c r="J316" i="10"/>
  <c r="O316" i="10" s="1"/>
  <c r="I316" i="10"/>
  <c r="H316" i="10"/>
  <c r="G316" i="10"/>
  <c r="F316" i="10"/>
  <c r="Q316" i="10" s="1"/>
  <c r="E316" i="10"/>
  <c r="D316" i="10"/>
  <c r="C316" i="10"/>
  <c r="B316" i="10"/>
  <c r="A316" i="10"/>
  <c r="P315" i="10"/>
  <c r="N315" i="10"/>
  <c r="M315" i="10"/>
  <c r="L315" i="10"/>
  <c r="K315" i="10"/>
  <c r="J315" i="10"/>
  <c r="O315" i="10" s="1"/>
  <c r="I315" i="10"/>
  <c r="H315" i="10"/>
  <c r="G315" i="10"/>
  <c r="F315" i="10"/>
  <c r="Q315" i="10" s="1"/>
  <c r="E315" i="10"/>
  <c r="D315" i="10"/>
  <c r="C315" i="10"/>
  <c r="B315" i="10"/>
  <c r="A315" i="10"/>
  <c r="P314" i="10"/>
  <c r="N314" i="10"/>
  <c r="M314" i="10"/>
  <c r="L314" i="10"/>
  <c r="K314" i="10"/>
  <c r="J314" i="10"/>
  <c r="O314" i="10" s="1"/>
  <c r="I314" i="10"/>
  <c r="H314" i="10"/>
  <c r="G314" i="10"/>
  <c r="F314" i="10"/>
  <c r="Q314" i="10" s="1"/>
  <c r="E314" i="10"/>
  <c r="D314" i="10"/>
  <c r="C314" i="10"/>
  <c r="B314" i="10"/>
  <c r="A314" i="10"/>
  <c r="P313" i="10"/>
  <c r="N313" i="10"/>
  <c r="M313" i="10"/>
  <c r="L313" i="10"/>
  <c r="K313" i="10"/>
  <c r="J313" i="10"/>
  <c r="O313" i="10" s="1"/>
  <c r="I313" i="10"/>
  <c r="H313" i="10"/>
  <c r="G313" i="10"/>
  <c r="F313" i="10"/>
  <c r="Q313" i="10" s="1"/>
  <c r="E313" i="10"/>
  <c r="D313" i="10"/>
  <c r="C313" i="10"/>
  <c r="B313" i="10"/>
  <c r="A313" i="10"/>
  <c r="P312" i="10"/>
  <c r="N312" i="10"/>
  <c r="M312" i="10"/>
  <c r="L312" i="10"/>
  <c r="K312" i="10"/>
  <c r="J312" i="10"/>
  <c r="O312" i="10" s="1"/>
  <c r="I312" i="10"/>
  <c r="H312" i="10"/>
  <c r="G312" i="10"/>
  <c r="F312" i="10"/>
  <c r="Q312" i="10" s="1"/>
  <c r="E312" i="10"/>
  <c r="D312" i="10"/>
  <c r="C312" i="10"/>
  <c r="B312" i="10"/>
  <c r="A312" i="10"/>
  <c r="P311" i="10"/>
  <c r="N311" i="10"/>
  <c r="M311" i="10"/>
  <c r="L311" i="10"/>
  <c r="K311" i="10"/>
  <c r="J311" i="10"/>
  <c r="O311" i="10" s="1"/>
  <c r="I311" i="10"/>
  <c r="H311" i="10"/>
  <c r="G311" i="10"/>
  <c r="F311" i="10"/>
  <c r="Q311" i="10" s="1"/>
  <c r="E311" i="10"/>
  <c r="D311" i="10"/>
  <c r="C311" i="10"/>
  <c r="B311" i="10"/>
  <c r="A311" i="10"/>
  <c r="P310" i="10"/>
  <c r="N310" i="10"/>
  <c r="M310" i="10"/>
  <c r="L310" i="10"/>
  <c r="K310" i="10"/>
  <c r="J310" i="10"/>
  <c r="O310" i="10" s="1"/>
  <c r="I310" i="10"/>
  <c r="H310" i="10"/>
  <c r="G310" i="10"/>
  <c r="F310" i="10"/>
  <c r="Q310" i="10" s="1"/>
  <c r="E310" i="10"/>
  <c r="D310" i="10"/>
  <c r="C310" i="10"/>
  <c r="B310" i="10"/>
  <c r="A310" i="10"/>
  <c r="P309" i="10"/>
  <c r="N309" i="10"/>
  <c r="M309" i="10"/>
  <c r="L309" i="10"/>
  <c r="K309" i="10"/>
  <c r="J309" i="10"/>
  <c r="O309" i="10" s="1"/>
  <c r="I309" i="10"/>
  <c r="H309" i="10"/>
  <c r="G309" i="10"/>
  <c r="F309" i="10"/>
  <c r="Q309" i="10" s="1"/>
  <c r="E309" i="10"/>
  <c r="D309" i="10"/>
  <c r="C309" i="10"/>
  <c r="B309" i="10"/>
  <c r="A309" i="10"/>
  <c r="P308" i="10"/>
  <c r="N308" i="10"/>
  <c r="M308" i="10"/>
  <c r="L308" i="10"/>
  <c r="K308" i="10"/>
  <c r="J308" i="10"/>
  <c r="O308" i="10" s="1"/>
  <c r="I308" i="10"/>
  <c r="H308" i="10"/>
  <c r="G308" i="10"/>
  <c r="F308" i="10"/>
  <c r="Q308" i="10" s="1"/>
  <c r="E308" i="10"/>
  <c r="D308" i="10"/>
  <c r="C308" i="10"/>
  <c r="B308" i="10"/>
  <c r="A308" i="10"/>
  <c r="P307" i="10"/>
  <c r="N307" i="10"/>
  <c r="M307" i="10"/>
  <c r="L307" i="10"/>
  <c r="K307" i="10"/>
  <c r="J307" i="10"/>
  <c r="O307" i="10" s="1"/>
  <c r="I307" i="10"/>
  <c r="H307" i="10"/>
  <c r="G307" i="10"/>
  <c r="F307" i="10"/>
  <c r="Q307" i="10" s="1"/>
  <c r="E307" i="10"/>
  <c r="D307" i="10"/>
  <c r="C307" i="10"/>
  <c r="B307" i="10"/>
  <c r="A307" i="10"/>
  <c r="P306" i="10"/>
  <c r="N306" i="10"/>
  <c r="M306" i="10"/>
  <c r="L306" i="10"/>
  <c r="K306" i="10"/>
  <c r="J306" i="10"/>
  <c r="O306" i="10" s="1"/>
  <c r="I306" i="10"/>
  <c r="H306" i="10"/>
  <c r="G306" i="10"/>
  <c r="F306" i="10"/>
  <c r="Q306" i="10" s="1"/>
  <c r="E306" i="10"/>
  <c r="D306" i="10"/>
  <c r="C306" i="10"/>
  <c r="B306" i="10"/>
  <c r="A306" i="10"/>
  <c r="P305" i="10"/>
  <c r="N305" i="10"/>
  <c r="M305" i="10"/>
  <c r="L305" i="10"/>
  <c r="K305" i="10"/>
  <c r="J305" i="10"/>
  <c r="O305" i="10" s="1"/>
  <c r="I305" i="10"/>
  <c r="H305" i="10"/>
  <c r="G305" i="10"/>
  <c r="F305" i="10"/>
  <c r="Q305" i="10" s="1"/>
  <c r="E305" i="10"/>
  <c r="D305" i="10"/>
  <c r="C305" i="10"/>
  <c r="B305" i="10"/>
  <c r="A305" i="10"/>
  <c r="P304" i="10"/>
  <c r="N304" i="10"/>
  <c r="M304" i="10"/>
  <c r="L304" i="10"/>
  <c r="K304" i="10"/>
  <c r="J304" i="10"/>
  <c r="O304" i="10" s="1"/>
  <c r="I304" i="10"/>
  <c r="H304" i="10"/>
  <c r="G304" i="10"/>
  <c r="F304" i="10"/>
  <c r="Q304" i="10" s="1"/>
  <c r="E304" i="10"/>
  <c r="D304" i="10"/>
  <c r="C304" i="10"/>
  <c r="B304" i="10"/>
  <c r="A304" i="10"/>
  <c r="P303" i="10"/>
  <c r="N303" i="10"/>
  <c r="M303" i="10"/>
  <c r="L303" i="10"/>
  <c r="K303" i="10"/>
  <c r="J303" i="10"/>
  <c r="O303" i="10" s="1"/>
  <c r="I303" i="10"/>
  <c r="H303" i="10"/>
  <c r="G303" i="10"/>
  <c r="F303" i="10"/>
  <c r="Q303" i="10" s="1"/>
  <c r="E303" i="10"/>
  <c r="D303" i="10"/>
  <c r="C303" i="10"/>
  <c r="B303" i="10"/>
  <c r="A303" i="10"/>
  <c r="P302" i="10"/>
  <c r="N302" i="10"/>
  <c r="M302" i="10"/>
  <c r="L302" i="10"/>
  <c r="K302" i="10"/>
  <c r="J302" i="10"/>
  <c r="O302" i="10" s="1"/>
  <c r="I302" i="10"/>
  <c r="H302" i="10"/>
  <c r="G302" i="10"/>
  <c r="F302" i="10"/>
  <c r="Q302" i="10" s="1"/>
  <c r="E302" i="10"/>
  <c r="D302" i="10"/>
  <c r="C302" i="10"/>
  <c r="B302" i="10"/>
  <c r="A302" i="10"/>
  <c r="P301" i="10"/>
  <c r="N301" i="10"/>
  <c r="M301" i="10"/>
  <c r="L301" i="10"/>
  <c r="K301" i="10"/>
  <c r="J301" i="10"/>
  <c r="O301" i="10" s="1"/>
  <c r="I301" i="10"/>
  <c r="H301" i="10"/>
  <c r="G301" i="10"/>
  <c r="F301" i="10"/>
  <c r="Q301" i="10" s="1"/>
  <c r="E301" i="10"/>
  <c r="D301" i="10"/>
  <c r="C301" i="10"/>
  <c r="B301" i="10"/>
  <c r="A301" i="10"/>
  <c r="P300" i="10"/>
  <c r="N300" i="10"/>
  <c r="M300" i="10"/>
  <c r="L300" i="10"/>
  <c r="K300" i="10"/>
  <c r="J300" i="10"/>
  <c r="O300" i="10" s="1"/>
  <c r="I300" i="10"/>
  <c r="H300" i="10"/>
  <c r="G300" i="10"/>
  <c r="F300" i="10"/>
  <c r="Q300" i="10" s="1"/>
  <c r="E300" i="10"/>
  <c r="D300" i="10"/>
  <c r="C300" i="10"/>
  <c r="B300" i="10"/>
  <c r="A300" i="10"/>
  <c r="P299" i="10"/>
  <c r="N299" i="10"/>
  <c r="M299" i="10"/>
  <c r="L299" i="10"/>
  <c r="K299" i="10"/>
  <c r="J299" i="10"/>
  <c r="O299" i="10" s="1"/>
  <c r="I299" i="10"/>
  <c r="H299" i="10"/>
  <c r="G299" i="10"/>
  <c r="F299" i="10"/>
  <c r="Q299" i="10" s="1"/>
  <c r="E299" i="10"/>
  <c r="D299" i="10"/>
  <c r="C299" i="10"/>
  <c r="B299" i="10"/>
  <c r="A299" i="10"/>
  <c r="P298" i="10"/>
  <c r="N298" i="10"/>
  <c r="M298" i="10"/>
  <c r="L298" i="10"/>
  <c r="K298" i="10"/>
  <c r="J298" i="10"/>
  <c r="O298" i="10" s="1"/>
  <c r="I298" i="10"/>
  <c r="H298" i="10"/>
  <c r="G298" i="10"/>
  <c r="F298" i="10"/>
  <c r="Q298" i="10" s="1"/>
  <c r="E298" i="10"/>
  <c r="D298" i="10"/>
  <c r="C298" i="10"/>
  <c r="B298" i="10"/>
  <c r="A298" i="10"/>
  <c r="P297" i="10"/>
  <c r="N297" i="10"/>
  <c r="M297" i="10"/>
  <c r="L297" i="10"/>
  <c r="K297" i="10"/>
  <c r="J297" i="10"/>
  <c r="O297" i="10" s="1"/>
  <c r="I297" i="10"/>
  <c r="H297" i="10"/>
  <c r="G297" i="10"/>
  <c r="F297" i="10"/>
  <c r="Q297" i="10" s="1"/>
  <c r="E297" i="10"/>
  <c r="D297" i="10"/>
  <c r="C297" i="10"/>
  <c r="B297" i="10"/>
  <c r="A297" i="10"/>
  <c r="P296" i="10"/>
  <c r="N296" i="10"/>
  <c r="M296" i="10"/>
  <c r="L296" i="10"/>
  <c r="K296" i="10"/>
  <c r="J296" i="10"/>
  <c r="O296" i="10" s="1"/>
  <c r="I296" i="10"/>
  <c r="H296" i="10"/>
  <c r="G296" i="10"/>
  <c r="F296" i="10"/>
  <c r="Q296" i="10" s="1"/>
  <c r="E296" i="10"/>
  <c r="D296" i="10"/>
  <c r="C296" i="10"/>
  <c r="B296" i="10"/>
  <c r="A296" i="10"/>
  <c r="P295" i="10"/>
  <c r="N295" i="10"/>
  <c r="M295" i="10"/>
  <c r="L295" i="10"/>
  <c r="K295" i="10"/>
  <c r="J295" i="10"/>
  <c r="O295" i="10" s="1"/>
  <c r="I295" i="10"/>
  <c r="H295" i="10"/>
  <c r="G295" i="10"/>
  <c r="F295" i="10"/>
  <c r="Q295" i="10" s="1"/>
  <c r="E295" i="10"/>
  <c r="D295" i="10"/>
  <c r="C295" i="10"/>
  <c r="B295" i="10"/>
  <c r="A295" i="10"/>
  <c r="P294" i="10"/>
  <c r="N294" i="10"/>
  <c r="M294" i="10"/>
  <c r="L294" i="10"/>
  <c r="K294" i="10"/>
  <c r="J294" i="10"/>
  <c r="O294" i="10" s="1"/>
  <c r="I294" i="10"/>
  <c r="H294" i="10"/>
  <c r="G294" i="10"/>
  <c r="F294" i="10"/>
  <c r="Q294" i="10" s="1"/>
  <c r="E294" i="10"/>
  <c r="D294" i="10"/>
  <c r="C294" i="10"/>
  <c r="B294" i="10"/>
  <c r="A294" i="10"/>
  <c r="P293" i="10"/>
  <c r="N293" i="10"/>
  <c r="M293" i="10"/>
  <c r="L293" i="10"/>
  <c r="K293" i="10"/>
  <c r="J293" i="10"/>
  <c r="O293" i="10" s="1"/>
  <c r="I293" i="10"/>
  <c r="H293" i="10"/>
  <c r="G293" i="10"/>
  <c r="F293" i="10"/>
  <c r="Q293" i="10" s="1"/>
  <c r="E293" i="10"/>
  <c r="D293" i="10"/>
  <c r="C293" i="10"/>
  <c r="B293" i="10"/>
  <c r="A293" i="10"/>
  <c r="P292" i="10"/>
  <c r="N292" i="10"/>
  <c r="M292" i="10"/>
  <c r="L292" i="10"/>
  <c r="K292" i="10"/>
  <c r="J292" i="10"/>
  <c r="O292" i="10" s="1"/>
  <c r="I292" i="10"/>
  <c r="H292" i="10"/>
  <c r="G292" i="10"/>
  <c r="F292" i="10"/>
  <c r="Q292" i="10" s="1"/>
  <c r="E292" i="10"/>
  <c r="D292" i="10"/>
  <c r="C292" i="10"/>
  <c r="B292" i="10"/>
  <c r="A292" i="10"/>
  <c r="P291" i="10"/>
  <c r="N291" i="10"/>
  <c r="M291" i="10"/>
  <c r="L291" i="10"/>
  <c r="K291" i="10"/>
  <c r="J291" i="10"/>
  <c r="O291" i="10" s="1"/>
  <c r="I291" i="10"/>
  <c r="H291" i="10"/>
  <c r="G291" i="10"/>
  <c r="F291" i="10"/>
  <c r="Q291" i="10" s="1"/>
  <c r="E291" i="10"/>
  <c r="D291" i="10"/>
  <c r="C291" i="10"/>
  <c r="B291" i="10"/>
  <c r="A291" i="10"/>
  <c r="P290" i="10"/>
  <c r="N290" i="10"/>
  <c r="M290" i="10"/>
  <c r="L290" i="10"/>
  <c r="K290" i="10"/>
  <c r="J290" i="10"/>
  <c r="O290" i="10" s="1"/>
  <c r="I290" i="10"/>
  <c r="H290" i="10"/>
  <c r="G290" i="10"/>
  <c r="F290" i="10"/>
  <c r="Q290" i="10" s="1"/>
  <c r="E290" i="10"/>
  <c r="D290" i="10"/>
  <c r="C290" i="10"/>
  <c r="B290" i="10"/>
  <c r="A290" i="10"/>
  <c r="P289" i="10"/>
  <c r="N289" i="10"/>
  <c r="M289" i="10"/>
  <c r="L289" i="10"/>
  <c r="K289" i="10"/>
  <c r="J289" i="10"/>
  <c r="O289" i="10" s="1"/>
  <c r="I289" i="10"/>
  <c r="H289" i="10"/>
  <c r="G289" i="10"/>
  <c r="F289" i="10"/>
  <c r="Q289" i="10" s="1"/>
  <c r="E289" i="10"/>
  <c r="D289" i="10"/>
  <c r="C289" i="10"/>
  <c r="B289" i="10"/>
  <c r="A289" i="10"/>
  <c r="P288" i="10"/>
  <c r="N288" i="10"/>
  <c r="M288" i="10"/>
  <c r="L288" i="10"/>
  <c r="K288" i="10"/>
  <c r="J288" i="10"/>
  <c r="O288" i="10" s="1"/>
  <c r="I288" i="10"/>
  <c r="H288" i="10"/>
  <c r="G288" i="10"/>
  <c r="F288" i="10"/>
  <c r="Q288" i="10" s="1"/>
  <c r="E288" i="10"/>
  <c r="D288" i="10"/>
  <c r="C288" i="10"/>
  <c r="B288" i="10"/>
  <c r="A288" i="10"/>
  <c r="P287" i="10"/>
  <c r="N287" i="10"/>
  <c r="M287" i="10"/>
  <c r="L287" i="10"/>
  <c r="K287" i="10"/>
  <c r="J287" i="10"/>
  <c r="O287" i="10" s="1"/>
  <c r="I287" i="10"/>
  <c r="H287" i="10"/>
  <c r="G287" i="10"/>
  <c r="F287" i="10"/>
  <c r="Q287" i="10" s="1"/>
  <c r="E287" i="10"/>
  <c r="D287" i="10"/>
  <c r="C287" i="10"/>
  <c r="B287" i="10"/>
  <c r="A287" i="10"/>
  <c r="P286" i="10"/>
  <c r="N286" i="10"/>
  <c r="M286" i="10"/>
  <c r="L286" i="10"/>
  <c r="K286" i="10"/>
  <c r="J286" i="10"/>
  <c r="O286" i="10" s="1"/>
  <c r="I286" i="10"/>
  <c r="H286" i="10"/>
  <c r="G286" i="10"/>
  <c r="F286" i="10"/>
  <c r="Q286" i="10" s="1"/>
  <c r="E286" i="10"/>
  <c r="D286" i="10"/>
  <c r="C286" i="10"/>
  <c r="B286" i="10"/>
  <c r="A286" i="10"/>
  <c r="P285" i="10"/>
  <c r="N285" i="10"/>
  <c r="M285" i="10"/>
  <c r="L285" i="10"/>
  <c r="K285" i="10"/>
  <c r="J285" i="10"/>
  <c r="O285" i="10" s="1"/>
  <c r="I285" i="10"/>
  <c r="H285" i="10"/>
  <c r="G285" i="10"/>
  <c r="F285" i="10"/>
  <c r="Q285" i="10" s="1"/>
  <c r="E285" i="10"/>
  <c r="D285" i="10"/>
  <c r="C285" i="10"/>
  <c r="B285" i="10"/>
  <c r="A285" i="10"/>
  <c r="P284" i="10"/>
  <c r="N284" i="10"/>
  <c r="M284" i="10"/>
  <c r="L284" i="10"/>
  <c r="K284" i="10"/>
  <c r="J284" i="10"/>
  <c r="O284" i="10" s="1"/>
  <c r="I284" i="10"/>
  <c r="H284" i="10"/>
  <c r="G284" i="10"/>
  <c r="F284" i="10"/>
  <c r="Q284" i="10" s="1"/>
  <c r="E284" i="10"/>
  <c r="D284" i="10"/>
  <c r="C284" i="10"/>
  <c r="B284" i="10"/>
  <c r="A284" i="10"/>
  <c r="P283" i="10"/>
  <c r="N283" i="10"/>
  <c r="M283" i="10"/>
  <c r="L283" i="10"/>
  <c r="K283" i="10"/>
  <c r="J283" i="10"/>
  <c r="O283" i="10" s="1"/>
  <c r="I283" i="10"/>
  <c r="H283" i="10"/>
  <c r="G283" i="10"/>
  <c r="F283" i="10"/>
  <c r="Q283" i="10" s="1"/>
  <c r="E283" i="10"/>
  <c r="D283" i="10"/>
  <c r="C283" i="10"/>
  <c r="B283" i="10"/>
  <c r="A283" i="10"/>
  <c r="P282" i="10"/>
  <c r="N282" i="10"/>
  <c r="M282" i="10"/>
  <c r="L282" i="10"/>
  <c r="K282" i="10"/>
  <c r="J282" i="10"/>
  <c r="O282" i="10" s="1"/>
  <c r="I282" i="10"/>
  <c r="H282" i="10"/>
  <c r="G282" i="10"/>
  <c r="F282" i="10"/>
  <c r="Q282" i="10" s="1"/>
  <c r="E282" i="10"/>
  <c r="D282" i="10"/>
  <c r="C282" i="10"/>
  <c r="B282" i="10"/>
  <c r="A282" i="10"/>
  <c r="P281" i="10"/>
  <c r="N281" i="10"/>
  <c r="M281" i="10"/>
  <c r="L281" i="10"/>
  <c r="K281" i="10"/>
  <c r="J281" i="10"/>
  <c r="O281" i="10" s="1"/>
  <c r="I281" i="10"/>
  <c r="H281" i="10"/>
  <c r="G281" i="10"/>
  <c r="F281" i="10"/>
  <c r="Q281" i="10" s="1"/>
  <c r="E281" i="10"/>
  <c r="D281" i="10"/>
  <c r="C281" i="10"/>
  <c r="B281" i="10"/>
  <c r="A281" i="10"/>
  <c r="P280" i="10"/>
  <c r="N280" i="10"/>
  <c r="M280" i="10"/>
  <c r="L280" i="10"/>
  <c r="K280" i="10"/>
  <c r="J280" i="10"/>
  <c r="O280" i="10" s="1"/>
  <c r="I280" i="10"/>
  <c r="H280" i="10"/>
  <c r="G280" i="10"/>
  <c r="F280" i="10"/>
  <c r="Q280" i="10" s="1"/>
  <c r="E280" i="10"/>
  <c r="D280" i="10"/>
  <c r="C280" i="10"/>
  <c r="B280" i="10"/>
  <c r="A280" i="10"/>
  <c r="P279" i="10"/>
  <c r="N279" i="10"/>
  <c r="M279" i="10"/>
  <c r="L279" i="10"/>
  <c r="K279" i="10"/>
  <c r="J279" i="10"/>
  <c r="O279" i="10" s="1"/>
  <c r="I279" i="10"/>
  <c r="H279" i="10"/>
  <c r="G279" i="10"/>
  <c r="F279" i="10"/>
  <c r="Q279" i="10" s="1"/>
  <c r="E279" i="10"/>
  <c r="D279" i="10"/>
  <c r="C279" i="10"/>
  <c r="B279" i="10"/>
  <c r="A279" i="10"/>
  <c r="P278" i="10"/>
  <c r="N278" i="10"/>
  <c r="M278" i="10"/>
  <c r="L278" i="10"/>
  <c r="K278" i="10"/>
  <c r="J278" i="10"/>
  <c r="O278" i="10" s="1"/>
  <c r="I278" i="10"/>
  <c r="H278" i="10"/>
  <c r="G278" i="10"/>
  <c r="F278" i="10"/>
  <c r="Q278" i="10" s="1"/>
  <c r="E278" i="10"/>
  <c r="D278" i="10"/>
  <c r="C278" i="10"/>
  <c r="B278" i="10"/>
  <c r="A278" i="10"/>
  <c r="P277" i="10"/>
  <c r="N277" i="10"/>
  <c r="M277" i="10"/>
  <c r="L277" i="10"/>
  <c r="K277" i="10"/>
  <c r="J277" i="10"/>
  <c r="O277" i="10" s="1"/>
  <c r="I277" i="10"/>
  <c r="H277" i="10"/>
  <c r="G277" i="10"/>
  <c r="F277" i="10"/>
  <c r="Q277" i="10" s="1"/>
  <c r="E277" i="10"/>
  <c r="D277" i="10"/>
  <c r="C277" i="10"/>
  <c r="B277" i="10"/>
  <c r="A277" i="10"/>
  <c r="P276" i="10"/>
  <c r="N276" i="10"/>
  <c r="M276" i="10"/>
  <c r="L276" i="10"/>
  <c r="K276" i="10"/>
  <c r="J276" i="10"/>
  <c r="O276" i="10" s="1"/>
  <c r="I276" i="10"/>
  <c r="H276" i="10"/>
  <c r="G276" i="10"/>
  <c r="F276" i="10"/>
  <c r="Q276" i="10" s="1"/>
  <c r="E276" i="10"/>
  <c r="D276" i="10"/>
  <c r="C276" i="10"/>
  <c r="B276" i="10"/>
  <c r="A276" i="10"/>
  <c r="P275" i="10"/>
  <c r="N275" i="10"/>
  <c r="M275" i="10"/>
  <c r="L275" i="10"/>
  <c r="K275" i="10"/>
  <c r="J275" i="10"/>
  <c r="O275" i="10" s="1"/>
  <c r="I275" i="10"/>
  <c r="H275" i="10"/>
  <c r="G275" i="10"/>
  <c r="F275" i="10"/>
  <c r="Q275" i="10" s="1"/>
  <c r="E275" i="10"/>
  <c r="D275" i="10"/>
  <c r="C275" i="10"/>
  <c r="B275" i="10"/>
  <c r="A275" i="10"/>
  <c r="P274" i="10"/>
  <c r="N274" i="10"/>
  <c r="M274" i="10"/>
  <c r="L274" i="10"/>
  <c r="K274" i="10"/>
  <c r="J274" i="10"/>
  <c r="O274" i="10" s="1"/>
  <c r="I274" i="10"/>
  <c r="H274" i="10"/>
  <c r="G274" i="10"/>
  <c r="F274" i="10"/>
  <c r="Q274" i="10" s="1"/>
  <c r="E274" i="10"/>
  <c r="D274" i="10"/>
  <c r="C274" i="10"/>
  <c r="B274" i="10"/>
  <c r="A274" i="10"/>
  <c r="P273" i="10"/>
  <c r="N273" i="10"/>
  <c r="M273" i="10"/>
  <c r="L273" i="10"/>
  <c r="K273" i="10"/>
  <c r="J273" i="10"/>
  <c r="O273" i="10" s="1"/>
  <c r="I273" i="10"/>
  <c r="H273" i="10"/>
  <c r="G273" i="10"/>
  <c r="F273" i="10"/>
  <c r="Q273" i="10" s="1"/>
  <c r="E273" i="10"/>
  <c r="D273" i="10"/>
  <c r="C273" i="10"/>
  <c r="B273" i="10"/>
  <c r="A273" i="10"/>
  <c r="P272" i="10"/>
  <c r="N272" i="10"/>
  <c r="M272" i="10"/>
  <c r="L272" i="10"/>
  <c r="K272" i="10"/>
  <c r="J272" i="10"/>
  <c r="O272" i="10" s="1"/>
  <c r="I272" i="10"/>
  <c r="H272" i="10"/>
  <c r="G272" i="10"/>
  <c r="F272" i="10"/>
  <c r="Q272" i="10" s="1"/>
  <c r="E272" i="10"/>
  <c r="D272" i="10"/>
  <c r="C272" i="10"/>
  <c r="B272" i="10"/>
  <c r="A272" i="10"/>
  <c r="P271" i="10"/>
  <c r="N271" i="10"/>
  <c r="M271" i="10"/>
  <c r="L271" i="10"/>
  <c r="K271" i="10"/>
  <c r="J271" i="10"/>
  <c r="O271" i="10" s="1"/>
  <c r="I271" i="10"/>
  <c r="H271" i="10"/>
  <c r="G271" i="10"/>
  <c r="F271" i="10"/>
  <c r="Q271" i="10" s="1"/>
  <c r="E271" i="10"/>
  <c r="D271" i="10"/>
  <c r="C271" i="10"/>
  <c r="B271" i="10"/>
  <c r="A271" i="10"/>
  <c r="P270" i="10"/>
  <c r="N270" i="10"/>
  <c r="M270" i="10"/>
  <c r="L270" i="10"/>
  <c r="K270" i="10"/>
  <c r="J270" i="10"/>
  <c r="O270" i="10" s="1"/>
  <c r="I270" i="10"/>
  <c r="H270" i="10"/>
  <c r="G270" i="10"/>
  <c r="F270" i="10"/>
  <c r="Q270" i="10" s="1"/>
  <c r="E270" i="10"/>
  <c r="D270" i="10"/>
  <c r="C270" i="10"/>
  <c r="B270" i="10"/>
  <c r="A270" i="10"/>
  <c r="P269" i="10"/>
  <c r="N269" i="10"/>
  <c r="M269" i="10"/>
  <c r="L269" i="10"/>
  <c r="K269" i="10"/>
  <c r="J269" i="10"/>
  <c r="O269" i="10" s="1"/>
  <c r="I269" i="10"/>
  <c r="H269" i="10"/>
  <c r="G269" i="10"/>
  <c r="F269" i="10"/>
  <c r="Q269" i="10" s="1"/>
  <c r="E269" i="10"/>
  <c r="D269" i="10"/>
  <c r="C269" i="10"/>
  <c r="B269" i="10"/>
  <c r="A269" i="10"/>
  <c r="P268" i="10"/>
  <c r="N268" i="10"/>
  <c r="M268" i="10"/>
  <c r="L268" i="10"/>
  <c r="K268" i="10"/>
  <c r="J268" i="10"/>
  <c r="O268" i="10" s="1"/>
  <c r="I268" i="10"/>
  <c r="H268" i="10"/>
  <c r="G268" i="10"/>
  <c r="F268" i="10"/>
  <c r="Q268" i="10" s="1"/>
  <c r="E268" i="10"/>
  <c r="D268" i="10"/>
  <c r="C268" i="10"/>
  <c r="B268" i="10"/>
  <c r="A268" i="10"/>
  <c r="P267" i="10"/>
  <c r="N267" i="10"/>
  <c r="M267" i="10"/>
  <c r="L267" i="10"/>
  <c r="K267" i="10"/>
  <c r="J267" i="10"/>
  <c r="O267" i="10" s="1"/>
  <c r="I267" i="10"/>
  <c r="H267" i="10"/>
  <c r="G267" i="10"/>
  <c r="F267" i="10"/>
  <c r="Q267" i="10" s="1"/>
  <c r="E267" i="10"/>
  <c r="D267" i="10"/>
  <c r="C267" i="10"/>
  <c r="B267" i="10"/>
  <c r="A267" i="10"/>
  <c r="P266" i="10"/>
  <c r="N266" i="10"/>
  <c r="M266" i="10"/>
  <c r="L266" i="10"/>
  <c r="K266" i="10"/>
  <c r="J266" i="10"/>
  <c r="O266" i="10" s="1"/>
  <c r="I266" i="10"/>
  <c r="H266" i="10"/>
  <c r="G266" i="10"/>
  <c r="F266" i="10"/>
  <c r="Q266" i="10" s="1"/>
  <c r="E266" i="10"/>
  <c r="D266" i="10"/>
  <c r="C266" i="10"/>
  <c r="B266" i="10"/>
  <c r="A266" i="10"/>
  <c r="P265" i="10"/>
  <c r="N265" i="10"/>
  <c r="M265" i="10"/>
  <c r="L265" i="10"/>
  <c r="K265" i="10"/>
  <c r="J265" i="10"/>
  <c r="O265" i="10" s="1"/>
  <c r="I265" i="10"/>
  <c r="H265" i="10"/>
  <c r="G265" i="10"/>
  <c r="F265" i="10"/>
  <c r="Q265" i="10" s="1"/>
  <c r="E265" i="10"/>
  <c r="D265" i="10"/>
  <c r="C265" i="10"/>
  <c r="B265" i="10"/>
  <c r="A265" i="10"/>
  <c r="P264" i="10"/>
  <c r="N264" i="10"/>
  <c r="M264" i="10"/>
  <c r="L264" i="10"/>
  <c r="K264" i="10"/>
  <c r="J264" i="10"/>
  <c r="O264" i="10" s="1"/>
  <c r="I264" i="10"/>
  <c r="H264" i="10"/>
  <c r="G264" i="10"/>
  <c r="F264" i="10"/>
  <c r="Q264" i="10" s="1"/>
  <c r="E264" i="10"/>
  <c r="D264" i="10"/>
  <c r="C264" i="10"/>
  <c r="B264" i="10"/>
  <c r="A264" i="10"/>
  <c r="P263" i="10"/>
  <c r="N263" i="10"/>
  <c r="M263" i="10"/>
  <c r="L263" i="10"/>
  <c r="K263" i="10"/>
  <c r="J263" i="10"/>
  <c r="O263" i="10" s="1"/>
  <c r="I263" i="10"/>
  <c r="H263" i="10"/>
  <c r="G263" i="10"/>
  <c r="F263" i="10"/>
  <c r="Q263" i="10" s="1"/>
  <c r="E263" i="10"/>
  <c r="D263" i="10"/>
  <c r="C263" i="10"/>
  <c r="B263" i="10"/>
  <c r="A263" i="10"/>
  <c r="P262" i="10"/>
  <c r="N262" i="10"/>
  <c r="M262" i="10"/>
  <c r="L262" i="10"/>
  <c r="K262" i="10"/>
  <c r="J262" i="10"/>
  <c r="O262" i="10" s="1"/>
  <c r="I262" i="10"/>
  <c r="H262" i="10"/>
  <c r="G262" i="10"/>
  <c r="F262" i="10"/>
  <c r="Q262" i="10" s="1"/>
  <c r="E262" i="10"/>
  <c r="D262" i="10"/>
  <c r="C262" i="10"/>
  <c r="B262" i="10"/>
  <c r="A262" i="10"/>
  <c r="P261" i="10"/>
  <c r="N261" i="10"/>
  <c r="M261" i="10"/>
  <c r="L261" i="10"/>
  <c r="K261" i="10"/>
  <c r="J261" i="10"/>
  <c r="O261" i="10" s="1"/>
  <c r="I261" i="10"/>
  <c r="H261" i="10"/>
  <c r="G261" i="10"/>
  <c r="F261" i="10"/>
  <c r="Q261" i="10" s="1"/>
  <c r="E261" i="10"/>
  <c r="D261" i="10"/>
  <c r="C261" i="10"/>
  <c r="B261" i="10"/>
  <c r="A261" i="10"/>
  <c r="P260" i="10"/>
  <c r="N260" i="10"/>
  <c r="M260" i="10"/>
  <c r="L260" i="10"/>
  <c r="K260" i="10"/>
  <c r="J260" i="10"/>
  <c r="O260" i="10" s="1"/>
  <c r="I260" i="10"/>
  <c r="H260" i="10"/>
  <c r="G260" i="10"/>
  <c r="F260" i="10"/>
  <c r="Q260" i="10" s="1"/>
  <c r="E260" i="10"/>
  <c r="D260" i="10"/>
  <c r="C260" i="10"/>
  <c r="B260" i="10"/>
  <c r="A260" i="10"/>
  <c r="P259" i="10"/>
  <c r="N259" i="10"/>
  <c r="M259" i="10"/>
  <c r="L259" i="10"/>
  <c r="K259" i="10"/>
  <c r="J259" i="10"/>
  <c r="O259" i="10" s="1"/>
  <c r="I259" i="10"/>
  <c r="H259" i="10"/>
  <c r="G259" i="10"/>
  <c r="F259" i="10"/>
  <c r="Q259" i="10" s="1"/>
  <c r="E259" i="10"/>
  <c r="D259" i="10"/>
  <c r="C259" i="10"/>
  <c r="B259" i="10"/>
  <c r="A259" i="10"/>
  <c r="P258" i="10"/>
  <c r="N258" i="10"/>
  <c r="M258" i="10"/>
  <c r="L258" i="10"/>
  <c r="K258" i="10"/>
  <c r="J258" i="10"/>
  <c r="O258" i="10" s="1"/>
  <c r="I258" i="10"/>
  <c r="H258" i="10"/>
  <c r="G258" i="10"/>
  <c r="F258" i="10"/>
  <c r="Q258" i="10" s="1"/>
  <c r="E258" i="10"/>
  <c r="D258" i="10"/>
  <c r="C258" i="10"/>
  <c r="B258" i="10"/>
  <c r="A258" i="10"/>
  <c r="P257" i="10"/>
  <c r="N257" i="10"/>
  <c r="M257" i="10"/>
  <c r="L257" i="10"/>
  <c r="K257" i="10"/>
  <c r="J257" i="10"/>
  <c r="O257" i="10" s="1"/>
  <c r="I257" i="10"/>
  <c r="H257" i="10"/>
  <c r="G257" i="10"/>
  <c r="F257" i="10"/>
  <c r="Q257" i="10" s="1"/>
  <c r="E257" i="10"/>
  <c r="D257" i="10"/>
  <c r="C257" i="10"/>
  <c r="B257" i="10"/>
  <c r="A257" i="10"/>
  <c r="P256" i="10"/>
  <c r="N256" i="10"/>
  <c r="M256" i="10"/>
  <c r="L256" i="10"/>
  <c r="K256" i="10"/>
  <c r="J256" i="10"/>
  <c r="O256" i="10" s="1"/>
  <c r="I256" i="10"/>
  <c r="H256" i="10"/>
  <c r="G256" i="10"/>
  <c r="F256" i="10"/>
  <c r="Q256" i="10" s="1"/>
  <c r="E256" i="10"/>
  <c r="D256" i="10"/>
  <c r="C256" i="10"/>
  <c r="B256" i="10"/>
  <c r="A256" i="10"/>
  <c r="P255" i="10"/>
  <c r="N255" i="10"/>
  <c r="M255" i="10"/>
  <c r="L255" i="10"/>
  <c r="K255" i="10"/>
  <c r="J255" i="10"/>
  <c r="O255" i="10" s="1"/>
  <c r="I255" i="10"/>
  <c r="H255" i="10"/>
  <c r="G255" i="10"/>
  <c r="F255" i="10"/>
  <c r="Q255" i="10" s="1"/>
  <c r="E255" i="10"/>
  <c r="D255" i="10"/>
  <c r="C255" i="10"/>
  <c r="B255" i="10"/>
  <c r="A255" i="10"/>
  <c r="P254" i="10"/>
  <c r="N254" i="10"/>
  <c r="M254" i="10"/>
  <c r="L254" i="10"/>
  <c r="K254" i="10"/>
  <c r="J254" i="10"/>
  <c r="O254" i="10" s="1"/>
  <c r="I254" i="10"/>
  <c r="H254" i="10"/>
  <c r="G254" i="10"/>
  <c r="F254" i="10"/>
  <c r="Q254" i="10" s="1"/>
  <c r="E254" i="10"/>
  <c r="D254" i="10"/>
  <c r="C254" i="10"/>
  <c r="B254" i="10"/>
  <c r="A254" i="10"/>
  <c r="P253" i="10"/>
  <c r="N253" i="10"/>
  <c r="M253" i="10"/>
  <c r="L253" i="10"/>
  <c r="K253" i="10"/>
  <c r="J253" i="10"/>
  <c r="O253" i="10" s="1"/>
  <c r="I253" i="10"/>
  <c r="H253" i="10"/>
  <c r="G253" i="10"/>
  <c r="F253" i="10"/>
  <c r="Q253" i="10" s="1"/>
  <c r="E253" i="10"/>
  <c r="D253" i="10"/>
  <c r="C253" i="10"/>
  <c r="B253" i="10"/>
  <c r="A253" i="10"/>
  <c r="P252" i="10"/>
  <c r="N252" i="10"/>
  <c r="M252" i="10"/>
  <c r="L252" i="10"/>
  <c r="K252" i="10"/>
  <c r="J252" i="10"/>
  <c r="O252" i="10" s="1"/>
  <c r="I252" i="10"/>
  <c r="H252" i="10"/>
  <c r="G252" i="10"/>
  <c r="F252" i="10"/>
  <c r="Q252" i="10" s="1"/>
  <c r="E252" i="10"/>
  <c r="D252" i="10"/>
  <c r="C252" i="10"/>
  <c r="B252" i="10"/>
  <c r="A252" i="10"/>
  <c r="P251" i="10"/>
  <c r="N251" i="10"/>
  <c r="M251" i="10"/>
  <c r="L251" i="10"/>
  <c r="K251" i="10"/>
  <c r="J251" i="10"/>
  <c r="O251" i="10" s="1"/>
  <c r="I251" i="10"/>
  <c r="H251" i="10"/>
  <c r="G251" i="10"/>
  <c r="F251" i="10"/>
  <c r="Q251" i="10" s="1"/>
  <c r="E251" i="10"/>
  <c r="D251" i="10"/>
  <c r="C251" i="10"/>
  <c r="B251" i="10"/>
  <c r="A251" i="10"/>
  <c r="P250" i="10"/>
  <c r="N250" i="10"/>
  <c r="M250" i="10"/>
  <c r="L250" i="10"/>
  <c r="K250" i="10"/>
  <c r="J250" i="10"/>
  <c r="O250" i="10" s="1"/>
  <c r="I250" i="10"/>
  <c r="H250" i="10"/>
  <c r="G250" i="10"/>
  <c r="F250" i="10"/>
  <c r="Q250" i="10" s="1"/>
  <c r="E250" i="10"/>
  <c r="D250" i="10"/>
  <c r="C250" i="10"/>
  <c r="B250" i="10"/>
  <c r="A250" i="10"/>
  <c r="P249" i="10"/>
  <c r="N249" i="10"/>
  <c r="M249" i="10"/>
  <c r="L249" i="10"/>
  <c r="K249" i="10"/>
  <c r="J249" i="10"/>
  <c r="O249" i="10" s="1"/>
  <c r="I249" i="10"/>
  <c r="H249" i="10"/>
  <c r="G249" i="10"/>
  <c r="F249" i="10"/>
  <c r="Q249" i="10" s="1"/>
  <c r="E249" i="10"/>
  <c r="D249" i="10"/>
  <c r="C249" i="10"/>
  <c r="B249" i="10"/>
  <c r="A249" i="10"/>
  <c r="P248" i="10"/>
  <c r="N248" i="10"/>
  <c r="M248" i="10"/>
  <c r="L248" i="10"/>
  <c r="K248" i="10"/>
  <c r="J248" i="10"/>
  <c r="O248" i="10" s="1"/>
  <c r="I248" i="10"/>
  <c r="H248" i="10"/>
  <c r="G248" i="10"/>
  <c r="F248" i="10"/>
  <c r="Q248" i="10" s="1"/>
  <c r="E248" i="10"/>
  <c r="D248" i="10"/>
  <c r="C248" i="10"/>
  <c r="B248" i="10"/>
  <c r="A248" i="10"/>
  <c r="P247" i="10"/>
  <c r="N247" i="10"/>
  <c r="M247" i="10"/>
  <c r="L247" i="10"/>
  <c r="K247" i="10"/>
  <c r="J247" i="10"/>
  <c r="O247" i="10" s="1"/>
  <c r="I247" i="10"/>
  <c r="H247" i="10"/>
  <c r="G247" i="10"/>
  <c r="F247" i="10"/>
  <c r="Q247" i="10" s="1"/>
  <c r="E247" i="10"/>
  <c r="D247" i="10"/>
  <c r="C247" i="10"/>
  <c r="B247" i="10"/>
  <c r="A247" i="10"/>
  <c r="P246" i="10"/>
  <c r="N246" i="10"/>
  <c r="M246" i="10"/>
  <c r="L246" i="10"/>
  <c r="K246" i="10"/>
  <c r="J246" i="10"/>
  <c r="O246" i="10" s="1"/>
  <c r="I246" i="10"/>
  <c r="H246" i="10"/>
  <c r="G246" i="10"/>
  <c r="F246" i="10"/>
  <c r="Q246" i="10" s="1"/>
  <c r="E246" i="10"/>
  <c r="D246" i="10"/>
  <c r="C246" i="10"/>
  <c r="B246" i="10"/>
  <c r="A246" i="10"/>
  <c r="P245" i="10"/>
  <c r="N245" i="10"/>
  <c r="M245" i="10"/>
  <c r="L245" i="10"/>
  <c r="K245" i="10"/>
  <c r="J245" i="10"/>
  <c r="O245" i="10" s="1"/>
  <c r="I245" i="10"/>
  <c r="H245" i="10"/>
  <c r="G245" i="10"/>
  <c r="F245" i="10"/>
  <c r="Q245" i="10" s="1"/>
  <c r="E245" i="10"/>
  <c r="D245" i="10"/>
  <c r="C245" i="10"/>
  <c r="B245" i="10"/>
  <c r="A245" i="10"/>
  <c r="P244" i="10"/>
  <c r="N244" i="10"/>
  <c r="M244" i="10"/>
  <c r="L244" i="10"/>
  <c r="K244" i="10"/>
  <c r="J244" i="10"/>
  <c r="O244" i="10" s="1"/>
  <c r="I244" i="10"/>
  <c r="H244" i="10"/>
  <c r="G244" i="10"/>
  <c r="F244" i="10"/>
  <c r="Q244" i="10" s="1"/>
  <c r="E244" i="10"/>
  <c r="D244" i="10"/>
  <c r="C244" i="10"/>
  <c r="B244" i="10"/>
  <c r="A244" i="10"/>
  <c r="P243" i="10"/>
  <c r="N243" i="10"/>
  <c r="M243" i="10"/>
  <c r="L243" i="10"/>
  <c r="K243" i="10"/>
  <c r="J243" i="10"/>
  <c r="O243" i="10" s="1"/>
  <c r="I243" i="10"/>
  <c r="H243" i="10"/>
  <c r="G243" i="10"/>
  <c r="F243" i="10"/>
  <c r="Q243" i="10" s="1"/>
  <c r="E243" i="10"/>
  <c r="D243" i="10"/>
  <c r="C243" i="10"/>
  <c r="B243" i="10"/>
  <c r="A243" i="10"/>
  <c r="P242" i="10"/>
  <c r="N242" i="10"/>
  <c r="M242" i="10"/>
  <c r="L242" i="10"/>
  <c r="K242" i="10"/>
  <c r="J242" i="10"/>
  <c r="O242" i="10" s="1"/>
  <c r="I242" i="10"/>
  <c r="H242" i="10"/>
  <c r="G242" i="10"/>
  <c r="F242" i="10"/>
  <c r="Q242" i="10" s="1"/>
  <c r="E242" i="10"/>
  <c r="D242" i="10"/>
  <c r="C242" i="10"/>
  <c r="B242" i="10"/>
  <c r="A242" i="10"/>
  <c r="R241" i="10"/>
  <c r="P241" i="10"/>
  <c r="N241" i="10"/>
  <c r="M241" i="10"/>
  <c r="L241" i="10"/>
  <c r="K241" i="10"/>
  <c r="J241" i="10"/>
  <c r="O241" i="10" s="1"/>
  <c r="I241" i="10"/>
  <c r="H241" i="10"/>
  <c r="G241" i="10"/>
  <c r="F241" i="10"/>
  <c r="Q241" i="10" s="1"/>
  <c r="E241" i="10"/>
  <c r="D241" i="10"/>
  <c r="C241" i="10"/>
  <c r="B241" i="10"/>
  <c r="A241" i="10"/>
  <c r="R240" i="10"/>
  <c r="P240" i="10"/>
  <c r="N240" i="10"/>
  <c r="M240" i="10"/>
  <c r="L240" i="10"/>
  <c r="K240" i="10"/>
  <c r="J240" i="10"/>
  <c r="O240" i="10" s="1"/>
  <c r="I240" i="10"/>
  <c r="H240" i="10"/>
  <c r="G240" i="10"/>
  <c r="F240" i="10"/>
  <c r="Q240" i="10" s="1"/>
  <c r="E240" i="10"/>
  <c r="D240" i="10"/>
  <c r="C240" i="10"/>
  <c r="B240" i="10"/>
  <c r="A240" i="10"/>
  <c r="R239" i="10"/>
  <c r="P239" i="10"/>
  <c r="N239" i="10"/>
  <c r="M239" i="10"/>
  <c r="L239" i="10"/>
  <c r="K239" i="10"/>
  <c r="J239" i="10"/>
  <c r="O239" i="10" s="1"/>
  <c r="I239" i="10"/>
  <c r="H239" i="10"/>
  <c r="G239" i="10"/>
  <c r="F239" i="10"/>
  <c r="Q239" i="10" s="1"/>
  <c r="E239" i="10"/>
  <c r="D239" i="10"/>
  <c r="C239" i="10"/>
  <c r="B239" i="10"/>
  <c r="A239" i="10"/>
  <c r="R238" i="10"/>
  <c r="P238" i="10"/>
  <c r="N238" i="10"/>
  <c r="M238" i="10"/>
  <c r="L238" i="10"/>
  <c r="K238" i="10"/>
  <c r="J238" i="10"/>
  <c r="O238" i="10" s="1"/>
  <c r="I238" i="10"/>
  <c r="H238" i="10"/>
  <c r="G238" i="10"/>
  <c r="F238" i="10"/>
  <c r="Q238" i="10" s="1"/>
  <c r="E238" i="10"/>
  <c r="D238" i="10"/>
  <c r="C238" i="10"/>
  <c r="B238" i="10"/>
  <c r="A238" i="10"/>
  <c r="R237" i="10"/>
  <c r="P237" i="10"/>
  <c r="N237" i="10"/>
  <c r="M237" i="10"/>
  <c r="L237" i="10"/>
  <c r="K237" i="10"/>
  <c r="J237" i="10"/>
  <c r="O237" i="10" s="1"/>
  <c r="I237" i="10"/>
  <c r="H237" i="10"/>
  <c r="G237" i="10"/>
  <c r="F237" i="10"/>
  <c r="Q237" i="10" s="1"/>
  <c r="E237" i="10"/>
  <c r="D237" i="10"/>
  <c r="C237" i="10"/>
  <c r="B237" i="10"/>
  <c r="A237" i="10"/>
  <c r="R236" i="10"/>
  <c r="P236" i="10"/>
  <c r="N236" i="10"/>
  <c r="M236" i="10"/>
  <c r="L236" i="10"/>
  <c r="K236" i="10"/>
  <c r="J236" i="10"/>
  <c r="O236" i="10" s="1"/>
  <c r="I236" i="10"/>
  <c r="H236" i="10"/>
  <c r="G236" i="10"/>
  <c r="F236" i="10"/>
  <c r="Q236" i="10" s="1"/>
  <c r="E236" i="10"/>
  <c r="D236" i="10"/>
  <c r="C236" i="10"/>
  <c r="B236" i="10"/>
  <c r="A236" i="10"/>
  <c r="R235" i="10"/>
  <c r="P235" i="10"/>
  <c r="N235" i="10"/>
  <c r="M235" i="10"/>
  <c r="L235" i="10"/>
  <c r="K235" i="10"/>
  <c r="J235" i="10"/>
  <c r="O235" i="10" s="1"/>
  <c r="I235" i="10"/>
  <c r="H235" i="10"/>
  <c r="G235" i="10"/>
  <c r="F235" i="10"/>
  <c r="Q235" i="10" s="1"/>
  <c r="E235" i="10"/>
  <c r="D235" i="10"/>
  <c r="C235" i="10"/>
  <c r="B235" i="10"/>
  <c r="A235" i="10"/>
  <c r="R234" i="10"/>
  <c r="P234" i="10"/>
  <c r="N234" i="10"/>
  <c r="M234" i="10"/>
  <c r="L234" i="10"/>
  <c r="K234" i="10"/>
  <c r="J234" i="10"/>
  <c r="O234" i="10" s="1"/>
  <c r="I234" i="10"/>
  <c r="H234" i="10"/>
  <c r="G234" i="10"/>
  <c r="F234" i="10"/>
  <c r="Q234" i="10" s="1"/>
  <c r="E234" i="10"/>
  <c r="D234" i="10"/>
  <c r="C234" i="10"/>
  <c r="B234" i="10"/>
  <c r="A234" i="10"/>
  <c r="R233" i="10"/>
  <c r="P233" i="10"/>
  <c r="N233" i="10"/>
  <c r="M233" i="10"/>
  <c r="L233" i="10"/>
  <c r="K233" i="10"/>
  <c r="J233" i="10"/>
  <c r="O233" i="10" s="1"/>
  <c r="I233" i="10"/>
  <c r="H233" i="10"/>
  <c r="G233" i="10"/>
  <c r="F233" i="10"/>
  <c r="Q233" i="10" s="1"/>
  <c r="E233" i="10"/>
  <c r="D233" i="10"/>
  <c r="C233" i="10"/>
  <c r="B233" i="10"/>
  <c r="A233" i="10"/>
  <c r="R232" i="10"/>
  <c r="P232" i="10"/>
  <c r="N232" i="10"/>
  <c r="M232" i="10"/>
  <c r="L232" i="10"/>
  <c r="K232" i="10"/>
  <c r="J232" i="10"/>
  <c r="O232" i="10" s="1"/>
  <c r="I232" i="10"/>
  <c r="H232" i="10"/>
  <c r="G232" i="10"/>
  <c r="F232" i="10"/>
  <c r="Q232" i="10" s="1"/>
  <c r="E232" i="10"/>
  <c r="D232" i="10"/>
  <c r="C232" i="10"/>
  <c r="B232" i="10"/>
  <c r="A232" i="10"/>
  <c r="R231" i="10"/>
  <c r="P231" i="10"/>
  <c r="N231" i="10"/>
  <c r="M231" i="10"/>
  <c r="L231" i="10"/>
  <c r="K231" i="10"/>
  <c r="J231" i="10"/>
  <c r="O231" i="10" s="1"/>
  <c r="I231" i="10"/>
  <c r="H231" i="10"/>
  <c r="G231" i="10"/>
  <c r="F231" i="10"/>
  <c r="Q231" i="10" s="1"/>
  <c r="E231" i="10"/>
  <c r="D231" i="10"/>
  <c r="C231" i="10"/>
  <c r="B231" i="10"/>
  <c r="A231" i="10"/>
  <c r="R230" i="10"/>
  <c r="P230" i="10"/>
  <c r="N230" i="10"/>
  <c r="M230" i="10"/>
  <c r="L230" i="10"/>
  <c r="K230" i="10"/>
  <c r="J230" i="10"/>
  <c r="O230" i="10" s="1"/>
  <c r="I230" i="10"/>
  <c r="H230" i="10"/>
  <c r="G230" i="10"/>
  <c r="F230" i="10"/>
  <c r="Q230" i="10" s="1"/>
  <c r="E230" i="10"/>
  <c r="D230" i="10"/>
  <c r="C230" i="10"/>
  <c r="B230" i="10"/>
  <c r="A230" i="10"/>
  <c r="R229" i="10"/>
  <c r="P229" i="10"/>
  <c r="N229" i="10"/>
  <c r="M229" i="10"/>
  <c r="L229" i="10"/>
  <c r="K229" i="10"/>
  <c r="J229" i="10"/>
  <c r="O229" i="10" s="1"/>
  <c r="I229" i="10"/>
  <c r="H229" i="10"/>
  <c r="G229" i="10"/>
  <c r="F229" i="10"/>
  <c r="Q229" i="10" s="1"/>
  <c r="E229" i="10"/>
  <c r="D229" i="10"/>
  <c r="C229" i="10"/>
  <c r="B229" i="10"/>
  <c r="A229" i="10"/>
  <c r="R228" i="10"/>
  <c r="P228" i="10"/>
  <c r="N228" i="10"/>
  <c r="M228" i="10"/>
  <c r="L228" i="10"/>
  <c r="K228" i="10"/>
  <c r="J228" i="10"/>
  <c r="O228" i="10" s="1"/>
  <c r="I228" i="10"/>
  <c r="H228" i="10"/>
  <c r="G228" i="10"/>
  <c r="F228" i="10"/>
  <c r="Q228" i="10" s="1"/>
  <c r="E228" i="10"/>
  <c r="D228" i="10"/>
  <c r="C228" i="10"/>
  <c r="B228" i="10"/>
  <c r="A228" i="10"/>
  <c r="R227" i="10"/>
  <c r="P227" i="10"/>
  <c r="N227" i="10"/>
  <c r="M227" i="10"/>
  <c r="L227" i="10"/>
  <c r="K227" i="10"/>
  <c r="J227" i="10"/>
  <c r="O227" i="10" s="1"/>
  <c r="I227" i="10"/>
  <c r="H227" i="10"/>
  <c r="G227" i="10"/>
  <c r="F227" i="10"/>
  <c r="Q227" i="10" s="1"/>
  <c r="E227" i="10"/>
  <c r="D227" i="10"/>
  <c r="C227" i="10"/>
  <c r="B227" i="10"/>
  <c r="A227" i="10"/>
  <c r="R226" i="10"/>
  <c r="P226" i="10"/>
  <c r="N226" i="10"/>
  <c r="M226" i="10"/>
  <c r="L226" i="10"/>
  <c r="K226" i="10"/>
  <c r="J226" i="10"/>
  <c r="O226" i="10" s="1"/>
  <c r="I226" i="10"/>
  <c r="H226" i="10"/>
  <c r="G226" i="10"/>
  <c r="F226" i="10"/>
  <c r="Q226" i="10" s="1"/>
  <c r="E226" i="10"/>
  <c r="D226" i="10"/>
  <c r="C226" i="10"/>
  <c r="B226" i="10"/>
  <c r="A226" i="10"/>
  <c r="R225" i="10"/>
  <c r="P225" i="10"/>
  <c r="N225" i="10"/>
  <c r="M225" i="10"/>
  <c r="L225" i="10"/>
  <c r="K225" i="10"/>
  <c r="J225" i="10"/>
  <c r="O225" i="10" s="1"/>
  <c r="I225" i="10"/>
  <c r="H225" i="10"/>
  <c r="G225" i="10"/>
  <c r="F225" i="10"/>
  <c r="Q225" i="10" s="1"/>
  <c r="E225" i="10"/>
  <c r="D225" i="10"/>
  <c r="C225" i="10"/>
  <c r="B225" i="10"/>
  <c r="A225" i="10"/>
  <c r="R224" i="10"/>
  <c r="P224" i="10"/>
  <c r="N224" i="10"/>
  <c r="M224" i="10"/>
  <c r="L224" i="10"/>
  <c r="K224" i="10"/>
  <c r="J224" i="10"/>
  <c r="O224" i="10" s="1"/>
  <c r="I224" i="10"/>
  <c r="H224" i="10"/>
  <c r="G224" i="10"/>
  <c r="F224" i="10"/>
  <c r="Q224" i="10" s="1"/>
  <c r="E224" i="10"/>
  <c r="D224" i="10"/>
  <c r="C224" i="10"/>
  <c r="B224" i="10"/>
  <c r="A224" i="10"/>
  <c r="R223" i="10"/>
  <c r="P223" i="10"/>
  <c r="N223" i="10"/>
  <c r="M223" i="10"/>
  <c r="L223" i="10"/>
  <c r="K223" i="10"/>
  <c r="J223" i="10"/>
  <c r="O223" i="10" s="1"/>
  <c r="I223" i="10"/>
  <c r="H223" i="10"/>
  <c r="G223" i="10"/>
  <c r="F223" i="10"/>
  <c r="Q223" i="10" s="1"/>
  <c r="E223" i="10"/>
  <c r="D223" i="10"/>
  <c r="C223" i="10"/>
  <c r="B223" i="10"/>
  <c r="A223" i="10"/>
  <c r="R222" i="10"/>
  <c r="P222" i="10"/>
  <c r="N222" i="10"/>
  <c r="M222" i="10"/>
  <c r="L222" i="10"/>
  <c r="K222" i="10"/>
  <c r="J222" i="10"/>
  <c r="O222" i="10" s="1"/>
  <c r="I222" i="10"/>
  <c r="H222" i="10"/>
  <c r="G222" i="10"/>
  <c r="F222" i="10"/>
  <c r="Q222" i="10" s="1"/>
  <c r="E222" i="10"/>
  <c r="D222" i="10"/>
  <c r="C222" i="10"/>
  <c r="B222" i="10"/>
  <c r="A222" i="10"/>
  <c r="R221" i="10"/>
  <c r="P221" i="10"/>
  <c r="N221" i="10"/>
  <c r="M221" i="10"/>
  <c r="L221" i="10"/>
  <c r="K221" i="10"/>
  <c r="J221" i="10"/>
  <c r="O221" i="10" s="1"/>
  <c r="I221" i="10"/>
  <c r="H221" i="10"/>
  <c r="G221" i="10"/>
  <c r="F221" i="10"/>
  <c r="Q221" i="10" s="1"/>
  <c r="E221" i="10"/>
  <c r="D221" i="10"/>
  <c r="C221" i="10"/>
  <c r="B221" i="10"/>
  <c r="A221" i="10"/>
  <c r="R220" i="10"/>
  <c r="P220" i="10"/>
  <c r="N220" i="10"/>
  <c r="M220" i="10"/>
  <c r="L220" i="10"/>
  <c r="K220" i="10"/>
  <c r="J220" i="10"/>
  <c r="O220" i="10" s="1"/>
  <c r="I220" i="10"/>
  <c r="H220" i="10"/>
  <c r="G220" i="10"/>
  <c r="F220" i="10"/>
  <c r="Q220" i="10" s="1"/>
  <c r="E220" i="10"/>
  <c r="D220" i="10"/>
  <c r="C220" i="10"/>
  <c r="B220" i="10"/>
  <c r="A220" i="10"/>
  <c r="R219" i="10"/>
  <c r="P219" i="10"/>
  <c r="N219" i="10"/>
  <c r="M219" i="10"/>
  <c r="L219" i="10"/>
  <c r="K219" i="10"/>
  <c r="J219" i="10"/>
  <c r="O219" i="10" s="1"/>
  <c r="I219" i="10"/>
  <c r="H219" i="10"/>
  <c r="G219" i="10"/>
  <c r="F219" i="10"/>
  <c r="Q219" i="10" s="1"/>
  <c r="E219" i="10"/>
  <c r="D219" i="10"/>
  <c r="C219" i="10"/>
  <c r="B219" i="10"/>
  <c r="A219" i="10"/>
  <c r="R218" i="10"/>
  <c r="P218" i="10"/>
  <c r="N218" i="10"/>
  <c r="M218" i="10"/>
  <c r="L218" i="10"/>
  <c r="K218" i="10"/>
  <c r="J218" i="10"/>
  <c r="O218" i="10" s="1"/>
  <c r="I218" i="10"/>
  <c r="H218" i="10"/>
  <c r="G218" i="10"/>
  <c r="F218" i="10"/>
  <c r="Q218" i="10" s="1"/>
  <c r="E218" i="10"/>
  <c r="D218" i="10"/>
  <c r="C218" i="10"/>
  <c r="B218" i="10"/>
  <c r="A218" i="10"/>
  <c r="R217" i="10"/>
  <c r="P217" i="10"/>
  <c r="N217" i="10"/>
  <c r="M217" i="10"/>
  <c r="L217" i="10"/>
  <c r="K217" i="10"/>
  <c r="J217" i="10"/>
  <c r="O217" i="10" s="1"/>
  <c r="I217" i="10"/>
  <c r="H217" i="10"/>
  <c r="G217" i="10"/>
  <c r="F217" i="10"/>
  <c r="Q217" i="10" s="1"/>
  <c r="E217" i="10"/>
  <c r="D217" i="10"/>
  <c r="C217" i="10"/>
  <c r="B217" i="10"/>
  <c r="A217" i="10"/>
  <c r="Q216" i="10"/>
  <c r="R216" i="10" s="1"/>
  <c r="N216" i="10"/>
  <c r="M216" i="10"/>
  <c r="L216" i="10"/>
  <c r="K216" i="10"/>
  <c r="J216" i="10"/>
  <c r="O216" i="10" s="1"/>
  <c r="I216" i="10"/>
  <c r="H216" i="10"/>
  <c r="G216" i="10"/>
  <c r="F216" i="10"/>
  <c r="E216" i="10"/>
  <c r="P216" i="10" s="1"/>
  <c r="D216" i="10"/>
  <c r="C216" i="10"/>
  <c r="B216" i="10"/>
  <c r="A216" i="10"/>
  <c r="R215" i="10"/>
  <c r="P215" i="10"/>
  <c r="N215" i="10"/>
  <c r="M215" i="10"/>
  <c r="L215" i="10"/>
  <c r="K215" i="10"/>
  <c r="J215" i="10"/>
  <c r="O215" i="10" s="1"/>
  <c r="I215" i="10"/>
  <c r="H215" i="10"/>
  <c r="G215" i="10"/>
  <c r="F215" i="10"/>
  <c r="Q215" i="10" s="1"/>
  <c r="E215" i="10"/>
  <c r="D215" i="10"/>
  <c r="C215" i="10"/>
  <c r="B215" i="10"/>
  <c r="A215" i="10"/>
  <c r="R214" i="10"/>
  <c r="N214" i="10"/>
  <c r="M214" i="10"/>
  <c r="L214" i="10"/>
  <c r="K214" i="10"/>
  <c r="J214" i="10"/>
  <c r="O214" i="10" s="1"/>
  <c r="I214" i="10"/>
  <c r="H214" i="10"/>
  <c r="G214" i="10"/>
  <c r="F214" i="10"/>
  <c r="Q214" i="10" s="1"/>
  <c r="E214" i="10"/>
  <c r="P214" i="10" s="1"/>
  <c r="D214" i="10"/>
  <c r="C214" i="10"/>
  <c r="B214" i="10"/>
  <c r="A214" i="10"/>
  <c r="P213" i="10"/>
  <c r="O213" i="10"/>
  <c r="R213" i="10" s="1"/>
  <c r="N213" i="10"/>
  <c r="M213" i="10"/>
  <c r="L213" i="10"/>
  <c r="K213" i="10"/>
  <c r="J213" i="10"/>
  <c r="I213" i="10"/>
  <c r="H213" i="10"/>
  <c r="G213" i="10"/>
  <c r="F213" i="10"/>
  <c r="Q213" i="10" s="1"/>
  <c r="E213" i="10"/>
  <c r="D213" i="10"/>
  <c r="C213" i="10"/>
  <c r="B213" i="10"/>
  <c r="A213" i="10"/>
  <c r="R212" i="10"/>
  <c r="Q212" i="10"/>
  <c r="N212" i="10"/>
  <c r="M212" i="10"/>
  <c r="L212" i="10"/>
  <c r="K212" i="10"/>
  <c r="J212" i="10"/>
  <c r="O212" i="10" s="1"/>
  <c r="I212" i="10"/>
  <c r="H212" i="10"/>
  <c r="G212" i="10"/>
  <c r="F212" i="10"/>
  <c r="E212" i="10"/>
  <c r="P212" i="10" s="1"/>
  <c r="D212" i="10"/>
  <c r="C212" i="10"/>
  <c r="B212" i="10"/>
  <c r="A212" i="10"/>
  <c r="P211" i="10"/>
  <c r="N211" i="10"/>
  <c r="M211" i="10"/>
  <c r="L211" i="10"/>
  <c r="K211" i="10"/>
  <c r="J211" i="10"/>
  <c r="O211" i="10" s="1"/>
  <c r="R211" i="10" s="1"/>
  <c r="I211" i="10"/>
  <c r="H211" i="10"/>
  <c r="G211" i="10"/>
  <c r="F211" i="10"/>
  <c r="Q211" i="10" s="1"/>
  <c r="E211" i="10"/>
  <c r="D211" i="10"/>
  <c r="C211" i="10"/>
  <c r="B211" i="10"/>
  <c r="A211" i="10"/>
  <c r="N210" i="10"/>
  <c r="M210" i="10"/>
  <c r="L210" i="10"/>
  <c r="K210" i="10"/>
  <c r="J210" i="10"/>
  <c r="O210" i="10" s="1"/>
  <c r="R210" i="10" s="1"/>
  <c r="I210" i="10"/>
  <c r="H210" i="10"/>
  <c r="G210" i="10"/>
  <c r="F210" i="10"/>
  <c r="Q210" i="10" s="1"/>
  <c r="E210" i="10"/>
  <c r="P210" i="10" s="1"/>
  <c r="D210" i="10"/>
  <c r="C210" i="10"/>
  <c r="B210" i="10"/>
  <c r="A210" i="10"/>
  <c r="P209" i="10"/>
  <c r="N209" i="10"/>
  <c r="M209" i="10"/>
  <c r="L209" i="10"/>
  <c r="K209" i="10"/>
  <c r="J209" i="10"/>
  <c r="O209" i="10" s="1"/>
  <c r="R209" i="10" s="1"/>
  <c r="I209" i="10"/>
  <c r="H209" i="10"/>
  <c r="G209" i="10"/>
  <c r="F209" i="10"/>
  <c r="Q209" i="10" s="1"/>
  <c r="E209" i="10"/>
  <c r="D209" i="10"/>
  <c r="C209" i="10"/>
  <c r="B209" i="10"/>
  <c r="A209" i="10"/>
  <c r="R208" i="10"/>
  <c r="Q208" i="10"/>
  <c r="P208" i="10"/>
  <c r="N208" i="10"/>
  <c r="M208" i="10"/>
  <c r="L208" i="10"/>
  <c r="K208" i="10"/>
  <c r="J208" i="10"/>
  <c r="O208" i="10" s="1"/>
  <c r="I208" i="10"/>
  <c r="H208" i="10"/>
  <c r="G208" i="10"/>
  <c r="F208" i="10"/>
  <c r="E208" i="10"/>
  <c r="D208" i="10"/>
  <c r="C208" i="10"/>
  <c r="B208" i="10"/>
  <c r="A208" i="10"/>
  <c r="P207" i="10"/>
  <c r="N207" i="10"/>
  <c r="M207" i="10"/>
  <c r="L207" i="10"/>
  <c r="K207" i="10"/>
  <c r="J207" i="10"/>
  <c r="O207" i="10" s="1"/>
  <c r="R207" i="10" s="1"/>
  <c r="I207" i="10"/>
  <c r="H207" i="10"/>
  <c r="G207" i="10"/>
  <c r="F207" i="10"/>
  <c r="Q207" i="10" s="1"/>
  <c r="E207" i="10"/>
  <c r="D207" i="10"/>
  <c r="C207" i="10"/>
  <c r="B207" i="10"/>
  <c r="A207" i="10"/>
  <c r="P206" i="10"/>
  <c r="N206" i="10"/>
  <c r="M206" i="10"/>
  <c r="L206" i="10"/>
  <c r="K206" i="10"/>
  <c r="J206" i="10"/>
  <c r="O206" i="10" s="1"/>
  <c r="R206" i="10" s="1"/>
  <c r="I206" i="10"/>
  <c r="H206" i="10"/>
  <c r="G206" i="10"/>
  <c r="F206" i="10"/>
  <c r="Q206" i="10" s="1"/>
  <c r="E206" i="10"/>
  <c r="D206" i="10"/>
  <c r="C206" i="10"/>
  <c r="B206" i="10"/>
  <c r="A206" i="10"/>
  <c r="P205" i="10"/>
  <c r="N205" i="10"/>
  <c r="M205" i="10"/>
  <c r="L205" i="10"/>
  <c r="K205" i="10"/>
  <c r="J205" i="10"/>
  <c r="O205" i="10" s="1"/>
  <c r="R205" i="10" s="1"/>
  <c r="I205" i="10"/>
  <c r="H205" i="10"/>
  <c r="G205" i="10"/>
  <c r="F205" i="10"/>
  <c r="Q205" i="10" s="1"/>
  <c r="E205" i="10"/>
  <c r="D205" i="10"/>
  <c r="C205" i="10"/>
  <c r="B205" i="10"/>
  <c r="A205" i="10"/>
  <c r="Q204" i="10"/>
  <c r="R204" i="10" s="1"/>
  <c r="P204" i="10"/>
  <c r="N204" i="10"/>
  <c r="M204" i="10"/>
  <c r="L204" i="10"/>
  <c r="K204" i="10"/>
  <c r="J204" i="10"/>
  <c r="O204" i="10" s="1"/>
  <c r="I204" i="10"/>
  <c r="H204" i="10"/>
  <c r="G204" i="10"/>
  <c r="F204" i="10"/>
  <c r="E204" i="10"/>
  <c r="D204" i="10"/>
  <c r="C204" i="10"/>
  <c r="B204" i="10"/>
  <c r="A204" i="10"/>
  <c r="R203" i="10"/>
  <c r="P203" i="10"/>
  <c r="N203" i="10"/>
  <c r="M203" i="10"/>
  <c r="L203" i="10"/>
  <c r="K203" i="10"/>
  <c r="J203" i="10"/>
  <c r="O203" i="10" s="1"/>
  <c r="I203" i="10"/>
  <c r="H203" i="10"/>
  <c r="G203" i="10"/>
  <c r="F203" i="10"/>
  <c r="Q203" i="10" s="1"/>
  <c r="E203" i="10"/>
  <c r="D203" i="10"/>
  <c r="C203" i="10"/>
  <c r="B203" i="10"/>
  <c r="A203" i="10"/>
  <c r="R202" i="10"/>
  <c r="P202" i="10"/>
  <c r="N202" i="10"/>
  <c r="M202" i="10"/>
  <c r="L202" i="10"/>
  <c r="K202" i="10"/>
  <c r="J202" i="10"/>
  <c r="O202" i="10" s="1"/>
  <c r="I202" i="10"/>
  <c r="H202" i="10"/>
  <c r="G202" i="10"/>
  <c r="F202" i="10"/>
  <c r="Q202" i="10" s="1"/>
  <c r="E202" i="10"/>
  <c r="D202" i="10"/>
  <c r="C202" i="10"/>
  <c r="B202" i="10"/>
  <c r="A202" i="10"/>
  <c r="P201" i="10"/>
  <c r="O201" i="10"/>
  <c r="R201" i="10" s="1"/>
  <c r="N201" i="10"/>
  <c r="M201" i="10"/>
  <c r="L201" i="10"/>
  <c r="K201" i="10"/>
  <c r="J201" i="10"/>
  <c r="I201" i="10"/>
  <c r="H201" i="10"/>
  <c r="G201" i="10"/>
  <c r="F201" i="10"/>
  <c r="Q201" i="10" s="1"/>
  <c r="E201" i="10"/>
  <c r="D201" i="10"/>
  <c r="C201" i="10"/>
  <c r="B201" i="10"/>
  <c r="A201" i="10"/>
  <c r="Q200" i="10"/>
  <c r="R200" i="10" s="1"/>
  <c r="N200" i="10"/>
  <c r="M200" i="10"/>
  <c r="L200" i="10"/>
  <c r="K200" i="10"/>
  <c r="J200" i="10"/>
  <c r="O200" i="10" s="1"/>
  <c r="I200" i="10"/>
  <c r="H200" i="10"/>
  <c r="G200" i="10"/>
  <c r="F200" i="10"/>
  <c r="E200" i="10"/>
  <c r="P200" i="10" s="1"/>
  <c r="D200" i="10"/>
  <c r="C200" i="10"/>
  <c r="B200" i="10"/>
  <c r="A200" i="10"/>
  <c r="R199" i="10"/>
  <c r="P199" i="10"/>
  <c r="N199" i="10"/>
  <c r="M199" i="10"/>
  <c r="L199" i="10"/>
  <c r="K199" i="10"/>
  <c r="J199" i="10"/>
  <c r="O199" i="10" s="1"/>
  <c r="I199" i="10"/>
  <c r="H199" i="10"/>
  <c r="G199" i="10"/>
  <c r="F199" i="10"/>
  <c r="Q199" i="10" s="1"/>
  <c r="E199" i="10"/>
  <c r="D199" i="10"/>
  <c r="C199" i="10"/>
  <c r="B199" i="10"/>
  <c r="A199" i="10"/>
  <c r="R198" i="10"/>
  <c r="N198" i="10"/>
  <c r="M198" i="10"/>
  <c r="L198" i="10"/>
  <c r="K198" i="10"/>
  <c r="J198" i="10"/>
  <c r="O198" i="10" s="1"/>
  <c r="I198" i="10"/>
  <c r="H198" i="10"/>
  <c r="G198" i="10"/>
  <c r="F198" i="10"/>
  <c r="Q198" i="10" s="1"/>
  <c r="E198" i="10"/>
  <c r="P198" i="10" s="1"/>
  <c r="D198" i="10"/>
  <c r="C198" i="10"/>
  <c r="B198" i="10"/>
  <c r="A198" i="10"/>
  <c r="P197" i="10"/>
  <c r="O197" i="10"/>
  <c r="R197" i="10" s="1"/>
  <c r="N197" i="10"/>
  <c r="M197" i="10"/>
  <c r="L197" i="10"/>
  <c r="K197" i="10"/>
  <c r="J197" i="10"/>
  <c r="I197" i="10"/>
  <c r="H197" i="10"/>
  <c r="G197" i="10"/>
  <c r="F197" i="10"/>
  <c r="Q197" i="10" s="1"/>
  <c r="E197" i="10"/>
  <c r="D197" i="10"/>
  <c r="C197" i="10"/>
  <c r="B197" i="10"/>
  <c r="A197" i="10"/>
  <c r="R196" i="10"/>
  <c r="Q196" i="10"/>
  <c r="N196" i="10"/>
  <c r="M196" i="10"/>
  <c r="L196" i="10"/>
  <c r="K196" i="10"/>
  <c r="J196" i="10"/>
  <c r="O196" i="10" s="1"/>
  <c r="I196" i="10"/>
  <c r="H196" i="10"/>
  <c r="G196" i="10"/>
  <c r="F196" i="10"/>
  <c r="E196" i="10"/>
  <c r="P196" i="10" s="1"/>
  <c r="D196" i="10"/>
  <c r="C196" i="10"/>
  <c r="B196" i="10"/>
  <c r="A196" i="10"/>
  <c r="P195" i="10"/>
  <c r="N195" i="10"/>
  <c r="M195" i="10"/>
  <c r="L195" i="10"/>
  <c r="K195" i="10"/>
  <c r="J195" i="10"/>
  <c r="O195" i="10" s="1"/>
  <c r="R195" i="10" s="1"/>
  <c r="I195" i="10"/>
  <c r="H195" i="10"/>
  <c r="G195" i="10"/>
  <c r="F195" i="10"/>
  <c r="Q195" i="10" s="1"/>
  <c r="E195" i="10"/>
  <c r="D195" i="10"/>
  <c r="C195" i="10"/>
  <c r="B195" i="10"/>
  <c r="A195" i="10"/>
  <c r="N194" i="10"/>
  <c r="M194" i="10"/>
  <c r="L194" i="10"/>
  <c r="K194" i="10"/>
  <c r="J194" i="10"/>
  <c r="O194" i="10" s="1"/>
  <c r="R194" i="10" s="1"/>
  <c r="I194" i="10"/>
  <c r="H194" i="10"/>
  <c r="G194" i="10"/>
  <c r="F194" i="10"/>
  <c r="Q194" i="10" s="1"/>
  <c r="E194" i="10"/>
  <c r="P194" i="10" s="1"/>
  <c r="D194" i="10"/>
  <c r="C194" i="10"/>
  <c r="B194" i="10"/>
  <c r="A194" i="10"/>
  <c r="P193" i="10"/>
  <c r="N193" i="10"/>
  <c r="M193" i="10"/>
  <c r="L193" i="10"/>
  <c r="K193" i="10"/>
  <c r="J193" i="10"/>
  <c r="O193" i="10" s="1"/>
  <c r="R193" i="10" s="1"/>
  <c r="I193" i="10"/>
  <c r="H193" i="10"/>
  <c r="G193" i="10"/>
  <c r="F193" i="10"/>
  <c r="Q193" i="10" s="1"/>
  <c r="E193" i="10"/>
  <c r="D193" i="10"/>
  <c r="C193" i="10"/>
  <c r="B193" i="10"/>
  <c r="A193" i="10"/>
  <c r="R192" i="10"/>
  <c r="Q192" i="10"/>
  <c r="P192" i="10"/>
  <c r="N192" i="10"/>
  <c r="M192" i="10"/>
  <c r="L192" i="10"/>
  <c r="K192" i="10"/>
  <c r="J192" i="10"/>
  <c r="O192" i="10" s="1"/>
  <c r="I192" i="10"/>
  <c r="H192" i="10"/>
  <c r="G192" i="10"/>
  <c r="F192" i="10"/>
  <c r="E192" i="10"/>
  <c r="D192" i="10"/>
  <c r="C192" i="10"/>
  <c r="B192" i="10"/>
  <c r="A192" i="10"/>
  <c r="P191" i="10"/>
  <c r="N191" i="10"/>
  <c r="M191" i="10"/>
  <c r="L191" i="10"/>
  <c r="K191" i="10"/>
  <c r="J191" i="10"/>
  <c r="O191" i="10" s="1"/>
  <c r="R191" i="10" s="1"/>
  <c r="I191" i="10"/>
  <c r="H191" i="10"/>
  <c r="G191" i="10"/>
  <c r="F191" i="10"/>
  <c r="Q191" i="10" s="1"/>
  <c r="E191" i="10"/>
  <c r="D191" i="10"/>
  <c r="C191" i="10"/>
  <c r="B191" i="10"/>
  <c r="A191" i="10"/>
  <c r="P190" i="10"/>
  <c r="N190" i="10"/>
  <c r="M190" i="10"/>
  <c r="L190" i="10"/>
  <c r="K190" i="10"/>
  <c r="J190" i="10"/>
  <c r="O190" i="10" s="1"/>
  <c r="R190" i="10" s="1"/>
  <c r="I190" i="10"/>
  <c r="H190" i="10"/>
  <c r="G190" i="10"/>
  <c r="F190" i="10"/>
  <c r="Q190" i="10" s="1"/>
  <c r="E190" i="10"/>
  <c r="D190" i="10"/>
  <c r="C190" i="10"/>
  <c r="B190" i="10"/>
  <c r="A190" i="10"/>
  <c r="P189" i="10"/>
  <c r="N189" i="10"/>
  <c r="M189" i="10"/>
  <c r="L189" i="10"/>
  <c r="K189" i="10"/>
  <c r="J189" i="10"/>
  <c r="O189" i="10" s="1"/>
  <c r="R189" i="10" s="1"/>
  <c r="I189" i="10"/>
  <c r="H189" i="10"/>
  <c r="G189" i="10"/>
  <c r="F189" i="10"/>
  <c r="Q189" i="10" s="1"/>
  <c r="E189" i="10"/>
  <c r="D189" i="10"/>
  <c r="C189" i="10"/>
  <c r="B189" i="10"/>
  <c r="A189" i="10"/>
  <c r="Q188" i="10"/>
  <c r="R188" i="10" s="1"/>
  <c r="P188" i="10"/>
  <c r="N188" i="10"/>
  <c r="M188" i="10"/>
  <c r="L188" i="10"/>
  <c r="K188" i="10"/>
  <c r="J188" i="10"/>
  <c r="O188" i="10" s="1"/>
  <c r="I188" i="10"/>
  <c r="H188" i="10"/>
  <c r="G188" i="10"/>
  <c r="F188" i="10"/>
  <c r="E188" i="10"/>
  <c r="D188" i="10"/>
  <c r="C188" i="10"/>
  <c r="B188" i="10"/>
  <c r="A188" i="10"/>
  <c r="R187" i="10"/>
  <c r="P187" i="10"/>
  <c r="N187" i="10"/>
  <c r="M187" i="10"/>
  <c r="L187" i="10"/>
  <c r="K187" i="10"/>
  <c r="J187" i="10"/>
  <c r="O187" i="10" s="1"/>
  <c r="I187" i="10"/>
  <c r="H187" i="10"/>
  <c r="G187" i="10"/>
  <c r="F187" i="10"/>
  <c r="Q187" i="10" s="1"/>
  <c r="E187" i="10"/>
  <c r="D187" i="10"/>
  <c r="C187" i="10"/>
  <c r="B187" i="10"/>
  <c r="A187" i="10"/>
  <c r="R186" i="10"/>
  <c r="P186" i="10"/>
  <c r="N186" i="10"/>
  <c r="M186" i="10"/>
  <c r="L186" i="10"/>
  <c r="K186" i="10"/>
  <c r="J186" i="10"/>
  <c r="O186" i="10" s="1"/>
  <c r="I186" i="10"/>
  <c r="H186" i="10"/>
  <c r="G186" i="10"/>
  <c r="F186" i="10"/>
  <c r="Q186" i="10" s="1"/>
  <c r="E186" i="10"/>
  <c r="D186" i="10"/>
  <c r="C186" i="10"/>
  <c r="B186" i="10"/>
  <c r="A186" i="10"/>
  <c r="P185" i="10"/>
  <c r="O185" i="10"/>
  <c r="R185" i="10" s="1"/>
  <c r="N185" i="10"/>
  <c r="M185" i="10"/>
  <c r="L185" i="10"/>
  <c r="K185" i="10"/>
  <c r="J185" i="10"/>
  <c r="I185" i="10"/>
  <c r="H185" i="10"/>
  <c r="G185" i="10"/>
  <c r="F185" i="10"/>
  <c r="Q185" i="10" s="1"/>
  <c r="E185" i="10"/>
  <c r="D185" i="10"/>
  <c r="C185" i="10"/>
  <c r="B185" i="10"/>
  <c r="A185" i="10"/>
  <c r="Q184" i="10"/>
  <c r="R184" i="10" s="1"/>
  <c r="N184" i="10"/>
  <c r="M184" i="10"/>
  <c r="L184" i="10"/>
  <c r="K184" i="10"/>
  <c r="J184" i="10"/>
  <c r="O184" i="10" s="1"/>
  <c r="I184" i="10"/>
  <c r="H184" i="10"/>
  <c r="G184" i="10"/>
  <c r="F184" i="10"/>
  <c r="E184" i="10"/>
  <c r="P184" i="10" s="1"/>
  <c r="D184" i="10"/>
  <c r="C184" i="10"/>
  <c r="B184" i="10"/>
  <c r="A184" i="10"/>
  <c r="R183" i="10"/>
  <c r="P183" i="10"/>
  <c r="N183" i="10"/>
  <c r="M183" i="10"/>
  <c r="L183" i="10"/>
  <c r="K183" i="10"/>
  <c r="J183" i="10"/>
  <c r="O183" i="10" s="1"/>
  <c r="I183" i="10"/>
  <c r="H183" i="10"/>
  <c r="G183" i="10"/>
  <c r="F183" i="10"/>
  <c r="Q183" i="10" s="1"/>
  <c r="E183" i="10"/>
  <c r="D183" i="10"/>
  <c r="C183" i="10"/>
  <c r="B183" i="10"/>
  <c r="A183" i="10"/>
  <c r="R182" i="10"/>
  <c r="N182" i="10"/>
  <c r="M182" i="10"/>
  <c r="L182" i="10"/>
  <c r="K182" i="10"/>
  <c r="J182" i="10"/>
  <c r="O182" i="10" s="1"/>
  <c r="I182" i="10"/>
  <c r="H182" i="10"/>
  <c r="G182" i="10"/>
  <c r="F182" i="10"/>
  <c r="Q182" i="10" s="1"/>
  <c r="E182" i="10"/>
  <c r="P182" i="10" s="1"/>
  <c r="D182" i="10"/>
  <c r="C182" i="10"/>
  <c r="B182" i="10"/>
  <c r="A182" i="10"/>
  <c r="P181" i="10"/>
  <c r="O181" i="10"/>
  <c r="R181" i="10" s="1"/>
  <c r="N181" i="10"/>
  <c r="M181" i="10"/>
  <c r="L181" i="10"/>
  <c r="K181" i="10"/>
  <c r="J181" i="10"/>
  <c r="I181" i="10"/>
  <c r="H181" i="10"/>
  <c r="G181" i="10"/>
  <c r="F181" i="10"/>
  <c r="Q181" i="10" s="1"/>
  <c r="E181" i="10"/>
  <c r="D181" i="10"/>
  <c r="C181" i="10"/>
  <c r="B181" i="10"/>
  <c r="A181" i="10"/>
  <c r="R180" i="10"/>
  <c r="Q180" i="10"/>
  <c r="N180" i="10"/>
  <c r="M180" i="10"/>
  <c r="L180" i="10"/>
  <c r="K180" i="10"/>
  <c r="J180" i="10"/>
  <c r="O180" i="10" s="1"/>
  <c r="I180" i="10"/>
  <c r="H180" i="10"/>
  <c r="G180" i="10"/>
  <c r="F180" i="10"/>
  <c r="E180" i="10"/>
  <c r="P180" i="10" s="1"/>
  <c r="D180" i="10"/>
  <c r="C180" i="10"/>
  <c r="B180" i="10"/>
  <c r="A180" i="10"/>
  <c r="P179" i="10"/>
  <c r="N179" i="10"/>
  <c r="M179" i="10"/>
  <c r="L179" i="10"/>
  <c r="K179" i="10"/>
  <c r="J179" i="10"/>
  <c r="O179" i="10" s="1"/>
  <c r="R179" i="10" s="1"/>
  <c r="I179" i="10"/>
  <c r="H179" i="10"/>
  <c r="G179" i="10"/>
  <c r="F179" i="10"/>
  <c r="Q179" i="10" s="1"/>
  <c r="E179" i="10"/>
  <c r="D179" i="10"/>
  <c r="C179" i="10"/>
  <c r="B179" i="10"/>
  <c r="A179" i="10"/>
  <c r="N178" i="10"/>
  <c r="M178" i="10"/>
  <c r="L178" i="10"/>
  <c r="K178" i="10"/>
  <c r="J178" i="10"/>
  <c r="O178" i="10" s="1"/>
  <c r="R178" i="10" s="1"/>
  <c r="I178" i="10"/>
  <c r="H178" i="10"/>
  <c r="G178" i="10"/>
  <c r="F178" i="10"/>
  <c r="Q178" i="10" s="1"/>
  <c r="E178" i="10"/>
  <c r="P178" i="10" s="1"/>
  <c r="D178" i="10"/>
  <c r="C178" i="10"/>
  <c r="B178" i="10"/>
  <c r="A178" i="10"/>
  <c r="P177" i="10"/>
  <c r="N177" i="10"/>
  <c r="M177" i="10"/>
  <c r="L177" i="10"/>
  <c r="K177" i="10"/>
  <c r="J177" i="10"/>
  <c r="O177" i="10" s="1"/>
  <c r="R177" i="10" s="1"/>
  <c r="I177" i="10"/>
  <c r="H177" i="10"/>
  <c r="G177" i="10"/>
  <c r="F177" i="10"/>
  <c r="Q177" i="10" s="1"/>
  <c r="E177" i="10"/>
  <c r="D177" i="10"/>
  <c r="C177" i="10"/>
  <c r="B177" i="10"/>
  <c r="A177" i="10"/>
  <c r="R176" i="10"/>
  <c r="Q176" i="10"/>
  <c r="P176" i="10"/>
  <c r="N176" i="10"/>
  <c r="M176" i="10"/>
  <c r="L176" i="10"/>
  <c r="K176" i="10"/>
  <c r="J176" i="10"/>
  <c r="O176" i="10" s="1"/>
  <c r="I176" i="10"/>
  <c r="H176" i="10"/>
  <c r="G176" i="10"/>
  <c r="F176" i="10"/>
  <c r="E176" i="10"/>
  <c r="D176" i="10"/>
  <c r="C176" i="10"/>
  <c r="B176" i="10"/>
  <c r="A176" i="10"/>
  <c r="P175" i="10"/>
  <c r="N175" i="10"/>
  <c r="M175" i="10"/>
  <c r="L175" i="10"/>
  <c r="K175" i="10"/>
  <c r="J175" i="10"/>
  <c r="O175" i="10" s="1"/>
  <c r="R175" i="10" s="1"/>
  <c r="I175" i="10"/>
  <c r="H175" i="10"/>
  <c r="G175" i="10"/>
  <c r="F175" i="10"/>
  <c r="Q175" i="10" s="1"/>
  <c r="E175" i="10"/>
  <c r="D175" i="10"/>
  <c r="C175" i="10"/>
  <c r="B175" i="10"/>
  <c r="A175" i="10"/>
  <c r="P174" i="10"/>
  <c r="O174" i="10"/>
  <c r="R174" i="10" s="1"/>
  <c r="N174" i="10"/>
  <c r="M174" i="10"/>
  <c r="L174" i="10"/>
  <c r="K174" i="10"/>
  <c r="J174" i="10"/>
  <c r="I174" i="10"/>
  <c r="H174" i="10"/>
  <c r="G174" i="10"/>
  <c r="F174" i="10"/>
  <c r="Q174" i="10" s="1"/>
  <c r="E174" i="10"/>
  <c r="D174" i="10"/>
  <c r="C174" i="10"/>
  <c r="B174" i="10"/>
  <c r="A174" i="10"/>
  <c r="Q173" i="10"/>
  <c r="R173" i="10" s="1"/>
  <c r="N173" i="10"/>
  <c r="M173" i="10"/>
  <c r="L173" i="10"/>
  <c r="K173" i="10"/>
  <c r="J173" i="10"/>
  <c r="O173" i="10" s="1"/>
  <c r="I173" i="10"/>
  <c r="H173" i="10"/>
  <c r="G173" i="10"/>
  <c r="F173" i="10"/>
  <c r="E173" i="10"/>
  <c r="P173" i="10" s="1"/>
  <c r="D173" i="10"/>
  <c r="C173" i="10"/>
  <c r="B173" i="10"/>
  <c r="A173" i="10"/>
  <c r="P172" i="10"/>
  <c r="N172" i="10"/>
  <c r="M172" i="10"/>
  <c r="L172" i="10"/>
  <c r="K172" i="10"/>
  <c r="J172" i="10"/>
  <c r="O172" i="10" s="1"/>
  <c r="R172" i="10" s="1"/>
  <c r="I172" i="10"/>
  <c r="H172" i="10"/>
  <c r="G172" i="10"/>
  <c r="F172" i="10"/>
  <c r="Q172" i="10" s="1"/>
  <c r="E172" i="10"/>
  <c r="D172" i="10"/>
  <c r="C172" i="10"/>
  <c r="B172" i="10"/>
  <c r="A172" i="10"/>
  <c r="P171" i="10"/>
  <c r="N171" i="10"/>
  <c r="M171" i="10"/>
  <c r="L171" i="10"/>
  <c r="K171" i="10"/>
  <c r="J171" i="10"/>
  <c r="O171" i="10" s="1"/>
  <c r="I171" i="10"/>
  <c r="H171" i="10"/>
  <c r="G171" i="10"/>
  <c r="F171" i="10"/>
  <c r="Q171" i="10" s="1"/>
  <c r="E171" i="10"/>
  <c r="D171" i="10"/>
  <c r="C171" i="10"/>
  <c r="B171" i="10"/>
  <c r="A171" i="10"/>
  <c r="P170" i="10"/>
  <c r="O170" i="10"/>
  <c r="R170" i="10" s="1"/>
  <c r="N170" i="10"/>
  <c r="M170" i="10"/>
  <c r="L170" i="10"/>
  <c r="K170" i="10"/>
  <c r="J170" i="10"/>
  <c r="I170" i="10"/>
  <c r="H170" i="10"/>
  <c r="G170" i="10"/>
  <c r="F170" i="10"/>
  <c r="Q170" i="10" s="1"/>
  <c r="E170" i="10"/>
  <c r="D170" i="10"/>
  <c r="C170" i="10"/>
  <c r="B170" i="10"/>
  <c r="A170" i="10"/>
  <c r="Q169" i="10"/>
  <c r="R169" i="10" s="1"/>
  <c r="N169" i="10"/>
  <c r="M169" i="10"/>
  <c r="L169" i="10"/>
  <c r="K169" i="10"/>
  <c r="J169" i="10"/>
  <c r="O169" i="10" s="1"/>
  <c r="I169" i="10"/>
  <c r="H169" i="10"/>
  <c r="G169" i="10"/>
  <c r="F169" i="10"/>
  <c r="E169" i="10"/>
  <c r="P169" i="10" s="1"/>
  <c r="D169" i="10"/>
  <c r="C169" i="10"/>
  <c r="B169" i="10"/>
  <c r="A169" i="10"/>
  <c r="P168" i="10"/>
  <c r="N168" i="10"/>
  <c r="M168" i="10"/>
  <c r="L168" i="10"/>
  <c r="K168" i="10"/>
  <c r="J168" i="10"/>
  <c r="O168" i="10" s="1"/>
  <c r="R168" i="10" s="1"/>
  <c r="I168" i="10"/>
  <c r="H168" i="10"/>
  <c r="G168" i="10"/>
  <c r="F168" i="10"/>
  <c r="Q168" i="10" s="1"/>
  <c r="E168" i="10"/>
  <c r="D168" i="10"/>
  <c r="C168" i="10"/>
  <c r="B168" i="10"/>
  <c r="A168" i="10"/>
  <c r="P167" i="10"/>
  <c r="N167" i="10"/>
  <c r="M167" i="10"/>
  <c r="L167" i="10"/>
  <c r="K167" i="10"/>
  <c r="J167" i="10"/>
  <c r="O167" i="10" s="1"/>
  <c r="I167" i="10"/>
  <c r="H167" i="10"/>
  <c r="G167" i="10"/>
  <c r="F167" i="10"/>
  <c r="Q167" i="10" s="1"/>
  <c r="E167" i="10"/>
  <c r="D167" i="10"/>
  <c r="C167" i="10"/>
  <c r="B167" i="10"/>
  <c r="A167" i="10"/>
  <c r="P166" i="10"/>
  <c r="O166" i="10"/>
  <c r="R166" i="10" s="1"/>
  <c r="N166" i="10"/>
  <c r="M166" i="10"/>
  <c r="L166" i="10"/>
  <c r="K166" i="10"/>
  <c r="J166" i="10"/>
  <c r="I166" i="10"/>
  <c r="H166" i="10"/>
  <c r="G166" i="10"/>
  <c r="F166" i="10"/>
  <c r="Q166" i="10" s="1"/>
  <c r="E166" i="10"/>
  <c r="D166" i="10"/>
  <c r="C166" i="10"/>
  <c r="B166" i="10"/>
  <c r="A166" i="10"/>
  <c r="Q165" i="10"/>
  <c r="R165" i="10" s="1"/>
  <c r="N165" i="10"/>
  <c r="M165" i="10"/>
  <c r="L165" i="10"/>
  <c r="K165" i="10"/>
  <c r="J165" i="10"/>
  <c r="O165" i="10" s="1"/>
  <c r="I165" i="10"/>
  <c r="H165" i="10"/>
  <c r="G165" i="10"/>
  <c r="F165" i="10"/>
  <c r="E165" i="10"/>
  <c r="P165" i="10" s="1"/>
  <c r="D165" i="10"/>
  <c r="C165" i="10"/>
  <c r="B165" i="10"/>
  <c r="A165" i="10"/>
  <c r="P164" i="10"/>
  <c r="N164" i="10"/>
  <c r="M164" i="10"/>
  <c r="L164" i="10"/>
  <c r="K164" i="10"/>
  <c r="J164" i="10"/>
  <c r="O164" i="10" s="1"/>
  <c r="R164" i="10" s="1"/>
  <c r="I164" i="10"/>
  <c r="H164" i="10"/>
  <c r="G164" i="10"/>
  <c r="F164" i="10"/>
  <c r="Q164" i="10" s="1"/>
  <c r="E164" i="10"/>
  <c r="D164" i="10"/>
  <c r="C164" i="10"/>
  <c r="B164" i="10"/>
  <c r="A164" i="10"/>
  <c r="P163" i="10"/>
  <c r="N163" i="10"/>
  <c r="M163" i="10"/>
  <c r="L163" i="10"/>
  <c r="K163" i="10"/>
  <c r="J163" i="10"/>
  <c r="O163" i="10" s="1"/>
  <c r="I163" i="10"/>
  <c r="H163" i="10"/>
  <c r="G163" i="10"/>
  <c r="F163" i="10"/>
  <c r="Q163" i="10" s="1"/>
  <c r="E163" i="10"/>
  <c r="D163" i="10"/>
  <c r="C163" i="10"/>
  <c r="B163" i="10"/>
  <c r="A163" i="10"/>
  <c r="P162" i="10"/>
  <c r="O162" i="10"/>
  <c r="R162" i="10" s="1"/>
  <c r="N162" i="10"/>
  <c r="M162" i="10"/>
  <c r="L162" i="10"/>
  <c r="K162" i="10"/>
  <c r="J162" i="10"/>
  <c r="I162" i="10"/>
  <c r="H162" i="10"/>
  <c r="G162" i="10"/>
  <c r="F162" i="10"/>
  <c r="Q162" i="10" s="1"/>
  <c r="E162" i="10"/>
  <c r="D162" i="10"/>
  <c r="C162" i="10"/>
  <c r="B162" i="10"/>
  <c r="A162" i="10"/>
  <c r="Q161" i="10"/>
  <c r="R161" i="10" s="1"/>
  <c r="N161" i="10"/>
  <c r="M161" i="10"/>
  <c r="L161" i="10"/>
  <c r="K161" i="10"/>
  <c r="J161" i="10"/>
  <c r="O161" i="10" s="1"/>
  <c r="I161" i="10"/>
  <c r="H161" i="10"/>
  <c r="G161" i="10"/>
  <c r="F161" i="10"/>
  <c r="E161" i="10"/>
  <c r="P161" i="10" s="1"/>
  <c r="D161" i="10"/>
  <c r="C161" i="10"/>
  <c r="B161" i="10"/>
  <c r="A161" i="10"/>
  <c r="P160" i="10"/>
  <c r="N160" i="10"/>
  <c r="M160" i="10"/>
  <c r="L160" i="10"/>
  <c r="K160" i="10"/>
  <c r="J160" i="10"/>
  <c r="O160" i="10" s="1"/>
  <c r="R160" i="10" s="1"/>
  <c r="I160" i="10"/>
  <c r="H160" i="10"/>
  <c r="G160" i="10"/>
  <c r="F160" i="10"/>
  <c r="Q160" i="10" s="1"/>
  <c r="E160" i="10"/>
  <c r="D160" i="10"/>
  <c r="C160" i="10"/>
  <c r="B160" i="10"/>
  <c r="A160" i="10"/>
  <c r="P159" i="10"/>
  <c r="N159" i="10"/>
  <c r="M159" i="10"/>
  <c r="L159" i="10"/>
  <c r="K159" i="10"/>
  <c r="J159" i="10"/>
  <c r="O159" i="10" s="1"/>
  <c r="I159" i="10"/>
  <c r="H159" i="10"/>
  <c r="G159" i="10"/>
  <c r="F159" i="10"/>
  <c r="Q159" i="10" s="1"/>
  <c r="E159" i="10"/>
  <c r="D159" i="10"/>
  <c r="C159" i="10"/>
  <c r="B159" i="10"/>
  <c r="A159" i="10"/>
  <c r="P158" i="10"/>
  <c r="O158" i="10"/>
  <c r="R158" i="10" s="1"/>
  <c r="N158" i="10"/>
  <c r="M158" i="10"/>
  <c r="L158" i="10"/>
  <c r="K158" i="10"/>
  <c r="J158" i="10"/>
  <c r="I158" i="10"/>
  <c r="H158" i="10"/>
  <c r="G158" i="10"/>
  <c r="F158" i="10"/>
  <c r="Q158" i="10" s="1"/>
  <c r="E158" i="10"/>
  <c r="D158" i="10"/>
  <c r="C158" i="10"/>
  <c r="B158" i="10"/>
  <c r="A158" i="10"/>
  <c r="Q157" i="10"/>
  <c r="R157" i="10" s="1"/>
  <c r="N157" i="10"/>
  <c r="M157" i="10"/>
  <c r="L157" i="10"/>
  <c r="K157" i="10"/>
  <c r="J157" i="10"/>
  <c r="O157" i="10" s="1"/>
  <c r="I157" i="10"/>
  <c r="H157" i="10"/>
  <c r="G157" i="10"/>
  <c r="F157" i="10"/>
  <c r="E157" i="10"/>
  <c r="P157" i="10" s="1"/>
  <c r="D157" i="10"/>
  <c r="C157" i="10"/>
  <c r="B157" i="10"/>
  <c r="A157" i="10"/>
  <c r="P156" i="10"/>
  <c r="N156" i="10"/>
  <c r="M156" i="10"/>
  <c r="L156" i="10"/>
  <c r="K156" i="10"/>
  <c r="J156" i="10"/>
  <c r="O156" i="10" s="1"/>
  <c r="R156" i="10" s="1"/>
  <c r="I156" i="10"/>
  <c r="H156" i="10"/>
  <c r="G156" i="10"/>
  <c r="F156" i="10"/>
  <c r="Q156" i="10" s="1"/>
  <c r="E156" i="10"/>
  <c r="D156" i="10"/>
  <c r="C156" i="10"/>
  <c r="B156" i="10"/>
  <c r="A156" i="10"/>
  <c r="P155" i="10"/>
  <c r="N155" i="10"/>
  <c r="M155" i="10"/>
  <c r="L155" i="10"/>
  <c r="K155" i="10"/>
  <c r="J155" i="10"/>
  <c r="O155" i="10" s="1"/>
  <c r="I155" i="10"/>
  <c r="H155" i="10"/>
  <c r="G155" i="10"/>
  <c r="F155" i="10"/>
  <c r="Q155" i="10" s="1"/>
  <c r="E155" i="10"/>
  <c r="D155" i="10"/>
  <c r="C155" i="10"/>
  <c r="B155" i="10"/>
  <c r="A155" i="10"/>
  <c r="P154" i="10"/>
  <c r="O154" i="10"/>
  <c r="R154" i="10" s="1"/>
  <c r="N154" i="10"/>
  <c r="M154" i="10"/>
  <c r="L154" i="10"/>
  <c r="K154" i="10"/>
  <c r="J154" i="10"/>
  <c r="I154" i="10"/>
  <c r="H154" i="10"/>
  <c r="G154" i="10"/>
  <c r="F154" i="10"/>
  <c r="Q154" i="10" s="1"/>
  <c r="E154" i="10"/>
  <c r="D154" i="10"/>
  <c r="C154" i="10"/>
  <c r="B154" i="10"/>
  <c r="A154" i="10"/>
  <c r="Q153" i="10"/>
  <c r="R153" i="10" s="1"/>
  <c r="N153" i="10"/>
  <c r="M153" i="10"/>
  <c r="L153" i="10"/>
  <c r="K153" i="10"/>
  <c r="J153" i="10"/>
  <c r="O153" i="10" s="1"/>
  <c r="I153" i="10"/>
  <c r="H153" i="10"/>
  <c r="G153" i="10"/>
  <c r="F153" i="10"/>
  <c r="E153" i="10"/>
  <c r="P153" i="10" s="1"/>
  <c r="D153" i="10"/>
  <c r="C153" i="10"/>
  <c r="B153" i="10"/>
  <c r="A153" i="10"/>
  <c r="P152" i="10"/>
  <c r="N152" i="10"/>
  <c r="M152" i="10"/>
  <c r="L152" i="10"/>
  <c r="K152" i="10"/>
  <c r="J152" i="10"/>
  <c r="O152" i="10" s="1"/>
  <c r="R152" i="10" s="1"/>
  <c r="I152" i="10"/>
  <c r="H152" i="10"/>
  <c r="G152" i="10"/>
  <c r="F152" i="10"/>
  <c r="Q152" i="10" s="1"/>
  <c r="E152" i="10"/>
  <c r="D152" i="10"/>
  <c r="C152" i="10"/>
  <c r="B152" i="10"/>
  <c r="A152" i="10"/>
  <c r="P151" i="10"/>
  <c r="N151" i="10"/>
  <c r="M151" i="10"/>
  <c r="L151" i="10"/>
  <c r="K151" i="10"/>
  <c r="J151" i="10"/>
  <c r="O151" i="10" s="1"/>
  <c r="I151" i="10"/>
  <c r="H151" i="10"/>
  <c r="G151" i="10"/>
  <c r="F151" i="10"/>
  <c r="Q151" i="10" s="1"/>
  <c r="E151" i="10"/>
  <c r="D151" i="10"/>
  <c r="C151" i="10"/>
  <c r="B151" i="10"/>
  <c r="A151" i="10"/>
  <c r="P150" i="10"/>
  <c r="O150" i="10"/>
  <c r="R150" i="10" s="1"/>
  <c r="N150" i="10"/>
  <c r="M150" i="10"/>
  <c r="L150" i="10"/>
  <c r="K150" i="10"/>
  <c r="J150" i="10"/>
  <c r="I150" i="10"/>
  <c r="H150" i="10"/>
  <c r="G150" i="10"/>
  <c r="F150" i="10"/>
  <c r="Q150" i="10" s="1"/>
  <c r="E150" i="10"/>
  <c r="D150" i="10"/>
  <c r="C150" i="10"/>
  <c r="B150" i="10"/>
  <c r="A150" i="10"/>
  <c r="Q149" i="10"/>
  <c r="R149" i="10" s="1"/>
  <c r="N149" i="10"/>
  <c r="M149" i="10"/>
  <c r="L149" i="10"/>
  <c r="K149" i="10"/>
  <c r="J149" i="10"/>
  <c r="O149" i="10" s="1"/>
  <c r="I149" i="10"/>
  <c r="H149" i="10"/>
  <c r="G149" i="10"/>
  <c r="F149" i="10"/>
  <c r="E149" i="10"/>
  <c r="P149" i="10" s="1"/>
  <c r="D149" i="10"/>
  <c r="C149" i="10"/>
  <c r="B149" i="10"/>
  <c r="A149" i="10"/>
  <c r="P148" i="10"/>
  <c r="N148" i="10"/>
  <c r="M148" i="10"/>
  <c r="L148" i="10"/>
  <c r="K148" i="10"/>
  <c r="J148" i="10"/>
  <c r="O148" i="10" s="1"/>
  <c r="R148" i="10" s="1"/>
  <c r="I148" i="10"/>
  <c r="H148" i="10"/>
  <c r="G148" i="10"/>
  <c r="F148" i="10"/>
  <c r="Q148" i="10" s="1"/>
  <c r="E148" i="10"/>
  <c r="D148" i="10"/>
  <c r="C148" i="10"/>
  <c r="B148" i="10"/>
  <c r="A148" i="10"/>
  <c r="P147" i="10"/>
  <c r="N147" i="10"/>
  <c r="M147" i="10"/>
  <c r="L147" i="10"/>
  <c r="K147" i="10"/>
  <c r="J147" i="10"/>
  <c r="O147" i="10" s="1"/>
  <c r="I147" i="10"/>
  <c r="H147" i="10"/>
  <c r="G147" i="10"/>
  <c r="F147" i="10"/>
  <c r="Q147" i="10" s="1"/>
  <c r="E147" i="10"/>
  <c r="D147" i="10"/>
  <c r="C147" i="10"/>
  <c r="B147" i="10"/>
  <c r="A147" i="10"/>
  <c r="P146" i="10"/>
  <c r="O146" i="10"/>
  <c r="R146" i="10" s="1"/>
  <c r="N146" i="10"/>
  <c r="M146" i="10"/>
  <c r="L146" i="10"/>
  <c r="K146" i="10"/>
  <c r="J146" i="10"/>
  <c r="I146" i="10"/>
  <c r="H146" i="10"/>
  <c r="G146" i="10"/>
  <c r="F146" i="10"/>
  <c r="Q146" i="10" s="1"/>
  <c r="E146" i="10"/>
  <c r="D146" i="10"/>
  <c r="C146" i="10"/>
  <c r="B146" i="10"/>
  <c r="A146" i="10"/>
  <c r="Q145" i="10"/>
  <c r="R145" i="10" s="1"/>
  <c r="N145" i="10"/>
  <c r="M145" i="10"/>
  <c r="L145" i="10"/>
  <c r="K145" i="10"/>
  <c r="J145" i="10"/>
  <c r="O145" i="10" s="1"/>
  <c r="I145" i="10"/>
  <c r="H145" i="10"/>
  <c r="G145" i="10"/>
  <c r="F145" i="10"/>
  <c r="E145" i="10"/>
  <c r="P145" i="10" s="1"/>
  <c r="D145" i="10"/>
  <c r="C145" i="10"/>
  <c r="B145" i="10"/>
  <c r="A145" i="10"/>
  <c r="P144" i="10"/>
  <c r="N144" i="10"/>
  <c r="M144" i="10"/>
  <c r="L144" i="10"/>
  <c r="K144" i="10"/>
  <c r="J144" i="10"/>
  <c r="O144" i="10" s="1"/>
  <c r="R144" i="10" s="1"/>
  <c r="I144" i="10"/>
  <c r="H144" i="10"/>
  <c r="G144" i="10"/>
  <c r="F144" i="10"/>
  <c r="Q144" i="10" s="1"/>
  <c r="E144" i="10"/>
  <c r="D144" i="10"/>
  <c r="C144" i="10"/>
  <c r="B144" i="10"/>
  <c r="A144" i="10"/>
  <c r="P143" i="10"/>
  <c r="N143" i="10"/>
  <c r="M143" i="10"/>
  <c r="L143" i="10"/>
  <c r="K143" i="10"/>
  <c r="J143" i="10"/>
  <c r="O143" i="10" s="1"/>
  <c r="I143" i="10"/>
  <c r="H143" i="10"/>
  <c r="G143" i="10"/>
  <c r="F143" i="10"/>
  <c r="Q143" i="10" s="1"/>
  <c r="E143" i="10"/>
  <c r="D143" i="10"/>
  <c r="C143" i="10"/>
  <c r="B143" i="10"/>
  <c r="A143" i="10"/>
  <c r="P142" i="10"/>
  <c r="O142" i="10"/>
  <c r="R142" i="10" s="1"/>
  <c r="N142" i="10"/>
  <c r="M142" i="10"/>
  <c r="L142" i="10"/>
  <c r="K142" i="10"/>
  <c r="J142" i="10"/>
  <c r="I142" i="10"/>
  <c r="H142" i="10"/>
  <c r="G142" i="10"/>
  <c r="F142" i="10"/>
  <c r="Q142" i="10" s="1"/>
  <c r="E142" i="10"/>
  <c r="D142" i="10"/>
  <c r="C142" i="10"/>
  <c r="B142" i="10"/>
  <c r="A142" i="10"/>
  <c r="Q141" i="10"/>
  <c r="R141" i="10" s="1"/>
  <c r="N141" i="10"/>
  <c r="M141" i="10"/>
  <c r="L141" i="10"/>
  <c r="K141" i="10"/>
  <c r="J141" i="10"/>
  <c r="O141" i="10" s="1"/>
  <c r="I141" i="10"/>
  <c r="H141" i="10"/>
  <c r="G141" i="10"/>
  <c r="F141" i="10"/>
  <c r="E141" i="10"/>
  <c r="P141" i="10" s="1"/>
  <c r="D141" i="10"/>
  <c r="C141" i="10"/>
  <c r="B141" i="10"/>
  <c r="A141" i="10"/>
  <c r="P140" i="10"/>
  <c r="N140" i="10"/>
  <c r="M140" i="10"/>
  <c r="L140" i="10"/>
  <c r="K140" i="10"/>
  <c r="J140" i="10"/>
  <c r="O140" i="10" s="1"/>
  <c r="R140" i="10" s="1"/>
  <c r="I140" i="10"/>
  <c r="H140" i="10"/>
  <c r="G140" i="10"/>
  <c r="F140" i="10"/>
  <c r="Q140" i="10" s="1"/>
  <c r="E140" i="10"/>
  <c r="D140" i="10"/>
  <c r="C140" i="10"/>
  <c r="B140" i="10"/>
  <c r="A140" i="10"/>
  <c r="P139" i="10"/>
  <c r="N139" i="10"/>
  <c r="M139" i="10"/>
  <c r="L139" i="10"/>
  <c r="K139" i="10"/>
  <c r="J139" i="10"/>
  <c r="O139" i="10" s="1"/>
  <c r="I139" i="10"/>
  <c r="H139" i="10"/>
  <c r="G139" i="10"/>
  <c r="F139" i="10"/>
  <c r="Q139" i="10" s="1"/>
  <c r="E139" i="10"/>
  <c r="D139" i="10"/>
  <c r="C139" i="10"/>
  <c r="B139" i="10"/>
  <c r="A139" i="10"/>
  <c r="P138" i="10"/>
  <c r="O138" i="10"/>
  <c r="R138" i="10" s="1"/>
  <c r="N138" i="10"/>
  <c r="M138" i="10"/>
  <c r="L138" i="10"/>
  <c r="K138" i="10"/>
  <c r="J138" i="10"/>
  <c r="I138" i="10"/>
  <c r="H138" i="10"/>
  <c r="G138" i="10"/>
  <c r="F138" i="10"/>
  <c r="Q138" i="10" s="1"/>
  <c r="E138" i="10"/>
  <c r="D138" i="10"/>
  <c r="C138" i="10"/>
  <c r="B138" i="10"/>
  <c r="A138" i="10"/>
  <c r="Q137" i="10"/>
  <c r="R137" i="10" s="1"/>
  <c r="N137" i="10"/>
  <c r="M137" i="10"/>
  <c r="L137" i="10"/>
  <c r="K137" i="10"/>
  <c r="J137" i="10"/>
  <c r="O137" i="10" s="1"/>
  <c r="I137" i="10"/>
  <c r="H137" i="10"/>
  <c r="G137" i="10"/>
  <c r="F137" i="10"/>
  <c r="E137" i="10"/>
  <c r="P137" i="10" s="1"/>
  <c r="D137" i="10"/>
  <c r="C137" i="10"/>
  <c r="B137" i="10"/>
  <c r="A137" i="10"/>
  <c r="P136" i="10"/>
  <c r="N136" i="10"/>
  <c r="M136" i="10"/>
  <c r="L136" i="10"/>
  <c r="K136" i="10"/>
  <c r="J136" i="10"/>
  <c r="O136" i="10" s="1"/>
  <c r="R136" i="10" s="1"/>
  <c r="I136" i="10"/>
  <c r="H136" i="10"/>
  <c r="G136" i="10"/>
  <c r="F136" i="10"/>
  <c r="Q136" i="10" s="1"/>
  <c r="E136" i="10"/>
  <c r="D136" i="10"/>
  <c r="C136" i="10"/>
  <c r="B136" i="10"/>
  <c r="A136" i="10"/>
  <c r="P135" i="10"/>
  <c r="N135" i="10"/>
  <c r="M135" i="10"/>
  <c r="L135" i="10"/>
  <c r="K135" i="10"/>
  <c r="J135" i="10"/>
  <c r="O135" i="10" s="1"/>
  <c r="I135" i="10"/>
  <c r="H135" i="10"/>
  <c r="G135" i="10"/>
  <c r="F135" i="10"/>
  <c r="Q135" i="10" s="1"/>
  <c r="E135" i="10"/>
  <c r="D135" i="10"/>
  <c r="C135" i="10"/>
  <c r="B135" i="10"/>
  <c r="A135" i="10"/>
  <c r="P134" i="10"/>
  <c r="O134" i="10"/>
  <c r="R134" i="10" s="1"/>
  <c r="N134" i="10"/>
  <c r="M134" i="10"/>
  <c r="L134" i="10"/>
  <c r="K134" i="10"/>
  <c r="J134" i="10"/>
  <c r="I134" i="10"/>
  <c r="H134" i="10"/>
  <c r="G134" i="10"/>
  <c r="F134" i="10"/>
  <c r="Q134" i="10" s="1"/>
  <c r="E134" i="10"/>
  <c r="D134" i="10"/>
  <c r="C134" i="10"/>
  <c r="B134" i="10"/>
  <c r="A134" i="10"/>
  <c r="Q133" i="10"/>
  <c r="R133" i="10" s="1"/>
  <c r="N133" i="10"/>
  <c r="M133" i="10"/>
  <c r="L133" i="10"/>
  <c r="K133" i="10"/>
  <c r="J133" i="10"/>
  <c r="O133" i="10" s="1"/>
  <c r="I133" i="10"/>
  <c r="H133" i="10"/>
  <c r="G133" i="10"/>
  <c r="F133" i="10"/>
  <c r="E133" i="10"/>
  <c r="P133" i="10" s="1"/>
  <c r="D133" i="10"/>
  <c r="C133" i="10"/>
  <c r="B133" i="10"/>
  <c r="A133" i="10"/>
  <c r="P132" i="10"/>
  <c r="N132" i="10"/>
  <c r="M132" i="10"/>
  <c r="L132" i="10"/>
  <c r="K132" i="10"/>
  <c r="J132" i="10"/>
  <c r="O132" i="10" s="1"/>
  <c r="R132" i="10" s="1"/>
  <c r="I132" i="10"/>
  <c r="H132" i="10"/>
  <c r="G132" i="10"/>
  <c r="F132" i="10"/>
  <c r="Q132" i="10" s="1"/>
  <c r="E132" i="10"/>
  <c r="D132" i="10"/>
  <c r="C132" i="10"/>
  <c r="B132" i="10"/>
  <c r="A132" i="10"/>
  <c r="P131" i="10"/>
  <c r="N131" i="10"/>
  <c r="M131" i="10"/>
  <c r="L131" i="10"/>
  <c r="K131" i="10"/>
  <c r="J131" i="10"/>
  <c r="O131" i="10" s="1"/>
  <c r="I131" i="10"/>
  <c r="H131" i="10"/>
  <c r="G131" i="10"/>
  <c r="F131" i="10"/>
  <c r="Q131" i="10" s="1"/>
  <c r="E131" i="10"/>
  <c r="D131" i="10"/>
  <c r="C131" i="10"/>
  <c r="B131" i="10"/>
  <c r="A131" i="10"/>
  <c r="P130" i="10"/>
  <c r="O130" i="10"/>
  <c r="R130" i="10" s="1"/>
  <c r="N130" i="10"/>
  <c r="M130" i="10"/>
  <c r="L130" i="10"/>
  <c r="K130" i="10"/>
  <c r="J130" i="10"/>
  <c r="I130" i="10"/>
  <c r="H130" i="10"/>
  <c r="G130" i="10"/>
  <c r="F130" i="10"/>
  <c r="Q130" i="10" s="1"/>
  <c r="E130" i="10"/>
  <c r="D130" i="10"/>
  <c r="C130" i="10"/>
  <c r="B130" i="10"/>
  <c r="A130" i="10"/>
  <c r="Q129" i="10"/>
  <c r="R129" i="10" s="1"/>
  <c r="N129" i="10"/>
  <c r="M129" i="10"/>
  <c r="L129" i="10"/>
  <c r="K129" i="10"/>
  <c r="J129" i="10"/>
  <c r="O129" i="10" s="1"/>
  <c r="I129" i="10"/>
  <c r="H129" i="10"/>
  <c r="G129" i="10"/>
  <c r="F129" i="10"/>
  <c r="E129" i="10"/>
  <c r="P129" i="10" s="1"/>
  <c r="D129" i="10"/>
  <c r="C129" i="10"/>
  <c r="B129" i="10"/>
  <c r="A129" i="10"/>
  <c r="P128" i="10"/>
  <c r="N128" i="10"/>
  <c r="M128" i="10"/>
  <c r="L128" i="10"/>
  <c r="K128" i="10"/>
  <c r="J128" i="10"/>
  <c r="O128" i="10" s="1"/>
  <c r="R128" i="10" s="1"/>
  <c r="I128" i="10"/>
  <c r="H128" i="10"/>
  <c r="G128" i="10"/>
  <c r="F128" i="10"/>
  <c r="Q128" i="10" s="1"/>
  <c r="E128" i="10"/>
  <c r="D128" i="10"/>
  <c r="C128" i="10"/>
  <c r="B128" i="10"/>
  <c r="A128" i="10"/>
  <c r="P127" i="10"/>
  <c r="N127" i="10"/>
  <c r="M127" i="10"/>
  <c r="L127" i="10"/>
  <c r="K127" i="10"/>
  <c r="J127" i="10"/>
  <c r="O127" i="10" s="1"/>
  <c r="I127" i="10"/>
  <c r="H127" i="10"/>
  <c r="G127" i="10"/>
  <c r="F127" i="10"/>
  <c r="Q127" i="10" s="1"/>
  <c r="E127" i="10"/>
  <c r="D127" i="10"/>
  <c r="C127" i="10"/>
  <c r="B127" i="10"/>
  <c r="A127" i="10"/>
  <c r="P126" i="10"/>
  <c r="O126" i="10"/>
  <c r="R126" i="10" s="1"/>
  <c r="N126" i="10"/>
  <c r="M126" i="10"/>
  <c r="L126" i="10"/>
  <c r="K126" i="10"/>
  <c r="J126" i="10"/>
  <c r="I126" i="10"/>
  <c r="H126" i="10"/>
  <c r="G126" i="10"/>
  <c r="F126" i="10"/>
  <c r="Q126" i="10" s="1"/>
  <c r="E126" i="10"/>
  <c r="D126" i="10"/>
  <c r="C126" i="10"/>
  <c r="B126" i="10"/>
  <c r="A126" i="10"/>
  <c r="Q125" i="10"/>
  <c r="R125" i="10" s="1"/>
  <c r="N125" i="10"/>
  <c r="M125" i="10"/>
  <c r="L125" i="10"/>
  <c r="K125" i="10"/>
  <c r="J125" i="10"/>
  <c r="O125" i="10" s="1"/>
  <c r="I125" i="10"/>
  <c r="H125" i="10"/>
  <c r="G125" i="10"/>
  <c r="F125" i="10"/>
  <c r="E125" i="10"/>
  <c r="P125" i="10" s="1"/>
  <c r="D125" i="10"/>
  <c r="C125" i="10"/>
  <c r="B125" i="10"/>
  <c r="A125" i="10"/>
  <c r="P124" i="10"/>
  <c r="N124" i="10"/>
  <c r="M124" i="10"/>
  <c r="L124" i="10"/>
  <c r="K124" i="10"/>
  <c r="J124" i="10"/>
  <c r="O124" i="10" s="1"/>
  <c r="R124" i="10" s="1"/>
  <c r="I124" i="10"/>
  <c r="H124" i="10"/>
  <c r="G124" i="10"/>
  <c r="F124" i="10"/>
  <c r="Q124" i="10" s="1"/>
  <c r="E124" i="10"/>
  <c r="D124" i="10"/>
  <c r="C124" i="10"/>
  <c r="B124" i="10"/>
  <c r="A124" i="10"/>
  <c r="P123" i="10"/>
  <c r="N123" i="10"/>
  <c r="M123" i="10"/>
  <c r="L123" i="10"/>
  <c r="K123" i="10"/>
  <c r="J123" i="10"/>
  <c r="O123" i="10" s="1"/>
  <c r="I123" i="10"/>
  <c r="H123" i="10"/>
  <c r="G123" i="10"/>
  <c r="F123" i="10"/>
  <c r="Q123" i="10" s="1"/>
  <c r="E123" i="10"/>
  <c r="D123" i="10"/>
  <c r="C123" i="10"/>
  <c r="B123" i="10"/>
  <c r="A123" i="10"/>
  <c r="P122" i="10"/>
  <c r="O122" i="10"/>
  <c r="R122" i="10" s="1"/>
  <c r="N122" i="10"/>
  <c r="M122" i="10"/>
  <c r="L122" i="10"/>
  <c r="K122" i="10"/>
  <c r="J122" i="10"/>
  <c r="I122" i="10"/>
  <c r="H122" i="10"/>
  <c r="G122" i="10"/>
  <c r="F122" i="10"/>
  <c r="Q122" i="10" s="1"/>
  <c r="E122" i="10"/>
  <c r="D122" i="10"/>
  <c r="C122" i="10"/>
  <c r="B122" i="10"/>
  <c r="A122" i="10"/>
  <c r="Q121" i="10"/>
  <c r="R121" i="10" s="1"/>
  <c r="N121" i="10"/>
  <c r="M121" i="10"/>
  <c r="L121" i="10"/>
  <c r="K121" i="10"/>
  <c r="J121" i="10"/>
  <c r="O121" i="10" s="1"/>
  <c r="I121" i="10"/>
  <c r="H121" i="10"/>
  <c r="G121" i="10"/>
  <c r="F121" i="10"/>
  <c r="E121" i="10"/>
  <c r="P121" i="10" s="1"/>
  <c r="D121" i="10"/>
  <c r="C121" i="10"/>
  <c r="B121" i="10"/>
  <c r="A121" i="10"/>
  <c r="P120" i="10"/>
  <c r="N120" i="10"/>
  <c r="M120" i="10"/>
  <c r="L120" i="10"/>
  <c r="K120" i="10"/>
  <c r="J120" i="10"/>
  <c r="O120" i="10" s="1"/>
  <c r="R120" i="10" s="1"/>
  <c r="I120" i="10"/>
  <c r="H120" i="10"/>
  <c r="G120" i="10"/>
  <c r="F120" i="10"/>
  <c r="Q120" i="10" s="1"/>
  <c r="E120" i="10"/>
  <c r="D120" i="10"/>
  <c r="C120" i="10"/>
  <c r="B120" i="10"/>
  <c r="A120" i="10"/>
  <c r="P119" i="10"/>
  <c r="N119" i="10"/>
  <c r="M119" i="10"/>
  <c r="L119" i="10"/>
  <c r="K119" i="10"/>
  <c r="J119" i="10"/>
  <c r="O119" i="10" s="1"/>
  <c r="I119" i="10"/>
  <c r="H119" i="10"/>
  <c r="G119" i="10"/>
  <c r="F119" i="10"/>
  <c r="Q119" i="10" s="1"/>
  <c r="E119" i="10"/>
  <c r="D119" i="10"/>
  <c r="C119" i="10"/>
  <c r="B119" i="10"/>
  <c r="A119" i="10"/>
  <c r="P118" i="10"/>
  <c r="O118" i="10"/>
  <c r="R118" i="10" s="1"/>
  <c r="N118" i="10"/>
  <c r="M118" i="10"/>
  <c r="L118" i="10"/>
  <c r="K118" i="10"/>
  <c r="J118" i="10"/>
  <c r="I118" i="10"/>
  <c r="H118" i="10"/>
  <c r="G118" i="10"/>
  <c r="F118" i="10"/>
  <c r="Q118" i="10" s="1"/>
  <c r="E118" i="10"/>
  <c r="D118" i="10"/>
  <c r="C118" i="10"/>
  <c r="B118" i="10"/>
  <c r="A118" i="10"/>
  <c r="Q117" i="10"/>
  <c r="R117" i="10" s="1"/>
  <c r="N117" i="10"/>
  <c r="M117" i="10"/>
  <c r="L117" i="10"/>
  <c r="K117" i="10"/>
  <c r="J117" i="10"/>
  <c r="O117" i="10" s="1"/>
  <c r="I117" i="10"/>
  <c r="H117" i="10"/>
  <c r="G117" i="10"/>
  <c r="F117" i="10"/>
  <c r="E117" i="10"/>
  <c r="P117" i="10" s="1"/>
  <c r="D117" i="10"/>
  <c r="C117" i="10"/>
  <c r="B117" i="10"/>
  <c r="A117" i="10"/>
  <c r="P116" i="10"/>
  <c r="N116" i="10"/>
  <c r="M116" i="10"/>
  <c r="L116" i="10"/>
  <c r="K116" i="10"/>
  <c r="J116" i="10"/>
  <c r="O116" i="10" s="1"/>
  <c r="R116" i="10" s="1"/>
  <c r="I116" i="10"/>
  <c r="H116" i="10"/>
  <c r="G116" i="10"/>
  <c r="F116" i="10"/>
  <c r="Q116" i="10" s="1"/>
  <c r="E116" i="10"/>
  <c r="D116" i="10"/>
  <c r="C116" i="10"/>
  <c r="B116" i="10"/>
  <c r="A116" i="10"/>
  <c r="P115" i="10"/>
  <c r="N115" i="10"/>
  <c r="M115" i="10"/>
  <c r="L115" i="10"/>
  <c r="K115" i="10"/>
  <c r="J115" i="10"/>
  <c r="O115" i="10" s="1"/>
  <c r="I115" i="10"/>
  <c r="H115" i="10"/>
  <c r="G115" i="10"/>
  <c r="F115" i="10"/>
  <c r="Q115" i="10" s="1"/>
  <c r="E115" i="10"/>
  <c r="D115" i="10"/>
  <c r="C115" i="10"/>
  <c r="B115" i="10"/>
  <c r="A115" i="10"/>
  <c r="P114" i="10"/>
  <c r="O114" i="10"/>
  <c r="R114" i="10" s="1"/>
  <c r="N114" i="10"/>
  <c r="M114" i="10"/>
  <c r="L114" i="10"/>
  <c r="K114" i="10"/>
  <c r="J114" i="10"/>
  <c r="I114" i="10"/>
  <c r="H114" i="10"/>
  <c r="G114" i="10"/>
  <c r="F114" i="10"/>
  <c r="Q114" i="10" s="1"/>
  <c r="E114" i="10"/>
  <c r="D114" i="10"/>
  <c r="C114" i="10"/>
  <c r="B114" i="10"/>
  <c r="A114" i="10"/>
  <c r="Q113" i="10"/>
  <c r="R113" i="10" s="1"/>
  <c r="N113" i="10"/>
  <c r="M113" i="10"/>
  <c r="L113" i="10"/>
  <c r="K113" i="10"/>
  <c r="J113" i="10"/>
  <c r="O113" i="10" s="1"/>
  <c r="I113" i="10"/>
  <c r="H113" i="10"/>
  <c r="G113" i="10"/>
  <c r="F113" i="10"/>
  <c r="E113" i="10"/>
  <c r="P113" i="10" s="1"/>
  <c r="D113" i="10"/>
  <c r="C113" i="10"/>
  <c r="B113" i="10"/>
  <c r="A113" i="10"/>
  <c r="P112" i="10"/>
  <c r="N112" i="10"/>
  <c r="M112" i="10"/>
  <c r="L112" i="10"/>
  <c r="K112" i="10"/>
  <c r="J112" i="10"/>
  <c r="O112" i="10" s="1"/>
  <c r="R112" i="10" s="1"/>
  <c r="I112" i="10"/>
  <c r="H112" i="10"/>
  <c r="G112" i="10"/>
  <c r="F112" i="10"/>
  <c r="Q112" i="10" s="1"/>
  <c r="E112" i="10"/>
  <c r="D112" i="10"/>
  <c r="C112" i="10"/>
  <c r="B112" i="10"/>
  <c r="A112" i="10"/>
  <c r="P111" i="10"/>
  <c r="N111" i="10"/>
  <c r="M111" i="10"/>
  <c r="L111" i="10"/>
  <c r="K111" i="10"/>
  <c r="J111" i="10"/>
  <c r="O111" i="10" s="1"/>
  <c r="I111" i="10"/>
  <c r="H111" i="10"/>
  <c r="G111" i="10"/>
  <c r="F111" i="10"/>
  <c r="Q111" i="10" s="1"/>
  <c r="E111" i="10"/>
  <c r="D111" i="10"/>
  <c r="C111" i="10"/>
  <c r="B111" i="10"/>
  <c r="A111" i="10"/>
  <c r="P110" i="10"/>
  <c r="O110" i="10"/>
  <c r="R110" i="10" s="1"/>
  <c r="N110" i="10"/>
  <c r="M110" i="10"/>
  <c r="L110" i="10"/>
  <c r="K110" i="10"/>
  <c r="J110" i="10"/>
  <c r="I110" i="10"/>
  <c r="H110" i="10"/>
  <c r="G110" i="10"/>
  <c r="F110" i="10"/>
  <c r="Q110" i="10" s="1"/>
  <c r="E110" i="10"/>
  <c r="D110" i="10"/>
  <c r="C110" i="10"/>
  <c r="B110" i="10"/>
  <c r="A110" i="10"/>
  <c r="Q109" i="10"/>
  <c r="R109" i="10" s="1"/>
  <c r="N109" i="10"/>
  <c r="M109" i="10"/>
  <c r="L109" i="10"/>
  <c r="K109" i="10"/>
  <c r="J109" i="10"/>
  <c r="O109" i="10" s="1"/>
  <c r="I109" i="10"/>
  <c r="H109" i="10"/>
  <c r="G109" i="10"/>
  <c r="F109" i="10"/>
  <c r="E109" i="10"/>
  <c r="P109" i="10" s="1"/>
  <c r="D109" i="10"/>
  <c r="C109" i="10"/>
  <c r="B109" i="10"/>
  <c r="A109" i="10"/>
  <c r="P108" i="10"/>
  <c r="N108" i="10"/>
  <c r="M108" i="10"/>
  <c r="L108" i="10"/>
  <c r="K108" i="10"/>
  <c r="J108" i="10"/>
  <c r="O108" i="10" s="1"/>
  <c r="R108" i="10" s="1"/>
  <c r="I108" i="10"/>
  <c r="H108" i="10"/>
  <c r="G108" i="10"/>
  <c r="F108" i="10"/>
  <c r="Q108" i="10" s="1"/>
  <c r="E108" i="10"/>
  <c r="D108" i="10"/>
  <c r="C108" i="10"/>
  <c r="B108" i="10"/>
  <c r="A108" i="10"/>
  <c r="P107" i="10"/>
  <c r="N107" i="10"/>
  <c r="M107" i="10"/>
  <c r="L107" i="10"/>
  <c r="K107" i="10"/>
  <c r="J107" i="10"/>
  <c r="O107" i="10" s="1"/>
  <c r="I107" i="10"/>
  <c r="H107" i="10"/>
  <c r="G107" i="10"/>
  <c r="F107" i="10"/>
  <c r="Q107" i="10" s="1"/>
  <c r="E107" i="10"/>
  <c r="D107" i="10"/>
  <c r="C107" i="10"/>
  <c r="B107" i="10"/>
  <c r="A107" i="10"/>
  <c r="P106" i="10"/>
  <c r="O106" i="10"/>
  <c r="R106" i="10" s="1"/>
  <c r="N106" i="10"/>
  <c r="M106" i="10"/>
  <c r="L106" i="10"/>
  <c r="K106" i="10"/>
  <c r="J106" i="10"/>
  <c r="I106" i="10"/>
  <c r="H106" i="10"/>
  <c r="G106" i="10"/>
  <c r="F106" i="10"/>
  <c r="Q106" i="10" s="1"/>
  <c r="E106" i="10"/>
  <c r="D106" i="10"/>
  <c r="C106" i="10"/>
  <c r="B106" i="10"/>
  <c r="A106" i="10"/>
  <c r="Q105" i="10"/>
  <c r="R105" i="10" s="1"/>
  <c r="N105" i="10"/>
  <c r="M105" i="10"/>
  <c r="L105" i="10"/>
  <c r="K105" i="10"/>
  <c r="J105" i="10"/>
  <c r="O105" i="10" s="1"/>
  <c r="I105" i="10"/>
  <c r="H105" i="10"/>
  <c r="G105" i="10"/>
  <c r="F105" i="10"/>
  <c r="E105" i="10"/>
  <c r="P105" i="10" s="1"/>
  <c r="D105" i="10"/>
  <c r="C105" i="10"/>
  <c r="B105" i="10"/>
  <c r="A105" i="10"/>
  <c r="P104" i="10"/>
  <c r="N104" i="10"/>
  <c r="M104" i="10"/>
  <c r="L104" i="10"/>
  <c r="K104" i="10"/>
  <c r="J104" i="10"/>
  <c r="O104" i="10" s="1"/>
  <c r="R104" i="10" s="1"/>
  <c r="I104" i="10"/>
  <c r="H104" i="10"/>
  <c r="G104" i="10"/>
  <c r="F104" i="10"/>
  <c r="Q104" i="10" s="1"/>
  <c r="E104" i="10"/>
  <c r="D104" i="10"/>
  <c r="C104" i="10"/>
  <c r="B104" i="10"/>
  <c r="A104" i="10"/>
  <c r="P103" i="10"/>
  <c r="N103" i="10"/>
  <c r="M103" i="10"/>
  <c r="L103" i="10"/>
  <c r="K103" i="10"/>
  <c r="J103" i="10"/>
  <c r="O103" i="10" s="1"/>
  <c r="I103" i="10"/>
  <c r="H103" i="10"/>
  <c r="G103" i="10"/>
  <c r="F103" i="10"/>
  <c r="Q103" i="10" s="1"/>
  <c r="E103" i="10"/>
  <c r="D103" i="10"/>
  <c r="C103" i="10"/>
  <c r="B103" i="10"/>
  <c r="A103" i="10"/>
  <c r="P102" i="10"/>
  <c r="O102" i="10"/>
  <c r="R102" i="10" s="1"/>
  <c r="N102" i="10"/>
  <c r="M102" i="10"/>
  <c r="L102" i="10"/>
  <c r="K102" i="10"/>
  <c r="J102" i="10"/>
  <c r="I102" i="10"/>
  <c r="H102" i="10"/>
  <c r="G102" i="10"/>
  <c r="F102" i="10"/>
  <c r="Q102" i="10" s="1"/>
  <c r="E102" i="10"/>
  <c r="D102" i="10"/>
  <c r="C102" i="10"/>
  <c r="B102" i="10"/>
  <c r="A102" i="10"/>
  <c r="Q101" i="10"/>
  <c r="R101" i="10" s="1"/>
  <c r="N101" i="10"/>
  <c r="M101" i="10"/>
  <c r="L101" i="10"/>
  <c r="K101" i="10"/>
  <c r="J101" i="10"/>
  <c r="O101" i="10" s="1"/>
  <c r="I101" i="10"/>
  <c r="H101" i="10"/>
  <c r="G101" i="10"/>
  <c r="F101" i="10"/>
  <c r="E101" i="10"/>
  <c r="P101" i="10" s="1"/>
  <c r="D101" i="10"/>
  <c r="C101" i="10"/>
  <c r="B101" i="10"/>
  <c r="A101" i="10"/>
  <c r="N100" i="10"/>
  <c r="M100" i="10"/>
  <c r="L100" i="10"/>
  <c r="K100" i="10"/>
  <c r="J100" i="10"/>
  <c r="O100" i="10" s="1"/>
  <c r="I100" i="10"/>
  <c r="H100" i="10"/>
  <c r="G100" i="10"/>
  <c r="F100" i="10"/>
  <c r="Q100" i="10" s="1"/>
  <c r="E100" i="10"/>
  <c r="P100" i="10" s="1"/>
  <c r="D100" i="10"/>
  <c r="C100" i="10"/>
  <c r="B100" i="10"/>
  <c r="A100" i="10"/>
  <c r="Q99" i="10"/>
  <c r="P99" i="10"/>
  <c r="O99" i="10"/>
  <c r="R99" i="10" s="1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N98" i="10"/>
  <c r="M98" i="10"/>
  <c r="L98" i="10"/>
  <c r="K98" i="10"/>
  <c r="J98" i="10"/>
  <c r="O98" i="10" s="1"/>
  <c r="I98" i="10"/>
  <c r="H98" i="10"/>
  <c r="G98" i="10"/>
  <c r="F98" i="10"/>
  <c r="Q98" i="10" s="1"/>
  <c r="E98" i="10"/>
  <c r="P98" i="10" s="1"/>
  <c r="D98" i="10"/>
  <c r="C98" i="10"/>
  <c r="B98" i="10"/>
  <c r="A98" i="10"/>
  <c r="Q97" i="10"/>
  <c r="P97" i="10"/>
  <c r="O97" i="10"/>
  <c r="R97" i="10" s="1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N96" i="10"/>
  <c r="M96" i="10"/>
  <c r="L96" i="10"/>
  <c r="K96" i="10"/>
  <c r="J96" i="10"/>
  <c r="O96" i="10" s="1"/>
  <c r="I96" i="10"/>
  <c r="H96" i="10"/>
  <c r="G96" i="10"/>
  <c r="F96" i="10"/>
  <c r="Q96" i="10" s="1"/>
  <c r="E96" i="10"/>
  <c r="P96" i="10" s="1"/>
  <c r="D96" i="10"/>
  <c r="C96" i="10"/>
  <c r="B96" i="10"/>
  <c r="A96" i="10"/>
  <c r="Q95" i="10"/>
  <c r="P95" i="10"/>
  <c r="O95" i="10"/>
  <c r="R95" i="10" s="1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N94" i="10"/>
  <c r="M94" i="10"/>
  <c r="L94" i="10"/>
  <c r="K94" i="10"/>
  <c r="J94" i="10"/>
  <c r="O94" i="10" s="1"/>
  <c r="I94" i="10"/>
  <c r="H94" i="10"/>
  <c r="G94" i="10"/>
  <c r="F94" i="10"/>
  <c r="Q94" i="10" s="1"/>
  <c r="E94" i="10"/>
  <c r="P94" i="10" s="1"/>
  <c r="D94" i="10"/>
  <c r="C94" i="10"/>
  <c r="B94" i="10"/>
  <c r="A94" i="10"/>
  <c r="Q93" i="10"/>
  <c r="P93" i="10"/>
  <c r="O93" i="10"/>
  <c r="R93" i="10" s="1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N92" i="10"/>
  <c r="M92" i="10"/>
  <c r="L92" i="10"/>
  <c r="K92" i="10"/>
  <c r="J92" i="10"/>
  <c r="O92" i="10" s="1"/>
  <c r="I92" i="10"/>
  <c r="H92" i="10"/>
  <c r="G92" i="10"/>
  <c r="F92" i="10"/>
  <c r="Q92" i="10" s="1"/>
  <c r="E92" i="10"/>
  <c r="P92" i="10" s="1"/>
  <c r="D92" i="10"/>
  <c r="C92" i="10"/>
  <c r="B92" i="10"/>
  <c r="A92" i="10"/>
  <c r="Q91" i="10"/>
  <c r="P91" i="10"/>
  <c r="O91" i="10"/>
  <c r="R91" i="10" s="1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N90" i="10"/>
  <c r="M90" i="10"/>
  <c r="L90" i="10"/>
  <c r="K90" i="10"/>
  <c r="J90" i="10"/>
  <c r="O90" i="10" s="1"/>
  <c r="I90" i="10"/>
  <c r="H90" i="10"/>
  <c r="G90" i="10"/>
  <c r="F90" i="10"/>
  <c r="Q90" i="10" s="1"/>
  <c r="E90" i="10"/>
  <c r="P90" i="10" s="1"/>
  <c r="D90" i="10"/>
  <c r="C90" i="10"/>
  <c r="B90" i="10"/>
  <c r="A90" i="10"/>
  <c r="Q89" i="10"/>
  <c r="P89" i="10"/>
  <c r="O89" i="10"/>
  <c r="R89" i="10" s="1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N88" i="10"/>
  <c r="M88" i="10"/>
  <c r="L88" i="10"/>
  <c r="K88" i="10"/>
  <c r="J88" i="10"/>
  <c r="O88" i="10" s="1"/>
  <c r="I88" i="10"/>
  <c r="H88" i="10"/>
  <c r="G88" i="10"/>
  <c r="F88" i="10"/>
  <c r="Q88" i="10" s="1"/>
  <c r="E88" i="10"/>
  <c r="P88" i="10" s="1"/>
  <c r="D88" i="10"/>
  <c r="C88" i="10"/>
  <c r="B88" i="10"/>
  <c r="A88" i="10"/>
  <c r="Q87" i="10"/>
  <c r="P87" i="10"/>
  <c r="O87" i="10"/>
  <c r="R87" i="10" s="1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N86" i="10"/>
  <c r="M86" i="10"/>
  <c r="L86" i="10"/>
  <c r="K86" i="10"/>
  <c r="J86" i="10"/>
  <c r="O86" i="10" s="1"/>
  <c r="I86" i="10"/>
  <c r="H86" i="10"/>
  <c r="G86" i="10"/>
  <c r="F86" i="10"/>
  <c r="Q86" i="10" s="1"/>
  <c r="E86" i="10"/>
  <c r="P86" i="10" s="1"/>
  <c r="D86" i="10"/>
  <c r="C86" i="10"/>
  <c r="B86" i="10"/>
  <c r="A86" i="10"/>
  <c r="Q85" i="10"/>
  <c r="P85" i="10"/>
  <c r="O85" i="10"/>
  <c r="R85" i="10" s="1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N84" i="10"/>
  <c r="M84" i="10"/>
  <c r="L84" i="10"/>
  <c r="K84" i="10"/>
  <c r="J84" i="10"/>
  <c r="O84" i="10" s="1"/>
  <c r="I84" i="10"/>
  <c r="H84" i="10"/>
  <c r="G84" i="10"/>
  <c r="F84" i="10"/>
  <c r="Q84" i="10" s="1"/>
  <c r="E84" i="10"/>
  <c r="P84" i="10" s="1"/>
  <c r="D84" i="10"/>
  <c r="C84" i="10"/>
  <c r="B84" i="10"/>
  <c r="A84" i="10"/>
  <c r="Q83" i="10"/>
  <c r="P83" i="10"/>
  <c r="O83" i="10"/>
  <c r="R83" i="10" s="1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N82" i="10"/>
  <c r="M82" i="10"/>
  <c r="L82" i="10"/>
  <c r="K82" i="10"/>
  <c r="J82" i="10"/>
  <c r="O82" i="10" s="1"/>
  <c r="I82" i="10"/>
  <c r="H82" i="10"/>
  <c r="G82" i="10"/>
  <c r="F82" i="10"/>
  <c r="Q82" i="10" s="1"/>
  <c r="E82" i="10"/>
  <c r="P82" i="10" s="1"/>
  <c r="D82" i="10"/>
  <c r="C82" i="10"/>
  <c r="B82" i="10"/>
  <c r="A82" i="10"/>
  <c r="Q81" i="10"/>
  <c r="P81" i="10"/>
  <c r="O81" i="10"/>
  <c r="R81" i="10" s="1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N80" i="10"/>
  <c r="M80" i="10"/>
  <c r="L80" i="10"/>
  <c r="K80" i="10"/>
  <c r="J80" i="10"/>
  <c r="O80" i="10" s="1"/>
  <c r="I80" i="10"/>
  <c r="H80" i="10"/>
  <c r="G80" i="10"/>
  <c r="F80" i="10"/>
  <c r="Q80" i="10" s="1"/>
  <c r="E80" i="10"/>
  <c r="P80" i="10" s="1"/>
  <c r="D80" i="10"/>
  <c r="C80" i="10"/>
  <c r="B80" i="10"/>
  <c r="A80" i="10"/>
  <c r="Q79" i="10"/>
  <c r="P79" i="10"/>
  <c r="O79" i="10"/>
  <c r="R79" i="10" s="1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N78" i="10"/>
  <c r="M78" i="10"/>
  <c r="L78" i="10"/>
  <c r="K78" i="10"/>
  <c r="J78" i="10"/>
  <c r="O78" i="10" s="1"/>
  <c r="I78" i="10"/>
  <c r="H78" i="10"/>
  <c r="G78" i="10"/>
  <c r="F78" i="10"/>
  <c r="Q78" i="10" s="1"/>
  <c r="E78" i="10"/>
  <c r="P78" i="10" s="1"/>
  <c r="D78" i="10"/>
  <c r="C78" i="10"/>
  <c r="B78" i="10"/>
  <c r="A78" i="10"/>
  <c r="Q77" i="10"/>
  <c r="P77" i="10"/>
  <c r="O77" i="10"/>
  <c r="R77" i="10" s="1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N76" i="10"/>
  <c r="M76" i="10"/>
  <c r="L76" i="10"/>
  <c r="K76" i="10"/>
  <c r="J76" i="10"/>
  <c r="O76" i="10" s="1"/>
  <c r="I76" i="10"/>
  <c r="H76" i="10"/>
  <c r="G76" i="10"/>
  <c r="F76" i="10"/>
  <c r="Q76" i="10" s="1"/>
  <c r="E76" i="10"/>
  <c r="P76" i="10" s="1"/>
  <c r="D76" i="10"/>
  <c r="C76" i="10"/>
  <c r="B76" i="10"/>
  <c r="A76" i="10"/>
  <c r="Q75" i="10"/>
  <c r="P75" i="10"/>
  <c r="O75" i="10"/>
  <c r="R75" i="10" s="1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N74" i="10"/>
  <c r="M74" i="10"/>
  <c r="L74" i="10"/>
  <c r="K74" i="10"/>
  <c r="J74" i="10"/>
  <c r="O74" i="10" s="1"/>
  <c r="I74" i="10"/>
  <c r="H74" i="10"/>
  <c r="G74" i="10"/>
  <c r="F74" i="10"/>
  <c r="Q74" i="10" s="1"/>
  <c r="E74" i="10"/>
  <c r="P74" i="10" s="1"/>
  <c r="D74" i="10"/>
  <c r="C74" i="10"/>
  <c r="B74" i="10"/>
  <c r="A74" i="10"/>
  <c r="Q73" i="10"/>
  <c r="P73" i="10"/>
  <c r="O73" i="10"/>
  <c r="R73" i="10" s="1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N72" i="10"/>
  <c r="M72" i="10"/>
  <c r="L72" i="10"/>
  <c r="K72" i="10"/>
  <c r="J72" i="10"/>
  <c r="O72" i="10" s="1"/>
  <c r="I72" i="10"/>
  <c r="H72" i="10"/>
  <c r="G72" i="10"/>
  <c r="F72" i="10"/>
  <c r="Q72" i="10" s="1"/>
  <c r="E72" i="10"/>
  <c r="P72" i="10" s="1"/>
  <c r="D72" i="10"/>
  <c r="C72" i="10"/>
  <c r="B72" i="10"/>
  <c r="A72" i="10"/>
  <c r="Q71" i="10"/>
  <c r="P71" i="10"/>
  <c r="O71" i="10"/>
  <c r="R71" i="10" s="1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N70" i="10"/>
  <c r="M70" i="10"/>
  <c r="L70" i="10"/>
  <c r="K70" i="10"/>
  <c r="J70" i="10"/>
  <c r="O70" i="10" s="1"/>
  <c r="I70" i="10"/>
  <c r="H70" i="10"/>
  <c r="G70" i="10"/>
  <c r="F70" i="10"/>
  <c r="Q70" i="10" s="1"/>
  <c r="E70" i="10"/>
  <c r="P70" i="10" s="1"/>
  <c r="D70" i="10"/>
  <c r="C70" i="10"/>
  <c r="B70" i="10"/>
  <c r="A70" i="10"/>
  <c r="Q69" i="10"/>
  <c r="P69" i="10"/>
  <c r="O69" i="10"/>
  <c r="R69" i="10" s="1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N68" i="10"/>
  <c r="M68" i="10"/>
  <c r="L68" i="10"/>
  <c r="K68" i="10"/>
  <c r="J68" i="10"/>
  <c r="O68" i="10" s="1"/>
  <c r="I68" i="10"/>
  <c r="H68" i="10"/>
  <c r="G68" i="10"/>
  <c r="F68" i="10"/>
  <c r="Q68" i="10" s="1"/>
  <c r="E68" i="10"/>
  <c r="P68" i="10" s="1"/>
  <c r="D68" i="10"/>
  <c r="C68" i="10"/>
  <c r="B68" i="10"/>
  <c r="A68" i="10"/>
  <c r="Q67" i="10"/>
  <c r="P67" i="10"/>
  <c r="O67" i="10"/>
  <c r="R67" i="10" s="1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N66" i="10"/>
  <c r="M66" i="10"/>
  <c r="L66" i="10"/>
  <c r="K66" i="10"/>
  <c r="J66" i="10"/>
  <c r="O66" i="10" s="1"/>
  <c r="I66" i="10"/>
  <c r="H66" i="10"/>
  <c r="G66" i="10"/>
  <c r="F66" i="10"/>
  <c r="Q66" i="10" s="1"/>
  <c r="E66" i="10"/>
  <c r="P66" i="10" s="1"/>
  <c r="D66" i="10"/>
  <c r="C66" i="10"/>
  <c r="B66" i="10"/>
  <c r="A66" i="10"/>
  <c r="Q65" i="10"/>
  <c r="P65" i="10"/>
  <c r="O65" i="10"/>
  <c r="R65" i="10" s="1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N64" i="10"/>
  <c r="M64" i="10"/>
  <c r="L64" i="10"/>
  <c r="K64" i="10"/>
  <c r="J64" i="10"/>
  <c r="O64" i="10" s="1"/>
  <c r="I64" i="10"/>
  <c r="H64" i="10"/>
  <c r="G64" i="10"/>
  <c r="F64" i="10"/>
  <c r="Q64" i="10" s="1"/>
  <c r="E64" i="10"/>
  <c r="P64" i="10" s="1"/>
  <c r="D64" i="10"/>
  <c r="C64" i="10"/>
  <c r="B64" i="10"/>
  <c r="A64" i="10"/>
  <c r="Q63" i="10"/>
  <c r="P63" i="10"/>
  <c r="O63" i="10"/>
  <c r="R63" i="10" s="1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N62" i="10"/>
  <c r="M62" i="10"/>
  <c r="L62" i="10"/>
  <c r="K62" i="10"/>
  <c r="J62" i="10"/>
  <c r="O62" i="10" s="1"/>
  <c r="I62" i="10"/>
  <c r="H62" i="10"/>
  <c r="G62" i="10"/>
  <c r="F62" i="10"/>
  <c r="Q62" i="10" s="1"/>
  <c r="E62" i="10"/>
  <c r="P62" i="10" s="1"/>
  <c r="D62" i="10"/>
  <c r="C62" i="10"/>
  <c r="B62" i="10"/>
  <c r="A62" i="10"/>
  <c r="Q61" i="10"/>
  <c r="P61" i="10"/>
  <c r="O61" i="10"/>
  <c r="R61" i="10" s="1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N60" i="10"/>
  <c r="M60" i="10"/>
  <c r="L60" i="10"/>
  <c r="K60" i="10"/>
  <c r="J60" i="10"/>
  <c r="O60" i="10" s="1"/>
  <c r="I60" i="10"/>
  <c r="H60" i="10"/>
  <c r="G60" i="10"/>
  <c r="F60" i="10"/>
  <c r="Q60" i="10" s="1"/>
  <c r="E60" i="10"/>
  <c r="P60" i="10" s="1"/>
  <c r="D60" i="10"/>
  <c r="C60" i="10"/>
  <c r="B60" i="10"/>
  <c r="A60" i="10"/>
  <c r="Q59" i="10"/>
  <c r="P59" i="10"/>
  <c r="O59" i="10"/>
  <c r="R59" i="10" s="1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N58" i="10"/>
  <c r="M58" i="10"/>
  <c r="L58" i="10"/>
  <c r="K58" i="10"/>
  <c r="J58" i="10"/>
  <c r="O58" i="10" s="1"/>
  <c r="I58" i="10"/>
  <c r="H58" i="10"/>
  <c r="G58" i="10"/>
  <c r="F58" i="10"/>
  <c r="Q58" i="10" s="1"/>
  <c r="E58" i="10"/>
  <c r="P58" i="10" s="1"/>
  <c r="D58" i="10"/>
  <c r="C58" i="10"/>
  <c r="B58" i="10"/>
  <c r="A58" i="10"/>
  <c r="Q57" i="10"/>
  <c r="P57" i="10"/>
  <c r="O57" i="10"/>
  <c r="R57" i="10" s="1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N56" i="10"/>
  <c r="M56" i="10"/>
  <c r="L56" i="10"/>
  <c r="K56" i="10"/>
  <c r="J56" i="10"/>
  <c r="O56" i="10" s="1"/>
  <c r="I56" i="10"/>
  <c r="H56" i="10"/>
  <c r="G56" i="10"/>
  <c r="F56" i="10"/>
  <c r="Q56" i="10" s="1"/>
  <c r="E56" i="10"/>
  <c r="P56" i="10" s="1"/>
  <c r="D56" i="10"/>
  <c r="C56" i="10"/>
  <c r="B56" i="10"/>
  <c r="A56" i="10"/>
  <c r="Q55" i="10"/>
  <c r="P55" i="10"/>
  <c r="O55" i="10"/>
  <c r="R55" i="10" s="1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N54" i="10"/>
  <c r="M54" i="10"/>
  <c r="L54" i="10"/>
  <c r="K54" i="10"/>
  <c r="J54" i="10"/>
  <c r="O54" i="10" s="1"/>
  <c r="I54" i="10"/>
  <c r="H54" i="10"/>
  <c r="G54" i="10"/>
  <c r="F54" i="10"/>
  <c r="Q54" i="10" s="1"/>
  <c r="E54" i="10"/>
  <c r="P54" i="10" s="1"/>
  <c r="D54" i="10"/>
  <c r="C54" i="10"/>
  <c r="B54" i="10"/>
  <c r="A54" i="10"/>
  <c r="Q53" i="10"/>
  <c r="P53" i="10"/>
  <c r="O53" i="10"/>
  <c r="R53" i="10" s="1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N52" i="10"/>
  <c r="M52" i="10"/>
  <c r="L52" i="10"/>
  <c r="K52" i="10"/>
  <c r="J52" i="10"/>
  <c r="O52" i="10" s="1"/>
  <c r="I52" i="10"/>
  <c r="H52" i="10"/>
  <c r="G52" i="10"/>
  <c r="F52" i="10"/>
  <c r="Q52" i="10" s="1"/>
  <c r="E52" i="10"/>
  <c r="P52" i="10" s="1"/>
  <c r="D52" i="10"/>
  <c r="C52" i="10"/>
  <c r="B52" i="10"/>
  <c r="A52" i="10"/>
  <c r="Q51" i="10"/>
  <c r="P51" i="10"/>
  <c r="O51" i="10"/>
  <c r="R51" i="10" s="1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N50" i="10"/>
  <c r="M50" i="10"/>
  <c r="L50" i="10"/>
  <c r="K50" i="10"/>
  <c r="J50" i="10"/>
  <c r="O50" i="10" s="1"/>
  <c r="I50" i="10"/>
  <c r="H50" i="10"/>
  <c r="G50" i="10"/>
  <c r="F50" i="10"/>
  <c r="Q50" i="10" s="1"/>
  <c r="E50" i="10"/>
  <c r="P50" i="10" s="1"/>
  <c r="D50" i="10"/>
  <c r="C50" i="10"/>
  <c r="B50" i="10"/>
  <c r="A50" i="10"/>
  <c r="Q49" i="10"/>
  <c r="P49" i="10"/>
  <c r="O49" i="10"/>
  <c r="R49" i="10" s="1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N48" i="10"/>
  <c r="M48" i="10"/>
  <c r="L48" i="10"/>
  <c r="K48" i="10"/>
  <c r="J48" i="10"/>
  <c r="O48" i="10" s="1"/>
  <c r="I48" i="10"/>
  <c r="H48" i="10"/>
  <c r="G48" i="10"/>
  <c r="F48" i="10"/>
  <c r="Q48" i="10" s="1"/>
  <c r="E48" i="10"/>
  <c r="P48" i="10" s="1"/>
  <c r="D48" i="10"/>
  <c r="C48" i="10"/>
  <c r="B48" i="10"/>
  <c r="A48" i="10"/>
  <c r="Q47" i="10"/>
  <c r="P47" i="10"/>
  <c r="O47" i="10"/>
  <c r="R47" i="10" s="1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N46" i="10"/>
  <c r="M46" i="10"/>
  <c r="L46" i="10"/>
  <c r="K46" i="10"/>
  <c r="J46" i="10"/>
  <c r="O46" i="10" s="1"/>
  <c r="I46" i="10"/>
  <c r="H46" i="10"/>
  <c r="G46" i="10"/>
  <c r="F46" i="10"/>
  <c r="Q46" i="10" s="1"/>
  <c r="E46" i="10"/>
  <c r="P46" i="10" s="1"/>
  <c r="D46" i="10"/>
  <c r="C46" i="10"/>
  <c r="B46" i="10"/>
  <c r="A46" i="10"/>
  <c r="Q45" i="10"/>
  <c r="P45" i="10"/>
  <c r="O45" i="10"/>
  <c r="R45" i="10" s="1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N44" i="10"/>
  <c r="M44" i="10"/>
  <c r="L44" i="10"/>
  <c r="K44" i="10"/>
  <c r="J44" i="10"/>
  <c r="O44" i="10" s="1"/>
  <c r="I44" i="10"/>
  <c r="H44" i="10"/>
  <c r="G44" i="10"/>
  <c r="F44" i="10"/>
  <c r="Q44" i="10" s="1"/>
  <c r="E44" i="10"/>
  <c r="P44" i="10" s="1"/>
  <c r="D44" i="10"/>
  <c r="C44" i="10"/>
  <c r="B44" i="10"/>
  <c r="A44" i="10"/>
  <c r="Q43" i="10"/>
  <c r="P43" i="10"/>
  <c r="O43" i="10"/>
  <c r="R43" i="10" s="1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N42" i="10"/>
  <c r="M42" i="10"/>
  <c r="L42" i="10"/>
  <c r="K42" i="10"/>
  <c r="J42" i="10"/>
  <c r="O42" i="10" s="1"/>
  <c r="I42" i="10"/>
  <c r="H42" i="10"/>
  <c r="G42" i="10"/>
  <c r="F42" i="10"/>
  <c r="Q42" i="10" s="1"/>
  <c r="E42" i="10"/>
  <c r="P42" i="10" s="1"/>
  <c r="D42" i="10"/>
  <c r="C42" i="10"/>
  <c r="B42" i="10"/>
  <c r="A42" i="10"/>
  <c r="Q41" i="10"/>
  <c r="P41" i="10"/>
  <c r="O41" i="10"/>
  <c r="R41" i="10" s="1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N40" i="10"/>
  <c r="M40" i="10"/>
  <c r="L40" i="10"/>
  <c r="K40" i="10"/>
  <c r="J40" i="10"/>
  <c r="O40" i="10" s="1"/>
  <c r="I40" i="10"/>
  <c r="H40" i="10"/>
  <c r="G40" i="10"/>
  <c r="F40" i="10"/>
  <c r="Q40" i="10" s="1"/>
  <c r="E40" i="10"/>
  <c r="P40" i="10" s="1"/>
  <c r="D40" i="10"/>
  <c r="C40" i="10"/>
  <c r="B40" i="10"/>
  <c r="A40" i="10"/>
  <c r="Q39" i="10"/>
  <c r="P39" i="10"/>
  <c r="O39" i="10"/>
  <c r="R39" i="10" s="1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N38" i="10"/>
  <c r="M38" i="10"/>
  <c r="L38" i="10"/>
  <c r="K38" i="10"/>
  <c r="J38" i="10"/>
  <c r="O38" i="10" s="1"/>
  <c r="I38" i="10"/>
  <c r="H38" i="10"/>
  <c r="G38" i="10"/>
  <c r="F38" i="10"/>
  <c r="Q38" i="10" s="1"/>
  <c r="E38" i="10"/>
  <c r="P38" i="10" s="1"/>
  <c r="D38" i="10"/>
  <c r="C38" i="10"/>
  <c r="B38" i="10"/>
  <c r="A38" i="10"/>
  <c r="Q37" i="10"/>
  <c r="P37" i="10"/>
  <c r="O37" i="10"/>
  <c r="R37" i="10" s="1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N36" i="10"/>
  <c r="M36" i="10"/>
  <c r="L36" i="10"/>
  <c r="K36" i="10"/>
  <c r="J36" i="10"/>
  <c r="O36" i="10" s="1"/>
  <c r="I36" i="10"/>
  <c r="H36" i="10"/>
  <c r="G36" i="10"/>
  <c r="F36" i="10"/>
  <c r="Q36" i="10" s="1"/>
  <c r="E36" i="10"/>
  <c r="P36" i="10" s="1"/>
  <c r="D36" i="10"/>
  <c r="C36" i="10"/>
  <c r="B36" i="10"/>
  <c r="A36" i="10"/>
  <c r="Q35" i="10"/>
  <c r="P35" i="10"/>
  <c r="O35" i="10"/>
  <c r="R35" i="10" s="1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N34" i="10"/>
  <c r="M34" i="10"/>
  <c r="L34" i="10"/>
  <c r="K34" i="10"/>
  <c r="J34" i="10"/>
  <c r="O34" i="10" s="1"/>
  <c r="I34" i="10"/>
  <c r="H34" i="10"/>
  <c r="G34" i="10"/>
  <c r="F34" i="10"/>
  <c r="Q34" i="10" s="1"/>
  <c r="E34" i="10"/>
  <c r="P34" i="10" s="1"/>
  <c r="D34" i="10"/>
  <c r="C34" i="10"/>
  <c r="B34" i="10"/>
  <c r="A34" i="10"/>
  <c r="Q33" i="10"/>
  <c r="P33" i="10"/>
  <c r="O33" i="10"/>
  <c r="R33" i="10" s="1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N32" i="10"/>
  <c r="M32" i="10"/>
  <c r="L32" i="10"/>
  <c r="K32" i="10"/>
  <c r="J32" i="10"/>
  <c r="O32" i="10" s="1"/>
  <c r="I32" i="10"/>
  <c r="H32" i="10"/>
  <c r="G32" i="10"/>
  <c r="F32" i="10"/>
  <c r="Q32" i="10" s="1"/>
  <c r="E32" i="10"/>
  <c r="P32" i="10" s="1"/>
  <c r="D32" i="10"/>
  <c r="C32" i="10"/>
  <c r="B32" i="10"/>
  <c r="A32" i="10"/>
  <c r="Q31" i="10"/>
  <c r="P31" i="10"/>
  <c r="O31" i="10"/>
  <c r="R31" i="10" s="1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N30" i="10"/>
  <c r="M30" i="10"/>
  <c r="L30" i="10"/>
  <c r="K30" i="10"/>
  <c r="J30" i="10"/>
  <c r="O30" i="10" s="1"/>
  <c r="I30" i="10"/>
  <c r="H30" i="10"/>
  <c r="G30" i="10"/>
  <c r="F30" i="10"/>
  <c r="Q30" i="10" s="1"/>
  <c r="E30" i="10"/>
  <c r="P30" i="10" s="1"/>
  <c r="D30" i="10"/>
  <c r="C30" i="10"/>
  <c r="B30" i="10"/>
  <c r="A30" i="10"/>
  <c r="Q29" i="10"/>
  <c r="P29" i="10"/>
  <c r="O29" i="10"/>
  <c r="R29" i="10" s="1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N28" i="10"/>
  <c r="M28" i="10"/>
  <c r="L28" i="10"/>
  <c r="K28" i="10"/>
  <c r="J28" i="10"/>
  <c r="O28" i="10" s="1"/>
  <c r="I28" i="10"/>
  <c r="H28" i="10"/>
  <c r="G28" i="10"/>
  <c r="F28" i="10"/>
  <c r="Q28" i="10" s="1"/>
  <c r="E28" i="10"/>
  <c r="P28" i="10" s="1"/>
  <c r="D28" i="10"/>
  <c r="C28" i="10"/>
  <c r="B28" i="10"/>
  <c r="A28" i="10"/>
  <c r="Q27" i="10"/>
  <c r="P27" i="10"/>
  <c r="O27" i="10"/>
  <c r="R27" i="10" s="1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N26" i="10"/>
  <c r="M26" i="10"/>
  <c r="L26" i="10"/>
  <c r="K26" i="10"/>
  <c r="J26" i="10"/>
  <c r="O26" i="10" s="1"/>
  <c r="I26" i="10"/>
  <c r="H26" i="10"/>
  <c r="G26" i="10"/>
  <c r="F26" i="10"/>
  <c r="Q26" i="10" s="1"/>
  <c r="E26" i="10"/>
  <c r="P26" i="10" s="1"/>
  <c r="D26" i="10"/>
  <c r="C26" i="10"/>
  <c r="B26" i="10"/>
  <c r="A26" i="10"/>
  <c r="Q25" i="10"/>
  <c r="P25" i="10"/>
  <c r="O25" i="10"/>
  <c r="R25" i="10" s="1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N24" i="10"/>
  <c r="M24" i="10"/>
  <c r="L24" i="10"/>
  <c r="K24" i="10"/>
  <c r="J24" i="10"/>
  <c r="O24" i="10" s="1"/>
  <c r="I24" i="10"/>
  <c r="H24" i="10"/>
  <c r="G24" i="10"/>
  <c r="F24" i="10"/>
  <c r="Q24" i="10" s="1"/>
  <c r="E24" i="10"/>
  <c r="P24" i="10" s="1"/>
  <c r="D24" i="10"/>
  <c r="C24" i="10"/>
  <c r="B24" i="10"/>
  <c r="A24" i="10"/>
  <c r="Q23" i="10"/>
  <c r="P23" i="10"/>
  <c r="O23" i="10"/>
  <c r="R23" i="10" s="1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N22" i="10"/>
  <c r="M22" i="10"/>
  <c r="L22" i="10"/>
  <c r="K22" i="10"/>
  <c r="J22" i="10"/>
  <c r="O22" i="10" s="1"/>
  <c r="I22" i="10"/>
  <c r="H22" i="10"/>
  <c r="G22" i="10"/>
  <c r="F22" i="10"/>
  <c r="Q22" i="10" s="1"/>
  <c r="E22" i="10"/>
  <c r="P22" i="10" s="1"/>
  <c r="D22" i="10"/>
  <c r="C22" i="10"/>
  <c r="B22" i="10"/>
  <c r="A22" i="10"/>
  <c r="Q21" i="10"/>
  <c r="P21" i="10"/>
  <c r="O21" i="10"/>
  <c r="R21" i="10" s="1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N20" i="10"/>
  <c r="M20" i="10"/>
  <c r="L20" i="10"/>
  <c r="K20" i="10"/>
  <c r="J20" i="10"/>
  <c r="O20" i="10" s="1"/>
  <c r="I20" i="10"/>
  <c r="H20" i="10"/>
  <c r="G20" i="10"/>
  <c r="F20" i="10"/>
  <c r="Q20" i="10" s="1"/>
  <c r="E20" i="10"/>
  <c r="P20" i="10" s="1"/>
  <c r="D20" i="10"/>
  <c r="C20" i="10"/>
  <c r="B20" i="10"/>
  <c r="A20" i="10"/>
  <c r="Q19" i="10"/>
  <c r="P19" i="10"/>
  <c r="O19" i="10"/>
  <c r="R19" i="10" s="1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N18" i="10"/>
  <c r="M18" i="10"/>
  <c r="L18" i="10"/>
  <c r="K18" i="10"/>
  <c r="J18" i="10"/>
  <c r="O18" i="10" s="1"/>
  <c r="I18" i="10"/>
  <c r="H18" i="10"/>
  <c r="G18" i="10"/>
  <c r="F18" i="10"/>
  <c r="Q18" i="10" s="1"/>
  <c r="E18" i="10"/>
  <c r="P18" i="10" s="1"/>
  <c r="D18" i="10"/>
  <c r="C18" i="10"/>
  <c r="B18" i="10"/>
  <c r="A18" i="10"/>
  <c r="Q17" i="10"/>
  <c r="P17" i="10"/>
  <c r="O17" i="10"/>
  <c r="R17" i="10" s="1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N16" i="10"/>
  <c r="M16" i="10"/>
  <c r="L16" i="10"/>
  <c r="K16" i="10"/>
  <c r="J16" i="10"/>
  <c r="O16" i="10" s="1"/>
  <c r="I16" i="10"/>
  <c r="H16" i="10"/>
  <c r="G16" i="10"/>
  <c r="F16" i="10"/>
  <c r="Q16" i="10" s="1"/>
  <c r="E16" i="10"/>
  <c r="P16" i="10" s="1"/>
  <c r="D16" i="10"/>
  <c r="C16" i="10"/>
  <c r="B16" i="10"/>
  <c r="A16" i="10"/>
  <c r="Q15" i="10"/>
  <c r="P15" i="10"/>
  <c r="O15" i="10"/>
  <c r="R15" i="10" s="1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N14" i="10"/>
  <c r="M14" i="10"/>
  <c r="L14" i="10"/>
  <c r="K14" i="10"/>
  <c r="J14" i="10"/>
  <c r="O14" i="10" s="1"/>
  <c r="I14" i="10"/>
  <c r="H14" i="10"/>
  <c r="G14" i="10"/>
  <c r="F14" i="10"/>
  <c r="Q14" i="10" s="1"/>
  <c r="E14" i="10"/>
  <c r="P14" i="10" s="1"/>
  <c r="D14" i="10"/>
  <c r="C14" i="10"/>
  <c r="B14" i="10"/>
  <c r="A14" i="10"/>
  <c r="Q13" i="10"/>
  <c r="P13" i="10"/>
  <c r="O13" i="10"/>
  <c r="R13" i="10" s="1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N12" i="10"/>
  <c r="M12" i="10"/>
  <c r="L12" i="10"/>
  <c r="K12" i="10"/>
  <c r="J12" i="10"/>
  <c r="O12" i="10" s="1"/>
  <c r="I12" i="10"/>
  <c r="H12" i="10"/>
  <c r="G12" i="10"/>
  <c r="F12" i="10"/>
  <c r="Q12" i="10" s="1"/>
  <c r="E12" i="10"/>
  <c r="P12" i="10" s="1"/>
  <c r="D12" i="10"/>
  <c r="C12" i="10"/>
  <c r="B12" i="10"/>
  <c r="A12" i="10"/>
  <c r="Q11" i="10"/>
  <c r="P11" i="10"/>
  <c r="O11" i="10"/>
  <c r="R11" i="10" s="1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N10" i="10"/>
  <c r="M10" i="10"/>
  <c r="L10" i="10"/>
  <c r="K10" i="10"/>
  <c r="J10" i="10"/>
  <c r="O10" i="10" s="1"/>
  <c r="I10" i="10"/>
  <c r="H10" i="10"/>
  <c r="G10" i="10"/>
  <c r="F10" i="10"/>
  <c r="Q10" i="10" s="1"/>
  <c r="E10" i="10"/>
  <c r="P10" i="10" s="1"/>
  <c r="D10" i="10"/>
  <c r="C10" i="10"/>
  <c r="B10" i="10"/>
  <c r="A10" i="10"/>
  <c r="Q9" i="10"/>
  <c r="P9" i="10"/>
  <c r="O9" i="10"/>
  <c r="R9" i="10" s="1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N8" i="10"/>
  <c r="M8" i="10"/>
  <c r="L8" i="10"/>
  <c r="K8" i="10"/>
  <c r="J8" i="10"/>
  <c r="O8" i="10" s="1"/>
  <c r="I8" i="10"/>
  <c r="H8" i="10"/>
  <c r="G8" i="10"/>
  <c r="F8" i="10"/>
  <c r="Q8" i="10" s="1"/>
  <c r="E8" i="10"/>
  <c r="P8" i="10" s="1"/>
  <c r="D8" i="10"/>
  <c r="C8" i="10"/>
  <c r="B8" i="10"/>
  <c r="A8" i="10"/>
  <c r="Q7" i="10"/>
  <c r="P7" i="10"/>
  <c r="O7" i="10"/>
  <c r="R7" i="10" s="1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N6" i="10"/>
  <c r="M6" i="10"/>
  <c r="L6" i="10"/>
  <c r="K6" i="10"/>
  <c r="J6" i="10"/>
  <c r="O6" i="10" s="1"/>
  <c r="I6" i="10"/>
  <c r="H6" i="10"/>
  <c r="G6" i="10"/>
  <c r="F6" i="10"/>
  <c r="Q6" i="10" s="1"/>
  <c r="E6" i="10"/>
  <c r="P6" i="10" s="1"/>
  <c r="D6" i="10"/>
  <c r="C6" i="10"/>
  <c r="B6" i="10"/>
  <c r="A6" i="10"/>
  <c r="Q5" i="10"/>
  <c r="P5" i="10"/>
  <c r="O5" i="10"/>
  <c r="R5" i="10" s="1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N4" i="10"/>
  <c r="M4" i="10"/>
  <c r="L4" i="10"/>
  <c r="K4" i="10"/>
  <c r="J4" i="10"/>
  <c r="O4" i="10" s="1"/>
  <c r="I4" i="10"/>
  <c r="H4" i="10"/>
  <c r="G4" i="10"/>
  <c r="F4" i="10"/>
  <c r="Q4" i="10" s="1"/>
  <c r="E4" i="10"/>
  <c r="P4" i="10" s="1"/>
  <c r="D4" i="10"/>
  <c r="C4" i="10"/>
  <c r="B4" i="10"/>
  <c r="A4" i="10"/>
  <c r="Q3" i="10"/>
  <c r="P3" i="10"/>
  <c r="O3" i="10"/>
  <c r="R3" i="10" s="1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N2" i="10"/>
  <c r="M2" i="10"/>
  <c r="L2" i="10"/>
  <c r="K2" i="10"/>
  <c r="J2" i="10"/>
  <c r="O2" i="10" s="1"/>
  <c r="I2" i="10"/>
  <c r="H2" i="10"/>
  <c r="G2" i="10"/>
  <c r="F2" i="10"/>
  <c r="E2" i="10"/>
  <c r="P2" i="10" s="1"/>
  <c r="D2" i="10"/>
  <c r="C2" i="10"/>
  <c r="B2" i="10"/>
  <c r="A2" i="10"/>
  <c r="R107" i="10" l="1"/>
  <c r="R139" i="10"/>
  <c r="R111" i="10"/>
  <c r="R127" i="10"/>
  <c r="R143" i="10"/>
  <c r="R159" i="10"/>
  <c r="R8" i="10"/>
  <c r="R16" i="10"/>
  <c r="R32" i="10"/>
  <c r="R56" i="10"/>
  <c r="R64" i="10"/>
  <c r="R123" i="10"/>
  <c r="R171" i="10"/>
  <c r="R14" i="10"/>
  <c r="R22" i="10"/>
  <c r="R38" i="10"/>
  <c r="R46" i="10"/>
  <c r="R86" i="10"/>
  <c r="R94" i="10"/>
  <c r="R4" i="10"/>
  <c r="R12" i="10"/>
  <c r="R20" i="10"/>
  <c r="R28" i="10"/>
  <c r="R36" i="10"/>
  <c r="R44" i="10"/>
  <c r="R52" i="10"/>
  <c r="R60" i="10"/>
  <c r="R68" i="10"/>
  <c r="R76" i="10"/>
  <c r="R84" i="10"/>
  <c r="R92" i="10"/>
  <c r="R100" i="10"/>
  <c r="R115" i="10"/>
  <c r="R131" i="10"/>
  <c r="R147" i="10"/>
  <c r="R163" i="10"/>
  <c r="R24" i="10"/>
  <c r="R40" i="10"/>
  <c r="R48" i="10"/>
  <c r="R72" i="10"/>
  <c r="R80" i="10"/>
  <c r="R88" i="10"/>
  <c r="R96" i="10"/>
  <c r="R155" i="10"/>
  <c r="R6" i="10"/>
  <c r="R30" i="10"/>
  <c r="R54" i="10"/>
  <c r="R62" i="10"/>
  <c r="E17" i="11" s="1"/>
  <c r="R70" i="10"/>
  <c r="R78" i="10"/>
  <c r="R10" i="10"/>
  <c r="E20" i="11" s="1"/>
  <c r="R18" i="10"/>
  <c r="R26" i="10"/>
  <c r="R34" i="10"/>
  <c r="R42" i="10"/>
  <c r="R50" i="10"/>
  <c r="R58" i="10"/>
  <c r="R66" i="10"/>
  <c r="R74" i="10"/>
  <c r="R82" i="10"/>
  <c r="R90" i="10"/>
  <c r="R98" i="10"/>
  <c r="R103" i="10"/>
  <c r="R119" i="10"/>
  <c r="R135" i="10"/>
  <c r="R151" i="10"/>
  <c r="R167" i="10"/>
  <c r="R301" i="10"/>
  <c r="R309" i="10"/>
  <c r="R317" i="10"/>
  <c r="R321" i="10"/>
  <c r="R325" i="10"/>
  <c r="R329" i="10"/>
  <c r="R333" i="10"/>
  <c r="R341" i="10"/>
  <c r="R349" i="10"/>
  <c r="R244" i="10"/>
  <c r="R248" i="10"/>
  <c r="R252" i="10"/>
  <c r="R256" i="10"/>
  <c r="R260" i="10"/>
  <c r="R264" i="10"/>
  <c r="R268" i="10"/>
  <c r="R272" i="10"/>
  <c r="R276" i="10"/>
  <c r="R280" i="10"/>
  <c r="R284" i="10"/>
  <c r="R288" i="10"/>
  <c r="R292" i="10"/>
  <c r="R296" i="10"/>
  <c r="R300" i="10"/>
  <c r="R304" i="10"/>
  <c r="R308" i="10"/>
  <c r="R312" i="10"/>
  <c r="R316" i="10"/>
  <c r="R320" i="10"/>
  <c r="R324" i="10"/>
  <c r="R328" i="10"/>
  <c r="R332" i="10"/>
  <c r="R336" i="10"/>
  <c r="R340" i="10"/>
  <c r="R344" i="10"/>
  <c r="R348" i="10"/>
  <c r="R352" i="10"/>
  <c r="R356" i="10"/>
  <c r="R360" i="10"/>
  <c r="R364" i="10"/>
  <c r="R368" i="10"/>
  <c r="R372" i="10"/>
  <c r="R376" i="10"/>
  <c r="R380" i="10"/>
  <c r="R384" i="10"/>
  <c r="R388" i="10"/>
  <c r="R392" i="10"/>
  <c r="R396" i="10"/>
  <c r="R400" i="10"/>
  <c r="R404" i="10"/>
  <c r="R408" i="10"/>
  <c r="R412" i="10"/>
  <c r="R416" i="10"/>
  <c r="R420" i="10"/>
  <c r="R424" i="10"/>
  <c r="R428" i="10"/>
  <c r="R432" i="10"/>
  <c r="R436" i="10"/>
  <c r="R440" i="10"/>
  <c r="R444" i="10"/>
  <c r="R448" i="10"/>
  <c r="R452" i="10"/>
  <c r="R456" i="10"/>
  <c r="R460" i="10"/>
  <c r="R464" i="10"/>
  <c r="R468" i="10"/>
  <c r="R472" i="10"/>
  <c r="R476" i="10"/>
  <c r="R480" i="10"/>
  <c r="R484" i="10"/>
  <c r="R488" i="10"/>
  <c r="R492" i="10"/>
  <c r="R496" i="10"/>
  <c r="R500" i="10"/>
  <c r="R504" i="10"/>
  <c r="R508" i="10"/>
  <c r="R518" i="10"/>
  <c r="R534" i="10"/>
  <c r="R550" i="10"/>
  <c r="R566" i="10"/>
  <c r="R582" i="10"/>
  <c r="R598" i="10"/>
  <c r="R614" i="10"/>
  <c r="R630" i="10"/>
  <c r="R646" i="10"/>
  <c r="R662" i="10"/>
  <c r="R678" i="10"/>
  <c r="R694" i="10"/>
  <c r="R710" i="10"/>
  <c r="R726" i="10"/>
  <c r="R742" i="10"/>
  <c r="R758" i="10"/>
  <c r="R774" i="10"/>
  <c r="R245" i="10"/>
  <c r="R249" i="10"/>
  <c r="R277" i="10"/>
  <c r="R281" i="10"/>
  <c r="R285" i="10"/>
  <c r="R289" i="10"/>
  <c r="R293" i="10"/>
  <c r="R297" i="10"/>
  <c r="R305" i="10"/>
  <c r="R313" i="10"/>
  <c r="R337" i="10"/>
  <c r="R345" i="10"/>
  <c r="R353" i="10"/>
  <c r="R365" i="10"/>
  <c r="R369" i="10"/>
  <c r="R373" i="10"/>
  <c r="R381" i="10"/>
  <c r="R385" i="10"/>
  <c r="R389" i="10"/>
  <c r="R393" i="10"/>
  <c r="R397" i="10"/>
  <c r="R401" i="10"/>
  <c r="R405" i="10"/>
  <c r="R409" i="10"/>
  <c r="R413" i="10"/>
  <c r="R417" i="10"/>
  <c r="R421" i="10"/>
  <c r="R425" i="10"/>
  <c r="R429" i="10"/>
  <c r="R433" i="10"/>
  <c r="R437" i="10"/>
  <c r="R441" i="10"/>
  <c r="R445" i="10"/>
  <c r="R449" i="10"/>
  <c r="R453" i="10"/>
  <c r="R457" i="10"/>
  <c r="R461" i="10"/>
  <c r="R465" i="10"/>
  <c r="R469" i="10"/>
  <c r="R473" i="10"/>
  <c r="R477" i="10"/>
  <c r="R481" i="10"/>
  <c r="R485" i="10"/>
  <c r="R489" i="10"/>
  <c r="R493" i="10"/>
  <c r="R497" i="10"/>
  <c r="R501" i="10"/>
  <c r="R505" i="10"/>
  <c r="R509" i="10"/>
  <c r="R519" i="10"/>
  <c r="R535" i="10"/>
  <c r="R615" i="10"/>
  <c r="R647" i="10"/>
  <c r="R663" i="10"/>
  <c r="R679" i="10"/>
  <c r="R695" i="10"/>
  <c r="R711" i="10"/>
  <c r="R759" i="10"/>
  <c r="R775" i="10"/>
  <c r="R855" i="10"/>
  <c r="R1065" i="10"/>
  <c r="R1081" i="10"/>
  <c r="R1113" i="10"/>
  <c r="R1359" i="10"/>
  <c r="R1424" i="10"/>
  <c r="R1489" i="10"/>
  <c r="R1505" i="10"/>
  <c r="R1537" i="10"/>
  <c r="R1553" i="10"/>
  <c r="C19" i="11"/>
  <c r="C17" i="11"/>
  <c r="B19" i="11"/>
  <c r="D19" i="11" s="1"/>
  <c r="B17" i="11"/>
  <c r="D17" i="11" s="1"/>
  <c r="B20" i="11"/>
  <c r="D20" i="11" s="1"/>
  <c r="C18" i="11"/>
  <c r="B18" i="11"/>
  <c r="D18" i="11" s="1"/>
  <c r="C20" i="11"/>
  <c r="R243" i="10"/>
  <c r="R247" i="10"/>
  <c r="R251" i="10"/>
  <c r="R255" i="10"/>
  <c r="R259" i="10"/>
  <c r="R263" i="10"/>
  <c r="R267" i="10"/>
  <c r="R271" i="10"/>
  <c r="R275" i="10"/>
  <c r="R279" i="10"/>
  <c r="R283" i="10"/>
  <c r="R287" i="10"/>
  <c r="R291" i="10"/>
  <c r="R295" i="10"/>
  <c r="R299" i="10"/>
  <c r="R303" i="10"/>
  <c r="R307" i="10"/>
  <c r="R311" i="10"/>
  <c r="R315" i="10"/>
  <c r="R319" i="10"/>
  <c r="R323" i="10"/>
  <c r="R327" i="10"/>
  <c r="R331" i="10"/>
  <c r="R335" i="10"/>
  <c r="R339" i="10"/>
  <c r="R343" i="10"/>
  <c r="R347" i="10"/>
  <c r="R351" i="10"/>
  <c r="R355" i="10"/>
  <c r="R359" i="10"/>
  <c r="R363" i="10"/>
  <c r="R367" i="10"/>
  <c r="R371" i="10"/>
  <c r="R375" i="10"/>
  <c r="R379" i="10"/>
  <c r="R383" i="10"/>
  <c r="R387" i="10"/>
  <c r="R391" i="10"/>
  <c r="R395" i="10"/>
  <c r="R399" i="10"/>
  <c r="R403" i="10"/>
  <c r="R407" i="10"/>
  <c r="R411" i="10"/>
  <c r="R415" i="10"/>
  <c r="R419" i="10"/>
  <c r="R423" i="10"/>
  <c r="R427" i="10"/>
  <c r="R431" i="10"/>
  <c r="R435" i="10"/>
  <c r="R439" i="10"/>
  <c r="R443" i="10"/>
  <c r="R447" i="10"/>
  <c r="R451" i="10"/>
  <c r="R455" i="10"/>
  <c r="R459" i="10"/>
  <c r="R463" i="10"/>
  <c r="R467" i="10"/>
  <c r="R471" i="10"/>
  <c r="R475" i="10"/>
  <c r="R479" i="10"/>
  <c r="R483" i="10"/>
  <c r="R487" i="10"/>
  <c r="R491" i="10"/>
  <c r="R495" i="10"/>
  <c r="R499" i="10"/>
  <c r="R503" i="10"/>
  <c r="R507" i="10"/>
  <c r="R511" i="10"/>
  <c r="R527" i="10"/>
  <c r="R543" i="10"/>
  <c r="R559" i="10"/>
  <c r="R575" i="10"/>
  <c r="R591" i="10"/>
  <c r="R607" i="10"/>
  <c r="R623" i="10"/>
  <c r="R639" i="10"/>
  <c r="R655" i="10"/>
  <c r="R671" i="10"/>
  <c r="R687" i="10"/>
  <c r="R703" i="10"/>
  <c r="R719" i="10"/>
  <c r="R735" i="10"/>
  <c r="R751" i="10"/>
  <c r="R767" i="10"/>
  <c r="B10" i="13"/>
  <c r="D10" i="13" s="1"/>
  <c r="E10" i="13" s="1"/>
  <c r="F10" i="13" s="1"/>
  <c r="B6" i="13"/>
  <c r="D6" i="13" s="1"/>
  <c r="E6" i="13" s="1"/>
  <c r="F6" i="13" s="1"/>
  <c r="B9" i="13"/>
  <c r="D9" i="13" s="1"/>
  <c r="E9" i="13" s="1"/>
  <c r="F9" i="13" s="1"/>
  <c r="B5" i="13"/>
  <c r="D5" i="13" s="1"/>
  <c r="E5" i="13" s="1"/>
  <c r="F5" i="13" s="1"/>
  <c r="B8" i="13"/>
  <c r="D8" i="13" s="1"/>
  <c r="E8" i="13" s="1"/>
  <c r="F8" i="13" s="1"/>
  <c r="B4" i="13"/>
  <c r="F12" i="11"/>
  <c r="B12" i="11"/>
  <c r="F10" i="11"/>
  <c r="B10" i="11"/>
  <c r="F8" i="11"/>
  <c r="B8" i="11"/>
  <c r="F6" i="11"/>
  <c r="B11" i="13"/>
  <c r="D11" i="13" s="1"/>
  <c r="E11" i="13" s="1"/>
  <c r="F11" i="13" s="1"/>
  <c r="B7" i="13"/>
  <c r="D7" i="13" s="1"/>
  <c r="E7" i="13" s="1"/>
  <c r="F7" i="13" s="1"/>
  <c r="B11" i="11"/>
  <c r="F9" i="11"/>
  <c r="F11" i="11"/>
  <c r="B6" i="11"/>
  <c r="B7" i="11"/>
  <c r="F5" i="11"/>
  <c r="F7" i="11"/>
  <c r="B5" i="11"/>
  <c r="B9" i="11"/>
  <c r="R253" i="10"/>
  <c r="R257" i="10"/>
  <c r="E19" i="11" s="1"/>
  <c r="R261" i="10"/>
  <c r="R265" i="10"/>
  <c r="R269" i="10"/>
  <c r="R273" i="10"/>
  <c r="R357" i="10"/>
  <c r="R361" i="10"/>
  <c r="R377" i="10"/>
  <c r="R567" i="10"/>
  <c r="R583" i="10"/>
  <c r="R599" i="10"/>
  <c r="R631" i="10"/>
  <c r="R727" i="10"/>
  <c r="R743" i="10"/>
  <c r="R791" i="10"/>
  <c r="R807" i="10"/>
  <c r="R823" i="10"/>
  <c r="R839" i="10"/>
  <c r="R1049" i="10"/>
  <c r="R1097" i="10"/>
  <c r="R1135" i="10"/>
  <c r="R1521" i="10"/>
  <c r="R1569" i="10"/>
  <c r="R1574" i="10"/>
  <c r="D16" i="12"/>
  <c r="E16" i="12" s="1"/>
  <c r="B25" i="12"/>
  <c r="B27" i="12" s="1"/>
  <c r="B28" i="12" s="1"/>
  <c r="Q2" i="10"/>
  <c r="R2" i="10" s="1"/>
  <c r="E18" i="11" s="1"/>
  <c r="R242" i="10"/>
  <c r="R246" i="10"/>
  <c r="R250" i="10"/>
  <c r="R254" i="10"/>
  <c r="R258" i="10"/>
  <c r="R262" i="10"/>
  <c r="R266" i="10"/>
  <c r="R270" i="10"/>
  <c r="R274" i="10"/>
  <c r="R278" i="10"/>
  <c r="R282" i="10"/>
  <c r="R286" i="10"/>
  <c r="R290" i="10"/>
  <c r="R294" i="10"/>
  <c r="R298" i="10"/>
  <c r="R302" i="10"/>
  <c r="R306" i="10"/>
  <c r="R310" i="10"/>
  <c r="R314" i="10"/>
  <c r="R318" i="10"/>
  <c r="R322" i="10"/>
  <c r="R326" i="10"/>
  <c r="R330" i="10"/>
  <c r="R334" i="10"/>
  <c r="R338" i="10"/>
  <c r="R342" i="10"/>
  <c r="R346" i="10"/>
  <c r="R350" i="10"/>
  <c r="R354" i="10"/>
  <c r="R358" i="10"/>
  <c r="R362" i="10"/>
  <c r="R366" i="10"/>
  <c r="R370" i="10"/>
  <c r="R374" i="10"/>
  <c r="R378" i="10"/>
  <c r="R382" i="10"/>
  <c r="R386" i="10"/>
  <c r="R390" i="10"/>
  <c r="R394" i="10"/>
  <c r="R398" i="10"/>
  <c r="R402" i="10"/>
  <c r="R406" i="10"/>
  <c r="R410" i="10"/>
  <c r="R414" i="10"/>
  <c r="R418" i="10"/>
  <c r="R422" i="10"/>
  <c r="R426" i="10"/>
  <c r="R430" i="10"/>
  <c r="R434" i="10"/>
  <c r="R438" i="10"/>
  <c r="R442" i="10"/>
  <c r="R446" i="10"/>
  <c r="R450" i="10"/>
  <c r="R454" i="10"/>
  <c r="R458" i="10"/>
  <c r="R462" i="10"/>
  <c r="R466" i="10"/>
  <c r="R470" i="10"/>
  <c r="R474" i="10"/>
  <c r="R478" i="10"/>
  <c r="R482" i="10"/>
  <c r="R486" i="10"/>
  <c r="R490" i="10"/>
  <c r="R494" i="10"/>
  <c r="R498" i="10"/>
  <c r="R502" i="10"/>
  <c r="R506" i="10"/>
  <c r="R510" i="10"/>
  <c r="R526" i="10"/>
  <c r="R542" i="10"/>
  <c r="R558" i="10"/>
  <c r="R574" i="10"/>
  <c r="R590" i="10"/>
  <c r="R606" i="10"/>
  <c r="R622" i="10"/>
  <c r="R638" i="10"/>
  <c r="R654" i="10"/>
  <c r="R670" i="10"/>
  <c r="R686" i="10"/>
  <c r="R702" i="10"/>
  <c r="R718" i="10"/>
  <c r="R734" i="10"/>
  <c r="R750" i="10"/>
  <c r="R766" i="10"/>
  <c r="R517" i="10"/>
  <c r="R525" i="10"/>
  <c r="R533" i="10"/>
  <c r="R541" i="10"/>
  <c r="R549" i="10"/>
  <c r="R557" i="10"/>
  <c r="R565" i="10"/>
  <c r="R573" i="10"/>
  <c r="R581" i="10"/>
  <c r="R589" i="10"/>
  <c r="R597" i="10"/>
  <c r="R605" i="10"/>
  <c r="R613" i="10"/>
  <c r="R621" i="10"/>
  <c r="R629" i="10"/>
  <c r="R637" i="10"/>
  <c r="R645" i="10"/>
  <c r="R653" i="10"/>
  <c r="R661" i="10"/>
  <c r="R669" i="10"/>
  <c r="R677" i="10"/>
  <c r="R685" i="10"/>
  <c r="R693" i="10"/>
  <c r="R701" i="10"/>
  <c r="R709" i="10"/>
  <c r="R717" i="10"/>
  <c r="R725" i="10"/>
  <c r="R733" i="10"/>
  <c r="R741" i="10"/>
  <c r="R749" i="10"/>
  <c r="R757" i="10"/>
  <c r="R765" i="10"/>
  <c r="R773" i="10"/>
  <c r="R779" i="10"/>
  <c r="R795" i="10"/>
  <c r="R811" i="10"/>
  <c r="R827" i="10"/>
  <c r="R843" i="10"/>
  <c r="R859" i="10"/>
  <c r="R1025" i="10"/>
  <c r="R1027" i="10"/>
  <c r="R515" i="10"/>
  <c r="R523" i="10"/>
  <c r="R531" i="10"/>
  <c r="R539" i="10"/>
  <c r="R547" i="10"/>
  <c r="R555" i="10"/>
  <c r="R563" i="10"/>
  <c r="R571" i="10"/>
  <c r="R579" i="10"/>
  <c r="R587" i="10"/>
  <c r="R595" i="10"/>
  <c r="R603" i="10"/>
  <c r="R611" i="10"/>
  <c r="R619" i="10"/>
  <c r="R627" i="10"/>
  <c r="R635" i="10"/>
  <c r="R643" i="10"/>
  <c r="R651" i="10"/>
  <c r="R659" i="10"/>
  <c r="R667" i="10"/>
  <c r="R675" i="10"/>
  <c r="R683" i="10"/>
  <c r="R691" i="10"/>
  <c r="R699" i="10"/>
  <c r="R707" i="10"/>
  <c r="R715" i="10"/>
  <c r="R723" i="10"/>
  <c r="R731" i="10"/>
  <c r="R739" i="10"/>
  <c r="R747" i="10"/>
  <c r="R755" i="10"/>
  <c r="R763" i="10"/>
  <c r="R771" i="10"/>
  <c r="R783" i="10"/>
  <c r="R799" i="10"/>
  <c r="R815" i="10"/>
  <c r="R831" i="10"/>
  <c r="R847" i="10"/>
  <c r="R863" i="10"/>
  <c r="R513" i="10"/>
  <c r="R521" i="10"/>
  <c r="R529" i="10"/>
  <c r="R537" i="10"/>
  <c r="R545" i="10"/>
  <c r="R553" i="10"/>
  <c r="R561" i="10"/>
  <c r="R569" i="10"/>
  <c r="R577" i="10"/>
  <c r="R585" i="10"/>
  <c r="R593" i="10"/>
  <c r="R601" i="10"/>
  <c r="R609" i="10"/>
  <c r="R617" i="10"/>
  <c r="R625" i="10"/>
  <c r="R633" i="10"/>
  <c r="R641" i="10"/>
  <c r="R649" i="10"/>
  <c r="R657" i="10"/>
  <c r="R665" i="10"/>
  <c r="R673" i="10"/>
  <c r="R681" i="10"/>
  <c r="R689" i="10"/>
  <c r="R697" i="10"/>
  <c r="R705" i="10"/>
  <c r="R713" i="10"/>
  <c r="R721" i="10"/>
  <c r="R729" i="10"/>
  <c r="R737" i="10"/>
  <c r="R745" i="10"/>
  <c r="R753" i="10"/>
  <c r="R761" i="10"/>
  <c r="R769" i="10"/>
  <c r="R787" i="10"/>
  <c r="R803" i="10"/>
  <c r="R819" i="10"/>
  <c r="R835" i="10"/>
  <c r="R851" i="10"/>
  <c r="R867" i="10"/>
  <c r="R1021" i="10"/>
  <c r="R1023" i="10"/>
  <c r="R1037" i="10"/>
  <c r="R1053" i="10"/>
  <c r="R1069" i="10"/>
  <c r="R1085" i="10"/>
  <c r="R1101" i="10"/>
  <c r="R1117" i="10"/>
  <c r="R1143" i="10"/>
  <c r="R1305" i="10"/>
  <c r="R1333" i="10"/>
  <c r="R1019" i="10"/>
  <c r="R1033" i="10"/>
  <c r="R1035" i="10"/>
  <c r="R1041" i="10"/>
  <c r="R1057" i="10"/>
  <c r="R1073" i="10"/>
  <c r="R1089" i="10"/>
  <c r="R1105" i="10"/>
  <c r="R1121" i="10"/>
  <c r="R1029" i="10"/>
  <c r="R1031" i="10"/>
  <c r="R1045" i="10"/>
  <c r="R1061" i="10"/>
  <c r="R1077" i="10"/>
  <c r="R1093" i="10"/>
  <c r="R1109" i="10"/>
  <c r="R1127" i="10"/>
  <c r="R1321" i="10"/>
  <c r="R1128" i="10"/>
  <c r="R1136" i="10"/>
  <c r="R1144" i="10"/>
  <c r="R1309" i="10"/>
  <c r="R1325" i="10"/>
  <c r="R1337" i="10"/>
  <c r="R1367" i="10"/>
  <c r="R1416" i="10"/>
  <c r="R1448" i="10"/>
  <c r="R1130" i="10"/>
  <c r="R1138" i="10"/>
  <c r="R1297" i="10"/>
  <c r="R1313" i="10"/>
  <c r="R1343" i="10"/>
  <c r="R1408" i="10"/>
  <c r="R1440" i="10"/>
  <c r="R1301" i="10"/>
  <c r="R1317" i="10"/>
  <c r="R1329" i="10"/>
  <c r="R1351" i="10"/>
  <c r="R1432" i="10"/>
  <c r="R1375" i="10"/>
  <c r="R1382" i="10"/>
  <c r="R1383" i="10"/>
  <c r="R1390" i="10"/>
  <c r="R1391" i="10"/>
  <c r="R1398" i="10"/>
  <c r="R1399" i="10"/>
  <c r="R1406" i="10"/>
  <c r="R1488" i="10"/>
  <c r="R1504" i="10"/>
  <c r="R1520" i="10"/>
  <c r="R1536" i="10"/>
  <c r="R1552" i="10"/>
  <c r="R1568" i="10"/>
  <c r="R1346" i="10"/>
  <c r="R1354" i="10"/>
  <c r="R1362" i="10"/>
  <c r="R1370" i="10"/>
  <c r="R1412" i="10"/>
  <c r="R1420" i="10"/>
  <c r="R1428" i="10"/>
  <c r="R1436" i="10"/>
  <c r="R1444" i="10"/>
  <c r="R1452" i="10"/>
  <c r="R1497" i="10"/>
  <c r="R1513" i="10"/>
  <c r="R1529" i="10"/>
  <c r="R1545" i="10"/>
  <c r="R1561" i="10"/>
  <c r="R1340" i="10"/>
  <c r="R1348" i="10"/>
  <c r="R1356" i="10"/>
  <c r="R1364" i="10"/>
  <c r="R1372" i="10"/>
  <c r="R1378" i="10"/>
  <c r="R1379" i="10"/>
  <c r="R1386" i="10"/>
  <c r="R1387" i="10"/>
  <c r="R1394" i="10"/>
  <c r="R1395" i="10"/>
  <c r="R1402" i="10"/>
  <c r="R1403" i="10"/>
  <c r="R1496" i="10"/>
  <c r="R1512" i="10"/>
  <c r="R1528" i="10"/>
  <c r="R1544" i="10"/>
  <c r="R1560" i="10"/>
  <c r="R1487" i="10"/>
  <c r="R1495" i="10"/>
  <c r="R1503" i="10"/>
  <c r="R1511" i="10"/>
  <c r="R1519" i="10"/>
  <c r="R1527" i="10"/>
  <c r="R1535" i="10"/>
  <c r="R1543" i="10"/>
  <c r="R1551" i="10"/>
  <c r="R1559" i="10"/>
  <c r="R1567" i="10"/>
  <c r="R1628" i="10"/>
  <c r="R1632" i="10"/>
  <c r="R1636" i="10"/>
  <c r="R1640" i="10"/>
  <c r="R1644" i="10"/>
  <c r="R1648" i="10"/>
  <c r="R1652" i="10"/>
  <c r="R1656" i="10"/>
  <c r="R1660" i="10"/>
  <c r="R1664" i="10"/>
  <c r="R1668" i="10"/>
  <c r="R1672" i="10"/>
  <c r="R1676" i="10"/>
  <c r="R1680" i="10"/>
  <c r="R1684" i="10"/>
  <c r="R1688" i="10"/>
  <c r="R1692" i="10"/>
  <c r="R1696" i="10"/>
  <c r="R1700" i="10"/>
  <c r="R1704" i="10"/>
  <c r="R1708" i="10"/>
  <c r="R1485" i="10"/>
  <c r="R1493" i="10"/>
  <c r="R1501" i="10"/>
  <c r="R1509" i="10"/>
  <c r="R1517" i="10"/>
  <c r="R1525" i="10"/>
  <c r="R1533" i="10"/>
  <c r="R1541" i="10"/>
  <c r="R1549" i="10"/>
  <c r="R1557" i="10"/>
  <c r="R1565" i="10"/>
  <c r="R1576" i="10"/>
  <c r="R1578" i="10"/>
  <c r="R1491" i="10"/>
  <c r="R1499" i="10"/>
  <c r="R1507" i="10"/>
  <c r="R1515" i="10"/>
  <c r="R1523" i="10"/>
  <c r="R1531" i="10"/>
  <c r="R1539" i="10"/>
  <c r="R1547" i="10"/>
  <c r="R1555" i="10"/>
  <c r="R1563" i="10"/>
  <c r="R1570" i="10"/>
  <c r="R1571" i="10"/>
  <c r="R1575" i="10"/>
  <c r="R1630" i="10"/>
  <c r="R1634" i="10"/>
  <c r="R1638" i="10"/>
  <c r="R1642" i="10"/>
  <c r="R1646" i="10"/>
  <c r="R1650" i="10"/>
  <c r="R1654" i="10"/>
  <c r="R1658" i="10"/>
  <c r="R1662" i="10"/>
  <c r="R1666" i="10"/>
  <c r="R1670" i="10"/>
  <c r="R1674" i="10"/>
  <c r="R1678" i="10"/>
  <c r="R1682" i="10"/>
  <c r="R1686" i="10"/>
  <c r="R1690" i="10"/>
  <c r="R1694" i="10"/>
  <c r="R1698" i="10"/>
  <c r="R1702" i="10"/>
  <c r="R1706" i="10"/>
  <c r="R1764" i="10"/>
  <c r="R1772" i="10"/>
  <c r="R1788" i="10"/>
  <c r="R1625" i="10"/>
  <c r="R1627" i="10"/>
  <c r="R1629" i="10"/>
  <c r="R1631" i="10"/>
  <c r="R1633" i="10"/>
  <c r="R1635" i="10"/>
  <c r="R1637" i="10"/>
  <c r="R1639" i="10"/>
  <c r="R1641" i="10"/>
  <c r="R1643" i="10"/>
  <c r="R1645" i="10"/>
  <c r="R1647" i="10"/>
  <c r="R1649" i="10"/>
  <c r="R1651" i="10"/>
  <c r="R1653" i="10"/>
  <c r="R1655" i="10"/>
  <c r="R1657" i="10"/>
  <c r="R1659" i="10"/>
  <c r="R1661" i="10"/>
  <c r="R1663" i="10"/>
  <c r="R1665" i="10"/>
  <c r="R1667" i="10"/>
  <c r="R1669" i="10"/>
  <c r="R1671" i="10"/>
  <c r="R1673" i="10"/>
  <c r="R1675" i="10"/>
  <c r="R1677" i="10"/>
  <c r="R1679" i="10"/>
  <c r="R1681" i="10"/>
  <c r="R1683" i="10"/>
  <c r="R1685" i="10"/>
  <c r="R1687" i="10"/>
  <c r="R1689" i="10"/>
  <c r="R1691" i="10"/>
  <c r="R1693" i="10"/>
  <c r="R1695" i="10"/>
  <c r="R1697" i="10"/>
  <c r="R1699" i="10"/>
  <c r="R1701" i="10"/>
  <c r="R1703" i="10"/>
  <c r="R1705" i="10"/>
  <c r="R1707" i="10"/>
  <c r="R1768" i="10"/>
  <c r="D17" i="12"/>
  <c r="E17" i="12" s="1"/>
  <c r="B26" i="12"/>
  <c r="E27" i="11"/>
  <c r="R1710" i="10"/>
  <c r="R1712" i="10"/>
  <c r="R1714" i="10"/>
  <c r="R1716" i="10"/>
  <c r="R1718" i="10"/>
  <c r="R1720" i="10"/>
  <c r="R1722" i="10"/>
  <c r="R1724" i="10"/>
  <c r="R1726" i="10"/>
  <c r="R1728" i="10"/>
  <c r="R1730" i="10"/>
  <c r="R1732" i="10"/>
  <c r="R1734" i="10"/>
  <c r="R1736" i="10"/>
  <c r="R1738" i="10"/>
  <c r="R1740" i="10"/>
  <c r="R1742" i="10"/>
  <c r="R1744" i="10"/>
  <c r="R1746" i="10"/>
  <c r="R1748" i="10"/>
  <c r="R1750" i="10"/>
  <c r="R1752" i="10"/>
  <c r="R1754" i="10"/>
  <c r="R1756" i="10"/>
  <c r="R1758" i="10"/>
  <c r="R1760" i="10"/>
  <c r="F29" i="11"/>
  <c r="G29" i="11" s="1"/>
  <c r="R1765" i="10"/>
  <c r="R1769" i="10"/>
  <c r="R1773" i="10"/>
  <c r="R1777" i="10"/>
  <c r="R1781" i="10"/>
  <c r="R1785" i="10"/>
  <c r="R1789" i="10"/>
  <c r="R1793" i="10"/>
  <c r="R1797" i="10"/>
  <c r="R1801" i="10"/>
  <c r="E29" i="11"/>
  <c r="G6" i="11" l="1"/>
  <c r="C6" i="11"/>
  <c r="E6" i="11"/>
  <c r="E5" i="11"/>
  <c r="C10" i="15"/>
  <c r="C5" i="11"/>
  <c r="G5" i="11"/>
  <c r="G10" i="11"/>
  <c r="C10" i="11"/>
  <c r="E10" i="11"/>
  <c r="D4" i="13"/>
  <c r="B13" i="13"/>
  <c r="E9" i="11"/>
  <c r="G9" i="11"/>
  <c r="C9" i="11"/>
  <c r="E7" i="11"/>
  <c r="C7" i="11"/>
  <c r="G7" i="11"/>
  <c r="E11" i="11"/>
  <c r="G11" i="11"/>
  <c r="C11" i="11"/>
  <c r="G8" i="11"/>
  <c r="C8" i="11"/>
  <c r="E8" i="11"/>
  <c r="G12" i="11"/>
  <c r="C12" i="11"/>
  <c r="E12" i="11"/>
  <c r="C11" i="15" l="1"/>
  <c r="K6" i="15"/>
  <c r="D13" i="13"/>
  <c r="E4" i="13"/>
  <c r="F4" i="13" l="1"/>
  <c r="E13" i="13"/>
</calcChain>
</file>

<file path=xl/sharedStrings.xml><?xml version="1.0" encoding="utf-8"?>
<sst xmlns="http://schemas.openxmlformats.org/spreadsheetml/2006/main" count="30447" uniqueCount="2257">
  <si>
    <t>Purpose</t>
  </si>
  <si>
    <t>Portfolio project simulating a Commercial Data Analyst environment covering procurement, fleet, workforce, agency and finance.</t>
  </si>
  <si>
    <t>Data</t>
  </si>
  <si>
    <t>Synthetic data created for this project. It contains intentionally messy records to demonstrate cleansing and validation. No real CareTech data is used.</t>
  </si>
  <si>
    <t>Advanced Excel skills</t>
  </si>
  <si>
    <t>Excel Tables, structured references, VLOOKUP/XLOOKUP-style lookups, INDEX/MATCH, SUMIFS, COUNTIFS, IFERROR, conditional formatting, data validation, charts, pivot-style analysis, scenario modelling and financial KPIs.</t>
  </si>
  <si>
    <t>VBA</t>
  </si>
  <si>
    <t>Separate .bas scripts automate cleansing, duplicate detection, CSV consolidation and dashboard refresh. Import them into the VBA editor (Alt+F11) in a macro-enabled copy of the workbook.</t>
  </si>
  <si>
    <t>Financial model</t>
  </si>
  <si>
    <t>Driver-based 2026 forecast with Base/Conservative/Aggressive scenarios, savings assumptions, budget-vs-forecast analysis and EBITDA impact.</t>
  </si>
  <si>
    <t>GDPR</t>
  </si>
  <si>
    <t>The data is synthetic and contains no service-user, employee or supplier personal data. The project demonstrates a GDPR-first approach by using IDs and aggregated commercial measures.</t>
  </si>
  <si>
    <t>How to use</t>
  </si>
  <si>
    <t>1) Review Dashboard. 2) Change Scenario in Financial_Model!B4. 3) Review Savings_Tracker. 4) Inspect Pivot_Analysis. 5) Review Formula_Audit and VBA_Code. 6) Import the supplied .bas files into Excel to test automation.</t>
  </si>
  <si>
    <t>Portfolio story</t>
  </si>
  <si>
    <t>The analyst receives fragmented source files, cleans and validates them, consolidates commercial measures, identifies spend drivers and exceptions, models savings scenarios, and communicates the financial impact through an executive dashboard.</t>
  </si>
  <si>
    <t>InvoiceDate</t>
  </si>
  <si>
    <t>SiteID</t>
  </si>
  <si>
    <t>SiteName</t>
  </si>
  <si>
    <t>Region</t>
  </si>
  <si>
    <t>Supplier</t>
  </si>
  <si>
    <t>Category</t>
  </si>
  <si>
    <t>InvoiceID</t>
  </si>
  <si>
    <t>Quantity</t>
  </si>
  <si>
    <t>UnitCost</t>
  </si>
  <si>
    <t>GrossSpend</t>
  </si>
  <si>
    <t>PaymentTermsDays</t>
  </si>
  <si>
    <t>SourceSystem</t>
  </si>
  <si>
    <t>VAT</t>
  </si>
  <si>
    <t>NetSpend</t>
  </si>
  <si>
    <t>Contracted</t>
  </si>
  <si>
    <t>DataQualityFlag</t>
  </si>
  <si>
    <t>S006</t>
  </si>
  <si>
    <t>Birmingham Care &amp; Education Centre</t>
  </si>
  <si>
    <t>Midlands</t>
  </si>
  <si>
    <t>freshserve</t>
  </si>
  <si>
    <t>Food &amp; Catering</t>
  </si>
  <si>
    <t>INV-2025-00001</t>
  </si>
  <si>
    <t>ERP</t>
  </si>
  <si>
    <t>Y</t>
  </si>
  <si>
    <t>OK</t>
  </si>
  <si>
    <t>S008</t>
  </si>
  <si>
    <t>Leicester Care &amp; Education Centre</t>
  </si>
  <si>
    <t>KitchenPro</t>
  </si>
  <si>
    <t>INV-2025-00002</t>
  </si>
  <si>
    <t>Procurement Portal</t>
  </si>
  <si>
    <t>N</t>
  </si>
  <si>
    <t>S009</t>
  </si>
  <si>
    <t>Derby Care &amp; Education Centre</t>
  </si>
  <si>
    <t>MediSure</t>
  </si>
  <si>
    <t>Medical Supplies</t>
  </si>
  <si>
    <t>INV-2025-00003</t>
  </si>
  <si>
    <t>Legacy Spend File</t>
  </si>
  <si>
    <t>PowerDirect</t>
  </si>
  <si>
    <t>Utilities</t>
  </si>
  <si>
    <t>INV-2025-00004</t>
  </si>
  <si>
    <t>S016</t>
  </si>
  <si>
    <t>Cardiff Care &amp; Education Centre</t>
  </si>
  <si>
    <t>Wales</t>
  </si>
  <si>
    <t>CloudLink</t>
  </si>
  <si>
    <t>IT &amp; Telecoms</t>
  </si>
  <si>
    <t>INV-2025-00005</t>
  </si>
  <si>
    <t>S013</t>
  </si>
  <si>
    <t>Reading Care &amp; Education Centre</t>
  </si>
  <si>
    <t>South</t>
  </si>
  <si>
    <t>WaterGrid</t>
  </si>
  <si>
    <t>INV-2025-00006</t>
  </si>
  <si>
    <t>S005</t>
  </si>
  <si>
    <t>Sheffield Care &amp; Education Centre</t>
  </si>
  <si>
    <t>North</t>
  </si>
  <si>
    <t>AutoCare</t>
  </si>
  <si>
    <t>Vehicle &amp; Fuel</t>
  </si>
  <si>
    <t>INV-2025-00007</t>
  </si>
  <si>
    <t>S004</t>
  </si>
  <si>
    <t>Newcastle Care &amp; Education Centre</t>
  </si>
  <si>
    <t>NourishCo</t>
  </si>
  <si>
    <t>INV-2025-00008</t>
  </si>
  <si>
    <t>S017</t>
  </si>
  <si>
    <t>Swansea Care &amp; Education Centre</t>
  </si>
  <si>
    <t>INV-2025-00009</t>
  </si>
  <si>
    <t>S015</t>
  </si>
  <si>
    <t>Brighton Care &amp; Education Centre</t>
  </si>
  <si>
    <t>INV-2025-00010</t>
  </si>
  <si>
    <t>FleetFuel</t>
  </si>
  <si>
    <t>INV-2025-00011</t>
  </si>
  <si>
    <t>S019</t>
  </si>
  <si>
    <t>Wrexham Care &amp; Education Centre</t>
  </si>
  <si>
    <t>INV-2025-00012</t>
  </si>
  <si>
    <t>SafeGuard FM</t>
  </si>
  <si>
    <t>Facilities</t>
  </si>
  <si>
    <t>INV-2025-00013</t>
  </si>
  <si>
    <t>S014</t>
  </si>
  <si>
    <t>Southampton Care &amp; Education Centre</t>
  </si>
  <si>
    <t>INV-2025-00014</t>
  </si>
  <si>
    <t>S007</t>
  </si>
  <si>
    <t>Nottingham Care &amp; Education Centre</t>
  </si>
  <si>
    <t>CareTemps</t>
  </si>
  <si>
    <t>Agency Labour</t>
  </si>
  <si>
    <t>INV-2025-00015</t>
  </si>
  <si>
    <t>INV-2025-00016</t>
  </si>
  <si>
    <t>S001</t>
  </si>
  <si>
    <t>Preston Care &amp; Education Centre</t>
  </si>
  <si>
    <t>INV-2025-00017</t>
  </si>
  <si>
    <t>S020</t>
  </si>
  <si>
    <t>Bangor Care &amp; Education Centre</t>
  </si>
  <si>
    <t>NurseLink</t>
  </si>
  <si>
    <t>INV-2025-00018</t>
  </si>
  <si>
    <t>OfficePlus</t>
  </si>
  <si>
    <t>Office &amp; Training</t>
  </si>
  <si>
    <t>INV-2025-00019</t>
  </si>
  <si>
    <t>S018</t>
  </si>
  <si>
    <t>Newport Care &amp; Education Centre</t>
  </si>
  <si>
    <t>INV-2025-00020</t>
  </si>
  <si>
    <t>S002</t>
  </si>
  <si>
    <t>Manchester Care &amp; Education Centre</t>
  </si>
  <si>
    <t>NetServe</t>
  </si>
  <si>
    <t>INV-2025-00021</t>
  </si>
  <si>
    <t>INV-2025-00022</t>
  </si>
  <si>
    <t>S012</t>
  </si>
  <si>
    <t>Bristol Care &amp; Education Centre</t>
  </si>
  <si>
    <t>INV-2025-00023</t>
  </si>
  <si>
    <t>S010</t>
  </si>
  <si>
    <t>Coventry Care &amp; Education Centre</t>
  </si>
  <si>
    <t>INV-2025-00024</t>
  </si>
  <si>
    <t>BuildCare</t>
  </si>
  <si>
    <t>INV-2025-00025</t>
  </si>
  <si>
    <t>INV-2025-00026</t>
  </si>
  <si>
    <t>FreshServe</t>
  </si>
  <si>
    <t>INV-2025-00027</t>
  </si>
  <si>
    <t>PrintCo</t>
  </si>
  <si>
    <t>INV-2025-00028</t>
  </si>
  <si>
    <t>INV-2025-00029</t>
  </si>
  <si>
    <t>RoadReady</t>
  </si>
  <si>
    <t>INV-2025-00030</t>
  </si>
  <si>
    <t>INV-2025-00031</t>
  </si>
  <si>
    <t>UK Energy Partners</t>
  </si>
  <si>
    <t>INV-2025-00032</t>
  </si>
  <si>
    <t>INV-2025-00033</t>
  </si>
  <si>
    <t>INV-2025-00034</t>
  </si>
  <si>
    <t>LearnWell</t>
  </si>
  <si>
    <t>INV-2025-00035</t>
  </si>
  <si>
    <t>INV-2025-00036</t>
  </si>
  <si>
    <t>INV-2025-00037</t>
  </si>
  <si>
    <t>S003</t>
  </si>
  <si>
    <t>Leeds Care &amp; Education Centre</t>
  </si>
  <si>
    <t>INV-2025-00038</t>
  </si>
  <si>
    <t>INV-2025-00039</t>
  </si>
  <si>
    <t>INV-2025-00040</t>
  </si>
  <si>
    <t>INV-2025-00041</t>
  </si>
  <si>
    <t>TeleCare IT</t>
  </si>
  <si>
    <t>INV-2025-00042</t>
  </si>
  <si>
    <t>INV-2025-00043</t>
  </si>
  <si>
    <t>ClinEquip</t>
  </si>
  <si>
    <t>INV-2025-00044</t>
  </si>
  <si>
    <t>CleanWorks</t>
  </si>
  <si>
    <t>INV-2025-00045</t>
  </si>
  <si>
    <t>INV-2025-00046</t>
  </si>
  <si>
    <t>INV-2025-00047</t>
  </si>
  <si>
    <t>INV-2025-00048</t>
  </si>
  <si>
    <t>INV-2025-00049</t>
  </si>
  <si>
    <t>INV-2025-00050</t>
  </si>
  <si>
    <t>INV-2025-00051</t>
  </si>
  <si>
    <t>INV-2025-00052</t>
  </si>
  <si>
    <t>INV-2025-00053</t>
  </si>
  <si>
    <t>INV-2025-00054</t>
  </si>
  <si>
    <t>INV-2025-00055</t>
  </si>
  <si>
    <t>INV-2025-00056</t>
  </si>
  <si>
    <t>INV-2025-00057</t>
  </si>
  <si>
    <t>INV-2025-00058</t>
  </si>
  <si>
    <t>INV-2025-00059</t>
  </si>
  <si>
    <t>INV-2025-00060</t>
  </si>
  <si>
    <t>INV-2025-00061</t>
  </si>
  <si>
    <t>INV-2025-00062</t>
  </si>
  <si>
    <t>INV-2025-00063</t>
  </si>
  <si>
    <t>INV-2025-00064</t>
  </si>
  <si>
    <t>INV-2025-00065</t>
  </si>
  <si>
    <t>INV-2025-00066</t>
  </si>
  <si>
    <t>INV-2025-00067</t>
  </si>
  <si>
    <t>INV-2025-00068</t>
  </si>
  <si>
    <t>INV-2025-00069</t>
  </si>
  <si>
    <t>INV-2025-00070</t>
  </si>
  <si>
    <t>INV-2025-00071</t>
  </si>
  <si>
    <t>INV-2025-00072</t>
  </si>
  <si>
    <t>INV-2025-00073</t>
  </si>
  <si>
    <t>INV-2025-00074</t>
  </si>
  <si>
    <t>INV-2025-00075</t>
  </si>
  <si>
    <t>INV-2025-00076</t>
  </si>
  <si>
    <t>INV-2025-00077</t>
  </si>
  <si>
    <t>INV-2025-00078</t>
  </si>
  <si>
    <t>Missing supplier</t>
  </si>
  <si>
    <t>INV-2025-00079</t>
  </si>
  <si>
    <t>INV-2025-00080</t>
  </si>
  <si>
    <t>INV-2025-00081</t>
  </si>
  <si>
    <t>INV-2025-00082</t>
  </si>
  <si>
    <t>INV-2025-00083</t>
  </si>
  <si>
    <t>INV-2025-00084</t>
  </si>
  <si>
    <t>INV-2025-00085</t>
  </si>
  <si>
    <t>INV-2025-00086</t>
  </si>
  <si>
    <t>INV-2025-00087</t>
  </si>
  <si>
    <t>INV-2025-00088</t>
  </si>
  <si>
    <t>INV-2025-00089</t>
  </si>
  <si>
    <t>S011</t>
  </si>
  <si>
    <t>London Care &amp; Education Centre</t>
  </si>
  <si>
    <t>INV-2025-00090</t>
  </si>
  <si>
    <t>HealthStaffing</t>
  </si>
  <si>
    <t>INV-2025-00091</t>
  </si>
  <si>
    <t>INV-2025-00092</t>
  </si>
  <si>
    <t>INV-2025-00093</t>
  </si>
  <si>
    <t>INV-2025-00094</t>
  </si>
  <si>
    <t>INV-2025-00095</t>
  </si>
  <si>
    <t>CareMed</t>
  </si>
  <si>
    <t>INV-2025-00096</t>
  </si>
  <si>
    <t>INV-2025-00097</t>
  </si>
  <si>
    <t>INV-2025-00098</t>
  </si>
  <si>
    <t>INV-2025-00099</t>
  </si>
  <si>
    <t>INV-2025-00100</t>
  </si>
  <si>
    <t>INV-2025-00101</t>
  </si>
  <si>
    <t>INV-2025-00102</t>
  </si>
  <si>
    <t>INV-2025-00103</t>
  </si>
  <si>
    <t>INV-2025-00104</t>
  </si>
  <si>
    <t>INV-2025-00105</t>
  </si>
  <si>
    <t>INV-2025-00106</t>
  </si>
  <si>
    <t>INV-2025-00107</t>
  </si>
  <si>
    <t>INV-2025-00108</t>
  </si>
  <si>
    <t>INV-2025-00109</t>
  </si>
  <si>
    <t>INV-2025-00110</t>
  </si>
  <si>
    <t>INV-2025-00111</t>
  </si>
  <si>
    <t>INV-2025-00112</t>
  </si>
  <si>
    <t>INV-2025-00113</t>
  </si>
  <si>
    <t>INV-2025-00114</t>
  </si>
  <si>
    <t>INV-2025-00115</t>
  </si>
  <si>
    <t>INV-2025-00116</t>
  </si>
  <si>
    <t>INV-2025-00117</t>
  </si>
  <si>
    <t>INV-2025-00118</t>
  </si>
  <si>
    <t>INV-2025-00119</t>
  </si>
  <si>
    <t>INV-2025-00120</t>
  </si>
  <si>
    <t>INV-2025-00121</t>
  </si>
  <si>
    <t>INV-2025-00122</t>
  </si>
  <si>
    <t>INV-2025-00123</t>
  </si>
  <si>
    <t>INV-2025-00124</t>
  </si>
  <si>
    <t>INV-2025-00125</t>
  </si>
  <si>
    <t>INV-2025-00126</t>
  </si>
  <si>
    <t>INV-2025-00127</t>
  </si>
  <si>
    <t>INV-2025-00128</t>
  </si>
  <si>
    <t>INV-2025-00129</t>
  </si>
  <si>
    <t>INV-2025-00130</t>
  </si>
  <si>
    <t>INV-2025-00131</t>
  </si>
  <si>
    <t>INV-2025-00132</t>
  </si>
  <si>
    <t>INV-2025-00133</t>
  </si>
  <si>
    <t>INV-2025-00134</t>
  </si>
  <si>
    <t>INV-2025-00135</t>
  </si>
  <si>
    <t>INV-2025-00136</t>
  </si>
  <si>
    <t>INV-2025-00137</t>
  </si>
  <si>
    <t>officeplus</t>
  </si>
  <si>
    <t>INV-2025-00138</t>
  </si>
  <si>
    <t>INV-2025-00139</t>
  </si>
  <si>
    <t>INV-2025-00140</t>
  </si>
  <si>
    <t>INV-2025-00141</t>
  </si>
  <si>
    <t>INV-2025-00142</t>
  </si>
  <si>
    <t>INV-2025-00143</t>
  </si>
  <si>
    <t>INV-2025-00144</t>
  </si>
  <si>
    <t>INV-2025-00145</t>
  </si>
  <si>
    <t>INV-2025-00146</t>
  </si>
  <si>
    <t>INV-2025-00147</t>
  </si>
  <si>
    <t>INV-2025-00148</t>
  </si>
  <si>
    <t>INV-2025-00149</t>
  </si>
  <si>
    <t>INV-2025-00150</t>
  </si>
  <si>
    <t>INV-2025-00151</t>
  </si>
  <si>
    <t>INV-2025-00152</t>
  </si>
  <si>
    <t>INV-2025-00153</t>
  </si>
  <si>
    <t>INV-2025-00154</t>
  </si>
  <si>
    <t>INV-2025-00155</t>
  </si>
  <si>
    <t>INV-2025-00156</t>
  </si>
  <si>
    <t>INV-2025-00157</t>
  </si>
  <si>
    <t>INV-2025-00158</t>
  </si>
  <si>
    <t>INV-2025-00159</t>
  </si>
  <si>
    <t>INV-2025-00160</t>
  </si>
  <si>
    <t>INV-2025-00161</t>
  </si>
  <si>
    <t>INV-2025-00162</t>
  </si>
  <si>
    <t>INV-2025-00163</t>
  </si>
  <si>
    <t>INV-2025-00164</t>
  </si>
  <si>
    <t>INV-2025-00165</t>
  </si>
  <si>
    <t>INV-2025-00166</t>
  </si>
  <si>
    <t>INV-2025-00167</t>
  </si>
  <si>
    <t>INV-2025-00168</t>
  </si>
  <si>
    <t>INV-2025-00169</t>
  </si>
  <si>
    <t>INV-2025-00170</t>
  </si>
  <si>
    <t>INV-2025-00171</t>
  </si>
  <si>
    <t>INV-2025-00172</t>
  </si>
  <si>
    <t>INV-2025-00173</t>
  </si>
  <si>
    <t>INV-2025-00174</t>
  </si>
  <si>
    <t>INV-2025-00175</t>
  </si>
  <si>
    <t>INV-2025-00176</t>
  </si>
  <si>
    <t>INV-2025-00177</t>
  </si>
  <si>
    <t>INV-2025-00178</t>
  </si>
  <si>
    <t>INV-2025-00179</t>
  </si>
  <si>
    <t>INV-2025-00180</t>
  </si>
  <si>
    <t>INV-2025-00181</t>
  </si>
  <si>
    <t>INV-2025-00182</t>
  </si>
  <si>
    <t>INV-2025-00183</t>
  </si>
  <si>
    <t>INV-2025-00184</t>
  </si>
  <si>
    <t>INV-2025-00185</t>
  </si>
  <si>
    <t>INV-2025-00186</t>
  </si>
  <si>
    <t>INV-2025-00187</t>
  </si>
  <si>
    <t>INV-2025-00188</t>
  </si>
  <si>
    <t>INV-2025-00189</t>
  </si>
  <si>
    <t>INV-2025-00190</t>
  </si>
  <si>
    <t>INV-2025-00191</t>
  </si>
  <si>
    <t>INV-2025-00192</t>
  </si>
  <si>
    <t>INV-2025-00193</t>
  </si>
  <si>
    <t>INV-2025-00194</t>
  </si>
  <si>
    <t>INV-2025-00195</t>
  </si>
  <si>
    <t>INV-2025-00196</t>
  </si>
  <si>
    <t>INV-2025-00197</t>
  </si>
  <si>
    <t>INV-2025-00198</t>
  </si>
  <si>
    <t>INV-2025-00199</t>
  </si>
  <si>
    <t>INV-2025-00200</t>
  </si>
  <si>
    <t>INV-2025-00201</t>
  </si>
  <si>
    <t>INV-2025-00202</t>
  </si>
  <si>
    <t>INV-2025-00203</t>
  </si>
  <si>
    <t>INV-2025-00204</t>
  </si>
  <si>
    <t>INV-2025-00205</t>
  </si>
  <si>
    <t>INV-2025-00206</t>
  </si>
  <si>
    <t>INV-2025-00207</t>
  </si>
  <si>
    <t>INV-2025-00208</t>
  </si>
  <si>
    <t>INV-2025-00209</t>
  </si>
  <si>
    <t>INV-2025-00210</t>
  </si>
  <si>
    <t>INV-2025-00211</t>
  </si>
  <si>
    <t>INV-2025-00212</t>
  </si>
  <si>
    <t>INV-2025-00213</t>
  </si>
  <si>
    <t>INV-2025-00214</t>
  </si>
  <si>
    <t>INV-2025-00215</t>
  </si>
  <si>
    <t>INV-2025-00216</t>
  </si>
  <si>
    <t>INV-2025-00217</t>
  </si>
  <si>
    <t>INV-2025-00218</t>
  </si>
  <si>
    <t>INV-2025-00219</t>
  </si>
  <si>
    <t>INV-2025-00220</t>
  </si>
  <si>
    <t>INV-2025-00221</t>
  </si>
  <si>
    <t>INV-2025-00222</t>
  </si>
  <si>
    <t>INV-2025-00223</t>
  </si>
  <si>
    <t>INV-2025-00224</t>
  </si>
  <si>
    <t>INV-2025-00225</t>
  </si>
  <si>
    <t>INV-2025-00226</t>
  </si>
  <si>
    <t>INV-2025-00227</t>
  </si>
  <si>
    <t>INV-2025-00228</t>
  </si>
  <si>
    <t>INV-2025-00229</t>
  </si>
  <si>
    <t>INV-2025-00230</t>
  </si>
  <si>
    <t>INV-2025-00231</t>
  </si>
  <si>
    <t>INV-2025-00232</t>
  </si>
  <si>
    <t>INV-2025-00233</t>
  </si>
  <si>
    <t>INV-2025-00234</t>
  </si>
  <si>
    <t>INV-2025-00235</t>
  </si>
  <si>
    <t>INV-2025-00236</t>
  </si>
  <si>
    <t>INV-2025-00237</t>
  </si>
  <si>
    <t>INV-2025-00238</t>
  </si>
  <si>
    <t>INV-2025-00239</t>
  </si>
  <si>
    <t>INV-2025-00240</t>
  </si>
  <si>
    <t>INV-2025-00241</t>
  </si>
  <si>
    <t>INV-2025-00242</t>
  </si>
  <si>
    <t>INV-2025-00243</t>
  </si>
  <si>
    <t>INV-2025-00244</t>
  </si>
  <si>
    <t>INV-2025-00245</t>
  </si>
  <si>
    <t>INV-2025-00246</t>
  </si>
  <si>
    <t>INV-2025-00247</t>
  </si>
  <si>
    <t>INV-2025-00248</t>
  </si>
  <si>
    <t>INV-2025-00249</t>
  </si>
  <si>
    <t>Duplicate invoice</t>
  </si>
  <si>
    <t>INV-2025-00250</t>
  </si>
  <si>
    <t>INV-2025-00252</t>
  </si>
  <si>
    <t>INV-2025-00253</t>
  </si>
  <si>
    <t>INV-2025-00254</t>
  </si>
  <si>
    <t>INV-2025-00255</t>
  </si>
  <si>
    <t>INV-2025-00256</t>
  </si>
  <si>
    <t>INV-2025-00257</t>
  </si>
  <si>
    <t>INV-2025-00258</t>
  </si>
  <si>
    <t>INV-2025-00259</t>
  </si>
  <si>
    <t>INV-2025-00260</t>
  </si>
  <si>
    <t>INV-2025-00261</t>
  </si>
  <si>
    <t>INV-2025-00262</t>
  </si>
  <si>
    <t>INV-2025-00263</t>
  </si>
  <si>
    <t>INV-2025-00264</t>
  </si>
  <si>
    <t>INV-2025-00265</t>
  </si>
  <si>
    <t>INV-2025-00266</t>
  </si>
  <si>
    <t>INV-2025-00267</t>
  </si>
  <si>
    <t>INV-2025-00268</t>
  </si>
  <si>
    <t>INV-2025-00269</t>
  </si>
  <si>
    <t>INV-2025-00270</t>
  </si>
  <si>
    <t>INV-2025-00271</t>
  </si>
  <si>
    <t>INV-2025-00272</t>
  </si>
  <si>
    <t>INV-2025-00273</t>
  </si>
  <si>
    <t>INV-2025-00274</t>
  </si>
  <si>
    <t>netserve</t>
  </si>
  <si>
    <t>INV-2025-00275</t>
  </si>
  <si>
    <t>INV-2025-00276</t>
  </si>
  <si>
    <t>INV-2025-00277</t>
  </si>
  <si>
    <t>INV-2025-00278</t>
  </si>
  <si>
    <t>INV-2025-00279</t>
  </si>
  <si>
    <t>INV-2025-00280</t>
  </si>
  <si>
    <t>INV-2025-00281</t>
  </si>
  <si>
    <t>INV-2025-00282</t>
  </si>
  <si>
    <t>INV-2025-00283</t>
  </si>
  <si>
    <t>INV-2025-00284</t>
  </si>
  <si>
    <t>INV-2025-00285</t>
  </si>
  <si>
    <t>INV-2025-00286</t>
  </si>
  <si>
    <t>INV-2025-00287</t>
  </si>
  <si>
    <t>INV-2025-00288</t>
  </si>
  <si>
    <t>INV-2025-00289</t>
  </si>
  <si>
    <t>INV-2025-00290</t>
  </si>
  <si>
    <t>INV-2025-00291</t>
  </si>
  <si>
    <t>INV-2025-00292</t>
  </si>
  <si>
    <t>INV-2025-00293</t>
  </si>
  <si>
    <t>INV-2025-00294</t>
  </si>
  <si>
    <t>INV-2025-00295</t>
  </si>
  <si>
    <t>INV-2025-00296</t>
  </si>
  <si>
    <t>INV-2025-00297</t>
  </si>
  <si>
    <t>INV-2025-00298</t>
  </si>
  <si>
    <t>INV-2025-00299</t>
  </si>
  <si>
    <t>INV-2025-00300</t>
  </si>
  <si>
    <t>INV-2025-00301</t>
  </si>
  <si>
    <t>INV-2025-00302</t>
  </si>
  <si>
    <t>INV-2025-00303</t>
  </si>
  <si>
    <t>INV-2025-00304</t>
  </si>
  <si>
    <t>INV-2025-00305</t>
  </si>
  <si>
    <t>INV-2025-00306</t>
  </si>
  <si>
    <t>INV-2025-00307</t>
  </si>
  <si>
    <t>INV-2025-00308</t>
  </si>
  <si>
    <t>INV-2025-00309</t>
  </si>
  <si>
    <t>INV-2025-00310</t>
  </si>
  <si>
    <t>INV-2025-00311</t>
  </si>
  <si>
    <t>INV-2025-00312</t>
  </si>
  <si>
    <t>INV-2025-00313</t>
  </si>
  <si>
    <t>INV-2025-00314</t>
  </si>
  <si>
    <t>INV-2025-00315</t>
  </si>
  <si>
    <t>INV-2025-00316</t>
  </si>
  <si>
    <t>INV-2025-00317</t>
  </si>
  <si>
    <t>INV-2025-00318</t>
  </si>
  <si>
    <t>INV-2025-00319</t>
  </si>
  <si>
    <t>INV-2025-00320</t>
  </si>
  <si>
    <t>INV-2025-00321</t>
  </si>
  <si>
    <t>INV-2025-00322</t>
  </si>
  <si>
    <t>INV-2025-00323</t>
  </si>
  <si>
    <t>INV-2025-00324</t>
  </si>
  <si>
    <t>INV-2025-00325</t>
  </si>
  <si>
    <t>INV-2025-00326</t>
  </si>
  <si>
    <t>INV-2025-00327</t>
  </si>
  <si>
    <t>INV-2025-00328</t>
  </si>
  <si>
    <t>INV-2025-00329</t>
  </si>
  <si>
    <t>INV-2025-00330</t>
  </si>
  <si>
    <t>INV-2025-00331</t>
  </si>
  <si>
    <t>INV-2025-00332</t>
  </si>
  <si>
    <t>INV-2025-00333</t>
  </si>
  <si>
    <t>INV-2025-00334</t>
  </si>
  <si>
    <t>INV-2025-00335</t>
  </si>
  <si>
    <t>INV-2025-00336</t>
  </si>
  <si>
    <t>INV-2025-00337</t>
  </si>
  <si>
    <t>INV-2025-00338</t>
  </si>
  <si>
    <t>INV-2025-00339</t>
  </si>
  <si>
    <t>INV-2025-00340</t>
  </si>
  <si>
    <t>INV-2025-00341</t>
  </si>
  <si>
    <t>INV-2025-00342</t>
  </si>
  <si>
    <t>INV-2025-00343</t>
  </si>
  <si>
    <t>INV-2025-00344</t>
  </si>
  <si>
    <t>INV-2025-00345</t>
  </si>
  <si>
    <t>INV-2025-00346</t>
  </si>
  <si>
    <t>INV-2025-00347</t>
  </si>
  <si>
    <t>INV-2025-00348</t>
  </si>
  <si>
    <t>INV-2025-00349</t>
  </si>
  <si>
    <t>INV-2025-00350</t>
  </si>
  <si>
    <t>INV-2025-00351</t>
  </si>
  <si>
    <t>INV-2025-00352</t>
  </si>
  <si>
    <t>INV-2025-00353</t>
  </si>
  <si>
    <t>INV-2025-00354</t>
  </si>
  <si>
    <t>INV-2025-00355</t>
  </si>
  <si>
    <t>INV-2025-00356</t>
  </si>
  <si>
    <t>INV-2025-00357</t>
  </si>
  <si>
    <t>INV-2025-00358</t>
  </si>
  <si>
    <t>INV-2025-00359</t>
  </si>
  <si>
    <t>INV-2025-00360</t>
  </si>
  <si>
    <t>INV-2025-00361</t>
  </si>
  <si>
    <t>INV-2025-00362</t>
  </si>
  <si>
    <t>INV-2025-00363</t>
  </si>
  <si>
    <t>INV-2025-00364</t>
  </si>
  <si>
    <t>INV-2025-00365</t>
  </si>
  <si>
    <t>INV-2025-00366</t>
  </si>
  <si>
    <t>INV-2025-00367</t>
  </si>
  <si>
    <t>INV-2025-00368</t>
  </si>
  <si>
    <t>INV-2025-00369</t>
  </si>
  <si>
    <t>INV-2025-00370</t>
  </si>
  <si>
    <t>INV-2025-00371</t>
  </si>
  <si>
    <t>INV-2025-00372</t>
  </si>
  <si>
    <t>INV-2025-00373</t>
  </si>
  <si>
    <t>INV-2025-00374</t>
  </si>
  <si>
    <t>INV-2025-00375</t>
  </si>
  <si>
    <t>INV-2025-00376</t>
  </si>
  <si>
    <t>INV-2025-00377</t>
  </si>
  <si>
    <t>INV-2025-00378</t>
  </si>
  <si>
    <t>INV-2025-00379</t>
  </si>
  <si>
    <t>INV-2025-00380</t>
  </si>
  <si>
    <t>INV-2025-00381</t>
  </si>
  <si>
    <t>INV-2025-00382</t>
  </si>
  <si>
    <t>INV-2025-00383</t>
  </si>
  <si>
    <t>INV-2025-00384</t>
  </si>
  <si>
    <t>INV-2025-00385</t>
  </si>
  <si>
    <t>INV-2025-00386</t>
  </si>
  <si>
    <t>INV-2025-00387</t>
  </si>
  <si>
    <t>INV-2025-00388</t>
  </si>
  <si>
    <t>INV-2025-00389</t>
  </si>
  <si>
    <t>INV-2025-00390</t>
  </si>
  <si>
    <t>INV-2025-00391</t>
  </si>
  <si>
    <t>INV-2025-00392</t>
  </si>
  <si>
    <t>INV-2025-00393</t>
  </si>
  <si>
    <t>INV-2025-00394</t>
  </si>
  <si>
    <t>INV-2025-00395</t>
  </si>
  <si>
    <t>INV-2025-00396</t>
  </si>
  <si>
    <t>INV-2025-00397</t>
  </si>
  <si>
    <t>INV-2025-00398</t>
  </si>
  <si>
    <t>INV-2025-00399</t>
  </si>
  <si>
    <t>INV-2025-00400</t>
  </si>
  <si>
    <t>INV-2025-00401</t>
  </si>
  <si>
    <t>INV-2025-00402</t>
  </si>
  <si>
    <t>INV-2025-00403</t>
  </si>
  <si>
    <t>INV-2025-00404</t>
  </si>
  <si>
    <t>INV-2025-00405</t>
  </si>
  <si>
    <t>INV-2025-00406</t>
  </si>
  <si>
    <t>INV-2025-00407</t>
  </si>
  <si>
    <t>INV-2025-00408</t>
  </si>
  <si>
    <t>INV-2025-00409</t>
  </si>
  <si>
    <t>INV-2025-00410</t>
  </si>
  <si>
    <t>INV-2025-00411</t>
  </si>
  <si>
    <t>telecare it</t>
  </si>
  <si>
    <t>INV-2025-00412</t>
  </si>
  <si>
    <t>INV-2025-00413</t>
  </si>
  <si>
    <t>INV-2025-00414</t>
  </si>
  <si>
    <t>INV-2025-00415</t>
  </si>
  <si>
    <t>INV-2025-00416</t>
  </si>
  <si>
    <t>INV-2025-00417</t>
  </si>
  <si>
    <t>INV-2025-00418</t>
  </si>
  <si>
    <t>INV-2025-00419</t>
  </si>
  <si>
    <t>INV-2025-00420</t>
  </si>
  <si>
    <t>INV-2025-00421</t>
  </si>
  <si>
    <t>INV-2025-00422</t>
  </si>
  <si>
    <t>INV-2025-00423</t>
  </si>
  <si>
    <t>INV-2025-00424</t>
  </si>
  <si>
    <t>INV-2025-00425</t>
  </si>
  <si>
    <t>INV-2025-00426</t>
  </si>
  <si>
    <t>INV-2025-00427</t>
  </si>
  <si>
    <t>INV-2025-00428</t>
  </si>
  <si>
    <t>INV-2025-00429</t>
  </si>
  <si>
    <t>INV-2025-00430</t>
  </si>
  <si>
    <t>INV-2025-00431</t>
  </si>
  <si>
    <t>INV-2025-00432</t>
  </si>
  <si>
    <t>INV-2025-00433</t>
  </si>
  <si>
    <t>INV-2025-00434</t>
  </si>
  <si>
    <t>INV-2025-00435</t>
  </si>
  <si>
    <t>INV-2025-00436</t>
  </si>
  <si>
    <t>INV-2025-00437</t>
  </si>
  <si>
    <t>INV-2025-00438</t>
  </si>
  <si>
    <t>INV-2025-00439</t>
  </si>
  <si>
    <t>INV-2025-00440</t>
  </si>
  <si>
    <t>INV-2025-00441</t>
  </si>
  <si>
    <t>INV-2025-00442</t>
  </si>
  <si>
    <t>INV-2025-00443</t>
  </si>
  <si>
    <t>INV-2025-00444</t>
  </si>
  <si>
    <t>INV-2025-00445</t>
  </si>
  <si>
    <t>INV-2025-00446</t>
  </si>
  <si>
    <t>INV-2025-00447</t>
  </si>
  <si>
    <t>INV-2025-00448</t>
  </si>
  <si>
    <t>INV-2025-00449</t>
  </si>
  <si>
    <t>INV-2025-00450</t>
  </si>
  <si>
    <t>INV-2025-00451</t>
  </si>
  <si>
    <t>INV-2025-00452</t>
  </si>
  <si>
    <t>INV-2025-00453</t>
  </si>
  <si>
    <t>INV-2025-00454</t>
  </si>
  <si>
    <t>INV-2025-00455</t>
  </si>
  <si>
    <t>INV-2025-00456</t>
  </si>
  <si>
    <t>INV-2025-00457</t>
  </si>
  <si>
    <t>INV-2025-00458</t>
  </si>
  <si>
    <t>INV-2025-00459</t>
  </si>
  <si>
    <t>INV-2025-00460</t>
  </si>
  <si>
    <t>INV-2025-00461</t>
  </si>
  <si>
    <t>INV-2025-00462</t>
  </si>
  <si>
    <t>INV-2025-00463</t>
  </si>
  <si>
    <t>INV-2025-00464</t>
  </si>
  <si>
    <t>INV-2025-00465</t>
  </si>
  <si>
    <t>INV-2025-00466</t>
  </si>
  <si>
    <t>INV-2025-00467</t>
  </si>
  <si>
    <t>INV-2025-00468</t>
  </si>
  <si>
    <t>INV-2025-00469</t>
  </si>
  <si>
    <t>INV-2025-00470</t>
  </si>
  <si>
    <t>INV-2025-00471</t>
  </si>
  <si>
    <t>INV-2025-00472</t>
  </si>
  <si>
    <t>INV-2025-00473</t>
  </si>
  <si>
    <t>INV-2025-00474</t>
  </si>
  <si>
    <t>INV-2025-00475</t>
  </si>
  <si>
    <t>INV-2025-00476</t>
  </si>
  <si>
    <t>INV-2025-00477</t>
  </si>
  <si>
    <t>INV-2025-00478</t>
  </si>
  <si>
    <t>INV-2025-00479</t>
  </si>
  <si>
    <t>INV-2025-00480</t>
  </si>
  <si>
    <t>INV-2025-00481</t>
  </si>
  <si>
    <t>INV-2025-00482</t>
  </si>
  <si>
    <t>INV-2025-00483</t>
  </si>
  <si>
    <t>INV-2025-00484</t>
  </si>
  <si>
    <t>INV-2025-00485</t>
  </si>
  <si>
    <t>INV-2025-00486</t>
  </si>
  <si>
    <t>INV-2025-00487</t>
  </si>
  <si>
    <t>INV-2025-00488</t>
  </si>
  <si>
    <t>INV-2025-00489</t>
  </si>
  <si>
    <t>INV-2025-00490</t>
  </si>
  <si>
    <t>INV-2025-00491</t>
  </si>
  <si>
    <t>INV-2025-00492</t>
  </si>
  <si>
    <t>INV-2025-00493</t>
  </si>
  <si>
    <t>INV-2025-00494</t>
  </si>
  <si>
    <t>INV-2025-00495</t>
  </si>
  <si>
    <t>INV-2025-00496</t>
  </si>
  <si>
    <t>INV-2025-00497</t>
  </si>
  <si>
    <t>INV-2025-00498</t>
  </si>
  <si>
    <t>INV-2025-00499</t>
  </si>
  <si>
    <t>INV-2025-00500</t>
  </si>
  <si>
    <t>INV-2025-00501</t>
  </si>
  <si>
    <t>INV-2025-00502</t>
  </si>
  <si>
    <t>INV-2025-00503</t>
  </si>
  <si>
    <t>INV-2025-00504</t>
  </si>
  <si>
    <t>INV-2025-00505</t>
  </si>
  <si>
    <t>INV-2025-00506</t>
  </si>
  <si>
    <t>INV-2025-00507</t>
  </si>
  <si>
    <t>INV-2025-00508</t>
  </si>
  <si>
    <t>INV-2025-00509</t>
  </si>
  <si>
    <t>INV-2025-00510</t>
  </si>
  <si>
    <t>INV-2025-00511</t>
  </si>
  <si>
    <t>medical supplies</t>
  </si>
  <si>
    <t>INV-2025-00512</t>
  </si>
  <si>
    <t>INV-2025-00513</t>
  </si>
  <si>
    <t>INV-2025-00514</t>
  </si>
  <si>
    <t>INV-2025-00515</t>
  </si>
  <si>
    <t>INV-2025-00516</t>
  </si>
  <si>
    <t>INV-2025-00517</t>
  </si>
  <si>
    <t>INV-2025-00518</t>
  </si>
  <si>
    <t>INV-2025-00519</t>
  </si>
  <si>
    <t>INV-2025-00520</t>
  </si>
  <si>
    <t>INV-2025-00521</t>
  </si>
  <si>
    <t>INV-2025-00522</t>
  </si>
  <si>
    <t>INV-2025-00523</t>
  </si>
  <si>
    <t>INV-2025-00524</t>
  </si>
  <si>
    <t>INV-2025-00525</t>
  </si>
  <si>
    <t>INV-2025-00526</t>
  </si>
  <si>
    <t>INV-2025-00527</t>
  </si>
  <si>
    <t>INV-2025-00528</t>
  </si>
  <si>
    <t>INV-2025-00529</t>
  </si>
  <si>
    <t>INV-2025-00530</t>
  </si>
  <si>
    <t>INV-2025-00531</t>
  </si>
  <si>
    <t>INV-2025-00532</t>
  </si>
  <si>
    <t>INV-2025-00533</t>
  </si>
  <si>
    <t>INV-2025-00534</t>
  </si>
  <si>
    <t>INV-2025-00535</t>
  </si>
  <si>
    <t>INV-2025-00536</t>
  </si>
  <si>
    <t>INV-2025-00537</t>
  </si>
  <si>
    <t>INV-2025-00538</t>
  </si>
  <si>
    <t>INV-2025-00539</t>
  </si>
  <si>
    <t>INV-2025-00540</t>
  </si>
  <si>
    <t>INV-2025-00541</t>
  </si>
  <si>
    <t>INV-2025-00542</t>
  </si>
  <si>
    <t>INV-2025-00543</t>
  </si>
  <si>
    <t>INV-2025-00544</t>
  </si>
  <si>
    <t>INV-2025-00545</t>
  </si>
  <si>
    <t>INV-2025-00546</t>
  </si>
  <si>
    <t>INV-2025-00547</t>
  </si>
  <si>
    <t>INV-2025-00548</t>
  </si>
  <si>
    <t>nourishco</t>
  </si>
  <si>
    <t>INV-2025-00549</t>
  </si>
  <si>
    <t>INV-2025-00550</t>
  </si>
  <si>
    <t>INV-2025-00551</t>
  </si>
  <si>
    <t>INV-2025-00552</t>
  </si>
  <si>
    <t>INV-2025-00553</t>
  </si>
  <si>
    <t>INV-2025-00554</t>
  </si>
  <si>
    <t>INV-2025-00555</t>
  </si>
  <si>
    <t>INV-2025-00556</t>
  </si>
  <si>
    <t>INV-2025-00557</t>
  </si>
  <si>
    <t>INV-2025-00558</t>
  </si>
  <si>
    <t>INV-2025-00559</t>
  </si>
  <si>
    <t>INV-2025-00560</t>
  </si>
  <si>
    <t>INV-2025-00561</t>
  </si>
  <si>
    <t>INV-2025-00562</t>
  </si>
  <si>
    <t>INV-2025-00563</t>
  </si>
  <si>
    <t>INV-2025-00564</t>
  </si>
  <si>
    <t>INV-2025-00565</t>
  </si>
  <si>
    <t>INV-2025-00566</t>
  </si>
  <si>
    <t>INV-2025-00567</t>
  </si>
  <si>
    <t>INV-2025-00568</t>
  </si>
  <si>
    <t>INV-2025-00569</t>
  </si>
  <si>
    <t>INV-2025-00570</t>
  </si>
  <si>
    <t>INV-2025-00571</t>
  </si>
  <si>
    <t>INV-2025-00572</t>
  </si>
  <si>
    <t>INV-2025-00573</t>
  </si>
  <si>
    <t>INV-2025-00574</t>
  </si>
  <si>
    <t>INV-2025-00575</t>
  </si>
  <si>
    <t>INV-2025-00576</t>
  </si>
  <si>
    <t>INV-2025-00577</t>
  </si>
  <si>
    <t>INV-2025-00578</t>
  </si>
  <si>
    <t>INV-2025-00579</t>
  </si>
  <si>
    <t>INV-2025-00580</t>
  </si>
  <si>
    <t>INV-2025-00581</t>
  </si>
  <si>
    <t>INV-2025-00582</t>
  </si>
  <si>
    <t>INV-2025-00583</t>
  </si>
  <si>
    <t>INV-2025-00584</t>
  </si>
  <si>
    <t>INV-2025-00585</t>
  </si>
  <si>
    <t>INV-2025-00586</t>
  </si>
  <si>
    <t>INV-2025-00587</t>
  </si>
  <si>
    <t>INV-2025-00588</t>
  </si>
  <si>
    <t>INV-2025-00589</t>
  </si>
  <si>
    <t>INV-2025-00590</t>
  </si>
  <si>
    <t>INV-2025-00591</t>
  </si>
  <si>
    <t>INV-2025-00592</t>
  </si>
  <si>
    <t>INV-2025-00593</t>
  </si>
  <si>
    <t>INV-2025-00594</t>
  </si>
  <si>
    <t>INV-2025-00595</t>
  </si>
  <si>
    <t>INV-2025-00596</t>
  </si>
  <si>
    <t>INV-2025-00597</t>
  </si>
  <si>
    <t>INV-2025-00598</t>
  </si>
  <si>
    <t>INV-2025-00599</t>
  </si>
  <si>
    <t>INV-2025-00600</t>
  </si>
  <si>
    <t>INV-2025-00601</t>
  </si>
  <si>
    <t>INV-2025-00602</t>
  </si>
  <si>
    <t>INV-2025-00603</t>
  </si>
  <si>
    <t>INV-2025-00604</t>
  </si>
  <si>
    <t>INV-2025-00605</t>
  </si>
  <si>
    <t>INV-2025-00606</t>
  </si>
  <si>
    <t>INV-2025-00607</t>
  </si>
  <si>
    <t>INV-2025-00608</t>
  </si>
  <si>
    <t>INV-2025-00609</t>
  </si>
  <si>
    <t>INV-2025-00610</t>
  </si>
  <si>
    <t>INV-2025-00611</t>
  </si>
  <si>
    <t>INV-2025-00612</t>
  </si>
  <si>
    <t>INV-2025-00613</t>
  </si>
  <si>
    <t>INV-2025-00614</t>
  </si>
  <si>
    <t>INV-2025-00615</t>
  </si>
  <si>
    <t>INV-2025-00616</t>
  </si>
  <si>
    <t>INV-2025-00617</t>
  </si>
  <si>
    <t>INV-2025-00618</t>
  </si>
  <si>
    <t>INV-2025-00619</t>
  </si>
  <si>
    <t>INV-2025-00620</t>
  </si>
  <si>
    <t>INV-2025-00621</t>
  </si>
  <si>
    <t>INV-2025-00622</t>
  </si>
  <si>
    <t>INV-2025-00623</t>
  </si>
  <si>
    <t>INV-2025-00624</t>
  </si>
  <si>
    <t>INV-2025-00625</t>
  </si>
  <si>
    <t>INV-2025-00626</t>
  </si>
  <si>
    <t>INV-2025-00627</t>
  </si>
  <si>
    <t>INV-2025-00628</t>
  </si>
  <si>
    <t>INV-2025-00629</t>
  </si>
  <si>
    <t>INV-2025-00630</t>
  </si>
  <si>
    <t>INV-2025-00631</t>
  </si>
  <si>
    <t>INV-2025-00632</t>
  </si>
  <si>
    <t>INV-2025-00633</t>
  </si>
  <si>
    <t>INV-2025-00634</t>
  </si>
  <si>
    <t>INV-2025-00635</t>
  </si>
  <si>
    <t>INV-2025-00636</t>
  </si>
  <si>
    <t>INV-2025-00637</t>
  </si>
  <si>
    <t>INV-2025-00638</t>
  </si>
  <si>
    <t>INV-2025-00639</t>
  </si>
  <si>
    <t>INV-2025-00640</t>
  </si>
  <si>
    <t>INV-2025-00641</t>
  </si>
  <si>
    <t>INV-2025-00642</t>
  </si>
  <si>
    <t>INV-2025-00643</t>
  </si>
  <si>
    <t>INV-2025-00644</t>
  </si>
  <si>
    <t>INV-2025-00645</t>
  </si>
  <si>
    <t>INV-2025-00646</t>
  </si>
  <si>
    <t>INV-2025-00647</t>
  </si>
  <si>
    <t>INV-2025-00648</t>
  </si>
  <si>
    <t>INV-2025-00649</t>
  </si>
  <si>
    <t>INV-2025-00650</t>
  </si>
  <si>
    <t>INV-2025-00651</t>
  </si>
  <si>
    <t>INV-2025-00652</t>
  </si>
  <si>
    <t>INV-2025-00653</t>
  </si>
  <si>
    <t>INV-2025-00654</t>
  </si>
  <si>
    <t>INV-2025-00655</t>
  </si>
  <si>
    <t>INV-2025-00656</t>
  </si>
  <si>
    <t>INV-2025-00657</t>
  </si>
  <si>
    <t>INV-2025-00658</t>
  </si>
  <si>
    <t>INV-2025-00659</t>
  </si>
  <si>
    <t>INV-2025-00660</t>
  </si>
  <si>
    <t>INV-2025-00661</t>
  </si>
  <si>
    <t>INV-2025-00662</t>
  </si>
  <si>
    <t>INV-2025-00663</t>
  </si>
  <si>
    <t>INV-2025-00664</t>
  </si>
  <si>
    <t>INV-2025-00665</t>
  </si>
  <si>
    <t>INV-2025-00666</t>
  </si>
  <si>
    <t>INV-2025-00667</t>
  </si>
  <si>
    <t>INV-2025-00668</t>
  </si>
  <si>
    <t>INV-2025-00669</t>
  </si>
  <si>
    <t>INV-2025-00670</t>
  </si>
  <si>
    <t>INV-2025-00671</t>
  </si>
  <si>
    <t>INV-2025-00672</t>
  </si>
  <si>
    <t>INV-2025-00673</t>
  </si>
  <si>
    <t>INV-2025-00674</t>
  </si>
  <si>
    <t>INV-2025-00675</t>
  </si>
  <si>
    <t>INV-2025-00676</t>
  </si>
  <si>
    <t>INV-2025-00677</t>
  </si>
  <si>
    <t>INV-2025-00678</t>
  </si>
  <si>
    <t>INV-2025-00679</t>
  </si>
  <si>
    <t>INV-2025-00680</t>
  </si>
  <si>
    <t>INV-2025-00681</t>
  </si>
  <si>
    <t>INV-2025-00682</t>
  </si>
  <si>
    <t>INV-2025-00683</t>
  </si>
  <si>
    <t>INV-2025-00684</t>
  </si>
  <si>
    <t>INV-2025-00685</t>
  </si>
  <si>
    <t>uk energy partners</t>
  </si>
  <si>
    <t>INV-2025-00686</t>
  </si>
  <si>
    <t>INV-2025-00687</t>
  </si>
  <si>
    <t>INV-2025-00688</t>
  </si>
  <si>
    <t>INV-2025-00689</t>
  </si>
  <si>
    <t>INV-2025-00690</t>
  </si>
  <si>
    <t>INV-2025-00691</t>
  </si>
  <si>
    <t>INV-2025-00692</t>
  </si>
  <si>
    <t>INV-2025-00693</t>
  </si>
  <si>
    <t>INV-2025-00694</t>
  </si>
  <si>
    <t>INV-2025-00695</t>
  </si>
  <si>
    <t>INV-2025-00696</t>
  </si>
  <si>
    <t>INV-2025-00697</t>
  </si>
  <si>
    <t>INV-2025-00698</t>
  </si>
  <si>
    <t>INV-2025-00699</t>
  </si>
  <si>
    <t>INV-2025-00700</t>
  </si>
  <si>
    <t>INV-2025-00701</t>
  </si>
  <si>
    <t>INV-2025-00702</t>
  </si>
  <si>
    <t>INV-2025-00703</t>
  </si>
  <si>
    <t>INV-2025-00704</t>
  </si>
  <si>
    <t>INV-2025-00705</t>
  </si>
  <si>
    <t>INV-2025-00706</t>
  </si>
  <si>
    <t>INV-2025-00707</t>
  </si>
  <si>
    <t>INV-2025-00708</t>
  </si>
  <si>
    <t>INV-2025-00709</t>
  </si>
  <si>
    <t>INV-2025-00710</t>
  </si>
  <si>
    <t>INV-2025-00711</t>
  </si>
  <si>
    <t>INV-2025-00712</t>
  </si>
  <si>
    <t>INV-2025-00713</t>
  </si>
  <si>
    <t>INV-2025-00714</t>
  </si>
  <si>
    <t>INV-2025-00715</t>
  </si>
  <si>
    <t>INV-2025-00716</t>
  </si>
  <si>
    <t>INV-2025-00717</t>
  </si>
  <si>
    <t>INV-2025-00718</t>
  </si>
  <si>
    <t>INV-2025-00719</t>
  </si>
  <si>
    <t>INV-2025-00720</t>
  </si>
  <si>
    <t>INV-2025-00721</t>
  </si>
  <si>
    <t>INV-2025-00722</t>
  </si>
  <si>
    <t>INV-2025-00723</t>
  </si>
  <si>
    <t>INV-2025-00724</t>
  </si>
  <si>
    <t>INV-2025-00725</t>
  </si>
  <si>
    <t>INV-2025-00726</t>
  </si>
  <si>
    <t>INV-2025-00727</t>
  </si>
  <si>
    <t>INV-2025-00728</t>
  </si>
  <si>
    <t>INV-2025-00729</t>
  </si>
  <si>
    <t>INV-2025-00730</t>
  </si>
  <si>
    <t>INV-2025-00731</t>
  </si>
  <si>
    <t>INV-2025-00732</t>
  </si>
  <si>
    <t>INV-2025-00733</t>
  </si>
  <si>
    <t>INV-2025-00734</t>
  </si>
  <si>
    <t>INV-2025-00735</t>
  </si>
  <si>
    <t>INV-2025-00736</t>
  </si>
  <si>
    <t>INV-2025-00737</t>
  </si>
  <si>
    <t>INV-2025-00738</t>
  </si>
  <si>
    <t>INV-2025-00739</t>
  </si>
  <si>
    <t>INV-2025-00740</t>
  </si>
  <si>
    <t>INV-2025-00741</t>
  </si>
  <si>
    <t>INV-2025-00742</t>
  </si>
  <si>
    <t>INV-2025-00743</t>
  </si>
  <si>
    <t>INV-2025-00744</t>
  </si>
  <si>
    <t>INV-2025-00745</t>
  </si>
  <si>
    <t>INV-2025-00746</t>
  </si>
  <si>
    <t>INV-2025-00747</t>
  </si>
  <si>
    <t>INV-2025-00748</t>
  </si>
  <si>
    <t>INV-2025-00749</t>
  </si>
  <si>
    <t>INV-2025-00750</t>
  </si>
  <si>
    <t>INV-2025-00751</t>
  </si>
  <si>
    <t>INV-2025-00752</t>
  </si>
  <si>
    <t>INV-2025-00753</t>
  </si>
  <si>
    <t>INV-2025-00754</t>
  </si>
  <si>
    <t>INV-2025-00755</t>
  </si>
  <si>
    <t>INV-2025-00756</t>
  </si>
  <si>
    <t>INV-2025-00757</t>
  </si>
  <si>
    <t>INV-2025-00758</t>
  </si>
  <si>
    <t>INV-2025-00759</t>
  </si>
  <si>
    <t>INV-2025-00760</t>
  </si>
  <si>
    <t>INV-2025-00761</t>
  </si>
  <si>
    <t>INV-2025-00762</t>
  </si>
  <si>
    <t>INV-2025-00763</t>
  </si>
  <si>
    <t>INV-2025-00764</t>
  </si>
  <si>
    <t>INV-2025-00765</t>
  </si>
  <si>
    <t>INV-2025-00766</t>
  </si>
  <si>
    <t>INV-2025-00767</t>
  </si>
  <si>
    <t>INV-2025-00768</t>
  </si>
  <si>
    <t>INV-2025-00769</t>
  </si>
  <si>
    <t>INV-2025-00770</t>
  </si>
  <si>
    <t>INV-2025-00771</t>
  </si>
  <si>
    <t>INV-2025-00772</t>
  </si>
  <si>
    <t>INV-2025-00773</t>
  </si>
  <si>
    <t>INV-2025-00774</t>
  </si>
  <si>
    <t>INV-2025-00775</t>
  </si>
  <si>
    <t>INV-2025-00776</t>
  </si>
  <si>
    <t>INV-2025-00777</t>
  </si>
  <si>
    <t>INV-2025-00778</t>
  </si>
  <si>
    <t>INV-2025-00779</t>
  </si>
  <si>
    <t>INV-2025-00780</t>
  </si>
  <si>
    <t>INV-2025-00781</t>
  </si>
  <si>
    <t>INV-2025-00782</t>
  </si>
  <si>
    <t>INV-2025-00783</t>
  </si>
  <si>
    <t>INV-2025-00784</t>
  </si>
  <si>
    <t>INV-2025-00785</t>
  </si>
  <si>
    <t>INV-2025-00786</t>
  </si>
  <si>
    <t>INV-2025-00787</t>
  </si>
  <si>
    <t>INV-2025-00788</t>
  </si>
  <si>
    <t>INV-2025-00789</t>
  </si>
  <si>
    <t>INV-2025-00790</t>
  </si>
  <si>
    <t>INV-2025-00791</t>
  </si>
  <si>
    <t>INV-2025-00792</t>
  </si>
  <si>
    <t>INV-2025-00793</t>
  </si>
  <si>
    <t>INV-2025-00794</t>
  </si>
  <si>
    <t>INV-2025-00795</t>
  </si>
  <si>
    <t>INV-2025-00796</t>
  </si>
  <si>
    <t>INV-2025-00797</t>
  </si>
  <si>
    <t>INV-2025-00798</t>
  </si>
  <si>
    <t>INV-2025-00799</t>
  </si>
  <si>
    <t>INV-2025-00800</t>
  </si>
  <si>
    <t>INV-2025-00801</t>
  </si>
  <si>
    <t>INV-2025-00802</t>
  </si>
  <si>
    <t>INV-2025-00803</t>
  </si>
  <si>
    <t>INV-2025-00804</t>
  </si>
  <si>
    <t>INV-2025-00805</t>
  </si>
  <si>
    <t>INV-2025-00806</t>
  </si>
  <si>
    <t>INV-2025-00807</t>
  </si>
  <si>
    <t>INV-2025-00808</t>
  </si>
  <si>
    <t>INV-2025-00809</t>
  </si>
  <si>
    <t>INV-2025-00810</t>
  </si>
  <si>
    <t>INV-2025-00811</t>
  </si>
  <si>
    <t>INV-2025-00812</t>
  </si>
  <si>
    <t>INV-2025-00813</t>
  </si>
  <si>
    <t>INV-2025-00814</t>
  </si>
  <si>
    <t>INV-2025-00815</t>
  </si>
  <si>
    <t>INV-2025-00816</t>
  </si>
  <si>
    <t>INV-2025-00817</t>
  </si>
  <si>
    <t>INV-2025-00818</t>
  </si>
  <si>
    <t>INV-2025-00819</t>
  </si>
  <si>
    <t>INV-2025-00820</t>
  </si>
  <si>
    <t>INV-2025-00821</t>
  </si>
  <si>
    <t>INV-2025-00822</t>
  </si>
  <si>
    <t>safeguard fm</t>
  </si>
  <si>
    <t>INV-2025-00823</t>
  </si>
  <si>
    <t>INV-2025-00824</t>
  </si>
  <si>
    <t>INV-2025-00825</t>
  </si>
  <si>
    <t>INV-2025-00826</t>
  </si>
  <si>
    <t>INV-2025-00827</t>
  </si>
  <si>
    <t>INV-2025-00828</t>
  </si>
  <si>
    <t>INV-2025-00829</t>
  </si>
  <si>
    <t>INV-2025-00830</t>
  </si>
  <si>
    <t>INV-2025-00831</t>
  </si>
  <si>
    <t>INV-2025-00832</t>
  </si>
  <si>
    <t>INV-2025-00833</t>
  </si>
  <si>
    <t>INV-2025-00834</t>
  </si>
  <si>
    <t>INV-2025-00835</t>
  </si>
  <si>
    <t>INV-2025-00836</t>
  </si>
  <si>
    <t>INV-2025-00837</t>
  </si>
  <si>
    <t>INV-2025-00838</t>
  </si>
  <si>
    <t>INV-2025-00839</t>
  </si>
  <si>
    <t>INV-2025-00840</t>
  </si>
  <si>
    <t>INV-2025-00841</t>
  </si>
  <si>
    <t>INV-2025-00842</t>
  </si>
  <si>
    <t>INV-2025-00843</t>
  </si>
  <si>
    <t>INV-2025-00844</t>
  </si>
  <si>
    <t>INV-2025-00845</t>
  </si>
  <si>
    <t>INV-2025-00846</t>
  </si>
  <si>
    <t>INV-2025-00847</t>
  </si>
  <si>
    <t>INV-2025-00848</t>
  </si>
  <si>
    <t>INV-2025-00849</t>
  </si>
  <si>
    <t>INV-2025-00850</t>
  </si>
  <si>
    <t>INV-2025-00851</t>
  </si>
  <si>
    <t>INV-2025-00852</t>
  </si>
  <si>
    <t>INV-2025-00853</t>
  </si>
  <si>
    <t>INV-2025-00854</t>
  </si>
  <si>
    <t>INV-2025-00855</t>
  </si>
  <si>
    <t>INV-2025-00856</t>
  </si>
  <si>
    <t>INV-2025-00857</t>
  </si>
  <si>
    <t>INV-2025-00858</t>
  </si>
  <si>
    <t>INV-2025-00859</t>
  </si>
  <si>
    <t>INV-2025-00860</t>
  </si>
  <si>
    <t>INV-2025-00861</t>
  </si>
  <si>
    <t>INV-2025-00862</t>
  </si>
  <si>
    <t>INV-2025-00863</t>
  </si>
  <si>
    <t>INV-2025-00864</t>
  </si>
  <si>
    <t>INV-2025-00865</t>
  </si>
  <si>
    <t>INV-2025-00866</t>
  </si>
  <si>
    <t>INV-2025-00867</t>
  </si>
  <si>
    <t>INV-2025-00868</t>
  </si>
  <si>
    <t>INV-2025-00869</t>
  </si>
  <si>
    <t>INV-2025-00870</t>
  </si>
  <si>
    <t>INV-2025-00871</t>
  </si>
  <si>
    <t>INV-2025-00872</t>
  </si>
  <si>
    <t>INV-2025-00873</t>
  </si>
  <si>
    <t>INV-2025-00874</t>
  </si>
  <si>
    <t>INV-2025-00875</t>
  </si>
  <si>
    <t>INV-2025-00876</t>
  </si>
  <si>
    <t>INV-2025-00877</t>
  </si>
  <si>
    <t>INV-2025-00878</t>
  </si>
  <si>
    <t>INV-2025-00879</t>
  </si>
  <si>
    <t>INV-2025-00880</t>
  </si>
  <si>
    <t>INV-2025-00881</t>
  </si>
  <si>
    <t>INV-2025-00882</t>
  </si>
  <si>
    <t>INV-2025-00883</t>
  </si>
  <si>
    <t>INV-2025-00884</t>
  </si>
  <si>
    <t>INV-2025-00885</t>
  </si>
  <si>
    <t>INV-2025-00886</t>
  </si>
  <si>
    <t>INV-2025-00887</t>
  </si>
  <si>
    <t>INV-2025-00888</t>
  </si>
  <si>
    <t>INV-2025-00889</t>
  </si>
  <si>
    <t>INV-2025-00890</t>
  </si>
  <si>
    <t>INV-2025-00891</t>
  </si>
  <si>
    <t>INV-2025-00892</t>
  </si>
  <si>
    <t>INV-2025-00893</t>
  </si>
  <si>
    <t>INV-2025-00894</t>
  </si>
  <si>
    <t>INV-2025-00895</t>
  </si>
  <si>
    <t>INV-2025-00896</t>
  </si>
  <si>
    <t>INV-2025-00897</t>
  </si>
  <si>
    <t>INV-2025-00898</t>
  </si>
  <si>
    <t>INV-2025-00899</t>
  </si>
  <si>
    <t>INV-2025-00900</t>
  </si>
  <si>
    <t>INV-2025-00901</t>
  </si>
  <si>
    <t>INV-2025-00902</t>
  </si>
  <si>
    <t>Missing site</t>
  </si>
  <si>
    <t>INV-2025-00903</t>
  </si>
  <si>
    <t>INV-2025-00904</t>
  </si>
  <si>
    <t>INV-2025-00905</t>
  </si>
  <si>
    <t>INV-2025-00906</t>
  </si>
  <si>
    <t>INV-2025-00907</t>
  </si>
  <si>
    <t>INV-2025-00908</t>
  </si>
  <si>
    <t>INV-2025-00909</t>
  </si>
  <si>
    <t>INV-2025-00910</t>
  </si>
  <si>
    <t>INV-2025-00911</t>
  </si>
  <si>
    <t>INV-2025-00912</t>
  </si>
  <si>
    <t>INV-2025-00913</t>
  </si>
  <si>
    <t>INV-2025-00914</t>
  </si>
  <si>
    <t>INV-2025-00915</t>
  </si>
  <si>
    <t>INV-2025-00916</t>
  </si>
  <si>
    <t>INV-2025-00917</t>
  </si>
  <si>
    <t>INV-2025-00918</t>
  </si>
  <si>
    <t>INV-2025-00919</t>
  </si>
  <si>
    <t>INV-2025-00920</t>
  </si>
  <si>
    <t>INV-2025-00921</t>
  </si>
  <si>
    <t>INV-2025-00922</t>
  </si>
  <si>
    <t>INV-2025-00923</t>
  </si>
  <si>
    <t>INV-2025-00924</t>
  </si>
  <si>
    <t>INV-2025-00925</t>
  </si>
  <si>
    <t>INV-2025-00926</t>
  </si>
  <si>
    <t>INV-2025-00927</t>
  </si>
  <si>
    <t>INV-2025-00928</t>
  </si>
  <si>
    <t>INV-2025-00929</t>
  </si>
  <si>
    <t>INV-2025-00930</t>
  </si>
  <si>
    <t>INV-2025-00931</t>
  </si>
  <si>
    <t>INV-2025-00932</t>
  </si>
  <si>
    <t>INV-2025-00933</t>
  </si>
  <si>
    <t>INV-2025-00934</t>
  </si>
  <si>
    <t>INV-2025-00935</t>
  </si>
  <si>
    <t>INV-2025-00936</t>
  </si>
  <si>
    <t>INV-2025-00937</t>
  </si>
  <si>
    <t>INV-2025-00938</t>
  </si>
  <si>
    <t>INV-2025-00939</t>
  </si>
  <si>
    <t>INV-2025-00940</t>
  </si>
  <si>
    <t>INV-2025-00941</t>
  </si>
  <si>
    <t>INV-2025-00942</t>
  </si>
  <si>
    <t>INV-2025-00943</t>
  </si>
  <si>
    <t>INV-2025-00944</t>
  </si>
  <si>
    <t>INV-2025-00945</t>
  </si>
  <si>
    <t>INV-2025-00946</t>
  </si>
  <si>
    <t>INV-2025-00947</t>
  </si>
  <si>
    <t>INV-2025-00948</t>
  </si>
  <si>
    <t>INV-2025-00949</t>
  </si>
  <si>
    <t>INV-2025-00950</t>
  </si>
  <si>
    <t>INV-2025-00951</t>
  </si>
  <si>
    <t>INV-2025-00952</t>
  </si>
  <si>
    <t>INV-2025-00953</t>
  </si>
  <si>
    <t>INV-2025-00954</t>
  </si>
  <si>
    <t>INV-2025-00955</t>
  </si>
  <si>
    <t>INV-2025-00956</t>
  </si>
  <si>
    <t>INV-2025-00957</t>
  </si>
  <si>
    <t>INV-2025-00958</t>
  </si>
  <si>
    <t>INV-2025-00959</t>
  </si>
  <si>
    <t>INV-2025-00960</t>
  </si>
  <si>
    <t>INV-2025-00961</t>
  </si>
  <si>
    <t>INV-2025-00962</t>
  </si>
  <si>
    <t>INV-2025-00963</t>
  </si>
  <si>
    <t>INV-2025-00964</t>
  </si>
  <si>
    <t>INV-2025-00965</t>
  </si>
  <si>
    <t>INV-2025-00966</t>
  </si>
  <si>
    <t>INV-2025-00967</t>
  </si>
  <si>
    <t>INV-2025-00968</t>
  </si>
  <si>
    <t>INV-2025-00969</t>
  </si>
  <si>
    <t>INV-2025-00970</t>
  </si>
  <si>
    <t>INV-2025-00971</t>
  </si>
  <si>
    <t>INV-2025-00972</t>
  </si>
  <si>
    <t>INV-2025-00973</t>
  </si>
  <si>
    <t>INV-2025-00974</t>
  </si>
  <si>
    <t>INV-2025-00975</t>
  </si>
  <si>
    <t>INV-2025-00976</t>
  </si>
  <si>
    <t>INV-2025-00977</t>
  </si>
  <si>
    <t>INV-2025-00978</t>
  </si>
  <si>
    <t>INV-2025-00979</t>
  </si>
  <si>
    <t>INV-2025-00980</t>
  </si>
  <si>
    <t>INV-2025-00981</t>
  </si>
  <si>
    <t>INV-2025-00982</t>
  </si>
  <si>
    <t>INV-2025-00983</t>
  </si>
  <si>
    <t>INV-2025-00984</t>
  </si>
  <si>
    <t>INV-2025-00985</t>
  </si>
  <si>
    <t>INV-2025-00986</t>
  </si>
  <si>
    <t>INV-2025-00987</t>
  </si>
  <si>
    <t>INV-2025-00988</t>
  </si>
  <si>
    <t>INV-2025-00989</t>
  </si>
  <si>
    <t>INV-2025-00990</t>
  </si>
  <si>
    <t>INV-2025-00991</t>
  </si>
  <si>
    <t>INV-2025-00992</t>
  </si>
  <si>
    <t>INV-2025-00993</t>
  </si>
  <si>
    <t>INV-2025-00994</t>
  </si>
  <si>
    <t>INV-2025-00995</t>
  </si>
  <si>
    <t>INV-2025-00996</t>
  </si>
  <si>
    <t>INV-2025-00997</t>
  </si>
  <si>
    <t>INV-2025-00998</t>
  </si>
  <si>
    <t>INV-2025-00999</t>
  </si>
  <si>
    <t>INV-2025-01000</t>
  </si>
  <si>
    <t>INV-2025-01001</t>
  </si>
  <si>
    <t>INV-2025-01002</t>
  </si>
  <si>
    <t>INV-2025-01003</t>
  </si>
  <si>
    <t>INV-2025-01004</t>
  </si>
  <si>
    <t>INV-2025-01005</t>
  </si>
  <si>
    <t>INV-2025-01006</t>
  </si>
  <si>
    <t>INV-2025-01007</t>
  </si>
  <si>
    <t>INV-2025-01008</t>
  </si>
  <si>
    <t>INV-2025-01009</t>
  </si>
  <si>
    <t>INV-2025-01010</t>
  </si>
  <si>
    <t>INV-2025-01011</t>
  </si>
  <si>
    <t>INV-2025-01012</t>
  </si>
  <si>
    <t>INV-2025-01013</t>
  </si>
  <si>
    <t>INV-2025-01014</t>
  </si>
  <si>
    <t>INV-2025-01015</t>
  </si>
  <si>
    <t>INV-2025-01016</t>
  </si>
  <si>
    <t>INV-2025-01017</t>
  </si>
  <si>
    <t>INV-2025-01018</t>
  </si>
  <si>
    <t>INV-2025-01019</t>
  </si>
  <si>
    <t>INV-2025-01020</t>
  </si>
  <si>
    <t>INV-2025-01021</t>
  </si>
  <si>
    <t>INV-2025-01022</t>
  </si>
  <si>
    <t>INV-2025-01023</t>
  </si>
  <si>
    <t>INV-2025-01024</t>
  </si>
  <si>
    <t>INV-2025-01025</t>
  </si>
  <si>
    <t>INV-2025-01026</t>
  </si>
  <si>
    <t>INV-2025-01027</t>
  </si>
  <si>
    <t>INV-2025-01028</t>
  </si>
  <si>
    <t>INV-2025-01029</t>
  </si>
  <si>
    <t>INV-2025-01030</t>
  </si>
  <si>
    <t>INV-2025-01031</t>
  </si>
  <si>
    <t>INV-2025-01032</t>
  </si>
  <si>
    <t>INV-2025-01033</t>
  </si>
  <si>
    <t>INV-2025-01034</t>
  </si>
  <si>
    <t>INV-2025-01035</t>
  </si>
  <si>
    <t>INV-2025-01036</t>
  </si>
  <si>
    <t>INV-2025-01037</t>
  </si>
  <si>
    <t>INV-2025-01038</t>
  </si>
  <si>
    <t>INV-2025-01039</t>
  </si>
  <si>
    <t>INV-2025-01040</t>
  </si>
  <si>
    <t>INV-2025-01041</t>
  </si>
  <si>
    <t>INV-2025-01042</t>
  </si>
  <si>
    <t>INV-2025-01043</t>
  </si>
  <si>
    <t>INV-2025-01044</t>
  </si>
  <si>
    <t>INV-2025-01045</t>
  </si>
  <si>
    <t>INV-2025-01046</t>
  </si>
  <si>
    <t>INV-2025-01047</t>
  </si>
  <si>
    <t>INV-2025-01048</t>
  </si>
  <si>
    <t>INV-2025-01049</t>
  </si>
  <si>
    <t>INV-2025-01050</t>
  </si>
  <si>
    <t>INV-2025-01051</t>
  </si>
  <si>
    <t>INV-2025-01052</t>
  </si>
  <si>
    <t>INV-2025-01053</t>
  </si>
  <si>
    <t>INV-2025-01054</t>
  </si>
  <si>
    <t>INV-2025-01055</t>
  </si>
  <si>
    <t>INV-2025-01056</t>
  </si>
  <si>
    <t>INV-2025-01057</t>
  </si>
  <si>
    <t>INV-2025-01058</t>
  </si>
  <si>
    <t>INV-2025-01059</t>
  </si>
  <si>
    <t>INV-2025-01060</t>
  </si>
  <si>
    <t>INV-2025-01061</t>
  </si>
  <si>
    <t>INV-2025-01062</t>
  </si>
  <si>
    <t>INV-2025-01063</t>
  </si>
  <si>
    <t>INV-2025-01064</t>
  </si>
  <si>
    <t>INV-2025-01065</t>
  </si>
  <si>
    <t>INV-2025-01066</t>
  </si>
  <si>
    <t>INV-2025-01067</t>
  </si>
  <si>
    <t>INV-2025-01068</t>
  </si>
  <si>
    <t>INV-2025-01069</t>
  </si>
  <si>
    <t>INV-2025-01070</t>
  </si>
  <si>
    <t>INV-2025-01071</t>
  </si>
  <si>
    <t>INV-2025-01072</t>
  </si>
  <si>
    <t>INV-2025-01073</t>
  </si>
  <si>
    <t>INV-2025-01074</t>
  </si>
  <si>
    <t>INV-2025-01075</t>
  </si>
  <si>
    <t>INV-2025-01076</t>
  </si>
  <si>
    <t>INV-2025-01077</t>
  </si>
  <si>
    <t>INV-2025-01078</t>
  </si>
  <si>
    <t>INV-2025-01079</t>
  </si>
  <si>
    <t>INV-2025-01080</t>
  </si>
  <si>
    <t>INV-2025-01081</t>
  </si>
  <si>
    <t>INV-2025-01082</t>
  </si>
  <si>
    <t>INV-2025-01083</t>
  </si>
  <si>
    <t>INV-2025-01084</t>
  </si>
  <si>
    <t>INV-2025-01085</t>
  </si>
  <si>
    <t>INV-2025-01086</t>
  </si>
  <si>
    <t>INV-2025-01087</t>
  </si>
  <si>
    <t>INV-2025-01088</t>
  </si>
  <si>
    <t>INV-2025-01089</t>
  </si>
  <si>
    <t>INV-2025-01090</t>
  </si>
  <si>
    <t>INV-2025-01091</t>
  </si>
  <si>
    <t>INV-2025-01092</t>
  </si>
  <si>
    <t>INV-2025-01093</t>
  </si>
  <si>
    <t>INV-2025-01094</t>
  </si>
  <si>
    <t>INV-2025-01095</t>
  </si>
  <si>
    <t>INV-2025-01096</t>
  </si>
  <si>
    <t>fleetfuel</t>
  </si>
  <si>
    <t>INV-2025-01097</t>
  </si>
  <si>
    <t>INV-2025-01098</t>
  </si>
  <si>
    <t>INV-2025-01099</t>
  </si>
  <si>
    <t>INV-2025-01100</t>
  </si>
  <si>
    <t>INV-2025-01101</t>
  </si>
  <si>
    <t>Missing spend</t>
  </si>
  <si>
    <t>INV-2025-01102</t>
  </si>
  <si>
    <t>INV-2025-01103</t>
  </si>
  <si>
    <t>INV-2025-01104</t>
  </si>
  <si>
    <t>INV-2025-01105</t>
  </si>
  <si>
    <t>INV-2025-01106</t>
  </si>
  <si>
    <t>INV-2025-01107</t>
  </si>
  <si>
    <t>INV-2025-01108</t>
  </si>
  <si>
    <t>INV-2025-01109</t>
  </si>
  <si>
    <t>INV-2025-01110</t>
  </si>
  <si>
    <t>INV-2025-01111</t>
  </si>
  <si>
    <t>INV-2025-01112</t>
  </si>
  <si>
    <t>INV-2025-01113</t>
  </si>
  <si>
    <t>INV-2025-01114</t>
  </si>
  <si>
    <t>INV-2025-01115</t>
  </si>
  <si>
    <t>INV-2025-01116</t>
  </si>
  <si>
    <t>INV-2025-01117</t>
  </si>
  <si>
    <t>INV-2025-01118</t>
  </si>
  <si>
    <t>INV-2025-01119</t>
  </si>
  <si>
    <t>INV-2025-01120</t>
  </si>
  <si>
    <t>INV-2025-01121</t>
  </si>
  <si>
    <t>INV-2025-01122</t>
  </si>
  <si>
    <t>INV-2025-01123</t>
  </si>
  <si>
    <t>INV-2025-01124</t>
  </si>
  <si>
    <t>INV-2025-01125</t>
  </si>
  <si>
    <t>INV-2025-01126</t>
  </si>
  <si>
    <t>INV-2025-01127</t>
  </si>
  <si>
    <t>INV-2025-01128</t>
  </si>
  <si>
    <t>INV-2025-01129</t>
  </si>
  <si>
    <t>INV-2025-01130</t>
  </si>
  <si>
    <t>INV-2025-01131</t>
  </si>
  <si>
    <t>INV-2025-01132</t>
  </si>
  <si>
    <t>INV-2025-01133</t>
  </si>
  <si>
    <t>INV-2025-01134</t>
  </si>
  <si>
    <t>INV-2025-01135</t>
  </si>
  <si>
    <t>INV-2025-01136</t>
  </si>
  <si>
    <t>INV-2025-01137</t>
  </si>
  <si>
    <t>INV-2025-01138</t>
  </si>
  <si>
    <t>INV-2025-01139</t>
  </si>
  <si>
    <t>INV-2025-01140</t>
  </si>
  <si>
    <t>INV-2025-01141</t>
  </si>
  <si>
    <t>INV-2025-01142</t>
  </si>
  <si>
    <t>INV-2025-01143</t>
  </si>
  <si>
    <t>INV-2025-01144</t>
  </si>
  <si>
    <t>INV-2025-01145</t>
  </si>
  <si>
    <t>INV-2025-01146</t>
  </si>
  <si>
    <t>INV-2025-01147</t>
  </si>
  <si>
    <t>INV-2025-01148</t>
  </si>
  <si>
    <t>INV-2025-01149</t>
  </si>
  <si>
    <t>INV-2025-01150</t>
  </si>
  <si>
    <t>INV-2025-01151</t>
  </si>
  <si>
    <t>INV-2025-01152</t>
  </si>
  <si>
    <t>INV-2025-01153</t>
  </si>
  <si>
    <t>INV-2025-01154</t>
  </si>
  <si>
    <t>INV-2025-01155</t>
  </si>
  <si>
    <t>INV-2025-01156</t>
  </si>
  <si>
    <t>INV-2025-01157</t>
  </si>
  <si>
    <t>INV-2025-01158</t>
  </si>
  <si>
    <t>INV-2025-01159</t>
  </si>
  <si>
    <t>INV-2025-01160</t>
  </si>
  <si>
    <t>INV-2025-01161</t>
  </si>
  <si>
    <t>INV-2025-01162</t>
  </si>
  <si>
    <t>INV-2025-01163</t>
  </si>
  <si>
    <t>INV-2025-01164</t>
  </si>
  <si>
    <t>INV-2025-01165</t>
  </si>
  <si>
    <t>INV-2025-01166</t>
  </si>
  <si>
    <t>INV-2025-01167</t>
  </si>
  <si>
    <t>INV-2025-01168</t>
  </si>
  <si>
    <t>INV-2025-01169</t>
  </si>
  <si>
    <t>INV-2025-01170</t>
  </si>
  <si>
    <t>INV-2025-01171</t>
  </si>
  <si>
    <t>INV-2025-01172</t>
  </si>
  <si>
    <t>INV-2025-01173</t>
  </si>
  <si>
    <t>INV-2025-01174</t>
  </si>
  <si>
    <t>INV-2025-01175</t>
  </si>
  <si>
    <t>INV-2025-01176</t>
  </si>
  <si>
    <t>INV-2025-01177</t>
  </si>
  <si>
    <t>INV-2025-01178</t>
  </si>
  <si>
    <t>INV-2025-01179</t>
  </si>
  <si>
    <t>INV-2025-01180</t>
  </si>
  <si>
    <t>INV-2025-01181</t>
  </si>
  <si>
    <t>INV-2025-01182</t>
  </si>
  <si>
    <t>INV-2025-01183</t>
  </si>
  <si>
    <t>INV-2025-01184</t>
  </si>
  <si>
    <t>INV-2025-01185</t>
  </si>
  <si>
    <t>INV-2025-01186</t>
  </si>
  <si>
    <t>INV-2025-01187</t>
  </si>
  <si>
    <t>INV-2025-01188</t>
  </si>
  <si>
    <t>INV-2025-01189</t>
  </si>
  <si>
    <t>INV-2025-01190</t>
  </si>
  <si>
    <t>INV-2025-01191</t>
  </si>
  <si>
    <t>INV-2025-01192</t>
  </si>
  <si>
    <t>INV-2025-01193</t>
  </si>
  <si>
    <t>INV-2025-01194</t>
  </si>
  <si>
    <t>INV-2025-01195</t>
  </si>
  <si>
    <t>INV-2025-01196</t>
  </si>
  <si>
    <t>INV-2025-01197</t>
  </si>
  <si>
    <t>INV-2025-01198</t>
  </si>
  <si>
    <t>INV-2025-01199</t>
  </si>
  <si>
    <t>INV-2025-01200</t>
  </si>
  <si>
    <t>INV-2025-01201</t>
  </si>
  <si>
    <t>INV-2025-01202</t>
  </si>
  <si>
    <t>INV-2025-01203</t>
  </si>
  <si>
    <t>INV-2025-01204</t>
  </si>
  <si>
    <t>INV-2025-01205</t>
  </si>
  <si>
    <t>INV-2025-01206</t>
  </si>
  <si>
    <t>INV-2025-01207</t>
  </si>
  <si>
    <t>INV-2025-01208</t>
  </si>
  <si>
    <t>INV-2025-01209</t>
  </si>
  <si>
    <t>INV-2025-01210</t>
  </si>
  <si>
    <t>INV-2025-01211</t>
  </si>
  <si>
    <t>INV-2025-01212</t>
  </si>
  <si>
    <t>INV-2025-01213</t>
  </si>
  <si>
    <t>INV-2025-01214</t>
  </si>
  <si>
    <t>INV-2025-01215</t>
  </si>
  <si>
    <t>INV-2025-01216</t>
  </si>
  <si>
    <t>INV-2025-01217</t>
  </si>
  <si>
    <t>INV-2025-01218</t>
  </si>
  <si>
    <t>INV-2025-01219</t>
  </si>
  <si>
    <t>INV-2025-01220</t>
  </si>
  <si>
    <t>INV-2025-01221</t>
  </si>
  <si>
    <t>INV-2025-01222</t>
  </si>
  <si>
    <t>INV-2025-01223</t>
  </si>
  <si>
    <t>INV-2025-01224</t>
  </si>
  <si>
    <t>INV-2025-01225</t>
  </si>
  <si>
    <t>INV-2025-01226</t>
  </si>
  <si>
    <t>INV-2025-01227</t>
  </si>
  <si>
    <t>INV-2025-01228</t>
  </si>
  <si>
    <t>INV-2025-01229</t>
  </si>
  <si>
    <t>INV-2025-01230</t>
  </si>
  <si>
    <t>INV-2025-01231</t>
  </si>
  <si>
    <t>INV-2025-01232</t>
  </si>
  <si>
    <t>INV-2025-01233</t>
  </si>
  <si>
    <t>buildcare</t>
  </si>
  <si>
    <t>INV-2025-01234</t>
  </si>
  <si>
    <t>INV-2025-01235</t>
  </si>
  <si>
    <t>INV-2025-01236</t>
  </si>
  <si>
    <t>INV-2025-01237</t>
  </si>
  <si>
    <t>INV-2025-01238</t>
  </si>
  <si>
    <t>INV-2025-01239</t>
  </si>
  <si>
    <t>INV-2025-01240</t>
  </si>
  <si>
    <t>INV-2025-01241</t>
  </si>
  <si>
    <t>INV-2025-01242</t>
  </si>
  <si>
    <t>INV-2025-01243</t>
  </si>
  <si>
    <t>INV-2025-01244</t>
  </si>
  <si>
    <t>INV-2025-01245</t>
  </si>
  <si>
    <t>INV-2025-01246</t>
  </si>
  <si>
    <t>INV-2025-01247</t>
  </si>
  <si>
    <t>INV-2025-01248</t>
  </si>
  <si>
    <t>INV-2025-01249</t>
  </si>
  <si>
    <t>INV-2025-01250</t>
  </si>
  <si>
    <t>INV-2025-01251</t>
  </si>
  <si>
    <t>INV-2025-01252</t>
  </si>
  <si>
    <t>INV-2025-01253</t>
  </si>
  <si>
    <t>INV-2025-01254</t>
  </si>
  <si>
    <t>INV-2025-01255</t>
  </si>
  <si>
    <t>INV-2025-01256</t>
  </si>
  <si>
    <t>INV-2025-01257</t>
  </si>
  <si>
    <t>INV-2025-01258</t>
  </si>
  <si>
    <t>INV-2025-01259</t>
  </si>
  <si>
    <t>INV-2025-01260</t>
  </si>
  <si>
    <t>INV-2025-01261</t>
  </si>
  <si>
    <t>INV-2025-01262</t>
  </si>
  <si>
    <t>INV-2025-01263</t>
  </si>
  <si>
    <t>INV-2025-01264</t>
  </si>
  <si>
    <t>INV-2025-01265</t>
  </si>
  <si>
    <t>INV-2025-01266</t>
  </si>
  <si>
    <t>INV-2025-01267</t>
  </si>
  <si>
    <t>INV-2025-01268</t>
  </si>
  <si>
    <t>INV-2025-01269</t>
  </si>
  <si>
    <t>INV-2025-01270</t>
  </si>
  <si>
    <t>INV-2025-01271</t>
  </si>
  <si>
    <t>INV-2025-01272</t>
  </si>
  <si>
    <t>INV-2025-01273</t>
  </si>
  <si>
    <t>INV-2025-01274</t>
  </si>
  <si>
    <t>INV-2025-01275</t>
  </si>
  <si>
    <t>INV-2025-01276</t>
  </si>
  <si>
    <t>INV-2025-01277</t>
  </si>
  <si>
    <t>INV-2025-01278</t>
  </si>
  <si>
    <t>INV-2025-01279</t>
  </si>
  <si>
    <t>INV-2025-01280</t>
  </si>
  <si>
    <t>INV-2025-01281</t>
  </si>
  <si>
    <t>INV-2025-01282</t>
  </si>
  <si>
    <t>INV-2025-01283</t>
  </si>
  <si>
    <t>INV-2025-01284</t>
  </si>
  <si>
    <t>INV-2025-01285</t>
  </si>
  <si>
    <t>INV-2025-01286</t>
  </si>
  <si>
    <t>INV-2025-01287</t>
  </si>
  <si>
    <t>INV-2025-01288</t>
  </si>
  <si>
    <t>INV-2025-01289</t>
  </si>
  <si>
    <t>INV-2025-01290</t>
  </si>
  <si>
    <t>INV-2025-01291</t>
  </si>
  <si>
    <t>INV-2025-01292</t>
  </si>
  <si>
    <t>INV-2025-01293</t>
  </si>
  <si>
    <t>INV-2025-01294</t>
  </si>
  <si>
    <t>INV-2025-01295</t>
  </si>
  <si>
    <t>INV-2025-01296</t>
  </si>
  <si>
    <t>INV-2025-01297</t>
  </si>
  <si>
    <t>INV-2025-01298</t>
  </si>
  <si>
    <t>INV-2025-01299</t>
  </si>
  <si>
    <t>INV-2025-01300</t>
  </si>
  <si>
    <t>INV-2025-01301</t>
  </si>
  <si>
    <t>INV-2025-01302</t>
  </si>
  <si>
    <t>INV-2025-01303</t>
  </si>
  <si>
    <t>INV-2025-01304</t>
  </si>
  <si>
    <t>INV-2025-01305</t>
  </si>
  <si>
    <t>INV-2025-01306</t>
  </si>
  <si>
    <t>INV-2025-01307</t>
  </si>
  <si>
    <t>INV-2025-01308</t>
  </si>
  <si>
    <t>INV-2025-01309</t>
  </si>
  <si>
    <t>INV-2025-01310</t>
  </si>
  <si>
    <t>INV-2025-01311</t>
  </si>
  <si>
    <t>INV-2025-01312</t>
  </si>
  <si>
    <t>INV-2025-01313</t>
  </si>
  <si>
    <t>INV-2025-01314</t>
  </si>
  <si>
    <t>INV-2025-01315</t>
  </si>
  <si>
    <t>INV-2025-01316</t>
  </si>
  <si>
    <t>INV-2025-01317</t>
  </si>
  <si>
    <t>INV-2025-01318</t>
  </si>
  <si>
    <t>INV-2025-01319</t>
  </si>
  <si>
    <t>INV-2025-01320</t>
  </si>
  <si>
    <t>INV-2025-01321</t>
  </si>
  <si>
    <t>INV-2025-01322</t>
  </si>
  <si>
    <t>INV-2025-01323</t>
  </si>
  <si>
    <t>INV-2025-01324</t>
  </si>
  <si>
    <t>INV-2025-01325</t>
  </si>
  <si>
    <t>INV-2025-01326</t>
  </si>
  <si>
    <t>INV-2025-01327</t>
  </si>
  <si>
    <t>INV-2025-01328</t>
  </si>
  <si>
    <t>INV-2025-01329</t>
  </si>
  <si>
    <t>INV-2025-01330</t>
  </si>
  <si>
    <t>INV-2025-01331</t>
  </si>
  <si>
    <t>INV-2025-01332</t>
  </si>
  <si>
    <t>INV-2025-01333</t>
  </si>
  <si>
    <t>INV-2025-01334</t>
  </si>
  <si>
    <t>INV-2025-01335</t>
  </si>
  <si>
    <t>INV-2025-01336</t>
  </si>
  <si>
    <t>INV-2025-01337</t>
  </si>
  <si>
    <t>INV-2025-01338</t>
  </si>
  <si>
    <t>INV-2025-01339</t>
  </si>
  <si>
    <t>INV-2025-01340</t>
  </si>
  <si>
    <t>INV-2025-01341</t>
  </si>
  <si>
    <t>INV-2025-01342</t>
  </si>
  <si>
    <t>INV-2025-01343</t>
  </si>
  <si>
    <t>INV-2025-01344</t>
  </si>
  <si>
    <t>INV-2025-01345</t>
  </si>
  <si>
    <t>INV-2025-01346</t>
  </si>
  <si>
    <t>INV-2025-01347</t>
  </si>
  <si>
    <t>INV-2025-01348</t>
  </si>
  <si>
    <t>INV-2025-01349</t>
  </si>
  <si>
    <t>INV-2025-01350</t>
  </si>
  <si>
    <t>INV-2025-01351</t>
  </si>
  <si>
    <t>INV-2025-01352</t>
  </si>
  <si>
    <t>INV-2025-01353</t>
  </si>
  <si>
    <t>INV-2025-01354</t>
  </si>
  <si>
    <t>INV-2025-01355</t>
  </si>
  <si>
    <t>INV-2025-01356</t>
  </si>
  <si>
    <t>INV-2025-01357</t>
  </si>
  <si>
    <t>INV-2025-01358</t>
  </si>
  <si>
    <t>INV-2025-01359</t>
  </si>
  <si>
    <t>INV-2025-01360</t>
  </si>
  <si>
    <t>INV-2025-01361</t>
  </si>
  <si>
    <t>INV-2025-01362</t>
  </si>
  <si>
    <t>INV-2025-01363</t>
  </si>
  <si>
    <t>INV-2025-01364</t>
  </si>
  <si>
    <t>INV-2025-01365</t>
  </si>
  <si>
    <t>INV-2025-01366</t>
  </si>
  <si>
    <t>INV-2025-01367</t>
  </si>
  <si>
    <t>INV-2025-01368</t>
  </si>
  <si>
    <t>INV-2025-01369</t>
  </si>
  <si>
    <t>INV-2025-01370</t>
  </si>
  <si>
    <t>kitchenpro</t>
  </si>
  <si>
    <t>INV-2025-01371</t>
  </si>
  <si>
    <t>INV-2025-01372</t>
  </si>
  <si>
    <t>INV-2025-01373</t>
  </si>
  <si>
    <t>INV-2025-01374</t>
  </si>
  <si>
    <t>INV-2025-01375</t>
  </si>
  <si>
    <t>INV-2025-01376</t>
  </si>
  <si>
    <t>INV-2025-01377</t>
  </si>
  <si>
    <t>INV-2025-01378</t>
  </si>
  <si>
    <t>INV-2025-01379</t>
  </si>
  <si>
    <t>INV-2025-01380</t>
  </si>
  <si>
    <t>INV-2025-01381</t>
  </si>
  <si>
    <t>INV-2025-01382</t>
  </si>
  <si>
    <t>INV-2025-01383</t>
  </si>
  <si>
    <t>INV-2025-01384</t>
  </si>
  <si>
    <t>INV-2025-01385</t>
  </si>
  <si>
    <t>INV-2025-01386</t>
  </si>
  <si>
    <t>INV-2025-01387</t>
  </si>
  <si>
    <t>INV-2025-01388</t>
  </si>
  <si>
    <t>INV-2025-01389</t>
  </si>
  <si>
    <t>INV-2025-01390</t>
  </si>
  <si>
    <t>INV-2025-01391</t>
  </si>
  <si>
    <t>INV-2025-01392</t>
  </si>
  <si>
    <t>INV-2025-01393</t>
  </si>
  <si>
    <t>INV-2025-01394</t>
  </si>
  <si>
    <t>INV-2025-01395</t>
  </si>
  <si>
    <t>INV-2025-01396</t>
  </si>
  <si>
    <t>INV-2025-01397</t>
  </si>
  <si>
    <t>INV-2025-01398</t>
  </si>
  <si>
    <t>INV-2025-01399</t>
  </si>
  <si>
    <t>INV-2025-01400</t>
  </si>
  <si>
    <t>INV-2025-01401</t>
  </si>
  <si>
    <t>INV-2025-01402</t>
  </si>
  <si>
    <t>INV-2025-01403</t>
  </si>
  <si>
    <t>INV-2025-01404</t>
  </si>
  <si>
    <t>INV-2025-01405</t>
  </si>
  <si>
    <t>INV-2025-01406</t>
  </si>
  <si>
    <t>INV-2025-01407</t>
  </si>
  <si>
    <t>INV-2025-01408</t>
  </si>
  <si>
    <t>INV-2025-01409</t>
  </si>
  <si>
    <t>INV-2025-01410</t>
  </si>
  <si>
    <t>INV-2025-01411</t>
  </si>
  <si>
    <t>INV-2025-01412</t>
  </si>
  <si>
    <t>INV-2025-01413</t>
  </si>
  <si>
    <t>INV-2025-01414</t>
  </si>
  <si>
    <t>INV-2025-01415</t>
  </si>
  <si>
    <t>INV-2025-01416</t>
  </si>
  <si>
    <t>INV-2025-01417</t>
  </si>
  <si>
    <t>INV-2025-01418</t>
  </si>
  <si>
    <t>INV-2025-01419</t>
  </si>
  <si>
    <t>INV-2025-01420</t>
  </si>
  <si>
    <t>INV-2025-01421</t>
  </si>
  <si>
    <t>INV-2025-01422</t>
  </si>
  <si>
    <t>INV-2025-01423</t>
  </si>
  <si>
    <t>INV-2025-01424</t>
  </si>
  <si>
    <t>INV-2025-01425</t>
  </si>
  <si>
    <t>INV-2025-01426</t>
  </si>
  <si>
    <t>INV-2025-01427</t>
  </si>
  <si>
    <t>INV-2025-01428</t>
  </si>
  <si>
    <t>INV-2025-01429</t>
  </si>
  <si>
    <t>INV-2025-01430</t>
  </si>
  <si>
    <t>INV-2025-01431</t>
  </si>
  <si>
    <t>INV-2025-01432</t>
  </si>
  <si>
    <t>INV-2025-01433</t>
  </si>
  <si>
    <t>INV-2025-01434</t>
  </si>
  <si>
    <t>INV-2025-01435</t>
  </si>
  <si>
    <t>INV-2025-01436</t>
  </si>
  <si>
    <t>INV-2025-01437</t>
  </si>
  <si>
    <t>INV-2025-01438</t>
  </si>
  <si>
    <t>INV-2025-01439</t>
  </si>
  <si>
    <t>INV-2025-01440</t>
  </si>
  <si>
    <t>INV-2025-01441</t>
  </si>
  <si>
    <t>INV-2025-01442</t>
  </si>
  <si>
    <t>INV-2025-01443</t>
  </si>
  <si>
    <t>INV-2025-01444</t>
  </si>
  <si>
    <t>INV-2025-01445</t>
  </si>
  <si>
    <t>INV-2025-01446</t>
  </si>
  <si>
    <t>INV-2025-01447</t>
  </si>
  <si>
    <t>INV-2025-01448</t>
  </si>
  <si>
    <t>INV-2025-01449</t>
  </si>
  <si>
    <t>INV-2025-01450</t>
  </si>
  <si>
    <t>INV-2025-01451</t>
  </si>
  <si>
    <t>INV-2025-01452</t>
  </si>
  <si>
    <t>INV-2025-01453</t>
  </si>
  <si>
    <t>INV-2025-01454</t>
  </si>
  <si>
    <t>INV-2025-01455</t>
  </si>
  <si>
    <t>INV-2025-01456</t>
  </si>
  <si>
    <t>INV-2025-01457</t>
  </si>
  <si>
    <t>INV-2025-01458</t>
  </si>
  <si>
    <t>INV-2025-01459</t>
  </si>
  <si>
    <t>INV-2025-01460</t>
  </si>
  <si>
    <t>INV-2025-01461</t>
  </si>
  <si>
    <t>INV-2025-01462</t>
  </si>
  <si>
    <t>INV-2025-01463</t>
  </si>
  <si>
    <t>INV-2025-01464</t>
  </si>
  <si>
    <t>INV-2025-01465</t>
  </si>
  <si>
    <t>INV-2025-01466</t>
  </si>
  <si>
    <t>INV-2025-01467</t>
  </si>
  <si>
    <t>INV-2025-01468</t>
  </si>
  <si>
    <t>INV-2025-01469</t>
  </si>
  <si>
    <t>INV-2025-01470</t>
  </si>
  <si>
    <t>INV-2025-01471</t>
  </si>
  <si>
    <t>INV-2025-01472</t>
  </si>
  <si>
    <t>INV-2025-01473</t>
  </si>
  <si>
    <t>INV-2025-01474</t>
  </si>
  <si>
    <t>INV-2025-01475</t>
  </si>
  <si>
    <t>INV-2025-01476</t>
  </si>
  <si>
    <t>INV-2025-01477</t>
  </si>
  <si>
    <t>INV-2025-01478</t>
  </si>
  <si>
    <t>INV-2025-01479</t>
  </si>
  <si>
    <t>INV-2025-01480</t>
  </si>
  <si>
    <t>INV-2025-01481</t>
  </si>
  <si>
    <t>INV-2025-01482</t>
  </si>
  <si>
    <t>INV-2025-01483</t>
  </si>
  <si>
    <t>INV-2025-01484</t>
  </si>
  <si>
    <t>INV-2025-01485</t>
  </si>
  <si>
    <t>INV-2025-01486</t>
  </si>
  <si>
    <t>INV-2025-01487</t>
  </si>
  <si>
    <t>INV-2025-01488</t>
  </si>
  <si>
    <t>INV-2025-01489</t>
  </si>
  <si>
    <t>INV-2025-01490</t>
  </si>
  <si>
    <t>INV-2025-01491</t>
  </si>
  <si>
    <t>INV-2025-01492</t>
  </si>
  <si>
    <t>INV-2025-01493</t>
  </si>
  <si>
    <t>INV-2025-01494</t>
  </si>
  <si>
    <t>INV-2025-01495</t>
  </si>
  <si>
    <t>INV-2025-01496</t>
  </si>
  <si>
    <t>INV-2025-01497</t>
  </si>
  <si>
    <t>INV-2025-01498</t>
  </si>
  <si>
    <t>INV-2025-01499</t>
  </si>
  <si>
    <t>INV-2025-01500</t>
  </si>
  <si>
    <t>INV-2025-01501</t>
  </si>
  <si>
    <t>INV-2025-01502</t>
  </si>
  <si>
    <t>INV-2025-01503</t>
  </si>
  <si>
    <t>INV-2025-01504</t>
  </si>
  <si>
    <t>INV-2025-01505</t>
  </si>
  <si>
    <t>INV-2025-01506</t>
  </si>
  <si>
    <t>INV-2025-01507</t>
  </si>
  <si>
    <t>powerdirect</t>
  </si>
  <si>
    <t>INV-2025-01508</t>
  </si>
  <si>
    <t>INV-2025-01509</t>
  </si>
  <si>
    <t>INV-2025-01510</t>
  </si>
  <si>
    <t>INV-2025-01511</t>
  </si>
  <si>
    <t>INV-2025-01512</t>
  </si>
  <si>
    <t>INV-2025-01513</t>
  </si>
  <si>
    <t>INV-2025-01514</t>
  </si>
  <si>
    <t>INV-2025-01515</t>
  </si>
  <si>
    <t>INV-2025-01516</t>
  </si>
  <si>
    <t>INV-2025-01517</t>
  </si>
  <si>
    <t>INV-2025-01518</t>
  </si>
  <si>
    <t>INV-2025-01519</t>
  </si>
  <si>
    <t>INV-2025-01520</t>
  </si>
  <si>
    <t>INV-2025-01521</t>
  </si>
  <si>
    <t>INV-2025-01522</t>
  </si>
  <si>
    <t>INV-2025-01523</t>
  </si>
  <si>
    <t>INV-2025-01524</t>
  </si>
  <si>
    <t>INV-2025-01525</t>
  </si>
  <si>
    <t>INV-2025-01526</t>
  </si>
  <si>
    <t>INV-2025-01527</t>
  </si>
  <si>
    <t>INV-2025-01528</t>
  </si>
  <si>
    <t>INV-2025-01529</t>
  </si>
  <si>
    <t>INV-2025-01530</t>
  </si>
  <si>
    <t>INV-2025-01531</t>
  </si>
  <si>
    <t>INV-2025-01532</t>
  </si>
  <si>
    <t>INV-2025-01533</t>
  </si>
  <si>
    <t>INV-2025-01534</t>
  </si>
  <si>
    <t>INV-2025-01535</t>
  </si>
  <si>
    <t>INV-2025-01536</t>
  </si>
  <si>
    <t>INV-2025-01537</t>
  </si>
  <si>
    <t>INV-2025-01538</t>
  </si>
  <si>
    <t>INV-2025-01539</t>
  </si>
  <si>
    <t>INV-2025-01540</t>
  </si>
  <si>
    <t>INV-2025-01541</t>
  </si>
  <si>
    <t>INV-2025-01542</t>
  </si>
  <si>
    <t>INV-2025-01543</t>
  </si>
  <si>
    <t>INV-2025-01544</t>
  </si>
  <si>
    <t>INV-2025-01545</t>
  </si>
  <si>
    <t>INV-2025-01546</t>
  </si>
  <si>
    <t>INV-2025-01547</t>
  </si>
  <si>
    <t>INV-2025-01548</t>
  </si>
  <si>
    <t>INV-2025-01549</t>
  </si>
  <si>
    <t>INV-2025-01550</t>
  </si>
  <si>
    <t>INV-2025-01551</t>
  </si>
  <si>
    <t>INV-2025-01552</t>
  </si>
  <si>
    <t>INV-2025-01553</t>
  </si>
  <si>
    <t>INV-2025-01554</t>
  </si>
  <si>
    <t>INV-2025-01555</t>
  </si>
  <si>
    <t>INV-2025-01556</t>
  </si>
  <si>
    <t>INV-2025-01557</t>
  </si>
  <si>
    <t>INV-2025-01558</t>
  </si>
  <si>
    <t>INV-2025-01559</t>
  </si>
  <si>
    <t>INV-2025-01560</t>
  </si>
  <si>
    <t>INV-2025-01561</t>
  </si>
  <si>
    <t>INV-2025-01562</t>
  </si>
  <si>
    <t>INV-2025-01563</t>
  </si>
  <si>
    <t>INV-2025-01564</t>
  </si>
  <si>
    <t>INV-2025-01565</t>
  </si>
  <si>
    <t>INV-2025-01566</t>
  </si>
  <si>
    <t>INV-2025-01567</t>
  </si>
  <si>
    <t>INV-2025-01568</t>
  </si>
  <si>
    <t>INV-2025-01569</t>
  </si>
  <si>
    <t>INV-2025-01570</t>
  </si>
  <si>
    <t>INV-2025-01571</t>
  </si>
  <si>
    <t>INV-2025-01572</t>
  </si>
  <si>
    <t>INV-2025-01573</t>
  </si>
  <si>
    <t>INV-2025-01574</t>
  </si>
  <si>
    <t>INV-2025-01575</t>
  </si>
  <si>
    <t>INV-2025-01576</t>
  </si>
  <si>
    <t>INV-2025-01577</t>
  </si>
  <si>
    <t>INV-2025-01578</t>
  </si>
  <si>
    <t>INV-2025-01579</t>
  </si>
  <si>
    <t>INV-2025-01580</t>
  </si>
  <si>
    <t>INV-2025-01581</t>
  </si>
  <si>
    <t>INV-2025-01582</t>
  </si>
  <si>
    <t>INV-2025-01583</t>
  </si>
  <si>
    <t>INV-2025-01584</t>
  </si>
  <si>
    <t>INV-2025-01585</t>
  </si>
  <si>
    <t>INV-2025-01586</t>
  </si>
  <si>
    <t>INV-2025-01587</t>
  </si>
  <si>
    <t>INV-2025-01588</t>
  </si>
  <si>
    <t>INV-2025-01589</t>
  </si>
  <si>
    <t>INV-2025-01590</t>
  </si>
  <si>
    <t>INV-2025-01591</t>
  </si>
  <si>
    <t>INV-2025-01592</t>
  </si>
  <si>
    <t>INV-2025-01593</t>
  </si>
  <si>
    <t>INV-2025-01594</t>
  </si>
  <si>
    <t>INV-2025-01595</t>
  </si>
  <si>
    <t>INV-2025-01596</t>
  </si>
  <si>
    <t>INV-2025-01597</t>
  </si>
  <si>
    <t>INV-2025-01598</t>
  </si>
  <si>
    <t>INV-2025-01599</t>
  </si>
  <si>
    <t>INV-2025-01600</t>
  </si>
  <si>
    <t>INV-2025-01601</t>
  </si>
  <si>
    <t>INV-2025-01602</t>
  </si>
  <si>
    <t>INV-2025-01603</t>
  </si>
  <si>
    <t>INV-2025-01604</t>
  </si>
  <si>
    <t>INV-2025-01605</t>
  </si>
  <si>
    <t>INV-2025-01606</t>
  </si>
  <si>
    <t>INV-2025-01607</t>
  </si>
  <si>
    <t>INV-2025-01608</t>
  </si>
  <si>
    <t>INV-2025-01609</t>
  </si>
  <si>
    <t>INV-2025-01610</t>
  </si>
  <si>
    <t>INV-2025-01611</t>
  </si>
  <si>
    <t>INV-2025-01612</t>
  </si>
  <si>
    <t>INV-2025-01613</t>
  </si>
  <si>
    <t>INV-2025-01614</t>
  </si>
  <si>
    <t>INV-2025-01615</t>
  </si>
  <si>
    <t>INV-2025-01616</t>
  </si>
  <si>
    <t>INV-2025-01617</t>
  </si>
  <si>
    <t>INV-2025-01618</t>
  </si>
  <si>
    <t>INV-2025-01619</t>
  </si>
  <si>
    <t>INV-2025-01620</t>
  </si>
  <si>
    <t>INV-2025-01621</t>
  </si>
  <si>
    <t>INV-2025-01622</t>
  </si>
  <si>
    <t>INV-2025-01623</t>
  </si>
  <si>
    <t>INV-2025-01624</t>
  </si>
  <si>
    <t>INV-2025-01625</t>
  </si>
  <si>
    <t>INV-2025-01626</t>
  </si>
  <si>
    <t>INV-2025-01627</t>
  </si>
  <si>
    <t>INV-2025-01628</t>
  </si>
  <si>
    <t>INV-2025-01629</t>
  </si>
  <si>
    <t>INV-2025-01630</t>
  </si>
  <si>
    <t>INV-2025-01631</t>
  </si>
  <si>
    <t>INV-2025-01632</t>
  </si>
  <si>
    <t>INV-2025-01633</t>
  </si>
  <si>
    <t>INV-2025-01634</t>
  </si>
  <si>
    <t>INV-2025-01635</t>
  </si>
  <si>
    <t>INV-2025-01636</t>
  </si>
  <si>
    <t>INV-2025-01637</t>
  </si>
  <si>
    <t>INV-2025-01638</t>
  </si>
  <si>
    <t>INV-2025-01639</t>
  </si>
  <si>
    <t>INV-2025-01640</t>
  </si>
  <si>
    <t>INV-2025-01641</t>
  </si>
  <si>
    <t>INV-2025-01642</t>
  </si>
  <si>
    <t>INV-2025-01643</t>
  </si>
  <si>
    <t>INV-2025-01644</t>
  </si>
  <si>
    <t>INV-2025-01645</t>
  </si>
  <si>
    <t>INV-2025-01646</t>
  </si>
  <si>
    <t>INV-2025-01647</t>
  </si>
  <si>
    <t>INV-2025-01648</t>
  </si>
  <si>
    <t>INV-2025-01649</t>
  </si>
  <si>
    <t>INV-2025-01650</t>
  </si>
  <si>
    <t>INV-2025-01651</t>
  </si>
  <si>
    <t>INV-2025-01652</t>
  </si>
  <si>
    <t>INV-2025-01653</t>
  </si>
  <si>
    <t>INV-2025-01654</t>
  </si>
  <si>
    <t>INV-2025-01655</t>
  </si>
  <si>
    <t>INV-2025-01656</t>
  </si>
  <si>
    <t>INV-2025-01657</t>
  </si>
  <si>
    <t>INV-2025-01658</t>
  </si>
  <si>
    <t>INV-2025-01659</t>
  </si>
  <si>
    <t>INV-2025-01660</t>
  </si>
  <si>
    <t>INV-2025-01661</t>
  </si>
  <si>
    <t>INV-2025-01662</t>
  </si>
  <si>
    <t>INV-2025-01663</t>
  </si>
  <si>
    <t>INV-2025-01664</t>
  </si>
  <si>
    <t>INV-2025-01665</t>
  </si>
  <si>
    <t>INV-2025-01666</t>
  </si>
  <si>
    <t>INV-2025-01667</t>
  </si>
  <si>
    <t>INV-2025-01668</t>
  </si>
  <si>
    <t>INV-2025-01669</t>
  </si>
  <si>
    <t>INV-2025-01670</t>
  </si>
  <si>
    <t>INV-2025-01671</t>
  </si>
  <si>
    <t>INV-2025-01672</t>
  </si>
  <si>
    <t>INV-2025-01673</t>
  </si>
  <si>
    <t>INV-2025-01674</t>
  </si>
  <si>
    <t>INV-2025-01675</t>
  </si>
  <si>
    <t>INV-2025-01676</t>
  </si>
  <si>
    <t>INV-2025-01677</t>
  </si>
  <si>
    <t>INV-2025-01678</t>
  </si>
  <si>
    <t>INV-2025-01679</t>
  </si>
  <si>
    <t>INV-2025-01680</t>
  </si>
  <si>
    <t>INV-2025-01681</t>
  </si>
  <si>
    <t>INV-2025-01682</t>
  </si>
  <si>
    <t>INV-2025-01683</t>
  </si>
  <si>
    <t>INV-2025-01684</t>
  </si>
  <si>
    <t>INV-2025-01685</t>
  </si>
  <si>
    <t>INV-2025-01686</t>
  </si>
  <si>
    <t>INV-2025-01687</t>
  </si>
  <si>
    <t>INV-2025-01688</t>
  </si>
  <si>
    <t>INV-2025-01689</t>
  </si>
  <si>
    <t>INV-2025-01690</t>
  </si>
  <si>
    <t>INV-2025-01691</t>
  </si>
  <si>
    <t>INV-2025-01692</t>
  </si>
  <si>
    <t>INV-2025-01693</t>
  </si>
  <si>
    <t>INV-2025-01694</t>
  </si>
  <si>
    <t>INV-2025-01695</t>
  </si>
  <si>
    <t>INV-2025-01696</t>
  </si>
  <si>
    <t>INV-2025-01697</t>
  </si>
  <si>
    <t>INV-2025-01698</t>
  </si>
  <si>
    <t>INV-2025-01699</t>
  </si>
  <si>
    <t>INV-2025-01700</t>
  </si>
  <si>
    <t>INV-2025-01701</t>
  </si>
  <si>
    <t>INV-2025-01702</t>
  </si>
  <si>
    <t>INV-2025-01703</t>
  </si>
  <si>
    <t>INV-2025-01704</t>
  </si>
  <si>
    <t>INV-2025-01705</t>
  </si>
  <si>
    <t>INV-2025-01706</t>
  </si>
  <si>
    <t>INV-2025-01707</t>
  </si>
  <si>
    <t>INV-2025-01708</t>
  </si>
  <si>
    <t>INV-2025-01709</t>
  </si>
  <si>
    <t>INV-2025-01710</t>
  </si>
  <si>
    <t>INV-2025-01711</t>
  </si>
  <si>
    <t>INV-2025-01712</t>
  </si>
  <si>
    <t>INV-2025-01713</t>
  </si>
  <si>
    <t>INV-2025-01714</t>
  </si>
  <si>
    <t>INV-2025-01715</t>
  </si>
  <si>
    <t>INV-2025-01716</t>
  </si>
  <si>
    <t>INV-2025-01717</t>
  </si>
  <si>
    <t>INV-2025-01718</t>
  </si>
  <si>
    <t>INV-2025-01719</t>
  </si>
  <si>
    <t>INV-2025-01720</t>
  </si>
  <si>
    <t>INV-2025-01721</t>
  </si>
  <si>
    <t>INV-2025-01722</t>
  </si>
  <si>
    <t>INV-2025-01723</t>
  </si>
  <si>
    <t>INV-2025-01724</t>
  </si>
  <si>
    <t>INV-2025-01725</t>
  </si>
  <si>
    <t>INV-2025-01726</t>
  </si>
  <si>
    <t>INV-2025-01727</t>
  </si>
  <si>
    <t>INV-2025-01728</t>
  </si>
  <si>
    <t>INV-2025-01729</t>
  </si>
  <si>
    <t>INV-2025-01730</t>
  </si>
  <si>
    <t>INV-2025-01731</t>
  </si>
  <si>
    <t>INV-2025-01732</t>
  </si>
  <si>
    <t>INV-2025-01733</t>
  </si>
  <si>
    <t>INV-2025-01734</t>
  </si>
  <si>
    <t>INV-2025-01735</t>
  </si>
  <si>
    <t>INV-2025-01736</t>
  </si>
  <si>
    <t>INV-2025-01737</t>
  </si>
  <si>
    <t>INV-2025-01738</t>
  </si>
  <si>
    <t>INV-2025-01739</t>
  </si>
  <si>
    <t>INV-2025-01740</t>
  </si>
  <si>
    <t>INV-2025-01741</t>
  </si>
  <si>
    <t>INV-2025-01742</t>
  </si>
  <si>
    <t>INV-2025-01743</t>
  </si>
  <si>
    <t>INV-2025-01744</t>
  </si>
  <si>
    <t>INV-2025-01745</t>
  </si>
  <si>
    <t>INV-2025-01746</t>
  </si>
  <si>
    <t>INV-2025-01747</t>
  </si>
  <si>
    <t>INV-2025-01748</t>
  </si>
  <si>
    <t>INV-2025-01749</t>
  </si>
  <si>
    <t>INV-2025-01750</t>
  </si>
  <si>
    <t>INV-2025-01751</t>
  </si>
  <si>
    <t>INV-2025-01752</t>
  </si>
  <si>
    <t>INV-2025-01753</t>
  </si>
  <si>
    <t>INV-2025-01754</t>
  </si>
  <si>
    <t>INV-2025-01755</t>
  </si>
  <si>
    <t>INV-2025-01756</t>
  </si>
  <si>
    <t>INV-2025-01757</t>
  </si>
  <si>
    <t>INV-2025-01758</t>
  </si>
  <si>
    <t>INV-2025-01759</t>
  </si>
  <si>
    <t>INV-2025-01760</t>
  </si>
  <si>
    <t>INV-2025-01761</t>
  </si>
  <si>
    <t>INV-2025-01762</t>
  </si>
  <si>
    <t>INV-2025-01763</t>
  </si>
  <si>
    <t>INV-2025-01764</t>
  </si>
  <si>
    <t>INV-2025-01765</t>
  </si>
  <si>
    <t>INV-2025-01766</t>
  </si>
  <si>
    <t>INV-2025-01767</t>
  </si>
  <si>
    <t>INV-2025-01768</t>
  </si>
  <si>
    <t>INV-2025-01769</t>
  </si>
  <si>
    <t>INV-2025-01770</t>
  </si>
  <si>
    <t>INV-2025-01771</t>
  </si>
  <si>
    <t>INV-2025-01772</t>
  </si>
  <si>
    <t>INV-2025-01773</t>
  </si>
  <si>
    <t>INV-2025-01774</t>
  </si>
  <si>
    <t>INV-2025-01775</t>
  </si>
  <si>
    <t>INV-2025-01776</t>
  </si>
  <si>
    <t>INV-2025-01777</t>
  </si>
  <si>
    <t>INV-2025-01778</t>
  </si>
  <si>
    <t>INV-2025-01779</t>
  </si>
  <si>
    <t>INV-2025-01780</t>
  </si>
  <si>
    <t>INV-2025-01781</t>
  </si>
  <si>
    <t>learnwell</t>
  </si>
  <si>
    <t>INV-2025-01782</t>
  </si>
  <si>
    <t>INV-2025-01783</t>
  </si>
  <si>
    <t>INV-2025-01784</t>
  </si>
  <si>
    <t>INV-2025-01785</t>
  </si>
  <si>
    <t>INV-2025-01786</t>
  </si>
  <si>
    <t>INV-2025-01787</t>
  </si>
  <si>
    <t>INV-2025-01788</t>
  </si>
  <si>
    <t>INV-2025-01789</t>
  </si>
  <si>
    <t>INV-2025-01790</t>
  </si>
  <si>
    <t>INV-2025-01791</t>
  </si>
  <si>
    <t>INV-2025-01792</t>
  </si>
  <si>
    <t>INV-2025-01793</t>
  </si>
  <si>
    <t>INV-2025-01794</t>
  </si>
  <si>
    <t>INV-2025-01795</t>
  </si>
  <si>
    <t>INV-2025-01796</t>
  </si>
  <si>
    <t>INV-2025-01797</t>
  </si>
  <si>
    <t>INV-2025-01798</t>
  </si>
  <si>
    <t>INV-2025-01799</t>
  </si>
  <si>
    <t>INV-2025-01800</t>
  </si>
  <si>
    <t>Month</t>
  </si>
  <si>
    <t>VehicleID</t>
  </si>
  <si>
    <t>VehicleType</t>
  </si>
  <si>
    <t>Miles</t>
  </si>
  <si>
    <t>FuelLitres</t>
  </si>
  <si>
    <t>FuelCost</t>
  </si>
  <si>
    <t>MaintenanceCost</t>
  </si>
  <si>
    <t>LeaseCost</t>
  </si>
  <si>
    <t>TotalFleetCost</t>
  </si>
  <si>
    <t>VH0077</t>
  </si>
  <si>
    <t>Van</t>
  </si>
  <si>
    <t>VH0050</t>
  </si>
  <si>
    <t>Car</t>
  </si>
  <si>
    <t>VH0138</t>
  </si>
  <si>
    <t>VH0063</t>
  </si>
  <si>
    <t>VH0118</t>
  </si>
  <si>
    <t>MPV</t>
  </si>
  <si>
    <t>VH0032</t>
  </si>
  <si>
    <t>Minibus</t>
  </si>
  <si>
    <t>VH0028</t>
  </si>
  <si>
    <t>VH0093</t>
  </si>
  <si>
    <t>VH0054</t>
  </si>
  <si>
    <t>VH0101</t>
  </si>
  <si>
    <t>VH0026</t>
  </si>
  <si>
    <t>VH0126</t>
  </si>
  <si>
    <t>VH0006</t>
  </si>
  <si>
    <t>VH0046</t>
  </si>
  <si>
    <t>VH0009</t>
  </si>
  <si>
    <t>VH0031</t>
  </si>
  <si>
    <t>VH0008</t>
  </si>
  <si>
    <t>VH0084</t>
  </si>
  <si>
    <t>VH0036</t>
  </si>
  <si>
    <t>VH0057</t>
  </si>
  <si>
    <t>VH0090</t>
  </si>
  <si>
    <t>VH0076</t>
  </si>
  <si>
    <t>VH0120</t>
  </si>
  <si>
    <t>VH0072</t>
  </si>
  <si>
    <t>VH0027</t>
  </si>
  <si>
    <t>VH0080</t>
  </si>
  <si>
    <t>VH0099</t>
  </si>
  <si>
    <t>VH0110</t>
  </si>
  <si>
    <t>VH0052</t>
  </si>
  <si>
    <t>VH0091</t>
  </si>
  <si>
    <t>VH0096</t>
  </si>
  <si>
    <t>VH0017</t>
  </si>
  <si>
    <t>VH0019</t>
  </si>
  <si>
    <t>VH0056</t>
  </si>
  <si>
    <t>VH0038</t>
  </si>
  <si>
    <t>VH0073</t>
  </si>
  <si>
    <t>VH0055</t>
  </si>
  <si>
    <t>VH0135</t>
  </si>
  <si>
    <t>VH0116</t>
  </si>
  <si>
    <t>VH0044</t>
  </si>
  <si>
    <t>VH0002</t>
  </si>
  <si>
    <t>VH0119</t>
  </si>
  <si>
    <t>VH0034</t>
  </si>
  <si>
    <t>VH0104</t>
  </si>
  <si>
    <t>VH0010</t>
  </si>
  <si>
    <t>VH0137</t>
  </si>
  <si>
    <t>VH0013</t>
  </si>
  <si>
    <t>VH0117</t>
  </si>
  <si>
    <t>VH0127</t>
  </si>
  <si>
    <t>VH0049</t>
  </si>
  <si>
    <t>VH0095</t>
  </si>
  <si>
    <t>VH0020</t>
  </si>
  <si>
    <t>VH0068</t>
  </si>
  <si>
    <t>VH0085</t>
  </si>
  <si>
    <t>VH0098</t>
  </si>
  <si>
    <t>VH0070</t>
  </si>
  <si>
    <t>VH0136</t>
  </si>
  <si>
    <t>VH0062</t>
  </si>
  <si>
    <t>VH0123</t>
  </si>
  <si>
    <t>VH0083</t>
  </si>
  <si>
    <t>VH0124</t>
  </si>
  <si>
    <t>VH0125</t>
  </si>
  <si>
    <t>VH0094</t>
  </si>
  <si>
    <t>VH0029</t>
  </si>
  <si>
    <t>VH0005</t>
  </si>
  <si>
    <t>VH0129</t>
  </si>
  <si>
    <t>VH0111</t>
  </si>
  <si>
    <t>VH0131</t>
  </si>
  <si>
    <t>VH0086</t>
  </si>
  <si>
    <t>VH0014</t>
  </si>
  <si>
    <t>VH0113</t>
  </si>
  <si>
    <t>VH0133</t>
  </si>
  <si>
    <t>VH0064</t>
  </si>
  <si>
    <t>VH0069</t>
  </si>
  <si>
    <t>VH0053</t>
  </si>
  <si>
    <t>VH0081</t>
  </si>
  <si>
    <t>VH0018</t>
  </si>
  <si>
    <t>VH0043</t>
  </si>
  <si>
    <t>VH0003</t>
  </si>
  <si>
    <t>VH0122</t>
  </si>
  <si>
    <t>VH0025</t>
  </si>
  <si>
    <t>VH0078</t>
  </si>
  <si>
    <t>VH0037</t>
  </si>
  <si>
    <t>VH0092</t>
  </si>
  <si>
    <t>VH0128</t>
  </si>
  <si>
    <t>VH0140</t>
  </si>
  <si>
    <t>VH0045</t>
  </si>
  <si>
    <t>VH0089</t>
  </si>
  <si>
    <t>VH0074</t>
  </si>
  <si>
    <t>VH0065</t>
  </si>
  <si>
    <t>VH0021</t>
  </si>
  <si>
    <t>VH0075</t>
  </si>
  <si>
    <t>VH0112</t>
  </si>
  <si>
    <t>VH0047</t>
  </si>
  <si>
    <t>VH0097</t>
  </si>
  <si>
    <t>VH0132</t>
  </si>
  <si>
    <t>VH0022</t>
  </si>
  <si>
    <t>VH0015</t>
  </si>
  <si>
    <t>VH0030</t>
  </si>
  <si>
    <t>VH0048</t>
  </si>
  <si>
    <t>VH0071</t>
  </si>
  <si>
    <t>VH0114</t>
  </si>
  <si>
    <t>VH0041</t>
  </si>
  <si>
    <t>VH0087</t>
  </si>
  <si>
    <t>VH0012</t>
  </si>
  <si>
    <t>VH0060</t>
  </si>
  <si>
    <t>VH0051</t>
  </si>
  <si>
    <t>VH0007</t>
  </si>
  <si>
    <t>VH0033</t>
  </si>
  <si>
    <t>VH0108</t>
  </si>
  <si>
    <t>VH0067</t>
  </si>
  <si>
    <t>VH0016</t>
  </si>
  <si>
    <t>VH0011</t>
  </si>
  <si>
    <t>VH0100</t>
  </si>
  <si>
    <t>VH0059</t>
  </si>
  <si>
    <t>VH0106</t>
  </si>
  <si>
    <t>VH0082</t>
  </si>
  <si>
    <t>VH0079</t>
  </si>
  <si>
    <t>VH0139</t>
  </si>
  <si>
    <t>VH0061</t>
  </si>
  <si>
    <t>VH0004</t>
  </si>
  <si>
    <t>VH0130</t>
  </si>
  <si>
    <t>VH0105</t>
  </si>
  <si>
    <t>VH0121</t>
  </si>
  <si>
    <t>VH0088</t>
  </si>
  <si>
    <t>VH0023</t>
  </si>
  <si>
    <t>VH0134</t>
  </si>
  <si>
    <t>VH0115</t>
  </si>
  <si>
    <t>VH0102</t>
  </si>
  <si>
    <t>VH0039</t>
  </si>
  <si>
    <t>VH0109</t>
  </si>
  <si>
    <t>VH0058</t>
  </si>
  <si>
    <t>VH0024</t>
  </si>
  <si>
    <t>VH0103</t>
  </si>
  <si>
    <t>VH0035</t>
  </si>
  <si>
    <t>VH0001</t>
  </si>
  <si>
    <t>VH0042</t>
  </si>
  <si>
    <t>VH0066</t>
  </si>
  <si>
    <t>VH0107</t>
  </si>
  <si>
    <t>VH0040</t>
  </si>
  <si>
    <t>Role</t>
  </si>
  <si>
    <t>FTE</t>
  </si>
  <si>
    <t>AnnualSalary</t>
  </si>
  <si>
    <t>OvertimeHours</t>
  </si>
  <si>
    <t>OvertimeCost</t>
  </si>
  <si>
    <t>AbsenceDays</t>
  </si>
  <si>
    <t>BasePayroll</t>
  </si>
  <si>
    <t>TotalPayroll</t>
  </si>
  <si>
    <t>Support Worker</t>
  </si>
  <si>
    <t>Manager</t>
  </si>
  <si>
    <t>Senior Support Worker</t>
  </si>
  <si>
    <t>Registered Nurse</t>
  </si>
  <si>
    <t>Administrator</t>
  </si>
  <si>
    <t>Team Leader</t>
  </si>
  <si>
    <t>Driver</t>
  </si>
  <si>
    <t>Agency</t>
  </si>
  <si>
    <t>Hours</t>
  </si>
  <si>
    <t>HourlyRate</t>
  </si>
  <si>
    <t>AgencySpend</t>
  </si>
  <si>
    <t>Revenue</t>
  </si>
  <si>
    <t>Payroll</t>
  </si>
  <si>
    <t>Procurement</t>
  </si>
  <si>
    <t>Fleet</t>
  </si>
  <si>
    <t>OtherOpex</t>
  </si>
  <si>
    <t>BudgetOpex</t>
  </si>
  <si>
    <t>ActualOpex</t>
  </si>
  <si>
    <t>EBITDA</t>
  </si>
  <si>
    <t>EBITDA_Margin</t>
  </si>
  <si>
    <t>Town</t>
  </si>
  <si>
    <t>Preston</t>
  </si>
  <si>
    <t>Manchester</t>
  </si>
  <si>
    <t>Leeds</t>
  </si>
  <si>
    <t>Newcastle</t>
  </si>
  <si>
    <t>Sheffield</t>
  </si>
  <si>
    <t>Birmingham</t>
  </si>
  <si>
    <t>Nottingham</t>
  </si>
  <si>
    <t>Leicester</t>
  </si>
  <si>
    <t>Derby</t>
  </si>
  <si>
    <t>Coventry</t>
  </si>
  <si>
    <t>London</t>
  </si>
  <si>
    <t>Bristol</t>
  </si>
  <si>
    <t>Reading</t>
  </si>
  <si>
    <t>Southampton</t>
  </si>
  <si>
    <t>Brighton</t>
  </si>
  <si>
    <t>Cardiff</t>
  </si>
  <si>
    <t>Swansea</t>
  </si>
  <si>
    <t>Newport</t>
  </si>
  <si>
    <t>Wrexham</t>
  </si>
  <si>
    <t>Bangor</t>
  </si>
  <si>
    <t>TargetSavingsPct</t>
  </si>
  <si>
    <t>Owner</t>
  </si>
  <si>
    <t>IT</t>
  </si>
  <si>
    <t>Workforce</t>
  </si>
  <si>
    <t>Commercial</t>
  </si>
  <si>
    <t>NetSpend_Clean</t>
  </si>
  <si>
    <t>Supplier_Category_Lookup</t>
  </si>
  <si>
    <t>Savings_Target</t>
  </si>
  <si>
    <t>Potential_Saving</t>
  </si>
  <si>
    <t>Pivot-Style Commercial Analysis – Refreshable Formula Summary</t>
  </si>
  <si>
    <t>Spend by Category</t>
  </si>
  <si>
    <t>Spend</t>
  </si>
  <si>
    <t>% of Total</t>
  </si>
  <si>
    <t>Target Savings</t>
  </si>
  <si>
    <t>Potential Saving</t>
  </si>
  <si>
    <t>Contracted Spend</t>
  </si>
  <si>
    <t>Non-Contracted Spend</t>
  </si>
  <si>
    <t>Spend by Region</t>
  </si>
  <si>
    <t>Invoices</t>
  </si>
  <si>
    <t>Avg Invoice</t>
  </si>
  <si>
    <t>Monthly Finance Performance</t>
  </si>
  <si>
    <t>Actual Opex</t>
  </si>
  <si>
    <t>Budget Opex</t>
  </si>
  <si>
    <t>Variance</t>
  </si>
  <si>
    <t>Margin</t>
  </si>
  <si>
    <t>2026 Driver-Based Commercial Financial Model</t>
  </si>
  <si>
    <t>Scenario</t>
  </si>
  <si>
    <t>Base</t>
  </si>
  <si>
    <t>Conservative</t>
  </si>
  <si>
    <t>Aggressive</t>
  </si>
  <si>
    <t>Selected</t>
  </si>
  <si>
    <t>Revenue growth</t>
  </si>
  <si>
    <t>Procurement savings</t>
  </si>
  <si>
    <t>Agency rate inflation</t>
  </si>
  <si>
    <t>Fleet efficiency</t>
  </si>
  <si>
    <t>Payroll inflation</t>
  </si>
  <si>
    <t>Other Opex inflation</t>
  </si>
  <si>
    <t>2025 Baseline</t>
  </si>
  <si>
    <t>Metric</t>
  </si>
  <si>
    <t>2025 Actual</t>
  </si>
  <si>
    <t>2026 Selected Scenario</t>
  </si>
  <si>
    <t>Change</t>
  </si>
  <si>
    <t>% Change</t>
  </si>
  <si>
    <t>Other Opex</t>
  </si>
  <si>
    <t>2026 Forecast Profitability</t>
  </si>
  <si>
    <t>Value</t>
  </si>
  <si>
    <t>Total Opex</t>
  </si>
  <si>
    <t>EBITDA Margin</t>
  </si>
  <si>
    <t>Scenario insight</t>
  </si>
  <si>
    <t>Use the scenario selector to test how procurement savings, agency inflation, fleet efficiency and payroll inflation affect 2026 EBITDA. This demonstrates driver-based modelling rather than a static budget.</t>
  </si>
  <si>
    <t>Commercial Savings Tracker</t>
  </si>
  <si>
    <t>2025 Spend</t>
  </si>
  <si>
    <t>Target %</t>
  </si>
  <si>
    <t>Target Saving</t>
  </si>
  <si>
    <t>2026 Realised Saving</t>
  </si>
  <si>
    <t>Status</t>
  </si>
  <si>
    <t>Total</t>
  </si>
  <si>
    <t>Advanced Formula Catalogue</t>
  </si>
  <si>
    <t>Technique</t>
  </si>
  <si>
    <t>Example formula / use</t>
  </si>
  <si>
    <t>SUMIFS</t>
  </si>
  <si>
    <t>Aggregate spend by category, region and contracted status.</t>
  </si>
  <si>
    <t>COUNTIFS</t>
  </si>
  <si>
    <t>Count invoices by region/category.</t>
  </si>
  <si>
    <t>IFERROR</t>
  </si>
  <si>
    <t>Handle missing lookup keys and blank spend safely.</t>
  </si>
  <si>
    <t>INDEX + MATCH</t>
  </si>
  <si>
    <t>Return category savings target from lookup table.</t>
  </si>
  <si>
    <t>VLOOKUP / XLOOKUP</t>
  </si>
  <si>
    <t>Demonstrated in the VBA/technical notes for supplier and site enrichment; INDEX/MATCH is used in the live model for broad compatibility.</t>
  </si>
  <si>
    <t>CHOOSE + MATCH</t>
  </si>
  <si>
    <t>Scenario selector maps Conservative/Base/Aggressive assumptions to selected driver values.</t>
  </si>
  <si>
    <t>Structured tables</t>
  </si>
  <si>
    <t>All raw source datasets are Excel Tables for filterable, extensible ranges.</t>
  </si>
  <si>
    <t>Conditional formatting</t>
  </si>
  <si>
    <t>Flags data-quality issues, savings status and model driver changes.</t>
  </si>
  <si>
    <t>Data validation</t>
  </si>
  <si>
    <t>Scenario selector restricts inputs to approved scenario names.</t>
  </si>
  <si>
    <t>Pivot-style summaries</t>
  </si>
  <si>
    <t>Formula-driven cross-tabs replicate common PivotTable questions and remain refreshable when source rows change.</t>
  </si>
  <si>
    <t>Financial modelling</t>
  </si>
  <si>
    <t>Driver-based forecast, savings tracker, EBITDA and margin analysis.</t>
  </si>
  <si>
    <t>CARETECH COMMERCIAL ANALYTICS – EXECUTIVE EXCEL DASHBOARD</t>
  </si>
  <si>
    <t>2025 Total Revenue</t>
  </si>
  <si>
    <t>2025 Actual Opex</t>
  </si>
  <si>
    <t>2025 EBITDA</t>
  </si>
  <si>
    <t>Potential Savings</t>
  </si>
  <si>
    <t>Commercial insights</t>
  </si>
  <si>
    <t>Largest spend category</t>
  </si>
  <si>
    <t>Highest savings opportunity</t>
  </si>
  <si>
    <t>2025 EBITDA margin</t>
  </si>
  <si>
    <t>VBA Automation – Scripts Supplied Separately as .bas Files</t>
  </si>
  <si>
    <t>Module_CleanseData.bas</t>
  </si>
  <si>
    <t>Cleans text/case, identifies blank supplier/site/spend, and flags duplicate invoice IDs in a source table.</t>
  </si>
  <si>
    <t>Module_ConsolidateCSVs.bas</t>
  </si>
  <si>
    <t>Loops through a selected folder, opens CSV files, appends rows into a Consolidated sheet and closes source files.</t>
  </si>
  <si>
    <t>Module_RefreshDashboard.bas</t>
  </si>
  <si>
    <t>Refreshes workbook calculations, tables and PivotTables/queries where present, then records refresh timestamp.</t>
  </si>
  <si>
    <t>Module_ExportReport.bas</t>
  </si>
  <si>
    <t>Exports Dashboard to PDF for recurring commercial reporting.</t>
  </si>
  <si>
    <t>Use</t>
  </si>
  <si>
    <t>Open Excel desktop &gt; Alt+F11 &gt; File &gt; Import File &gt; select .bas. Save a copy as .xlsm before running macros. Test in a controlled folder first.</t>
  </si>
  <si>
    <t>Data Dictionary &amp; Methodology</t>
  </si>
  <si>
    <t>Data provenance</t>
  </si>
  <si>
    <t>Synthetic data generated specifically for this portfolio project. It is designed to resemble commercial care-sector datasets without using personal or confidential information.</t>
  </si>
  <si>
    <t>Invoice-level supplier spend with categories, contract status and deliberate quality exceptions.</t>
  </si>
  <si>
    <t>Monthly vehicle usage, fuel, maintenance and lease costs by site.</t>
  </si>
  <si>
    <t>Monthly FTE, salary, overtime and absence measures by role and site.</t>
  </si>
  <si>
    <t>Monthly agency hours and rates by role and site.</t>
  </si>
  <si>
    <t>Finance</t>
  </si>
  <si>
    <t>Monthly revenue, cost components, budget, EBITDA and margin by site.</t>
  </si>
  <si>
    <t>GDPR-first design</t>
  </si>
  <si>
    <t>No names, addresses, phone numbers, NHS numbers or staff identifiers. Only synthetic IDs and aggregated operational measures are used.</t>
  </si>
  <si>
    <t>Quality checks</t>
  </si>
  <si>
    <t>Blank supplier/site/spend, duplicate invoice IDs and inconsistent category casing are deliberately included so the VBA module has a realistic cleansing use case.</t>
  </si>
  <si>
    <t>2026 forecast uses 2025 actuals as the baseline. Scenario drivers alter revenue growth, procurement savings, agency inflation, fleet efficiency, payroll inflation and other Opex inflation.</t>
  </si>
  <si>
    <t>Limitations</t>
  </si>
  <si>
    <t>This is a portfolio simulation. It does not reproduce CareTech systems, contractual definitions or actual commercial policies. The candidate should explain this honestly in an interview.</t>
  </si>
  <si>
    <t>Filter</t>
  </si>
  <si>
    <t>Total Result</t>
  </si>
  <si>
    <t>Sum - NetSpend_Clean</t>
  </si>
  <si>
    <t>Count - InvoiceID</t>
  </si>
  <si>
    <t>Total Sum - NetSpend_Clean</t>
  </si>
  <si>
    <t>Total Count - InvoiceID</t>
  </si>
  <si>
    <t>Advanced Excel &amp; Financial Modelling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</si>
</sst>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£#,##0.00;[Red]&quot;-£&quot;#,##0.00"/>
    <numFmt numFmtId="166" formatCode="#,##0.0"/>
    <numFmt numFmtId="167" formatCode="0.0%"/>
    <numFmt numFmtId="168" formatCode="\£#,##0;[Red]&quot;-£&quot;#,##0"/>
  </numFmts>
  <fonts count="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0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6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8"/>
      </patternFill>
    </fill>
    <fill>
      <patternFill patternType="solid">
        <fgColor rgb="FF4472C4"/>
        <bgColor rgb="FF4A7EBB"/>
      </patternFill>
    </fill>
    <fill>
      <patternFill patternType="solid">
        <fgColor rgb="FF5B9BD5"/>
        <bgColor rgb="FF4F81BD"/>
      </patternFill>
    </fill>
    <fill>
      <patternFill patternType="solid">
        <fgColor rgb="FFFFF2CC"/>
        <bgColor rgb="FFFCE4D6"/>
      </patternFill>
    </fill>
    <fill>
      <patternFill patternType="solid">
        <fgColor rgb="FFEAF2F8"/>
        <bgColor rgb="FFD9EAF7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51">
    <xf numFmtId="0" fontId="0" fillId="0" borderId="0" xfId="0"/>
    <xf numFmtId="0" fontId="5" fillId="0" borderId="0" xfId="0" applyFont="1" applyAlignment="1">
      <alignment wrapText="1"/>
    </xf>
    <xf numFmtId="0" fontId="2" fillId="2" borderId="0" xfId="0" applyFont="1" applyFill="1" applyAlignment="1">
      <alignment horizontal="left" vertical="center"/>
    </xf>
    <xf numFmtId="0" fontId="1" fillId="3" borderId="1" xfId="0" applyFont="1" applyFill="1" applyBorder="1"/>
    <xf numFmtId="0" fontId="0" fillId="0" borderId="0" xfId="0" applyAlignment="1">
      <alignment vertical="top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7" fontId="0" fillId="0" borderId="0" xfId="0" applyNumberFormat="1"/>
    <xf numFmtId="167" fontId="0" fillId="0" borderId="0" xfId="0" applyNumberFormat="1"/>
    <xf numFmtId="0" fontId="3" fillId="4" borderId="0" xfId="0" applyFont="1" applyFill="1"/>
    <xf numFmtId="0" fontId="4" fillId="5" borderId="1" xfId="0" applyFont="1" applyFill="1" applyBorder="1" applyAlignment="1">
      <alignment wrapText="1"/>
    </xf>
    <xf numFmtId="168" fontId="0" fillId="0" borderId="0" xfId="0" applyNumberFormat="1"/>
    <xf numFmtId="167" fontId="0" fillId="6" borderId="1" xfId="0" applyNumberFormat="1" applyFill="1" applyBorder="1"/>
    <xf numFmtId="0" fontId="4" fillId="4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2" xfId="1" applyBorder="1"/>
    <xf numFmtId="0" fontId="7" fillId="0" borderId="3" xfId="1" applyBorder="1"/>
    <xf numFmtId="0" fontId="7" fillId="0" borderId="4" xfId="3" applyBorder="1"/>
    <xf numFmtId="0" fontId="7" fillId="0" borderId="5" xfId="1" applyBorder="1"/>
    <xf numFmtId="0" fontId="7" fillId="0" borderId="6" xfId="1" applyBorder="1"/>
    <xf numFmtId="0" fontId="7" fillId="0" borderId="7" xfId="3" applyBorder="1"/>
    <xf numFmtId="0" fontId="7" fillId="0" borderId="1" xfId="3" applyBorder="1"/>
    <xf numFmtId="0" fontId="7" fillId="0" borderId="8" xfId="4" applyBorder="1">
      <alignment horizontal="left"/>
    </xf>
    <xf numFmtId="0" fontId="7" fillId="0" borderId="9" xfId="4" applyBorder="1">
      <alignment horizontal="left"/>
    </xf>
    <xf numFmtId="0" fontId="1" fillId="0" borderId="10" xfId="5" applyBorder="1">
      <alignment horizontal="left"/>
    </xf>
    <xf numFmtId="0" fontId="7" fillId="0" borderId="11" xfId="4" applyBorder="1">
      <alignment horizontal="left"/>
    </xf>
    <xf numFmtId="0" fontId="7" fillId="0" borderId="12" xfId="4" applyBorder="1">
      <alignment horizontal="left"/>
    </xf>
    <xf numFmtId="165" fontId="7" fillId="0" borderId="13" xfId="2" applyNumberFormat="1" applyBorder="1"/>
    <xf numFmtId="165" fontId="7" fillId="0" borderId="14" xfId="2" applyNumberFormat="1" applyBorder="1"/>
    <xf numFmtId="165" fontId="7" fillId="0" borderId="15" xfId="2" applyNumberFormat="1" applyBorder="1"/>
    <xf numFmtId="165" fontId="1" fillId="0" borderId="16" xfId="6" applyNumberFormat="1" applyBorder="1"/>
    <xf numFmtId="0" fontId="7" fillId="0" borderId="17" xfId="4" applyBorder="1">
      <alignment horizontal="left"/>
    </xf>
    <xf numFmtId="0" fontId="7" fillId="0" borderId="18" xfId="4" applyBorder="1">
      <alignment horizontal="left"/>
    </xf>
    <xf numFmtId="0" fontId="7" fillId="0" borderId="8" xfId="2" applyBorder="1"/>
    <xf numFmtId="0" fontId="7" fillId="0" borderId="9" xfId="2" applyBorder="1"/>
    <xf numFmtId="0" fontId="7" fillId="0" borderId="19" xfId="2" applyBorder="1"/>
    <xf numFmtId="0" fontId="1" fillId="0" borderId="20" xfId="6" applyBorder="1"/>
    <xf numFmtId="0" fontId="1" fillId="0" borderId="21" xfId="5" applyBorder="1">
      <alignment horizontal="left"/>
    </xf>
    <xf numFmtId="0" fontId="1" fillId="0" borderId="22" xfId="5" applyBorder="1">
      <alignment horizontal="left"/>
    </xf>
    <xf numFmtId="165" fontId="1" fillId="0" borderId="23" xfId="6" applyNumberFormat="1" applyBorder="1"/>
    <xf numFmtId="165" fontId="1" fillId="0" borderId="24" xfId="6" applyNumberFormat="1" applyBorder="1"/>
    <xf numFmtId="165" fontId="1" fillId="0" borderId="22" xfId="6" applyNumberFormat="1" applyBorder="1"/>
    <xf numFmtId="165" fontId="1" fillId="0" borderId="10" xfId="6" applyNumberFormat="1" applyBorder="1"/>
    <xf numFmtId="0" fontId="1" fillId="0" borderId="25" xfId="5" applyBorder="1">
      <alignment horizontal="left"/>
    </xf>
    <xf numFmtId="0" fontId="1" fillId="0" borderId="26" xfId="5" applyBorder="1">
      <alignment horizontal="left"/>
    </xf>
    <xf numFmtId="0" fontId="1" fillId="0" borderId="27" xfId="6" applyBorder="1"/>
    <xf numFmtId="0" fontId="1" fillId="0" borderId="28" xfId="6" applyBorder="1"/>
    <xf numFmtId="0" fontId="1" fillId="0" borderId="26" xfId="6" applyBorder="1"/>
    <xf numFmtId="0" fontId="1" fillId="0" borderId="29" xfId="6" applyBorder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5">
    <dxf>
      <font>
        <color rgb="FF9C0006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78787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4F81BD"/>
      <rgbColor rgb="FF003366"/>
      <rgbColor rgb="FF4A7EBB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Spend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Pivot_Analysis!$A$5:$A$12</c:f>
              <c:strCache>
                <c:ptCount val="8"/>
                <c:pt idx="0">
                  <c:v>Medical Supplies</c:v>
                </c:pt>
                <c:pt idx="1">
                  <c:v>Food &amp; Catering</c:v>
                </c:pt>
                <c:pt idx="2">
                  <c:v>Facilities</c:v>
                </c:pt>
                <c:pt idx="3">
                  <c:v>Utilities</c:v>
                </c:pt>
                <c:pt idx="4">
                  <c:v>IT &amp; Telecoms</c:v>
                </c:pt>
                <c:pt idx="5">
                  <c:v>Vehicle &amp; Fuel</c:v>
                </c:pt>
                <c:pt idx="6">
                  <c:v>Agency Labour</c:v>
                </c:pt>
                <c:pt idx="7">
                  <c:v>Office &amp; Training</c:v>
                </c:pt>
              </c:strCache>
            </c:strRef>
          </c:cat>
          <c:val>
            <c:numRef>
              <c:f>Pivot_Analysis!$B$5:$B$12</c:f>
              <c:numCache>
                <c:formatCode>\£#,##0;[Red]"-£"#,##0</c:formatCode>
                <c:ptCount val="8"/>
                <c:pt idx="0">
                  <c:v>1097153.0099999998</c:v>
                </c:pt>
                <c:pt idx="1">
                  <c:v>837713.63000000024</c:v>
                </c:pt>
                <c:pt idx="2">
                  <c:v>2128780.9299999983</c:v>
                </c:pt>
                <c:pt idx="3">
                  <c:v>2401261.600000001</c:v>
                </c:pt>
                <c:pt idx="4">
                  <c:v>2505155.1799999997</c:v>
                </c:pt>
                <c:pt idx="5">
                  <c:v>1030620.2999999997</c:v>
                </c:pt>
                <c:pt idx="6">
                  <c:v>3193367.1400000006</c:v>
                </c:pt>
                <c:pt idx="7">
                  <c:v>728629.96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8-4E20-98BA-46716677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85980"/>
        <c:axId val="17431716"/>
      </c:barChart>
      <c:catAx>
        <c:axId val="923859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7431716"/>
        <c:crosses val="autoZero"/>
        <c:auto val="1"/>
        <c:lblAlgn val="ctr"/>
        <c:lblOffset val="100"/>
        <c:noMultiLvlLbl val="0"/>
      </c:catAx>
      <c:valAx>
        <c:axId val="17431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23859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EBITDA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EBITDA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Pivot_Analysis!$A$25:$A$36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Pivot_Analysis!$F$25:$F$36</c:f>
              <c:numCache>
                <c:formatCode>\£#,##0;[Red]"-£"#,##0</c:formatCode>
                <c:ptCount val="12"/>
                <c:pt idx="0">
                  <c:v>2025840.9233333338</c:v>
                </c:pt>
                <c:pt idx="1">
                  <c:v>2241209.9733333299</c:v>
                </c:pt>
                <c:pt idx="2">
                  <c:v>2257941.6333333338</c:v>
                </c:pt>
                <c:pt idx="3">
                  <c:v>2379621.8533333316</c:v>
                </c:pt>
                <c:pt idx="4">
                  <c:v>2032840.9966666671</c:v>
                </c:pt>
                <c:pt idx="5">
                  <c:v>2145719.5266666645</c:v>
                </c:pt>
                <c:pt idx="6">
                  <c:v>2077675.9400000004</c:v>
                </c:pt>
                <c:pt idx="7">
                  <c:v>2064502.4766666666</c:v>
                </c:pt>
                <c:pt idx="8">
                  <c:v>2080861.1033333335</c:v>
                </c:pt>
                <c:pt idx="9">
                  <c:v>2492510.0133333318</c:v>
                </c:pt>
                <c:pt idx="10">
                  <c:v>1872538.3333333321</c:v>
                </c:pt>
                <c:pt idx="11">
                  <c:v>2452289.7333333381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CC-4CE0-B76D-F31EC30C7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983151"/>
        <c:axId val="71170504"/>
      </c:lineChart>
      <c:dateAx>
        <c:axId val="999831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170504"/>
        <c:crosses val="autoZero"/>
        <c:auto val="1"/>
        <c:lblOffset val="100"/>
        <c:baseTimeUnit val="months"/>
      </c:dateAx>
      <c:valAx>
        <c:axId val="71170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9983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Savings Opportunity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Potential Saving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Pivot_Analysis!$A$5:$A$12</c:f>
              <c:strCache>
                <c:ptCount val="8"/>
                <c:pt idx="0">
                  <c:v>Medical Supplies</c:v>
                </c:pt>
                <c:pt idx="1">
                  <c:v>Food &amp; Catering</c:v>
                </c:pt>
                <c:pt idx="2">
                  <c:v>Facilities</c:v>
                </c:pt>
                <c:pt idx="3">
                  <c:v>Utilities</c:v>
                </c:pt>
                <c:pt idx="4">
                  <c:v>IT &amp; Telecoms</c:v>
                </c:pt>
                <c:pt idx="5">
                  <c:v>Vehicle &amp; Fuel</c:v>
                </c:pt>
                <c:pt idx="6">
                  <c:v>Agency Labour</c:v>
                </c:pt>
                <c:pt idx="7">
                  <c:v>Office &amp; Training</c:v>
                </c:pt>
              </c:strCache>
            </c:strRef>
          </c:cat>
          <c:val>
            <c:numRef>
              <c:f>Pivot_Analysis!$E$5:$E$12</c:f>
              <c:numCache>
                <c:formatCode>\£#,##0;[Red]"-£"#,##0</c:formatCode>
                <c:ptCount val="8"/>
                <c:pt idx="0">
                  <c:v>65829.180599999978</c:v>
                </c:pt>
                <c:pt idx="1">
                  <c:v>33508.545200000008</c:v>
                </c:pt>
                <c:pt idx="2">
                  <c:v>106439.04649999992</c:v>
                </c:pt>
                <c:pt idx="3">
                  <c:v>72037.848000000027</c:v>
                </c:pt>
                <c:pt idx="4">
                  <c:v>200412.41439999998</c:v>
                </c:pt>
                <c:pt idx="5">
                  <c:v>51531.014999999985</c:v>
                </c:pt>
                <c:pt idx="6">
                  <c:v>223535.69980000006</c:v>
                </c:pt>
                <c:pt idx="7">
                  <c:v>29145.198399999997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694-A5B8-7C2FB4E2F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985515"/>
        <c:axId val="2915966"/>
      </c:barChart>
      <c:catAx>
        <c:axId val="3198551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915966"/>
        <c:crosses val="autoZero"/>
        <c:auto val="1"/>
        <c:lblAlgn val="ctr"/>
        <c:lblOffset val="100"/>
        <c:noMultiLvlLbl val="0"/>
      </c:catAx>
      <c:valAx>
        <c:axId val="29159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19855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130680</xdr:rowOff>
    </xdr:from>
    <xdr:to>
      <xdr:col>6</xdr:col>
      <xdr:colOff>475560</xdr:colOff>
      <xdr:row>28</xdr:row>
      <xdr:rowOff>130320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130680</xdr:rowOff>
    </xdr:from>
    <xdr:to>
      <xdr:col>12</xdr:col>
      <xdr:colOff>475560</xdr:colOff>
      <xdr:row>28</xdr:row>
      <xdr:rowOff>130320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130680</xdr:rowOff>
    </xdr:from>
    <xdr:to>
      <xdr:col>6</xdr:col>
      <xdr:colOff>475560</xdr:colOff>
      <xdr:row>45</xdr:row>
      <xdr:rowOff>130320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Procurement" displayName="tblProcurement" ref="A1:P1801" totalsRowShown="0">
  <autoFilter ref="A1:P1801" xr:uid="{00000000-0009-0000-0100-000005000000}"/>
  <tableColumns count="16">
    <tableColumn id="1" xr3:uid="{00000000-0010-0000-0000-000001000000}" name="InvoiceDate"/>
    <tableColumn id="2" xr3:uid="{00000000-0010-0000-0000-000002000000}" name="SiteID"/>
    <tableColumn id="3" xr3:uid="{00000000-0010-0000-0000-000003000000}" name="SiteName"/>
    <tableColumn id="4" xr3:uid="{00000000-0010-0000-0000-000004000000}" name="Region"/>
    <tableColumn id="5" xr3:uid="{00000000-0010-0000-0000-000005000000}" name="Supplier"/>
    <tableColumn id="6" xr3:uid="{00000000-0010-0000-0000-000006000000}" name="Category"/>
    <tableColumn id="7" xr3:uid="{00000000-0010-0000-0000-000007000000}" name="InvoiceID"/>
    <tableColumn id="8" xr3:uid="{00000000-0010-0000-0000-000008000000}" name="Quantity"/>
    <tableColumn id="9" xr3:uid="{00000000-0010-0000-0000-000009000000}" name="UnitCost"/>
    <tableColumn id="10" xr3:uid="{00000000-0010-0000-0000-00000A000000}" name="GrossSpend"/>
    <tableColumn id="11" xr3:uid="{00000000-0010-0000-0000-00000B000000}" name="PaymentTermsDays"/>
    <tableColumn id="12" xr3:uid="{00000000-0010-0000-0000-00000C000000}" name="SourceSystem"/>
    <tableColumn id="13" xr3:uid="{00000000-0010-0000-0000-00000D000000}" name="VAT"/>
    <tableColumn id="14" xr3:uid="{00000000-0010-0000-0000-00000E000000}" name="NetSpend"/>
    <tableColumn id="15" xr3:uid="{00000000-0010-0000-0000-00000F000000}" name="Contracted"/>
    <tableColumn id="16" xr3:uid="{00000000-0010-0000-0000-000010000000}" name="DataQualityFla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Fleet" displayName="tblFleet" ref="A1:L1160" totalsRowShown="0">
  <autoFilter ref="A1:L1160" xr:uid="{00000000-0009-0000-0100-000004000000}"/>
  <tableColumns count="12">
    <tableColumn id="1" xr3:uid="{00000000-0010-0000-0100-000001000000}" name="Month"/>
    <tableColumn id="2" xr3:uid="{00000000-0010-0000-0100-000002000000}" name="SiteID"/>
    <tableColumn id="3" xr3:uid="{00000000-0010-0000-0100-000003000000}" name="SiteName"/>
    <tableColumn id="4" xr3:uid="{00000000-0010-0000-0100-000004000000}" name="Region"/>
    <tableColumn id="5" xr3:uid="{00000000-0010-0000-0100-000005000000}" name="VehicleID"/>
    <tableColumn id="6" xr3:uid="{00000000-0010-0000-0100-000006000000}" name="VehicleType"/>
    <tableColumn id="7" xr3:uid="{00000000-0010-0000-0100-000007000000}" name="Miles"/>
    <tableColumn id="8" xr3:uid="{00000000-0010-0000-0100-000008000000}" name="FuelLitres"/>
    <tableColumn id="9" xr3:uid="{00000000-0010-0000-0100-000009000000}" name="FuelCost"/>
    <tableColumn id="10" xr3:uid="{00000000-0010-0000-0100-00000A000000}" name="MaintenanceCost"/>
    <tableColumn id="11" xr3:uid="{00000000-0010-0000-0100-00000B000000}" name="LeaseCost"/>
    <tableColumn id="12" xr3:uid="{00000000-0010-0000-0100-00000C000000}" name="TotalFleetCos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blWorkforce" displayName="tblWorkforce" ref="A1:L1194" totalsRowShown="0">
  <autoFilter ref="A1:L1194" xr:uid="{00000000-0009-0000-0100-000009000000}"/>
  <tableColumns count="12">
    <tableColumn id="1" xr3:uid="{00000000-0010-0000-0200-000001000000}" name="Month"/>
    <tableColumn id="2" xr3:uid="{00000000-0010-0000-0200-000002000000}" name="SiteID"/>
    <tableColumn id="3" xr3:uid="{00000000-0010-0000-0200-000003000000}" name="SiteName"/>
    <tableColumn id="4" xr3:uid="{00000000-0010-0000-0200-000004000000}" name="Region"/>
    <tableColumn id="5" xr3:uid="{00000000-0010-0000-0200-000005000000}" name="Role"/>
    <tableColumn id="6" xr3:uid="{00000000-0010-0000-0200-000006000000}" name="FTE"/>
    <tableColumn id="7" xr3:uid="{00000000-0010-0000-0200-000007000000}" name="AnnualSalary"/>
    <tableColumn id="8" xr3:uid="{00000000-0010-0000-0200-000008000000}" name="OvertimeHours"/>
    <tableColumn id="9" xr3:uid="{00000000-0010-0000-0200-000009000000}" name="OvertimeCost"/>
    <tableColumn id="10" xr3:uid="{00000000-0010-0000-0200-00000A000000}" name="AbsenceDays"/>
    <tableColumn id="11" xr3:uid="{00000000-0010-0000-0200-00000B000000}" name="BasePayroll"/>
    <tableColumn id="12" xr3:uid="{00000000-0010-0000-0200-00000C000000}" name="TotalPayrol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blAgency" displayName="tblAgency" ref="A1:I493" totalsRowShown="0">
  <autoFilter ref="A1:I493" xr:uid="{00000000-0009-0000-0100-000001000000}"/>
  <tableColumns count="9">
    <tableColumn id="1" xr3:uid="{00000000-0010-0000-0300-000001000000}" name="Month"/>
    <tableColumn id="2" xr3:uid="{00000000-0010-0000-0300-000002000000}" name="SiteID"/>
    <tableColumn id="3" xr3:uid="{00000000-0010-0000-0300-000003000000}" name="SiteName"/>
    <tableColumn id="4" xr3:uid="{00000000-0010-0000-0300-000004000000}" name="Region"/>
    <tableColumn id="5" xr3:uid="{00000000-0010-0000-0300-000005000000}" name="Agency"/>
    <tableColumn id="6" xr3:uid="{00000000-0010-0000-0300-000006000000}" name="Role"/>
    <tableColumn id="7" xr3:uid="{00000000-0010-0000-0300-000007000000}" name="Hours"/>
    <tableColumn id="8" xr3:uid="{00000000-0010-0000-0300-000008000000}" name="HourlyRate"/>
    <tableColumn id="9" xr3:uid="{00000000-0010-0000-0300-000009000000}" name="AgencySpend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Finance" displayName="tblFinance" ref="A1:N241" totalsRowShown="0">
  <autoFilter ref="A1:N241" xr:uid="{00000000-0009-0000-0100-000003000000}"/>
  <tableColumns count="14">
    <tableColumn id="1" xr3:uid="{00000000-0010-0000-0400-000001000000}" name="Month"/>
    <tableColumn id="2" xr3:uid="{00000000-0010-0000-0400-000002000000}" name="SiteID"/>
    <tableColumn id="3" xr3:uid="{00000000-0010-0000-0400-000003000000}" name="SiteName"/>
    <tableColumn id="4" xr3:uid="{00000000-0010-0000-0400-000004000000}" name="Region"/>
    <tableColumn id="5" xr3:uid="{00000000-0010-0000-0400-000005000000}" name="Revenue"/>
    <tableColumn id="6" xr3:uid="{00000000-0010-0000-0400-000006000000}" name="Payroll"/>
    <tableColumn id="7" xr3:uid="{00000000-0010-0000-0400-000007000000}" name="Procurement"/>
    <tableColumn id="8" xr3:uid="{00000000-0010-0000-0400-000008000000}" name="Fleet"/>
    <tableColumn id="9" xr3:uid="{00000000-0010-0000-0400-000009000000}" name="Agency"/>
    <tableColumn id="10" xr3:uid="{00000000-0010-0000-0400-00000A000000}" name="OtherOpex"/>
    <tableColumn id="11" xr3:uid="{00000000-0010-0000-0400-00000B000000}" name="BudgetOpex"/>
    <tableColumn id="12" xr3:uid="{00000000-0010-0000-0400-00000C000000}" name="ActualOpex"/>
    <tableColumn id="13" xr3:uid="{00000000-0010-0000-0400-00000D000000}" name="EBITDA"/>
    <tableColumn id="14" xr3:uid="{00000000-0010-0000-0400-00000E000000}" name="EBITDA_Margi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ites" displayName="tblSites" ref="A1:D21" totalsRowShown="0">
  <autoFilter ref="A1:D21" xr:uid="{00000000-0009-0000-0100-000006000000}"/>
  <tableColumns count="4">
    <tableColumn id="1" xr3:uid="{00000000-0010-0000-0500-000001000000}" name="SiteID"/>
    <tableColumn id="2" xr3:uid="{00000000-0010-0000-0500-000002000000}" name="SiteName"/>
    <tableColumn id="3" xr3:uid="{00000000-0010-0000-0500-000003000000}" name="Region"/>
    <tableColumn id="4" xr3:uid="{00000000-0010-0000-0500-000004000000}" name="Tow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blTargets" displayName="tblTargets" ref="A1:C9" totalsRowShown="0">
  <autoFilter ref="A1:C9" xr:uid="{00000000-0009-0000-0100-000008000000}"/>
  <tableColumns count="3">
    <tableColumn id="1" xr3:uid="{00000000-0010-0000-0600-000001000000}" name="Category"/>
    <tableColumn id="2" xr3:uid="{00000000-0010-0000-0600-000002000000}" name="TargetSavingsPct"/>
    <tableColumn id="3" xr3:uid="{00000000-0010-0000-0600-000003000000}" name="Owner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Suppliers" displayName="tblSuppliers" ref="A1:C38" totalsRowShown="0">
  <autoFilter ref="A1:C38" xr:uid="{00000000-0009-0000-0100-000007000000}"/>
  <tableColumns count="3">
    <tableColumn id="1" xr3:uid="{00000000-0010-0000-0700-000001000000}" name="Supplier"/>
    <tableColumn id="2" xr3:uid="{00000000-0010-0000-0700-000002000000}" name="Category"/>
    <tableColumn id="3" xr3:uid="{00000000-0010-0000-0700-000003000000}" name="Contracted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tblCleanProc" displayName="tblCleanProc" ref="A1:R1801" totalsRowShown="0">
  <autoFilter ref="A1:R1801" xr:uid="{00000000-0009-0000-0100-000002000000}"/>
  <tableColumns count="18">
    <tableColumn id="1" xr3:uid="{00000000-0010-0000-0800-000001000000}" name="InvoiceDate"/>
    <tableColumn id="2" xr3:uid="{00000000-0010-0000-0800-000002000000}" name="SiteID"/>
    <tableColumn id="3" xr3:uid="{00000000-0010-0000-0800-000003000000}" name="SiteName"/>
    <tableColumn id="4" xr3:uid="{00000000-0010-0000-0800-000004000000}" name="Region"/>
    <tableColumn id="5" xr3:uid="{00000000-0010-0000-0800-000005000000}" name="Supplier"/>
    <tableColumn id="6" xr3:uid="{00000000-0010-0000-0800-000006000000}" name="Category"/>
    <tableColumn id="7" xr3:uid="{00000000-0010-0000-0800-000007000000}" name="InvoiceID"/>
    <tableColumn id="8" xr3:uid="{00000000-0010-0000-0800-000008000000}" name="Quantity"/>
    <tableColumn id="9" xr3:uid="{00000000-0010-0000-0800-000009000000}" name="UnitCost"/>
    <tableColumn id="10" xr3:uid="{00000000-0010-0000-0800-00000A000000}" name="GrossSpend"/>
    <tableColumn id="11" xr3:uid="{00000000-0010-0000-0800-00000B000000}" name="PaymentTermsDays"/>
    <tableColumn id="12" xr3:uid="{00000000-0010-0000-0800-00000C000000}" name="SourceSystem"/>
    <tableColumn id="13" xr3:uid="{00000000-0010-0000-0800-00000D000000}" name="Contracted"/>
    <tableColumn id="14" xr3:uid="{00000000-0010-0000-0800-00000E000000}" name="DataQualityFlag"/>
    <tableColumn id="15" xr3:uid="{00000000-0010-0000-0800-00000F000000}" name="NetSpend_Clean"/>
    <tableColumn id="16" xr3:uid="{00000000-0010-0000-0800-000010000000}" name="Supplier_Category_Lookup"/>
    <tableColumn id="17" xr3:uid="{00000000-0010-0000-0800-000011000000}" name="Savings_Target"/>
    <tableColumn id="18" xr3:uid="{00000000-0010-0000-0800-000012000000}" name="Potential_Sav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tabSelected="1" zoomScaleNormal="100" workbookViewId="0">
      <selection activeCell="B2" sqref="B2:C2"/>
    </sheetView>
  </sheetViews>
  <sheetFormatPr defaultColWidth="8.7109375" defaultRowHeight="15" customHeight="1" x14ac:dyDescent="0.25"/>
  <cols>
    <col min="1" max="1" width="3.7109375" customWidth="1"/>
    <col min="2" max="2" width="34.7109375" customWidth="1"/>
    <col min="3" max="3" width="100.7109375" customWidth="1"/>
  </cols>
  <sheetData>
    <row r="2" spans="2:3" ht="26.25" x14ac:dyDescent="0.25">
      <c r="B2" s="2" t="s">
        <v>2256</v>
      </c>
      <c r="C2" s="2"/>
    </row>
    <row r="5" spans="2:3" ht="45" customHeight="1" x14ac:dyDescent="0.25">
      <c r="B5" s="3" t="s">
        <v>0</v>
      </c>
      <c r="C5" s="4" t="s">
        <v>1</v>
      </c>
    </row>
    <row r="6" spans="2:3" ht="45" customHeight="1" x14ac:dyDescent="0.25">
      <c r="B6" s="3" t="s">
        <v>2</v>
      </c>
      <c r="C6" s="4" t="s">
        <v>3</v>
      </c>
    </row>
    <row r="7" spans="2:3" ht="45" customHeight="1" x14ac:dyDescent="0.25">
      <c r="B7" s="3" t="s">
        <v>4</v>
      </c>
      <c r="C7" s="4" t="s">
        <v>5</v>
      </c>
    </row>
    <row r="8" spans="2:3" ht="45" customHeight="1" x14ac:dyDescent="0.25">
      <c r="B8" s="3" t="s">
        <v>6</v>
      </c>
      <c r="C8" s="4" t="s">
        <v>7</v>
      </c>
    </row>
    <row r="9" spans="2:3" ht="45" customHeight="1" x14ac:dyDescent="0.25">
      <c r="B9" s="3" t="s">
        <v>8</v>
      </c>
      <c r="C9" s="4" t="s">
        <v>9</v>
      </c>
    </row>
    <row r="10" spans="2:3" ht="45" customHeight="1" x14ac:dyDescent="0.25">
      <c r="B10" s="3" t="s">
        <v>10</v>
      </c>
      <c r="C10" s="4" t="s">
        <v>11</v>
      </c>
    </row>
    <row r="11" spans="2:3" ht="45" customHeight="1" x14ac:dyDescent="0.25">
      <c r="B11" s="3" t="s">
        <v>12</v>
      </c>
      <c r="C11" s="4" t="s">
        <v>13</v>
      </c>
    </row>
    <row r="12" spans="2:3" ht="45" customHeight="1" x14ac:dyDescent="0.25">
      <c r="B12" s="3" t="s">
        <v>14</v>
      </c>
      <c r="C12" s="4" t="s">
        <v>15</v>
      </c>
    </row>
  </sheetData>
  <mergeCells count="1">
    <mergeCell ref="B2:C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1" width="13.7109375" customWidth="1"/>
    <col min="2" max="6" width="10.7109375" customWidth="1"/>
    <col min="7" max="7" width="11.7109375" customWidth="1"/>
    <col min="8" max="9" width="10.7109375" customWidth="1"/>
    <col min="10" max="10" width="12.7109375" customWidth="1"/>
    <col min="11" max="11" width="18.7109375" customWidth="1"/>
    <col min="12" max="12" width="14.7109375" customWidth="1"/>
    <col min="13" max="14" width="10.7109375" customWidth="1"/>
    <col min="15" max="15" width="12.7109375" customWidth="1"/>
    <col min="16" max="16" width="17.7109375" customWidth="1"/>
  </cols>
  <sheetData>
    <row r="1" spans="1:1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 x14ac:dyDescent="0.25">
      <c r="A2" s="5">
        <v>45798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s="6">
        <v>32</v>
      </c>
      <c r="I2" s="7">
        <v>85.42</v>
      </c>
      <c r="J2" s="7">
        <v>2733.44</v>
      </c>
      <c r="K2" s="6">
        <v>30</v>
      </c>
      <c r="L2" t="s">
        <v>38</v>
      </c>
      <c r="M2" s="8">
        <v>546.68799999999999</v>
      </c>
      <c r="N2" s="7">
        <v>2733.44</v>
      </c>
      <c r="O2" t="s">
        <v>39</v>
      </c>
      <c r="P2" t="s">
        <v>40</v>
      </c>
    </row>
    <row r="3" spans="1:16" x14ac:dyDescent="0.25">
      <c r="A3" s="5">
        <v>45937</v>
      </c>
      <c r="B3" t="s">
        <v>41</v>
      </c>
      <c r="C3" t="s">
        <v>42</v>
      </c>
      <c r="D3" t="s">
        <v>34</v>
      </c>
      <c r="E3" t="s">
        <v>43</v>
      </c>
      <c r="F3" t="s">
        <v>36</v>
      </c>
      <c r="G3" t="s">
        <v>44</v>
      </c>
      <c r="H3" s="6">
        <v>12</v>
      </c>
      <c r="I3" s="7">
        <v>60.24</v>
      </c>
      <c r="J3" s="7">
        <v>722.88</v>
      </c>
      <c r="K3" s="6">
        <v>60</v>
      </c>
      <c r="L3" t="s">
        <v>45</v>
      </c>
      <c r="M3" s="8">
        <v>144.57599999999999</v>
      </c>
      <c r="N3" s="7">
        <v>722.88</v>
      </c>
      <c r="O3" t="s">
        <v>46</v>
      </c>
      <c r="P3" t="s">
        <v>40</v>
      </c>
    </row>
    <row r="4" spans="1:16" x14ac:dyDescent="0.25">
      <c r="A4" s="5">
        <v>45769</v>
      </c>
      <c r="B4" t="s">
        <v>47</v>
      </c>
      <c r="C4" t="s">
        <v>48</v>
      </c>
      <c r="D4" t="s">
        <v>34</v>
      </c>
      <c r="E4" t="s">
        <v>49</v>
      </c>
      <c r="F4" t="s">
        <v>50</v>
      </c>
      <c r="G4" t="s">
        <v>51</v>
      </c>
      <c r="H4" s="6">
        <v>30</v>
      </c>
      <c r="I4" s="7">
        <v>171.35</v>
      </c>
      <c r="J4" s="7">
        <v>5140.5600000000004</v>
      </c>
      <c r="K4" s="6">
        <v>60</v>
      </c>
      <c r="L4" t="s">
        <v>52</v>
      </c>
      <c r="M4" s="8">
        <v>1028.1120000000001</v>
      </c>
      <c r="N4" s="7">
        <v>5140.5600000000004</v>
      </c>
      <c r="O4" t="s">
        <v>39</v>
      </c>
      <c r="P4" t="s">
        <v>40</v>
      </c>
    </row>
    <row r="5" spans="1:16" x14ac:dyDescent="0.25">
      <c r="A5" s="5">
        <v>45990</v>
      </c>
      <c r="B5" t="s">
        <v>32</v>
      </c>
      <c r="C5" t="s">
        <v>33</v>
      </c>
      <c r="D5" t="s">
        <v>34</v>
      </c>
      <c r="E5" t="s">
        <v>53</v>
      </c>
      <c r="F5" t="s">
        <v>54</v>
      </c>
      <c r="G5" t="s">
        <v>55</v>
      </c>
      <c r="H5" s="6">
        <v>70</v>
      </c>
      <c r="I5" s="7">
        <v>577.74</v>
      </c>
      <c r="J5" s="7">
        <v>40441.94</v>
      </c>
      <c r="K5" s="6">
        <v>45</v>
      </c>
      <c r="L5" t="s">
        <v>38</v>
      </c>
      <c r="M5" s="8">
        <v>8088.3879999999999</v>
      </c>
      <c r="N5" s="7">
        <v>40441.94</v>
      </c>
      <c r="O5" t="s">
        <v>46</v>
      </c>
      <c r="P5" t="s">
        <v>40</v>
      </c>
    </row>
    <row r="6" spans="1:16" x14ac:dyDescent="0.25">
      <c r="A6" s="5">
        <v>45739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s="6">
        <v>55</v>
      </c>
      <c r="I6" s="7">
        <v>193.42</v>
      </c>
      <c r="J6" s="7">
        <v>10637.88</v>
      </c>
      <c r="K6" s="6">
        <v>45</v>
      </c>
      <c r="L6" t="s">
        <v>45</v>
      </c>
      <c r="M6" s="8">
        <v>2127.576</v>
      </c>
      <c r="N6" s="7">
        <v>10637.88</v>
      </c>
      <c r="O6" t="s">
        <v>39</v>
      </c>
      <c r="P6" t="s">
        <v>40</v>
      </c>
    </row>
    <row r="7" spans="1:16" x14ac:dyDescent="0.25">
      <c r="A7" s="5">
        <v>45710</v>
      </c>
      <c r="B7" t="s">
        <v>62</v>
      </c>
      <c r="C7" t="s">
        <v>63</v>
      </c>
      <c r="D7" t="s">
        <v>64</v>
      </c>
      <c r="E7" t="s">
        <v>65</v>
      </c>
      <c r="F7" t="s">
        <v>54</v>
      </c>
      <c r="G7" t="s">
        <v>66</v>
      </c>
      <c r="H7" s="6">
        <v>12</v>
      </c>
      <c r="I7" s="7">
        <v>219.79</v>
      </c>
      <c r="J7" s="7">
        <v>2637.51</v>
      </c>
      <c r="K7" s="6">
        <v>45</v>
      </c>
      <c r="L7" t="s">
        <v>38</v>
      </c>
      <c r="M7" s="8">
        <v>527.50199999999995</v>
      </c>
      <c r="N7" s="7">
        <v>2637.51</v>
      </c>
      <c r="O7" t="s">
        <v>46</v>
      </c>
      <c r="P7" t="s">
        <v>40</v>
      </c>
    </row>
    <row r="8" spans="1:16" x14ac:dyDescent="0.25">
      <c r="A8" s="5">
        <v>45793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s="6">
        <v>6</v>
      </c>
      <c r="I8" s="7">
        <v>226.43</v>
      </c>
      <c r="J8" s="7">
        <v>1358.59</v>
      </c>
      <c r="K8" s="6">
        <v>60</v>
      </c>
      <c r="L8" t="s">
        <v>45</v>
      </c>
      <c r="M8" s="8">
        <v>271.71800000000002</v>
      </c>
      <c r="N8" s="7">
        <v>1358.59</v>
      </c>
      <c r="O8" t="s">
        <v>46</v>
      </c>
      <c r="P8" t="s">
        <v>40</v>
      </c>
    </row>
    <row r="9" spans="1:16" x14ac:dyDescent="0.25">
      <c r="A9" s="5">
        <v>45698</v>
      </c>
      <c r="B9" t="s">
        <v>73</v>
      </c>
      <c r="C9" t="s">
        <v>74</v>
      </c>
      <c r="D9" t="s">
        <v>69</v>
      </c>
      <c r="E9" t="s">
        <v>75</v>
      </c>
      <c r="F9" t="s">
        <v>36</v>
      </c>
      <c r="G9" t="s">
        <v>76</v>
      </c>
      <c r="H9" s="6">
        <v>71</v>
      </c>
      <c r="I9" s="7">
        <v>99.13</v>
      </c>
      <c r="J9" s="7">
        <v>7038.54</v>
      </c>
      <c r="K9" s="6">
        <v>45</v>
      </c>
      <c r="L9" t="s">
        <v>52</v>
      </c>
      <c r="M9" s="8">
        <v>1407.7080000000001</v>
      </c>
      <c r="N9" s="7">
        <v>7038.54</v>
      </c>
      <c r="O9" t="s">
        <v>46</v>
      </c>
      <c r="P9" t="s">
        <v>40</v>
      </c>
    </row>
    <row r="10" spans="1:16" x14ac:dyDescent="0.25">
      <c r="A10" s="5">
        <v>45756</v>
      </c>
      <c r="B10" t="s">
        <v>77</v>
      </c>
      <c r="C10" t="s">
        <v>78</v>
      </c>
      <c r="D10" t="s">
        <v>58</v>
      </c>
      <c r="E10" t="s">
        <v>70</v>
      </c>
      <c r="F10" t="s">
        <v>71</v>
      </c>
      <c r="G10" t="s">
        <v>79</v>
      </c>
      <c r="H10" s="6">
        <v>9</v>
      </c>
      <c r="I10" s="7">
        <v>73.38</v>
      </c>
      <c r="J10" s="7">
        <v>660.43</v>
      </c>
      <c r="K10" s="6">
        <v>30</v>
      </c>
      <c r="L10" t="s">
        <v>52</v>
      </c>
      <c r="M10" s="8">
        <v>132.08600000000001</v>
      </c>
      <c r="N10" s="7">
        <v>660.43</v>
      </c>
      <c r="O10" t="s">
        <v>46</v>
      </c>
      <c r="P10" t="s">
        <v>40</v>
      </c>
    </row>
    <row r="11" spans="1:16" x14ac:dyDescent="0.25">
      <c r="A11" s="5">
        <v>45777</v>
      </c>
      <c r="B11" t="s">
        <v>80</v>
      </c>
      <c r="C11" t="s">
        <v>81</v>
      </c>
      <c r="D11" t="s">
        <v>64</v>
      </c>
      <c r="E11" t="s">
        <v>59</v>
      </c>
      <c r="F11" t="s">
        <v>60</v>
      </c>
      <c r="G11" t="s">
        <v>82</v>
      </c>
      <c r="H11" s="6">
        <v>13</v>
      </c>
      <c r="I11" s="7">
        <v>296.5</v>
      </c>
      <c r="J11" s="7">
        <v>3854.46</v>
      </c>
      <c r="K11" s="6">
        <v>45</v>
      </c>
      <c r="L11" t="s">
        <v>45</v>
      </c>
      <c r="M11" s="8">
        <v>770.89200000000005</v>
      </c>
      <c r="N11" s="7">
        <v>3854.46</v>
      </c>
      <c r="O11" t="s">
        <v>39</v>
      </c>
      <c r="P11" t="s">
        <v>40</v>
      </c>
    </row>
    <row r="12" spans="1:16" x14ac:dyDescent="0.25">
      <c r="A12" s="5">
        <v>45847</v>
      </c>
      <c r="B12" t="s">
        <v>56</v>
      </c>
      <c r="C12" t="s">
        <v>57</v>
      </c>
      <c r="D12" t="s">
        <v>58</v>
      </c>
      <c r="E12" t="s">
        <v>83</v>
      </c>
      <c r="F12" t="s">
        <v>71</v>
      </c>
      <c r="G12" t="s">
        <v>84</v>
      </c>
      <c r="H12" s="6">
        <v>46</v>
      </c>
      <c r="I12" s="7">
        <v>73.63</v>
      </c>
      <c r="J12" s="7">
        <v>3386.79</v>
      </c>
      <c r="K12" s="6">
        <v>30</v>
      </c>
      <c r="L12" t="s">
        <v>52</v>
      </c>
      <c r="M12" s="8">
        <v>677.35799999999995</v>
      </c>
      <c r="N12" s="7">
        <v>3386.79</v>
      </c>
      <c r="O12" t="s">
        <v>39</v>
      </c>
      <c r="P12" t="s">
        <v>40</v>
      </c>
    </row>
    <row r="13" spans="1:16" x14ac:dyDescent="0.25">
      <c r="A13" s="5">
        <v>45983</v>
      </c>
      <c r="B13" t="s">
        <v>85</v>
      </c>
      <c r="C13" t="s">
        <v>86</v>
      </c>
      <c r="D13" t="s">
        <v>58</v>
      </c>
      <c r="E13" t="s">
        <v>43</v>
      </c>
      <c r="F13" t="s">
        <v>36</v>
      </c>
      <c r="G13" t="s">
        <v>87</v>
      </c>
      <c r="H13" s="6">
        <v>22</v>
      </c>
      <c r="I13" s="7">
        <v>50.31</v>
      </c>
      <c r="J13" s="7">
        <v>1106.8599999999999</v>
      </c>
      <c r="K13" s="6">
        <v>60</v>
      </c>
      <c r="L13" t="s">
        <v>52</v>
      </c>
      <c r="M13" s="8">
        <v>221.37200000000001</v>
      </c>
      <c r="N13" s="7">
        <v>1106.8599999999999</v>
      </c>
      <c r="O13" t="s">
        <v>46</v>
      </c>
      <c r="P13" t="s">
        <v>40</v>
      </c>
    </row>
    <row r="14" spans="1:16" x14ac:dyDescent="0.25">
      <c r="A14" s="5">
        <v>45852</v>
      </c>
      <c r="B14" t="s">
        <v>47</v>
      </c>
      <c r="C14" t="s">
        <v>48</v>
      </c>
      <c r="D14" t="s">
        <v>34</v>
      </c>
      <c r="E14" t="s">
        <v>88</v>
      </c>
      <c r="F14" t="s">
        <v>89</v>
      </c>
      <c r="G14" t="s">
        <v>90</v>
      </c>
      <c r="H14" s="6">
        <v>35</v>
      </c>
      <c r="I14" s="7">
        <v>205.62</v>
      </c>
      <c r="J14" s="7">
        <v>7196.75</v>
      </c>
      <c r="K14" s="6">
        <v>60</v>
      </c>
      <c r="L14" t="s">
        <v>52</v>
      </c>
      <c r="M14" s="8">
        <v>1439.35</v>
      </c>
      <c r="N14" s="7">
        <v>7196.75</v>
      </c>
      <c r="O14" t="s">
        <v>46</v>
      </c>
      <c r="P14" t="s">
        <v>40</v>
      </c>
    </row>
    <row r="15" spans="1:16" x14ac:dyDescent="0.25">
      <c r="A15" s="5">
        <v>45824</v>
      </c>
      <c r="B15" t="s">
        <v>91</v>
      </c>
      <c r="C15" t="s">
        <v>92</v>
      </c>
      <c r="D15" t="s">
        <v>64</v>
      </c>
      <c r="E15" t="s">
        <v>53</v>
      </c>
      <c r="F15" t="s">
        <v>54</v>
      </c>
      <c r="G15" t="s">
        <v>93</v>
      </c>
      <c r="H15" s="6">
        <v>8</v>
      </c>
      <c r="I15" s="7">
        <v>87.28</v>
      </c>
      <c r="J15" s="7">
        <v>698.26</v>
      </c>
      <c r="K15" s="6">
        <v>30</v>
      </c>
      <c r="L15" t="s">
        <v>38</v>
      </c>
      <c r="M15" s="8">
        <v>139.65199999999999</v>
      </c>
      <c r="N15" s="7">
        <v>698.26</v>
      </c>
      <c r="O15" t="s">
        <v>46</v>
      </c>
      <c r="P15" t="s">
        <v>40</v>
      </c>
    </row>
    <row r="16" spans="1:16" x14ac:dyDescent="0.25">
      <c r="A16" s="5">
        <v>45691</v>
      </c>
      <c r="B16" t="s">
        <v>94</v>
      </c>
      <c r="C16" t="s">
        <v>95</v>
      </c>
      <c r="D16" t="s">
        <v>34</v>
      </c>
      <c r="E16" t="s">
        <v>96</v>
      </c>
      <c r="F16" t="s">
        <v>97</v>
      </c>
      <c r="G16" t="s">
        <v>98</v>
      </c>
      <c r="H16" s="6">
        <v>28</v>
      </c>
      <c r="I16" s="7">
        <v>116.17</v>
      </c>
      <c r="J16" s="7">
        <v>3252.83</v>
      </c>
      <c r="K16" s="6">
        <v>60</v>
      </c>
      <c r="L16" t="s">
        <v>52</v>
      </c>
      <c r="M16" s="8">
        <v>650.56600000000003</v>
      </c>
      <c r="N16" s="7">
        <v>3252.83</v>
      </c>
      <c r="O16" t="s">
        <v>46</v>
      </c>
      <c r="P16" t="s">
        <v>40</v>
      </c>
    </row>
    <row r="17" spans="1:16" x14ac:dyDescent="0.25">
      <c r="A17" s="5">
        <v>45913</v>
      </c>
      <c r="B17" t="s">
        <v>77</v>
      </c>
      <c r="C17" t="s">
        <v>78</v>
      </c>
      <c r="D17" t="s">
        <v>58</v>
      </c>
      <c r="E17" t="s">
        <v>53</v>
      </c>
      <c r="F17" t="s">
        <v>54</v>
      </c>
      <c r="G17" t="s">
        <v>99</v>
      </c>
      <c r="H17" s="6">
        <v>51</v>
      </c>
      <c r="I17" s="7">
        <v>183.5</v>
      </c>
      <c r="J17" s="7">
        <v>9358.39</v>
      </c>
      <c r="K17" s="6">
        <v>60</v>
      </c>
      <c r="L17" t="s">
        <v>45</v>
      </c>
      <c r="M17" s="8">
        <v>1871.6780000000001</v>
      </c>
      <c r="N17" s="7">
        <v>9358.39</v>
      </c>
      <c r="O17" t="s">
        <v>46</v>
      </c>
      <c r="P17" t="s">
        <v>40</v>
      </c>
    </row>
    <row r="18" spans="1:16" x14ac:dyDescent="0.25">
      <c r="A18" s="5">
        <v>45784</v>
      </c>
      <c r="B18" t="s">
        <v>100</v>
      </c>
      <c r="C18" t="s">
        <v>101</v>
      </c>
      <c r="D18" t="s">
        <v>69</v>
      </c>
      <c r="E18" t="s">
        <v>59</v>
      </c>
      <c r="F18" t="s">
        <v>60</v>
      </c>
      <c r="G18" t="s">
        <v>102</v>
      </c>
      <c r="H18" s="6">
        <v>72</v>
      </c>
      <c r="I18" s="7">
        <v>126.04</v>
      </c>
      <c r="J18" s="7">
        <v>9074.6200000000008</v>
      </c>
      <c r="K18" s="6">
        <v>60</v>
      </c>
      <c r="L18" t="s">
        <v>45</v>
      </c>
      <c r="M18" s="8">
        <v>1814.924</v>
      </c>
      <c r="N18" s="7">
        <v>9074.6200000000008</v>
      </c>
      <c r="O18" t="s">
        <v>39</v>
      </c>
      <c r="P18" t="s">
        <v>40</v>
      </c>
    </row>
    <row r="19" spans="1:16" x14ac:dyDescent="0.25">
      <c r="A19" s="5">
        <v>45862</v>
      </c>
      <c r="B19" t="s">
        <v>103</v>
      </c>
      <c r="C19" t="s">
        <v>104</v>
      </c>
      <c r="D19" t="s">
        <v>58</v>
      </c>
      <c r="E19" t="s">
        <v>105</v>
      </c>
      <c r="F19" t="s">
        <v>97</v>
      </c>
      <c r="G19" t="s">
        <v>106</v>
      </c>
      <c r="H19" s="6">
        <v>47</v>
      </c>
      <c r="I19" s="7">
        <v>356.6</v>
      </c>
      <c r="J19" s="7">
        <v>16760.259999999998</v>
      </c>
      <c r="K19" s="6">
        <v>30</v>
      </c>
      <c r="L19" t="s">
        <v>38</v>
      </c>
      <c r="M19" s="8">
        <v>3352.0520000000001</v>
      </c>
      <c r="N19" s="7">
        <v>16760.259999999998</v>
      </c>
      <c r="O19" t="s">
        <v>46</v>
      </c>
      <c r="P19" t="s">
        <v>40</v>
      </c>
    </row>
    <row r="20" spans="1:16" x14ac:dyDescent="0.25">
      <c r="A20" s="5">
        <v>45682</v>
      </c>
      <c r="B20" t="s">
        <v>94</v>
      </c>
      <c r="C20" t="s">
        <v>95</v>
      </c>
      <c r="D20" t="s">
        <v>34</v>
      </c>
      <c r="E20" t="s">
        <v>107</v>
      </c>
      <c r="F20" t="s">
        <v>108</v>
      </c>
      <c r="G20" t="s">
        <v>109</v>
      </c>
      <c r="H20" s="6">
        <v>15</v>
      </c>
      <c r="I20" s="7">
        <v>45.52</v>
      </c>
      <c r="J20" s="7">
        <v>682.75</v>
      </c>
      <c r="K20" s="6">
        <v>30</v>
      </c>
      <c r="L20" t="s">
        <v>52</v>
      </c>
      <c r="M20" s="8">
        <v>136.55000000000001</v>
      </c>
      <c r="N20" s="7">
        <v>682.75</v>
      </c>
      <c r="O20" t="s">
        <v>46</v>
      </c>
      <c r="P20" t="s">
        <v>40</v>
      </c>
    </row>
    <row r="21" spans="1:16" x14ac:dyDescent="0.25">
      <c r="A21" s="5">
        <v>45690</v>
      </c>
      <c r="B21" t="s">
        <v>110</v>
      </c>
      <c r="C21" t="s">
        <v>111</v>
      </c>
      <c r="D21" t="s">
        <v>58</v>
      </c>
      <c r="E21" t="s">
        <v>105</v>
      </c>
      <c r="F21" t="s">
        <v>97</v>
      </c>
      <c r="G21" t="s">
        <v>112</v>
      </c>
      <c r="H21" s="6">
        <v>50</v>
      </c>
      <c r="I21" s="7">
        <v>137.97</v>
      </c>
      <c r="J21" s="7">
        <v>6898.36</v>
      </c>
      <c r="K21" s="6">
        <v>45</v>
      </c>
      <c r="L21" t="s">
        <v>52</v>
      </c>
      <c r="M21" s="8">
        <v>1379.672</v>
      </c>
      <c r="N21" s="7">
        <v>6898.36</v>
      </c>
      <c r="O21" t="s">
        <v>46</v>
      </c>
      <c r="P21" t="s">
        <v>40</v>
      </c>
    </row>
    <row r="22" spans="1:16" x14ac:dyDescent="0.25">
      <c r="A22" s="5">
        <v>45663</v>
      </c>
      <c r="B22" t="s">
        <v>113</v>
      </c>
      <c r="C22" t="s">
        <v>114</v>
      </c>
      <c r="D22" t="s">
        <v>69</v>
      </c>
      <c r="E22" t="s">
        <v>115</v>
      </c>
      <c r="F22" t="s">
        <v>60</v>
      </c>
      <c r="G22" t="s">
        <v>116</v>
      </c>
      <c r="H22" s="6">
        <v>15</v>
      </c>
      <c r="I22" s="7">
        <v>492.62</v>
      </c>
      <c r="J22" s="7">
        <v>7389.27</v>
      </c>
      <c r="K22" s="6">
        <v>60</v>
      </c>
      <c r="L22" t="s">
        <v>52</v>
      </c>
      <c r="M22" s="8">
        <v>1477.854</v>
      </c>
      <c r="N22" s="7">
        <v>7389.27</v>
      </c>
      <c r="O22" t="s">
        <v>46</v>
      </c>
      <c r="P22" t="s">
        <v>40</v>
      </c>
    </row>
    <row r="23" spans="1:16" x14ac:dyDescent="0.25">
      <c r="A23" s="5">
        <v>45832</v>
      </c>
      <c r="B23" t="s">
        <v>85</v>
      </c>
      <c r="C23" t="s">
        <v>86</v>
      </c>
      <c r="D23" t="s">
        <v>58</v>
      </c>
      <c r="E23" t="s">
        <v>115</v>
      </c>
      <c r="F23" t="s">
        <v>60</v>
      </c>
      <c r="G23" t="s">
        <v>117</v>
      </c>
      <c r="H23" s="6">
        <v>15</v>
      </c>
      <c r="I23" s="7">
        <v>194.31</v>
      </c>
      <c r="J23" s="7">
        <v>2914.64</v>
      </c>
      <c r="K23" s="6">
        <v>45</v>
      </c>
      <c r="L23" t="s">
        <v>45</v>
      </c>
      <c r="M23" s="8">
        <v>582.928</v>
      </c>
      <c r="N23" s="7">
        <v>2914.64</v>
      </c>
      <c r="O23" t="s">
        <v>46</v>
      </c>
      <c r="P23" t="s">
        <v>40</v>
      </c>
    </row>
    <row r="24" spans="1:16" x14ac:dyDescent="0.25">
      <c r="A24" s="5">
        <v>45792</v>
      </c>
      <c r="B24" t="s">
        <v>118</v>
      </c>
      <c r="C24" t="s">
        <v>119</v>
      </c>
      <c r="D24" t="s">
        <v>64</v>
      </c>
      <c r="E24" t="s">
        <v>107</v>
      </c>
      <c r="F24" t="s">
        <v>108</v>
      </c>
      <c r="G24" t="s">
        <v>120</v>
      </c>
      <c r="H24" s="6">
        <v>65</v>
      </c>
      <c r="I24" s="7">
        <v>77.84</v>
      </c>
      <c r="J24" s="7">
        <v>5059.46</v>
      </c>
      <c r="K24" s="6">
        <v>30</v>
      </c>
      <c r="L24" t="s">
        <v>52</v>
      </c>
      <c r="M24" s="8">
        <v>1011.8920000000001</v>
      </c>
      <c r="N24" s="7">
        <v>5059.46</v>
      </c>
      <c r="O24" t="s">
        <v>46</v>
      </c>
      <c r="P24" t="s">
        <v>40</v>
      </c>
    </row>
    <row r="25" spans="1:16" x14ac:dyDescent="0.25">
      <c r="A25" s="5">
        <v>45917</v>
      </c>
      <c r="B25" t="s">
        <v>121</v>
      </c>
      <c r="C25" t="s">
        <v>122</v>
      </c>
      <c r="D25" t="s">
        <v>34</v>
      </c>
      <c r="E25" t="s">
        <v>115</v>
      </c>
      <c r="F25" t="s">
        <v>60</v>
      </c>
      <c r="G25" t="s">
        <v>123</v>
      </c>
      <c r="H25" s="6">
        <v>78</v>
      </c>
      <c r="I25" s="7">
        <v>100.49</v>
      </c>
      <c r="J25" s="7">
        <v>7837.89</v>
      </c>
      <c r="K25" s="6">
        <v>30</v>
      </c>
      <c r="L25" t="s">
        <v>38</v>
      </c>
      <c r="M25" s="8">
        <v>1567.578</v>
      </c>
      <c r="N25" s="7">
        <v>7837.89</v>
      </c>
      <c r="O25" t="s">
        <v>46</v>
      </c>
      <c r="P25" t="s">
        <v>40</v>
      </c>
    </row>
    <row r="26" spans="1:16" x14ac:dyDescent="0.25">
      <c r="A26" s="5">
        <v>45929</v>
      </c>
      <c r="B26" t="s">
        <v>100</v>
      </c>
      <c r="C26" t="s">
        <v>101</v>
      </c>
      <c r="D26" t="s">
        <v>69</v>
      </c>
      <c r="E26" t="s">
        <v>124</v>
      </c>
      <c r="F26" t="s">
        <v>89</v>
      </c>
      <c r="G26" t="s">
        <v>125</v>
      </c>
      <c r="H26" s="6">
        <v>1</v>
      </c>
      <c r="I26" s="7">
        <v>133.43</v>
      </c>
      <c r="J26" s="7">
        <v>133.43</v>
      </c>
      <c r="K26" s="6">
        <v>60</v>
      </c>
      <c r="L26" t="s">
        <v>45</v>
      </c>
      <c r="M26" s="8">
        <v>26.686</v>
      </c>
      <c r="N26" s="7">
        <v>133.43</v>
      </c>
      <c r="O26" t="s">
        <v>46</v>
      </c>
      <c r="P26" t="s">
        <v>40</v>
      </c>
    </row>
    <row r="27" spans="1:16" x14ac:dyDescent="0.25">
      <c r="A27" s="5">
        <v>45843</v>
      </c>
      <c r="B27" t="s">
        <v>91</v>
      </c>
      <c r="C27" t="s">
        <v>92</v>
      </c>
      <c r="D27" t="s">
        <v>64</v>
      </c>
      <c r="E27" t="s">
        <v>49</v>
      </c>
      <c r="F27" t="s">
        <v>50</v>
      </c>
      <c r="G27" t="s">
        <v>126</v>
      </c>
      <c r="H27" s="6">
        <v>40</v>
      </c>
      <c r="I27" s="7">
        <v>127.55</v>
      </c>
      <c r="J27" s="7">
        <v>5101.95</v>
      </c>
      <c r="K27" s="6">
        <v>30</v>
      </c>
      <c r="L27" t="s">
        <v>38</v>
      </c>
      <c r="M27" s="8">
        <v>1020.39</v>
      </c>
      <c r="N27" s="7">
        <v>5101.95</v>
      </c>
      <c r="O27" t="s">
        <v>39</v>
      </c>
      <c r="P27" t="s">
        <v>40</v>
      </c>
    </row>
    <row r="28" spans="1:16" x14ac:dyDescent="0.25">
      <c r="A28" s="5">
        <v>45906</v>
      </c>
      <c r="B28" t="s">
        <v>32</v>
      </c>
      <c r="C28" t="s">
        <v>33</v>
      </c>
      <c r="D28" t="s">
        <v>34</v>
      </c>
      <c r="E28" t="s">
        <v>127</v>
      </c>
      <c r="F28" t="s">
        <v>36</v>
      </c>
      <c r="G28" t="s">
        <v>128</v>
      </c>
      <c r="H28" s="6">
        <v>9</v>
      </c>
      <c r="I28" s="7">
        <v>34.51</v>
      </c>
      <c r="J28" s="7">
        <v>310.62</v>
      </c>
      <c r="K28" s="6">
        <v>60</v>
      </c>
      <c r="L28" t="s">
        <v>38</v>
      </c>
      <c r="M28" s="8">
        <v>62.124000000000002</v>
      </c>
      <c r="N28" s="7">
        <v>310.62</v>
      </c>
      <c r="O28" t="s">
        <v>39</v>
      </c>
      <c r="P28" t="s">
        <v>40</v>
      </c>
    </row>
    <row r="29" spans="1:16" x14ac:dyDescent="0.25">
      <c r="A29" s="5">
        <v>45742</v>
      </c>
      <c r="B29" t="s">
        <v>118</v>
      </c>
      <c r="C29" t="s">
        <v>119</v>
      </c>
      <c r="D29" t="s">
        <v>64</v>
      </c>
      <c r="E29" t="s">
        <v>129</v>
      </c>
      <c r="F29" t="s">
        <v>108</v>
      </c>
      <c r="G29" t="s">
        <v>130</v>
      </c>
      <c r="H29" s="6">
        <v>34</v>
      </c>
      <c r="I29" s="7">
        <v>92.21</v>
      </c>
      <c r="J29" s="7">
        <v>3135.31</v>
      </c>
      <c r="K29" s="6">
        <v>60</v>
      </c>
      <c r="L29" t="s">
        <v>52</v>
      </c>
      <c r="M29" s="8">
        <v>627.06200000000001</v>
      </c>
      <c r="N29" s="7">
        <v>3135.31</v>
      </c>
      <c r="O29" t="s">
        <v>46</v>
      </c>
      <c r="P29" t="s">
        <v>40</v>
      </c>
    </row>
    <row r="30" spans="1:16" x14ac:dyDescent="0.25">
      <c r="A30" s="5">
        <v>46011</v>
      </c>
      <c r="B30" t="s">
        <v>47</v>
      </c>
      <c r="C30" t="s">
        <v>48</v>
      </c>
      <c r="D30" t="s">
        <v>34</v>
      </c>
      <c r="E30" t="s">
        <v>53</v>
      </c>
      <c r="F30" t="s">
        <v>54</v>
      </c>
      <c r="G30" t="s">
        <v>131</v>
      </c>
      <c r="H30" s="6">
        <v>26</v>
      </c>
      <c r="I30" s="7">
        <v>179.67</v>
      </c>
      <c r="J30" s="7">
        <v>4671.3599999999997</v>
      </c>
      <c r="K30" s="6">
        <v>60</v>
      </c>
      <c r="L30" t="s">
        <v>45</v>
      </c>
      <c r="M30" s="8">
        <v>934.27200000000005</v>
      </c>
      <c r="N30" s="7">
        <v>4671.3599999999997</v>
      </c>
      <c r="O30" t="s">
        <v>46</v>
      </c>
      <c r="P30" t="s">
        <v>40</v>
      </c>
    </row>
    <row r="31" spans="1:16" x14ac:dyDescent="0.25">
      <c r="A31" s="5">
        <v>45922</v>
      </c>
      <c r="B31" t="s">
        <v>32</v>
      </c>
      <c r="C31" t="s">
        <v>33</v>
      </c>
      <c r="D31" t="s">
        <v>34</v>
      </c>
      <c r="E31" t="s">
        <v>132</v>
      </c>
      <c r="F31" t="s">
        <v>71</v>
      </c>
      <c r="G31" t="s">
        <v>133</v>
      </c>
      <c r="H31" s="6">
        <v>58</v>
      </c>
      <c r="I31" s="7">
        <v>80.92</v>
      </c>
      <c r="J31" s="7">
        <v>4693.29</v>
      </c>
      <c r="K31" s="6">
        <v>30</v>
      </c>
      <c r="L31" t="s">
        <v>38</v>
      </c>
      <c r="M31" s="8">
        <v>938.65800000000002</v>
      </c>
      <c r="N31" s="7">
        <v>4693.29</v>
      </c>
      <c r="O31" t="s">
        <v>46</v>
      </c>
      <c r="P31" t="s">
        <v>40</v>
      </c>
    </row>
    <row r="32" spans="1:16" x14ac:dyDescent="0.25">
      <c r="A32" s="5">
        <v>45668</v>
      </c>
      <c r="B32" t="s">
        <v>121</v>
      </c>
      <c r="C32" t="s">
        <v>122</v>
      </c>
      <c r="D32" t="s">
        <v>34</v>
      </c>
      <c r="E32" t="s">
        <v>75</v>
      </c>
      <c r="F32" t="s">
        <v>36</v>
      </c>
      <c r="G32" t="s">
        <v>134</v>
      </c>
      <c r="H32" s="6">
        <v>76</v>
      </c>
      <c r="I32" s="7">
        <v>46.69</v>
      </c>
      <c r="J32" s="7">
        <v>3548.15</v>
      </c>
      <c r="K32" s="6">
        <v>60</v>
      </c>
      <c r="L32" t="s">
        <v>38</v>
      </c>
      <c r="M32" s="8">
        <v>709.63</v>
      </c>
      <c r="N32" s="7">
        <v>3548.15</v>
      </c>
      <c r="O32" t="s">
        <v>46</v>
      </c>
      <c r="P32" t="s">
        <v>40</v>
      </c>
    </row>
    <row r="33" spans="1:16" x14ac:dyDescent="0.25">
      <c r="A33" s="5">
        <v>45694</v>
      </c>
      <c r="B33" t="s">
        <v>121</v>
      </c>
      <c r="C33" t="s">
        <v>122</v>
      </c>
      <c r="D33" t="s">
        <v>34</v>
      </c>
      <c r="E33" t="s">
        <v>135</v>
      </c>
      <c r="F33" t="s">
        <v>54</v>
      </c>
      <c r="G33" t="s">
        <v>136</v>
      </c>
      <c r="H33" s="6">
        <v>8</v>
      </c>
      <c r="I33" s="7">
        <v>692.43</v>
      </c>
      <c r="J33" s="7">
        <v>5539.48</v>
      </c>
      <c r="K33" s="6">
        <v>30</v>
      </c>
      <c r="L33" t="s">
        <v>38</v>
      </c>
      <c r="M33" s="8">
        <v>1107.896</v>
      </c>
      <c r="N33" s="7">
        <v>5539.48</v>
      </c>
      <c r="O33" t="s">
        <v>46</v>
      </c>
      <c r="P33" t="s">
        <v>40</v>
      </c>
    </row>
    <row r="34" spans="1:16" x14ac:dyDescent="0.25">
      <c r="A34" s="5">
        <v>45921</v>
      </c>
      <c r="B34" t="s">
        <v>94</v>
      </c>
      <c r="C34" t="s">
        <v>95</v>
      </c>
      <c r="D34" t="s">
        <v>34</v>
      </c>
      <c r="E34" t="s">
        <v>83</v>
      </c>
      <c r="F34" t="s">
        <v>71</v>
      </c>
      <c r="G34" t="s">
        <v>137</v>
      </c>
      <c r="H34" s="6">
        <v>31</v>
      </c>
      <c r="I34" s="7">
        <v>94.3</v>
      </c>
      <c r="J34" s="7">
        <v>2923.22</v>
      </c>
      <c r="K34" s="6">
        <v>45</v>
      </c>
      <c r="L34" t="s">
        <v>52</v>
      </c>
      <c r="M34" s="8">
        <v>584.64400000000001</v>
      </c>
      <c r="N34" s="7">
        <v>2923.22</v>
      </c>
      <c r="O34" t="s">
        <v>39</v>
      </c>
      <c r="P34" t="s">
        <v>40</v>
      </c>
    </row>
    <row r="35" spans="1:16" x14ac:dyDescent="0.25">
      <c r="A35" s="5">
        <v>45725</v>
      </c>
      <c r="B35" t="s">
        <v>110</v>
      </c>
      <c r="C35" t="s">
        <v>111</v>
      </c>
      <c r="D35" t="s">
        <v>58</v>
      </c>
      <c r="E35" t="s">
        <v>53</v>
      </c>
      <c r="F35" t="s">
        <v>54</v>
      </c>
      <c r="G35" t="s">
        <v>138</v>
      </c>
      <c r="H35" s="6">
        <v>74</v>
      </c>
      <c r="I35" s="7">
        <v>139.72999999999999</v>
      </c>
      <c r="J35" s="7">
        <v>10340.1</v>
      </c>
      <c r="K35" s="6">
        <v>60</v>
      </c>
      <c r="L35" t="s">
        <v>45</v>
      </c>
      <c r="M35" s="8">
        <v>2068.02</v>
      </c>
      <c r="N35" s="7">
        <v>10340.1</v>
      </c>
      <c r="O35" t="s">
        <v>46</v>
      </c>
      <c r="P35" t="s">
        <v>40</v>
      </c>
    </row>
    <row r="36" spans="1:16" x14ac:dyDescent="0.25">
      <c r="A36" s="5">
        <v>45755</v>
      </c>
      <c r="B36" t="s">
        <v>80</v>
      </c>
      <c r="C36" t="s">
        <v>81</v>
      </c>
      <c r="D36" t="s">
        <v>64</v>
      </c>
      <c r="E36" t="s">
        <v>139</v>
      </c>
      <c r="F36" t="s">
        <v>108</v>
      </c>
      <c r="G36" t="s">
        <v>140</v>
      </c>
      <c r="H36" s="6">
        <v>13</v>
      </c>
      <c r="I36" s="7">
        <v>117.91</v>
      </c>
      <c r="J36" s="7">
        <v>1532.78</v>
      </c>
      <c r="K36" s="6">
        <v>30</v>
      </c>
      <c r="L36" t="s">
        <v>52</v>
      </c>
      <c r="M36" s="8">
        <v>306.55599999999998</v>
      </c>
      <c r="N36" s="7">
        <v>1532.78</v>
      </c>
      <c r="O36" t="s">
        <v>46</v>
      </c>
      <c r="P36" t="s">
        <v>40</v>
      </c>
    </row>
    <row r="37" spans="1:16" x14ac:dyDescent="0.25">
      <c r="A37" s="5">
        <v>45868</v>
      </c>
      <c r="B37" t="s">
        <v>77</v>
      </c>
      <c r="C37" t="s">
        <v>78</v>
      </c>
      <c r="D37" t="s">
        <v>58</v>
      </c>
      <c r="E37" t="s">
        <v>132</v>
      </c>
      <c r="F37" t="s">
        <v>71</v>
      </c>
      <c r="G37" t="s">
        <v>141</v>
      </c>
      <c r="H37" s="6">
        <v>60</v>
      </c>
      <c r="I37" s="7">
        <v>48.54</v>
      </c>
      <c r="J37" s="7">
        <v>2912.47</v>
      </c>
      <c r="K37" s="6">
        <v>60</v>
      </c>
      <c r="L37" t="s">
        <v>38</v>
      </c>
      <c r="M37" s="8">
        <v>582.49400000000003</v>
      </c>
      <c r="N37" s="7">
        <v>2912.47</v>
      </c>
      <c r="O37" t="s">
        <v>46</v>
      </c>
      <c r="P37" t="s">
        <v>40</v>
      </c>
    </row>
    <row r="38" spans="1:16" x14ac:dyDescent="0.25">
      <c r="A38" s="5">
        <v>45864</v>
      </c>
      <c r="B38" t="s">
        <v>62</v>
      </c>
      <c r="C38" t="s">
        <v>63</v>
      </c>
      <c r="D38" t="s">
        <v>64</v>
      </c>
      <c r="E38" t="s">
        <v>127</v>
      </c>
      <c r="F38" t="s">
        <v>36</v>
      </c>
      <c r="G38" t="s">
        <v>142</v>
      </c>
      <c r="H38" s="6">
        <v>44</v>
      </c>
      <c r="I38" s="7">
        <v>72.91</v>
      </c>
      <c r="J38" s="7">
        <v>3208.16</v>
      </c>
      <c r="K38" s="6">
        <v>30</v>
      </c>
      <c r="L38" t="s">
        <v>38</v>
      </c>
      <c r="M38" s="8">
        <v>641.63199999999995</v>
      </c>
      <c r="N38" s="7">
        <v>3208.16</v>
      </c>
      <c r="O38" t="s">
        <v>39</v>
      </c>
      <c r="P38" t="s">
        <v>40</v>
      </c>
    </row>
    <row r="39" spans="1:16" x14ac:dyDescent="0.25">
      <c r="A39" s="5">
        <v>45887</v>
      </c>
      <c r="B39" t="s">
        <v>143</v>
      </c>
      <c r="C39" t="s">
        <v>144</v>
      </c>
      <c r="D39" t="s">
        <v>69</v>
      </c>
      <c r="E39" t="s">
        <v>53</v>
      </c>
      <c r="F39" t="s">
        <v>54</v>
      </c>
      <c r="G39" t="s">
        <v>145</v>
      </c>
      <c r="H39" s="6">
        <v>18</v>
      </c>
      <c r="I39" s="7">
        <v>85.08</v>
      </c>
      <c r="J39" s="7">
        <v>1531.52</v>
      </c>
      <c r="K39" s="6">
        <v>45</v>
      </c>
      <c r="L39" t="s">
        <v>38</v>
      </c>
      <c r="M39" s="8">
        <v>306.30399999999997</v>
      </c>
      <c r="N39" s="7">
        <v>1531.52</v>
      </c>
      <c r="O39" t="s">
        <v>46</v>
      </c>
      <c r="P39" t="s">
        <v>40</v>
      </c>
    </row>
    <row r="40" spans="1:16" x14ac:dyDescent="0.25">
      <c r="A40" s="5">
        <v>45696</v>
      </c>
      <c r="B40" t="s">
        <v>47</v>
      </c>
      <c r="C40" t="s">
        <v>48</v>
      </c>
      <c r="D40" t="s">
        <v>34</v>
      </c>
      <c r="E40" t="s">
        <v>107</v>
      </c>
      <c r="F40" t="s">
        <v>108</v>
      </c>
      <c r="G40" t="s">
        <v>146</v>
      </c>
      <c r="H40" s="6">
        <v>57</v>
      </c>
      <c r="I40" s="7">
        <v>36.130000000000003</v>
      </c>
      <c r="J40" s="7">
        <v>2059.13</v>
      </c>
      <c r="K40" s="6">
        <v>60</v>
      </c>
      <c r="L40" t="s">
        <v>38</v>
      </c>
      <c r="M40" s="8">
        <v>411.82600000000002</v>
      </c>
      <c r="N40" s="7">
        <v>2059.13</v>
      </c>
      <c r="O40" t="s">
        <v>46</v>
      </c>
      <c r="P40" t="s">
        <v>40</v>
      </c>
    </row>
    <row r="41" spans="1:16" x14ac:dyDescent="0.25">
      <c r="A41" s="5">
        <v>45779</v>
      </c>
      <c r="B41" t="s">
        <v>118</v>
      </c>
      <c r="C41" t="s">
        <v>119</v>
      </c>
      <c r="D41" t="s">
        <v>64</v>
      </c>
      <c r="E41" t="s">
        <v>49</v>
      </c>
      <c r="F41" t="s">
        <v>50</v>
      </c>
      <c r="G41" t="s">
        <v>147</v>
      </c>
      <c r="H41" s="6">
        <v>22</v>
      </c>
      <c r="I41" s="7">
        <v>133.72</v>
      </c>
      <c r="J41" s="7">
        <v>2941.89</v>
      </c>
      <c r="K41" s="6">
        <v>45</v>
      </c>
      <c r="L41" t="s">
        <v>45</v>
      </c>
      <c r="M41" s="8">
        <v>588.37800000000004</v>
      </c>
      <c r="N41" s="7">
        <v>2941.89</v>
      </c>
      <c r="O41" t="s">
        <v>39</v>
      </c>
      <c r="P41" t="s">
        <v>40</v>
      </c>
    </row>
    <row r="42" spans="1:16" x14ac:dyDescent="0.25">
      <c r="A42" s="5">
        <v>45688</v>
      </c>
      <c r="B42" t="s">
        <v>85</v>
      </c>
      <c r="C42" t="s">
        <v>86</v>
      </c>
      <c r="D42" t="s">
        <v>58</v>
      </c>
      <c r="E42" t="s">
        <v>65</v>
      </c>
      <c r="F42" t="s">
        <v>54</v>
      </c>
      <c r="G42" t="s">
        <v>148</v>
      </c>
      <c r="H42" s="6">
        <v>22</v>
      </c>
      <c r="I42" s="7">
        <v>375.26</v>
      </c>
      <c r="J42" s="7">
        <v>8255.7099999999991</v>
      </c>
      <c r="K42" s="6">
        <v>45</v>
      </c>
      <c r="L42" t="s">
        <v>38</v>
      </c>
      <c r="M42" s="8">
        <v>1651.1420000000001</v>
      </c>
      <c r="N42" s="7">
        <v>8255.7099999999991</v>
      </c>
      <c r="O42" t="s">
        <v>46</v>
      </c>
      <c r="P42" t="s">
        <v>40</v>
      </c>
    </row>
    <row r="43" spans="1:16" x14ac:dyDescent="0.25">
      <c r="A43" s="5">
        <v>45804</v>
      </c>
      <c r="B43" t="s">
        <v>113</v>
      </c>
      <c r="C43" t="s">
        <v>114</v>
      </c>
      <c r="D43" t="s">
        <v>69</v>
      </c>
      <c r="E43" t="s">
        <v>149</v>
      </c>
      <c r="F43" t="s">
        <v>60</v>
      </c>
      <c r="G43" t="s">
        <v>150</v>
      </c>
      <c r="H43" s="6">
        <v>55</v>
      </c>
      <c r="I43" s="7">
        <v>241.74</v>
      </c>
      <c r="J43" s="7">
        <v>13295.93</v>
      </c>
      <c r="K43" s="6">
        <v>60</v>
      </c>
      <c r="L43" t="s">
        <v>52</v>
      </c>
      <c r="M43" s="8">
        <v>2659.1860000000001</v>
      </c>
      <c r="N43" s="7">
        <v>13295.93</v>
      </c>
      <c r="O43" t="s">
        <v>46</v>
      </c>
      <c r="P43" t="s">
        <v>40</v>
      </c>
    </row>
    <row r="44" spans="1:16" x14ac:dyDescent="0.25">
      <c r="A44" s="5">
        <v>45755</v>
      </c>
      <c r="B44" t="s">
        <v>32</v>
      </c>
      <c r="C44" t="s">
        <v>33</v>
      </c>
      <c r="D44" t="s">
        <v>34</v>
      </c>
      <c r="E44" t="s">
        <v>107</v>
      </c>
      <c r="F44" t="s">
        <v>108</v>
      </c>
      <c r="G44" t="s">
        <v>151</v>
      </c>
      <c r="H44" s="6">
        <v>38</v>
      </c>
      <c r="I44" s="7">
        <v>70.38</v>
      </c>
      <c r="J44" s="7">
        <v>2674.37</v>
      </c>
      <c r="K44" s="6">
        <v>30</v>
      </c>
      <c r="L44" t="s">
        <v>38</v>
      </c>
      <c r="M44" s="8">
        <v>534.87400000000002</v>
      </c>
      <c r="N44" s="7">
        <v>2674.37</v>
      </c>
      <c r="O44" t="s">
        <v>46</v>
      </c>
      <c r="P44" t="s">
        <v>40</v>
      </c>
    </row>
    <row r="45" spans="1:16" x14ac:dyDescent="0.25">
      <c r="A45" s="5">
        <v>45818</v>
      </c>
      <c r="B45" t="s">
        <v>113</v>
      </c>
      <c r="C45" t="s">
        <v>114</v>
      </c>
      <c r="D45" t="s">
        <v>69</v>
      </c>
      <c r="E45" t="s">
        <v>152</v>
      </c>
      <c r="F45" t="s">
        <v>50</v>
      </c>
      <c r="G45" t="s">
        <v>153</v>
      </c>
      <c r="H45" s="6">
        <v>8</v>
      </c>
      <c r="I45" s="7">
        <v>101.69</v>
      </c>
      <c r="J45" s="7">
        <v>813.48</v>
      </c>
      <c r="K45" s="6">
        <v>30</v>
      </c>
      <c r="L45" t="s">
        <v>52</v>
      </c>
      <c r="M45" s="8">
        <v>162.696</v>
      </c>
      <c r="N45" s="7">
        <v>813.48</v>
      </c>
      <c r="O45" t="s">
        <v>46</v>
      </c>
      <c r="P45" t="s">
        <v>40</v>
      </c>
    </row>
    <row r="46" spans="1:16" x14ac:dyDescent="0.25">
      <c r="A46" s="5">
        <v>45918</v>
      </c>
      <c r="B46" t="s">
        <v>100</v>
      </c>
      <c r="C46" t="s">
        <v>101</v>
      </c>
      <c r="D46" t="s">
        <v>69</v>
      </c>
      <c r="E46" t="s">
        <v>154</v>
      </c>
      <c r="F46" t="s">
        <v>89</v>
      </c>
      <c r="G46" t="s">
        <v>155</v>
      </c>
      <c r="H46" s="6">
        <v>11</v>
      </c>
      <c r="I46" s="7">
        <v>79.819999999999993</v>
      </c>
      <c r="J46" s="7">
        <v>878.02</v>
      </c>
      <c r="K46" s="6">
        <v>30</v>
      </c>
      <c r="L46" t="s">
        <v>38</v>
      </c>
      <c r="M46" s="8">
        <v>175.60400000000001</v>
      </c>
      <c r="N46" s="7">
        <v>878.02</v>
      </c>
      <c r="O46" t="s">
        <v>39</v>
      </c>
      <c r="P46" t="s">
        <v>40</v>
      </c>
    </row>
    <row r="47" spans="1:16" x14ac:dyDescent="0.25">
      <c r="A47" s="5">
        <v>45778</v>
      </c>
      <c r="B47" t="s">
        <v>110</v>
      </c>
      <c r="C47" t="s">
        <v>111</v>
      </c>
      <c r="D47" t="s">
        <v>58</v>
      </c>
      <c r="E47" t="s">
        <v>43</v>
      </c>
      <c r="F47" t="s">
        <v>36</v>
      </c>
      <c r="G47" t="s">
        <v>156</v>
      </c>
      <c r="H47" s="6">
        <v>52</v>
      </c>
      <c r="I47" s="7">
        <v>43.75</v>
      </c>
      <c r="J47" s="7">
        <v>2274.96</v>
      </c>
      <c r="K47" s="6">
        <v>30</v>
      </c>
      <c r="L47" t="s">
        <v>52</v>
      </c>
      <c r="M47" s="8">
        <v>454.99200000000002</v>
      </c>
      <c r="N47" s="7">
        <v>2274.96</v>
      </c>
      <c r="O47" t="s">
        <v>46</v>
      </c>
      <c r="P47" t="s">
        <v>40</v>
      </c>
    </row>
    <row r="48" spans="1:16" x14ac:dyDescent="0.25">
      <c r="A48" s="5">
        <v>45699</v>
      </c>
      <c r="B48" t="s">
        <v>67</v>
      </c>
      <c r="C48" t="s">
        <v>68</v>
      </c>
      <c r="D48" t="s">
        <v>69</v>
      </c>
      <c r="E48" t="s">
        <v>152</v>
      </c>
      <c r="F48" t="s">
        <v>50</v>
      </c>
      <c r="G48" t="s">
        <v>157</v>
      </c>
      <c r="H48" s="6">
        <v>54</v>
      </c>
      <c r="I48" s="7">
        <v>93.14</v>
      </c>
      <c r="J48" s="7">
        <v>5029.74</v>
      </c>
      <c r="K48" s="6">
        <v>60</v>
      </c>
      <c r="L48" t="s">
        <v>52</v>
      </c>
      <c r="M48" s="8">
        <v>1005.948</v>
      </c>
      <c r="N48" s="7">
        <v>5029.74</v>
      </c>
      <c r="O48" t="s">
        <v>46</v>
      </c>
      <c r="P48" t="s">
        <v>40</v>
      </c>
    </row>
    <row r="49" spans="1:16" x14ac:dyDescent="0.25">
      <c r="A49" s="5">
        <v>45762</v>
      </c>
      <c r="B49" t="s">
        <v>121</v>
      </c>
      <c r="C49" t="s">
        <v>122</v>
      </c>
      <c r="D49" t="s">
        <v>34</v>
      </c>
      <c r="E49" t="s">
        <v>132</v>
      </c>
      <c r="F49" t="s">
        <v>71</v>
      </c>
      <c r="G49" t="s">
        <v>158</v>
      </c>
      <c r="H49" s="6">
        <v>41</v>
      </c>
      <c r="I49" s="7">
        <v>169.91</v>
      </c>
      <c r="J49" s="7">
        <v>6966.49</v>
      </c>
      <c r="K49" s="6">
        <v>30</v>
      </c>
      <c r="L49" t="s">
        <v>45</v>
      </c>
      <c r="M49" s="8">
        <v>1393.298</v>
      </c>
      <c r="N49" s="7">
        <v>6966.49</v>
      </c>
      <c r="O49" t="s">
        <v>46</v>
      </c>
      <c r="P49" t="s">
        <v>40</v>
      </c>
    </row>
    <row r="50" spans="1:16" x14ac:dyDescent="0.25">
      <c r="A50" s="5">
        <v>45988</v>
      </c>
      <c r="B50" t="s">
        <v>67</v>
      </c>
      <c r="C50" t="s">
        <v>68</v>
      </c>
      <c r="D50" t="s">
        <v>69</v>
      </c>
      <c r="E50" t="s">
        <v>124</v>
      </c>
      <c r="F50" t="s">
        <v>89</v>
      </c>
      <c r="G50" t="s">
        <v>159</v>
      </c>
      <c r="H50" s="6">
        <v>39</v>
      </c>
      <c r="I50" s="7">
        <v>217.45</v>
      </c>
      <c r="J50" s="7">
        <v>8480.36</v>
      </c>
      <c r="K50" s="6">
        <v>45</v>
      </c>
      <c r="L50" t="s">
        <v>45</v>
      </c>
      <c r="M50" s="8">
        <v>1696.0719999999999</v>
      </c>
      <c r="N50" s="7">
        <v>8480.36</v>
      </c>
      <c r="O50" t="s">
        <v>46</v>
      </c>
      <c r="P50" t="s">
        <v>40</v>
      </c>
    </row>
    <row r="51" spans="1:16" x14ac:dyDescent="0.25">
      <c r="A51" s="5">
        <v>45892</v>
      </c>
      <c r="B51" t="s">
        <v>47</v>
      </c>
      <c r="C51" t="s">
        <v>48</v>
      </c>
      <c r="D51" t="s">
        <v>34</v>
      </c>
      <c r="E51" t="s">
        <v>127</v>
      </c>
      <c r="F51" t="s">
        <v>36</v>
      </c>
      <c r="G51" t="s">
        <v>160</v>
      </c>
      <c r="H51" s="6">
        <v>80</v>
      </c>
      <c r="I51" s="7">
        <v>24.65</v>
      </c>
      <c r="J51" s="7">
        <v>1971.88</v>
      </c>
      <c r="K51" s="6">
        <v>60</v>
      </c>
      <c r="L51" t="s">
        <v>38</v>
      </c>
      <c r="M51" s="8">
        <v>394.37599999999998</v>
      </c>
      <c r="N51" s="7">
        <v>1971.88</v>
      </c>
      <c r="O51" t="s">
        <v>39</v>
      </c>
      <c r="P51" t="s">
        <v>40</v>
      </c>
    </row>
    <row r="52" spans="1:16" x14ac:dyDescent="0.25">
      <c r="A52" s="5">
        <v>45793</v>
      </c>
      <c r="B52" t="s">
        <v>143</v>
      </c>
      <c r="C52" t="s">
        <v>144</v>
      </c>
      <c r="D52" t="s">
        <v>69</v>
      </c>
      <c r="E52" t="s">
        <v>53</v>
      </c>
      <c r="F52" t="s">
        <v>54</v>
      </c>
      <c r="G52" t="s">
        <v>161</v>
      </c>
      <c r="H52" s="6">
        <v>17</v>
      </c>
      <c r="I52" s="7">
        <v>298.77999999999997</v>
      </c>
      <c r="J52" s="7">
        <v>5079.26</v>
      </c>
      <c r="K52" s="6">
        <v>45</v>
      </c>
      <c r="L52" t="s">
        <v>38</v>
      </c>
      <c r="M52" s="8">
        <v>1015.852</v>
      </c>
      <c r="N52" s="7">
        <v>5079.26</v>
      </c>
      <c r="O52" t="s">
        <v>46</v>
      </c>
      <c r="P52" t="s">
        <v>40</v>
      </c>
    </row>
    <row r="53" spans="1:16" x14ac:dyDescent="0.25">
      <c r="A53" s="5">
        <v>45738</v>
      </c>
      <c r="B53" t="s">
        <v>32</v>
      </c>
      <c r="C53" t="s">
        <v>33</v>
      </c>
      <c r="D53" t="s">
        <v>34</v>
      </c>
      <c r="E53" t="s">
        <v>132</v>
      </c>
      <c r="F53" t="s">
        <v>71</v>
      </c>
      <c r="G53" t="s">
        <v>162</v>
      </c>
      <c r="H53" s="6">
        <v>57</v>
      </c>
      <c r="I53" s="7">
        <v>76.87</v>
      </c>
      <c r="J53" s="7">
        <v>4381.4399999999996</v>
      </c>
      <c r="K53" s="6">
        <v>60</v>
      </c>
      <c r="L53" t="s">
        <v>52</v>
      </c>
      <c r="M53" s="8">
        <v>876.28800000000001</v>
      </c>
      <c r="N53" s="7">
        <v>4381.4399999999996</v>
      </c>
      <c r="O53" t="s">
        <v>46</v>
      </c>
      <c r="P53" t="s">
        <v>40</v>
      </c>
    </row>
    <row r="54" spans="1:16" x14ac:dyDescent="0.25">
      <c r="A54" s="5">
        <v>45941</v>
      </c>
      <c r="B54" t="s">
        <v>73</v>
      </c>
      <c r="C54" t="s">
        <v>74</v>
      </c>
      <c r="D54" t="s">
        <v>69</v>
      </c>
      <c r="E54" t="s">
        <v>152</v>
      </c>
      <c r="F54" t="s">
        <v>50</v>
      </c>
      <c r="G54" t="s">
        <v>163</v>
      </c>
      <c r="H54" s="6">
        <v>39</v>
      </c>
      <c r="I54" s="7">
        <v>82.7</v>
      </c>
      <c r="J54" s="7">
        <v>3225.19</v>
      </c>
      <c r="K54" s="6">
        <v>60</v>
      </c>
      <c r="L54" t="s">
        <v>38</v>
      </c>
      <c r="M54" s="8">
        <v>645.03800000000001</v>
      </c>
      <c r="N54" s="7">
        <v>3225.19</v>
      </c>
      <c r="O54" t="s">
        <v>46</v>
      </c>
      <c r="P54" t="s">
        <v>40</v>
      </c>
    </row>
    <row r="55" spans="1:16" x14ac:dyDescent="0.25">
      <c r="A55" s="5">
        <v>45712</v>
      </c>
      <c r="B55" t="s">
        <v>77</v>
      </c>
      <c r="C55" t="s">
        <v>78</v>
      </c>
      <c r="D55" t="s">
        <v>58</v>
      </c>
      <c r="E55" t="s">
        <v>59</v>
      </c>
      <c r="F55" t="s">
        <v>60</v>
      </c>
      <c r="G55" t="s">
        <v>164</v>
      </c>
      <c r="H55" s="6">
        <v>71</v>
      </c>
      <c r="I55" s="7">
        <v>307.98</v>
      </c>
      <c r="J55" s="7">
        <v>21866.9</v>
      </c>
      <c r="K55" s="6">
        <v>30</v>
      </c>
      <c r="L55" t="s">
        <v>45</v>
      </c>
      <c r="M55" s="8">
        <v>4373.38</v>
      </c>
      <c r="N55" s="7">
        <v>21866.9</v>
      </c>
      <c r="O55" t="s">
        <v>39</v>
      </c>
      <c r="P55" t="s">
        <v>40</v>
      </c>
    </row>
    <row r="56" spans="1:16" x14ac:dyDescent="0.25">
      <c r="A56" s="5">
        <v>45833</v>
      </c>
      <c r="B56" t="s">
        <v>62</v>
      </c>
      <c r="C56" t="s">
        <v>63</v>
      </c>
      <c r="D56" t="s">
        <v>64</v>
      </c>
      <c r="E56" t="s">
        <v>53</v>
      </c>
      <c r="F56" t="s">
        <v>54</v>
      </c>
      <c r="G56" t="s">
        <v>165</v>
      </c>
      <c r="H56" s="6">
        <v>27</v>
      </c>
      <c r="I56" s="7">
        <v>440.76</v>
      </c>
      <c r="J56" s="7">
        <v>11900.64</v>
      </c>
      <c r="K56" s="6">
        <v>60</v>
      </c>
      <c r="L56" t="s">
        <v>52</v>
      </c>
      <c r="M56" s="8">
        <v>2380.1280000000002</v>
      </c>
      <c r="N56" s="7">
        <v>11900.64</v>
      </c>
      <c r="O56" t="s">
        <v>46</v>
      </c>
      <c r="P56" t="s">
        <v>40</v>
      </c>
    </row>
    <row r="57" spans="1:16" x14ac:dyDescent="0.25">
      <c r="A57" s="5">
        <v>45684</v>
      </c>
      <c r="B57" t="s">
        <v>62</v>
      </c>
      <c r="C57" t="s">
        <v>63</v>
      </c>
      <c r="D57" t="s">
        <v>64</v>
      </c>
      <c r="E57" t="s">
        <v>139</v>
      </c>
      <c r="F57" t="s">
        <v>108</v>
      </c>
      <c r="G57" t="s">
        <v>166</v>
      </c>
      <c r="H57" s="6">
        <v>12</v>
      </c>
      <c r="I57" s="7">
        <v>125.17</v>
      </c>
      <c r="J57" s="7">
        <v>1502.07</v>
      </c>
      <c r="K57" s="6">
        <v>60</v>
      </c>
      <c r="L57" t="s">
        <v>45</v>
      </c>
      <c r="M57" s="8">
        <v>300.41399999999999</v>
      </c>
      <c r="N57" s="7">
        <v>1502.07</v>
      </c>
      <c r="O57" t="s">
        <v>46</v>
      </c>
      <c r="P57" t="s">
        <v>40</v>
      </c>
    </row>
    <row r="58" spans="1:16" x14ac:dyDescent="0.25">
      <c r="A58" s="5">
        <v>45828</v>
      </c>
      <c r="B58" t="s">
        <v>103</v>
      </c>
      <c r="C58" t="s">
        <v>104</v>
      </c>
      <c r="D58" t="s">
        <v>58</v>
      </c>
      <c r="E58" t="s">
        <v>49</v>
      </c>
      <c r="F58" t="s">
        <v>50</v>
      </c>
      <c r="G58" t="s">
        <v>167</v>
      </c>
      <c r="H58" s="6">
        <v>17</v>
      </c>
      <c r="I58" s="7">
        <v>75.64</v>
      </c>
      <c r="J58" s="7">
        <v>1285.8</v>
      </c>
      <c r="K58" s="6">
        <v>60</v>
      </c>
      <c r="L58" t="s">
        <v>45</v>
      </c>
      <c r="M58" s="8">
        <v>257.16000000000003</v>
      </c>
      <c r="N58" s="7">
        <v>1285.8</v>
      </c>
      <c r="O58" t="s">
        <v>39</v>
      </c>
      <c r="P58" t="s">
        <v>40</v>
      </c>
    </row>
    <row r="59" spans="1:16" x14ac:dyDescent="0.25">
      <c r="A59" s="5">
        <v>46019</v>
      </c>
      <c r="B59" t="s">
        <v>32</v>
      </c>
      <c r="C59" t="s">
        <v>33</v>
      </c>
      <c r="D59" t="s">
        <v>34</v>
      </c>
      <c r="E59" t="s">
        <v>129</v>
      </c>
      <c r="F59" t="s">
        <v>108</v>
      </c>
      <c r="G59" t="s">
        <v>168</v>
      </c>
      <c r="H59" s="6">
        <v>55</v>
      </c>
      <c r="I59" s="7">
        <v>63.27</v>
      </c>
      <c r="J59" s="7">
        <v>3479.88</v>
      </c>
      <c r="K59" s="6">
        <v>60</v>
      </c>
      <c r="L59" t="s">
        <v>38</v>
      </c>
      <c r="M59" s="8">
        <v>695.976</v>
      </c>
      <c r="N59" s="7">
        <v>3479.88</v>
      </c>
      <c r="O59" t="s">
        <v>46</v>
      </c>
      <c r="P59" t="s">
        <v>40</v>
      </c>
    </row>
    <row r="60" spans="1:16" x14ac:dyDescent="0.25">
      <c r="A60" s="5">
        <v>45734</v>
      </c>
      <c r="B60" t="s">
        <v>67</v>
      </c>
      <c r="C60" t="s">
        <v>68</v>
      </c>
      <c r="D60" t="s">
        <v>69</v>
      </c>
      <c r="E60" t="s">
        <v>43</v>
      </c>
      <c r="F60" t="s">
        <v>36</v>
      </c>
      <c r="G60" t="s">
        <v>169</v>
      </c>
      <c r="H60" s="6">
        <v>70</v>
      </c>
      <c r="I60" s="7">
        <v>77.989999999999995</v>
      </c>
      <c r="J60" s="7">
        <v>5459.31</v>
      </c>
      <c r="K60" s="6">
        <v>30</v>
      </c>
      <c r="L60" t="s">
        <v>45</v>
      </c>
      <c r="M60" s="8">
        <v>1091.8620000000001</v>
      </c>
      <c r="N60" s="7">
        <v>5459.31</v>
      </c>
      <c r="O60" t="s">
        <v>46</v>
      </c>
      <c r="P60" t="s">
        <v>40</v>
      </c>
    </row>
    <row r="61" spans="1:16" x14ac:dyDescent="0.25">
      <c r="A61" s="5">
        <v>45723</v>
      </c>
      <c r="B61" t="s">
        <v>73</v>
      </c>
      <c r="C61" t="s">
        <v>74</v>
      </c>
      <c r="D61" t="s">
        <v>69</v>
      </c>
      <c r="E61" t="s">
        <v>88</v>
      </c>
      <c r="F61" t="s">
        <v>89</v>
      </c>
      <c r="G61" t="s">
        <v>170</v>
      </c>
      <c r="H61" s="6">
        <v>6</v>
      </c>
      <c r="I61" s="7">
        <v>307.82</v>
      </c>
      <c r="J61" s="7">
        <v>1846.9</v>
      </c>
      <c r="K61" s="6">
        <v>45</v>
      </c>
      <c r="L61" t="s">
        <v>45</v>
      </c>
      <c r="M61" s="8">
        <v>369.38</v>
      </c>
      <c r="N61" s="7">
        <v>1846.9</v>
      </c>
      <c r="O61" t="s">
        <v>46</v>
      </c>
      <c r="P61" t="s">
        <v>40</v>
      </c>
    </row>
    <row r="62" spans="1:16" x14ac:dyDescent="0.25">
      <c r="A62" s="5">
        <v>46007</v>
      </c>
      <c r="B62" t="s">
        <v>100</v>
      </c>
      <c r="C62" t="s">
        <v>101</v>
      </c>
      <c r="D62" t="s">
        <v>69</v>
      </c>
      <c r="E62" t="s">
        <v>83</v>
      </c>
      <c r="F62" t="s">
        <v>71</v>
      </c>
      <c r="G62" t="s">
        <v>171</v>
      </c>
      <c r="H62" s="6">
        <v>32</v>
      </c>
      <c r="I62" s="7">
        <v>72.989999999999995</v>
      </c>
      <c r="J62" s="7">
        <v>2335.6999999999998</v>
      </c>
      <c r="K62" s="6">
        <v>60</v>
      </c>
      <c r="L62" t="s">
        <v>38</v>
      </c>
      <c r="M62" s="8">
        <v>467.14</v>
      </c>
      <c r="N62" s="7">
        <v>2335.6999999999998</v>
      </c>
      <c r="O62" t="s">
        <v>39</v>
      </c>
      <c r="P62" t="s">
        <v>40</v>
      </c>
    </row>
    <row r="63" spans="1:16" x14ac:dyDescent="0.25">
      <c r="A63" s="5">
        <v>45737</v>
      </c>
      <c r="B63" t="s">
        <v>80</v>
      </c>
      <c r="C63" t="s">
        <v>81</v>
      </c>
      <c r="D63" t="s">
        <v>64</v>
      </c>
      <c r="E63" t="s">
        <v>105</v>
      </c>
      <c r="F63" t="s">
        <v>97</v>
      </c>
      <c r="G63" t="s">
        <v>172</v>
      </c>
      <c r="H63" s="6">
        <v>31</v>
      </c>
      <c r="I63" s="7">
        <v>270.88</v>
      </c>
      <c r="J63" s="7">
        <v>8397.23</v>
      </c>
      <c r="K63" s="6">
        <v>30</v>
      </c>
      <c r="L63" t="s">
        <v>38</v>
      </c>
      <c r="M63" s="8">
        <v>1679.4459999999999</v>
      </c>
      <c r="N63" s="7">
        <v>8397.23</v>
      </c>
      <c r="O63" t="s">
        <v>46</v>
      </c>
      <c r="P63" t="s">
        <v>40</v>
      </c>
    </row>
    <row r="64" spans="1:16" x14ac:dyDescent="0.25">
      <c r="A64" s="5">
        <v>45828</v>
      </c>
      <c r="B64" t="s">
        <v>118</v>
      </c>
      <c r="C64" t="s">
        <v>119</v>
      </c>
      <c r="D64" t="s">
        <v>64</v>
      </c>
      <c r="E64" t="s">
        <v>49</v>
      </c>
      <c r="F64" t="s">
        <v>50</v>
      </c>
      <c r="G64" t="s">
        <v>173</v>
      </c>
      <c r="H64" s="6">
        <v>53</v>
      </c>
      <c r="I64" s="7">
        <v>65.3</v>
      </c>
      <c r="J64" s="7">
        <v>3460.95</v>
      </c>
      <c r="K64" s="6">
        <v>60</v>
      </c>
      <c r="L64" t="s">
        <v>52</v>
      </c>
      <c r="M64" s="8">
        <v>692.19</v>
      </c>
      <c r="N64" s="7">
        <v>3460.95</v>
      </c>
      <c r="O64" t="s">
        <v>39</v>
      </c>
      <c r="P64" t="s">
        <v>40</v>
      </c>
    </row>
    <row r="65" spans="1:16" x14ac:dyDescent="0.25">
      <c r="A65" s="5">
        <v>46017</v>
      </c>
      <c r="B65" t="s">
        <v>91</v>
      </c>
      <c r="C65" t="s">
        <v>92</v>
      </c>
      <c r="D65" t="s">
        <v>64</v>
      </c>
      <c r="E65" t="s">
        <v>59</v>
      </c>
      <c r="F65" t="s">
        <v>60</v>
      </c>
      <c r="G65" t="s">
        <v>174</v>
      </c>
      <c r="H65" s="6">
        <v>14</v>
      </c>
      <c r="I65" s="7">
        <v>113.94</v>
      </c>
      <c r="J65" s="7">
        <v>1595.23</v>
      </c>
      <c r="K65" s="6">
        <v>45</v>
      </c>
      <c r="L65" t="s">
        <v>38</v>
      </c>
      <c r="M65" s="8">
        <v>319.04599999999999</v>
      </c>
      <c r="N65" s="7">
        <v>1595.23</v>
      </c>
      <c r="O65" t="s">
        <v>39</v>
      </c>
      <c r="P65" t="s">
        <v>40</v>
      </c>
    </row>
    <row r="66" spans="1:16" x14ac:dyDescent="0.25">
      <c r="A66" s="5">
        <v>45893</v>
      </c>
      <c r="B66" t="s">
        <v>143</v>
      </c>
      <c r="C66" t="s">
        <v>144</v>
      </c>
      <c r="D66" t="s">
        <v>69</v>
      </c>
      <c r="E66" t="s">
        <v>135</v>
      </c>
      <c r="F66" t="s">
        <v>54</v>
      </c>
      <c r="G66" t="s">
        <v>175</v>
      </c>
      <c r="H66" s="6">
        <v>45</v>
      </c>
      <c r="I66" s="7">
        <v>390.86</v>
      </c>
      <c r="J66" s="7">
        <v>17588.71</v>
      </c>
      <c r="K66" s="6">
        <v>45</v>
      </c>
      <c r="L66" t="s">
        <v>38</v>
      </c>
      <c r="M66" s="8">
        <v>3517.7420000000002</v>
      </c>
      <c r="N66" s="7">
        <v>17588.71</v>
      </c>
      <c r="O66" t="s">
        <v>46</v>
      </c>
      <c r="P66" t="s">
        <v>40</v>
      </c>
    </row>
    <row r="67" spans="1:16" x14ac:dyDescent="0.25">
      <c r="A67" s="5">
        <v>45756</v>
      </c>
      <c r="B67" t="s">
        <v>32</v>
      </c>
      <c r="C67" t="s">
        <v>33</v>
      </c>
      <c r="D67" t="s">
        <v>34</v>
      </c>
      <c r="E67" t="s">
        <v>152</v>
      </c>
      <c r="F67" t="s">
        <v>50</v>
      </c>
      <c r="G67" t="s">
        <v>176</v>
      </c>
      <c r="H67" s="6">
        <v>52</v>
      </c>
      <c r="I67" s="7">
        <v>253.01</v>
      </c>
      <c r="J67" s="7">
        <v>13156.45</v>
      </c>
      <c r="K67" s="6">
        <v>45</v>
      </c>
      <c r="L67" t="s">
        <v>45</v>
      </c>
      <c r="M67" s="8">
        <v>2631.29</v>
      </c>
      <c r="N67" s="7">
        <v>13156.45</v>
      </c>
      <c r="O67" t="s">
        <v>46</v>
      </c>
      <c r="P67" t="s">
        <v>40</v>
      </c>
    </row>
    <row r="68" spans="1:16" x14ac:dyDescent="0.25">
      <c r="A68" s="5">
        <v>45986</v>
      </c>
      <c r="B68" t="s">
        <v>47</v>
      </c>
      <c r="C68" t="s">
        <v>48</v>
      </c>
      <c r="D68" t="s">
        <v>34</v>
      </c>
      <c r="E68" t="s">
        <v>149</v>
      </c>
      <c r="F68" t="s">
        <v>60</v>
      </c>
      <c r="G68" t="s">
        <v>177</v>
      </c>
      <c r="H68" s="6">
        <v>66</v>
      </c>
      <c r="I68" s="7">
        <v>211.46</v>
      </c>
      <c r="J68" s="7">
        <v>13956.17</v>
      </c>
      <c r="K68" s="6">
        <v>45</v>
      </c>
      <c r="L68" t="s">
        <v>52</v>
      </c>
      <c r="M68" s="8">
        <v>2791.2339999999999</v>
      </c>
      <c r="N68" s="7">
        <v>13956.17</v>
      </c>
      <c r="O68" t="s">
        <v>46</v>
      </c>
      <c r="P68" t="s">
        <v>40</v>
      </c>
    </row>
    <row r="69" spans="1:16" x14ac:dyDescent="0.25">
      <c r="A69" s="5">
        <v>45717</v>
      </c>
      <c r="B69" t="s">
        <v>32</v>
      </c>
      <c r="C69" t="s">
        <v>33</v>
      </c>
      <c r="D69" t="s">
        <v>34</v>
      </c>
      <c r="E69" t="s">
        <v>83</v>
      </c>
      <c r="F69" t="s">
        <v>71</v>
      </c>
      <c r="G69" t="s">
        <v>178</v>
      </c>
      <c r="H69" s="6">
        <v>34</v>
      </c>
      <c r="I69" s="7">
        <v>164.98</v>
      </c>
      <c r="J69" s="7">
        <v>5609.3</v>
      </c>
      <c r="K69" s="6">
        <v>30</v>
      </c>
      <c r="L69" t="s">
        <v>52</v>
      </c>
      <c r="M69" s="8">
        <v>1121.8599999999999</v>
      </c>
      <c r="N69" s="7">
        <v>5609.3</v>
      </c>
      <c r="O69" t="s">
        <v>39</v>
      </c>
      <c r="P69" t="s">
        <v>40</v>
      </c>
    </row>
    <row r="70" spans="1:16" x14ac:dyDescent="0.25">
      <c r="A70" s="5">
        <v>45963</v>
      </c>
      <c r="B70" t="s">
        <v>143</v>
      </c>
      <c r="C70" t="s">
        <v>144</v>
      </c>
      <c r="D70" t="s">
        <v>69</v>
      </c>
      <c r="E70" t="s">
        <v>49</v>
      </c>
      <c r="F70" t="s">
        <v>50</v>
      </c>
      <c r="G70" t="s">
        <v>179</v>
      </c>
      <c r="H70" s="6">
        <v>56</v>
      </c>
      <c r="I70" s="7">
        <v>146.41</v>
      </c>
      <c r="J70" s="7">
        <v>8198.7999999999993</v>
      </c>
      <c r="K70" s="6">
        <v>45</v>
      </c>
      <c r="L70" t="s">
        <v>52</v>
      </c>
      <c r="M70" s="8">
        <v>1639.76</v>
      </c>
      <c r="N70" s="7">
        <v>8198.7999999999993</v>
      </c>
      <c r="O70" t="s">
        <v>39</v>
      </c>
      <c r="P70" t="s">
        <v>40</v>
      </c>
    </row>
    <row r="71" spans="1:16" x14ac:dyDescent="0.25">
      <c r="A71" s="5">
        <v>45919</v>
      </c>
      <c r="B71" t="s">
        <v>118</v>
      </c>
      <c r="C71" t="s">
        <v>119</v>
      </c>
      <c r="D71" t="s">
        <v>64</v>
      </c>
      <c r="E71" t="s">
        <v>105</v>
      </c>
      <c r="F71" t="s">
        <v>97</v>
      </c>
      <c r="G71" t="s">
        <v>180</v>
      </c>
      <c r="H71" s="6">
        <v>15</v>
      </c>
      <c r="I71" s="7">
        <v>210.39</v>
      </c>
      <c r="J71" s="7">
        <v>3155.86</v>
      </c>
      <c r="K71" s="6">
        <v>45</v>
      </c>
      <c r="L71" t="s">
        <v>52</v>
      </c>
      <c r="M71" s="8">
        <v>631.17200000000003</v>
      </c>
      <c r="N71" s="7">
        <v>3155.86</v>
      </c>
      <c r="O71" t="s">
        <v>46</v>
      </c>
      <c r="P71" t="s">
        <v>40</v>
      </c>
    </row>
    <row r="72" spans="1:16" x14ac:dyDescent="0.25">
      <c r="A72" s="5">
        <v>46020</v>
      </c>
      <c r="B72" t="s">
        <v>85</v>
      </c>
      <c r="C72" t="s">
        <v>86</v>
      </c>
      <c r="D72" t="s">
        <v>58</v>
      </c>
      <c r="E72" t="s">
        <v>59</v>
      </c>
      <c r="F72" t="s">
        <v>60</v>
      </c>
      <c r="G72" t="s">
        <v>181</v>
      </c>
      <c r="H72" s="6">
        <v>56</v>
      </c>
      <c r="I72" s="7">
        <v>268.38</v>
      </c>
      <c r="J72" s="7">
        <v>15029.15</v>
      </c>
      <c r="K72" s="6">
        <v>30</v>
      </c>
      <c r="L72" t="s">
        <v>52</v>
      </c>
      <c r="M72" s="8">
        <v>3005.83</v>
      </c>
      <c r="N72" s="7">
        <v>15029.15</v>
      </c>
      <c r="O72" t="s">
        <v>39</v>
      </c>
      <c r="P72" t="s">
        <v>40</v>
      </c>
    </row>
    <row r="73" spans="1:16" x14ac:dyDescent="0.25">
      <c r="A73" s="5">
        <v>45878</v>
      </c>
      <c r="B73" t="s">
        <v>62</v>
      </c>
      <c r="C73" t="s">
        <v>63</v>
      </c>
      <c r="D73" t="s">
        <v>64</v>
      </c>
      <c r="E73" t="s">
        <v>65</v>
      </c>
      <c r="F73" t="s">
        <v>54</v>
      </c>
      <c r="G73" t="s">
        <v>182</v>
      </c>
      <c r="H73" s="6">
        <v>9</v>
      </c>
      <c r="I73" s="7">
        <v>582.53</v>
      </c>
      <c r="J73" s="7">
        <v>5242.7700000000004</v>
      </c>
      <c r="K73" s="6">
        <v>60</v>
      </c>
      <c r="L73" t="s">
        <v>45</v>
      </c>
      <c r="M73" s="8">
        <v>1048.5540000000001</v>
      </c>
      <c r="N73" s="7">
        <v>5242.7700000000004</v>
      </c>
      <c r="O73" t="s">
        <v>46</v>
      </c>
      <c r="P73" t="s">
        <v>40</v>
      </c>
    </row>
    <row r="74" spans="1:16" x14ac:dyDescent="0.25">
      <c r="A74" s="5">
        <v>45721</v>
      </c>
      <c r="B74" t="s">
        <v>110</v>
      </c>
      <c r="C74" t="s">
        <v>111</v>
      </c>
      <c r="D74" t="s">
        <v>58</v>
      </c>
      <c r="E74" t="s">
        <v>70</v>
      </c>
      <c r="F74" t="s">
        <v>71</v>
      </c>
      <c r="G74" t="s">
        <v>183</v>
      </c>
      <c r="H74" s="6">
        <v>39</v>
      </c>
      <c r="I74" s="7">
        <v>93.15</v>
      </c>
      <c r="J74" s="7">
        <v>3632.71</v>
      </c>
      <c r="K74" s="6">
        <v>60</v>
      </c>
      <c r="L74" t="s">
        <v>45</v>
      </c>
      <c r="M74" s="8">
        <v>726.54200000000003</v>
      </c>
      <c r="N74" s="7">
        <v>3632.71</v>
      </c>
      <c r="O74" t="s">
        <v>46</v>
      </c>
      <c r="P74" t="s">
        <v>40</v>
      </c>
    </row>
    <row r="75" spans="1:16" x14ac:dyDescent="0.25">
      <c r="A75" s="5">
        <v>45864</v>
      </c>
      <c r="B75" t="s">
        <v>85</v>
      </c>
      <c r="C75" t="s">
        <v>86</v>
      </c>
      <c r="D75" t="s">
        <v>58</v>
      </c>
      <c r="E75" t="s">
        <v>96</v>
      </c>
      <c r="F75" t="s">
        <v>97</v>
      </c>
      <c r="G75" t="s">
        <v>184</v>
      </c>
      <c r="H75" s="6">
        <v>38</v>
      </c>
      <c r="I75" s="7">
        <v>709.34</v>
      </c>
      <c r="J75" s="7">
        <v>26954.959999999999</v>
      </c>
      <c r="K75" s="6">
        <v>60</v>
      </c>
      <c r="L75" t="s">
        <v>38</v>
      </c>
      <c r="M75" s="8">
        <v>5390.9920000000002</v>
      </c>
      <c r="N75" s="7">
        <v>26954.959999999999</v>
      </c>
      <c r="O75" t="s">
        <v>46</v>
      </c>
      <c r="P75" t="s">
        <v>40</v>
      </c>
    </row>
    <row r="76" spans="1:16" x14ac:dyDescent="0.25">
      <c r="A76" s="5">
        <v>45852</v>
      </c>
      <c r="B76" t="s">
        <v>73</v>
      </c>
      <c r="C76" t="s">
        <v>74</v>
      </c>
      <c r="D76" t="s">
        <v>69</v>
      </c>
      <c r="E76" t="s">
        <v>105</v>
      </c>
      <c r="F76" t="s">
        <v>97</v>
      </c>
      <c r="G76" t="s">
        <v>185</v>
      </c>
      <c r="H76" s="6">
        <v>23</v>
      </c>
      <c r="I76" s="7">
        <v>71.02</v>
      </c>
      <c r="J76" s="7">
        <v>1633.4</v>
      </c>
      <c r="K76" s="6">
        <v>60</v>
      </c>
      <c r="L76" t="s">
        <v>52</v>
      </c>
      <c r="M76" s="8">
        <v>326.68</v>
      </c>
      <c r="N76" s="7">
        <v>1633.4</v>
      </c>
      <c r="O76" t="s">
        <v>46</v>
      </c>
      <c r="P76" t="s">
        <v>40</v>
      </c>
    </row>
    <row r="77" spans="1:16" x14ac:dyDescent="0.25">
      <c r="A77" s="5">
        <v>45658</v>
      </c>
      <c r="B77" t="s">
        <v>41</v>
      </c>
      <c r="C77" t="s">
        <v>42</v>
      </c>
      <c r="D77" t="s">
        <v>34</v>
      </c>
      <c r="E77" t="s">
        <v>105</v>
      </c>
      <c r="F77" t="s">
        <v>97</v>
      </c>
      <c r="G77" t="s">
        <v>186</v>
      </c>
      <c r="H77" s="6">
        <v>39</v>
      </c>
      <c r="I77" s="7">
        <v>471.46</v>
      </c>
      <c r="J77" s="7">
        <v>18386.84</v>
      </c>
      <c r="K77" s="6">
        <v>45</v>
      </c>
      <c r="L77" t="s">
        <v>38</v>
      </c>
      <c r="M77" s="8">
        <v>3677.3679999999999</v>
      </c>
      <c r="N77" s="7">
        <v>18386.84</v>
      </c>
      <c r="O77" t="s">
        <v>46</v>
      </c>
      <c r="P77" t="s">
        <v>40</v>
      </c>
    </row>
    <row r="78" spans="1:16" x14ac:dyDescent="0.25">
      <c r="A78" s="5">
        <v>45884</v>
      </c>
      <c r="B78" t="s">
        <v>91</v>
      </c>
      <c r="C78" t="s">
        <v>92</v>
      </c>
      <c r="D78" t="s">
        <v>64</v>
      </c>
      <c r="E78" t="s">
        <v>132</v>
      </c>
      <c r="F78" t="s">
        <v>71</v>
      </c>
      <c r="G78" t="s">
        <v>187</v>
      </c>
      <c r="H78" s="6">
        <v>57</v>
      </c>
      <c r="I78" s="7">
        <v>99.66</v>
      </c>
      <c r="J78" s="7">
        <v>5680.55</v>
      </c>
      <c r="K78" s="6">
        <v>60</v>
      </c>
      <c r="L78" t="s">
        <v>38</v>
      </c>
      <c r="M78" s="8">
        <v>1136.1099999999999</v>
      </c>
      <c r="N78" s="7">
        <v>5680.55</v>
      </c>
      <c r="O78" t="s">
        <v>46</v>
      </c>
      <c r="P78" t="s">
        <v>40</v>
      </c>
    </row>
    <row r="79" spans="1:16" x14ac:dyDescent="0.25">
      <c r="A79" s="5">
        <v>45744</v>
      </c>
      <c r="B79" t="s">
        <v>67</v>
      </c>
      <c r="C79" t="s">
        <v>68</v>
      </c>
      <c r="D79" t="s">
        <v>69</v>
      </c>
      <c r="F79" t="s">
        <v>108</v>
      </c>
      <c r="G79" t="s">
        <v>188</v>
      </c>
      <c r="H79" s="6">
        <v>11</v>
      </c>
      <c r="I79" s="7">
        <v>63.63</v>
      </c>
      <c r="J79" s="7">
        <v>699.89</v>
      </c>
      <c r="K79" s="6">
        <v>45</v>
      </c>
      <c r="L79" t="s">
        <v>52</v>
      </c>
      <c r="M79" s="8">
        <v>139.97800000000001</v>
      </c>
      <c r="N79" s="7">
        <v>699.89</v>
      </c>
      <c r="O79" t="s">
        <v>46</v>
      </c>
      <c r="P79" t="s">
        <v>189</v>
      </c>
    </row>
    <row r="80" spans="1:16" x14ac:dyDescent="0.25">
      <c r="A80" s="5">
        <v>45778</v>
      </c>
      <c r="B80" t="s">
        <v>103</v>
      </c>
      <c r="C80" t="s">
        <v>104</v>
      </c>
      <c r="D80" t="s">
        <v>58</v>
      </c>
      <c r="E80" t="s">
        <v>83</v>
      </c>
      <c r="F80" t="s">
        <v>71</v>
      </c>
      <c r="G80" t="s">
        <v>190</v>
      </c>
      <c r="H80" s="6">
        <v>40</v>
      </c>
      <c r="I80" s="7">
        <v>99.92</v>
      </c>
      <c r="J80" s="7">
        <v>3996.7</v>
      </c>
      <c r="K80" s="6">
        <v>30</v>
      </c>
      <c r="L80" t="s">
        <v>38</v>
      </c>
      <c r="M80" s="8">
        <v>799.34</v>
      </c>
      <c r="N80" s="7">
        <v>3996.7</v>
      </c>
      <c r="O80" t="s">
        <v>39</v>
      </c>
      <c r="P80" t="s">
        <v>40</v>
      </c>
    </row>
    <row r="81" spans="1:16" x14ac:dyDescent="0.25">
      <c r="A81" s="5">
        <v>45783</v>
      </c>
      <c r="B81" t="s">
        <v>77</v>
      </c>
      <c r="C81" t="s">
        <v>78</v>
      </c>
      <c r="D81" t="s">
        <v>58</v>
      </c>
      <c r="E81" t="s">
        <v>49</v>
      </c>
      <c r="F81" t="s">
        <v>50</v>
      </c>
      <c r="G81" t="s">
        <v>191</v>
      </c>
      <c r="H81" s="6">
        <v>61</v>
      </c>
      <c r="I81" s="7">
        <v>40.22</v>
      </c>
      <c r="J81" s="7">
        <v>2453.33</v>
      </c>
      <c r="K81" s="6">
        <v>60</v>
      </c>
      <c r="L81" t="s">
        <v>38</v>
      </c>
      <c r="M81" s="8">
        <v>490.666</v>
      </c>
      <c r="N81" s="7">
        <v>2453.33</v>
      </c>
      <c r="O81" t="s">
        <v>39</v>
      </c>
      <c r="P81" t="s">
        <v>40</v>
      </c>
    </row>
    <row r="82" spans="1:16" x14ac:dyDescent="0.25">
      <c r="A82" s="5">
        <v>45952</v>
      </c>
      <c r="B82" t="s">
        <v>41</v>
      </c>
      <c r="C82" t="s">
        <v>42</v>
      </c>
      <c r="D82" t="s">
        <v>34</v>
      </c>
      <c r="E82" t="s">
        <v>105</v>
      </c>
      <c r="F82" t="s">
        <v>97</v>
      </c>
      <c r="G82" t="s">
        <v>192</v>
      </c>
      <c r="H82" s="6">
        <v>25</v>
      </c>
      <c r="I82" s="7">
        <v>265.86</v>
      </c>
      <c r="J82" s="7">
        <v>6646.45</v>
      </c>
      <c r="K82" s="6">
        <v>60</v>
      </c>
      <c r="L82" t="s">
        <v>52</v>
      </c>
      <c r="M82" s="8">
        <v>1329.29</v>
      </c>
      <c r="N82" s="7">
        <v>6646.45</v>
      </c>
      <c r="O82" t="s">
        <v>46</v>
      </c>
      <c r="P82" t="s">
        <v>40</v>
      </c>
    </row>
    <row r="83" spans="1:16" x14ac:dyDescent="0.25">
      <c r="A83" s="5">
        <v>45782</v>
      </c>
      <c r="B83" t="s">
        <v>85</v>
      </c>
      <c r="C83" t="s">
        <v>86</v>
      </c>
      <c r="D83" t="s">
        <v>58</v>
      </c>
      <c r="E83" t="s">
        <v>139</v>
      </c>
      <c r="F83" t="s">
        <v>108</v>
      </c>
      <c r="G83" t="s">
        <v>193</v>
      </c>
      <c r="H83" s="6">
        <v>19</v>
      </c>
      <c r="I83" s="7">
        <v>91.28</v>
      </c>
      <c r="J83" s="7">
        <v>1734.27</v>
      </c>
      <c r="K83" s="6">
        <v>60</v>
      </c>
      <c r="L83" t="s">
        <v>52</v>
      </c>
      <c r="M83" s="8">
        <v>346.85399999999998</v>
      </c>
      <c r="N83" s="7">
        <v>1734.27</v>
      </c>
      <c r="O83" t="s">
        <v>46</v>
      </c>
      <c r="P83" t="s">
        <v>40</v>
      </c>
    </row>
    <row r="84" spans="1:16" x14ac:dyDescent="0.25">
      <c r="A84" s="5">
        <v>45770</v>
      </c>
      <c r="B84" t="s">
        <v>41</v>
      </c>
      <c r="C84" t="s">
        <v>42</v>
      </c>
      <c r="D84" t="s">
        <v>34</v>
      </c>
      <c r="E84" t="s">
        <v>75</v>
      </c>
      <c r="F84" t="s">
        <v>36</v>
      </c>
      <c r="G84" t="s">
        <v>194</v>
      </c>
      <c r="H84" s="6">
        <v>23</v>
      </c>
      <c r="I84" s="7">
        <v>146.53</v>
      </c>
      <c r="J84" s="7">
        <v>3370.19</v>
      </c>
      <c r="K84" s="6">
        <v>60</v>
      </c>
      <c r="L84" t="s">
        <v>52</v>
      </c>
      <c r="M84" s="8">
        <v>674.03800000000001</v>
      </c>
      <c r="N84" s="7">
        <v>3370.19</v>
      </c>
      <c r="O84" t="s">
        <v>46</v>
      </c>
      <c r="P84" t="s">
        <v>40</v>
      </c>
    </row>
    <row r="85" spans="1:16" x14ac:dyDescent="0.25">
      <c r="A85" s="5">
        <v>45785</v>
      </c>
      <c r="B85" t="s">
        <v>91</v>
      </c>
      <c r="C85" t="s">
        <v>92</v>
      </c>
      <c r="D85" t="s">
        <v>64</v>
      </c>
      <c r="E85" t="s">
        <v>152</v>
      </c>
      <c r="F85" t="s">
        <v>50</v>
      </c>
      <c r="G85" t="s">
        <v>195</v>
      </c>
      <c r="H85" s="6">
        <v>16</v>
      </c>
      <c r="I85" s="7">
        <v>90.24</v>
      </c>
      <c r="J85" s="7">
        <v>1443.8</v>
      </c>
      <c r="K85" s="6">
        <v>45</v>
      </c>
      <c r="L85" t="s">
        <v>38</v>
      </c>
      <c r="M85" s="8">
        <v>288.76</v>
      </c>
      <c r="N85" s="7">
        <v>1443.8</v>
      </c>
      <c r="O85" t="s">
        <v>46</v>
      </c>
      <c r="P85" t="s">
        <v>40</v>
      </c>
    </row>
    <row r="86" spans="1:16" x14ac:dyDescent="0.25">
      <c r="A86" s="5">
        <v>45971</v>
      </c>
      <c r="B86" t="s">
        <v>118</v>
      </c>
      <c r="C86" t="s">
        <v>119</v>
      </c>
      <c r="D86" t="s">
        <v>64</v>
      </c>
      <c r="E86" t="s">
        <v>132</v>
      </c>
      <c r="F86" t="s">
        <v>71</v>
      </c>
      <c r="G86" t="s">
        <v>196</v>
      </c>
      <c r="H86" s="6">
        <v>65</v>
      </c>
      <c r="I86" s="7">
        <v>60.9</v>
      </c>
      <c r="J86" s="7">
        <v>3958.39</v>
      </c>
      <c r="K86" s="6">
        <v>45</v>
      </c>
      <c r="L86" t="s">
        <v>52</v>
      </c>
      <c r="M86" s="8">
        <v>791.678</v>
      </c>
      <c r="N86" s="7">
        <v>3958.39</v>
      </c>
      <c r="O86" t="s">
        <v>46</v>
      </c>
      <c r="P86" t="s">
        <v>40</v>
      </c>
    </row>
    <row r="87" spans="1:16" x14ac:dyDescent="0.25">
      <c r="A87" s="5">
        <v>45901</v>
      </c>
      <c r="B87" t="s">
        <v>41</v>
      </c>
      <c r="C87" t="s">
        <v>42</v>
      </c>
      <c r="D87" t="s">
        <v>34</v>
      </c>
      <c r="E87" t="s">
        <v>124</v>
      </c>
      <c r="F87" t="s">
        <v>89</v>
      </c>
      <c r="G87" t="s">
        <v>197</v>
      </c>
      <c r="H87" s="6">
        <v>58</v>
      </c>
      <c r="I87" s="7">
        <v>136.59</v>
      </c>
      <c r="J87" s="7">
        <v>7922.27</v>
      </c>
      <c r="K87" s="6">
        <v>45</v>
      </c>
      <c r="L87" t="s">
        <v>38</v>
      </c>
      <c r="M87" s="8">
        <v>1584.454</v>
      </c>
      <c r="N87" s="7">
        <v>7922.27</v>
      </c>
      <c r="O87" t="s">
        <v>46</v>
      </c>
      <c r="P87" t="s">
        <v>40</v>
      </c>
    </row>
    <row r="88" spans="1:16" x14ac:dyDescent="0.25">
      <c r="A88" s="5">
        <v>45906</v>
      </c>
      <c r="B88" t="s">
        <v>94</v>
      </c>
      <c r="C88" t="s">
        <v>95</v>
      </c>
      <c r="D88" t="s">
        <v>34</v>
      </c>
      <c r="E88" t="s">
        <v>115</v>
      </c>
      <c r="F88" t="s">
        <v>60</v>
      </c>
      <c r="G88" t="s">
        <v>198</v>
      </c>
      <c r="H88" s="6">
        <v>31</v>
      </c>
      <c r="I88" s="7">
        <v>363.98</v>
      </c>
      <c r="J88" s="7">
        <v>11283.38</v>
      </c>
      <c r="K88" s="6">
        <v>45</v>
      </c>
      <c r="L88" t="s">
        <v>45</v>
      </c>
      <c r="M88" s="8">
        <v>2256.6759999999999</v>
      </c>
      <c r="N88" s="7">
        <v>11283.38</v>
      </c>
      <c r="O88" t="s">
        <v>46</v>
      </c>
      <c r="P88" t="s">
        <v>40</v>
      </c>
    </row>
    <row r="89" spans="1:16" x14ac:dyDescent="0.25">
      <c r="A89" s="5">
        <v>45797</v>
      </c>
      <c r="B89" t="s">
        <v>67</v>
      </c>
      <c r="C89" t="s">
        <v>68</v>
      </c>
      <c r="D89" t="s">
        <v>69</v>
      </c>
      <c r="E89" t="s">
        <v>59</v>
      </c>
      <c r="F89" t="s">
        <v>60</v>
      </c>
      <c r="G89" t="s">
        <v>199</v>
      </c>
      <c r="H89" s="6">
        <v>43</v>
      </c>
      <c r="I89" s="7">
        <v>263.60000000000002</v>
      </c>
      <c r="J89" s="7">
        <v>11334.89</v>
      </c>
      <c r="K89" s="6">
        <v>45</v>
      </c>
      <c r="L89" t="s">
        <v>52</v>
      </c>
      <c r="M89" s="8">
        <v>2266.9780000000001</v>
      </c>
      <c r="N89" s="7">
        <v>11334.89</v>
      </c>
      <c r="O89" t="s">
        <v>39</v>
      </c>
      <c r="P89" t="s">
        <v>40</v>
      </c>
    </row>
    <row r="90" spans="1:16" x14ac:dyDescent="0.25">
      <c r="A90" s="5">
        <v>45776</v>
      </c>
      <c r="B90" t="s">
        <v>94</v>
      </c>
      <c r="C90" t="s">
        <v>95</v>
      </c>
      <c r="D90" t="s">
        <v>34</v>
      </c>
      <c r="E90" t="s">
        <v>154</v>
      </c>
      <c r="F90" t="s">
        <v>89</v>
      </c>
      <c r="G90" t="s">
        <v>200</v>
      </c>
      <c r="H90" s="6">
        <v>50</v>
      </c>
      <c r="I90" s="7">
        <v>134.5</v>
      </c>
      <c r="J90" s="7">
        <v>6725.17</v>
      </c>
      <c r="K90" s="6">
        <v>60</v>
      </c>
      <c r="L90" t="s">
        <v>38</v>
      </c>
      <c r="M90" s="8">
        <v>1345.0340000000001</v>
      </c>
      <c r="N90" s="7">
        <v>6725.17</v>
      </c>
      <c r="O90" t="s">
        <v>39</v>
      </c>
      <c r="P90" t="s">
        <v>40</v>
      </c>
    </row>
    <row r="91" spans="1:16" x14ac:dyDescent="0.25">
      <c r="A91" s="5">
        <v>45870</v>
      </c>
      <c r="B91" t="s">
        <v>201</v>
      </c>
      <c r="C91" t="s">
        <v>202</v>
      </c>
      <c r="D91" t="s">
        <v>64</v>
      </c>
      <c r="E91" t="s">
        <v>135</v>
      </c>
      <c r="F91" t="s">
        <v>54</v>
      </c>
      <c r="G91" t="s">
        <v>203</v>
      </c>
      <c r="H91" s="6">
        <v>53</v>
      </c>
      <c r="I91" s="7">
        <v>331.54</v>
      </c>
      <c r="J91" s="7">
        <v>17571.79</v>
      </c>
      <c r="K91" s="6">
        <v>45</v>
      </c>
      <c r="L91" t="s">
        <v>52</v>
      </c>
      <c r="M91" s="8">
        <v>3514.3580000000002</v>
      </c>
      <c r="N91" s="7">
        <v>17571.79</v>
      </c>
      <c r="O91" t="s">
        <v>46</v>
      </c>
      <c r="P91" t="s">
        <v>40</v>
      </c>
    </row>
    <row r="92" spans="1:16" x14ac:dyDescent="0.25">
      <c r="A92" s="5">
        <v>45763</v>
      </c>
      <c r="B92" t="s">
        <v>103</v>
      </c>
      <c r="C92" t="s">
        <v>104</v>
      </c>
      <c r="D92" t="s">
        <v>58</v>
      </c>
      <c r="E92" t="s">
        <v>204</v>
      </c>
      <c r="F92" t="s">
        <v>97</v>
      </c>
      <c r="G92" t="s">
        <v>205</v>
      </c>
      <c r="H92" s="6">
        <v>54</v>
      </c>
      <c r="I92" s="7">
        <v>316.45</v>
      </c>
      <c r="J92" s="7">
        <v>17088.47</v>
      </c>
      <c r="K92" s="6">
        <v>45</v>
      </c>
      <c r="L92" t="s">
        <v>52</v>
      </c>
      <c r="M92" s="8">
        <v>3417.694</v>
      </c>
      <c r="N92" s="7">
        <v>17088.47</v>
      </c>
      <c r="O92" t="s">
        <v>46</v>
      </c>
      <c r="P92" t="s">
        <v>40</v>
      </c>
    </row>
    <row r="93" spans="1:16" x14ac:dyDescent="0.25">
      <c r="A93" s="5">
        <v>45852</v>
      </c>
      <c r="B93" t="s">
        <v>73</v>
      </c>
      <c r="C93" t="s">
        <v>74</v>
      </c>
      <c r="D93" t="s">
        <v>69</v>
      </c>
      <c r="E93" t="s">
        <v>152</v>
      </c>
      <c r="F93" t="s">
        <v>50</v>
      </c>
      <c r="G93" t="s">
        <v>206</v>
      </c>
      <c r="H93" s="6">
        <v>62</v>
      </c>
      <c r="I93" s="7">
        <v>204.43</v>
      </c>
      <c r="J93" s="7">
        <v>12674.92</v>
      </c>
      <c r="K93" s="6">
        <v>30</v>
      </c>
      <c r="L93" t="s">
        <v>45</v>
      </c>
      <c r="M93" s="8">
        <v>2534.9839999999999</v>
      </c>
      <c r="N93" s="7">
        <v>12674.92</v>
      </c>
      <c r="O93" t="s">
        <v>46</v>
      </c>
      <c r="P93" t="s">
        <v>40</v>
      </c>
    </row>
    <row r="94" spans="1:16" x14ac:dyDescent="0.25">
      <c r="A94" s="5">
        <v>45933</v>
      </c>
      <c r="B94" t="s">
        <v>47</v>
      </c>
      <c r="C94" t="s">
        <v>48</v>
      </c>
      <c r="D94" t="s">
        <v>34</v>
      </c>
      <c r="E94" t="s">
        <v>96</v>
      </c>
      <c r="F94" t="s">
        <v>97</v>
      </c>
      <c r="G94" t="s">
        <v>207</v>
      </c>
      <c r="H94" s="6">
        <v>70</v>
      </c>
      <c r="I94" s="7">
        <v>203.9</v>
      </c>
      <c r="J94" s="7">
        <v>14273.34</v>
      </c>
      <c r="K94" s="6">
        <v>60</v>
      </c>
      <c r="L94" t="s">
        <v>38</v>
      </c>
      <c r="M94" s="8">
        <v>2854.6680000000001</v>
      </c>
      <c r="N94" s="7">
        <v>14273.34</v>
      </c>
      <c r="O94" t="s">
        <v>46</v>
      </c>
      <c r="P94" t="s">
        <v>40</v>
      </c>
    </row>
    <row r="95" spans="1:16" x14ac:dyDescent="0.25">
      <c r="A95" s="5">
        <v>45881</v>
      </c>
      <c r="B95" t="s">
        <v>143</v>
      </c>
      <c r="C95" t="s">
        <v>144</v>
      </c>
      <c r="D95" t="s">
        <v>69</v>
      </c>
      <c r="E95" t="s">
        <v>65</v>
      </c>
      <c r="F95" t="s">
        <v>54</v>
      </c>
      <c r="G95" t="s">
        <v>208</v>
      </c>
      <c r="H95" s="6">
        <v>63</v>
      </c>
      <c r="I95" s="7">
        <v>208.77</v>
      </c>
      <c r="J95" s="7">
        <v>13152.69</v>
      </c>
      <c r="K95" s="6">
        <v>30</v>
      </c>
      <c r="L95" t="s">
        <v>45</v>
      </c>
      <c r="M95" s="8">
        <v>2630.538</v>
      </c>
      <c r="N95" s="7">
        <v>13152.69</v>
      </c>
      <c r="O95" t="s">
        <v>46</v>
      </c>
      <c r="P95" t="s">
        <v>40</v>
      </c>
    </row>
    <row r="96" spans="1:16" x14ac:dyDescent="0.25">
      <c r="A96" s="5">
        <v>45742</v>
      </c>
      <c r="B96" t="s">
        <v>118</v>
      </c>
      <c r="C96" t="s">
        <v>119</v>
      </c>
      <c r="D96" t="s">
        <v>64</v>
      </c>
      <c r="E96" t="s">
        <v>105</v>
      </c>
      <c r="F96" t="s">
        <v>97</v>
      </c>
      <c r="G96" t="s">
        <v>209</v>
      </c>
      <c r="H96" s="6">
        <v>60</v>
      </c>
      <c r="I96" s="7">
        <v>241.8</v>
      </c>
      <c r="J96" s="7">
        <v>14508.17</v>
      </c>
      <c r="K96" s="6">
        <v>30</v>
      </c>
      <c r="L96" t="s">
        <v>52</v>
      </c>
      <c r="M96" s="8">
        <v>2901.634</v>
      </c>
      <c r="N96" s="7">
        <v>14508.17</v>
      </c>
      <c r="O96" t="s">
        <v>46</v>
      </c>
      <c r="P96" t="s">
        <v>40</v>
      </c>
    </row>
    <row r="97" spans="1:16" x14ac:dyDescent="0.25">
      <c r="A97" s="5">
        <v>45961</v>
      </c>
      <c r="B97" t="s">
        <v>94</v>
      </c>
      <c r="C97" t="s">
        <v>95</v>
      </c>
      <c r="D97" t="s">
        <v>34</v>
      </c>
      <c r="E97" t="s">
        <v>210</v>
      </c>
      <c r="F97" t="s">
        <v>50</v>
      </c>
      <c r="G97" t="s">
        <v>211</v>
      </c>
      <c r="H97" s="6">
        <v>73</v>
      </c>
      <c r="I97" s="7">
        <v>53.65</v>
      </c>
      <c r="J97" s="7">
        <v>3916.75</v>
      </c>
      <c r="K97" s="6">
        <v>60</v>
      </c>
      <c r="L97" t="s">
        <v>38</v>
      </c>
      <c r="M97" s="8">
        <v>783.35</v>
      </c>
      <c r="N97" s="7">
        <v>3916.75</v>
      </c>
      <c r="O97" t="s">
        <v>46</v>
      </c>
      <c r="P97" t="s">
        <v>40</v>
      </c>
    </row>
    <row r="98" spans="1:16" x14ac:dyDescent="0.25">
      <c r="A98" s="5">
        <v>45894</v>
      </c>
      <c r="B98" t="s">
        <v>85</v>
      </c>
      <c r="C98" t="s">
        <v>86</v>
      </c>
      <c r="D98" t="s">
        <v>58</v>
      </c>
      <c r="E98" t="s">
        <v>204</v>
      </c>
      <c r="F98" t="s">
        <v>97</v>
      </c>
      <c r="G98" t="s">
        <v>212</v>
      </c>
      <c r="H98" s="6">
        <v>24</v>
      </c>
      <c r="I98" s="7">
        <v>353.06</v>
      </c>
      <c r="J98" s="7">
        <v>8473.5300000000007</v>
      </c>
      <c r="K98" s="6">
        <v>30</v>
      </c>
      <c r="L98" t="s">
        <v>45</v>
      </c>
      <c r="M98" s="8">
        <v>1694.7059999999999</v>
      </c>
      <c r="N98" s="7">
        <v>8473.5300000000007</v>
      </c>
      <c r="O98" t="s">
        <v>46</v>
      </c>
      <c r="P98" t="s">
        <v>40</v>
      </c>
    </row>
    <row r="99" spans="1:16" x14ac:dyDescent="0.25">
      <c r="A99" s="5">
        <v>45890</v>
      </c>
      <c r="B99" t="s">
        <v>77</v>
      </c>
      <c r="C99" t="s">
        <v>78</v>
      </c>
      <c r="D99" t="s">
        <v>58</v>
      </c>
      <c r="E99" t="s">
        <v>83</v>
      </c>
      <c r="F99" t="s">
        <v>71</v>
      </c>
      <c r="G99" t="s">
        <v>213</v>
      </c>
      <c r="H99" s="6">
        <v>42</v>
      </c>
      <c r="I99" s="7">
        <v>109.67</v>
      </c>
      <c r="J99" s="7">
        <v>4606.05</v>
      </c>
      <c r="K99" s="6">
        <v>45</v>
      </c>
      <c r="L99" t="s">
        <v>45</v>
      </c>
      <c r="M99" s="8">
        <v>921.21</v>
      </c>
      <c r="N99" s="7">
        <v>4606.05</v>
      </c>
      <c r="O99" t="s">
        <v>39</v>
      </c>
      <c r="P99" t="s">
        <v>40</v>
      </c>
    </row>
    <row r="100" spans="1:16" x14ac:dyDescent="0.25">
      <c r="A100" s="5">
        <v>45699</v>
      </c>
      <c r="B100" t="s">
        <v>94</v>
      </c>
      <c r="C100" t="s">
        <v>95</v>
      </c>
      <c r="D100" t="s">
        <v>34</v>
      </c>
      <c r="E100" t="s">
        <v>96</v>
      </c>
      <c r="F100" t="s">
        <v>97</v>
      </c>
      <c r="G100" t="s">
        <v>214</v>
      </c>
      <c r="H100" s="6">
        <v>61</v>
      </c>
      <c r="I100" s="7">
        <v>300.83999999999997</v>
      </c>
      <c r="J100" s="7">
        <v>18351.54</v>
      </c>
      <c r="K100" s="6">
        <v>30</v>
      </c>
      <c r="L100" t="s">
        <v>52</v>
      </c>
      <c r="M100" s="8">
        <v>3670.308</v>
      </c>
      <c r="N100" s="7">
        <v>18351.54</v>
      </c>
      <c r="O100" t="s">
        <v>46</v>
      </c>
      <c r="P100" t="s">
        <v>40</v>
      </c>
    </row>
    <row r="101" spans="1:16" x14ac:dyDescent="0.25">
      <c r="A101" s="5">
        <v>45772</v>
      </c>
      <c r="B101" t="s">
        <v>113</v>
      </c>
      <c r="C101" t="s">
        <v>114</v>
      </c>
      <c r="D101" t="s">
        <v>69</v>
      </c>
      <c r="E101" t="s">
        <v>210</v>
      </c>
      <c r="F101" t="s">
        <v>50</v>
      </c>
      <c r="G101" t="s">
        <v>215</v>
      </c>
      <c r="H101" s="6">
        <v>9</v>
      </c>
      <c r="I101" s="7">
        <v>105.47</v>
      </c>
      <c r="J101" s="7">
        <v>949.27</v>
      </c>
      <c r="K101" s="6">
        <v>60</v>
      </c>
      <c r="L101" t="s">
        <v>38</v>
      </c>
      <c r="M101" s="8">
        <v>189.85400000000001</v>
      </c>
      <c r="N101" s="7">
        <v>949.27</v>
      </c>
      <c r="O101" t="s">
        <v>46</v>
      </c>
      <c r="P101" t="s">
        <v>40</v>
      </c>
    </row>
    <row r="102" spans="1:16" x14ac:dyDescent="0.25">
      <c r="A102" s="5">
        <v>45760</v>
      </c>
      <c r="B102" t="s">
        <v>67</v>
      </c>
      <c r="C102" t="s">
        <v>68</v>
      </c>
      <c r="D102" t="s">
        <v>69</v>
      </c>
      <c r="E102" t="s">
        <v>49</v>
      </c>
      <c r="F102" t="s">
        <v>50</v>
      </c>
      <c r="G102" t="s">
        <v>216</v>
      </c>
      <c r="H102" s="6">
        <v>3</v>
      </c>
      <c r="I102" s="7">
        <v>55.09</v>
      </c>
      <c r="J102" s="7">
        <v>165.28</v>
      </c>
      <c r="K102" s="6">
        <v>60</v>
      </c>
      <c r="L102" t="s">
        <v>38</v>
      </c>
      <c r="M102" s="8">
        <v>33.055999999999997</v>
      </c>
      <c r="N102" s="7">
        <v>165.28</v>
      </c>
      <c r="O102" t="s">
        <v>39</v>
      </c>
      <c r="P102" t="s">
        <v>40</v>
      </c>
    </row>
    <row r="103" spans="1:16" x14ac:dyDescent="0.25">
      <c r="A103" s="5">
        <v>46000</v>
      </c>
      <c r="B103" t="s">
        <v>113</v>
      </c>
      <c r="C103" t="s">
        <v>114</v>
      </c>
      <c r="D103" t="s">
        <v>69</v>
      </c>
      <c r="E103" t="s">
        <v>88</v>
      </c>
      <c r="F103" t="s">
        <v>89</v>
      </c>
      <c r="G103" t="s">
        <v>217</v>
      </c>
      <c r="H103" s="6">
        <v>15</v>
      </c>
      <c r="I103" s="7">
        <v>142.82</v>
      </c>
      <c r="J103" s="7">
        <v>2142.34</v>
      </c>
      <c r="K103" s="6">
        <v>60</v>
      </c>
      <c r="L103" t="s">
        <v>38</v>
      </c>
      <c r="M103" s="8">
        <v>428.46800000000002</v>
      </c>
      <c r="N103" s="7">
        <v>2142.34</v>
      </c>
      <c r="O103" t="s">
        <v>46</v>
      </c>
      <c r="P103" t="s">
        <v>40</v>
      </c>
    </row>
    <row r="104" spans="1:16" x14ac:dyDescent="0.25">
      <c r="A104" s="5">
        <v>45743</v>
      </c>
      <c r="B104" t="s">
        <v>80</v>
      </c>
      <c r="C104" t="s">
        <v>81</v>
      </c>
      <c r="D104" t="s">
        <v>64</v>
      </c>
      <c r="E104" t="s">
        <v>149</v>
      </c>
      <c r="F104" t="s">
        <v>60</v>
      </c>
      <c r="G104" t="s">
        <v>218</v>
      </c>
      <c r="H104" s="6">
        <v>78</v>
      </c>
      <c r="I104" s="7">
        <v>182.21</v>
      </c>
      <c r="J104" s="7">
        <v>14212.02</v>
      </c>
      <c r="K104" s="6">
        <v>60</v>
      </c>
      <c r="L104" t="s">
        <v>52</v>
      </c>
      <c r="M104" s="8">
        <v>2842.404</v>
      </c>
      <c r="N104" s="7">
        <v>14212.02</v>
      </c>
      <c r="O104" t="s">
        <v>46</v>
      </c>
      <c r="P104" t="s">
        <v>40</v>
      </c>
    </row>
    <row r="105" spans="1:16" x14ac:dyDescent="0.25">
      <c r="A105" s="5">
        <v>45817</v>
      </c>
      <c r="B105" t="s">
        <v>77</v>
      </c>
      <c r="C105" t="s">
        <v>78</v>
      </c>
      <c r="D105" t="s">
        <v>58</v>
      </c>
      <c r="E105" t="s">
        <v>127</v>
      </c>
      <c r="F105" t="s">
        <v>36</v>
      </c>
      <c r="G105" t="s">
        <v>219</v>
      </c>
      <c r="H105" s="6">
        <v>14</v>
      </c>
      <c r="I105" s="7">
        <v>41.81</v>
      </c>
      <c r="J105" s="7">
        <v>585.34</v>
      </c>
      <c r="K105" s="6">
        <v>60</v>
      </c>
      <c r="L105" t="s">
        <v>38</v>
      </c>
      <c r="M105" s="8">
        <v>117.068</v>
      </c>
      <c r="N105" s="7">
        <v>585.34</v>
      </c>
      <c r="O105" t="s">
        <v>39</v>
      </c>
      <c r="P105" t="s">
        <v>40</v>
      </c>
    </row>
    <row r="106" spans="1:16" x14ac:dyDescent="0.25">
      <c r="A106" s="5">
        <v>45759</v>
      </c>
      <c r="B106" t="s">
        <v>67</v>
      </c>
      <c r="C106" t="s">
        <v>68</v>
      </c>
      <c r="D106" t="s">
        <v>69</v>
      </c>
      <c r="E106" t="s">
        <v>96</v>
      </c>
      <c r="F106" t="s">
        <v>97</v>
      </c>
      <c r="G106" t="s">
        <v>220</v>
      </c>
      <c r="H106" s="6">
        <v>10</v>
      </c>
      <c r="I106" s="7">
        <v>274.52999999999997</v>
      </c>
      <c r="J106" s="7">
        <v>2745.34</v>
      </c>
      <c r="K106" s="6">
        <v>60</v>
      </c>
      <c r="L106" t="s">
        <v>52</v>
      </c>
      <c r="M106" s="8">
        <v>549.06799999999998</v>
      </c>
      <c r="N106" s="7">
        <v>2745.34</v>
      </c>
      <c r="O106" t="s">
        <v>46</v>
      </c>
      <c r="P106" t="s">
        <v>40</v>
      </c>
    </row>
    <row r="107" spans="1:16" x14ac:dyDescent="0.25">
      <c r="A107" s="5">
        <v>46014</v>
      </c>
      <c r="B107" t="s">
        <v>103</v>
      </c>
      <c r="C107" t="s">
        <v>104</v>
      </c>
      <c r="D107" t="s">
        <v>58</v>
      </c>
      <c r="E107" t="s">
        <v>135</v>
      </c>
      <c r="F107" t="s">
        <v>54</v>
      </c>
      <c r="G107" t="s">
        <v>221</v>
      </c>
      <c r="H107" s="6">
        <v>39</v>
      </c>
      <c r="I107" s="7">
        <v>312.20999999999998</v>
      </c>
      <c r="J107" s="7">
        <v>12176.35</v>
      </c>
      <c r="K107" s="6">
        <v>60</v>
      </c>
      <c r="L107" t="s">
        <v>52</v>
      </c>
      <c r="M107" s="8">
        <v>2435.27</v>
      </c>
      <c r="N107" s="7">
        <v>12176.35</v>
      </c>
      <c r="O107" t="s">
        <v>46</v>
      </c>
      <c r="P107" t="s">
        <v>40</v>
      </c>
    </row>
    <row r="108" spans="1:16" x14ac:dyDescent="0.25">
      <c r="A108" s="5">
        <v>45930</v>
      </c>
      <c r="B108" t="s">
        <v>100</v>
      </c>
      <c r="C108" t="s">
        <v>101</v>
      </c>
      <c r="D108" t="s">
        <v>69</v>
      </c>
      <c r="E108" t="s">
        <v>210</v>
      </c>
      <c r="F108" t="s">
        <v>50</v>
      </c>
      <c r="G108" t="s">
        <v>222</v>
      </c>
      <c r="H108" s="6">
        <v>55</v>
      </c>
      <c r="I108" s="7">
        <v>338.63</v>
      </c>
      <c r="J108" s="7">
        <v>18624.39</v>
      </c>
      <c r="K108" s="6">
        <v>60</v>
      </c>
      <c r="L108" t="s">
        <v>45</v>
      </c>
      <c r="M108" s="8">
        <v>3724.8780000000002</v>
      </c>
      <c r="N108" s="7">
        <v>18624.39</v>
      </c>
      <c r="O108" t="s">
        <v>46</v>
      </c>
      <c r="P108" t="s">
        <v>40</v>
      </c>
    </row>
    <row r="109" spans="1:16" x14ac:dyDescent="0.25">
      <c r="A109" s="5">
        <v>45873</v>
      </c>
      <c r="B109" t="s">
        <v>47</v>
      </c>
      <c r="C109" t="s">
        <v>48</v>
      </c>
      <c r="D109" t="s">
        <v>34</v>
      </c>
      <c r="E109" t="s">
        <v>83</v>
      </c>
      <c r="F109" t="s">
        <v>71</v>
      </c>
      <c r="G109" t="s">
        <v>223</v>
      </c>
      <c r="H109" s="6">
        <v>63</v>
      </c>
      <c r="I109" s="7">
        <v>104.57</v>
      </c>
      <c r="J109" s="7">
        <v>6588.16</v>
      </c>
      <c r="K109" s="6">
        <v>30</v>
      </c>
      <c r="L109" t="s">
        <v>45</v>
      </c>
      <c r="M109" s="8">
        <v>1317.6320000000001</v>
      </c>
      <c r="N109" s="7">
        <v>6588.16</v>
      </c>
      <c r="O109" t="s">
        <v>39</v>
      </c>
      <c r="P109" t="s">
        <v>40</v>
      </c>
    </row>
    <row r="110" spans="1:16" x14ac:dyDescent="0.25">
      <c r="A110" s="5">
        <v>45736</v>
      </c>
      <c r="B110" t="s">
        <v>201</v>
      </c>
      <c r="C110" t="s">
        <v>202</v>
      </c>
      <c r="D110" t="s">
        <v>64</v>
      </c>
      <c r="E110" t="s">
        <v>129</v>
      </c>
      <c r="F110" t="s">
        <v>108</v>
      </c>
      <c r="G110" t="s">
        <v>224</v>
      </c>
      <c r="H110" s="6">
        <v>56</v>
      </c>
      <c r="I110" s="7">
        <v>86.41</v>
      </c>
      <c r="J110" s="7">
        <v>4839.1400000000003</v>
      </c>
      <c r="K110" s="6">
        <v>30</v>
      </c>
      <c r="L110" t="s">
        <v>52</v>
      </c>
      <c r="M110" s="8">
        <v>967.82799999999997</v>
      </c>
      <c r="N110" s="7">
        <v>4839.1400000000003</v>
      </c>
      <c r="O110" t="s">
        <v>46</v>
      </c>
      <c r="P110" t="s">
        <v>40</v>
      </c>
    </row>
    <row r="111" spans="1:16" x14ac:dyDescent="0.25">
      <c r="A111" s="5">
        <v>45933</v>
      </c>
      <c r="B111" t="s">
        <v>85</v>
      </c>
      <c r="C111" t="s">
        <v>86</v>
      </c>
      <c r="D111" t="s">
        <v>58</v>
      </c>
      <c r="E111" t="s">
        <v>115</v>
      </c>
      <c r="F111" t="s">
        <v>60</v>
      </c>
      <c r="G111" t="s">
        <v>225</v>
      </c>
      <c r="H111" s="6">
        <v>62</v>
      </c>
      <c r="I111" s="7">
        <v>211.17</v>
      </c>
      <c r="J111" s="7">
        <v>13092.79</v>
      </c>
      <c r="K111" s="6">
        <v>45</v>
      </c>
      <c r="L111" t="s">
        <v>45</v>
      </c>
      <c r="M111" s="8">
        <v>2618.558</v>
      </c>
      <c r="N111" s="7">
        <v>13092.79</v>
      </c>
      <c r="O111" t="s">
        <v>46</v>
      </c>
      <c r="P111" t="s">
        <v>40</v>
      </c>
    </row>
    <row r="112" spans="1:16" x14ac:dyDescent="0.25">
      <c r="A112" s="5">
        <v>45783</v>
      </c>
      <c r="B112" t="s">
        <v>32</v>
      </c>
      <c r="C112" t="s">
        <v>33</v>
      </c>
      <c r="D112" t="s">
        <v>34</v>
      </c>
      <c r="E112" t="s">
        <v>149</v>
      </c>
      <c r="F112" t="s">
        <v>60</v>
      </c>
      <c r="G112" t="s">
        <v>226</v>
      </c>
      <c r="H112" s="6">
        <v>12</v>
      </c>
      <c r="I112" s="7">
        <v>76.58</v>
      </c>
      <c r="J112" s="7">
        <v>918.93</v>
      </c>
      <c r="K112" s="6">
        <v>45</v>
      </c>
      <c r="L112" t="s">
        <v>45</v>
      </c>
      <c r="M112" s="8">
        <v>183.786</v>
      </c>
      <c r="N112" s="7">
        <v>918.93</v>
      </c>
      <c r="O112" t="s">
        <v>46</v>
      </c>
      <c r="P112" t="s">
        <v>40</v>
      </c>
    </row>
    <row r="113" spans="1:16" x14ac:dyDescent="0.25">
      <c r="A113" s="5">
        <v>45970</v>
      </c>
      <c r="B113" t="s">
        <v>32</v>
      </c>
      <c r="C113" t="s">
        <v>33</v>
      </c>
      <c r="D113" t="s">
        <v>34</v>
      </c>
      <c r="E113" t="s">
        <v>129</v>
      </c>
      <c r="F113" t="s">
        <v>108</v>
      </c>
      <c r="G113" t="s">
        <v>227</v>
      </c>
      <c r="H113" s="6">
        <v>49</v>
      </c>
      <c r="I113" s="7">
        <v>73.91</v>
      </c>
      <c r="J113" s="7">
        <v>3621.8</v>
      </c>
      <c r="K113" s="6">
        <v>45</v>
      </c>
      <c r="L113" t="s">
        <v>38</v>
      </c>
      <c r="M113" s="8">
        <v>724.36</v>
      </c>
      <c r="N113" s="7">
        <v>3621.8</v>
      </c>
      <c r="O113" t="s">
        <v>46</v>
      </c>
      <c r="P113" t="s">
        <v>40</v>
      </c>
    </row>
    <row r="114" spans="1:16" x14ac:dyDescent="0.25">
      <c r="A114" s="5">
        <v>45907</v>
      </c>
      <c r="B114" t="s">
        <v>110</v>
      </c>
      <c r="C114" t="s">
        <v>111</v>
      </c>
      <c r="D114" t="s">
        <v>58</v>
      </c>
      <c r="E114" t="s">
        <v>83</v>
      </c>
      <c r="F114" t="s">
        <v>71</v>
      </c>
      <c r="G114" t="s">
        <v>228</v>
      </c>
      <c r="H114" s="6">
        <v>28</v>
      </c>
      <c r="I114" s="7">
        <v>98.2</v>
      </c>
      <c r="J114" s="7">
        <v>2749.59</v>
      </c>
      <c r="K114" s="6">
        <v>45</v>
      </c>
      <c r="L114" t="s">
        <v>45</v>
      </c>
      <c r="M114" s="8">
        <v>549.91800000000001</v>
      </c>
      <c r="N114" s="7">
        <v>2749.59</v>
      </c>
      <c r="O114" t="s">
        <v>39</v>
      </c>
      <c r="P114" t="s">
        <v>40</v>
      </c>
    </row>
    <row r="115" spans="1:16" x14ac:dyDescent="0.25">
      <c r="A115" s="5">
        <v>46017</v>
      </c>
      <c r="B115" t="s">
        <v>110</v>
      </c>
      <c r="C115" t="s">
        <v>111</v>
      </c>
      <c r="D115" t="s">
        <v>58</v>
      </c>
      <c r="E115" t="s">
        <v>115</v>
      </c>
      <c r="F115" t="s">
        <v>60</v>
      </c>
      <c r="G115" t="s">
        <v>229</v>
      </c>
      <c r="H115" s="6">
        <v>36</v>
      </c>
      <c r="I115" s="7">
        <v>852.7</v>
      </c>
      <c r="J115" s="7">
        <v>30697.29</v>
      </c>
      <c r="K115" s="6">
        <v>60</v>
      </c>
      <c r="L115" t="s">
        <v>38</v>
      </c>
      <c r="M115" s="8">
        <v>6139.4579999999996</v>
      </c>
      <c r="N115" s="7">
        <v>30697.29</v>
      </c>
      <c r="O115" t="s">
        <v>46</v>
      </c>
      <c r="P115" t="s">
        <v>40</v>
      </c>
    </row>
    <row r="116" spans="1:16" x14ac:dyDescent="0.25">
      <c r="A116" s="5">
        <v>45781</v>
      </c>
      <c r="B116" t="s">
        <v>80</v>
      </c>
      <c r="C116" t="s">
        <v>81</v>
      </c>
      <c r="D116" t="s">
        <v>64</v>
      </c>
      <c r="E116" t="s">
        <v>135</v>
      </c>
      <c r="F116" t="s">
        <v>54</v>
      </c>
      <c r="G116" t="s">
        <v>230</v>
      </c>
      <c r="H116" s="6">
        <v>53</v>
      </c>
      <c r="I116" s="7">
        <v>224.9</v>
      </c>
      <c r="J116" s="7">
        <v>11919.78</v>
      </c>
      <c r="K116" s="6">
        <v>45</v>
      </c>
      <c r="L116" t="s">
        <v>52</v>
      </c>
      <c r="M116" s="8">
        <v>2383.9560000000001</v>
      </c>
      <c r="N116" s="7">
        <v>11919.78</v>
      </c>
      <c r="O116" t="s">
        <v>46</v>
      </c>
      <c r="P116" t="s">
        <v>40</v>
      </c>
    </row>
    <row r="117" spans="1:16" x14ac:dyDescent="0.25">
      <c r="A117" s="5">
        <v>45901</v>
      </c>
      <c r="B117" t="s">
        <v>118</v>
      </c>
      <c r="C117" t="s">
        <v>119</v>
      </c>
      <c r="D117" t="s">
        <v>64</v>
      </c>
      <c r="E117" t="s">
        <v>53</v>
      </c>
      <c r="F117" t="s">
        <v>54</v>
      </c>
      <c r="G117" t="s">
        <v>231</v>
      </c>
      <c r="H117" s="6">
        <v>63</v>
      </c>
      <c r="I117" s="7">
        <v>295.10000000000002</v>
      </c>
      <c r="J117" s="7">
        <v>18591.259999999998</v>
      </c>
      <c r="K117" s="6">
        <v>45</v>
      </c>
      <c r="L117" t="s">
        <v>38</v>
      </c>
      <c r="M117" s="8">
        <v>3718.252</v>
      </c>
      <c r="N117" s="7">
        <v>18591.259999999998</v>
      </c>
      <c r="O117" t="s">
        <v>46</v>
      </c>
      <c r="P117" t="s">
        <v>40</v>
      </c>
    </row>
    <row r="118" spans="1:16" x14ac:dyDescent="0.25">
      <c r="A118" s="5">
        <v>45865</v>
      </c>
      <c r="B118" t="s">
        <v>103</v>
      </c>
      <c r="C118" t="s">
        <v>104</v>
      </c>
      <c r="D118" t="s">
        <v>58</v>
      </c>
      <c r="E118" t="s">
        <v>59</v>
      </c>
      <c r="F118" t="s">
        <v>60</v>
      </c>
      <c r="G118" t="s">
        <v>232</v>
      </c>
      <c r="H118" s="6">
        <v>32</v>
      </c>
      <c r="I118" s="7">
        <v>215.84</v>
      </c>
      <c r="J118" s="7">
        <v>6906.87</v>
      </c>
      <c r="K118" s="6">
        <v>45</v>
      </c>
      <c r="L118" t="s">
        <v>52</v>
      </c>
      <c r="M118" s="8">
        <v>1381.374</v>
      </c>
      <c r="N118" s="7">
        <v>6906.87</v>
      </c>
      <c r="O118" t="s">
        <v>39</v>
      </c>
      <c r="P118" t="s">
        <v>40</v>
      </c>
    </row>
    <row r="119" spans="1:16" x14ac:dyDescent="0.25">
      <c r="A119" s="5">
        <v>45941</v>
      </c>
      <c r="B119" t="s">
        <v>80</v>
      </c>
      <c r="C119" t="s">
        <v>81</v>
      </c>
      <c r="D119" t="s">
        <v>64</v>
      </c>
      <c r="E119" t="s">
        <v>132</v>
      </c>
      <c r="F119" t="s">
        <v>71</v>
      </c>
      <c r="G119" t="s">
        <v>233</v>
      </c>
      <c r="H119" s="6">
        <v>68</v>
      </c>
      <c r="I119" s="7">
        <v>49.95</v>
      </c>
      <c r="J119" s="7">
        <v>3396.88</v>
      </c>
      <c r="K119" s="6">
        <v>45</v>
      </c>
      <c r="L119" t="s">
        <v>45</v>
      </c>
      <c r="M119" s="8">
        <v>679.37599999999998</v>
      </c>
      <c r="N119" s="7">
        <v>3396.88</v>
      </c>
      <c r="O119" t="s">
        <v>46</v>
      </c>
      <c r="P119" t="s">
        <v>40</v>
      </c>
    </row>
    <row r="120" spans="1:16" x14ac:dyDescent="0.25">
      <c r="A120" s="5">
        <v>46017</v>
      </c>
      <c r="B120" t="s">
        <v>41</v>
      </c>
      <c r="C120" t="s">
        <v>42</v>
      </c>
      <c r="D120" t="s">
        <v>34</v>
      </c>
      <c r="E120" t="s">
        <v>132</v>
      </c>
      <c r="F120" t="s">
        <v>71</v>
      </c>
      <c r="G120" t="s">
        <v>234</v>
      </c>
      <c r="H120" s="6">
        <v>59</v>
      </c>
      <c r="I120" s="7">
        <v>178.12</v>
      </c>
      <c r="J120" s="7">
        <v>10508.79</v>
      </c>
      <c r="K120" s="6">
        <v>45</v>
      </c>
      <c r="L120" t="s">
        <v>45</v>
      </c>
      <c r="M120" s="8">
        <v>2101.7579999999998</v>
      </c>
      <c r="N120" s="7">
        <v>10508.79</v>
      </c>
      <c r="O120" t="s">
        <v>46</v>
      </c>
      <c r="P120" t="s">
        <v>40</v>
      </c>
    </row>
    <row r="121" spans="1:16" x14ac:dyDescent="0.25">
      <c r="A121" s="5">
        <v>45756</v>
      </c>
      <c r="B121" t="s">
        <v>41</v>
      </c>
      <c r="C121" t="s">
        <v>42</v>
      </c>
      <c r="D121" t="s">
        <v>34</v>
      </c>
      <c r="E121" t="s">
        <v>135</v>
      </c>
      <c r="F121" t="s">
        <v>54</v>
      </c>
      <c r="G121" t="s">
        <v>235</v>
      </c>
      <c r="H121" s="6">
        <v>41</v>
      </c>
      <c r="I121" s="7">
        <v>378.05</v>
      </c>
      <c r="J121" s="7">
        <v>15500.01</v>
      </c>
      <c r="K121" s="6">
        <v>30</v>
      </c>
      <c r="L121" t="s">
        <v>52</v>
      </c>
      <c r="M121" s="8">
        <v>3100.002</v>
      </c>
      <c r="N121" s="7">
        <v>15500.01</v>
      </c>
      <c r="O121" t="s">
        <v>46</v>
      </c>
      <c r="P121" t="s">
        <v>40</v>
      </c>
    </row>
    <row r="122" spans="1:16" x14ac:dyDescent="0.25">
      <c r="A122" s="5">
        <v>45768</v>
      </c>
      <c r="B122" t="s">
        <v>143</v>
      </c>
      <c r="C122" t="s">
        <v>144</v>
      </c>
      <c r="D122" t="s">
        <v>69</v>
      </c>
      <c r="E122" t="s">
        <v>154</v>
      </c>
      <c r="F122" t="s">
        <v>89</v>
      </c>
      <c r="G122" t="s">
        <v>236</v>
      </c>
      <c r="H122" s="6">
        <v>62</v>
      </c>
      <c r="I122" s="7">
        <v>278.11</v>
      </c>
      <c r="J122" s="7">
        <v>17242.95</v>
      </c>
      <c r="K122" s="6">
        <v>45</v>
      </c>
      <c r="L122" t="s">
        <v>52</v>
      </c>
      <c r="M122" s="8">
        <v>3448.59</v>
      </c>
      <c r="N122" s="7">
        <v>17242.95</v>
      </c>
      <c r="O122" t="s">
        <v>39</v>
      </c>
      <c r="P122" t="s">
        <v>40</v>
      </c>
    </row>
    <row r="123" spans="1:16" x14ac:dyDescent="0.25">
      <c r="A123" s="5">
        <v>45757</v>
      </c>
      <c r="B123" t="s">
        <v>100</v>
      </c>
      <c r="C123" t="s">
        <v>101</v>
      </c>
      <c r="D123" t="s">
        <v>69</v>
      </c>
      <c r="E123" t="s">
        <v>59</v>
      </c>
      <c r="F123" t="s">
        <v>60</v>
      </c>
      <c r="G123" t="s">
        <v>237</v>
      </c>
      <c r="H123" s="6">
        <v>38</v>
      </c>
      <c r="I123" s="7">
        <v>133.41</v>
      </c>
      <c r="J123" s="7">
        <v>5069.7700000000004</v>
      </c>
      <c r="K123" s="6">
        <v>30</v>
      </c>
      <c r="L123" t="s">
        <v>45</v>
      </c>
      <c r="M123" s="8">
        <v>1013.954</v>
      </c>
      <c r="N123" s="7">
        <v>5069.7700000000004</v>
      </c>
      <c r="O123" t="s">
        <v>39</v>
      </c>
      <c r="P123" t="s">
        <v>40</v>
      </c>
    </row>
    <row r="124" spans="1:16" x14ac:dyDescent="0.25">
      <c r="A124" s="5">
        <v>46020</v>
      </c>
      <c r="B124" t="s">
        <v>62</v>
      </c>
      <c r="C124" t="s">
        <v>63</v>
      </c>
      <c r="D124" t="s">
        <v>64</v>
      </c>
      <c r="E124" t="s">
        <v>59</v>
      </c>
      <c r="F124" t="s">
        <v>60</v>
      </c>
      <c r="G124" t="s">
        <v>238</v>
      </c>
      <c r="H124" s="6">
        <v>69</v>
      </c>
      <c r="I124" s="7">
        <v>475.88</v>
      </c>
      <c r="J124" s="7">
        <v>32835.68</v>
      </c>
      <c r="K124" s="6">
        <v>30</v>
      </c>
      <c r="L124" t="s">
        <v>45</v>
      </c>
      <c r="M124" s="8">
        <v>6567.1360000000004</v>
      </c>
      <c r="N124" s="7">
        <v>32835.68</v>
      </c>
      <c r="O124" t="s">
        <v>39</v>
      </c>
      <c r="P124" t="s">
        <v>40</v>
      </c>
    </row>
    <row r="125" spans="1:16" x14ac:dyDescent="0.25">
      <c r="A125" s="5">
        <v>45807</v>
      </c>
      <c r="B125" t="s">
        <v>32</v>
      </c>
      <c r="C125" t="s">
        <v>33</v>
      </c>
      <c r="D125" t="s">
        <v>34</v>
      </c>
      <c r="E125" t="s">
        <v>152</v>
      </c>
      <c r="F125" t="s">
        <v>50</v>
      </c>
      <c r="G125" t="s">
        <v>239</v>
      </c>
      <c r="H125" s="6">
        <v>17</v>
      </c>
      <c r="I125" s="7">
        <v>55.51</v>
      </c>
      <c r="J125" s="7">
        <v>943.59</v>
      </c>
      <c r="K125" s="6">
        <v>60</v>
      </c>
      <c r="L125" t="s">
        <v>45</v>
      </c>
      <c r="M125" s="8">
        <v>188.71799999999999</v>
      </c>
      <c r="N125" s="7">
        <v>943.59</v>
      </c>
      <c r="O125" t="s">
        <v>46</v>
      </c>
      <c r="P125" t="s">
        <v>40</v>
      </c>
    </row>
    <row r="126" spans="1:16" x14ac:dyDescent="0.25">
      <c r="A126" s="5">
        <v>45803</v>
      </c>
      <c r="B126" t="s">
        <v>41</v>
      </c>
      <c r="C126" t="s">
        <v>42</v>
      </c>
      <c r="D126" t="s">
        <v>34</v>
      </c>
      <c r="E126" t="s">
        <v>152</v>
      </c>
      <c r="F126" t="s">
        <v>50</v>
      </c>
      <c r="G126" t="s">
        <v>240</v>
      </c>
      <c r="H126" s="6">
        <v>61</v>
      </c>
      <c r="I126" s="7">
        <v>165.71</v>
      </c>
      <c r="J126" s="7">
        <v>10108.549999999999</v>
      </c>
      <c r="K126" s="6">
        <v>45</v>
      </c>
      <c r="L126" t="s">
        <v>45</v>
      </c>
      <c r="M126" s="8">
        <v>2021.71</v>
      </c>
      <c r="N126" s="7">
        <v>10108.549999999999</v>
      </c>
      <c r="O126" t="s">
        <v>46</v>
      </c>
      <c r="P126" t="s">
        <v>40</v>
      </c>
    </row>
    <row r="127" spans="1:16" x14ac:dyDescent="0.25">
      <c r="A127" s="5">
        <v>45787</v>
      </c>
      <c r="B127" t="s">
        <v>143</v>
      </c>
      <c r="C127" t="s">
        <v>144</v>
      </c>
      <c r="D127" t="s">
        <v>69</v>
      </c>
      <c r="E127" t="s">
        <v>154</v>
      </c>
      <c r="F127" t="s">
        <v>89</v>
      </c>
      <c r="G127" t="s">
        <v>241</v>
      </c>
      <c r="H127" s="6">
        <v>62</v>
      </c>
      <c r="I127" s="7">
        <v>600.47</v>
      </c>
      <c r="J127" s="7">
        <v>37228.949999999997</v>
      </c>
      <c r="K127" s="6">
        <v>30</v>
      </c>
      <c r="L127" t="s">
        <v>38</v>
      </c>
      <c r="M127" s="8">
        <v>7445.79</v>
      </c>
      <c r="N127" s="7">
        <v>37228.949999999997</v>
      </c>
      <c r="O127" t="s">
        <v>39</v>
      </c>
      <c r="P127" t="s">
        <v>40</v>
      </c>
    </row>
    <row r="128" spans="1:16" x14ac:dyDescent="0.25">
      <c r="A128" s="5">
        <v>45953</v>
      </c>
      <c r="B128" t="s">
        <v>121</v>
      </c>
      <c r="C128" t="s">
        <v>122</v>
      </c>
      <c r="D128" t="s">
        <v>34</v>
      </c>
      <c r="E128" t="s">
        <v>107</v>
      </c>
      <c r="F128" t="s">
        <v>108</v>
      </c>
      <c r="G128" t="s">
        <v>242</v>
      </c>
      <c r="H128" s="6">
        <v>7</v>
      </c>
      <c r="I128" s="7">
        <v>43.5</v>
      </c>
      <c r="J128" s="7">
        <v>304.48</v>
      </c>
      <c r="K128" s="6">
        <v>30</v>
      </c>
      <c r="L128" t="s">
        <v>38</v>
      </c>
      <c r="M128" s="8">
        <v>60.896000000000001</v>
      </c>
      <c r="N128" s="7">
        <v>304.48</v>
      </c>
      <c r="O128" t="s">
        <v>46</v>
      </c>
      <c r="P128" t="s">
        <v>40</v>
      </c>
    </row>
    <row r="129" spans="1:16" x14ac:dyDescent="0.25">
      <c r="A129" s="5">
        <v>45785</v>
      </c>
      <c r="B129" t="s">
        <v>201</v>
      </c>
      <c r="C129" t="s">
        <v>202</v>
      </c>
      <c r="D129" t="s">
        <v>64</v>
      </c>
      <c r="E129" t="s">
        <v>59</v>
      </c>
      <c r="F129" t="s">
        <v>60</v>
      </c>
      <c r="G129" t="s">
        <v>243</v>
      </c>
      <c r="H129" s="6">
        <v>16</v>
      </c>
      <c r="I129" s="7">
        <v>161.12</v>
      </c>
      <c r="J129" s="7">
        <v>2577.96</v>
      </c>
      <c r="K129" s="6">
        <v>60</v>
      </c>
      <c r="L129" t="s">
        <v>45</v>
      </c>
      <c r="M129" s="8">
        <v>515.59199999999998</v>
      </c>
      <c r="N129" s="7">
        <v>2577.96</v>
      </c>
      <c r="O129" t="s">
        <v>39</v>
      </c>
      <c r="P129" t="s">
        <v>40</v>
      </c>
    </row>
    <row r="130" spans="1:16" x14ac:dyDescent="0.25">
      <c r="A130" s="5">
        <v>45852</v>
      </c>
      <c r="B130" t="s">
        <v>41</v>
      </c>
      <c r="C130" t="s">
        <v>42</v>
      </c>
      <c r="D130" t="s">
        <v>34</v>
      </c>
      <c r="E130" t="s">
        <v>53</v>
      </c>
      <c r="F130" t="s">
        <v>54</v>
      </c>
      <c r="G130" t="s">
        <v>244</v>
      </c>
      <c r="H130" s="6">
        <v>58</v>
      </c>
      <c r="I130" s="7">
        <v>264.08</v>
      </c>
      <c r="J130" s="7">
        <v>15316.9</v>
      </c>
      <c r="K130" s="6">
        <v>45</v>
      </c>
      <c r="L130" t="s">
        <v>45</v>
      </c>
      <c r="M130" s="8">
        <v>3063.38</v>
      </c>
      <c r="N130" s="7">
        <v>15316.9</v>
      </c>
      <c r="O130" t="s">
        <v>46</v>
      </c>
      <c r="P130" t="s">
        <v>40</v>
      </c>
    </row>
    <row r="131" spans="1:16" x14ac:dyDescent="0.25">
      <c r="A131" s="5">
        <v>45949</v>
      </c>
      <c r="B131" t="s">
        <v>110</v>
      </c>
      <c r="C131" t="s">
        <v>111</v>
      </c>
      <c r="D131" t="s">
        <v>58</v>
      </c>
      <c r="E131" t="s">
        <v>96</v>
      </c>
      <c r="F131" t="s">
        <v>97</v>
      </c>
      <c r="G131" t="s">
        <v>245</v>
      </c>
      <c r="H131" s="6">
        <v>80</v>
      </c>
      <c r="I131" s="7">
        <v>227.44</v>
      </c>
      <c r="J131" s="7">
        <v>18194.919999999998</v>
      </c>
      <c r="K131" s="6">
        <v>30</v>
      </c>
      <c r="L131" t="s">
        <v>52</v>
      </c>
      <c r="M131" s="8">
        <v>3638.9839999999999</v>
      </c>
      <c r="N131" s="7">
        <v>18194.919999999998</v>
      </c>
      <c r="O131" t="s">
        <v>46</v>
      </c>
      <c r="P131" t="s">
        <v>40</v>
      </c>
    </row>
    <row r="132" spans="1:16" x14ac:dyDescent="0.25">
      <c r="A132" s="5">
        <v>45978</v>
      </c>
      <c r="B132" t="s">
        <v>118</v>
      </c>
      <c r="C132" t="s">
        <v>119</v>
      </c>
      <c r="D132" t="s">
        <v>64</v>
      </c>
      <c r="E132" t="s">
        <v>127</v>
      </c>
      <c r="F132" t="s">
        <v>36</v>
      </c>
      <c r="G132" t="s">
        <v>246</v>
      </c>
      <c r="H132" s="6">
        <v>28</v>
      </c>
      <c r="I132" s="7">
        <v>27.7</v>
      </c>
      <c r="J132" s="7">
        <v>775.67</v>
      </c>
      <c r="K132" s="6">
        <v>45</v>
      </c>
      <c r="L132" t="s">
        <v>52</v>
      </c>
      <c r="M132" s="8">
        <v>155.13399999999999</v>
      </c>
      <c r="N132" s="7">
        <v>775.67</v>
      </c>
      <c r="O132" t="s">
        <v>39</v>
      </c>
      <c r="P132" t="s">
        <v>40</v>
      </c>
    </row>
    <row r="133" spans="1:16" x14ac:dyDescent="0.25">
      <c r="A133" s="5">
        <v>45746</v>
      </c>
      <c r="B133" t="s">
        <v>113</v>
      </c>
      <c r="C133" t="s">
        <v>114</v>
      </c>
      <c r="D133" t="s">
        <v>69</v>
      </c>
      <c r="E133" t="s">
        <v>154</v>
      </c>
      <c r="F133" t="s">
        <v>89</v>
      </c>
      <c r="G133" t="s">
        <v>247</v>
      </c>
      <c r="H133" s="6">
        <v>71</v>
      </c>
      <c r="I133" s="7">
        <v>186.92</v>
      </c>
      <c r="J133" s="7">
        <v>13271.13</v>
      </c>
      <c r="K133" s="6">
        <v>30</v>
      </c>
      <c r="L133" t="s">
        <v>38</v>
      </c>
      <c r="M133" s="8">
        <v>2654.2260000000001</v>
      </c>
      <c r="N133" s="7">
        <v>13271.13</v>
      </c>
      <c r="O133" t="s">
        <v>39</v>
      </c>
      <c r="P133" t="s">
        <v>40</v>
      </c>
    </row>
    <row r="134" spans="1:16" x14ac:dyDescent="0.25">
      <c r="A134" s="5">
        <v>46010</v>
      </c>
      <c r="B134" t="s">
        <v>121</v>
      </c>
      <c r="C134" t="s">
        <v>122</v>
      </c>
      <c r="D134" t="s">
        <v>34</v>
      </c>
      <c r="E134" t="s">
        <v>96</v>
      </c>
      <c r="F134" t="s">
        <v>97</v>
      </c>
      <c r="G134" t="s">
        <v>248</v>
      </c>
      <c r="H134" s="6">
        <v>77</v>
      </c>
      <c r="I134" s="7">
        <v>167.25</v>
      </c>
      <c r="J134" s="7">
        <v>12878.58</v>
      </c>
      <c r="K134" s="6">
        <v>45</v>
      </c>
      <c r="L134" t="s">
        <v>45</v>
      </c>
      <c r="M134" s="8">
        <v>2575.7159999999999</v>
      </c>
      <c r="N134" s="7">
        <v>12878.58</v>
      </c>
      <c r="O134" t="s">
        <v>46</v>
      </c>
      <c r="P134" t="s">
        <v>40</v>
      </c>
    </row>
    <row r="135" spans="1:16" x14ac:dyDescent="0.25">
      <c r="A135" s="5">
        <v>46019</v>
      </c>
      <c r="B135" t="s">
        <v>85</v>
      </c>
      <c r="C135" t="s">
        <v>86</v>
      </c>
      <c r="D135" t="s">
        <v>58</v>
      </c>
      <c r="E135" t="s">
        <v>65</v>
      </c>
      <c r="F135" t="s">
        <v>54</v>
      </c>
      <c r="G135" t="s">
        <v>249</v>
      </c>
      <c r="H135" s="6">
        <v>37</v>
      </c>
      <c r="I135" s="7">
        <v>324.39</v>
      </c>
      <c r="J135" s="7">
        <v>12002.31</v>
      </c>
      <c r="K135" s="6">
        <v>60</v>
      </c>
      <c r="L135" t="s">
        <v>45</v>
      </c>
      <c r="M135" s="8">
        <v>2400.462</v>
      </c>
      <c r="N135" s="7">
        <v>12002.31</v>
      </c>
      <c r="O135" t="s">
        <v>46</v>
      </c>
      <c r="P135" t="s">
        <v>40</v>
      </c>
    </row>
    <row r="136" spans="1:16" x14ac:dyDescent="0.25">
      <c r="A136" s="5">
        <v>45978</v>
      </c>
      <c r="B136" t="s">
        <v>77</v>
      </c>
      <c r="C136" t="s">
        <v>78</v>
      </c>
      <c r="D136" t="s">
        <v>58</v>
      </c>
      <c r="E136" t="s">
        <v>65</v>
      </c>
      <c r="F136" t="s">
        <v>54</v>
      </c>
      <c r="G136" t="s">
        <v>250</v>
      </c>
      <c r="H136" s="6">
        <v>76</v>
      </c>
      <c r="I136" s="7">
        <v>150.77000000000001</v>
      </c>
      <c r="J136" s="7">
        <v>11458.77</v>
      </c>
      <c r="K136" s="6">
        <v>60</v>
      </c>
      <c r="L136" t="s">
        <v>38</v>
      </c>
      <c r="M136" s="8">
        <v>2291.7539999999999</v>
      </c>
      <c r="N136" s="7">
        <v>11458.77</v>
      </c>
      <c r="O136" t="s">
        <v>46</v>
      </c>
      <c r="P136" t="s">
        <v>40</v>
      </c>
    </row>
    <row r="137" spans="1:16" x14ac:dyDescent="0.25">
      <c r="A137" s="5">
        <v>45773</v>
      </c>
      <c r="B137" t="s">
        <v>118</v>
      </c>
      <c r="C137" t="s">
        <v>119</v>
      </c>
      <c r="D137" t="s">
        <v>64</v>
      </c>
      <c r="E137" t="s">
        <v>43</v>
      </c>
      <c r="F137" t="s">
        <v>36</v>
      </c>
      <c r="G137" t="s">
        <v>251</v>
      </c>
      <c r="H137" s="6">
        <v>20</v>
      </c>
      <c r="I137" s="7">
        <v>152.44999999999999</v>
      </c>
      <c r="J137" s="7">
        <v>3049.04</v>
      </c>
      <c r="K137" s="6">
        <v>45</v>
      </c>
      <c r="L137" t="s">
        <v>38</v>
      </c>
      <c r="M137" s="8">
        <v>609.80799999999999</v>
      </c>
      <c r="N137" s="7">
        <v>3049.04</v>
      </c>
      <c r="O137" t="s">
        <v>46</v>
      </c>
      <c r="P137" t="s">
        <v>40</v>
      </c>
    </row>
    <row r="138" spans="1:16" x14ac:dyDescent="0.25">
      <c r="A138" s="5">
        <v>45815</v>
      </c>
      <c r="B138" t="s">
        <v>77</v>
      </c>
      <c r="C138" t="s">
        <v>78</v>
      </c>
      <c r="D138" t="s">
        <v>58</v>
      </c>
      <c r="E138" t="s">
        <v>49</v>
      </c>
      <c r="F138" t="s">
        <v>50</v>
      </c>
      <c r="G138" t="s">
        <v>252</v>
      </c>
      <c r="H138" s="6">
        <v>77</v>
      </c>
      <c r="I138" s="7">
        <v>78</v>
      </c>
      <c r="J138" s="7">
        <v>6005.96</v>
      </c>
      <c r="K138" s="6">
        <v>60</v>
      </c>
      <c r="L138" t="s">
        <v>52</v>
      </c>
      <c r="M138" s="8">
        <v>1201.192</v>
      </c>
      <c r="N138" s="7">
        <v>6005.96</v>
      </c>
      <c r="O138" t="s">
        <v>39</v>
      </c>
      <c r="P138" t="s">
        <v>40</v>
      </c>
    </row>
    <row r="139" spans="1:16" x14ac:dyDescent="0.25">
      <c r="A139" s="5">
        <v>45897</v>
      </c>
      <c r="B139" t="s">
        <v>41</v>
      </c>
      <c r="C139" t="s">
        <v>42</v>
      </c>
      <c r="D139" t="s">
        <v>34</v>
      </c>
      <c r="E139" t="s">
        <v>253</v>
      </c>
      <c r="F139" t="s">
        <v>108</v>
      </c>
      <c r="G139" t="s">
        <v>254</v>
      </c>
      <c r="H139" s="6">
        <v>39</v>
      </c>
      <c r="I139" s="7">
        <v>62.83</v>
      </c>
      <c r="J139" s="7">
        <v>2450.1799999999998</v>
      </c>
      <c r="K139" s="6">
        <v>60</v>
      </c>
      <c r="L139" t="s">
        <v>45</v>
      </c>
      <c r="M139" s="8">
        <v>490.036</v>
      </c>
      <c r="N139" s="7">
        <v>2450.1799999999998</v>
      </c>
      <c r="O139" t="s">
        <v>46</v>
      </c>
      <c r="P139" t="s">
        <v>40</v>
      </c>
    </row>
    <row r="140" spans="1:16" x14ac:dyDescent="0.25">
      <c r="A140" s="5">
        <v>45699</v>
      </c>
      <c r="B140" t="s">
        <v>143</v>
      </c>
      <c r="C140" t="s">
        <v>144</v>
      </c>
      <c r="D140" t="s">
        <v>69</v>
      </c>
      <c r="E140" t="s">
        <v>139</v>
      </c>
      <c r="F140" t="s">
        <v>108</v>
      </c>
      <c r="G140" t="s">
        <v>255</v>
      </c>
      <c r="H140" s="6">
        <v>77</v>
      </c>
      <c r="I140" s="7">
        <v>117.32</v>
      </c>
      <c r="J140" s="7">
        <v>9033.7999999999993</v>
      </c>
      <c r="K140" s="6">
        <v>30</v>
      </c>
      <c r="L140" t="s">
        <v>45</v>
      </c>
      <c r="M140" s="8">
        <v>1806.76</v>
      </c>
      <c r="N140" s="7">
        <v>9033.7999999999993</v>
      </c>
      <c r="O140" t="s">
        <v>46</v>
      </c>
      <c r="P140" t="s">
        <v>40</v>
      </c>
    </row>
    <row r="141" spans="1:16" x14ac:dyDescent="0.25">
      <c r="A141" s="5">
        <v>45786</v>
      </c>
      <c r="B141" t="s">
        <v>41</v>
      </c>
      <c r="C141" t="s">
        <v>42</v>
      </c>
      <c r="D141" t="s">
        <v>34</v>
      </c>
      <c r="E141" t="s">
        <v>70</v>
      </c>
      <c r="F141" t="s">
        <v>71</v>
      </c>
      <c r="G141" t="s">
        <v>256</v>
      </c>
      <c r="H141" s="6">
        <v>4</v>
      </c>
      <c r="I141" s="7">
        <v>48.27</v>
      </c>
      <c r="J141" s="7">
        <v>193.1</v>
      </c>
      <c r="K141" s="6">
        <v>30</v>
      </c>
      <c r="L141" t="s">
        <v>38</v>
      </c>
      <c r="M141" s="8">
        <v>38.619999999999997</v>
      </c>
      <c r="N141" s="7">
        <v>193.1</v>
      </c>
      <c r="O141" t="s">
        <v>46</v>
      </c>
      <c r="P141" t="s">
        <v>40</v>
      </c>
    </row>
    <row r="142" spans="1:16" x14ac:dyDescent="0.25">
      <c r="A142" s="5">
        <v>45795</v>
      </c>
      <c r="B142" t="s">
        <v>80</v>
      </c>
      <c r="C142" t="s">
        <v>81</v>
      </c>
      <c r="D142" t="s">
        <v>64</v>
      </c>
      <c r="E142" t="s">
        <v>152</v>
      </c>
      <c r="F142" t="s">
        <v>50</v>
      </c>
      <c r="G142" t="s">
        <v>257</v>
      </c>
      <c r="H142" s="6">
        <v>74</v>
      </c>
      <c r="I142" s="7">
        <v>135.99</v>
      </c>
      <c r="J142" s="7">
        <v>10063.39</v>
      </c>
      <c r="K142" s="6">
        <v>30</v>
      </c>
      <c r="L142" t="s">
        <v>38</v>
      </c>
      <c r="M142" s="8">
        <v>2012.6780000000001</v>
      </c>
      <c r="N142" s="7">
        <v>10063.39</v>
      </c>
      <c r="O142" t="s">
        <v>46</v>
      </c>
      <c r="P142" t="s">
        <v>40</v>
      </c>
    </row>
    <row r="143" spans="1:16" x14ac:dyDescent="0.25">
      <c r="A143" s="5">
        <v>45750</v>
      </c>
      <c r="B143" t="s">
        <v>67</v>
      </c>
      <c r="C143" t="s">
        <v>68</v>
      </c>
      <c r="D143" t="s">
        <v>69</v>
      </c>
      <c r="E143" t="s">
        <v>139</v>
      </c>
      <c r="F143" t="s">
        <v>108</v>
      </c>
      <c r="G143" t="s">
        <v>258</v>
      </c>
      <c r="H143" s="6">
        <v>75</v>
      </c>
      <c r="I143" s="7">
        <v>153.91999999999999</v>
      </c>
      <c r="J143" s="7">
        <v>11543.81</v>
      </c>
      <c r="K143" s="6">
        <v>45</v>
      </c>
      <c r="L143" t="s">
        <v>52</v>
      </c>
      <c r="M143" s="8">
        <v>2308.7620000000002</v>
      </c>
      <c r="N143" s="7">
        <v>11543.81</v>
      </c>
      <c r="O143" t="s">
        <v>46</v>
      </c>
      <c r="P143" t="s">
        <v>40</v>
      </c>
    </row>
    <row r="144" spans="1:16" x14ac:dyDescent="0.25">
      <c r="A144" s="5">
        <v>45836</v>
      </c>
      <c r="B144" t="s">
        <v>56</v>
      </c>
      <c r="C144" t="s">
        <v>57</v>
      </c>
      <c r="D144" t="s">
        <v>58</v>
      </c>
      <c r="E144" t="s">
        <v>75</v>
      </c>
      <c r="F144" t="s">
        <v>36</v>
      </c>
      <c r="G144" t="s">
        <v>259</v>
      </c>
      <c r="H144" s="6">
        <v>53</v>
      </c>
      <c r="I144" s="7">
        <v>26.85</v>
      </c>
      <c r="J144" s="7">
        <v>1423.06</v>
      </c>
      <c r="K144" s="6">
        <v>45</v>
      </c>
      <c r="L144" t="s">
        <v>45</v>
      </c>
      <c r="M144" s="8">
        <v>284.61200000000002</v>
      </c>
      <c r="N144" s="7">
        <v>1423.06</v>
      </c>
      <c r="O144" t="s">
        <v>46</v>
      </c>
      <c r="P144" t="s">
        <v>40</v>
      </c>
    </row>
    <row r="145" spans="1:16" x14ac:dyDescent="0.25">
      <c r="A145" s="5">
        <v>45826</v>
      </c>
      <c r="B145" t="s">
        <v>80</v>
      </c>
      <c r="C145" t="s">
        <v>81</v>
      </c>
      <c r="D145" t="s">
        <v>64</v>
      </c>
      <c r="E145" t="s">
        <v>127</v>
      </c>
      <c r="F145" t="s">
        <v>36</v>
      </c>
      <c r="G145" t="s">
        <v>260</v>
      </c>
      <c r="H145" s="6">
        <v>53</v>
      </c>
      <c r="I145" s="7">
        <v>71.95</v>
      </c>
      <c r="J145" s="7">
        <v>3813.21</v>
      </c>
      <c r="K145" s="6">
        <v>60</v>
      </c>
      <c r="L145" t="s">
        <v>45</v>
      </c>
      <c r="M145" s="8">
        <v>762.64200000000005</v>
      </c>
      <c r="N145" s="7">
        <v>3813.21</v>
      </c>
      <c r="O145" t="s">
        <v>39</v>
      </c>
      <c r="P145" t="s">
        <v>40</v>
      </c>
    </row>
    <row r="146" spans="1:16" x14ac:dyDescent="0.25">
      <c r="A146" s="5">
        <v>45676</v>
      </c>
      <c r="B146" t="s">
        <v>118</v>
      </c>
      <c r="C146" t="s">
        <v>119</v>
      </c>
      <c r="D146" t="s">
        <v>64</v>
      </c>
      <c r="E146" t="s">
        <v>105</v>
      </c>
      <c r="F146" t="s">
        <v>97</v>
      </c>
      <c r="G146" t="s">
        <v>261</v>
      </c>
      <c r="H146" s="6">
        <v>59</v>
      </c>
      <c r="I146" s="7">
        <v>346.1</v>
      </c>
      <c r="J146" s="7">
        <v>20419.7</v>
      </c>
      <c r="K146" s="6">
        <v>30</v>
      </c>
      <c r="L146" t="s">
        <v>45</v>
      </c>
      <c r="M146" s="8">
        <v>4083.94</v>
      </c>
      <c r="N146" s="7">
        <v>20419.7</v>
      </c>
      <c r="O146" t="s">
        <v>46</v>
      </c>
      <c r="P146" t="s">
        <v>40</v>
      </c>
    </row>
    <row r="147" spans="1:16" x14ac:dyDescent="0.25">
      <c r="A147" s="5">
        <v>45864</v>
      </c>
      <c r="B147" t="s">
        <v>47</v>
      </c>
      <c r="C147" t="s">
        <v>48</v>
      </c>
      <c r="D147" t="s">
        <v>34</v>
      </c>
      <c r="E147" t="s">
        <v>83</v>
      </c>
      <c r="F147" t="s">
        <v>71</v>
      </c>
      <c r="G147" t="s">
        <v>262</v>
      </c>
      <c r="H147" s="6">
        <v>66</v>
      </c>
      <c r="I147" s="7">
        <v>146.04</v>
      </c>
      <c r="J147" s="7">
        <v>9638.6299999999992</v>
      </c>
      <c r="K147" s="6">
        <v>30</v>
      </c>
      <c r="L147" t="s">
        <v>52</v>
      </c>
      <c r="M147" s="8">
        <v>1927.7260000000001</v>
      </c>
      <c r="N147" s="7">
        <v>9638.6299999999992</v>
      </c>
      <c r="O147" t="s">
        <v>39</v>
      </c>
      <c r="P147" t="s">
        <v>40</v>
      </c>
    </row>
    <row r="148" spans="1:16" x14ac:dyDescent="0.25">
      <c r="A148" s="5">
        <v>45685</v>
      </c>
      <c r="B148" t="s">
        <v>110</v>
      </c>
      <c r="C148" t="s">
        <v>111</v>
      </c>
      <c r="D148" t="s">
        <v>58</v>
      </c>
      <c r="E148" t="s">
        <v>139</v>
      </c>
      <c r="F148" t="s">
        <v>108</v>
      </c>
      <c r="G148" t="s">
        <v>263</v>
      </c>
      <c r="H148" s="6">
        <v>25</v>
      </c>
      <c r="I148" s="7">
        <v>37.979999999999997</v>
      </c>
      <c r="J148" s="7">
        <v>949.6</v>
      </c>
      <c r="K148" s="6">
        <v>60</v>
      </c>
      <c r="L148" t="s">
        <v>45</v>
      </c>
      <c r="M148" s="8">
        <v>189.92</v>
      </c>
      <c r="N148" s="7">
        <v>949.6</v>
      </c>
      <c r="O148" t="s">
        <v>46</v>
      </c>
      <c r="P148" t="s">
        <v>40</v>
      </c>
    </row>
    <row r="149" spans="1:16" x14ac:dyDescent="0.25">
      <c r="A149" s="5">
        <v>45884</v>
      </c>
      <c r="B149" t="s">
        <v>80</v>
      </c>
      <c r="C149" t="s">
        <v>81</v>
      </c>
      <c r="D149" t="s">
        <v>64</v>
      </c>
      <c r="E149" t="s">
        <v>129</v>
      </c>
      <c r="F149" t="s">
        <v>108</v>
      </c>
      <c r="G149" t="s">
        <v>264</v>
      </c>
      <c r="H149" s="6">
        <v>7</v>
      </c>
      <c r="I149" s="7">
        <v>36.28</v>
      </c>
      <c r="J149" s="7">
        <v>253.95</v>
      </c>
      <c r="K149" s="6">
        <v>30</v>
      </c>
      <c r="L149" t="s">
        <v>45</v>
      </c>
      <c r="M149" s="8">
        <v>50.79</v>
      </c>
      <c r="N149" s="7">
        <v>253.95</v>
      </c>
      <c r="O149" t="s">
        <v>46</v>
      </c>
      <c r="P149" t="s">
        <v>40</v>
      </c>
    </row>
    <row r="150" spans="1:16" x14ac:dyDescent="0.25">
      <c r="A150" s="5">
        <v>45882</v>
      </c>
      <c r="B150" t="s">
        <v>47</v>
      </c>
      <c r="C150" t="s">
        <v>48</v>
      </c>
      <c r="D150" t="s">
        <v>34</v>
      </c>
      <c r="E150" t="s">
        <v>88</v>
      </c>
      <c r="F150" t="s">
        <v>89</v>
      </c>
      <c r="G150" t="s">
        <v>265</v>
      </c>
      <c r="H150" s="6">
        <v>63</v>
      </c>
      <c r="I150" s="7">
        <v>239.85</v>
      </c>
      <c r="J150" s="7">
        <v>15110.72</v>
      </c>
      <c r="K150" s="6">
        <v>30</v>
      </c>
      <c r="L150" t="s">
        <v>38</v>
      </c>
      <c r="M150" s="8">
        <v>3022.1439999999998</v>
      </c>
      <c r="N150" s="7">
        <v>15110.72</v>
      </c>
      <c r="O150" t="s">
        <v>46</v>
      </c>
      <c r="P150" t="s">
        <v>40</v>
      </c>
    </row>
    <row r="151" spans="1:16" x14ac:dyDescent="0.25">
      <c r="A151" s="5">
        <v>45739</v>
      </c>
      <c r="B151" t="s">
        <v>67</v>
      </c>
      <c r="C151" t="s">
        <v>68</v>
      </c>
      <c r="D151" t="s">
        <v>69</v>
      </c>
      <c r="E151" t="s">
        <v>53</v>
      </c>
      <c r="F151" t="s">
        <v>54</v>
      </c>
      <c r="G151" t="s">
        <v>266</v>
      </c>
      <c r="H151" s="6">
        <v>40</v>
      </c>
      <c r="I151" s="7">
        <v>294.36</v>
      </c>
      <c r="J151" s="7">
        <v>11774.39</v>
      </c>
      <c r="K151" s="6">
        <v>60</v>
      </c>
      <c r="L151" t="s">
        <v>38</v>
      </c>
      <c r="M151" s="8">
        <v>2354.8780000000002</v>
      </c>
      <c r="N151" s="7">
        <v>11774.39</v>
      </c>
      <c r="O151" t="s">
        <v>46</v>
      </c>
      <c r="P151" t="s">
        <v>40</v>
      </c>
    </row>
    <row r="152" spans="1:16" x14ac:dyDescent="0.25">
      <c r="A152" s="5">
        <v>45773</v>
      </c>
      <c r="B152" t="s">
        <v>67</v>
      </c>
      <c r="C152" t="s">
        <v>68</v>
      </c>
      <c r="D152" t="s">
        <v>69</v>
      </c>
      <c r="E152" t="s">
        <v>204</v>
      </c>
      <c r="F152" t="s">
        <v>97</v>
      </c>
      <c r="G152" t="s">
        <v>267</v>
      </c>
      <c r="H152" s="6">
        <v>15</v>
      </c>
      <c r="I152" s="7">
        <v>344.31</v>
      </c>
      <c r="J152" s="7">
        <v>5164.71</v>
      </c>
      <c r="K152" s="6">
        <v>45</v>
      </c>
      <c r="L152" t="s">
        <v>38</v>
      </c>
      <c r="M152" s="8">
        <v>1032.942</v>
      </c>
      <c r="N152" s="7">
        <v>5164.71</v>
      </c>
      <c r="O152" t="s">
        <v>46</v>
      </c>
      <c r="P152" t="s">
        <v>40</v>
      </c>
    </row>
    <row r="153" spans="1:16" x14ac:dyDescent="0.25">
      <c r="A153" s="5">
        <v>45807</v>
      </c>
      <c r="B153" t="s">
        <v>110</v>
      </c>
      <c r="C153" t="s">
        <v>111</v>
      </c>
      <c r="D153" t="s">
        <v>58</v>
      </c>
      <c r="E153" t="s">
        <v>88</v>
      </c>
      <c r="F153" t="s">
        <v>89</v>
      </c>
      <c r="G153" t="s">
        <v>268</v>
      </c>
      <c r="H153" s="6">
        <v>66</v>
      </c>
      <c r="I153" s="7">
        <v>217.78</v>
      </c>
      <c r="J153" s="7">
        <v>14373.74</v>
      </c>
      <c r="K153" s="6">
        <v>60</v>
      </c>
      <c r="L153" t="s">
        <v>45</v>
      </c>
      <c r="M153" s="8">
        <v>2874.748</v>
      </c>
      <c r="N153" s="7">
        <v>14373.74</v>
      </c>
      <c r="O153" t="s">
        <v>46</v>
      </c>
      <c r="P153" t="s">
        <v>40</v>
      </c>
    </row>
    <row r="154" spans="1:16" x14ac:dyDescent="0.25">
      <c r="A154" s="5">
        <v>45782</v>
      </c>
      <c r="B154" t="s">
        <v>118</v>
      </c>
      <c r="C154" t="s">
        <v>119</v>
      </c>
      <c r="D154" t="s">
        <v>64</v>
      </c>
      <c r="E154" t="s">
        <v>139</v>
      </c>
      <c r="F154" t="s">
        <v>108</v>
      </c>
      <c r="G154" t="s">
        <v>269</v>
      </c>
      <c r="H154" s="6">
        <v>59</v>
      </c>
      <c r="I154" s="7">
        <v>51.6</v>
      </c>
      <c r="J154" s="7">
        <v>3044.26</v>
      </c>
      <c r="K154" s="6">
        <v>60</v>
      </c>
      <c r="L154" t="s">
        <v>38</v>
      </c>
      <c r="M154" s="8">
        <v>608.85199999999998</v>
      </c>
      <c r="N154" s="7">
        <v>3044.26</v>
      </c>
      <c r="O154" t="s">
        <v>46</v>
      </c>
      <c r="P154" t="s">
        <v>40</v>
      </c>
    </row>
    <row r="155" spans="1:16" x14ac:dyDescent="0.25">
      <c r="A155" s="5">
        <v>45918</v>
      </c>
      <c r="B155" t="s">
        <v>67</v>
      </c>
      <c r="C155" t="s">
        <v>68</v>
      </c>
      <c r="D155" t="s">
        <v>69</v>
      </c>
      <c r="E155" t="s">
        <v>53</v>
      </c>
      <c r="F155" t="s">
        <v>54</v>
      </c>
      <c r="G155" t="s">
        <v>270</v>
      </c>
      <c r="H155" s="6">
        <v>18</v>
      </c>
      <c r="I155" s="7">
        <v>284.06</v>
      </c>
      <c r="J155" s="7">
        <v>5113.16</v>
      </c>
      <c r="K155" s="6">
        <v>30</v>
      </c>
      <c r="L155" t="s">
        <v>45</v>
      </c>
      <c r="M155" s="8">
        <v>1022.6319999999999</v>
      </c>
      <c r="N155" s="7">
        <v>5113.16</v>
      </c>
      <c r="O155" t="s">
        <v>46</v>
      </c>
      <c r="P155" t="s">
        <v>40</v>
      </c>
    </row>
    <row r="156" spans="1:16" x14ac:dyDescent="0.25">
      <c r="A156" s="5">
        <v>45794</v>
      </c>
      <c r="B156" t="s">
        <v>94</v>
      </c>
      <c r="C156" t="s">
        <v>95</v>
      </c>
      <c r="D156" t="s">
        <v>34</v>
      </c>
      <c r="E156" t="s">
        <v>70</v>
      </c>
      <c r="F156" t="s">
        <v>71</v>
      </c>
      <c r="G156" t="s">
        <v>271</v>
      </c>
      <c r="H156" s="6">
        <v>1</v>
      </c>
      <c r="I156" s="7">
        <v>111.62</v>
      </c>
      <c r="J156" s="7">
        <v>111.62</v>
      </c>
      <c r="K156" s="6">
        <v>45</v>
      </c>
      <c r="L156" t="s">
        <v>52</v>
      </c>
      <c r="M156" s="8">
        <v>22.324000000000002</v>
      </c>
      <c r="N156" s="7">
        <v>111.62</v>
      </c>
      <c r="O156" t="s">
        <v>46</v>
      </c>
      <c r="P156" t="s">
        <v>40</v>
      </c>
    </row>
    <row r="157" spans="1:16" x14ac:dyDescent="0.25">
      <c r="A157" s="5">
        <v>45886</v>
      </c>
      <c r="B157" t="s">
        <v>143</v>
      </c>
      <c r="C157" t="s">
        <v>144</v>
      </c>
      <c r="D157" t="s">
        <v>69</v>
      </c>
      <c r="E157" t="s">
        <v>107</v>
      </c>
      <c r="F157" t="s">
        <v>108</v>
      </c>
      <c r="G157" t="s">
        <v>272</v>
      </c>
      <c r="H157" s="6">
        <v>69</v>
      </c>
      <c r="I157" s="7">
        <v>50.63</v>
      </c>
      <c r="J157" s="7">
        <v>3493.65</v>
      </c>
      <c r="K157" s="6">
        <v>45</v>
      </c>
      <c r="L157" t="s">
        <v>45</v>
      </c>
      <c r="M157" s="8">
        <v>698.73</v>
      </c>
      <c r="N157" s="7">
        <v>3493.65</v>
      </c>
      <c r="O157" t="s">
        <v>46</v>
      </c>
      <c r="P157" t="s">
        <v>40</v>
      </c>
    </row>
    <row r="158" spans="1:16" x14ac:dyDescent="0.25">
      <c r="A158" s="5">
        <v>45822</v>
      </c>
      <c r="B158" t="s">
        <v>32</v>
      </c>
      <c r="C158" t="s">
        <v>33</v>
      </c>
      <c r="D158" t="s">
        <v>34</v>
      </c>
      <c r="E158" t="s">
        <v>96</v>
      </c>
      <c r="F158" t="s">
        <v>97</v>
      </c>
      <c r="G158" t="s">
        <v>273</v>
      </c>
      <c r="H158" s="6">
        <v>25</v>
      </c>
      <c r="I158" s="7">
        <v>837.11</v>
      </c>
      <c r="J158" s="7">
        <v>20927.810000000001</v>
      </c>
      <c r="K158" s="6">
        <v>60</v>
      </c>
      <c r="L158" t="s">
        <v>38</v>
      </c>
      <c r="M158" s="8">
        <v>4185.5619999999999</v>
      </c>
      <c r="N158" s="7">
        <v>20927.810000000001</v>
      </c>
      <c r="O158" t="s">
        <v>46</v>
      </c>
      <c r="P158" t="s">
        <v>40</v>
      </c>
    </row>
    <row r="159" spans="1:16" x14ac:dyDescent="0.25">
      <c r="A159" s="5">
        <v>45868</v>
      </c>
      <c r="B159" t="s">
        <v>100</v>
      </c>
      <c r="C159" t="s">
        <v>101</v>
      </c>
      <c r="D159" t="s">
        <v>69</v>
      </c>
      <c r="E159" t="s">
        <v>204</v>
      </c>
      <c r="F159" t="s">
        <v>97</v>
      </c>
      <c r="G159" t="s">
        <v>274</v>
      </c>
      <c r="H159" s="6">
        <v>6</v>
      </c>
      <c r="I159" s="7">
        <v>389.32</v>
      </c>
      <c r="J159" s="7">
        <v>2335.89</v>
      </c>
      <c r="K159" s="6">
        <v>45</v>
      </c>
      <c r="L159" t="s">
        <v>52</v>
      </c>
      <c r="M159" s="8">
        <v>467.178</v>
      </c>
      <c r="N159" s="7">
        <v>2335.89</v>
      </c>
      <c r="O159" t="s">
        <v>46</v>
      </c>
      <c r="P159" t="s">
        <v>40</v>
      </c>
    </row>
    <row r="160" spans="1:16" x14ac:dyDescent="0.25">
      <c r="A160" s="5">
        <v>45997</v>
      </c>
      <c r="B160" t="s">
        <v>77</v>
      </c>
      <c r="C160" t="s">
        <v>78</v>
      </c>
      <c r="D160" t="s">
        <v>58</v>
      </c>
      <c r="E160" t="s">
        <v>96</v>
      </c>
      <c r="F160" t="s">
        <v>97</v>
      </c>
      <c r="G160" t="s">
        <v>275</v>
      </c>
      <c r="H160" s="6">
        <v>20</v>
      </c>
      <c r="I160" s="7">
        <v>155.80000000000001</v>
      </c>
      <c r="J160" s="7">
        <v>3115.98</v>
      </c>
      <c r="K160" s="6">
        <v>45</v>
      </c>
      <c r="L160" t="s">
        <v>38</v>
      </c>
      <c r="M160" s="8">
        <v>623.19600000000003</v>
      </c>
      <c r="N160" s="7">
        <v>3115.98</v>
      </c>
      <c r="O160" t="s">
        <v>46</v>
      </c>
      <c r="P160" t="s">
        <v>40</v>
      </c>
    </row>
    <row r="161" spans="1:16" x14ac:dyDescent="0.25">
      <c r="A161" s="5">
        <v>45883</v>
      </c>
      <c r="B161" t="s">
        <v>91</v>
      </c>
      <c r="C161" t="s">
        <v>92</v>
      </c>
      <c r="D161" t="s">
        <v>64</v>
      </c>
      <c r="E161" t="s">
        <v>83</v>
      </c>
      <c r="F161" t="s">
        <v>71</v>
      </c>
      <c r="G161" t="s">
        <v>276</v>
      </c>
      <c r="H161" s="6">
        <v>13</v>
      </c>
      <c r="I161" s="7">
        <v>136.32</v>
      </c>
      <c r="J161" s="7">
        <v>1772.12</v>
      </c>
      <c r="K161" s="6">
        <v>60</v>
      </c>
      <c r="L161" t="s">
        <v>45</v>
      </c>
      <c r="M161" s="8">
        <v>354.42399999999998</v>
      </c>
      <c r="N161" s="7">
        <v>1772.12</v>
      </c>
      <c r="O161" t="s">
        <v>39</v>
      </c>
      <c r="P161" t="s">
        <v>40</v>
      </c>
    </row>
    <row r="162" spans="1:16" x14ac:dyDescent="0.25">
      <c r="A162" s="5">
        <v>45993</v>
      </c>
      <c r="B162" t="s">
        <v>118</v>
      </c>
      <c r="C162" t="s">
        <v>119</v>
      </c>
      <c r="D162" t="s">
        <v>64</v>
      </c>
      <c r="E162" t="s">
        <v>88</v>
      </c>
      <c r="F162" t="s">
        <v>89</v>
      </c>
      <c r="G162" t="s">
        <v>277</v>
      </c>
      <c r="H162" s="6">
        <v>20</v>
      </c>
      <c r="I162" s="7">
        <v>105.31</v>
      </c>
      <c r="J162" s="7">
        <v>2106.14</v>
      </c>
      <c r="K162" s="6">
        <v>30</v>
      </c>
      <c r="L162" t="s">
        <v>45</v>
      </c>
      <c r="M162" s="8">
        <v>421.22800000000001</v>
      </c>
      <c r="N162" s="7">
        <v>2106.14</v>
      </c>
      <c r="O162" t="s">
        <v>46</v>
      </c>
      <c r="P162" t="s">
        <v>40</v>
      </c>
    </row>
    <row r="163" spans="1:16" x14ac:dyDescent="0.25">
      <c r="A163" s="5">
        <v>46012</v>
      </c>
      <c r="B163" t="s">
        <v>62</v>
      </c>
      <c r="C163" t="s">
        <v>63</v>
      </c>
      <c r="D163" t="s">
        <v>64</v>
      </c>
      <c r="E163" t="s">
        <v>70</v>
      </c>
      <c r="F163" t="s">
        <v>71</v>
      </c>
      <c r="G163" t="s">
        <v>278</v>
      </c>
      <c r="H163" s="6">
        <v>51</v>
      </c>
      <c r="I163" s="7">
        <v>146.46</v>
      </c>
      <c r="J163" s="7">
        <v>7469.62</v>
      </c>
      <c r="K163" s="6">
        <v>60</v>
      </c>
      <c r="L163" t="s">
        <v>38</v>
      </c>
      <c r="M163" s="8">
        <v>1493.924</v>
      </c>
      <c r="N163" s="7">
        <v>7469.62</v>
      </c>
      <c r="O163" t="s">
        <v>46</v>
      </c>
      <c r="P163" t="s">
        <v>40</v>
      </c>
    </row>
    <row r="164" spans="1:16" x14ac:dyDescent="0.25">
      <c r="A164" s="5">
        <v>45978</v>
      </c>
      <c r="B164" t="s">
        <v>62</v>
      </c>
      <c r="C164" t="s">
        <v>63</v>
      </c>
      <c r="D164" t="s">
        <v>64</v>
      </c>
      <c r="E164" t="s">
        <v>96</v>
      </c>
      <c r="F164" t="s">
        <v>97</v>
      </c>
      <c r="G164" t="s">
        <v>279</v>
      </c>
      <c r="H164" s="6">
        <v>63</v>
      </c>
      <c r="I164" s="7">
        <v>567.37</v>
      </c>
      <c r="J164" s="7">
        <v>35744.25</v>
      </c>
      <c r="K164" s="6">
        <v>60</v>
      </c>
      <c r="L164" t="s">
        <v>38</v>
      </c>
      <c r="M164" s="8">
        <v>7148.85</v>
      </c>
      <c r="N164" s="7">
        <v>35744.25</v>
      </c>
      <c r="O164" t="s">
        <v>46</v>
      </c>
      <c r="P164" t="s">
        <v>40</v>
      </c>
    </row>
    <row r="165" spans="1:16" x14ac:dyDescent="0.25">
      <c r="A165" s="5">
        <v>45981</v>
      </c>
      <c r="B165" t="s">
        <v>67</v>
      </c>
      <c r="C165" t="s">
        <v>68</v>
      </c>
      <c r="D165" t="s">
        <v>69</v>
      </c>
      <c r="E165" t="s">
        <v>127</v>
      </c>
      <c r="F165" t="s">
        <v>36</v>
      </c>
      <c r="G165" t="s">
        <v>280</v>
      </c>
      <c r="H165" s="6">
        <v>37</v>
      </c>
      <c r="I165" s="7">
        <v>41.39</v>
      </c>
      <c r="J165" s="7">
        <v>1531.39</v>
      </c>
      <c r="K165" s="6">
        <v>30</v>
      </c>
      <c r="L165" t="s">
        <v>52</v>
      </c>
      <c r="M165" s="8">
        <v>306.27800000000002</v>
      </c>
      <c r="N165" s="7">
        <v>1531.39</v>
      </c>
      <c r="O165" t="s">
        <v>39</v>
      </c>
      <c r="P165" t="s">
        <v>40</v>
      </c>
    </row>
    <row r="166" spans="1:16" x14ac:dyDescent="0.25">
      <c r="A166" s="5">
        <v>45982</v>
      </c>
      <c r="B166" t="s">
        <v>94</v>
      </c>
      <c r="C166" t="s">
        <v>95</v>
      </c>
      <c r="D166" t="s">
        <v>34</v>
      </c>
      <c r="E166" t="s">
        <v>204</v>
      </c>
      <c r="F166" t="s">
        <v>97</v>
      </c>
      <c r="G166" t="s">
        <v>281</v>
      </c>
      <c r="H166" s="6">
        <v>13</v>
      </c>
      <c r="I166" s="7">
        <v>509.61</v>
      </c>
      <c r="J166" s="7">
        <v>6624.89</v>
      </c>
      <c r="K166" s="6">
        <v>45</v>
      </c>
      <c r="L166" t="s">
        <v>38</v>
      </c>
      <c r="M166" s="8">
        <v>1324.9780000000001</v>
      </c>
      <c r="N166" s="7">
        <v>6624.89</v>
      </c>
      <c r="O166" t="s">
        <v>46</v>
      </c>
      <c r="P166" t="s">
        <v>40</v>
      </c>
    </row>
    <row r="167" spans="1:16" x14ac:dyDescent="0.25">
      <c r="A167" s="5">
        <v>45681</v>
      </c>
      <c r="B167" t="s">
        <v>201</v>
      </c>
      <c r="C167" t="s">
        <v>202</v>
      </c>
      <c r="D167" t="s">
        <v>64</v>
      </c>
      <c r="E167" t="s">
        <v>59</v>
      </c>
      <c r="F167" t="s">
        <v>60</v>
      </c>
      <c r="G167" t="s">
        <v>282</v>
      </c>
      <c r="H167" s="6">
        <v>42</v>
      </c>
      <c r="I167" s="7">
        <v>276.07</v>
      </c>
      <c r="J167" s="7">
        <v>11594.97</v>
      </c>
      <c r="K167" s="6">
        <v>30</v>
      </c>
      <c r="L167" t="s">
        <v>45</v>
      </c>
      <c r="M167" s="8">
        <v>2318.9940000000001</v>
      </c>
      <c r="N167" s="7">
        <v>11594.97</v>
      </c>
      <c r="O167" t="s">
        <v>39</v>
      </c>
      <c r="P167" t="s">
        <v>40</v>
      </c>
    </row>
    <row r="168" spans="1:16" x14ac:dyDescent="0.25">
      <c r="A168" s="5">
        <v>45732</v>
      </c>
      <c r="B168" t="s">
        <v>47</v>
      </c>
      <c r="C168" t="s">
        <v>48</v>
      </c>
      <c r="D168" t="s">
        <v>34</v>
      </c>
      <c r="E168" t="s">
        <v>132</v>
      </c>
      <c r="F168" t="s">
        <v>71</v>
      </c>
      <c r="G168" t="s">
        <v>283</v>
      </c>
      <c r="H168" s="6">
        <v>32</v>
      </c>
      <c r="I168" s="7">
        <v>149.31</v>
      </c>
      <c r="J168" s="7">
        <v>4777.8500000000004</v>
      </c>
      <c r="K168" s="6">
        <v>60</v>
      </c>
      <c r="L168" t="s">
        <v>45</v>
      </c>
      <c r="M168" s="8">
        <v>955.57</v>
      </c>
      <c r="N168" s="7">
        <v>4777.8500000000004</v>
      </c>
      <c r="O168" t="s">
        <v>46</v>
      </c>
      <c r="P168" t="s">
        <v>40</v>
      </c>
    </row>
    <row r="169" spans="1:16" x14ac:dyDescent="0.25">
      <c r="A169" s="5">
        <v>45747</v>
      </c>
      <c r="B169" t="s">
        <v>77</v>
      </c>
      <c r="C169" t="s">
        <v>78</v>
      </c>
      <c r="D169" t="s">
        <v>58</v>
      </c>
      <c r="E169" t="s">
        <v>154</v>
      </c>
      <c r="F169" t="s">
        <v>89</v>
      </c>
      <c r="G169" t="s">
        <v>284</v>
      </c>
      <c r="H169" s="6">
        <v>11</v>
      </c>
      <c r="I169" s="7">
        <v>510.91</v>
      </c>
      <c r="J169" s="7">
        <v>5620.01</v>
      </c>
      <c r="K169" s="6">
        <v>60</v>
      </c>
      <c r="L169" t="s">
        <v>45</v>
      </c>
      <c r="M169" s="8">
        <v>1124.002</v>
      </c>
      <c r="N169" s="7">
        <v>5620.01</v>
      </c>
      <c r="O169" t="s">
        <v>39</v>
      </c>
      <c r="P169" t="s">
        <v>40</v>
      </c>
    </row>
    <row r="170" spans="1:16" x14ac:dyDescent="0.25">
      <c r="A170" s="5">
        <v>45956</v>
      </c>
      <c r="B170" t="s">
        <v>32</v>
      </c>
      <c r="C170" t="s">
        <v>33</v>
      </c>
      <c r="D170" t="s">
        <v>34</v>
      </c>
      <c r="E170" t="s">
        <v>65</v>
      </c>
      <c r="F170" t="s">
        <v>54</v>
      </c>
      <c r="G170" t="s">
        <v>285</v>
      </c>
      <c r="H170" s="6">
        <v>19</v>
      </c>
      <c r="I170" s="7">
        <v>218.44</v>
      </c>
      <c r="J170" s="7">
        <v>4150.3</v>
      </c>
      <c r="K170" s="6">
        <v>30</v>
      </c>
      <c r="L170" t="s">
        <v>45</v>
      </c>
      <c r="M170" s="8">
        <v>830.06</v>
      </c>
      <c r="N170" s="7">
        <v>4150.3</v>
      </c>
      <c r="O170" t="s">
        <v>46</v>
      </c>
      <c r="P170" t="s">
        <v>40</v>
      </c>
    </row>
    <row r="171" spans="1:16" x14ac:dyDescent="0.25">
      <c r="A171" s="5">
        <v>45788</v>
      </c>
      <c r="B171" t="s">
        <v>100</v>
      </c>
      <c r="C171" t="s">
        <v>101</v>
      </c>
      <c r="D171" t="s">
        <v>69</v>
      </c>
      <c r="E171" t="s">
        <v>149</v>
      </c>
      <c r="F171" t="s">
        <v>60</v>
      </c>
      <c r="G171" t="s">
        <v>286</v>
      </c>
      <c r="H171" s="6">
        <v>2</v>
      </c>
      <c r="I171" s="7">
        <v>145.34</v>
      </c>
      <c r="J171" s="7">
        <v>290.68</v>
      </c>
      <c r="K171" s="6">
        <v>45</v>
      </c>
      <c r="L171" t="s">
        <v>45</v>
      </c>
      <c r="M171" s="8">
        <v>58.136000000000003</v>
      </c>
      <c r="N171" s="7">
        <v>290.68</v>
      </c>
      <c r="O171" t="s">
        <v>46</v>
      </c>
      <c r="P171" t="s">
        <v>40</v>
      </c>
    </row>
    <row r="172" spans="1:16" x14ac:dyDescent="0.25">
      <c r="A172" s="5">
        <v>45884</v>
      </c>
      <c r="B172" t="s">
        <v>121</v>
      </c>
      <c r="C172" t="s">
        <v>122</v>
      </c>
      <c r="D172" t="s">
        <v>34</v>
      </c>
      <c r="E172" t="s">
        <v>154</v>
      </c>
      <c r="F172" t="s">
        <v>89</v>
      </c>
      <c r="G172" t="s">
        <v>287</v>
      </c>
      <c r="H172" s="6">
        <v>45</v>
      </c>
      <c r="I172" s="7">
        <v>110.36</v>
      </c>
      <c r="J172" s="7">
        <v>4966.08</v>
      </c>
      <c r="K172" s="6">
        <v>60</v>
      </c>
      <c r="L172" t="s">
        <v>45</v>
      </c>
      <c r="M172" s="8">
        <v>993.21600000000001</v>
      </c>
      <c r="N172" s="7">
        <v>4966.08</v>
      </c>
      <c r="O172" t="s">
        <v>39</v>
      </c>
      <c r="P172" t="s">
        <v>40</v>
      </c>
    </row>
    <row r="173" spans="1:16" x14ac:dyDescent="0.25">
      <c r="A173" s="5">
        <v>45786</v>
      </c>
      <c r="B173" t="s">
        <v>85</v>
      </c>
      <c r="C173" t="s">
        <v>86</v>
      </c>
      <c r="D173" t="s">
        <v>58</v>
      </c>
      <c r="E173" t="s">
        <v>105</v>
      </c>
      <c r="F173" t="s">
        <v>97</v>
      </c>
      <c r="G173" t="s">
        <v>288</v>
      </c>
      <c r="H173" s="6">
        <v>59</v>
      </c>
      <c r="I173" s="7">
        <v>191.54</v>
      </c>
      <c r="J173" s="7">
        <v>11300.75</v>
      </c>
      <c r="K173" s="6">
        <v>45</v>
      </c>
      <c r="L173" t="s">
        <v>38</v>
      </c>
      <c r="M173" s="8">
        <v>2260.15</v>
      </c>
      <c r="N173" s="7">
        <v>11300.75</v>
      </c>
      <c r="O173" t="s">
        <v>46</v>
      </c>
      <c r="P173" t="s">
        <v>40</v>
      </c>
    </row>
    <row r="174" spans="1:16" x14ac:dyDescent="0.25">
      <c r="A174" s="5">
        <v>45779</v>
      </c>
      <c r="B174" t="s">
        <v>103</v>
      </c>
      <c r="C174" t="s">
        <v>104</v>
      </c>
      <c r="D174" t="s">
        <v>58</v>
      </c>
      <c r="E174" t="s">
        <v>107</v>
      </c>
      <c r="F174" t="s">
        <v>108</v>
      </c>
      <c r="G174" t="s">
        <v>289</v>
      </c>
      <c r="H174" s="6">
        <v>49</v>
      </c>
      <c r="I174" s="7">
        <v>71.89</v>
      </c>
      <c r="J174" s="7">
        <v>3522.42</v>
      </c>
      <c r="K174" s="6">
        <v>60</v>
      </c>
      <c r="L174" t="s">
        <v>45</v>
      </c>
      <c r="M174" s="8">
        <v>704.48400000000004</v>
      </c>
      <c r="N174" s="7">
        <v>3522.42</v>
      </c>
      <c r="O174" t="s">
        <v>46</v>
      </c>
      <c r="P174" t="s">
        <v>40</v>
      </c>
    </row>
    <row r="175" spans="1:16" x14ac:dyDescent="0.25">
      <c r="A175" s="5">
        <v>45809</v>
      </c>
      <c r="B175" t="s">
        <v>80</v>
      </c>
      <c r="C175" t="s">
        <v>81</v>
      </c>
      <c r="D175" t="s">
        <v>64</v>
      </c>
      <c r="E175" t="s">
        <v>115</v>
      </c>
      <c r="F175" t="s">
        <v>60</v>
      </c>
      <c r="G175" t="s">
        <v>290</v>
      </c>
      <c r="H175" s="6">
        <v>3</v>
      </c>
      <c r="I175" s="7">
        <v>265.41000000000003</v>
      </c>
      <c r="J175" s="7">
        <v>796.22</v>
      </c>
      <c r="K175" s="6">
        <v>60</v>
      </c>
      <c r="L175" t="s">
        <v>45</v>
      </c>
      <c r="M175" s="8">
        <v>159.244</v>
      </c>
      <c r="N175" s="7">
        <v>796.22</v>
      </c>
      <c r="O175" t="s">
        <v>46</v>
      </c>
      <c r="P175" t="s">
        <v>40</v>
      </c>
    </row>
    <row r="176" spans="1:16" x14ac:dyDescent="0.25">
      <c r="A176" s="5">
        <v>46009</v>
      </c>
      <c r="B176" t="s">
        <v>56</v>
      </c>
      <c r="C176" t="s">
        <v>57</v>
      </c>
      <c r="D176" t="s">
        <v>58</v>
      </c>
      <c r="E176" t="s">
        <v>152</v>
      </c>
      <c r="F176" t="s">
        <v>50</v>
      </c>
      <c r="G176" t="s">
        <v>291</v>
      </c>
      <c r="H176" s="6">
        <v>7</v>
      </c>
      <c r="I176" s="7">
        <v>139.72</v>
      </c>
      <c r="J176" s="7">
        <v>978.07</v>
      </c>
      <c r="K176" s="6">
        <v>60</v>
      </c>
      <c r="L176" t="s">
        <v>52</v>
      </c>
      <c r="M176" s="8">
        <v>195.614</v>
      </c>
      <c r="N176" s="7">
        <v>978.07</v>
      </c>
      <c r="O176" t="s">
        <v>46</v>
      </c>
      <c r="P176" t="s">
        <v>40</v>
      </c>
    </row>
    <row r="177" spans="1:16" x14ac:dyDescent="0.25">
      <c r="A177" s="5">
        <v>45968</v>
      </c>
      <c r="B177" t="s">
        <v>32</v>
      </c>
      <c r="C177" t="s">
        <v>33</v>
      </c>
      <c r="D177" t="s">
        <v>34</v>
      </c>
      <c r="E177" t="s">
        <v>59</v>
      </c>
      <c r="F177" t="s">
        <v>60</v>
      </c>
      <c r="G177" t="s">
        <v>292</v>
      </c>
      <c r="H177" s="6">
        <v>46</v>
      </c>
      <c r="I177" s="7">
        <v>346.74</v>
      </c>
      <c r="J177" s="7">
        <v>15950.09</v>
      </c>
      <c r="K177" s="6">
        <v>30</v>
      </c>
      <c r="L177" t="s">
        <v>52</v>
      </c>
      <c r="M177" s="8">
        <v>3190.018</v>
      </c>
      <c r="N177" s="7">
        <v>15950.09</v>
      </c>
      <c r="O177" t="s">
        <v>39</v>
      </c>
      <c r="P177" t="s">
        <v>40</v>
      </c>
    </row>
    <row r="178" spans="1:16" x14ac:dyDescent="0.25">
      <c r="A178" s="5">
        <v>45995</v>
      </c>
      <c r="B178" t="s">
        <v>113</v>
      </c>
      <c r="C178" t="s">
        <v>114</v>
      </c>
      <c r="D178" t="s">
        <v>69</v>
      </c>
      <c r="E178" t="s">
        <v>115</v>
      </c>
      <c r="F178" t="s">
        <v>60</v>
      </c>
      <c r="G178" t="s">
        <v>293</v>
      </c>
      <c r="H178" s="6">
        <v>18</v>
      </c>
      <c r="I178" s="7">
        <v>221.58</v>
      </c>
      <c r="J178" s="7">
        <v>3988.42</v>
      </c>
      <c r="K178" s="6">
        <v>60</v>
      </c>
      <c r="L178" t="s">
        <v>38</v>
      </c>
      <c r="M178" s="8">
        <v>797.68399999999997</v>
      </c>
      <c r="N178" s="7">
        <v>3988.42</v>
      </c>
      <c r="O178" t="s">
        <v>46</v>
      </c>
      <c r="P178" t="s">
        <v>40</v>
      </c>
    </row>
    <row r="179" spans="1:16" x14ac:dyDescent="0.25">
      <c r="A179" s="5">
        <v>45883</v>
      </c>
      <c r="B179" t="s">
        <v>118</v>
      </c>
      <c r="C179" t="s">
        <v>119</v>
      </c>
      <c r="D179" t="s">
        <v>64</v>
      </c>
      <c r="E179" t="s">
        <v>210</v>
      </c>
      <c r="F179" t="s">
        <v>50</v>
      </c>
      <c r="G179" t="s">
        <v>294</v>
      </c>
      <c r="H179" s="6">
        <v>5</v>
      </c>
      <c r="I179" s="7">
        <v>266.92</v>
      </c>
      <c r="J179" s="7">
        <v>1334.58</v>
      </c>
      <c r="K179" s="6">
        <v>60</v>
      </c>
      <c r="L179" t="s">
        <v>45</v>
      </c>
      <c r="M179" s="8">
        <v>266.916</v>
      </c>
      <c r="N179" s="7">
        <v>1334.58</v>
      </c>
      <c r="O179" t="s">
        <v>46</v>
      </c>
      <c r="P179" t="s">
        <v>40</v>
      </c>
    </row>
    <row r="180" spans="1:16" x14ac:dyDescent="0.25">
      <c r="A180" s="5">
        <v>45809</v>
      </c>
      <c r="B180" t="s">
        <v>67</v>
      </c>
      <c r="C180" t="s">
        <v>68</v>
      </c>
      <c r="D180" t="s">
        <v>69</v>
      </c>
      <c r="E180" t="s">
        <v>154</v>
      </c>
      <c r="F180" t="s">
        <v>89</v>
      </c>
      <c r="G180" t="s">
        <v>295</v>
      </c>
      <c r="H180" s="6">
        <v>42</v>
      </c>
      <c r="I180" s="7">
        <v>155.62</v>
      </c>
      <c r="J180" s="7">
        <v>6535.9</v>
      </c>
      <c r="K180" s="6">
        <v>60</v>
      </c>
      <c r="L180" t="s">
        <v>45</v>
      </c>
      <c r="M180" s="8">
        <v>1307.18</v>
      </c>
      <c r="N180" s="7">
        <v>6535.9</v>
      </c>
      <c r="O180" t="s">
        <v>39</v>
      </c>
      <c r="P180" t="s">
        <v>40</v>
      </c>
    </row>
    <row r="181" spans="1:16" x14ac:dyDescent="0.25">
      <c r="A181" s="5">
        <v>45934</v>
      </c>
      <c r="B181" t="s">
        <v>110</v>
      </c>
      <c r="C181" t="s">
        <v>111</v>
      </c>
      <c r="D181" t="s">
        <v>58</v>
      </c>
      <c r="E181" t="s">
        <v>135</v>
      </c>
      <c r="F181" t="s">
        <v>54</v>
      </c>
      <c r="G181" t="s">
        <v>296</v>
      </c>
      <c r="H181" s="6">
        <v>47</v>
      </c>
      <c r="I181" s="7">
        <v>1116.05</v>
      </c>
      <c r="J181" s="7">
        <v>52454.51</v>
      </c>
      <c r="K181" s="6">
        <v>60</v>
      </c>
      <c r="L181" t="s">
        <v>52</v>
      </c>
      <c r="M181" s="8">
        <v>10490.902</v>
      </c>
      <c r="N181" s="7">
        <v>52454.51</v>
      </c>
      <c r="O181" t="s">
        <v>46</v>
      </c>
      <c r="P181" t="s">
        <v>40</v>
      </c>
    </row>
    <row r="182" spans="1:16" x14ac:dyDescent="0.25">
      <c r="A182" s="5">
        <v>45904</v>
      </c>
      <c r="B182" t="s">
        <v>94</v>
      </c>
      <c r="C182" t="s">
        <v>95</v>
      </c>
      <c r="D182" t="s">
        <v>34</v>
      </c>
      <c r="E182" t="s">
        <v>88</v>
      </c>
      <c r="F182" t="s">
        <v>89</v>
      </c>
      <c r="G182" t="s">
        <v>297</v>
      </c>
      <c r="H182" s="6">
        <v>38</v>
      </c>
      <c r="I182" s="7">
        <v>253.93</v>
      </c>
      <c r="J182" s="7">
        <v>9649.49</v>
      </c>
      <c r="K182" s="6">
        <v>60</v>
      </c>
      <c r="L182" t="s">
        <v>45</v>
      </c>
      <c r="M182" s="8">
        <v>1929.8979999999999</v>
      </c>
      <c r="N182" s="7">
        <v>9649.49</v>
      </c>
      <c r="O182" t="s">
        <v>46</v>
      </c>
      <c r="P182" t="s">
        <v>40</v>
      </c>
    </row>
    <row r="183" spans="1:16" x14ac:dyDescent="0.25">
      <c r="A183" s="5">
        <v>45730</v>
      </c>
      <c r="B183" t="s">
        <v>110</v>
      </c>
      <c r="C183" t="s">
        <v>111</v>
      </c>
      <c r="D183" t="s">
        <v>58</v>
      </c>
      <c r="E183" t="s">
        <v>107</v>
      </c>
      <c r="F183" t="s">
        <v>108</v>
      </c>
      <c r="G183" t="s">
        <v>298</v>
      </c>
      <c r="H183" s="6">
        <v>29</v>
      </c>
      <c r="I183" s="7">
        <v>46.81</v>
      </c>
      <c r="J183" s="7">
        <v>1357.43</v>
      </c>
      <c r="K183" s="6">
        <v>60</v>
      </c>
      <c r="L183" t="s">
        <v>52</v>
      </c>
      <c r="M183" s="8">
        <v>271.48599999999999</v>
      </c>
      <c r="N183" s="7">
        <v>1357.43</v>
      </c>
      <c r="O183" t="s">
        <v>46</v>
      </c>
      <c r="P183" t="s">
        <v>40</v>
      </c>
    </row>
    <row r="184" spans="1:16" x14ac:dyDescent="0.25">
      <c r="A184" s="5">
        <v>45845</v>
      </c>
      <c r="B184" t="s">
        <v>91</v>
      </c>
      <c r="C184" t="s">
        <v>92</v>
      </c>
      <c r="D184" t="s">
        <v>64</v>
      </c>
      <c r="E184" t="s">
        <v>105</v>
      </c>
      <c r="F184" t="s">
        <v>97</v>
      </c>
      <c r="G184" t="s">
        <v>299</v>
      </c>
      <c r="H184" s="6">
        <v>12</v>
      </c>
      <c r="I184" s="7">
        <v>166.47</v>
      </c>
      <c r="J184" s="7">
        <v>1997.59</v>
      </c>
      <c r="K184" s="6">
        <v>45</v>
      </c>
      <c r="L184" t="s">
        <v>38</v>
      </c>
      <c r="M184" s="8">
        <v>399.51799999999997</v>
      </c>
      <c r="N184" s="7">
        <v>1997.59</v>
      </c>
      <c r="O184" t="s">
        <v>46</v>
      </c>
      <c r="P184" t="s">
        <v>40</v>
      </c>
    </row>
    <row r="185" spans="1:16" x14ac:dyDescent="0.25">
      <c r="A185" s="5">
        <v>45846</v>
      </c>
      <c r="B185" t="s">
        <v>85</v>
      </c>
      <c r="C185" t="s">
        <v>86</v>
      </c>
      <c r="D185" t="s">
        <v>58</v>
      </c>
      <c r="E185" t="s">
        <v>75</v>
      </c>
      <c r="F185" t="s">
        <v>36</v>
      </c>
      <c r="G185" t="s">
        <v>300</v>
      </c>
      <c r="H185" s="6">
        <v>34</v>
      </c>
      <c r="I185" s="7">
        <v>84.75</v>
      </c>
      <c r="J185" s="7">
        <v>2881.62</v>
      </c>
      <c r="K185" s="6">
        <v>60</v>
      </c>
      <c r="L185" t="s">
        <v>45</v>
      </c>
      <c r="M185" s="8">
        <v>576.32399999999996</v>
      </c>
      <c r="N185" s="7">
        <v>2881.62</v>
      </c>
      <c r="O185" t="s">
        <v>46</v>
      </c>
      <c r="P185" t="s">
        <v>40</v>
      </c>
    </row>
    <row r="186" spans="1:16" x14ac:dyDescent="0.25">
      <c r="A186" s="5">
        <v>46003</v>
      </c>
      <c r="B186" t="s">
        <v>110</v>
      </c>
      <c r="C186" t="s">
        <v>111</v>
      </c>
      <c r="D186" t="s">
        <v>58</v>
      </c>
      <c r="E186" t="s">
        <v>83</v>
      </c>
      <c r="F186" t="s">
        <v>71</v>
      </c>
      <c r="G186" t="s">
        <v>301</v>
      </c>
      <c r="H186" s="6">
        <v>30</v>
      </c>
      <c r="I186" s="7">
        <v>84.01</v>
      </c>
      <c r="J186" s="7">
        <v>2520.39</v>
      </c>
      <c r="K186" s="6">
        <v>45</v>
      </c>
      <c r="L186" t="s">
        <v>38</v>
      </c>
      <c r="M186" s="8">
        <v>504.07799999999997</v>
      </c>
      <c r="N186" s="7">
        <v>2520.39</v>
      </c>
      <c r="O186" t="s">
        <v>39</v>
      </c>
      <c r="P186" t="s">
        <v>40</v>
      </c>
    </row>
    <row r="187" spans="1:16" x14ac:dyDescent="0.25">
      <c r="A187" s="5">
        <v>45771</v>
      </c>
      <c r="B187" t="s">
        <v>110</v>
      </c>
      <c r="C187" t="s">
        <v>111</v>
      </c>
      <c r="D187" t="s">
        <v>58</v>
      </c>
      <c r="E187" t="s">
        <v>70</v>
      </c>
      <c r="F187" t="s">
        <v>71</v>
      </c>
      <c r="G187" t="s">
        <v>302</v>
      </c>
      <c r="H187" s="6">
        <v>9</v>
      </c>
      <c r="I187" s="7">
        <v>140.69</v>
      </c>
      <c r="J187" s="7">
        <v>1266.23</v>
      </c>
      <c r="K187" s="6">
        <v>60</v>
      </c>
      <c r="L187" t="s">
        <v>45</v>
      </c>
      <c r="M187" s="8">
        <v>253.24600000000001</v>
      </c>
      <c r="N187" s="7">
        <v>1266.23</v>
      </c>
      <c r="O187" t="s">
        <v>46</v>
      </c>
      <c r="P187" t="s">
        <v>40</v>
      </c>
    </row>
    <row r="188" spans="1:16" x14ac:dyDescent="0.25">
      <c r="A188" s="5">
        <v>45867</v>
      </c>
      <c r="B188" t="s">
        <v>80</v>
      </c>
      <c r="C188" t="s">
        <v>81</v>
      </c>
      <c r="D188" t="s">
        <v>64</v>
      </c>
      <c r="E188" t="s">
        <v>115</v>
      </c>
      <c r="F188" t="s">
        <v>60</v>
      </c>
      <c r="G188" t="s">
        <v>303</v>
      </c>
      <c r="H188" s="6">
        <v>15</v>
      </c>
      <c r="I188" s="7">
        <v>285.39999999999998</v>
      </c>
      <c r="J188" s="7">
        <v>4281.07</v>
      </c>
      <c r="K188" s="6">
        <v>30</v>
      </c>
      <c r="L188" t="s">
        <v>38</v>
      </c>
      <c r="M188" s="8">
        <v>856.21400000000006</v>
      </c>
      <c r="N188" s="7">
        <v>4281.07</v>
      </c>
      <c r="O188" t="s">
        <v>46</v>
      </c>
      <c r="P188" t="s">
        <v>40</v>
      </c>
    </row>
    <row r="189" spans="1:16" x14ac:dyDescent="0.25">
      <c r="A189" s="5">
        <v>45717</v>
      </c>
      <c r="B189" t="s">
        <v>91</v>
      </c>
      <c r="C189" t="s">
        <v>92</v>
      </c>
      <c r="D189" t="s">
        <v>64</v>
      </c>
      <c r="E189" t="s">
        <v>149</v>
      </c>
      <c r="F189" t="s">
        <v>60</v>
      </c>
      <c r="G189" t="s">
        <v>304</v>
      </c>
      <c r="H189" s="6">
        <v>13</v>
      </c>
      <c r="I189" s="7">
        <v>211.36</v>
      </c>
      <c r="J189" s="7">
        <v>2747.7</v>
      </c>
      <c r="K189" s="6">
        <v>30</v>
      </c>
      <c r="L189" t="s">
        <v>52</v>
      </c>
      <c r="M189" s="8">
        <v>549.54</v>
      </c>
      <c r="N189" s="7">
        <v>2747.7</v>
      </c>
      <c r="O189" t="s">
        <v>46</v>
      </c>
      <c r="P189" t="s">
        <v>40</v>
      </c>
    </row>
    <row r="190" spans="1:16" x14ac:dyDescent="0.25">
      <c r="A190" s="5">
        <v>45847</v>
      </c>
      <c r="B190" t="s">
        <v>143</v>
      </c>
      <c r="C190" t="s">
        <v>144</v>
      </c>
      <c r="D190" t="s">
        <v>69</v>
      </c>
      <c r="E190" t="s">
        <v>96</v>
      </c>
      <c r="F190" t="s">
        <v>97</v>
      </c>
      <c r="G190" t="s">
        <v>305</v>
      </c>
      <c r="H190" s="6">
        <v>70</v>
      </c>
      <c r="I190" s="7">
        <v>188.3</v>
      </c>
      <c r="J190" s="7">
        <v>13181.13</v>
      </c>
      <c r="K190" s="6">
        <v>45</v>
      </c>
      <c r="L190" t="s">
        <v>52</v>
      </c>
      <c r="M190" s="8">
        <v>2636.2260000000001</v>
      </c>
      <c r="N190" s="7">
        <v>13181.13</v>
      </c>
      <c r="O190" t="s">
        <v>46</v>
      </c>
      <c r="P190" t="s">
        <v>40</v>
      </c>
    </row>
    <row r="191" spans="1:16" x14ac:dyDescent="0.25">
      <c r="A191" s="5">
        <v>45993</v>
      </c>
      <c r="B191" t="s">
        <v>121</v>
      </c>
      <c r="C191" t="s">
        <v>122</v>
      </c>
      <c r="D191" t="s">
        <v>34</v>
      </c>
      <c r="E191" t="s">
        <v>88</v>
      </c>
      <c r="F191" t="s">
        <v>89</v>
      </c>
      <c r="G191" t="s">
        <v>306</v>
      </c>
      <c r="H191" s="6">
        <v>13</v>
      </c>
      <c r="I191" s="7">
        <v>78.239999999999995</v>
      </c>
      <c r="J191" s="7">
        <v>1017.13</v>
      </c>
      <c r="K191" s="6">
        <v>45</v>
      </c>
      <c r="L191" t="s">
        <v>52</v>
      </c>
      <c r="M191" s="8">
        <v>203.42599999999999</v>
      </c>
      <c r="N191" s="7">
        <v>1017.13</v>
      </c>
      <c r="O191" t="s">
        <v>46</v>
      </c>
      <c r="P191" t="s">
        <v>40</v>
      </c>
    </row>
    <row r="192" spans="1:16" x14ac:dyDescent="0.25">
      <c r="A192" s="5">
        <v>46011</v>
      </c>
      <c r="B192" t="s">
        <v>94</v>
      </c>
      <c r="C192" t="s">
        <v>95</v>
      </c>
      <c r="D192" t="s">
        <v>34</v>
      </c>
      <c r="E192" t="s">
        <v>59</v>
      </c>
      <c r="F192" t="s">
        <v>60</v>
      </c>
      <c r="G192" t="s">
        <v>307</v>
      </c>
      <c r="H192" s="6">
        <v>48</v>
      </c>
      <c r="I192" s="7">
        <v>172.09</v>
      </c>
      <c r="J192" s="7">
        <v>8260.5400000000009</v>
      </c>
      <c r="K192" s="6">
        <v>30</v>
      </c>
      <c r="L192" t="s">
        <v>45</v>
      </c>
      <c r="M192" s="8">
        <v>1652.1079999999999</v>
      </c>
      <c r="N192" s="7">
        <v>8260.5400000000009</v>
      </c>
      <c r="O192" t="s">
        <v>39</v>
      </c>
      <c r="P192" t="s">
        <v>40</v>
      </c>
    </row>
    <row r="193" spans="1:16" x14ac:dyDescent="0.25">
      <c r="A193" s="5">
        <v>45708</v>
      </c>
      <c r="B193" t="s">
        <v>201</v>
      </c>
      <c r="C193" t="s">
        <v>202</v>
      </c>
      <c r="D193" t="s">
        <v>64</v>
      </c>
      <c r="E193" t="s">
        <v>65</v>
      </c>
      <c r="F193" t="s">
        <v>54</v>
      </c>
      <c r="G193" t="s">
        <v>308</v>
      </c>
      <c r="H193" s="6">
        <v>48</v>
      </c>
      <c r="I193" s="7">
        <v>400.41</v>
      </c>
      <c r="J193" s="7">
        <v>19219.509999999998</v>
      </c>
      <c r="K193" s="6">
        <v>60</v>
      </c>
      <c r="L193" t="s">
        <v>52</v>
      </c>
      <c r="M193" s="8">
        <v>3843.902</v>
      </c>
      <c r="N193" s="7">
        <v>19219.509999999998</v>
      </c>
      <c r="O193" t="s">
        <v>46</v>
      </c>
      <c r="P193" t="s">
        <v>40</v>
      </c>
    </row>
    <row r="194" spans="1:16" x14ac:dyDescent="0.25">
      <c r="A194" s="5">
        <v>45799</v>
      </c>
      <c r="B194" t="s">
        <v>77</v>
      </c>
      <c r="C194" t="s">
        <v>78</v>
      </c>
      <c r="D194" t="s">
        <v>58</v>
      </c>
      <c r="E194" t="s">
        <v>210</v>
      </c>
      <c r="F194" t="s">
        <v>50</v>
      </c>
      <c r="G194" t="s">
        <v>309</v>
      </c>
      <c r="H194" s="6">
        <v>25</v>
      </c>
      <c r="I194" s="7">
        <v>135</v>
      </c>
      <c r="J194" s="7">
        <v>3374.89</v>
      </c>
      <c r="K194" s="6">
        <v>30</v>
      </c>
      <c r="L194" t="s">
        <v>45</v>
      </c>
      <c r="M194" s="8">
        <v>674.97799999999995</v>
      </c>
      <c r="N194" s="7">
        <v>3374.89</v>
      </c>
      <c r="O194" t="s">
        <v>46</v>
      </c>
      <c r="P194" t="s">
        <v>40</v>
      </c>
    </row>
    <row r="195" spans="1:16" x14ac:dyDescent="0.25">
      <c r="A195" s="5">
        <v>45985</v>
      </c>
      <c r="B195" t="s">
        <v>77</v>
      </c>
      <c r="C195" t="s">
        <v>78</v>
      </c>
      <c r="D195" t="s">
        <v>58</v>
      </c>
      <c r="E195" t="s">
        <v>53</v>
      </c>
      <c r="F195" t="s">
        <v>54</v>
      </c>
      <c r="G195" t="s">
        <v>310</v>
      </c>
      <c r="H195" s="6">
        <v>77</v>
      </c>
      <c r="I195" s="7">
        <v>126</v>
      </c>
      <c r="J195" s="7">
        <v>9702.2199999999993</v>
      </c>
      <c r="K195" s="6">
        <v>30</v>
      </c>
      <c r="L195" t="s">
        <v>38</v>
      </c>
      <c r="M195" s="8">
        <v>1940.444</v>
      </c>
      <c r="N195" s="7">
        <v>9702.2199999999993</v>
      </c>
      <c r="O195" t="s">
        <v>46</v>
      </c>
      <c r="P195" t="s">
        <v>40</v>
      </c>
    </row>
    <row r="196" spans="1:16" x14ac:dyDescent="0.25">
      <c r="A196" s="5">
        <v>45947</v>
      </c>
      <c r="B196" t="s">
        <v>73</v>
      </c>
      <c r="C196" t="s">
        <v>74</v>
      </c>
      <c r="D196" t="s">
        <v>69</v>
      </c>
      <c r="E196" t="s">
        <v>135</v>
      </c>
      <c r="F196" t="s">
        <v>54</v>
      </c>
      <c r="G196" t="s">
        <v>311</v>
      </c>
      <c r="H196" s="6">
        <v>27</v>
      </c>
      <c r="I196" s="7">
        <v>274.98</v>
      </c>
      <c r="J196" s="7">
        <v>7424.55</v>
      </c>
      <c r="K196" s="6">
        <v>30</v>
      </c>
      <c r="L196" t="s">
        <v>52</v>
      </c>
      <c r="M196" s="8">
        <v>1484.91</v>
      </c>
      <c r="N196" s="7">
        <v>7424.55</v>
      </c>
      <c r="O196" t="s">
        <v>46</v>
      </c>
      <c r="P196" t="s">
        <v>40</v>
      </c>
    </row>
    <row r="197" spans="1:16" x14ac:dyDescent="0.25">
      <c r="A197" s="5">
        <v>45826</v>
      </c>
      <c r="B197" t="s">
        <v>56</v>
      </c>
      <c r="C197" t="s">
        <v>57</v>
      </c>
      <c r="D197" t="s">
        <v>58</v>
      </c>
      <c r="E197" t="s">
        <v>135</v>
      </c>
      <c r="F197" t="s">
        <v>54</v>
      </c>
      <c r="G197" t="s">
        <v>312</v>
      </c>
      <c r="H197" s="6">
        <v>19</v>
      </c>
      <c r="I197" s="7">
        <v>309.01</v>
      </c>
      <c r="J197" s="7">
        <v>5871.26</v>
      </c>
      <c r="K197" s="6">
        <v>60</v>
      </c>
      <c r="L197" t="s">
        <v>38</v>
      </c>
      <c r="M197" s="8">
        <v>1174.252</v>
      </c>
      <c r="N197" s="7">
        <v>5871.26</v>
      </c>
      <c r="O197" t="s">
        <v>46</v>
      </c>
      <c r="P197" t="s">
        <v>40</v>
      </c>
    </row>
    <row r="198" spans="1:16" x14ac:dyDescent="0.25">
      <c r="A198" s="5">
        <v>45934</v>
      </c>
      <c r="B198" t="s">
        <v>73</v>
      </c>
      <c r="C198" t="s">
        <v>74</v>
      </c>
      <c r="D198" t="s">
        <v>69</v>
      </c>
      <c r="E198" t="s">
        <v>154</v>
      </c>
      <c r="F198" t="s">
        <v>89</v>
      </c>
      <c r="G198" t="s">
        <v>313</v>
      </c>
      <c r="H198" s="6">
        <v>33</v>
      </c>
      <c r="I198" s="7">
        <v>110.7</v>
      </c>
      <c r="J198" s="7">
        <v>3653.14</v>
      </c>
      <c r="K198" s="6">
        <v>30</v>
      </c>
      <c r="L198" t="s">
        <v>38</v>
      </c>
      <c r="M198" s="8">
        <v>730.62800000000004</v>
      </c>
      <c r="N198" s="7">
        <v>3653.14</v>
      </c>
      <c r="O198" t="s">
        <v>39</v>
      </c>
      <c r="P198" t="s">
        <v>40</v>
      </c>
    </row>
    <row r="199" spans="1:16" x14ac:dyDescent="0.25">
      <c r="A199" s="5">
        <v>45665</v>
      </c>
      <c r="B199" t="s">
        <v>100</v>
      </c>
      <c r="C199" t="s">
        <v>101</v>
      </c>
      <c r="D199" t="s">
        <v>69</v>
      </c>
      <c r="E199" t="s">
        <v>49</v>
      </c>
      <c r="F199" t="s">
        <v>50</v>
      </c>
      <c r="G199" t="s">
        <v>314</v>
      </c>
      <c r="H199" s="6">
        <v>46</v>
      </c>
      <c r="I199" s="7">
        <v>130.59</v>
      </c>
      <c r="J199" s="7">
        <v>6007.01</v>
      </c>
      <c r="K199" s="6">
        <v>30</v>
      </c>
      <c r="L199" t="s">
        <v>52</v>
      </c>
      <c r="M199" s="8">
        <v>1201.402</v>
      </c>
      <c r="N199" s="7">
        <v>6007.01</v>
      </c>
      <c r="O199" t="s">
        <v>39</v>
      </c>
      <c r="P199" t="s">
        <v>40</v>
      </c>
    </row>
    <row r="200" spans="1:16" x14ac:dyDescent="0.25">
      <c r="A200" s="5">
        <v>45793</v>
      </c>
      <c r="B200" t="s">
        <v>73</v>
      </c>
      <c r="C200" t="s">
        <v>74</v>
      </c>
      <c r="D200" t="s">
        <v>69</v>
      </c>
      <c r="E200" t="s">
        <v>49</v>
      </c>
      <c r="F200" t="s">
        <v>50</v>
      </c>
      <c r="G200" t="s">
        <v>315</v>
      </c>
      <c r="H200" s="6">
        <v>7</v>
      </c>
      <c r="I200" s="7">
        <v>123.9</v>
      </c>
      <c r="J200" s="7">
        <v>867.33</v>
      </c>
      <c r="K200" s="6">
        <v>30</v>
      </c>
      <c r="L200" t="s">
        <v>52</v>
      </c>
      <c r="M200" s="8">
        <v>173.46600000000001</v>
      </c>
      <c r="N200" s="7">
        <v>867.33</v>
      </c>
      <c r="O200" t="s">
        <v>39</v>
      </c>
      <c r="P200" t="s">
        <v>40</v>
      </c>
    </row>
    <row r="201" spans="1:16" x14ac:dyDescent="0.25">
      <c r="A201" s="5">
        <v>45690</v>
      </c>
      <c r="B201" t="s">
        <v>113</v>
      </c>
      <c r="C201" t="s">
        <v>114</v>
      </c>
      <c r="D201" t="s">
        <v>69</v>
      </c>
      <c r="E201" t="s">
        <v>43</v>
      </c>
      <c r="F201" t="s">
        <v>36</v>
      </c>
      <c r="G201" t="s">
        <v>316</v>
      </c>
      <c r="H201" s="6">
        <v>61</v>
      </c>
      <c r="I201" s="7">
        <v>34.67</v>
      </c>
      <c r="J201" s="7">
        <v>2114.61</v>
      </c>
      <c r="K201" s="6">
        <v>45</v>
      </c>
      <c r="L201" t="s">
        <v>45</v>
      </c>
      <c r="M201" s="8">
        <v>422.92200000000003</v>
      </c>
      <c r="N201" s="7">
        <v>2114.61</v>
      </c>
      <c r="O201" t="s">
        <v>46</v>
      </c>
      <c r="P201" t="s">
        <v>40</v>
      </c>
    </row>
    <row r="202" spans="1:16" x14ac:dyDescent="0.25">
      <c r="A202" s="5">
        <v>45915</v>
      </c>
      <c r="B202" t="s">
        <v>62</v>
      </c>
      <c r="C202" t="s">
        <v>63</v>
      </c>
      <c r="D202" t="s">
        <v>64</v>
      </c>
      <c r="E202" t="s">
        <v>75</v>
      </c>
      <c r="F202" t="s">
        <v>36</v>
      </c>
      <c r="G202" t="s">
        <v>317</v>
      </c>
      <c r="H202" s="6">
        <v>29</v>
      </c>
      <c r="I202" s="7">
        <v>79.14</v>
      </c>
      <c r="J202" s="7">
        <v>2294.9499999999998</v>
      </c>
      <c r="K202" s="6">
        <v>60</v>
      </c>
      <c r="L202" t="s">
        <v>38</v>
      </c>
      <c r="M202" s="8">
        <v>458.99</v>
      </c>
      <c r="N202" s="7">
        <v>2294.9499999999998</v>
      </c>
      <c r="O202" t="s">
        <v>46</v>
      </c>
      <c r="P202" t="s">
        <v>40</v>
      </c>
    </row>
    <row r="203" spans="1:16" x14ac:dyDescent="0.25">
      <c r="A203" s="5">
        <v>45987</v>
      </c>
      <c r="B203" t="s">
        <v>77</v>
      </c>
      <c r="C203" t="s">
        <v>78</v>
      </c>
      <c r="D203" t="s">
        <v>58</v>
      </c>
      <c r="E203" t="s">
        <v>149</v>
      </c>
      <c r="F203" t="s">
        <v>60</v>
      </c>
      <c r="G203" t="s">
        <v>318</v>
      </c>
      <c r="H203" s="6">
        <v>4</v>
      </c>
      <c r="I203" s="7">
        <v>299.48</v>
      </c>
      <c r="J203" s="7">
        <v>1197.93</v>
      </c>
      <c r="K203" s="6">
        <v>30</v>
      </c>
      <c r="L203" t="s">
        <v>45</v>
      </c>
      <c r="M203" s="8">
        <v>239.58600000000001</v>
      </c>
      <c r="N203" s="7">
        <v>1197.93</v>
      </c>
      <c r="O203" t="s">
        <v>46</v>
      </c>
      <c r="P203" t="s">
        <v>40</v>
      </c>
    </row>
    <row r="204" spans="1:16" x14ac:dyDescent="0.25">
      <c r="A204" s="5">
        <v>45713</v>
      </c>
      <c r="B204" t="s">
        <v>118</v>
      </c>
      <c r="C204" t="s">
        <v>119</v>
      </c>
      <c r="D204" t="s">
        <v>64</v>
      </c>
      <c r="E204" t="s">
        <v>105</v>
      </c>
      <c r="F204" t="s">
        <v>97</v>
      </c>
      <c r="G204" t="s">
        <v>319</v>
      </c>
      <c r="H204" s="6">
        <v>63</v>
      </c>
      <c r="I204" s="7">
        <v>544.28</v>
      </c>
      <c r="J204" s="7">
        <v>34289.53</v>
      </c>
      <c r="K204" s="6">
        <v>60</v>
      </c>
      <c r="L204" t="s">
        <v>45</v>
      </c>
      <c r="M204" s="8">
        <v>6857.9059999999999</v>
      </c>
      <c r="N204" s="7">
        <v>34289.53</v>
      </c>
      <c r="O204" t="s">
        <v>46</v>
      </c>
      <c r="P204" t="s">
        <v>40</v>
      </c>
    </row>
    <row r="205" spans="1:16" x14ac:dyDescent="0.25">
      <c r="A205" s="5">
        <v>45969</v>
      </c>
      <c r="B205" t="s">
        <v>56</v>
      </c>
      <c r="C205" t="s">
        <v>57</v>
      </c>
      <c r="D205" t="s">
        <v>58</v>
      </c>
      <c r="E205" t="s">
        <v>75</v>
      </c>
      <c r="F205" t="s">
        <v>36</v>
      </c>
      <c r="G205" t="s">
        <v>320</v>
      </c>
      <c r="H205" s="6">
        <v>19</v>
      </c>
      <c r="I205" s="7">
        <v>116.05</v>
      </c>
      <c r="J205" s="7">
        <v>2204.86</v>
      </c>
      <c r="K205" s="6">
        <v>30</v>
      </c>
      <c r="L205" t="s">
        <v>38</v>
      </c>
      <c r="M205" s="8">
        <v>440.97199999999998</v>
      </c>
      <c r="N205" s="7">
        <v>2204.86</v>
      </c>
      <c r="O205" t="s">
        <v>46</v>
      </c>
      <c r="P205" t="s">
        <v>40</v>
      </c>
    </row>
    <row r="206" spans="1:16" x14ac:dyDescent="0.25">
      <c r="A206" s="5">
        <v>45963</v>
      </c>
      <c r="B206" t="s">
        <v>32</v>
      </c>
      <c r="C206" t="s">
        <v>33</v>
      </c>
      <c r="D206" t="s">
        <v>34</v>
      </c>
      <c r="E206" t="s">
        <v>132</v>
      </c>
      <c r="F206" t="s">
        <v>71</v>
      </c>
      <c r="G206" t="s">
        <v>321</v>
      </c>
      <c r="H206" s="6">
        <v>68</v>
      </c>
      <c r="I206" s="7">
        <v>44.53</v>
      </c>
      <c r="J206" s="7">
        <v>3028.03</v>
      </c>
      <c r="K206" s="6">
        <v>45</v>
      </c>
      <c r="L206" t="s">
        <v>45</v>
      </c>
      <c r="M206" s="8">
        <v>605.60599999999999</v>
      </c>
      <c r="N206" s="7">
        <v>3028.03</v>
      </c>
      <c r="O206" t="s">
        <v>46</v>
      </c>
      <c r="P206" t="s">
        <v>40</v>
      </c>
    </row>
    <row r="207" spans="1:16" x14ac:dyDescent="0.25">
      <c r="A207" s="5">
        <v>46017</v>
      </c>
      <c r="B207" t="s">
        <v>80</v>
      </c>
      <c r="C207" t="s">
        <v>81</v>
      </c>
      <c r="D207" t="s">
        <v>64</v>
      </c>
      <c r="E207" t="s">
        <v>204</v>
      </c>
      <c r="F207" t="s">
        <v>97</v>
      </c>
      <c r="G207" t="s">
        <v>322</v>
      </c>
      <c r="H207" s="6">
        <v>15</v>
      </c>
      <c r="I207" s="7">
        <v>179.11</v>
      </c>
      <c r="J207" s="7">
        <v>2686.59</v>
      </c>
      <c r="K207" s="6">
        <v>60</v>
      </c>
      <c r="L207" t="s">
        <v>52</v>
      </c>
      <c r="M207" s="8">
        <v>537.31799999999998</v>
      </c>
      <c r="N207" s="7">
        <v>2686.59</v>
      </c>
      <c r="O207" t="s">
        <v>46</v>
      </c>
      <c r="P207" t="s">
        <v>40</v>
      </c>
    </row>
    <row r="208" spans="1:16" x14ac:dyDescent="0.25">
      <c r="A208" s="5">
        <v>45889</v>
      </c>
      <c r="B208" t="s">
        <v>100</v>
      </c>
      <c r="C208" t="s">
        <v>101</v>
      </c>
      <c r="D208" t="s">
        <v>69</v>
      </c>
      <c r="E208" t="s">
        <v>65</v>
      </c>
      <c r="F208" t="s">
        <v>54</v>
      </c>
      <c r="G208" t="s">
        <v>323</v>
      </c>
      <c r="H208" s="6">
        <v>30</v>
      </c>
      <c r="I208" s="7">
        <v>331.87</v>
      </c>
      <c r="J208" s="7">
        <v>9955.9699999999993</v>
      </c>
      <c r="K208" s="6">
        <v>45</v>
      </c>
      <c r="L208" t="s">
        <v>45</v>
      </c>
      <c r="M208" s="8">
        <v>1991.194</v>
      </c>
      <c r="N208" s="7">
        <v>9955.9699999999993</v>
      </c>
      <c r="O208" t="s">
        <v>46</v>
      </c>
      <c r="P208" t="s">
        <v>40</v>
      </c>
    </row>
    <row r="209" spans="1:16" x14ac:dyDescent="0.25">
      <c r="A209" s="5">
        <v>45706</v>
      </c>
      <c r="B209" t="s">
        <v>121</v>
      </c>
      <c r="C209" t="s">
        <v>122</v>
      </c>
      <c r="D209" t="s">
        <v>34</v>
      </c>
      <c r="E209" t="s">
        <v>96</v>
      </c>
      <c r="F209" t="s">
        <v>97</v>
      </c>
      <c r="G209" t="s">
        <v>324</v>
      </c>
      <c r="H209" s="6">
        <v>41</v>
      </c>
      <c r="I209" s="7">
        <v>397.97</v>
      </c>
      <c r="J209" s="7">
        <v>16316.58</v>
      </c>
      <c r="K209" s="6">
        <v>45</v>
      </c>
      <c r="L209" t="s">
        <v>45</v>
      </c>
      <c r="M209" s="8">
        <v>3263.3159999999998</v>
      </c>
      <c r="N209" s="7">
        <v>16316.58</v>
      </c>
      <c r="O209" t="s">
        <v>46</v>
      </c>
      <c r="P209" t="s">
        <v>40</v>
      </c>
    </row>
    <row r="210" spans="1:16" x14ac:dyDescent="0.25">
      <c r="A210" s="5">
        <v>45736</v>
      </c>
      <c r="B210" t="s">
        <v>103</v>
      </c>
      <c r="C210" t="s">
        <v>104</v>
      </c>
      <c r="D210" t="s">
        <v>58</v>
      </c>
      <c r="E210" t="s">
        <v>149</v>
      </c>
      <c r="F210" t="s">
        <v>60</v>
      </c>
      <c r="G210" t="s">
        <v>325</v>
      </c>
      <c r="H210" s="6">
        <v>61</v>
      </c>
      <c r="I210" s="7">
        <v>292.04000000000002</v>
      </c>
      <c r="J210" s="7">
        <v>17814.669999999998</v>
      </c>
      <c r="K210" s="6">
        <v>30</v>
      </c>
      <c r="L210" t="s">
        <v>38</v>
      </c>
      <c r="M210" s="8">
        <v>3562.9340000000002</v>
      </c>
      <c r="N210" s="7">
        <v>17814.669999999998</v>
      </c>
      <c r="O210" t="s">
        <v>46</v>
      </c>
      <c r="P210" t="s">
        <v>40</v>
      </c>
    </row>
    <row r="211" spans="1:16" x14ac:dyDescent="0.25">
      <c r="A211" s="5">
        <v>45707</v>
      </c>
      <c r="B211" t="s">
        <v>47</v>
      </c>
      <c r="C211" t="s">
        <v>48</v>
      </c>
      <c r="D211" t="s">
        <v>34</v>
      </c>
      <c r="E211" t="s">
        <v>75</v>
      </c>
      <c r="F211" t="s">
        <v>36</v>
      </c>
      <c r="G211" t="s">
        <v>326</v>
      </c>
      <c r="H211" s="6">
        <v>48</v>
      </c>
      <c r="I211" s="7">
        <v>540.98</v>
      </c>
      <c r="J211" s="7">
        <v>25967.23</v>
      </c>
      <c r="K211" s="6">
        <v>30</v>
      </c>
      <c r="L211" t="s">
        <v>52</v>
      </c>
      <c r="M211" s="8">
        <v>5193.4459999999999</v>
      </c>
      <c r="N211" s="7">
        <v>25967.23</v>
      </c>
      <c r="O211" t="s">
        <v>46</v>
      </c>
      <c r="P211" t="s">
        <v>40</v>
      </c>
    </row>
    <row r="212" spans="1:16" x14ac:dyDescent="0.25">
      <c r="A212" s="5">
        <v>45720</v>
      </c>
      <c r="B212" t="s">
        <v>103</v>
      </c>
      <c r="C212" t="s">
        <v>104</v>
      </c>
      <c r="D212" t="s">
        <v>58</v>
      </c>
      <c r="E212" t="s">
        <v>70</v>
      </c>
      <c r="F212" t="s">
        <v>71</v>
      </c>
      <c r="G212" t="s">
        <v>327</v>
      </c>
      <c r="H212" s="6">
        <v>53</v>
      </c>
      <c r="I212" s="7">
        <v>130.04</v>
      </c>
      <c r="J212" s="7">
        <v>6892.29</v>
      </c>
      <c r="K212" s="6">
        <v>45</v>
      </c>
      <c r="L212" t="s">
        <v>52</v>
      </c>
      <c r="M212" s="8">
        <v>1378.4580000000001</v>
      </c>
      <c r="N212" s="7">
        <v>6892.29</v>
      </c>
      <c r="O212" t="s">
        <v>46</v>
      </c>
      <c r="P212" t="s">
        <v>40</v>
      </c>
    </row>
    <row r="213" spans="1:16" x14ac:dyDescent="0.25">
      <c r="A213" s="5">
        <v>45684</v>
      </c>
      <c r="B213" t="s">
        <v>47</v>
      </c>
      <c r="C213" t="s">
        <v>48</v>
      </c>
      <c r="D213" t="s">
        <v>34</v>
      </c>
      <c r="E213" t="s">
        <v>105</v>
      </c>
      <c r="F213" t="s">
        <v>97</v>
      </c>
      <c r="G213" t="s">
        <v>328</v>
      </c>
      <c r="H213" s="6">
        <v>37</v>
      </c>
      <c r="I213" s="7">
        <v>560.23</v>
      </c>
      <c r="J213" s="7">
        <v>20728.43</v>
      </c>
      <c r="K213" s="6">
        <v>60</v>
      </c>
      <c r="L213" t="s">
        <v>45</v>
      </c>
      <c r="M213" s="8">
        <v>4145.6859999999997</v>
      </c>
      <c r="N213" s="7">
        <v>20728.43</v>
      </c>
      <c r="O213" t="s">
        <v>46</v>
      </c>
      <c r="P213" t="s">
        <v>40</v>
      </c>
    </row>
    <row r="214" spans="1:16" x14ac:dyDescent="0.25">
      <c r="A214" s="5">
        <v>45917</v>
      </c>
      <c r="B214" t="s">
        <v>103</v>
      </c>
      <c r="C214" t="s">
        <v>104</v>
      </c>
      <c r="D214" t="s">
        <v>58</v>
      </c>
      <c r="E214" t="s">
        <v>43</v>
      </c>
      <c r="F214" t="s">
        <v>36</v>
      </c>
      <c r="G214" t="s">
        <v>329</v>
      </c>
      <c r="H214" s="6">
        <v>28</v>
      </c>
      <c r="I214" s="7">
        <v>109.85</v>
      </c>
      <c r="J214" s="7">
        <v>3075.72</v>
      </c>
      <c r="K214" s="6">
        <v>30</v>
      </c>
      <c r="L214" t="s">
        <v>52</v>
      </c>
      <c r="M214" s="8">
        <v>615.14400000000001</v>
      </c>
      <c r="N214" s="7">
        <v>3075.72</v>
      </c>
      <c r="O214" t="s">
        <v>46</v>
      </c>
      <c r="P214" t="s">
        <v>40</v>
      </c>
    </row>
    <row r="215" spans="1:16" x14ac:dyDescent="0.25">
      <c r="A215" s="5">
        <v>45837</v>
      </c>
      <c r="B215" t="s">
        <v>113</v>
      </c>
      <c r="C215" t="s">
        <v>114</v>
      </c>
      <c r="D215" t="s">
        <v>69</v>
      </c>
      <c r="E215" t="s">
        <v>135</v>
      </c>
      <c r="F215" t="s">
        <v>54</v>
      </c>
      <c r="G215" t="s">
        <v>330</v>
      </c>
      <c r="H215" s="6">
        <v>72</v>
      </c>
      <c r="I215" s="7">
        <v>357.71</v>
      </c>
      <c r="J215" s="7">
        <v>25755.21</v>
      </c>
      <c r="K215" s="6">
        <v>45</v>
      </c>
      <c r="L215" t="s">
        <v>38</v>
      </c>
      <c r="M215" s="8">
        <v>5151.0420000000004</v>
      </c>
      <c r="N215" s="7">
        <v>25755.21</v>
      </c>
      <c r="O215" t="s">
        <v>46</v>
      </c>
      <c r="P215" t="s">
        <v>40</v>
      </c>
    </row>
    <row r="216" spans="1:16" x14ac:dyDescent="0.25">
      <c r="A216" s="5">
        <v>45773</v>
      </c>
      <c r="B216" t="s">
        <v>110</v>
      </c>
      <c r="C216" t="s">
        <v>111</v>
      </c>
      <c r="D216" t="s">
        <v>58</v>
      </c>
      <c r="E216" t="s">
        <v>115</v>
      </c>
      <c r="F216" t="s">
        <v>60</v>
      </c>
      <c r="G216" t="s">
        <v>331</v>
      </c>
      <c r="H216" s="6">
        <v>55</v>
      </c>
      <c r="I216" s="7">
        <v>184.98</v>
      </c>
      <c r="J216" s="7">
        <v>10173.709999999999</v>
      </c>
      <c r="K216" s="6">
        <v>60</v>
      </c>
      <c r="L216" t="s">
        <v>52</v>
      </c>
      <c r="M216" s="8">
        <v>2034.742</v>
      </c>
      <c r="N216" s="7">
        <v>10173.709999999999</v>
      </c>
      <c r="O216" t="s">
        <v>46</v>
      </c>
      <c r="P216" t="s">
        <v>40</v>
      </c>
    </row>
    <row r="217" spans="1:16" x14ac:dyDescent="0.25">
      <c r="A217" s="5">
        <v>45994</v>
      </c>
      <c r="B217" t="s">
        <v>85</v>
      </c>
      <c r="C217" t="s">
        <v>86</v>
      </c>
      <c r="D217" t="s">
        <v>58</v>
      </c>
      <c r="E217" t="s">
        <v>152</v>
      </c>
      <c r="F217" t="s">
        <v>50</v>
      </c>
      <c r="G217" t="s">
        <v>332</v>
      </c>
      <c r="H217" s="6">
        <v>35</v>
      </c>
      <c r="I217" s="7">
        <v>182.17</v>
      </c>
      <c r="J217" s="7">
        <v>6375.85</v>
      </c>
      <c r="K217" s="6">
        <v>30</v>
      </c>
      <c r="L217" t="s">
        <v>38</v>
      </c>
      <c r="M217" s="8">
        <v>1275.17</v>
      </c>
      <c r="N217" s="7">
        <v>6375.85</v>
      </c>
      <c r="O217" t="s">
        <v>46</v>
      </c>
      <c r="P217" t="s">
        <v>40</v>
      </c>
    </row>
    <row r="218" spans="1:16" x14ac:dyDescent="0.25">
      <c r="A218" s="5">
        <v>45837</v>
      </c>
      <c r="B218" t="s">
        <v>110</v>
      </c>
      <c r="C218" t="s">
        <v>111</v>
      </c>
      <c r="D218" t="s">
        <v>58</v>
      </c>
      <c r="E218" t="s">
        <v>149</v>
      </c>
      <c r="F218" t="s">
        <v>60</v>
      </c>
      <c r="G218" t="s">
        <v>333</v>
      </c>
      <c r="H218" s="6">
        <v>1</v>
      </c>
      <c r="I218" s="7">
        <v>143.82</v>
      </c>
      <c r="J218" s="7">
        <v>143.82</v>
      </c>
      <c r="K218" s="6">
        <v>30</v>
      </c>
      <c r="L218" t="s">
        <v>38</v>
      </c>
      <c r="M218" s="8">
        <v>28.763999999999999</v>
      </c>
      <c r="N218" s="7">
        <v>143.82</v>
      </c>
      <c r="O218" t="s">
        <v>46</v>
      </c>
      <c r="P218" t="s">
        <v>40</v>
      </c>
    </row>
    <row r="219" spans="1:16" x14ac:dyDescent="0.25">
      <c r="A219" s="5">
        <v>45730</v>
      </c>
      <c r="B219" t="s">
        <v>73</v>
      </c>
      <c r="C219" t="s">
        <v>74</v>
      </c>
      <c r="D219" t="s">
        <v>69</v>
      </c>
      <c r="E219" t="s">
        <v>204</v>
      </c>
      <c r="F219" t="s">
        <v>97</v>
      </c>
      <c r="G219" t="s">
        <v>334</v>
      </c>
      <c r="H219" s="6">
        <v>4</v>
      </c>
      <c r="I219" s="7">
        <v>263.36</v>
      </c>
      <c r="J219" s="7">
        <v>1053.45</v>
      </c>
      <c r="K219" s="6">
        <v>30</v>
      </c>
      <c r="L219" t="s">
        <v>52</v>
      </c>
      <c r="M219" s="8">
        <v>210.69</v>
      </c>
      <c r="N219" s="7">
        <v>1053.45</v>
      </c>
      <c r="O219" t="s">
        <v>46</v>
      </c>
      <c r="P219" t="s">
        <v>40</v>
      </c>
    </row>
    <row r="220" spans="1:16" x14ac:dyDescent="0.25">
      <c r="A220" s="5">
        <v>45872</v>
      </c>
      <c r="B220" t="s">
        <v>113</v>
      </c>
      <c r="C220" t="s">
        <v>114</v>
      </c>
      <c r="D220" t="s">
        <v>69</v>
      </c>
      <c r="E220" t="s">
        <v>65</v>
      </c>
      <c r="F220" t="s">
        <v>54</v>
      </c>
      <c r="G220" t="s">
        <v>335</v>
      </c>
      <c r="H220" s="6">
        <v>59</v>
      </c>
      <c r="I220" s="7">
        <v>191.43</v>
      </c>
      <c r="J220" s="7">
        <v>11294.24</v>
      </c>
      <c r="K220" s="6">
        <v>45</v>
      </c>
      <c r="L220" t="s">
        <v>38</v>
      </c>
      <c r="M220" s="8">
        <v>2258.848</v>
      </c>
      <c r="N220" s="7">
        <v>11294.24</v>
      </c>
      <c r="O220" t="s">
        <v>46</v>
      </c>
      <c r="P220" t="s">
        <v>40</v>
      </c>
    </row>
    <row r="221" spans="1:16" x14ac:dyDescent="0.25">
      <c r="A221" s="5">
        <v>45824</v>
      </c>
      <c r="B221" t="s">
        <v>110</v>
      </c>
      <c r="C221" t="s">
        <v>111</v>
      </c>
      <c r="D221" t="s">
        <v>58</v>
      </c>
      <c r="E221" t="s">
        <v>115</v>
      </c>
      <c r="F221" t="s">
        <v>60</v>
      </c>
      <c r="G221" t="s">
        <v>336</v>
      </c>
      <c r="H221" s="6">
        <v>73</v>
      </c>
      <c r="I221" s="7">
        <v>230.13</v>
      </c>
      <c r="J221" s="7">
        <v>16799.72</v>
      </c>
      <c r="K221" s="6">
        <v>60</v>
      </c>
      <c r="L221" t="s">
        <v>38</v>
      </c>
      <c r="M221" s="8">
        <v>3359.944</v>
      </c>
      <c r="N221" s="7">
        <v>16799.72</v>
      </c>
      <c r="O221" t="s">
        <v>46</v>
      </c>
      <c r="P221" t="s">
        <v>40</v>
      </c>
    </row>
    <row r="222" spans="1:16" x14ac:dyDescent="0.25">
      <c r="A222" s="5">
        <v>45974</v>
      </c>
      <c r="B222" t="s">
        <v>73</v>
      </c>
      <c r="C222" t="s">
        <v>74</v>
      </c>
      <c r="D222" t="s">
        <v>69</v>
      </c>
      <c r="E222" t="s">
        <v>154</v>
      </c>
      <c r="F222" t="s">
        <v>89</v>
      </c>
      <c r="G222" t="s">
        <v>337</v>
      </c>
      <c r="H222" s="6">
        <v>7</v>
      </c>
      <c r="I222" s="7">
        <v>642.91999999999996</v>
      </c>
      <c r="J222" s="7">
        <v>4500.43</v>
      </c>
      <c r="K222" s="6">
        <v>60</v>
      </c>
      <c r="L222" t="s">
        <v>38</v>
      </c>
      <c r="M222" s="8">
        <v>900.08600000000001</v>
      </c>
      <c r="N222" s="7">
        <v>4500.43</v>
      </c>
      <c r="O222" t="s">
        <v>39</v>
      </c>
      <c r="P222" t="s">
        <v>40</v>
      </c>
    </row>
    <row r="223" spans="1:16" x14ac:dyDescent="0.25">
      <c r="A223" s="5">
        <v>45875</v>
      </c>
      <c r="B223" t="s">
        <v>110</v>
      </c>
      <c r="C223" t="s">
        <v>111</v>
      </c>
      <c r="D223" t="s">
        <v>58</v>
      </c>
      <c r="E223" t="s">
        <v>129</v>
      </c>
      <c r="F223" t="s">
        <v>108</v>
      </c>
      <c r="G223" t="s">
        <v>338</v>
      </c>
      <c r="H223" s="6">
        <v>63</v>
      </c>
      <c r="I223" s="7">
        <v>26.86</v>
      </c>
      <c r="J223" s="7">
        <v>1691.93</v>
      </c>
      <c r="K223" s="6">
        <v>60</v>
      </c>
      <c r="L223" t="s">
        <v>45</v>
      </c>
      <c r="M223" s="8">
        <v>338.38600000000002</v>
      </c>
      <c r="N223" s="7">
        <v>1691.93</v>
      </c>
      <c r="O223" t="s">
        <v>46</v>
      </c>
      <c r="P223" t="s">
        <v>40</v>
      </c>
    </row>
    <row r="224" spans="1:16" x14ac:dyDescent="0.25">
      <c r="A224" s="5">
        <v>45920</v>
      </c>
      <c r="B224" t="s">
        <v>201</v>
      </c>
      <c r="C224" t="s">
        <v>202</v>
      </c>
      <c r="D224" t="s">
        <v>64</v>
      </c>
      <c r="E224" t="s">
        <v>59</v>
      </c>
      <c r="F224" t="s">
        <v>60</v>
      </c>
      <c r="G224" t="s">
        <v>339</v>
      </c>
      <c r="H224" s="6">
        <v>15</v>
      </c>
      <c r="I224" s="7">
        <v>320.88</v>
      </c>
      <c r="J224" s="7">
        <v>4813.22</v>
      </c>
      <c r="K224" s="6">
        <v>45</v>
      </c>
      <c r="L224" t="s">
        <v>45</v>
      </c>
      <c r="M224" s="8">
        <v>962.64400000000001</v>
      </c>
      <c r="N224" s="7">
        <v>4813.22</v>
      </c>
      <c r="O224" t="s">
        <v>39</v>
      </c>
      <c r="P224" t="s">
        <v>40</v>
      </c>
    </row>
    <row r="225" spans="1:16" x14ac:dyDescent="0.25">
      <c r="A225" s="5">
        <v>46005</v>
      </c>
      <c r="B225" t="s">
        <v>80</v>
      </c>
      <c r="C225" t="s">
        <v>81</v>
      </c>
      <c r="D225" t="s">
        <v>64</v>
      </c>
      <c r="E225" t="s">
        <v>115</v>
      </c>
      <c r="F225" t="s">
        <v>60</v>
      </c>
      <c r="G225" t="s">
        <v>340</v>
      </c>
      <c r="H225" s="6">
        <v>76</v>
      </c>
      <c r="I225" s="7">
        <v>90.62</v>
      </c>
      <c r="J225" s="7">
        <v>6886.84</v>
      </c>
      <c r="K225" s="6">
        <v>45</v>
      </c>
      <c r="L225" t="s">
        <v>52</v>
      </c>
      <c r="M225" s="8">
        <v>1377.3679999999999</v>
      </c>
      <c r="N225" s="7">
        <v>6886.84</v>
      </c>
      <c r="O225" t="s">
        <v>46</v>
      </c>
      <c r="P225" t="s">
        <v>40</v>
      </c>
    </row>
    <row r="226" spans="1:16" x14ac:dyDescent="0.25">
      <c r="A226" s="5">
        <v>45770</v>
      </c>
      <c r="B226" t="s">
        <v>118</v>
      </c>
      <c r="C226" t="s">
        <v>119</v>
      </c>
      <c r="D226" t="s">
        <v>64</v>
      </c>
      <c r="E226" t="s">
        <v>59</v>
      </c>
      <c r="F226" t="s">
        <v>60</v>
      </c>
      <c r="G226" t="s">
        <v>341</v>
      </c>
      <c r="H226" s="6">
        <v>51</v>
      </c>
      <c r="I226" s="7">
        <v>169.71</v>
      </c>
      <c r="J226" s="7">
        <v>8654.98</v>
      </c>
      <c r="K226" s="6">
        <v>60</v>
      </c>
      <c r="L226" t="s">
        <v>38</v>
      </c>
      <c r="M226" s="8">
        <v>1730.9960000000001</v>
      </c>
      <c r="N226" s="7">
        <v>8654.98</v>
      </c>
      <c r="O226" t="s">
        <v>39</v>
      </c>
      <c r="P226" t="s">
        <v>40</v>
      </c>
    </row>
    <row r="227" spans="1:16" x14ac:dyDescent="0.25">
      <c r="A227" s="5">
        <v>45766</v>
      </c>
      <c r="B227" t="s">
        <v>143</v>
      </c>
      <c r="C227" t="s">
        <v>144</v>
      </c>
      <c r="D227" t="s">
        <v>69</v>
      </c>
      <c r="E227" t="s">
        <v>65</v>
      </c>
      <c r="F227" t="s">
        <v>54</v>
      </c>
      <c r="G227" t="s">
        <v>342</v>
      </c>
      <c r="H227" s="6">
        <v>18</v>
      </c>
      <c r="I227" s="7">
        <v>455.04</v>
      </c>
      <c r="J227" s="7">
        <v>8190.71</v>
      </c>
      <c r="K227" s="6">
        <v>45</v>
      </c>
      <c r="L227" t="s">
        <v>45</v>
      </c>
      <c r="M227" s="8">
        <v>1638.1420000000001</v>
      </c>
      <c r="N227" s="7">
        <v>8190.71</v>
      </c>
      <c r="O227" t="s">
        <v>46</v>
      </c>
      <c r="P227" t="s">
        <v>40</v>
      </c>
    </row>
    <row r="228" spans="1:16" x14ac:dyDescent="0.25">
      <c r="A228" s="5">
        <v>45912</v>
      </c>
      <c r="B228" t="s">
        <v>201</v>
      </c>
      <c r="C228" t="s">
        <v>202</v>
      </c>
      <c r="D228" t="s">
        <v>64</v>
      </c>
      <c r="E228" t="s">
        <v>127</v>
      </c>
      <c r="F228" t="s">
        <v>36</v>
      </c>
      <c r="G228" t="s">
        <v>343</v>
      </c>
      <c r="H228" s="6">
        <v>56</v>
      </c>
      <c r="I228" s="7">
        <v>67.34</v>
      </c>
      <c r="J228" s="7">
        <v>3770.99</v>
      </c>
      <c r="K228" s="6">
        <v>30</v>
      </c>
      <c r="L228" t="s">
        <v>38</v>
      </c>
      <c r="M228" s="8">
        <v>754.19799999999998</v>
      </c>
      <c r="N228" s="7">
        <v>3770.99</v>
      </c>
      <c r="O228" t="s">
        <v>39</v>
      </c>
      <c r="P228" t="s">
        <v>40</v>
      </c>
    </row>
    <row r="229" spans="1:16" x14ac:dyDescent="0.25">
      <c r="A229" s="5">
        <v>45944</v>
      </c>
      <c r="B229" t="s">
        <v>41</v>
      </c>
      <c r="C229" t="s">
        <v>42</v>
      </c>
      <c r="D229" t="s">
        <v>34</v>
      </c>
      <c r="E229" t="s">
        <v>53</v>
      </c>
      <c r="F229" t="s">
        <v>54</v>
      </c>
      <c r="G229" t="s">
        <v>344</v>
      </c>
      <c r="H229" s="6">
        <v>46</v>
      </c>
      <c r="I229" s="7">
        <v>138.19999999999999</v>
      </c>
      <c r="J229" s="7">
        <v>6357.2</v>
      </c>
      <c r="K229" s="6">
        <v>30</v>
      </c>
      <c r="L229" t="s">
        <v>45</v>
      </c>
      <c r="M229" s="8">
        <v>1271.44</v>
      </c>
      <c r="N229" s="7">
        <v>6357.2</v>
      </c>
      <c r="O229" t="s">
        <v>46</v>
      </c>
      <c r="P229" t="s">
        <v>40</v>
      </c>
    </row>
    <row r="230" spans="1:16" x14ac:dyDescent="0.25">
      <c r="A230" s="5">
        <v>45667</v>
      </c>
      <c r="B230" t="s">
        <v>94</v>
      </c>
      <c r="C230" t="s">
        <v>95</v>
      </c>
      <c r="D230" t="s">
        <v>34</v>
      </c>
      <c r="E230" t="s">
        <v>210</v>
      </c>
      <c r="F230" t="s">
        <v>50</v>
      </c>
      <c r="G230" t="s">
        <v>345</v>
      </c>
      <c r="H230" s="6">
        <v>59</v>
      </c>
      <c r="I230" s="7">
        <v>80.97</v>
      </c>
      <c r="J230" s="7">
        <v>4777.21</v>
      </c>
      <c r="K230" s="6">
        <v>30</v>
      </c>
      <c r="L230" t="s">
        <v>45</v>
      </c>
      <c r="M230" s="8">
        <v>955.44200000000001</v>
      </c>
      <c r="N230" s="7">
        <v>4777.21</v>
      </c>
      <c r="O230" t="s">
        <v>46</v>
      </c>
      <c r="P230" t="s">
        <v>40</v>
      </c>
    </row>
    <row r="231" spans="1:16" x14ac:dyDescent="0.25">
      <c r="A231" s="5">
        <v>45865</v>
      </c>
      <c r="B231" t="s">
        <v>67</v>
      </c>
      <c r="C231" t="s">
        <v>68</v>
      </c>
      <c r="D231" t="s">
        <v>69</v>
      </c>
      <c r="E231" t="s">
        <v>105</v>
      </c>
      <c r="F231" t="s">
        <v>97</v>
      </c>
      <c r="G231" t="s">
        <v>346</v>
      </c>
      <c r="H231" s="6">
        <v>54</v>
      </c>
      <c r="I231" s="7">
        <v>435.96</v>
      </c>
      <c r="J231" s="7">
        <v>23542.09</v>
      </c>
      <c r="K231" s="6">
        <v>45</v>
      </c>
      <c r="L231" t="s">
        <v>38</v>
      </c>
      <c r="M231" s="8">
        <v>4708.4179999999997</v>
      </c>
      <c r="N231" s="7">
        <v>23542.09</v>
      </c>
      <c r="O231" t="s">
        <v>46</v>
      </c>
      <c r="P231" t="s">
        <v>40</v>
      </c>
    </row>
    <row r="232" spans="1:16" x14ac:dyDescent="0.25">
      <c r="A232" s="5">
        <v>45745</v>
      </c>
      <c r="B232" t="s">
        <v>201</v>
      </c>
      <c r="C232" t="s">
        <v>202</v>
      </c>
      <c r="D232" t="s">
        <v>64</v>
      </c>
      <c r="E232" t="s">
        <v>210</v>
      </c>
      <c r="F232" t="s">
        <v>50</v>
      </c>
      <c r="G232" t="s">
        <v>347</v>
      </c>
      <c r="H232" s="6">
        <v>80</v>
      </c>
      <c r="I232" s="7">
        <v>80.3</v>
      </c>
      <c r="J232" s="7">
        <v>6424.13</v>
      </c>
      <c r="K232" s="6">
        <v>45</v>
      </c>
      <c r="L232" t="s">
        <v>52</v>
      </c>
      <c r="M232" s="8">
        <v>1284.826</v>
      </c>
      <c r="N232" s="7">
        <v>6424.13</v>
      </c>
      <c r="O232" t="s">
        <v>46</v>
      </c>
      <c r="P232" t="s">
        <v>40</v>
      </c>
    </row>
    <row r="233" spans="1:16" x14ac:dyDescent="0.25">
      <c r="A233" s="5">
        <v>45712</v>
      </c>
      <c r="B233" t="s">
        <v>113</v>
      </c>
      <c r="C233" t="s">
        <v>114</v>
      </c>
      <c r="D233" t="s">
        <v>69</v>
      </c>
      <c r="E233" t="s">
        <v>75</v>
      </c>
      <c r="F233" t="s">
        <v>36</v>
      </c>
      <c r="G233" t="s">
        <v>348</v>
      </c>
      <c r="H233" s="6">
        <v>32</v>
      </c>
      <c r="I233" s="7">
        <v>73.22</v>
      </c>
      <c r="J233" s="7">
        <v>2342.9699999999998</v>
      </c>
      <c r="K233" s="6">
        <v>45</v>
      </c>
      <c r="L233" t="s">
        <v>52</v>
      </c>
      <c r="M233" s="8">
        <v>468.59399999999999</v>
      </c>
      <c r="N233" s="7">
        <v>2342.9699999999998</v>
      </c>
      <c r="O233" t="s">
        <v>46</v>
      </c>
      <c r="P233" t="s">
        <v>40</v>
      </c>
    </row>
    <row r="234" spans="1:16" x14ac:dyDescent="0.25">
      <c r="A234" s="5">
        <v>45816</v>
      </c>
      <c r="B234" t="s">
        <v>56</v>
      </c>
      <c r="C234" t="s">
        <v>57</v>
      </c>
      <c r="D234" t="s">
        <v>58</v>
      </c>
      <c r="E234" t="s">
        <v>75</v>
      </c>
      <c r="F234" t="s">
        <v>36</v>
      </c>
      <c r="G234" t="s">
        <v>349</v>
      </c>
      <c r="H234" s="6">
        <v>44</v>
      </c>
      <c r="I234" s="7">
        <v>66.650000000000006</v>
      </c>
      <c r="J234" s="7">
        <v>2932.59</v>
      </c>
      <c r="K234" s="6">
        <v>30</v>
      </c>
      <c r="L234" t="s">
        <v>45</v>
      </c>
      <c r="M234" s="8">
        <v>586.51800000000003</v>
      </c>
      <c r="N234" s="7">
        <v>2932.59</v>
      </c>
      <c r="O234" t="s">
        <v>46</v>
      </c>
      <c r="P234" t="s">
        <v>40</v>
      </c>
    </row>
    <row r="235" spans="1:16" x14ac:dyDescent="0.25">
      <c r="A235" s="5">
        <v>45982</v>
      </c>
      <c r="B235" t="s">
        <v>201</v>
      </c>
      <c r="C235" t="s">
        <v>202</v>
      </c>
      <c r="D235" t="s">
        <v>64</v>
      </c>
      <c r="E235" t="s">
        <v>43</v>
      </c>
      <c r="F235" t="s">
        <v>36</v>
      </c>
      <c r="G235" t="s">
        <v>350</v>
      </c>
      <c r="H235" s="6">
        <v>15</v>
      </c>
      <c r="I235" s="7">
        <v>45.42</v>
      </c>
      <c r="J235" s="7">
        <v>681.34</v>
      </c>
      <c r="K235" s="6">
        <v>60</v>
      </c>
      <c r="L235" t="s">
        <v>52</v>
      </c>
      <c r="M235" s="8">
        <v>136.268</v>
      </c>
      <c r="N235" s="7">
        <v>681.34</v>
      </c>
      <c r="O235" t="s">
        <v>46</v>
      </c>
      <c r="P235" t="s">
        <v>40</v>
      </c>
    </row>
    <row r="236" spans="1:16" x14ac:dyDescent="0.25">
      <c r="A236" s="5">
        <v>45988</v>
      </c>
      <c r="B236" t="s">
        <v>77</v>
      </c>
      <c r="C236" t="s">
        <v>78</v>
      </c>
      <c r="D236" t="s">
        <v>58</v>
      </c>
      <c r="E236" t="s">
        <v>132</v>
      </c>
      <c r="F236" t="s">
        <v>71</v>
      </c>
      <c r="G236" t="s">
        <v>351</v>
      </c>
      <c r="H236" s="6">
        <v>19</v>
      </c>
      <c r="I236" s="7">
        <v>308.91000000000003</v>
      </c>
      <c r="J236" s="7">
        <v>5869.27</v>
      </c>
      <c r="K236" s="6">
        <v>30</v>
      </c>
      <c r="L236" t="s">
        <v>38</v>
      </c>
      <c r="M236" s="8">
        <v>1173.854</v>
      </c>
      <c r="N236" s="7">
        <v>5869.27</v>
      </c>
      <c r="O236" t="s">
        <v>46</v>
      </c>
      <c r="P236" t="s">
        <v>40</v>
      </c>
    </row>
    <row r="237" spans="1:16" x14ac:dyDescent="0.25">
      <c r="A237" s="5">
        <v>45746</v>
      </c>
      <c r="B237" t="s">
        <v>94</v>
      </c>
      <c r="C237" t="s">
        <v>95</v>
      </c>
      <c r="D237" t="s">
        <v>34</v>
      </c>
      <c r="E237" t="s">
        <v>59</v>
      </c>
      <c r="F237" t="s">
        <v>60</v>
      </c>
      <c r="G237" t="s">
        <v>352</v>
      </c>
      <c r="H237" s="6">
        <v>78</v>
      </c>
      <c r="I237" s="7">
        <v>311.77999999999997</v>
      </c>
      <c r="J237" s="7">
        <v>24318.48</v>
      </c>
      <c r="K237" s="6">
        <v>30</v>
      </c>
      <c r="L237" t="s">
        <v>52</v>
      </c>
      <c r="M237" s="8">
        <v>4863.6959999999999</v>
      </c>
      <c r="N237" s="7">
        <v>24318.48</v>
      </c>
      <c r="O237" t="s">
        <v>39</v>
      </c>
      <c r="P237" t="s">
        <v>40</v>
      </c>
    </row>
    <row r="238" spans="1:16" x14ac:dyDescent="0.25">
      <c r="A238" s="5">
        <v>45910</v>
      </c>
      <c r="B238" t="s">
        <v>56</v>
      </c>
      <c r="C238" t="s">
        <v>57</v>
      </c>
      <c r="D238" t="s">
        <v>58</v>
      </c>
      <c r="E238" t="s">
        <v>124</v>
      </c>
      <c r="F238" t="s">
        <v>89</v>
      </c>
      <c r="G238" t="s">
        <v>353</v>
      </c>
      <c r="H238" s="6">
        <v>60</v>
      </c>
      <c r="I238" s="7">
        <v>59.09</v>
      </c>
      <c r="J238" s="7">
        <v>3545.64</v>
      </c>
      <c r="K238" s="6">
        <v>60</v>
      </c>
      <c r="L238" t="s">
        <v>52</v>
      </c>
      <c r="M238" s="8">
        <v>709.12800000000004</v>
      </c>
      <c r="N238" s="7">
        <v>3545.64</v>
      </c>
      <c r="O238" t="s">
        <v>46</v>
      </c>
      <c r="P238" t="s">
        <v>40</v>
      </c>
    </row>
    <row r="239" spans="1:16" x14ac:dyDescent="0.25">
      <c r="A239" s="5">
        <v>45819</v>
      </c>
      <c r="B239" t="s">
        <v>77</v>
      </c>
      <c r="C239" t="s">
        <v>78</v>
      </c>
      <c r="D239" t="s">
        <v>58</v>
      </c>
      <c r="E239" t="s">
        <v>70</v>
      </c>
      <c r="F239" t="s">
        <v>71</v>
      </c>
      <c r="G239" t="s">
        <v>354</v>
      </c>
      <c r="H239" s="6">
        <v>20</v>
      </c>
      <c r="I239" s="7">
        <v>105.26</v>
      </c>
      <c r="J239" s="7">
        <v>2105.19</v>
      </c>
      <c r="K239" s="6">
        <v>45</v>
      </c>
      <c r="L239" t="s">
        <v>38</v>
      </c>
      <c r="M239" s="8">
        <v>421.03800000000001</v>
      </c>
      <c r="N239" s="7">
        <v>2105.19</v>
      </c>
      <c r="O239" t="s">
        <v>46</v>
      </c>
      <c r="P239" t="s">
        <v>40</v>
      </c>
    </row>
    <row r="240" spans="1:16" x14ac:dyDescent="0.25">
      <c r="A240" s="5">
        <v>45813</v>
      </c>
      <c r="B240" t="s">
        <v>113</v>
      </c>
      <c r="C240" t="s">
        <v>114</v>
      </c>
      <c r="D240" t="s">
        <v>69</v>
      </c>
      <c r="E240" t="s">
        <v>129</v>
      </c>
      <c r="F240" t="s">
        <v>108</v>
      </c>
      <c r="G240" t="s">
        <v>355</v>
      </c>
      <c r="H240" s="6">
        <v>36</v>
      </c>
      <c r="I240" s="7">
        <v>52.12</v>
      </c>
      <c r="J240" s="7">
        <v>1876.24</v>
      </c>
      <c r="K240" s="6">
        <v>60</v>
      </c>
      <c r="L240" t="s">
        <v>38</v>
      </c>
      <c r="M240" s="8">
        <v>375.24799999999999</v>
      </c>
      <c r="N240" s="7">
        <v>1876.24</v>
      </c>
      <c r="O240" t="s">
        <v>46</v>
      </c>
      <c r="P240" t="s">
        <v>40</v>
      </c>
    </row>
    <row r="241" spans="1:16" x14ac:dyDescent="0.25">
      <c r="A241" s="5">
        <v>45894</v>
      </c>
      <c r="B241" t="s">
        <v>143</v>
      </c>
      <c r="C241" t="s">
        <v>144</v>
      </c>
      <c r="D241" t="s">
        <v>69</v>
      </c>
      <c r="E241" t="s">
        <v>75</v>
      </c>
      <c r="F241" t="s">
        <v>36</v>
      </c>
      <c r="G241" t="s">
        <v>356</v>
      </c>
      <c r="H241" s="6">
        <v>58</v>
      </c>
      <c r="I241" s="7">
        <v>103.88</v>
      </c>
      <c r="J241" s="7">
        <v>6024.98</v>
      </c>
      <c r="K241" s="6">
        <v>30</v>
      </c>
      <c r="L241" t="s">
        <v>38</v>
      </c>
      <c r="M241" s="8">
        <v>1204.9960000000001</v>
      </c>
      <c r="N241" s="7">
        <v>6024.98</v>
      </c>
      <c r="O241" t="s">
        <v>46</v>
      </c>
      <c r="P241" t="s">
        <v>40</v>
      </c>
    </row>
    <row r="242" spans="1:16" x14ac:dyDescent="0.25">
      <c r="A242" s="5">
        <v>45988</v>
      </c>
      <c r="B242" t="s">
        <v>56</v>
      </c>
      <c r="C242" t="s">
        <v>57</v>
      </c>
      <c r="D242" t="s">
        <v>58</v>
      </c>
      <c r="E242" t="s">
        <v>59</v>
      </c>
      <c r="F242" t="s">
        <v>60</v>
      </c>
      <c r="G242" t="s">
        <v>357</v>
      </c>
      <c r="H242" s="6">
        <v>12</v>
      </c>
      <c r="I242" s="7">
        <v>142.27000000000001</v>
      </c>
      <c r="J242" s="7">
        <v>1707.26</v>
      </c>
      <c r="K242" s="6">
        <v>60</v>
      </c>
      <c r="L242" t="s">
        <v>52</v>
      </c>
      <c r="M242" s="8">
        <v>341.452</v>
      </c>
      <c r="N242" s="7">
        <v>1707.26</v>
      </c>
      <c r="O242" t="s">
        <v>39</v>
      </c>
      <c r="P242" t="s">
        <v>40</v>
      </c>
    </row>
    <row r="243" spans="1:16" x14ac:dyDescent="0.25">
      <c r="A243" s="5">
        <v>45955</v>
      </c>
      <c r="B243" t="s">
        <v>32</v>
      </c>
      <c r="C243" t="s">
        <v>33</v>
      </c>
      <c r="D243" t="s">
        <v>34</v>
      </c>
      <c r="E243" t="s">
        <v>96</v>
      </c>
      <c r="F243" t="s">
        <v>97</v>
      </c>
      <c r="G243" t="s">
        <v>358</v>
      </c>
      <c r="H243" s="6">
        <v>71</v>
      </c>
      <c r="I243" s="7">
        <v>281.64999999999998</v>
      </c>
      <c r="J243" s="7">
        <v>19997.400000000001</v>
      </c>
      <c r="K243" s="6">
        <v>60</v>
      </c>
      <c r="L243" t="s">
        <v>38</v>
      </c>
      <c r="M243" s="8">
        <v>3999.48</v>
      </c>
      <c r="N243" s="7">
        <v>19997.400000000001</v>
      </c>
      <c r="O243" t="s">
        <v>46</v>
      </c>
      <c r="P243" t="s">
        <v>40</v>
      </c>
    </row>
    <row r="244" spans="1:16" x14ac:dyDescent="0.25">
      <c r="A244" s="5">
        <v>45967</v>
      </c>
      <c r="B244" t="s">
        <v>100</v>
      </c>
      <c r="C244" t="s">
        <v>101</v>
      </c>
      <c r="D244" t="s">
        <v>69</v>
      </c>
      <c r="E244" t="s">
        <v>65</v>
      </c>
      <c r="F244" t="s">
        <v>54</v>
      </c>
      <c r="G244" t="s">
        <v>359</v>
      </c>
      <c r="H244" s="6">
        <v>61</v>
      </c>
      <c r="I244" s="7">
        <v>330.04</v>
      </c>
      <c r="J244" s="7">
        <v>20132.240000000002</v>
      </c>
      <c r="K244" s="6">
        <v>60</v>
      </c>
      <c r="L244" t="s">
        <v>38</v>
      </c>
      <c r="M244" s="8">
        <v>4026.4479999999999</v>
      </c>
      <c r="N244" s="7">
        <v>20132.240000000002</v>
      </c>
      <c r="O244" t="s">
        <v>46</v>
      </c>
      <c r="P244" t="s">
        <v>40</v>
      </c>
    </row>
    <row r="245" spans="1:16" x14ac:dyDescent="0.25">
      <c r="A245" s="5">
        <v>45833</v>
      </c>
      <c r="B245" t="s">
        <v>110</v>
      </c>
      <c r="C245" t="s">
        <v>111</v>
      </c>
      <c r="D245" t="s">
        <v>58</v>
      </c>
      <c r="E245" t="s">
        <v>107</v>
      </c>
      <c r="F245" t="s">
        <v>108</v>
      </c>
      <c r="G245" t="s">
        <v>360</v>
      </c>
      <c r="H245" s="6">
        <v>11</v>
      </c>
      <c r="I245" s="7">
        <v>120.74</v>
      </c>
      <c r="J245" s="7">
        <v>1328.16</v>
      </c>
      <c r="K245" s="6">
        <v>60</v>
      </c>
      <c r="L245" t="s">
        <v>52</v>
      </c>
      <c r="M245" s="8">
        <v>265.63200000000001</v>
      </c>
      <c r="N245" s="7">
        <v>1328.16</v>
      </c>
      <c r="O245" t="s">
        <v>46</v>
      </c>
      <c r="P245" t="s">
        <v>40</v>
      </c>
    </row>
    <row r="246" spans="1:16" x14ac:dyDescent="0.25">
      <c r="A246" s="5">
        <v>46020</v>
      </c>
      <c r="B246" t="s">
        <v>110</v>
      </c>
      <c r="C246" t="s">
        <v>111</v>
      </c>
      <c r="D246" t="s">
        <v>58</v>
      </c>
      <c r="E246" t="s">
        <v>49</v>
      </c>
      <c r="F246" t="s">
        <v>50</v>
      </c>
      <c r="G246" t="s">
        <v>361</v>
      </c>
      <c r="H246" s="6">
        <v>57</v>
      </c>
      <c r="I246" s="7">
        <v>62.01</v>
      </c>
      <c r="J246" s="7">
        <v>3534.69</v>
      </c>
      <c r="K246" s="6">
        <v>45</v>
      </c>
      <c r="L246" t="s">
        <v>52</v>
      </c>
      <c r="M246" s="8">
        <v>706.93799999999999</v>
      </c>
      <c r="N246" s="7">
        <v>3534.69</v>
      </c>
      <c r="O246" t="s">
        <v>39</v>
      </c>
      <c r="P246" t="s">
        <v>40</v>
      </c>
    </row>
    <row r="247" spans="1:16" x14ac:dyDescent="0.25">
      <c r="A247" s="5">
        <v>45848</v>
      </c>
      <c r="B247" t="s">
        <v>103</v>
      </c>
      <c r="C247" t="s">
        <v>104</v>
      </c>
      <c r="D247" t="s">
        <v>58</v>
      </c>
      <c r="E247" t="s">
        <v>88</v>
      </c>
      <c r="F247" t="s">
        <v>89</v>
      </c>
      <c r="G247" t="s">
        <v>362</v>
      </c>
      <c r="H247" s="6">
        <v>37</v>
      </c>
      <c r="I247" s="7">
        <v>149.75</v>
      </c>
      <c r="J247" s="7">
        <v>5540.83</v>
      </c>
      <c r="K247" s="6">
        <v>45</v>
      </c>
      <c r="L247" t="s">
        <v>45</v>
      </c>
      <c r="M247" s="8">
        <v>1108.1659999999999</v>
      </c>
      <c r="N247" s="7">
        <v>5540.83</v>
      </c>
      <c r="O247" t="s">
        <v>46</v>
      </c>
      <c r="P247" t="s">
        <v>40</v>
      </c>
    </row>
    <row r="248" spans="1:16" x14ac:dyDescent="0.25">
      <c r="A248" s="5">
        <v>45989</v>
      </c>
      <c r="B248" t="s">
        <v>62</v>
      </c>
      <c r="C248" t="s">
        <v>63</v>
      </c>
      <c r="D248" t="s">
        <v>64</v>
      </c>
      <c r="E248" t="s">
        <v>152</v>
      </c>
      <c r="F248" t="s">
        <v>50</v>
      </c>
      <c r="G248" t="s">
        <v>363</v>
      </c>
      <c r="H248" s="6">
        <v>43</v>
      </c>
      <c r="I248" s="7">
        <v>92.41</v>
      </c>
      <c r="J248" s="7">
        <v>3973.78</v>
      </c>
      <c r="K248" s="6">
        <v>30</v>
      </c>
      <c r="L248" t="s">
        <v>45</v>
      </c>
      <c r="M248" s="8">
        <v>794.75599999999997</v>
      </c>
      <c r="N248" s="7">
        <v>3973.78</v>
      </c>
      <c r="O248" t="s">
        <v>46</v>
      </c>
      <c r="P248" t="s">
        <v>40</v>
      </c>
    </row>
    <row r="249" spans="1:16" x14ac:dyDescent="0.25">
      <c r="A249" s="5">
        <v>45787</v>
      </c>
      <c r="B249" t="s">
        <v>143</v>
      </c>
      <c r="C249" t="s">
        <v>144</v>
      </c>
      <c r="D249" t="s">
        <v>69</v>
      </c>
      <c r="E249" t="s">
        <v>96</v>
      </c>
      <c r="F249" t="s">
        <v>97</v>
      </c>
      <c r="G249" t="s">
        <v>364</v>
      </c>
      <c r="H249" s="6">
        <v>78</v>
      </c>
      <c r="I249" s="7">
        <v>209.44</v>
      </c>
      <c r="J249" s="7">
        <v>16336.55</v>
      </c>
      <c r="K249" s="6">
        <v>30</v>
      </c>
      <c r="L249" t="s">
        <v>45</v>
      </c>
      <c r="M249" s="8">
        <v>3267.31</v>
      </c>
      <c r="N249" s="7">
        <v>16336.55</v>
      </c>
      <c r="O249" t="s">
        <v>46</v>
      </c>
      <c r="P249" t="s">
        <v>40</v>
      </c>
    </row>
    <row r="250" spans="1:16" x14ac:dyDescent="0.25">
      <c r="A250" s="5">
        <v>45816</v>
      </c>
      <c r="B250" t="s">
        <v>77</v>
      </c>
      <c r="C250" t="s">
        <v>78</v>
      </c>
      <c r="D250" t="s">
        <v>58</v>
      </c>
      <c r="E250" t="s">
        <v>88</v>
      </c>
      <c r="F250" t="s">
        <v>89</v>
      </c>
      <c r="G250" t="s">
        <v>365</v>
      </c>
      <c r="H250" s="6">
        <v>51</v>
      </c>
      <c r="I250" s="7">
        <v>475.3</v>
      </c>
      <c r="J250" s="7">
        <v>24240.55</v>
      </c>
      <c r="K250" s="6">
        <v>30</v>
      </c>
      <c r="L250" t="s">
        <v>52</v>
      </c>
      <c r="M250" s="8">
        <v>4848.1099999999997</v>
      </c>
      <c r="N250" s="7">
        <v>24240.55</v>
      </c>
      <c r="O250" t="s">
        <v>46</v>
      </c>
      <c r="P250" t="s">
        <v>366</v>
      </c>
    </row>
    <row r="251" spans="1:16" x14ac:dyDescent="0.25">
      <c r="A251" s="5">
        <v>45944</v>
      </c>
      <c r="B251" t="s">
        <v>94</v>
      </c>
      <c r="C251" t="s">
        <v>95</v>
      </c>
      <c r="D251" t="s">
        <v>34</v>
      </c>
      <c r="E251" t="s">
        <v>75</v>
      </c>
      <c r="F251" t="s">
        <v>36</v>
      </c>
      <c r="G251" t="s">
        <v>367</v>
      </c>
      <c r="H251" s="6">
        <v>49</v>
      </c>
      <c r="I251" s="7">
        <v>81.22</v>
      </c>
      <c r="J251" s="7">
        <v>3979.64</v>
      </c>
      <c r="K251" s="6">
        <v>60</v>
      </c>
      <c r="L251" t="s">
        <v>45</v>
      </c>
      <c r="M251" s="8">
        <v>795.928</v>
      </c>
      <c r="N251" s="7">
        <v>3979.64</v>
      </c>
      <c r="O251" t="s">
        <v>46</v>
      </c>
      <c r="P251" t="s">
        <v>40</v>
      </c>
    </row>
    <row r="252" spans="1:16" x14ac:dyDescent="0.25">
      <c r="A252" s="5">
        <v>46001</v>
      </c>
      <c r="B252" t="s">
        <v>103</v>
      </c>
      <c r="C252" t="s">
        <v>104</v>
      </c>
      <c r="D252" t="s">
        <v>58</v>
      </c>
      <c r="E252" t="s">
        <v>43</v>
      </c>
      <c r="F252" t="s">
        <v>36</v>
      </c>
      <c r="G252" t="s">
        <v>365</v>
      </c>
      <c r="H252" s="6">
        <v>55</v>
      </c>
      <c r="I252" s="7">
        <v>32.49</v>
      </c>
      <c r="J252" s="7">
        <v>1786.89</v>
      </c>
      <c r="K252" s="6">
        <v>60</v>
      </c>
      <c r="L252" t="s">
        <v>45</v>
      </c>
      <c r="M252" s="8">
        <v>357.37799999999999</v>
      </c>
      <c r="N252" s="7">
        <v>1786.89</v>
      </c>
      <c r="O252" t="s">
        <v>46</v>
      </c>
      <c r="P252" t="s">
        <v>366</v>
      </c>
    </row>
    <row r="253" spans="1:16" x14ac:dyDescent="0.25">
      <c r="A253" s="5">
        <v>45750</v>
      </c>
      <c r="B253" t="s">
        <v>94</v>
      </c>
      <c r="C253" t="s">
        <v>95</v>
      </c>
      <c r="D253" t="s">
        <v>34</v>
      </c>
      <c r="E253" t="s">
        <v>132</v>
      </c>
      <c r="F253" t="s">
        <v>71</v>
      </c>
      <c r="G253" t="s">
        <v>368</v>
      </c>
      <c r="H253" s="6">
        <v>28</v>
      </c>
      <c r="I253" s="7">
        <v>157.38999999999999</v>
      </c>
      <c r="J253" s="7">
        <v>4406.8100000000004</v>
      </c>
      <c r="K253" s="6">
        <v>45</v>
      </c>
      <c r="L253" t="s">
        <v>45</v>
      </c>
      <c r="M253" s="8">
        <v>881.36199999999997</v>
      </c>
      <c r="N253" s="7">
        <v>4406.8100000000004</v>
      </c>
      <c r="O253" t="s">
        <v>46</v>
      </c>
      <c r="P253" t="s">
        <v>40</v>
      </c>
    </row>
    <row r="254" spans="1:16" x14ac:dyDescent="0.25">
      <c r="A254" s="5">
        <v>45737</v>
      </c>
      <c r="B254" t="s">
        <v>32</v>
      </c>
      <c r="C254" t="s">
        <v>33</v>
      </c>
      <c r="D254" t="s">
        <v>34</v>
      </c>
      <c r="E254" t="s">
        <v>135</v>
      </c>
      <c r="F254" t="s">
        <v>54</v>
      </c>
      <c r="G254" t="s">
        <v>369</v>
      </c>
      <c r="H254" s="6">
        <v>10</v>
      </c>
      <c r="I254" s="7">
        <v>803.23</v>
      </c>
      <c r="J254" s="7">
        <v>8032.35</v>
      </c>
      <c r="K254" s="6">
        <v>45</v>
      </c>
      <c r="L254" t="s">
        <v>38</v>
      </c>
      <c r="M254" s="8">
        <v>1606.47</v>
      </c>
      <c r="N254" s="7">
        <v>8032.35</v>
      </c>
      <c r="O254" t="s">
        <v>46</v>
      </c>
      <c r="P254" t="s">
        <v>40</v>
      </c>
    </row>
    <row r="255" spans="1:16" x14ac:dyDescent="0.25">
      <c r="A255" s="5">
        <v>45830</v>
      </c>
      <c r="B255" t="s">
        <v>103</v>
      </c>
      <c r="C255" t="s">
        <v>104</v>
      </c>
      <c r="D255" t="s">
        <v>58</v>
      </c>
      <c r="E255" t="s">
        <v>152</v>
      </c>
      <c r="F255" t="s">
        <v>50</v>
      </c>
      <c r="G255" t="s">
        <v>370</v>
      </c>
      <c r="H255" s="6">
        <v>80</v>
      </c>
      <c r="I255" s="7">
        <v>211.74</v>
      </c>
      <c r="J255" s="7">
        <v>16939.009999999998</v>
      </c>
      <c r="K255" s="6">
        <v>30</v>
      </c>
      <c r="L255" t="s">
        <v>52</v>
      </c>
      <c r="M255" s="8">
        <v>3387.8020000000001</v>
      </c>
      <c r="N255" s="7">
        <v>16939.009999999998</v>
      </c>
      <c r="O255" t="s">
        <v>46</v>
      </c>
      <c r="P255" t="s">
        <v>40</v>
      </c>
    </row>
    <row r="256" spans="1:16" x14ac:dyDescent="0.25">
      <c r="A256" s="5">
        <v>45750</v>
      </c>
      <c r="B256" t="s">
        <v>47</v>
      </c>
      <c r="C256" t="s">
        <v>48</v>
      </c>
      <c r="D256" t="s">
        <v>34</v>
      </c>
      <c r="E256" t="s">
        <v>154</v>
      </c>
      <c r="F256" t="s">
        <v>89</v>
      </c>
      <c r="G256" t="s">
        <v>371</v>
      </c>
      <c r="H256" s="6">
        <v>80</v>
      </c>
      <c r="I256" s="7">
        <v>78.05</v>
      </c>
      <c r="J256" s="7">
        <v>6243.71</v>
      </c>
      <c r="K256" s="6">
        <v>30</v>
      </c>
      <c r="L256" t="s">
        <v>52</v>
      </c>
      <c r="M256" s="8">
        <v>1248.742</v>
      </c>
      <c r="N256" s="7">
        <v>6243.71</v>
      </c>
      <c r="O256" t="s">
        <v>39</v>
      </c>
      <c r="P256" t="s">
        <v>40</v>
      </c>
    </row>
    <row r="257" spans="1:16" x14ac:dyDescent="0.25">
      <c r="A257" s="5">
        <v>45844</v>
      </c>
      <c r="B257" t="s">
        <v>201</v>
      </c>
      <c r="C257" t="s">
        <v>202</v>
      </c>
      <c r="D257" t="s">
        <v>64</v>
      </c>
      <c r="E257" t="s">
        <v>210</v>
      </c>
      <c r="F257" t="s">
        <v>50</v>
      </c>
      <c r="G257" t="s">
        <v>372</v>
      </c>
      <c r="H257" s="6">
        <v>31</v>
      </c>
      <c r="I257" s="7">
        <v>91.94</v>
      </c>
      <c r="J257" s="7">
        <v>2850.22</v>
      </c>
      <c r="K257" s="6">
        <v>45</v>
      </c>
      <c r="L257" t="s">
        <v>52</v>
      </c>
      <c r="M257" s="8">
        <v>570.04399999999998</v>
      </c>
      <c r="N257" s="7">
        <v>2850.22</v>
      </c>
      <c r="O257" t="s">
        <v>46</v>
      </c>
      <c r="P257" t="s">
        <v>40</v>
      </c>
    </row>
    <row r="258" spans="1:16" x14ac:dyDescent="0.25">
      <c r="A258" s="5">
        <v>45931</v>
      </c>
      <c r="B258" t="s">
        <v>100</v>
      </c>
      <c r="C258" t="s">
        <v>101</v>
      </c>
      <c r="D258" t="s">
        <v>69</v>
      </c>
      <c r="E258" t="s">
        <v>107</v>
      </c>
      <c r="F258" t="s">
        <v>108</v>
      </c>
      <c r="G258" t="s">
        <v>373</v>
      </c>
      <c r="H258" s="6">
        <v>31</v>
      </c>
      <c r="I258" s="7">
        <v>150.55000000000001</v>
      </c>
      <c r="J258" s="7">
        <v>4667.0200000000004</v>
      </c>
      <c r="K258" s="6">
        <v>45</v>
      </c>
      <c r="L258" t="s">
        <v>45</v>
      </c>
      <c r="M258" s="8">
        <v>933.404</v>
      </c>
      <c r="N258" s="7">
        <v>4667.0200000000004</v>
      </c>
      <c r="O258" t="s">
        <v>46</v>
      </c>
      <c r="P258" t="s">
        <v>40</v>
      </c>
    </row>
    <row r="259" spans="1:16" x14ac:dyDescent="0.25">
      <c r="A259" s="5">
        <v>45950</v>
      </c>
      <c r="B259" t="s">
        <v>56</v>
      </c>
      <c r="C259" t="s">
        <v>57</v>
      </c>
      <c r="D259" t="s">
        <v>58</v>
      </c>
      <c r="E259" t="s">
        <v>70</v>
      </c>
      <c r="F259" t="s">
        <v>71</v>
      </c>
      <c r="G259" t="s">
        <v>374</v>
      </c>
      <c r="H259" s="6">
        <v>57</v>
      </c>
      <c r="I259" s="7">
        <v>64.37</v>
      </c>
      <c r="J259" s="7">
        <v>3669.13</v>
      </c>
      <c r="K259" s="6">
        <v>45</v>
      </c>
      <c r="L259" t="s">
        <v>45</v>
      </c>
      <c r="M259" s="8">
        <v>733.82600000000002</v>
      </c>
      <c r="N259" s="7">
        <v>3669.13</v>
      </c>
      <c r="O259" t="s">
        <v>46</v>
      </c>
      <c r="P259" t="s">
        <v>40</v>
      </c>
    </row>
    <row r="260" spans="1:16" x14ac:dyDescent="0.25">
      <c r="A260" s="5">
        <v>45760</v>
      </c>
      <c r="B260" t="s">
        <v>77</v>
      </c>
      <c r="C260" t="s">
        <v>78</v>
      </c>
      <c r="D260" t="s">
        <v>58</v>
      </c>
      <c r="E260" t="s">
        <v>204</v>
      </c>
      <c r="F260" t="s">
        <v>97</v>
      </c>
      <c r="G260" t="s">
        <v>375</v>
      </c>
      <c r="H260" s="6">
        <v>78</v>
      </c>
      <c r="I260" s="7">
        <v>382.94</v>
      </c>
      <c r="J260" s="7">
        <v>29869.46</v>
      </c>
      <c r="K260" s="6">
        <v>30</v>
      </c>
      <c r="L260" t="s">
        <v>45</v>
      </c>
      <c r="M260" s="8">
        <v>5973.8919999999998</v>
      </c>
      <c r="N260" s="7">
        <v>29869.46</v>
      </c>
      <c r="O260" t="s">
        <v>46</v>
      </c>
      <c r="P260" t="s">
        <v>40</v>
      </c>
    </row>
    <row r="261" spans="1:16" x14ac:dyDescent="0.25">
      <c r="A261" s="5">
        <v>45941</v>
      </c>
      <c r="B261" t="s">
        <v>103</v>
      </c>
      <c r="C261" t="s">
        <v>104</v>
      </c>
      <c r="D261" t="s">
        <v>58</v>
      </c>
      <c r="E261" t="s">
        <v>139</v>
      </c>
      <c r="F261" t="s">
        <v>108</v>
      </c>
      <c r="G261" t="s">
        <v>376</v>
      </c>
      <c r="H261" s="6">
        <v>14</v>
      </c>
      <c r="I261" s="7">
        <v>114.84</v>
      </c>
      <c r="J261" s="7">
        <v>1607.76</v>
      </c>
      <c r="K261" s="6">
        <v>60</v>
      </c>
      <c r="L261" t="s">
        <v>52</v>
      </c>
      <c r="M261" s="8">
        <v>321.55200000000002</v>
      </c>
      <c r="N261" s="7">
        <v>1607.76</v>
      </c>
      <c r="O261" t="s">
        <v>46</v>
      </c>
      <c r="P261" t="s">
        <v>40</v>
      </c>
    </row>
    <row r="262" spans="1:16" x14ac:dyDescent="0.25">
      <c r="A262" s="5">
        <v>45740</v>
      </c>
      <c r="B262" t="s">
        <v>103</v>
      </c>
      <c r="C262" t="s">
        <v>104</v>
      </c>
      <c r="D262" t="s">
        <v>58</v>
      </c>
      <c r="E262" t="s">
        <v>59</v>
      </c>
      <c r="F262" t="s">
        <v>60</v>
      </c>
      <c r="G262" t="s">
        <v>377</v>
      </c>
      <c r="H262" s="6">
        <v>35</v>
      </c>
      <c r="I262" s="7">
        <v>132.13</v>
      </c>
      <c r="J262" s="7">
        <v>4624.6899999999996</v>
      </c>
      <c r="K262" s="6">
        <v>45</v>
      </c>
      <c r="L262" t="s">
        <v>52</v>
      </c>
      <c r="M262" s="8">
        <v>924.93799999999999</v>
      </c>
      <c r="N262" s="7">
        <v>4624.6899999999996</v>
      </c>
      <c r="O262" t="s">
        <v>39</v>
      </c>
      <c r="P262" t="s">
        <v>40</v>
      </c>
    </row>
    <row r="263" spans="1:16" x14ac:dyDescent="0.25">
      <c r="A263" s="5">
        <v>45771</v>
      </c>
      <c r="B263" t="s">
        <v>77</v>
      </c>
      <c r="C263" t="s">
        <v>78</v>
      </c>
      <c r="D263" t="s">
        <v>58</v>
      </c>
      <c r="E263" t="s">
        <v>204</v>
      </c>
      <c r="F263" t="s">
        <v>97</v>
      </c>
      <c r="G263" t="s">
        <v>378</v>
      </c>
      <c r="H263" s="6">
        <v>58</v>
      </c>
      <c r="I263" s="7">
        <v>290.33999999999997</v>
      </c>
      <c r="J263" s="7">
        <v>16839.57</v>
      </c>
      <c r="K263" s="6">
        <v>45</v>
      </c>
      <c r="L263" t="s">
        <v>38</v>
      </c>
      <c r="M263" s="8">
        <v>3367.9140000000002</v>
      </c>
      <c r="N263" s="7">
        <v>16839.57</v>
      </c>
      <c r="O263" t="s">
        <v>46</v>
      </c>
      <c r="P263" t="s">
        <v>40</v>
      </c>
    </row>
    <row r="264" spans="1:16" x14ac:dyDescent="0.25">
      <c r="A264" s="5">
        <v>45915</v>
      </c>
      <c r="B264" t="s">
        <v>77</v>
      </c>
      <c r="C264" t="s">
        <v>78</v>
      </c>
      <c r="D264" t="s">
        <v>58</v>
      </c>
      <c r="E264" t="s">
        <v>210</v>
      </c>
      <c r="F264" t="s">
        <v>50</v>
      </c>
      <c r="G264" t="s">
        <v>379</v>
      </c>
      <c r="H264" s="6">
        <v>48</v>
      </c>
      <c r="I264" s="7">
        <v>20.18</v>
      </c>
      <c r="J264" s="7">
        <v>968.74</v>
      </c>
      <c r="K264" s="6">
        <v>30</v>
      </c>
      <c r="L264" t="s">
        <v>45</v>
      </c>
      <c r="M264" s="8">
        <v>193.74799999999999</v>
      </c>
      <c r="N264" s="7">
        <v>968.74</v>
      </c>
      <c r="O264" t="s">
        <v>46</v>
      </c>
      <c r="P264" t="s">
        <v>40</v>
      </c>
    </row>
    <row r="265" spans="1:16" x14ac:dyDescent="0.25">
      <c r="A265" s="5">
        <v>45672</v>
      </c>
      <c r="B265" t="s">
        <v>56</v>
      </c>
      <c r="C265" t="s">
        <v>57</v>
      </c>
      <c r="D265" t="s">
        <v>58</v>
      </c>
      <c r="E265" t="s">
        <v>83</v>
      </c>
      <c r="F265" t="s">
        <v>71</v>
      </c>
      <c r="G265" t="s">
        <v>380</v>
      </c>
      <c r="H265" s="6">
        <v>41</v>
      </c>
      <c r="I265" s="7">
        <v>54.08</v>
      </c>
      <c r="J265" s="7">
        <v>2217.2800000000002</v>
      </c>
      <c r="K265" s="6">
        <v>30</v>
      </c>
      <c r="L265" t="s">
        <v>52</v>
      </c>
      <c r="M265" s="8">
        <v>443.45600000000002</v>
      </c>
      <c r="N265" s="7">
        <v>2217.2800000000002</v>
      </c>
      <c r="O265" t="s">
        <v>39</v>
      </c>
      <c r="P265" t="s">
        <v>40</v>
      </c>
    </row>
    <row r="266" spans="1:16" x14ac:dyDescent="0.25">
      <c r="A266" s="5">
        <v>45728</v>
      </c>
      <c r="B266" t="s">
        <v>47</v>
      </c>
      <c r="C266" t="s">
        <v>48</v>
      </c>
      <c r="D266" t="s">
        <v>34</v>
      </c>
      <c r="E266" t="s">
        <v>83</v>
      </c>
      <c r="F266" t="s">
        <v>71</v>
      </c>
      <c r="G266" t="s">
        <v>381</v>
      </c>
      <c r="H266" s="6">
        <v>5</v>
      </c>
      <c r="I266" s="7">
        <v>82.68</v>
      </c>
      <c r="J266" s="7">
        <v>413.39</v>
      </c>
      <c r="K266" s="6">
        <v>45</v>
      </c>
      <c r="L266" t="s">
        <v>45</v>
      </c>
      <c r="M266" s="8">
        <v>82.677999999999997</v>
      </c>
      <c r="N266" s="7">
        <v>413.39</v>
      </c>
      <c r="O266" t="s">
        <v>39</v>
      </c>
      <c r="P266" t="s">
        <v>40</v>
      </c>
    </row>
    <row r="267" spans="1:16" x14ac:dyDescent="0.25">
      <c r="A267" s="5">
        <v>45898</v>
      </c>
      <c r="B267" t="s">
        <v>100</v>
      </c>
      <c r="C267" t="s">
        <v>101</v>
      </c>
      <c r="D267" t="s">
        <v>69</v>
      </c>
      <c r="E267" t="s">
        <v>124</v>
      </c>
      <c r="F267" t="s">
        <v>89</v>
      </c>
      <c r="G267" t="s">
        <v>382</v>
      </c>
      <c r="H267" s="6">
        <v>58</v>
      </c>
      <c r="I267" s="7">
        <v>90.62</v>
      </c>
      <c r="J267" s="7">
        <v>5255.97</v>
      </c>
      <c r="K267" s="6">
        <v>60</v>
      </c>
      <c r="L267" t="s">
        <v>38</v>
      </c>
      <c r="M267" s="8">
        <v>1051.194</v>
      </c>
      <c r="N267" s="7">
        <v>5255.97</v>
      </c>
      <c r="O267" t="s">
        <v>46</v>
      </c>
      <c r="P267" t="s">
        <v>40</v>
      </c>
    </row>
    <row r="268" spans="1:16" x14ac:dyDescent="0.25">
      <c r="A268" s="5">
        <v>45768</v>
      </c>
      <c r="B268" t="s">
        <v>91</v>
      </c>
      <c r="C268" t="s">
        <v>92</v>
      </c>
      <c r="D268" t="s">
        <v>64</v>
      </c>
      <c r="E268" t="s">
        <v>210</v>
      </c>
      <c r="F268" t="s">
        <v>50</v>
      </c>
      <c r="G268" t="s">
        <v>383</v>
      </c>
      <c r="H268" s="6">
        <v>20</v>
      </c>
      <c r="I268" s="7">
        <v>294.51</v>
      </c>
      <c r="J268" s="7">
        <v>5890.23</v>
      </c>
      <c r="K268" s="6">
        <v>60</v>
      </c>
      <c r="L268" t="s">
        <v>52</v>
      </c>
      <c r="M268" s="8">
        <v>1178.046</v>
      </c>
      <c r="N268" s="7">
        <v>5890.23</v>
      </c>
      <c r="O268" t="s">
        <v>46</v>
      </c>
      <c r="P268" t="s">
        <v>40</v>
      </c>
    </row>
    <row r="269" spans="1:16" x14ac:dyDescent="0.25">
      <c r="A269" s="5">
        <v>45805</v>
      </c>
      <c r="B269" t="s">
        <v>121</v>
      </c>
      <c r="C269" t="s">
        <v>122</v>
      </c>
      <c r="D269" t="s">
        <v>34</v>
      </c>
      <c r="E269" t="s">
        <v>204</v>
      </c>
      <c r="F269" t="s">
        <v>97</v>
      </c>
      <c r="G269" t="s">
        <v>384</v>
      </c>
      <c r="H269" s="6">
        <v>31</v>
      </c>
      <c r="I269" s="7">
        <v>136.62</v>
      </c>
      <c r="J269" s="7">
        <v>4235.2299999999996</v>
      </c>
      <c r="K269" s="6">
        <v>45</v>
      </c>
      <c r="L269" t="s">
        <v>38</v>
      </c>
      <c r="M269" s="8">
        <v>847.04600000000005</v>
      </c>
      <c r="N269" s="7">
        <v>4235.2299999999996</v>
      </c>
      <c r="O269" t="s">
        <v>46</v>
      </c>
      <c r="P269" t="s">
        <v>40</v>
      </c>
    </row>
    <row r="270" spans="1:16" x14ac:dyDescent="0.25">
      <c r="A270" s="5">
        <v>45985</v>
      </c>
      <c r="B270" t="s">
        <v>41</v>
      </c>
      <c r="C270" t="s">
        <v>42</v>
      </c>
      <c r="D270" t="s">
        <v>34</v>
      </c>
      <c r="E270" t="s">
        <v>65</v>
      </c>
      <c r="F270" t="s">
        <v>54</v>
      </c>
      <c r="G270" t="s">
        <v>385</v>
      </c>
      <c r="H270" s="6">
        <v>80</v>
      </c>
      <c r="I270" s="7">
        <v>196.26</v>
      </c>
      <c r="J270" s="7">
        <v>15700.74</v>
      </c>
      <c r="K270" s="6">
        <v>45</v>
      </c>
      <c r="L270" t="s">
        <v>38</v>
      </c>
      <c r="M270" s="8">
        <v>3140.1480000000001</v>
      </c>
      <c r="N270" s="7">
        <v>15700.74</v>
      </c>
      <c r="O270" t="s">
        <v>46</v>
      </c>
      <c r="P270" t="s">
        <v>40</v>
      </c>
    </row>
    <row r="271" spans="1:16" x14ac:dyDescent="0.25">
      <c r="A271" s="5">
        <v>45932</v>
      </c>
      <c r="B271" t="s">
        <v>94</v>
      </c>
      <c r="C271" t="s">
        <v>95</v>
      </c>
      <c r="D271" t="s">
        <v>34</v>
      </c>
      <c r="E271" t="s">
        <v>129</v>
      </c>
      <c r="F271" t="s">
        <v>108</v>
      </c>
      <c r="G271" t="s">
        <v>386</v>
      </c>
      <c r="H271" s="6">
        <v>3</v>
      </c>
      <c r="I271" s="7">
        <v>80.59</v>
      </c>
      <c r="J271" s="7">
        <v>241.78</v>
      </c>
      <c r="K271" s="6">
        <v>60</v>
      </c>
      <c r="L271" t="s">
        <v>52</v>
      </c>
      <c r="M271" s="8">
        <v>48.356000000000002</v>
      </c>
      <c r="N271" s="7">
        <v>241.78</v>
      </c>
      <c r="O271" t="s">
        <v>46</v>
      </c>
      <c r="P271" t="s">
        <v>40</v>
      </c>
    </row>
    <row r="272" spans="1:16" x14ac:dyDescent="0.25">
      <c r="A272" s="5">
        <v>45731</v>
      </c>
      <c r="B272" t="s">
        <v>77</v>
      </c>
      <c r="C272" t="s">
        <v>78</v>
      </c>
      <c r="D272" t="s">
        <v>58</v>
      </c>
      <c r="E272" t="s">
        <v>53</v>
      </c>
      <c r="F272" t="s">
        <v>54</v>
      </c>
      <c r="G272" t="s">
        <v>387</v>
      </c>
      <c r="H272" s="6">
        <v>38</v>
      </c>
      <c r="I272" s="7">
        <v>552.34</v>
      </c>
      <c r="J272" s="7">
        <v>20988.87</v>
      </c>
      <c r="K272" s="6">
        <v>45</v>
      </c>
      <c r="L272" t="s">
        <v>38</v>
      </c>
      <c r="M272" s="8">
        <v>4197.7740000000003</v>
      </c>
      <c r="N272" s="7">
        <v>20988.87</v>
      </c>
      <c r="O272" t="s">
        <v>46</v>
      </c>
      <c r="P272" t="s">
        <v>40</v>
      </c>
    </row>
    <row r="273" spans="1:16" x14ac:dyDescent="0.25">
      <c r="A273" s="5">
        <v>45950</v>
      </c>
      <c r="B273" t="s">
        <v>201</v>
      </c>
      <c r="C273" t="s">
        <v>202</v>
      </c>
      <c r="D273" t="s">
        <v>64</v>
      </c>
      <c r="E273" t="s">
        <v>83</v>
      </c>
      <c r="F273" t="s">
        <v>71</v>
      </c>
      <c r="G273" t="s">
        <v>388</v>
      </c>
      <c r="H273" s="6">
        <v>54</v>
      </c>
      <c r="I273" s="7">
        <v>43.13</v>
      </c>
      <c r="J273" s="7">
        <v>2328.87</v>
      </c>
      <c r="K273" s="6">
        <v>30</v>
      </c>
      <c r="L273" t="s">
        <v>52</v>
      </c>
      <c r="M273" s="8">
        <v>465.774</v>
      </c>
      <c r="N273" s="7">
        <v>2328.87</v>
      </c>
      <c r="O273" t="s">
        <v>39</v>
      </c>
      <c r="P273" t="s">
        <v>40</v>
      </c>
    </row>
    <row r="274" spans="1:16" x14ac:dyDescent="0.25">
      <c r="A274" s="5">
        <v>45842</v>
      </c>
      <c r="B274" t="s">
        <v>91</v>
      </c>
      <c r="C274" t="s">
        <v>92</v>
      </c>
      <c r="D274" t="s">
        <v>64</v>
      </c>
      <c r="E274" t="s">
        <v>43</v>
      </c>
      <c r="F274" t="s">
        <v>36</v>
      </c>
      <c r="G274" t="s">
        <v>389</v>
      </c>
      <c r="H274" s="6">
        <v>9</v>
      </c>
      <c r="I274" s="7">
        <v>123.24</v>
      </c>
      <c r="J274" s="7">
        <v>1109.1500000000001</v>
      </c>
      <c r="K274" s="6">
        <v>60</v>
      </c>
      <c r="L274" t="s">
        <v>52</v>
      </c>
      <c r="M274" s="8">
        <v>221.83</v>
      </c>
      <c r="N274" s="7">
        <v>1109.1500000000001</v>
      </c>
      <c r="O274" t="s">
        <v>46</v>
      </c>
      <c r="P274" t="s">
        <v>40</v>
      </c>
    </row>
    <row r="275" spans="1:16" x14ac:dyDescent="0.25">
      <c r="A275" s="5">
        <v>45898</v>
      </c>
      <c r="B275" t="s">
        <v>32</v>
      </c>
      <c r="C275" t="s">
        <v>33</v>
      </c>
      <c r="D275" t="s">
        <v>34</v>
      </c>
      <c r="E275" t="s">
        <v>210</v>
      </c>
      <c r="F275" t="s">
        <v>50</v>
      </c>
      <c r="G275" t="s">
        <v>390</v>
      </c>
      <c r="H275" s="6">
        <v>6</v>
      </c>
      <c r="I275" s="7">
        <v>120.68</v>
      </c>
      <c r="J275" s="7">
        <v>724.06</v>
      </c>
      <c r="K275" s="6">
        <v>60</v>
      </c>
      <c r="L275" t="s">
        <v>45</v>
      </c>
      <c r="M275" s="8">
        <v>144.81200000000001</v>
      </c>
      <c r="N275" s="7">
        <v>724.06</v>
      </c>
      <c r="O275" t="s">
        <v>46</v>
      </c>
      <c r="P275" t="s">
        <v>40</v>
      </c>
    </row>
    <row r="276" spans="1:16" x14ac:dyDescent="0.25">
      <c r="A276" s="5">
        <v>45666</v>
      </c>
      <c r="B276" t="s">
        <v>85</v>
      </c>
      <c r="C276" t="s">
        <v>86</v>
      </c>
      <c r="D276" t="s">
        <v>58</v>
      </c>
      <c r="E276" t="s">
        <v>391</v>
      </c>
      <c r="F276" t="s">
        <v>60</v>
      </c>
      <c r="G276" t="s">
        <v>392</v>
      </c>
      <c r="H276" s="6">
        <v>46</v>
      </c>
      <c r="I276" s="7">
        <v>128.22999999999999</v>
      </c>
      <c r="J276" s="7">
        <v>5898.42</v>
      </c>
      <c r="K276" s="6">
        <v>30</v>
      </c>
      <c r="L276" t="s">
        <v>45</v>
      </c>
      <c r="M276" s="8">
        <v>1179.684</v>
      </c>
      <c r="N276" s="7">
        <v>5898.42</v>
      </c>
      <c r="O276" t="s">
        <v>46</v>
      </c>
      <c r="P276" t="s">
        <v>40</v>
      </c>
    </row>
    <row r="277" spans="1:16" x14ac:dyDescent="0.25">
      <c r="A277" s="5">
        <v>45828</v>
      </c>
      <c r="B277" t="s">
        <v>56</v>
      </c>
      <c r="C277" t="s">
        <v>57</v>
      </c>
      <c r="D277" t="s">
        <v>58</v>
      </c>
      <c r="E277" t="s">
        <v>43</v>
      </c>
      <c r="F277" t="s">
        <v>36</v>
      </c>
      <c r="G277" t="s">
        <v>393</v>
      </c>
      <c r="H277" s="6">
        <v>18</v>
      </c>
      <c r="I277" s="7">
        <v>83.81</v>
      </c>
      <c r="J277" s="7">
        <v>1508.57</v>
      </c>
      <c r="K277" s="6">
        <v>30</v>
      </c>
      <c r="L277" t="s">
        <v>45</v>
      </c>
      <c r="M277" s="8">
        <v>301.714</v>
      </c>
      <c r="N277" s="7">
        <v>1508.57</v>
      </c>
      <c r="O277" t="s">
        <v>46</v>
      </c>
      <c r="P277" t="s">
        <v>40</v>
      </c>
    </row>
    <row r="278" spans="1:16" x14ac:dyDescent="0.25">
      <c r="A278" s="5">
        <v>45747</v>
      </c>
      <c r="B278" t="s">
        <v>62</v>
      </c>
      <c r="C278" t="s">
        <v>63</v>
      </c>
      <c r="D278" t="s">
        <v>64</v>
      </c>
      <c r="E278" t="s">
        <v>70</v>
      </c>
      <c r="F278" t="s">
        <v>71</v>
      </c>
      <c r="G278" t="s">
        <v>394</v>
      </c>
      <c r="H278" s="6">
        <v>60</v>
      </c>
      <c r="I278" s="7">
        <v>105.99</v>
      </c>
      <c r="J278" s="7">
        <v>6359.5</v>
      </c>
      <c r="K278" s="6">
        <v>60</v>
      </c>
      <c r="L278" t="s">
        <v>45</v>
      </c>
      <c r="M278" s="8">
        <v>1271.9000000000001</v>
      </c>
      <c r="N278" s="7">
        <v>6359.5</v>
      </c>
      <c r="O278" t="s">
        <v>46</v>
      </c>
      <c r="P278" t="s">
        <v>40</v>
      </c>
    </row>
    <row r="279" spans="1:16" x14ac:dyDescent="0.25">
      <c r="A279" s="5">
        <v>45690</v>
      </c>
      <c r="B279" t="s">
        <v>94</v>
      </c>
      <c r="C279" t="s">
        <v>95</v>
      </c>
      <c r="D279" t="s">
        <v>34</v>
      </c>
      <c r="E279" t="s">
        <v>154</v>
      </c>
      <c r="F279" t="s">
        <v>89</v>
      </c>
      <c r="G279" t="s">
        <v>395</v>
      </c>
      <c r="H279" s="6">
        <v>59</v>
      </c>
      <c r="I279" s="7">
        <v>129.38999999999999</v>
      </c>
      <c r="J279" s="7">
        <v>7634.06</v>
      </c>
      <c r="K279" s="6">
        <v>30</v>
      </c>
      <c r="L279" t="s">
        <v>45</v>
      </c>
      <c r="M279" s="8">
        <v>1526.8119999999999</v>
      </c>
      <c r="N279" s="7">
        <v>7634.06</v>
      </c>
      <c r="O279" t="s">
        <v>39</v>
      </c>
      <c r="P279" t="s">
        <v>40</v>
      </c>
    </row>
    <row r="280" spans="1:16" x14ac:dyDescent="0.25">
      <c r="A280" s="5">
        <v>45679</v>
      </c>
      <c r="B280" t="s">
        <v>91</v>
      </c>
      <c r="C280" t="s">
        <v>92</v>
      </c>
      <c r="D280" t="s">
        <v>64</v>
      </c>
      <c r="E280" t="s">
        <v>49</v>
      </c>
      <c r="F280" t="s">
        <v>50</v>
      </c>
      <c r="G280" t="s">
        <v>396</v>
      </c>
      <c r="H280" s="6">
        <v>41</v>
      </c>
      <c r="I280" s="7">
        <v>124.7</v>
      </c>
      <c r="J280" s="7">
        <v>5112.5600000000004</v>
      </c>
      <c r="K280" s="6">
        <v>45</v>
      </c>
      <c r="L280" t="s">
        <v>52</v>
      </c>
      <c r="M280" s="8">
        <v>1022.5119999999999</v>
      </c>
      <c r="N280" s="7">
        <v>5112.5600000000004</v>
      </c>
      <c r="O280" t="s">
        <v>39</v>
      </c>
      <c r="P280" t="s">
        <v>40</v>
      </c>
    </row>
    <row r="281" spans="1:16" x14ac:dyDescent="0.25">
      <c r="A281" s="5">
        <v>45676</v>
      </c>
      <c r="B281" t="s">
        <v>77</v>
      </c>
      <c r="C281" t="s">
        <v>78</v>
      </c>
      <c r="D281" t="s">
        <v>58</v>
      </c>
      <c r="E281" t="s">
        <v>139</v>
      </c>
      <c r="F281" t="s">
        <v>108</v>
      </c>
      <c r="G281" t="s">
        <v>397</v>
      </c>
      <c r="H281" s="6">
        <v>25</v>
      </c>
      <c r="I281" s="7">
        <v>60.68</v>
      </c>
      <c r="J281" s="7">
        <v>1516.93</v>
      </c>
      <c r="K281" s="6">
        <v>45</v>
      </c>
      <c r="L281" t="s">
        <v>45</v>
      </c>
      <c r="M281" s="8">
        <v>303.38600000000002</v>
      </c>
      <c r="N281" s="7">
        <v>1516.93</v>
      </c>
      <c r="O281" t="s">
        <v>46</v>
      </c>
      <c r="P281" t="s">
        <v>40</v>
      </c>
    </row>
    <row r="282" spans="1:16" x14ac:dyDescent="0.25">
      <c r="A282" s="5">
        <v>45721</v>
      </c>
      <c r="B282" t="s">
        <v>94</v>
      </c>
      <c r="C282" t="s">
        <v>95</v>
      </c>
      <c r="D282" t="s">
        <v>34</v>
      </c>
      <c r="E282" t="s">
        <v>132</v>
      </c>
      <c r="F282" t="s">
        <v>71</v>
      </c>
      <c r="G282" t="s">
        <v>398</v>
      </c>
      <c r="H282" s="6">
        <v>48</v>
      </c>
      <c r="I282" s="7">
        <v>101.12</v>
      </c>
      <c r="J282" s="7">
        <v>4853.78</v>
      </c>
      <c r="K282" s="6">
        <v>45</v>
      </c>
      <c r="L282" t="s">
        <v>45</v>
      </c>
      <c r="M282" s="8">
        <v>970.75599999999997</v>
      </c>
      <c r="N282" s="7">
        <v>4853.78</v>
      </c>
      <c r="O282" t="s">
        <v>46</v>
      </c>
      <c r="P282" t="s">
        <v>40</v>
      </c>
    </row>
    <row r="283" spans="1:16" x14ac:dyDescent="0.25">
      <c r="A283" s="5">
        <v>45831</v>
      </c>
      <c r="B283" t="s">
        <v>103</v>
      </c>
      <c r="C283" t="s">
        <v>104</v>
      </c>
      <c r="D283" t="s">
        <v>58</v>
      </c>
      <c r="E283" t="s">
        <v>139</v>
      </c>
      <c r="F283" t="s">
        <v>108</v>
      </c>
      <c r="G283" t="s">
        <v>399</v>
      </c>
      <c r="H283" s="6">
        <v>24</v>
      </c>
      <c r="I283" s="7">
        <v>107.95</v>
      </c>
      <c r="J283" s="7">
        <v>2590.7800000000002</v>
      </c>
      <c r="K283" s="6">
        <v>45</v>
      </c>
      <c r="L283" t="s">
        <v>52</v>
      </c>
      <c r="M283" s="8">
        <v>518.15599999999995</v>
      </c>
      <c r="N283" s="7">
        <v>2590.7800000000002</v>
      </c>
      <c r="O283" t="s">
        <v>46</v>
      </c>
      <c r="P283" t="s">
        <v>40</v>
      </c>
    </row>
    <row r="284" spans="1:16" x14ac:dyDescent="0.25">
      <c r="A284" s="5">
        <v>45794</v>
      </c>
      <c r="B284" t="s">
        <v>85</v>
      </c>
      <c r="C284" t="s">
        <v>86</v>
      </c>
      <c r="D284" t="s">
        <v>58</v>
      </c>
      <c r="E284" t="s">
        <v>70</v>
      </c>
      <c r="F284" t="s">
        <v>71</v>
      </c>
      <c r="G284" t="s">
        <v>400</v>
      </c>
      <c r="H284" s="6">
        <v>11</v>
      </c>
      <c r="I284" s="7">
        <v>227.28</v>
      </c>
      <c r="J284" s="7">
        <v>2500.09</v>
      </c>
      <c r="K284" s="6">
        <v>60</v>
      </c>
      <c r="L284" t="s">
        <v>45</v>
      </c>
      <c r="M284" s="8">
        <v>500.01799999999997</v>
      </c>
      <c r="N284" s="7">
        <v>2500.09</v>
      </c>
      <c r="O284" t="s">
        <v>46</v>
      </c>
      <c r="P284" t="s">
        <v>40</v>
      </c>
    </row>
    <row r="285" spans="1:16" x14ac:dyDescent="0.25">
      <c r="A285" s="5">
        <v>45750</v>
      </c>
      <c r="B285" t="s">
        <v>118</v>
      </c>
      <c r="C285" t="s">
        <v>119</v>
      </c>
      <c r="D285" t="s">
        <v>64</v>
      </c>
      <c r="E285" t="s">
        <v>105</v>
      </c>
      <c r="F285" t="s">
        <v>97</v>
      </c>
      <c r="G285" t="s">
        <v>401</v>
      </c>
      <c r="H285" s="6">
        <v>70</v>
      </c>
      <c r="I285" s="7">
        <v>151.86000000000001</v>
      </c>
      <c r="J285" s="7">
        <v>10630.46</v>
      </c>
      <c r="K285" s="6">
        <v>45</v>
      </c>
      <c r="L285" t="s">
        <v>45</v>
      </c>
      <c r="M285" s="8">
        <v>2126.0920000000001</v>
      </c>
      <c r="N285" s="7">
        <v>10630.46</v>
      </c>
      <c r="O285" t="s">
        <v>46</v>
      </c>
      <c r="P285" t="s">
        <v>40</v>
      </c>
    </row>
    <row r="286" spans="1:16" x14ac:dyDescent="0.25">
      <c r="A286" s="5">
        <v>45996</v>
      </c>
      <c r="B286" t="s">
        <v>100</v>
      </c>
      <c r="C286" t="s">
        <v>101</v>
      </c>
      <c r="D286" t="s">
        <v>69</v>
      </c>
      <c r="E286" t="s">
        <v>75</v>
      </c>
      <c r="F286" t="s">
        <v>36</v>
      </c>
      <c r="G286" t="s">
        <v>402</v>
      </c>
      <c r="H286" s="6">
        <v>38</v>
      </c>
      <c r="I286" s="7">
        <v>210.09</v>
      </c>
      <c r="J286" s="7">
        <v>7983.58</v>
      </c>
      <c r="K286" s="6">
        <v>45</v>
      </c>
      <c r="L286" t="s">
        <v>45</v>
      </c>
      <c r="M286" s="8">
        <v>1596.7159999999999</v>
      </c>
      <c r="N286" s="7">
        <v>7983.58</v>
      </c>
      <c r="O286" t="s">
        <v>46</v>
      </c>
      <c r="P286" t="s">
        <v>40</v>
      </c>
    </row>
    <row r="287" spans="1:16" x14ac:dyDescent="0.25">
      <c r="A287" s="5">
        <v>46011</v>
      </c>
      <c r="B287" t="s">
        <v>118</v>
      </c>
      <c r="C287" t="s">
        <v>119</v>
      </c>
      <c r="D287" t="s">
        <v>64</v>
      </c>
      <c r="E287" t="s">
        <v>204</v>
      </c>
      <c r="F287" t="s">
        <v>97</v>
      </c>
      <c r="G287" t="s">
        <v>403</v>
      </c>
      <c r="H287" s="6">
        <v>57</v>
      </c>
      <c r="I287" s="7">
        <v>102.53</v>
      </c>
      <c r="J287" s="7">
        <v>5844.09</v>
      </c>
      <c r="K287" s="6">
        <v>45</v>
      </c>
      <c r="L287" t="s">
        <v>45</v>
      </c>
      <c r="M287" s="8">
        <v>1168.818</v>
      </c>
      <c r="N287" s="7">
        <v>5844.09</v>
      </c>
      <c r="O287" t="s">
        <v>46</v>
      </c>
      <c r="P287" t="s">
        <v>40</v>
      </c>
    </row>
    <row r="288" spans="1:16" x14ac:dyDescent="0.25">
      <c r="A288" s="5">
        <v>45880</v>
      </c>
      <c r="B288" t="s">
        <v>113</v>
      </c>
      <c r="C288" t="s">
        <v>114</v>
      </c>
      <c r="D288" t="s">
        <v>69</v>
      </c>
      <c r="E288" t="s">
        <v>70</v>
      </c>
      <c r="F288" t="s">
        <v>71</v>
      </c>
      <c r="G288" t="s">
        <v>404</v>
      </c>
      <c r="H288" s="6">
        <v>36</v>
      </c>
      <c r="I288" s="7">
        <v>87.39</v>
      </c>
      <c r="J288" s="7">
        <v>3146.08</v>
      </c>
      <c r="K288" s="6">
        <v>60</v>
      </c>
      <c r="L288" t="s">
        <v>38</v>
      </c>
      <c r="M288" s="8">
        <v>629.21600000000001</v>
      </c>
      <c r="N288" s="7">
        <v>3146.08</v>
      </c>
      <c r="O288" t="s">
        <v>46</v>
      </c>
      <c r="P288" t="s">
        <v>40</v>
      </c>
    </row>
    <row r="289" spans="1:16" x14ac:dyDescent="0.25">
      <c r="A289" s="5">
        <v>45920</v>
      </c>
      <c r="B289" t="s">
        <v>103</v>
      </c>
      <c r="C289" t="s">
        <v>104</v>
      </c>
      <c r="D289" t="s">
        <v>58</v>
      </c>
      <c r="E289" t="s">
        <v>96</v>
      </c>
      <c r="F289" t="s">
        <v>97</v>
      </c>
      <c r="G289" t="s">
        <v>405</v>
      </c>
      <c r="H289" s="6">
        <v>21</v>
      </c>
      <c r="I289" s="7">
        <v>414.62</v>
      </c>
      <c r="J289" s="7">
        <v>8706.9699999999993</v>
      </c>
      <c r="K289" s="6">
        <v>30</v>
      </c>
      <c r="L289" t="s">
        <v>38</v>
      </c>
      <c r="M289" s="8">
        <v>1741.394</v>
      </c>
      <c r="N289" s="7">
        <v>8706.9699999999993</v>
      </c>
      <c r="O289" t="s">
        <v>46</v>
      </c>
      <c r="P289" t="s">
        <v>40</v>
      </c>
    </row>
    <row r="290" spans="1:16" x14ac:dyDescent="0.25">
      <c r="A290" s="5">
        <v>45722</v>
      </c>
      <c r="B290" t="s">
        <v>62</v>
      </c>
      <c r="C290" t="s">
        <v>63</v>
      </c>
      <c r="D290" t="s">
        <v>64</v>
      </c>
      <c r="E290" t="s">
        <v>107</v>
      </c>
      <c r="F290" t="s">
        <v>108</v>
      </c>
      <c r="G290" t="s">
        <v>406</v>
      </c>
      <c r="H290" s="6">
        <v>9</v>
      </c>
      <c r="I290" s="7">
        <v>87.53</v>
      </c>
      <c r="J290" s="7">
        <v>787.81</v>
      </c>
      <c r="K290" s="6">
        <v>30</v>
      </c>
      <c r="L290" t="s">
        <v>52</v>
      </c>
      <c r="M290" s="8">
        <v>157.56200000000001</v>
      </c>
      <c r="N290" s="7">
        <v>787.81</v>
      </c>
      <c r="O290" t="s">
        <v>46</v>
      </c>
      <c r="P290" t="s">
        <v>40</v>
      </c>
    </row>
    <row r="291" spans="1:16" x14ac:dyDescent="0.25">
      <c r="A291" s="5">
        <v>45948</v>
      </c>
      <c r="B291" t="s">
        <v>47</v>
      </c>
      <c r="C291" t="s">
        <v>48</v>
      </c>
      <c r="D291" t="s">
        <v>34</v>
      </c>
      <c r="E291" t="s">
        <v>132</v>
      </c>
      <c r="F291" t="s">
        <v>71</v>
      </c>
      <c r="G291" t="s">
        <v>407</v>
      </c>
      <c r="H291" s="6">
        <v>5</v>
      </c>
      <c r="I291" s="7">
        <v>67.45</v>
      </c>
      <c r="J291" s="7">
        <v>337.25</v>
      </c>
      <c r="K291" s="6">
        <v>60</v>
      </c>
      <c r="L291" t="s">
        <v>38</v>
      </c>
      <c r="M291" s="8">
        <v>67.45</v>
      </c>
      <c r="N291" s="7">
        <v>337.25</v>
      </c>
      <c r="O291" t="s">
        <v>46</v>
      </c>
      <c r="P291" t="s">
        <v>40</v>
      </c>
    </row>
    <row r="292" spans="1:16" x14ac:dyDescent="0.25">
      <c r="A292" s="5">
        <v>45848</v>
      </c>
      <c r="B292" t="s">
        <v>77</v>
      </c>
      <c r="C292" t="s">
        <v>78</v>
      </c>
      <c r="D292" t="s">
        <v>58</v>
      </c>
      <c r="E292" t="s">
        <v>139</v>
      </c>
      <c r="F292" t="s">
        <v>108</v>
      </c>
      <c r="G292" t="s">
        <v>408</v>
      </c>
      <c r="H292" s="6">
        <v>57</v>
      </c>
      <c r="I292" s="7">
        <v>66.89</v>
      </c>
      <c r="J292" s="7">
        <v>3812.62</v>
      </c>
      <c r="K292" s="6">
        <v>30</v>
      </c>
      <c r="L292" t="s">
        <v>52</v>
      </c>
      <c r="M292" s="8">
        <v>762.524</v>
      </c>
      <c r="N292" s="7">
        <v>3812.62</v>
      </c>
      <c r="O292" t="s">
        <v>46</v>
      </c>
      <c r="P292" t="s">
        <v>40</v>
      </c>
    </row>
    <row r="293" spans="1:16" x14ac:dyDescent="0.25">
      <c r="A293" s="5">
        <v>45818</v>
      </c>
      <c r="B293" t="s">
        <v>100</v>
      </c>
      <c r="C293" t="s">
        <v>101</v>
      </c>
      <c r="D293" t="s">
        <v>69</v>
      </c>
      <c r="E293" t="s">
        <v>132</v>
      </c>
      <c r="F293" t="s">
        <v>71</v>
      </c>
      <c r="G293" t="s">
        <v>409</v>
      </c>
      <c r="H293" s="6">
        <v>36</v>
      </c>
      <c r="I293" s="7">
        <v>72.44</v>
      </c>
      <c r="J293" s="7">
        <v>2607.7600000000002</v>
      </c>
      <c r="K293" s="6">
        <v>30</v>
      </c>
      <c r="L293" t="s">
        <v>38</v>
      </c>
      <c r="M293" s="8">
        <v>521.55200000000002</v>
      </c>
      <c r="N293" s="7">
        <v>2607.7600000000002</v>
      </c>
      <c r="O293" t="s">
        <v>46</v>
      </c>
      <c r="P293" t="s">
        <v>40</v>
      </c>
    </row>
    <row r="294" spans="1:16" x14ac:dyDescent="0.25">
      <c r="A294" s="5">
        <v>45923</v>
      </c>
      <c r="B294" t="s">
        <v>121</v>
      </c>
      <c r="C294" t="s">
        <v>122</v>
      </c>
      <c r="D294" t="s">
        <v>34</v>
      </c>
      <c r="E294" t="s">
        <v>88</v>
      </c>
      <c r="F294" t="s">
        <v>89</v>
      </c>
      <c r="G294" t="s">
        <v>410</v>
      </c>
      <c r="H294" s="6">
        <v>50</v>
      </c>
      <c r="I294" s="7">
        <v>130.16999999999999</v>
      </c>
      <c r="J294" s="7">
        <v>6508.27</v>
      </c>
      <c r="K294" s="6">
        <v>60</v>
      </c>
      <c r="L294" t="s">
        <v>38</v>
      </c>
      <c r="M294" s="8">
        <v>1301.654</v>
      </c>
      <c r="N294" s="7">
        <v>6508.27</v>
      </c>
      <c r="O294" t="s">
        <v>46</v>
      </c>
      <c r="P294" t="s">
        <v>40</v>
      </c>
    </row>
    <row r="295" spans="1:16" x14ac:dyDescent="0.25">
      <c r="A295" s="5">
        <v>45886</v>
      </c>
      <c r="B295" t="s">
        <v>85</v>
      </c>
      <c r="C295" t="s">
        <v>86</v>
      </c>
      <c r="D295" t="s">
        <v>58</v>
      </c>
      <c r="E295" t="s">
        <v>115</v>
      </c>
      <c r="F295" t="s">
        <v>60</v>
      </c>
      <c r="G295" t="s">
        <v>411</v>
      </c>
      <c r="H295" s="6">
        <v>28</v>
      </c>
      <c r="I295" s="7">
        <v>351.04</v>
      </c>
      <c r="J295" s="7">
        <v>9829.2000000000007</v>
      </c>
      <c r="K295" s="6">
        <v>60</v>
      </c>
      <c r="L295" t="s">
        <v>45</v>
      </c>
      <c r="M295" s="8">
        <v>1965.84</v>
      </c>
      <c r="N295" s="7">
        <v>9829.2000000000007</v>
      </c>
      <c r="O295" t="s">
        <v>46</v>
      </c>
      <c r="P295" t="s">
        <v>40</v>
      </c>
    </row>
    <row r="296" spans="1:16" x14ac:dyDescent="0.25">
      <c r="A296" s="5">
        <v>45720</v>
      </c>
      <c r="B296" t="s">
        <v>91</v>
      </c>
      <c r="C296" t="s">
        <v>92</v>
      </c>
      <c r="D296" t="s">
        <v>64</v>
      </c>
      <c r="E296" t="s">
        <v>107</v>
      </c>
      <c r="F296" t="s">
        <v>108</v>
      </c>
      <c r="G296" t="s">
        <v>412</v>
      </c>
      <c r="H296" s="6">
        <v>18</v>
      </c>
      <c r="I296" s="7">
        <v>91.27</v>
      </c>
      <c r="J296" s="7">
        <v>1642.9</v>
      </c>
      <c r="K296" s="6">
        <v>30</v>
      </c>
      <c r="L296" t="s">
        <v>45</v>
      </c>
      <c r="M296" s="8">
        <v>328.58</v>
      </c>
      <c r="N296" s="7">
        <v>1642.9</v>
      </c>
      <c r="O296" t="s">
        <v>46</v>
      </c>
      <c r="P296" t="s">
        <v>40</v>
      </c>
    </row>
    <row r="297" spans="1:16" x14ac:dyDescent="0.25">
      <c r="A297" s="5">
        <v>46007</v>
      </c>
      <c r="B297" t="s">
        <v>47</v>
      </c>
      <c r="C297" t="s">
        <v>48</v>
      </c>
      <c r="D297" t="s">
        <v>34</v>
      </c>
      <c r="E297" t="s">
        <v>107</v>
      </c>
      <c r="F297" t="s">
        <v>108</v>
      </c>
      <c r="G297" t="s">
        <v>413</v>
      </c>
      <c r="H297" s="6">
        <v>41</v>
      </c>
      <c r="I297" s="7">
        <v>51.23</v>
      </c>
      <c r="J297" s="7">
        <v>2100.56</v>
      </c>
      <c r="K297" s="6">
        <v>60</v>
      </c>
      <c r="L297" t="s">
        <v>45</v>
      </c>
      <c r="M297" s="8">
        <v>420.11200000000002</v>
      </c>
      <c r="N297" s="7">
        <v>2100.56</v>
      </c>
      <c r="O297" t="s">
        <v>46</v>
      </c>
      <c r="P297" t="s">
        <v>40</v>
      </c>
    </row>
    <row r="298" spans="1:16" x14ac:dyDescent="0.25">
      <c r="A298" s="5">
        <v>45935</v>
      </c>
      <c r="B298" t="s">
        <v>113</v>
      </c>
      <c r="C298" t="s">
        <v>114</v>
      </c>
      <c r="D298" t="s">
        <v>69</v>
      </c>
      <c r="E298" t="s">
        <v>43</v>
      </c>
      <c r="F298" t="s">
        <v>36</v>
      </c>
      <c r="G298" t="s">
        <v>414</v>
      </c>
      <c r="H298" s="6">
        <v>38</v>
      </c>
      <c r="I298" s="7">
        <v>106.61</v>
      </c>
      <c r="J298" s="7">
        <v>4051.14</v>
      </c>
      <c r="K298" s="6">
        <v>45</v>
      </c>
      <c r="L298" t="s">
        <v>38</v>
      </c>
      <c r="M298" s="8">
        <v>810.22799999999995</v>
      </c>
      <c r="N298" s="7">
        <v>4051.14</v>
      </c>
      <c r="O298" t="s">
        <v>46</v>
      </c>
      <c r="P298" t="s">
        <v>40</v>
      </c>
    </row>
    <row r="299" spans="1:16" x14ac:dyDescent="0.25">
      <c r="A299" s="5">
        <v>45918</v>
      </c>
      <c r="B299" t="s">
        <v>103</v>
      </c>
      <c r="C299" t="s">
        <v>104</v>
      </c>
      <c r="D299" t="s">
        <v>58</v>
      </c>
      <c r="E299" t="s">
        <v>88</v>
      </c>
      <c r="F299" t="s">
        <v>89</v>
      </c>
      <c r="G299" t="s">
        <v>415</v>
      </c>
      <c r="H299" s="6">
        <v>29</v>
      </c>
      <c r="I299" s="7">
        <v>213.14</v>
      </c>
      <c r="J299" s="7">
        <v>6181.2</v>
      </c>
      <c r="K299" s="6">
        <v>30</v>
      </c>
      <c r="L299" t="s">
        <v>38</v>
      </c>
      <c r="M299" s="8">
        <v>1236.24</v>
      </c>
      <c r="N299" s="7">
        <v>6181.2</v>
      </c>
      <c r="O299" t="s">
        <v>46</v>
      </c>
      <c r="P299" t="s">
        <v>40</v>
      </c>
    </row>
    <row r="300" spans="1:16" x14ac:dyDescent="0.25">
      <c r="A300" s="5">
        <v>45671</v>
      </c>
      <c r="B300" t="s">
        <v>62</v>
      </c>
      <c r="C300" t="s">
        <v>63</v>
      </c>
      <c r="D300" t="s">
        <v>64</v>
      </c>
      <c r="E300" t="s">
        <v>65</v>
      </c>
      <c r="F300" t="s">
        <v>54</v>
      </c>
      <c r="G300" t="s">
        <v>416</v>
      </c>
      <c r="H300" s="6">
        <v>47</v>
      </c>
      <c r="I300" s="7">
        <v>390.93</v>
      </c>
      <c r="J300" s="7">
        <v>18373.830000000002</v>
      </c>
      <c r="K300" s="6">
        <v>60</v>
      </c>
      <c r="L300" t="s">
        <v>52</v>
      </c>
      <c r="M300" s="8">
        <v>3674.7660000000001</v>
      </c>
      <c r="N300" s="7">
        <v>18373.830000000002</v>
      </c>
      <c r="O300" t="s">
        <v>46</v>
      </c>
      <c r="P300" t="s">
        <v>40</v>
      </c>
    </row>
    <row r="301" spans="1:16" x14ac:dyDescent="0.25">
      <c r="A301" s="5">
        <v>45724</v>
      </c>
      <c r="B301" t="s">
        <v>62</v>
      </c>
      <c r="C301" t="s">
        <v>63</v>
      </c>
      <c r="D301" t="s">
        <v>64</v>
      </c>
      <c r="E301" t="s">
        <v>129</v>
      </c>
      <c r="F301" t="s">
        <v>108</v>
      </c>
      <c r="G301" t="s">
        <v>417</v>
      </c>
      <c r="H301" s="6">
        <v>79</v>
      </c>
      <c r="I301" s="7">
        <v>106.04</v>
      </c>
      <c r="J301" s="7">
        <v>8376.89</v>
      </c>
      <c r="K301" s="6">
        <v>30</v>
      </c>
      <c r="L301" t="s">
        <v>38</v>
      </c>
      <c r="M301" s="8">
        <v>1675.3779999999999</v>
      </c>
      <c r="N301" s="7">
        <v>8376.89</v>
      </c>
      <c r="O301" t="s">
        <v>46</v>
      </c>
      <c r="P301" t="s">
        <v>40</v>
      </c>
    </row>
    <row r="302" spans="1:16" x14ac:dyDescent="0.25">
      <c r="A302" s="5">
        <v>45903</v>
      </c>
      <c r="B302" t="s">
        <v>80</v>
      </c>
      <c r="C302" t="s">
        <v>81</v>
      </c>
      <c r="D302" t="s">
        <v>64</v>
      </c>
      <c r="E302" t="s">
        <v>105</v>
      </c>
      <c r="F302" t="s">
        <v>97</v>
      </c>
      <c r="G302" t="s">
        <v>418</v>
      </c>
      <c r="H302" s="6">
        <v>68</v>
      </c>
      <c r="I302" s="7">
        <v>190.15</v>
      </c>
      <c r="J302" s="7">
        <v>12930.48</v>
      </c>
      <c r="K302" s="6">
        <v>45</v>
      </c>
      <c r="L302" t="s">
        <v>45</v>
      </c>
      <c r="M302" s="8">
        <v>2586.096</v>
      </c>
      <c r="N302" s="7">
        <v>12930.48</v>
      </c>
      <c r="O302" t="s">
        <v>46</v>
      </c>
      <c r="P302" t="s">
        <v>40</v>
      </c>
    </row>
    <row r="303" spans="1:16" x14ac:dyDescent="0.25">
      <c r="A303" s="5">
        <v>45820</v>
      </c>
      <c r="B303" t="s">
        <v>85</v>
      </c>
      <c r="C303" t="s">
        <v>86</v>
      </c>
      <c r="D303" t="s">
        <v>58</v>
      </c>
      <c r="E303" t="s">
        <v>127</v>
      </c>
      <c r="F303" t="s">
        <v>36</v>
      </c>
      <c r="G303" t="s">
        <v>419</v>
      </c>
      <c r="H303" s="6">
        <v>10</v>
      </c>
      <c r="I303" s="7">
        <v>47.76</v>
      </c>
      <c r="J303" s="7">
        <v>477.65</v>
      </c>
      <c r="K303" s="6">
        <v>45</v>
      </c>
      <c r="L303" t="s">
        <v>45</v>
      </c>
      <c r="M303" s="8">
        <v>95.53</v>
      </c>
      <c r="N303" s="7">
        <v>477.65</v>
      </c>
      <c r="O303" t="s">
        <v>39</v>
      </c>
      <c r="P303" t="s">
        <v>40</v>
      </c>
    </row>
    <row r="304" spans="1:16" x14ac:dyDescent="0.25">
      <c r="A304" s="5">
        <v>45940</v>
      </c>
      <c r="B304" t="s">
        <v>118</v>
      </c>
      <c r="C304" t="s">
        <v>119</v>
      </c>
      <c r="D304" t="s">
        <v>64</v>
      </c>
      <c r="E304" t="s">
        <v>83</v>
      </c>
      <c r="F304" t="s">
        <v>71</v>
      </c>
      <c r="G304" t="s">
        <v>420</v>
      </c>
      <c r="H304" s="6">
        <v>76</v>
      </c>
      <c r="I304" s="7">
        <v>143.29</v>
      </c>
      <c r="J304" s="7">
        <v>10890.23</v>
      </c>
      <c r="K304" s="6">
        <v>30</v>
      </c>
      <c r="L304" t="s">
        <v>38</v>
      </c>
      <c r="M304" s="8">
        <v>2178.0459999999998</v>
      </c>
      <c r="N304" s="7">
        <v>10890.23</v>
      </c>
      <c r="O304" t="s">
        <v>39</v>
      </c>
      <c r="P304" t="s">
        <v>40</v>
      </c>
    </row>
    <row r="305" spans="1:16" x14ac:dyDescent="0.25">
      <c r="A305" s="5">
        <v>45923</v>
      </c>
      <c r="B305" t="s">
        <v>56</v>
      </c>
      <c r="C305" t="s">
        <v>57</v>
      </c>
      <c r="D305" t="s">
        <v>58</v>
      </c>
      <c r="E305" t="s">
        <v>49</v>
      </c>
      <c r="F305" t="s">
        <v>50</v>
      </c>
      <c r="G305" t="s">
        <v>421</v>
      </c>
      <c r="H305" s="6">
        <v>20</v>
      </c>
      <c r="I305" s="7">
        <v>167.87</v>
      </c>
      <c r="J305" s="7">
        <v>3357.42</v>
      </c>
      <c r="K305" s="6">
        <v>45</v>
      </c>
      <c r="L305" t="s">
        <v>38</v>
      </c>
      <c r="M305" s="8">
        <v>671.48400000000004</v>
      </c>
      <c r="N305" s="7">
        <v>3357.42</v>
      </c>
      <c r="O305" t="s">
        <v>39</v>
      </c>
      <c r="P305" t="s">
        <v>40</v>
      </c>
    </row>
    <row r="306" spans="1:16" x14ac:dyDescent="0.25">
      <c r="A306" s="5">
        <v>45773</v>
      </c>
      <c r="B306" t="s">
        <v>121</v>
      </c>
      <c r="C306" t="s">
        <v>122</v>
      </c>
      <c r="D306" t="s">
        <v>34</v>
      </c>
      <c r="E306" t="s">
        <v>70</v>
      </c>
      <c r="F306" t="s">
        <v>71</v>
      </c>
      <c r="G306" t="s">
        <v>422</v>
      </c>
      <c r="H306" s="6">
        <v>45</v>
      </c>
      <c r="I306" s="7">
        <v>93.91</v>
      </c>
      <c r="J306" s="7">
        <v>4226.1400000000003</v>
      </c>
      <c r="K306" s="6">
        <v>60</v>
      </c>
      <c r="L306" t="s">
        <v>45</v>
      </c>
      <c r="M306" s="8">
        <v>845.22799999999995</v>
      </c>
      <c r="N306" s="7">
        <v>4226.1400000000003</v>
      </c>
      <c r="O306" t="s">
        <v>46</v>
      </c>
      <c r="P306" t="s">
        <v>40</v>
      </c>
    </row>
    <row r="307" spans="1:16" x14ac:dyDescent="0.25">
      <c r="A307" s="5">
        <v>45983</v>
      </c>
      <c r="B307" t="s">
        <v>121</v>
      </c>
      <c r="C307" t="s">
        <v>122</v>
      </c>
      <c r="D307" t="s">
        <v>34</v>
      </c>
      <c r="E307" t="s">
        <v>59</v>
      </c>
      <c r="F307" t="s">
        <v>60</v>
      </c>
      <c r="G307" t="s">
        <v>423</v>
      </c>
      <c r="H307" s="6">
        <v>71</v>
      </c>
      <c r="I307" s="7">
        <v>234.66</v>
      </c>
      <c r="J307" s="7">
        <v>16661.189999999999</v>
      </c>
      <c r="K307" s="6">
        <v>45</v>
      </c>
      <c r="L307" t="s">
        <v>38</v>
      </c>
      <c r="M307" s="8">
        <v>3332.2379999999998</v>
      </c>
      <c r="N307" s="7">
        <v>16661.189999999999</v>
      </c>
      <c r="O307" t="s">
        <v>39</v>
      </c>
      <c r="P307" t="s">
        <v>40</v>
      </c>
    </row>
    <row r="308" spans="1:16" x14ac:dyDescent="0.25">
      <c r="A308" s="5">
        <v>45931</v>
      </c>
      <c r="B308" t="s">
        <v>56</v>
      </c>
      <c r="C308" t="s">
        <v>57</v>
      </c>
      <c r="D308" t="s">
        <v>58</v>
      </c>
      <c r="E308" t="s">
        <v>115</v>
      </c>
      <c r="F308" t="s">
        <v>60</v>
      </c>
      <c r="G308" t="s">
        <v>424</v>
      </c>
      <c r="H308" s="6">
        <v>12</v>
      </c>
      <c r="I308" s="7">
        <v>444.23</v>
      </c>
      <c r="J308" s="7">
        <v>5330.76</v>
      </c>
      <c r="K308" s="6">
        <v>60</v>
      </c>
      <c r="L308" t="s">
        <v>52</v>
      </c>
      <c r="M308" s="8">
        <v>1066.152</v>
      </c>
      <c r="N308" s="7">
        <v>5330.76</v>
      </c>
      <c r="O308" t="s">
        <v>46</v>
      </c>
      <c r="P308" t="s">
        <v>40</v>
      </c>
    </row>
    <row r="309" spans="1:16" x14ac:dyDescent="0.25">
      <c r="A309" s="5">
        <v>45995</v>
      </c>
      <c r="B309" t="s">
        <v>121</v>
      </c>
      <c r="C309" t="s">
        <v>122</v>
      </c>
      <c r="D309" t="s">
        <v>34</v>
      </c>
      <c r="E309" t="s">
        <v>154</v>
      </c>
      <c r="F309" t="s">
        <v>89</v>
      </c>
      <c r="G309" t="s">
        <v>425</v>
      </c>
      <c r="H309" s="6">
        <v>80</v>
      </c>
      <c r="I309" s="7">
        <v>130.01</v>
      </c>
      <c r="J309" s="7">
        <v>10400.6</v>
      </c>
      <c r="K309" s="6">
        <v>60</v>
      </c>
      <c r="L309" t="s">
        <v>52</v>
      </c>
      <c r="M309" s="8">
        <v>2080.12</v>
      </c>
      <c r="N309" s="7">
        <v>10400.6</v>
      </c>
      <c r="O309" t="s">
        <v>39</v>
      </c>
      <c r="P309" t="s">
        <v>40</v>
      </c>
    </row>
    <row r="310" spans="1:16" x14ac:dyDescent="0.25">
      <c r="A310" s="5">
        <v>45699</v>
      </c>
      <c r="B310" t="s">
        <v>67</v>
      </c>
      <c r="C310" t="s">
        <v>68</v>
      </c>
      <c r="D310" t="s">
        <v>69</v>
      </c>
      <c r="E310" t="s">
        <v>49</v>
      </c>
      <c r="F310" t="s">
        <v>50</v>
      </c>
      <c r="G310" t="s">
        <v>426</v>
      </c>
      <c r="H310" s="6">
        <v>6</v>
      </c>
      <c r="I310" s="7">
        <v>162.13</v>
      </c>
      <c r="J310" s="7">
        <v>972.78</v>
      </c>
      <c r="K310" s="6">
        <v>60</v>
      </c>
      <c r="L310" t="s">
        <v>52</v>
      </c>
      <c r="M310" s="8">
        <v>194.55600000000001</v>
      </c>
      <c r="N310" s="7">
        <v>972.78</v>
      </c>
      <c r="O310" t="s">
        <v>39</v>
      </c>
      <c r="P310" t="s">
        <v>40</v>
      </c>
    </row>
    <row r="311" spans="1:16" x14ac:dyDescent="0.25">
      <c r="A311" s="5">
        <v>45871</v>
      </c>
      <c r="B311" t="s">
        <v>73</v>
      </c>
      <c r="C311" t="s">
        <v>74</v>
      </c>
      <c r="D311" t="s">
        <v>69</v>
      </c>
      <c r="E311" t="s">
        <v>53</v>
      </c>
      <c r="F311" t="s">
        <v>54</v>
      </c>
      <c r="G311" t="s">
        <v>427</v>
      </c>
      <c r="H311" s="6">
        <v>80</v>
      </c>
      <c r="I311" s="7">
        <v>223.69</v>
      </c>
      <c r="J311" s="7">
        <v>17895.09</v>
      </c>
      <c r="K311" s="6">
        <v>60</v>
      </c>
      <c r="L311" t="s">
        <v>38</v>
      </c>
      <c r="M311" s="8">
        <v>3579.018</v>
      </c>
      <c r="N311" s="7">
        <v>17895.09</v>
      </c>
      <c r="O311" t="s">
        <v>46</v>
      </c>
      <c r="P311" t="s">
        <v>40</v>
      </c>
    </row>
    <row r="312" spans="1:16" x14ac:dyDescent="0.25">
      <c r="A312" s="5">
        <v>45812</v>
      </c>
      <c r="B312" t="s">
        <v>201</v>
      </c>
      <c r="C312" t="s">
        <v>202</v>
      </c>
      <c r="D312" t="s">
        <v>64</v>
      </c>
      <c r="E312" t="s">
        <v>115</v>
      </c>
      <c r="F312" t="s">
        <v>60</v>
      </c>
      <c r="G312" t="s">
        <v>428</v>
      </c>
      <c r="H312" s="6">
        <v>62</v>
      </c>
      <c r="I312" s="7">
        <v>195.18</v>
      </c>
      <c r="J312" s="7">
        <v>12100.93</v>
      </c>
      <c r="K312" s="6">
        <v>30</v>
      </c>
      <c r="L312" t="s">
        <v>52</v>
      </c>
      <c r="M312" s="8">
        <v>2420.1860000000001</v>
      </c>
      <c r="N312" s="7">
        <v>12100.93</v>
      </c>
      <c r="O312" t="s">
        <v>46</v>
      </c>
      <c r="P312" t="s">
        <v>40</v>
      </c>
    </row>
    <row r="313" spans="1:16" x14ac:dyDescent="0.25">
      <c r="A313" s="5">
        <v>45695</v>
      </c>
      <c r="B313" t="s">
        <v>32</v>
      </c>
      <c r="C313" t="s">
        <v>33</v>
      </c>
      <c r="D313" t="s">
        <v>34</v>
      </c>
      <c r="E313" t="s">
        <v>149</v>
      </c>
      <c r="F313" t="s">
        <v>60</v>
      </c>
      <c r="G313" t="s">
        <v>429</v>
      </c>
      <c r="H313" s="6">
        <v>8</v>
      </c>
      <c r="I313" s="7">
        <v>402.6</v>
      </c>
      <c r="J313" s="7">
        <v>3220.84</v>
      </c>
      <c r="K313" s="6">
        <v>30</v>
      </c>
      <c r="L313" t="s">
        <v>45</v>
      </c>
      <c r="M313" s="8">
        <v>644.16800000000001</v>
      </c>
      <c r="N313" s="7">
        <v>3220.84</v>
      </c>
      <c r="O313" t="s">
        <v>46</v>
      </c>
      <c r="P313" t="s">
        <v>40</v>
      </c>
    </row>
    <row r="314" spans="1:16" x14ac:dyDescent="0.25">
      <c r="A314" s="5">
        <v>45762</v>
      </c>
      <c r="B314" t="s">
        <v>80</v>
      </c>
      <c r="C314" t="s">
        <v>81</v>
      </c>
      <c r="D314" t="s">
        <v>64</v>
      </c>
      <c r="E314" t="s">
        <v>139</v>
      </c>
      <c r="F314" t="s">
        <v>108</v>
      </c>
      <c r="G314" t="s">
        <v>430</v>
      </c>
      <c r="H314" s="6">
        <v>44</v>
      </c>
      <c r="I314" s="7">
        <v>118.09</v>
      </c>
      <c r="J314" s="7">
        <v>5196.0600000000004</v>
      </c>
      <c r="K314" s="6">
        <v>60</v>
      </c>
      <c r="L314" t="s">
        <v>38</v>
      </c>
      <c r="M314" s="8">
        <v>1039.212</v>
      </c>
      <c r="N314" s="7">
        <v>5196.0600000000004</v>
      </c>
      <c r="O314" t="s">
        <v>46</v>
      </c>
      <c r="P314" t="s">
        <v>40</v>
      </c>
    </row>
    <row r="315" spans="1:16" x14ac:dyDescent="0.25">
      <c r="A315" s="5">
        <v>45834</v>
      </c>
      <c r="B315" t="s">
        <v>73</v>
      </c>
      <c r="C315" t="s">
        <v>74</v>
      </c>
      <c r="D315" t="s">
        <v>69</v>
      </c>
      <c r="E315" t="s">
        <v>70</v>
      </c>
      <c r="F315" t="s">
        <v>71</v>
      </c>
      <c r="G315" t="s">
        <v>431</v>
      </c>
      <c r="H315" s="6">
        <v>52</v>
      </c>
      <c r="I315" s="7">
        <v>148.61000000000001</v>
      </c>
      <c r="J315" s="7">
        <v>7727.58</v>
      </c>
      <c r="K315" s="6">
        <v>30</v>
      </c>
      <c r="L315" t="s">
        <v>45</v>
      </c>
      <c r="M315" s="8">
        <v>1545.5160000000001</v>
      </c>
      <c r="N315" s="7">
        <v>7727.58</v>
      </c>
      <c r="O315" t="s">
        <v>46</v>
      </c>
      <c r="P315" t="s">
        <v>40</v>
      </c>
    </row>
    <row r="316" spans="1:16" x14ac:dyDescent="0.25">
      <c r="A316" s="5">
        <v>45781</v>
      </c>
      <c r="B316" t="s">
        <v>85</v>
      </c>
      <c r="C316" t="s">
        <v>86</v>
      </c>
      <c r="D316" t="s">
        <v>58</v>
      </c>
      <c r="E316" t="s">
        <v>75</v>
      </c>
      <c r="F316" t="s">
        <v>36</v>
      </c>
      <c r="G316" t="s">
        <v>432</v>
      </c>
      <c r="H316" s="6">
        <v>60</v>
      </c>
      <c r="I316" s="7">
        <v>133.27000000000001</v>
      </c>
      <c r="J316" s="7">
        <v>7996.39</v>
      </c>
      <c r="K316" s="6">
        <v>30</v>
      </c>
      <c r="L316" t="s">
        <v>45</v>
      </c>
      <c r="M316" s="8">
        <v>1599.278</v>
      </c>
      <c r="N316" s="7">
        <v>7996.39</v>
      </c>
      <c r="O316" t="s">
        <v>46</v>
      </c>
      <c r="P316" t="s">
        <v>40</v>
      </c>
    </row>
    <row r="317" spans="1:16" x14ac:dyDescent="0.25">
      <c r="A317" s="5">
        <v>45707</v>
      </c>
      <c r="B317" t="s">
        <v>73</v>
      </c>
      <c r="C317" t="s">
        <v>74</v>
      </c>
      <c r="D317" t="s">
        <v>69</v>
      </c>
      <c r="E317" t="s">
        <v>135</v>
      </c>
      <c r="F317" t="s">
        <v>54</v>
      </c>
      <c r="G317" t="s">
        <v>433</v>
      </c>
      <c r="H317" s="6">
        <v>7</v>
      </c>
      <c r="I317" s="7">
        <v>252.9</v>
      </c>
      <c r="J317" s="7">
        <v>1770.33</v>
      </c>
      <c r="K317" s="6">
        <v>45</v>
      </c>
      <c r="L317" t="s">
        <v>45</v>
      </c>
      <c r="M317" s="8">
        <v>354.06599999999997</v>
      </c>
      <c r="N317" s="7">
        <v>1770.33</v>
      </c>
      <c r="O317" t="s">
        <v>46</v>
      </c>
      <c r="P317" t="s">
        <v>40</v>
      </c>
    </row>
    <row r="318" spans="1:16" x14ac:dyDescent="0.25">
      <c r="A318" s="5">
        <v>45739</v>
      </c>
      <c r="B318" t="s">
        <v>103</v>
      </c>
      <c r="C318" t="s">
        <v>104</v>
      </c>
      <c r="D318" t="s">
        <v>58</v>
      </c>
      <c r="E318" t="s">
        <v>204</v>
      </c>
      <c r="F318" t="s">
        <v>97</v>
      </c>
      <c r="G318" t="s">
        <v>434</v>
      </c>
      <c r="H318" s="6">
        <v>42</v>
      </c>
      <c r="I318" s="7">
        <v>436.53</v>
      </c>
      <c r="J318" s="7">
        <v>18334.25</v>
      </c>
      <c r="K318" s="6">
        <v>60</v>
      </c>
      <c r="L318" t="s">
        <v>52</v>
      </c>
      <c r="M318" s="8">
        <v>3666.85</v>
      </c>
      <c r="N318" s="7">
        <v>18334.25</v>
      </c>
      <c r="O318" t="s">
        <v>46</v>
      </c>
      <c r="P318" t="s">
        <v>40</v>
      </c>
    </row>
    <row r="319" spans="1:16" x14ac:dyDescent="0.25">
      <c r="A319" s="5">
        <v>45913</v>
      </c>
      <c r="B319" t="s">
        <v>80</v>
      </c>
      <c r="C319" t="s">
        <v>81</v>
      </c>
      <c r="D319" t="s">
        <v>64</v>
      </c>
      <c r="E319" t="s">
        <v>135</v>
      </c>
      <c r="F319" t="s">
        <v>54</v>
      </c>
      <c r="G319" t="s">
        <v>435</v>
      </c>
      <c r="H319" s="6">
        <v>66</v>
      </c>
      <c r="I319" s="7">
        <v>210.78</v>
      </c>
      <c r="J319" s="7">
        <v>13911.47</v>
      </c>
      <c r="K319" s="6">
        <v>45</v>
      </c>
      <c r="L319" t="s">
        <v>45</v>
      </c>
      <c r="M319" s="8">
        <v>2782.2939999999999</v>
      </c>
      <c r="N319" s="7">
        <v>13911.47</v>
      </c>
      <c r="O319" t="s">
        <v>46</v>
      </c>
      <c r="P319" t="s">
        <v>40</v>
      </c>
    </row>
    <row r="320" spans="1:16" x14ac:dyDescent="0.25">
      <c r="A320" s="5">
        <v>45704</v>
      </c>
      <c r="B320" t="s">
        <v>56</v>
      </c>
      <c r="C320" t="s">
        <v>57</v>
      </c>
      <c r="D320" t="s">
        <v>58</v>
      </c>
      <c r="E320" t="s">
        <v>107</v>
      </c>
      <c r="F320" t="s">
        <v>108</v>
      </c>
      <c r="G320" t="s">
        <v>436</v>
      </c>
      <c r="H320" s="6">
        <v>51</v>
      </c>
      <c r="I320" s="7">
        <v>89.64</v>
      </c>
      <c r="J320" s="7">
        <v>4571.54</v>
      </c>
      <c r="K320" s="6">
        <v>60</v>
      </c>
      <c r="L320" t="s">
        <v>45</v>
      </c>
      <c r="M320" s="8">
        <v>914.30799999999999</v>
      </c>
      <c r="N320" s="7">
        <v>4571.54</v>
      </c>
      <c r="O320" t="s">
        <v>46</v>
      </c>
      <c r="P320" t="s">
        <v>40</v>
      </c>
    </row>
    <row r="321" spans="1:16" x14ac:dyDescent="0.25">
      <c r="A321" s="5">
        <v>45838</v>
      </c>
      <c r="B321" t="s">
        <v>80</v>
      </c>
      <c r="C321" t="s">
        <v>81</v>
      </c>
      <c r="D321" t="s">
        <v>64</v>
      </c>
      <c r="E321" t="s">
        <v>53</v>
      </c>
      <c r="F321" t="s">
        <v>54</v>
      </c>
      <c r="G321" t="s">
        <v>437</v>
      </c>
      <c r="H321" s="6">
        <v>7</v>
      </c>
      <c r="I321" s="7">
        <v>232.73</v>
      </c>
      <c r="J321" s="7">
        <v>1629.12</v>
      </c>
      <c r="K321" s="6">
        <v>30</v>
      </c>
      <c r="L321" t="s">
        <v>45</v>
      </c>
      <c r="M321" s="8">
        <v>325.82400000000001</v>
      </c>
      <c r="N321" s="7">
        <v>1629.12</v>
      </c>
      <c r="O321" t="s">
        <v>46</v>
      </c>
      <c r="P321" t="s">
        <v>40</v>
      </c>
    </row>
    <row r="322" spans="1:16" x14ac:dyDescent="0.25">
      <c r="A322" s="5">
        <v>45932</v>
      </c>
      <c r="B322" t="s">
        <v>56</v>
      </c>
      <c r="C322" t="s">
        <v>57</v>
      </c>
      <c r="D322" t="s">
        <v>58</v>
      </c>
      <c r="E322" t="s">
        <v>139</v>
      </c>
      <c r="F322" t="s">
        <v>108</v>
      </c>
      <c r="G322" t="s">
        <v>438</v>
      </c>
      <c r="H322" s="6">
        <v>2</v>
      </c>
      <c r="I322" s="7">
        <v>79.11</v>
      </c>
      <c r="J322" s="7">
        <v>158.22</v>
      </c>
      <c r="K322" s="6">
        <v>30</v>
      </c>
      <c r="L322" t="s">
        <v>45</v>
      </c>
      <c r="M322" s="8">
        <v>31.643999999999998</v>
      </c>
      <c r="N322" s="7">
        <v>158.22</v>
      </c>
      <c r="O322" t="s">
        <v>46</v>
      </c>
      <c r="P322" t="s">
        <v>40</v>
      </c>
    </row>
    <row r="323" spans="1:16" x14ac:dyDescent="0.25">
      <c r="A323" s="5">
        <v>45845</v>
      </c>
      <c r="B323" t="s">
        <v>113</v>
      </c>
      <c r="C323" t="s">
        <v>114</v>
      </c>
      <c r="D323" t="s">
        <v>69</v>
      </c>
      <c r="E323" t="s">
        <v>115</v>
      </c>
      <c r="F323" t="s">
        <v>60</v>
      </c>
      <c r="G323" t="s">
        <v>439</v>
      </c>
      <c r="H323" s="6">
        <v>52</v>
      </c>
      <c r="I323" s="7">
        <v>305.2</v>
      </c>
      <c r="J323" s="7">
        <v>15870.35</v>
      </c>
      <c r="K323" s="6">
        <v>45</v>
      </c>
      <c r="L323" t="s">
        <v>38</v>
      </c>
      <c r="M323" s="8">
        <v>3174.07</v>
      </c>
      <c r="N323" s="7">
        <v>15870.35</v>
      </c>
      <c r="O323" t="s">
        <v>46</v>
      </c>
      <c r="P323" t="s">
        <v>40</v>
      </c>
    </row>
    <row r="324" spans="1:16" x14ac:dyDescent="0.25">
      <c r="A324" s="5">
        <v>45945</v>
      </c>
      <c r="B324" t="s">
        <v>110</v>
      </c>
      <c r="C324" t="s">
        <v>111</v>
      </c>
      <c r="D324" t="s">
        <v>58</v>
      </c>
      <c r="E324" t="s">
        <v>152</v>
      </c>
      <c r="F324" t="s">
        <v>50</v>
      </c>
      <c r="G324" t="s">
        <v>440</v>
      </c>
      <c r="H324" s="6">
        <v>25</v>
      </c>
      <c r="I324" s="7">
        <v>76.510000000000005</v>
      </c>
      <c r="J324" s="7">
        <v>1912.84</v>
      </c>
      <c r="K324" s="6">
        <v>45</v>
      </c>
      <c r="L324" t="s">
        <v>52</v>
      </c>
      <c r="M324" s="8">
        <v>382.56799999999998</v>
      </c>
      <c r="N324" s="7">
        <v>1912.84</v>
      </c>
      <c r="O324" t="s">
        <v>46</v>
      </c>
      <c r="P324" t="s">
        <v>40</v>
      </c>
    </row>
    <row r="325" spans="1:16" x14ac:dyDescent="0.25">
      <c r="A325" s="5">
        <v>45916</v>
      </c>
      <c r="B325" t="s">
        <v>85</v>
      </c>
      <c r="C325" t="s">
        <v>86</v>
      </c>
      <c r="D325" t="s">
        <v>58</v>
      </c>
      <c r="E325" t="s">
        <v>75</v>
      </c>
      <c r="F325" t="s">
        <v>36</v>
      </c>
      <c r="G325" t="s">
        <v>441</v>
      </c>
      <c r="H325" s="6">
        <v>58</v>
      </c>
      <c r="I325" s="7">
        <v>205.45</v>
      </c>
      <c r="J325" s="7">
        <v>11916.07</v>
      </c>
      <c r="K325" s="6">
        <v>60</v>
      </c>
      <c r="L325" t="s">
        <v>45</v>
      </c>
      <c r="M325" s="8">
        <v>2383.2139999999999</v>
      </c>
      <c r="N325" s="7">
        <v>11916.07</v>
      </c>
      <c r="O325" t="s">
        <v>46</v>
      </c>
      <c r="P325" t="s">
        <v>40</v>
      </c>
    </row>
    <row r="326" spans="1:16" x14ac:dyDescent="0.25">
      <c r="A326" s="5">
        <v>45707</v>
      </c>
      <c r="B326" t="s">
        <v>94</v>
      </c>
      <c r="C326" t="s">
        <v>95</v>
      </c>
      <c r="D326" t="s">
        <v>34</v>
      </c>
      <c r="E326" t="s">
        <v>127</v>
      </c>
      <c r="F326" t="s">
        <v>36</v>
      </c>
      <c r="G326" t="s">
        <v>442</v>
      </c>
      <c r="H326" s="6">
        <v>51</v>
      </c>
      <c r="I326" s="7">
        <v>37.380000000000003</v>
      </c>
      <c r="J326" s="7">
        <v>1906.27</v>
      </c>
      <c r="K326" s="6">
        <v>45</v>
      </c>
      <c r="L326" t="s">
        <v>45</v>
      </c>
      <c r="M326" s="8">
        <v>381.25400000000002</v>
      </c>
      <c r="N326" s="7">
        <v>1906.27</v>
      </c>
      <c r="O326" t="s">
        <v>39</v>
      </c>
      <c r="P326" t="s">
        <v>40</v>
      </c>
    </row>
    <row r="327" spans="1:16" x14ac:dyDescent="0.25">
      <c r="A327" s="5">
        <v>45759</v>
      </c>
      <c r="B327" t="s">
        <v>77</v>
      </c>
      <c r="C327" t="s">
        <v>78</v>
      </c>
      <c r="D327" t="s">
        <v>58</v>
      </c>
      <c r="E327" t="s">
        <v>83</v>
      </c>
      <c r="F327" t="s">
        <v>71</v>
      </c>
      <c r="G327" t="s">
        <v>443</v>
      </c>
      <c r="H327" s="6">
        <v>78</v>
      </c>
      <c r="I327" s="7">
        <v>48.72</v>
      </c>
      <c r="J327" s="7">
        <v>3800.1</v>
      </c>
      <c r="K327" s="6">
        <v>60</v>
      </c>
      <c r="L327" t="s">
        <v>45</v>
      </c>
      <c r="M327" s="8">
        <v>760.02</v>
      </c>
      <c r="N327" s="7">
        <v>3800.1</v>
      </c>
      <c r="O327" t="s">
        <v>39</v>
      </c>
      <c r="P327" t="s">
        <v>40</v>
      </c>
    </row>
    <row r="328" spans="1:16" x14ac:dyDescent="0.25">
      <c r="A328" s="5">
        <v>45677</v>
      </c>
      <c r="B328" t="s">
        <v>73</v>
      </c>
      <c r="C328" t="s">
        <v>74</v>
      </c>
      <c r="D328" t="s">
        <v>69</v>
      </c>
      <c r="E328" t="s">
        <v>49</v>
      </c>
      <c r="F328" t="s">
        <v>50</v>
      </c>
      <c r="G328" t="s">
        <v>444</v>
      </c>
      <c r="H328" s="6">
        <v>18</v>
      </c>
      <c r="I328" s="7">
        <v>226.89</v>
      </c>
      <c r="J328" s="7">
        <v>4083.97</v>
      </c>
      <c r="K328" s="6">
        <v>60</v>
      </c>
      <c r="L328" t="s">
        <v>45</v>
      </c>
      <c r="M328" s="8">
        <v>816.79399999999998</v>
      </c>
      <c r="N328" s="7">
        <v>4083.97</v>
      </c>
      <c r="O328" t="s">
        <v>39</v>
      </c>
      <c r="P328" t="s">
        <v>40</v>
      </c>
    </row>
    <row r="329" spans="1:16" x14ac:dyDescent="0.25">
      <c r="A329" s="5">
        <v>45968</v>
      </c>
      <c r="B329" t="s">
        <v>201</v>
      </c>
      <c r="C329" t="s">
        <v>202</v>
      </c>
      <c r="D329" t="s">
        <v>64</v>
      </c>
      <c r="E329" t="s">
        <v>107</v>
      </c>
      <c r="F329" t="s">
        <v>108</v>
      </c>
      <c r="G329" t="s">
        <v>445</v>
      </c>
      <c r="H329" s="6">
        <v>66</v>
      </c>
      <c r="I329" s="7">
        <v>115.92</v>
      </c>
      <c r="J329" s="7">
        <v>7650.74</v>
      </c>
      <c r="K329" s="6">
        <v>30</v>
      </c>
      <c r="L329" t="s">
        <v>45</v>
      </c>
      <c r="M329" s="8">
        <v>1530.1479999999999</v>
      </c>
      <c r="N329" s="7">
        <v>7650.74</v>
      </c>
      <c r="O329" t="s">
        <v>46</v>
      </c>
      <c r="P329" t="s">
        <v>40</v>
      </c>
    </row>
    <row r="330" spans="1:16" x14ac:dyDescent="0.25">
      <c r="A330" s="5">
        <v>45859</v>
      </c>
      <c r="B330" t="s">
        <v>113</v>
      </c>
      <c r="C330" t="s">
        <v>114</v>
      </c>
      <c r="D330" t="s">
        <v>69</v>
      </c>
      <c r="E330" t="s">
        <v>83</v>
      </c>
      <c r="F330" t="s">
        <v>71</v>
      </c>
      <c r="G330" t="s">
        <v>446</v>
      </c>
      <c r="H330" s="6">
        <v>79</v>
      </c>
      <c r="I330" s="7">
        <v>133.91</v>
      </c>
      <c r="J330" s="7">
        <v>10578.62</v>
      </c>
      <c r="K330" s="6">
        <v>60</v>
      </c>
      <c r="L330" t="s">
        <v>45</v>
      </c>
      <c r="M330" s="8">
        <v>2115.7240000000002</v>
      </c>
      <c r="N330" s="7">
        <v>10578.62</v>
      </c>
      <c r="O330" t="s">
        <v>39</v>
      </c>
      <c r="P330" t="s">
        <v>40</v>
      </c>
    </row>
    <row r="331" spans="1:16" x14ac:dyDescent="0.25">
      <c r="A331" s="5">
        <v>45918</v>
      </c>
      <c r="B331" t="s">
        <v>91</v>
      </c>
      <c r="C331" t="s">
        <v>92</v>
      </c>
      <c r="D331" t="s">
        <v>64</v>
      </c>
      <c r="E331" t="s">
        <v>70</v>
      </c>
      <c r="F331" t="s">
        <v>71</v>
      </c>
      <c r="G331" t="s">
        <v>447</v>
      </c>
      <c r="H331" s="6">
        <v>69</v>
      </c>
      <c r="I331" s="7">
        <v>134.22</v>
      </c>
      <c r="J331" s="7">
        <v>9261.06</v>
      </c>
      <c r="K331" s="6">
        <v>45</v>
      </c>
      <c r="L331" t="s">
        <v>52</v>
      </c>
      <c r="M331" s="8">
        <v>1852.212</v>
      </c>
      <c r="N331" s="7">
        <v>9261.06</v>
      </c>
      <c r="O331" t="s">
        <v>46</v>
      </c>
      <c r="P331" t="s">
        <v>40</v>
      </c>
    </row>
    <row r="332" spans="1:16" x14ac:dyDescent="0.25">
      <c r="A332" s="5">
        <v>45666</v>
      </c>
      <c r="B332" t="s">
        <v>32</v>
      </c>
      <c r="C332" t="s">
        <v>33</v>
      </c>
      <c r="D332" t="s">
        <v>34</v>
      </c>
      <c r="E332" t="s">
        <v>149</v>
      </c>
      <c r="F332" t="s">
        <v>60</v>
      </c>
      <c r="G332" t="s">
        <v>448</v>
      </c>
      <c r="H332" s="6">
        <v>48</v>
      </c>
      <c r="I332" s="7">
        <v>218.52</v>
      </c>
      <c r="J332" s="7">
        <v>10489.11</v>
      </c>
      <c r="K332" s="6">
        <v>45</v>
      </c>
      <c r="L332" t="s">
        <v>52</v>
      </c>
      <c r="M332" s="8">
        <v>2097.8220000000001</v>
      </c>
      <c r="N332" s="7">
        <v>10489.11</v>
      </c>
      <c r="O332" t="s">
        <v>46</v>
      </c>
      <c r="P332" t="s">
        <v>40</v>
      </c>
    </row>
    <row r="333" spans="1:16" x14ac:dyDescent="0.25">
      <c r="A333" s="5">
        <v>45815</v>
      </c>
      <c r="B333" t="s">
        <v>121</v>
      </c>
      <c r="C333" t="s">
        <v>122</v>
      </c>
      <c r="D333" t="s">
        <v>34</v>
      </c>
      <c r="E333" t="s">
        <v>105</v>
      </c>
      <c r="F333" t="s">
        <v>97</v>
      </c>
      <c r="G333" t="s">
        <v>449</v>
      </c>
      <c r="H333" s="6">
        <v>4</v>
      </c>
      <c r="I333" s="7">
        <v>183.15</v>
      </c>
      <c r="J333" s="7">
        <v>732.59</v>
      </c>
      <c r="K333" s="6">
        <v>60</v>
      </c>
      <c r="L333" t="s">
        <v>45</v>
      </c>
      <c r="M333" s="8">
        <v>146.518</v>
      </c>
      <c r="N333" s="7">
        <v>732.59</v>
      </c>
      <c r="O333" t="s">
        <v>46</v>
      </c>
      <c r="P333" t="s">
        <v>40</v>
      </c>
    </row>
    <row r="334" spans="1:16" x14ac:dyDescent="0.25">
      <c r="A334" s="5">
        <v>45684</v>
      </c>
      <c r="B334" t="s">
        <v>85</v>
      </c>
      <c r="C334" t="s">
        <v>86</v>
      </c>
      <c r="D334" t="s">
        <v>58</v>
      </c>
      <c r="E334" t="s">
        <v>53</v>
      </c>
      <c r="F334" t="s">
        <v>54</v>
      </c>
      <c r="G334" t="s">
        <v>450</v>
      </c>
      <c r="H334" s="6">
        <v>75</v>
      </c>
      <c r="I334" s="7">
        <v>260.64</v>
      </c>
      <c r="J334" s="7">
        <v>19548.259999999998</v>
      </c>
      <c r="K334" s="6">
        <v>45</v>
      </c>
      <c r="L334" t="s">
        <v>38</v>
      </c>
      <c r="M334" s="8">
        <v>3909.652</v>
      </c>
      <c r="N334" s="7">
        <v>19548.259999999998</v>
      </c>
      <c r="O334" t="s">
        <v>46</v>
      </c>
      <c r="P334" t="s">
        <v>40</v>
      </c>
    </row>
    <row r="335" spans="1:16" x14ac:dyDescent="0.25">
      <c r="A335" s="5">
        <v>46006</v>
      </c>
      <c r="B335" t="s">
        <v>121</v>
      </c>
      <c r="C335" t="s">
        <v>122</v>
      </c>
      <c r="D335" t="s">
        <v>34</v>
      </c>
      <c r="E335" t="s">
        <v>204</v>
      </c>
      <c r="F335" t="s">
        <v>97</v>
      </c>
      <c r="G335" t="s">
        <v>451</v>
      </c>
      <c r="H335" s="6">
        <v>32</v>
      </c>
      <c r="I335" s="7">
        <v>206.72</v>
      </c>
      <c r="J335" s="7">
        <v>6614.9</v>
      </c>
      <c r="K335" s="6">
        <v>30</v>
      </c>
      <c r="L335" t="s">
        <v>52</v>
      </c>
      <c r="M335" s="8">
        <v>1322.98</v>
      </c>
      <c r="N335" s="7">
        <v>6614.9</v>
      </c>
      <c r="O335" t="s">
        <v>46</v>
      </c>
      <c r="P335" t="s">
        <v>40</v>
      </c>
    </row>
    <row r="336" spans="1:16" x14ac:dyDescent="0.25">
      <c r="A336" s="5">
        <v>45667</v>
      </c>
      <c r="B336" t="s">
        <v>113</v>
      </c>
      <c r="C336" t="s">
        <v>114</v>
      </c>
      <c r="D336" t="s">
        <v>69</v>
      </c>
      <c r="E336" t="s">
        <v>127</v>
      </c>
      <c r="F336" t="s">
        <v>36</v>
      </c>
      <c r="G336" t="s">
        <v>452</v>
      </c>
      <c r="H336" s="6">
        <v>57</v>
      </c>
      <c r="I336" s="7">
        <v>111.13</v>
      </c>
      <c r="J336" s="7">
        <v>6334.43</v>
      </c>
      <c r="K336" s="6">
        <v>45</v>
      </c>
      <c r="L336" t="s">
        <v>45</v>
      </c>
      <c r="M336" s="8">
        <v>1266.886</v>
      </c>
      <c r="N336" s="7">
        <v>6334.43</v>
      </c>
      <c r="O336" t="s">
        <v>39</v>
      </c>
      <c r="P336" t="s">
        <v>40</v>
      </c>
    </row>
    <row r="337" spans="1:16" x14ac:dyDescent="0.25">
      <c r="A337" s="5">
        <v>45762</v>
      </c>
      <c r="B337" t="s">
        <v>85</v>
      </c>
      <c r="C337" t="s">
        <v>86</v>
      </c>
      <c r="D337" t="s">
        <v>58</v>
      </c>
      <c r="E337" t="s">
        <v>105</v>
      </c>
      <c r="F337" t="s">
        <v>97</v>
      </c>
      <c r="G337" t="s">
        <v>453</v>
      </c>
      <c r="H337" s="6">
        <v>53</v>
      </c>
      <c r="I337" s="7">
        <v>276.69</v>
      </c>
      <c r="J337" s="7">
        <v>14664.62</v>
      </c>
      <c r="K337" s="6">
        <v>60</v>
      </c>
      <c r="L337" t="s">
        <v>52</v>
      </c>
      <c r="M337" s="8">
        <v>2932.924</v>
      </c>
      <c r="N337" s="7">
        <v>14664.62</v>
      </c>
      <c r="O337" t="s">
        <v>46</v>
      </c>
      <c r="P337" t="s">
        <v>40</v>
      </c>
    </row>
    <row r="338" spans="1:16" x14ac:dyDescent="0.25">
      <c r="A338" s="5">
        <v>45728</v>
      </c>
      <c r="B338" t="s">
        <v>118</v>
      </c>
      <c r="C338" t="s">
        <v>119</v>
      </c>
      <c r="D338" t="s">
        <v>64</v>
      </c>
      <c r="E338" t="s">
        <v>152</v>
      </c>
      <c r="F338" t="s">
        <v>50</v>
      </c>
      <c r="G338" t="s">
        <v>454</v>
      </c>
      <c r="H338" s="6">
        <v>67</v>
      </c>
      <c r="I338" s="7">
        <v>76.209999999999994</v>
      </c>
      <c r="J338" s="7">
        <v>5105.95</v>
      </c>
      <c r="K338" s="6">
        <v>30</v>
      </c>
      <c r="L338" t="s">
        <v>52</v>
      </c>
      <c r="M338" s="8">
        <v>1021.19</v>
      </c>
      <c r="N338" s="7">
        <v>5105.95</v>
      </c>
      <c r="O338" t="s">
        <v>46</v>
      </c>
      <c r="P338" t="s">
        <v>40</v>
      </c>
    </row>
    <row r="339" spans="1:16" x14ac:dyDescent="0.25">
      <c r="A339" s="5">
        <v>45850</v>
      </c>
      <c r="B339" t="s">
        <v>94</v>
      </c>
      <c r="C339" t="s">
        <v>95</v>
      </c>
      <c r="D339" t="s">
        <v>34</v>
      </c>
      <c r="E339" t="s">
        <v>129</v>
      </c>
      <c r="F339" t="s">
        <v>108</v>
      </c>
      <c r="G339" t="s">
        <v>455</v>
      </c>
      <c r="H339" s="6">
        <v>41</v>
      </c>
      <c r="I339" s="7">
        <v>62.85</v>
      </c>
      <c r="J339" s="7">
        <v>2576.79</v>
      </c>
      <c r="K339" s="6">
        <v>30</v>
      </c>
      <c r="L339" t="s">
        <v>45</v>
      </c>
      <c r="M339" s="8">
        <v>515.35799999999995</v>
      </c>
      <c r="N339" s="7">
        <v>2576.79</v>
      </c>
      <c r="O339" t="s">
        <v>46</v>
      </c>
      <c r="P339" t="s">
        <v>40</v>
      </c>
    </row>
    <row r="340" spans="1:16" x14ac:dyDescent="0.25">
      <c r="A340" s="5">
        <v>45839</v>
      </c>
      <c r="B340" t="s">
        <v>110</v>
      </c>
      <c r="C340" t="s">
        <v>111</v>
      </c>
      <c r="D340" t="s">
        <v>58</v>
      </c>
      <c r="E340" t="s">
        <v>70</v>
      </c>
      <c r="F340" t="s">
        <v>71</v>
      </c>
      <c r="G340" t="s">
        <v>456</v>
      </c>
      <c r="H340" s="6">
        <v>34</v>
      </c>
      <c r="I340" s="7">
        <v>119.22</v>
      </c>
      <c r="J340" s="7">
        <v>4053.56</v>
      </c>
      <c r="K340" s="6">
        <v>60</v>
      </c>
      <c r="L340" t="s">
        <v>45</v>
      </c>
      <c r="M340" s="8">
        <v>810.71199999999999</v>
      </c>
      <c r="N340" s="7">
        <v>4053.56</v>
      </c>
      <c r="O340" t="s">
        <v>46</v>
      </c>
      <c r="P340" t="s">
        <v>40</v>
      </c>
    </row>
    <row r="341" spans="1:16" x14ac:dyDescent="0.25">
      <c r="A341" s="5">
        <v>45943</v>
      </c>
      <c r="B341" t="s">
        <v>201</v>
      </c>
      <c r="C341" t="s">
        <v>202</v>
      </c>
      <c r="D341" t="s">
        <v>64</v>
      </c>
      <c r="E341" t="s">
        <v>65</v>
      </c>
      <c r="F341" t="s">
        <v>54</v>
      </c>
      <c r="G341" t="s">
        <v>457</v>
      </c>
      <c r="H341" s="6">
        <v>39</v>
      </c>
      <c r="I341" s="7">
        <v>183.35</v>
      </c>
      <c r="J341" s="7">
        <v>7150.76</v>
      </c>
      <c r="K341" s="6">
        <v>30</v>
      </c>
      <c r="L341" t="s">
        <v>45</v>
      </c>
      <c r="M341" s="8">
        <v>1430.152</v>
      </c>
      <c r="N341" s="7">
        <v>7150.76</v>
      </c>
      <c r="O341" t="s">
        <v>46</v>
      </c>
      <c r="P341" t="s">
        <v>40</v>
      </c>
    </row>
    <row r="342" spans="1:16" x14ac:dyDescent="0.25">
      <c r="A342" s="5">
        <v>46018</v>
      </c>
      <c r="B342" t="s">
        <v>32</v>
      </c>
      <c r="C342" t="s">
        <v>33</v>
      </c>
      <c r="D342" t="s">
        <v>34</v>
      </c>
      <c r="E342" t="s">
        <v>53</v>
      </c>
      <c r="F342" t="s">
        <v>54</v>
      </c>
      <c r="G342" t="s">
        <v>458</v>
      </c>
      <c r="H342" s="6">
        <v>63</v>
      </c>
      <c r="I342" s="7">
        <v>159.05000000000001</v>
      </c>
      <c r="J342" s="7">
        <v>10020.36</v>
      </c>
      <c r="K342" s="6">
        <v>45</v>
      </c>
      <c r="L342" t="s">
        <v>45</v>
      </c>
      <c r="M342" s="8">
        <v>2004.0719999999999</v>
      </c>
      <c r="N342" s="7">
        <v>10020.36</v>
      </c>
      <c r="O342" t="s">
        <v>46</v>
      </c>
      <c r="P342" t="s">
        <v>40</v>
      </c>
    </row>
    <row r="343" spans="1:16" x14ac:dyDescent="0.25">
      <c r="A343" s="5">
        <v>45720</v>
      </c>
      <c r="B343" t="s">
        <v>73</v>
      </c>
      <c r="C343" t="s">
        <v>74</v>
      </c>
      <c r="D343" t="s">
        <v>69</v>
      </c>
      <c r="E343" t="s">
        <v>149</v>
      </c>
      <c r="F343" t="s">
        <v>60</v>
      </c>
      <c r="G343" t="s">
        <v>459</v>
      </c>
      <c r="H343" s="6">
        <v>74</v>
      </c>
      <c r="I343" s="7">
        <v>251.55</v>
      </c>
      <c r="J343" s="7">
        <v>18614.96</v>
      </c>
      <c r="K343" s="6">
        <v>60</v>
      </c>
      <c r="L343" t="s">
        <v>52</v>
      </c>
      <c r="M343" s="8">
        <v>3722.9920000000002</v>
      </c>
      <c r="N343" s="7">
        <v>18614.96</v>
      </c>
      <c r="O343" t="s">
        <v>46</v>
      </c>
      <c r="P343" t="s">
        <v>40</v>
      </c>
    </row>
    <row r="344" spans="1:16" x14ac:dyDescent="0.25">
      <c r="A344" s="5">
        <v>45732</v>
      </c>
      <c r="B344" t="s">
        <v>91</v>
      </c>
      <c r="C344" t="s">
        <v>92</v>
      </c>
      <c r="D344" t="s">
        <v>64</v>
      </c>
      <c r="E344" t="s">
        <v>96</v>
      </c>
      <c r="F344" t="s">
        <v>97</v>
      </c>
      <c r="G344" t="s">
        <v>460</v>
      </c>
      <c r="H344" s="6">
        <v>38</v>
      </c>
      <c r="I344" s="7">
        <v>343.27</v>
      </c>
      <c r="J344" s="7">
        <v>13044.22</v>
      </c>
      <c r="K344" s="6">
        <v>30</v>
      </c>
      <c r="L344" t="s">
        <v>45</v>
      </c>
      <c r="M344" s="8">
        <v>2608.8440000000001</v>
      </c>
      <c r="N344" s="7">
        <v>13044.22</v>
      </c>
      <c r="O344" t="s">
        <v>46</v>
      </c>
      <c r="P344" t="s">
        <v>40</v>
      </c>
    </row>
    <row r="345" spans="1:16" x14ac:dyDescent="0.25">
      <c r="A345" s="5">
        <v>45884</v>
      </c>
      <c r="B345" t="s">
        <v>201</v>
      </c>
      <c r="C345" t="s">
        <v>202</v>
      </c>
      <c r="D345" t="s">
        <v>64</v>
      </c>
      <c r="E345" t="s">
        <v>75</v>
      </c>
      <c r="F345" t="s">
        <v>36</v>
      </c>
      <c r="G345" t="s">
        <v>461</v>
      </c>
      <c r="H345" s="6">
        <v>33</v>
      </c>
      <c r="I345" s="7">
        <v>49.18</v>
      </c>
      <c r="J345" s="7">
        <v>1623.07</v>
      </c>
      <c r="K345" s="6">
        <v>60</v>
      </c>
      <c r="L345" t="s">
        <v>45</v>
      </c>
      <c r="M345" s="8">
        <v>324.61399999999998</v>
      </c>
      <c r="N345" s="7">
        <v>1623.07</v>
      </c>
      <c r="O345" t="s">
        <v>46</v>
      </c>
      <c r="P345" t="s">
        <v>40</v>
      </c>
    </row>
    <row r="346" spans="1:16" x14ac:dyDescent="0.25">
      <c r="A346" s="5">
        <v>45796</v>
      </c>
      <c r="B346" t="s">
        <v>77</v>
      </c>
      <c r="C346" t="s">
        <v>78</v>
      </c>
      <c r="D346" t="s">
        <v>58</v>
      </c>
      <c r="E346" t="s">
        <v>53</v>
      </c>
      <c r="F346" t="s">
        <v>54</v>
      </c>
      <c r="G346" t="s">
        <v>462</v>
      </c>
      <c r="H346" s="6">
        <v>72</v>
      </c>
      <c r="I346" s="7">
        <v>192.94</v>
      </c>
      <c r="J346" s="7">
        <v>13891.83</v>
      </c>
      <c r="K346" s="6">
        <v>60</v>
      </c>
      <c r="L346" t="s">
        <v>45</v>
      </c>
      <c r="M346" s="8">
        <v>2778.366</v>
      </c>
      <c r="N346" s="7">
        <v>13891.83</v>
      </c>
      <c r="O346" t="s">
        <v>46</v>
      </c>
      <c r="P346" t="s">
        <v>40</v>
      </c>
    </row>
    <row r="347" spans="1:16" x14ac:dyDescent="0.25">
      <c r="A347" s="5">
        <v>45958</v>
      </c>
      <c r="B347" t="s">
        <v>77</v>
      </c>
      <c r="C347" t="s">
        <v>78</v>
      </c>
      <c r="D347" t="s">
        <v>58</v>
      </c>
      <c r="E347" t="s">
        <v>43</v>
      </c>
      <c r="F347" t="s">
        <v>36</v>
      </c>
      <c r="G347" t="s">
        <v>463</v>
      </c>
      <c r="H347" s="6">
        <v>31</v>
      </c>
      <c r="I347" s="7">
        <v>73.849999999999994</v>
      </c>
      <c r="J347" s="7">
        <v>2289.3000000000002</v>
      </c>
      <c r="K347" s="6">
        <v>30</v>
      </c>
      <c r="L347" t="s">
        <v>38</v>
      </c>
      <c r="M347" s="8">
        <v>457.86</v>
      </c>
      <c r="N347" s="7">
        <v>2289.3000000000002</v>
      </c>
      <c r="O347" t="s">
        <v>46</v>
      </c>
      <c r="P347" t="s">
        <v>40</v>
      </c>
    </row>
    <row r="348" spans="1:16" x14ac:dyDescent="0.25">
      <c r="A348" s="5">
        <v>45777</v>
      </c>
      <c r="B348" t="s">
        <v>103</v>
      </c>
      <c r="C348" t="s">
        <v>104</v>
      </c>
      <c r="D348" t="s">
        <v>58</v>
      </c>
      <c r="E348" t="s">
        <v>53</v>
      </c>
      <c r="F348" t="s">
        <v>54</v>
      </c>
      <c r="G348" t="s">
        <v>464</v>
      </c>
      <c r="H348" s="6">
        <v>7</v>
      </c>
      <c r="I348" s="7">
        <v>112.73</v>
      </c>
      <c r="J348" s="7">
        <v>789.12</v>
      </c>
      <c r="K348" s="6">
        <v>30</v>
      </c>
      <c r="L348" t="s">
        <v>45</v>
      </c>
      <c r="M348" s="8">
        <v>157.82400000000001</v>
      </c>
      <c r="N348" s="7">
        <v>789.12</v>
      </c>
      <c r="O348" t="s">
        <v>46</v>
      </c>
      <c r="P348" t="s">
        <v>40</v>
      </c>
    </row>
    <row r="349" spans="1:16" x14ac:dyDescent="0.25">
      <c r="A349" s="5">
        <v>46006</v>
      </c>
      <c r="B349" t="s">
        <v>103</v>
      </c>
      <c r="C349" t="s">
        <v>104</v>
      </c>
      <c r="D349" t="s">
        <v>58</v>
      </c>
      <c r="E349" t="s">
        <v>107</v>
      </c>
      <c r="F349" t="s">
        <v>108</v>
      </c>
      <c r="G349" t="s">
        <v>465</v>
      </c>
      <c r="H349" s="6">
        <v>18</v>
      </c>
      <c r="I349" s="7">
        <v>34.58</v>
      </c>
      <c r="J349" s="7">
        <v>622.51</v>
      </c>
      <c r="K349" s="6">
        <v>30</v>
      </c>
      <c r="L349" t="s">
        <v>52</v>
      </c>
      <c r="M349" s="8">
        <v>124.502</v>
      </c>
      <c r="N349" s="7">
        <v>622.51</v>
      </c>
      <c r="O349" t="s">
        <v>46</v>
      </c>
      <c r="P349" t="s">
        <v>40</v>
      </c>
    </row>
    <row r="350" spans="1:16" x14ac:dyDescent="0.25">
      <c r="A350" s="5">
        <v>45901</v>
      </c>
      <c r="B350" t="s">
        <v>118</v>
      </c>
      <c r="C350" t="s">
        <v>119</v>
      </c>
      <c r="D350" t="s">
        <v>64</v>
      </c>
      <c r="E350" t="s">
        <v>105</v>
      </c>
      <c r="F350" t="s">
        <v>97</v>
      </c>
      <c r="G350" t="s">
        <v>466</v>
      </c>
      <c r="H350" s="6">
        <v>62</v>
      </c>
      <c r="I350" s="7">
        <v>202.07</v>
      </c>
      <c r="J350" s="7">
        <v>12528.64</v>
      </c>
      <c r="K350" s="6">
        <v>60</v>
      </c>
      <c r="L350" t="s">
        <v>38</v>
      </c>
      <c r="M350" s="8">
        <v>2505.7280000000001</v>
      </c>
      <c r="N350" s="7">
        <v>12528.64</v>
      </c>
      <c r="O350" t="s">
        <v>46</v>
      </c>
      <c r="P350" t="s">
        <v>40</v>
      </c>
    </row>
    <row r="351" spans="1:16" x14ac:dyDescent="0.25">
      <c r="A351" s="5">
        <v>45804</v>
      </c>
      <c r="B351" t="s">
        <v>103</v>
      </c>
      <c r="C351" t="s">
        <v>104</v>
      </c>
      <c r="D351" t="s">
        <v>58</v>
      </c>
      <c r="E351" t="s">
        <v>149</v>
      </c>
      <c r="F351" t="s">
        <v>60</v>
      </c>
      <c r="G351" t="s">
        <v>467</v>
      </c>
      <c r="H351" s="6">
        <v>8</v>
      </c>
      <c r="I351" s="7">
        <v>195.63</v>
      </c>
      <c r="J351" s="7">
        <v>1565.05</v>
      </c>
      <c r="K351" s="6">
        <v>30</v>
      </c>
      <c r="L351" t="s">
        <v>52</v>
      </c>
      <c r="M351" s="8">
        <v>313.01</v>
      </c>
      <c r="N351" s="7">
        <v>1565.05</v>
      </c>
      <c r="O351" t="s">
        <v>46</v>
      </c>
      <c r="P351" t="s">
        <v>40</v>
      </c>
    </row>
    <row r="352" spans="1:16" x14ac:dyDescent="0.25">
      <c r="A352" s="5">
        <v>45677</v>
      </c>
      <c r="B352" t="s">
        <v>67</v>
      </c>
      <c r="C352" t="s">
        <v>68</v>
      </c>
      <c r="D352" t="s">
        <v>69</v>
      </c>
      <c r="E352" t="s">
        <v>53</v>
      </c>
      <c r="F352" t="s">
        <v>54</v>
      </c>
      <c r="G352" t="s">
        <v>468</v>
      </c>
      <c r="H352" s="6">
        <v>23</v>
      </c>
      <c r="I352" s="7">
        <v>296.62</v>
      </c>
      <c r="J352" s="7">
        <v>6822.32</v>
      </c>
      <c r="K352" s="6">
        <v>45</v>
      </c>
      <c r="L352" t="s">
        <v>38</v>
      </c>
      <c r="M352" s="8">
        <v>1364.4639999999999</v>
      </c>
      <c r="N352" s="7">
        <v>6822.32</v>
      </c>
      <c r="O352" t="s">
        <v>46</v>
      </c>
      <c r="P352" t="s">
        <v>40</v>
      </c>
    </row>
    <row r="353" spans="1:16" x14ac:dyDescent="0.25">
      <c r="A353" s="5">
        <v>45753</v>
      </c>
      <c r="B353" t="s">
        <v>67</v>
      </c>
      <c r="C353" t="s">
        <v>68</v>
      </c>
      <c r="D353" t="s">
        <v>69</v>
      </c>
      <c r="E353" t="s">
        <v>96</v>
      </c>
      <c r="F353" t="s">
        <v>97</v>
      </c>
      <c r="G353" t="s">
        <v>469</v>
      </c>
      <c r="H353" s="6">
        <v>38</v>
      </c>
      <c r="I353" s="7">
        <v>675.35</v>
      </c>
      <c r="J353" s="7">
        <v>25663.23</v>
      </c>
      <c r="K353" s="6">
        <v>30</v>
      </c>
      <c r="L353" t="s">
        <v>38</v>
      </c>
      <c r="M353" s="8">
        <v>5132.6459999999997</v>
      </c>
      <c r="N353" s="7">
        <v>25663.23</v>
      </c>
      <c r="O353" t="s">
        <v>46</v>
      </c>
      <c r="P353" t="s">
        <v>40</v>
      </c>
    </row>
    <row r="354" spans="1:16" x14ac:dyDescent="0.25">
      <c r="A354" s="5">
        <v>45803</v>
      </c>
      <c r="B354" t="s">
        <v>103</v>
      </c>
      <c r="C354" t="s">
        <v>104</v>
      </c>
      <c r="D354" t="s">
        <v>58</v>
      </c>
      <c r="E354" t="s">
        <v>75</v>
      </c>
      <c r="F354" t="s">
        <v>36</v>
      </c>
      <c r="G354" t="s">
        <v>470</v>
      </c>
      <c r="H354" s="6">
        <v>59</v>
      </c>
      <c r="I354" s="7">
        <v>104.18</v>
      </c>
      <c r="J354" s="7">
        <v>6146.5</v>
      </c>
      <c r="K354" s="6">
        <v>60</v>
      </c>
      <c r="L354" t="s">
        <v>52</v>
      </c>
      <c r="M354" s="8">
        <v>1229.3</v>
      </c>
      <c r="N354" s="7">
        <v>6146.5</v>
      </c>
      <c r="O354" t="s">
        <v>46</v>
      </c>
      <c r="P354" t="s">
        <v>40</v>
      </c>
    </row>
    <row r="355" spans="1:16" x14ac:dyDescent="0.25">
      <c r="A355" s="5">
        <v>45916</v>
      </c>
      <c r="B355" t="s">
        <v>67</v>
      </c>
      <c r="C355" t="s">
        <v>68</v>
      </c>
      <c r="D355" t="s">
        <v>69</v>
      </c>
      <c r="E355" t="s">
        <v>107</v>
      </c>
      <c r="F355" t="s">
        <v>108</v>
      </c>
      <c r="G355" t="s">
        <v>471</v>
      </c>
      <c r="H355" s="6">
        <v>60</v>
      </c>
      <c r="I355" s="7">
        <v>68.680000000000007</v>
      </c>
      <c r="J355" s="7">
        <v>4121.0600000000004</v>
      </c>
      <c r="K355" s="6">
        <v>45</v>
      </c>
      <c r="L355" t="s">
        <v>38</v>
      </c>
      <c r="M355" s="8">
        <v>824.21199999999999</v>
      </c>
      <c r="N355" s="7">
        <v>4121.0600000000004</v>
      </c>
      <c r="O355" t="s">
        <v>46</v>
      </c>
      <c r="P355" t="s">
        <v>40</v>
      </c>
    </row>
    <row r="356" spans="1:16" x14ac:dyDescent="0.25">
      <c r="A356" s="5">
        <v>45892</v>
      </c>
      <c r="B356" t="s">
        <v>67</v>
      </c>
      <c r="C356" t="s">
        <v>68</v>
      </c>
      <c r="D356" t="s">
        <v>69</v>
      </c>
      <c r="E356" t="s">
        <v>83</v>
      </c>
      <c r="F356" t="s">
        <v>71</v>
      </c>
      <c r="G356" t="s">
        <v>472</v>
      </c>
      <c r="H356" s="6">
        <v>33</v>
      </c>
      <c r="I356" s="7">
        <v>94.01</v>
      </c>
      <c r="J356" s="7">
        <v>3102.38</v>
      </c>
      <c r="K356" s="6">
        <v>60</v>
      </c>
      <c r="L356" t="s">
        <v>38</v>
      </c>
      <c r="M356" s="8">
        <v>620.476</v>
      </c>
      <c r="N356" s="7">
        <v>3102.38</v>
      </c>
      <c r="O356" t="s">
        <v>39</v>
      </c>
      <c r="P356" t="s">
        <v>40</v>
      </c>
    </row>
    <row r="357" spans="1:16" x14ac:dyDescent="0.25">
      <c r="A357" s="5">
        <v>45948</v>
      </c>
      <c r="B357" t="s">
        <v>73</v>
      </c>
      <c r="C357" t="s">
        <v>74</v>
      </c>
      <c r="D357" t="s">
        <v>69</v>
      </c>
      <c r="E357" t="s">
        <v>132</v>
      </c>
      <c r="F357" t="s">
        <v>71</v>
      </c>
      <c r="G357" t="s">
        <v>473</v>
      </c>
      <c r="H357" s="6">
        <v>25</v>
      </c>
      <c r="I357" s="7">
        <v>54.73</v>
      </c>
      <c r="J357" s="7">
        <v>1368.35</v>
      </c>
      <c r="K357" s="6">
        <v>30</v>
      </c>
      <c r="L357" t="s">
        <v>52</v>
      </c>
      <c r="M357" s="8">
        <v>273.67</v>
      </c>
      <c r="N357" s="7">
        <v>1368.35</v>
      </c>
      <c r="O357" t="s">
        <v>46</v>
      </c>
      <c r="P357" t="s">
        <v>40</v>
      </c>
    </row>
    <row r="358" spans="1:16" x14ac:dyDescent="0.25">
      <c r="A358" s="5">
        <v>45921</v>
      </c>
      <c r="B358" t="s">
        <v>103</v>
      </c>
      <c r="C358" t="s">
        <v>104</v>
      </c>
      <c r="D358" t="s">
        <v>58</v>
      </c>
      <c r="E358" t="s">
        <v>96</v>
      </c>
      <c r="F358" t="s">
        <v>97</v>
      </c>
      <c r="G358" t="s">
        <v>474</v>
      </c>
      <c r="H358" s="6">
        <v>42</v>
      </c>
      <c r="I358" s="7">
        <v>296.95999999999998</v>
      </c>
      <c r="J358" s="7">
        <v>12472.35</v>
      </c>
      <c r="K358" s="6">
        <v>30</v>
      </c>
      <c r="L358" t="s">
        <v>45</v>
      </c>
      <c r="M358" s="8">
        <v>2494.4699999999998</v>
      </c>
      <c r="N358" s="7">
        <v>12472.35</v>
      </c>
      <c r="O358" t="s">
        <v>46</v>
      </c>
      <c r="P358" t="s">
        <v>40</v>
      </c>
    </row>
    <row r="359" spans="1:16" x14ac:dyDescent="0.25">
      <c r="A359" s="5">
        <v>45729</v>
      </c>
      <c r="B359" t="s">
        <v>91</v>
      </c>
      <c r="C359" t="s">
        <v>92</v>
      </c>
      <c r="D359" t="s">
        <v>64</v>
      </c>
      <c r="E359" t="s">
        <v>127</v>
      </c>
      <c r="F359" t="s">
        <v>36</v>
      </c>
      <c r="G359" t="s">
        <v>475</v>
      </c>
      <c r="H359" s="6">
        <v>62</v>
      </c>
      <c r="I359" s="7">
        <v>55.46</v>
      </c>
      <c r="J359" s="7">
        <v>3438.39</v>
      </c>
      <c r="K359" s="6">
        <v>45</v>
      </c>
      <c r="L359" t="s">
        <v>38</v>
      </c>
      <c r="M359" s="8">
        <v>687.678</v>
      </c>
      <c r="N359" s="7">
        <v>3438.39</v>
      </c>
      <c r="O359" t="s">
        <v>39</v>
      </c>
      <c r="P359" t="s">
        <v>40</v>
      </c>
    </row>
    <row r="360" spans="1:16" x14ac:dyDescent="0.25">
      <c r="A360" s="5">
        <v>45778</v>
      </c>
      <c r="B360" t="s">
        <v>73</v>
      </c>
      <c r="C360" t="s">
        <v>74</v>
      </c>
      <c r="D360" t="s">
        <v>69</v>
      </c>
      <c r="E360" t="s">
        <v>149</v>
      </c>
      <c r="F360" t="s">
        <v>60</v>
      </c>
      <c r="G360" t="s">
        <v>476</v>
      </c>
      <c r="H360" s="6">
        <v>58</v>
      </c>
      <c r="I360" s="7">
        <v>262.73</v>
      </c>
      <c r="J360" s="7">
        <v>15238.28</v>
      </c>
      <c r="K360" s="6">
        <v>45</v>
      </c>
      <c r="L360" t="s">
        <v>45</v>
      </c>
      <c r="M360" s="8">
        <v>3047.6559999999999</v>
      </c>
      <c r="N360" s="7">
        <v>15238.28</v>
      </c>
      <c r="O360" t="s">
        <v>46</v>
      </c>
      <c r="P360" t="s">
        <v>40</v>
      </c>
    </row>
    <row r="361" spans="1:16" x14ac:dyDescent="0.25">
      <c r="A361" s="5">
        <v>45992</v>
      </c>
      <c r="B361" t="s">
        <v>113</v>
      </c>
      <c r="C361" t="s">
        <v>114</v>
      </c>
      <c r="D361" t="s">
        <v>69</v>
      </c>
      <c r="E361" t="s">
        <v>210</v>
      </c>
      <c r="F361" t="s">
        <v>50</v>
      </c>
      <c r="G361" t="s">
        <v>477</v>
      </c>
      <c r="H361" s="6">
        <v>47</v>
      </c>
      <c r="I361" s="7">
        <v>76.14</v>
      </c>
      <c r="J361" s="7">
        <v>3578.37</v>
      </c>
      <c r="K361" s="6">
        <v>60</v>
      </c>
      <c r="L361" t="s">
        <v>38</v>
      </c>
      <c r="M361" s="8">
        <v>715.67399999999998</v>
      </c>
      <c r="N361" s="7">
        <v>3578.37</v>
      </c>
      <c r="O361" t="s">
        <v>46</v>
      </c>
      <c r="P361" t="s">
        <v>40</v>
      </c>
    </row>
    <row r="362" spans="1:16" x14ac:dyDescent="0.25">
      <c r="A362" s="5">
        <v>45815</v>
      </c>
      <c r="B362" t="s">
        <v>113</v>
      </c>
      <c r="C362" t="s">
        <v>114</v>
      </c>
      <c r="D362" t="s">
        <v>69</v>
      </c>
      <c r="E362" t="s">
        <v>75</v>
      </c>
      <c r="F362" t="s">
        <v>36</v>
      </c>
      <c r="G362" t="s">
        <v>478</v>
      </c>
      <c r="H362" s="6">
        <v>21</v>
      </c>
      <c r="I362" s="7">
        <v>86.49</v>
      </c>
      <c r="J362" s="7">
        <v>1816.29</v>
      </c>
      <c r="K362" s="6">
        <v>45</v>
      </c>
      <c r="L362" t="s">
        <v>52</v>
      </c>
      <c r="M362" s="8">
        <v>363.25799999999998</v>
      </c>
      <c r="N362" s="7">
        <v>1816.29</v>
      </c>
      <c r="O362" t="s">
        <v>46</v>
      </c>
      <c r="P362" t="s">
        <v>40</v>
      </c>
    </row>
    <row r="363" spans="1:16" x14ac:dyDescent="0.25">
      <c r="A363" s="5">
        <v>45718</v>
      </c>
      <c r="B363" t="s">
        <v>100</v>
      </c>
      <c r="C363" t="s">
        <v>101</v>
      </c>
      <c r="D363" t="s">
        <v>69</v>
      </c>
      <c r="E363" t="s">
        <v>115</v>
      </c>
      <c r="F363" t="s">
        <v>60</v>
      </c>
      <c r="G363" t="s">
        <v>479</v>
      </c>
      <c r="H363" s="6">
        <v>38</v>
      </c>
      <c r="I363" s="7">
        <v>511.14</v>
      </c>
      <c r="J363" s="7">
        <v>19423.13</v>
      </c>
      <c r="K363" s="6">
        <v>45</v>
      </c>
      <c r="L363" t="s">
        <v>52</v>
      </c>
      <c r="M363" s="8">
        <v>3884.6260000000002</v>
      </c>
      <c r="N363" s="7">
        <v>19423.13</v>
      </c>
      <c r="O363" t="s">
        <v>46</v>
      </c>
      <c r="P363" t="s">
        <v>40</v>
      </c>
    </row>
    <row r="364" spans="1:16" x14ac:dyDescent="0.25">
      <c r="A364" s="5">
        <v>45902</v>
      </c>
      <c r="B364" t="s">
        <v>118</v>
      </c>
      <c r="C364" t="s">
        <v>119</v>
      </c>
      <c r="D364" t="s">
        <v>64</v>
      </c>
      <c r="E364" t="s">
        <v>135</v>
      </c>
      <c r="F364" t="s">
        <v>54</v>
      </c>
      <c r="G364" t="s">
        <v>480</v>
      </c>
      <c r="H364" s="6">
        <v>20</v>
      </c>
      <c r="I364" s="7">
        <v>235.48</v>
      </c>
      <c r="J364" s="7">
        <v>4709.68</v>
      </c>
      <c r="K364" s="6">
        <v>45</v>
      </c>
      <c r="L364" t="s">
        <v>52</v>
      </c>
      <c r="M364" s="8">
        <v>941.93600000000004</v>
      </c>
      <c r="N364" s="7">
        <v>4709.68</v>
      </c>
      <c r="O364" t="s">
        <v>46</v>
      </c>
      <c r="P364" t="s">
        <v>40</v>
      </c>
    </row>
    <row r="365" spans="1:16" x14ac:dyDescent="0.25">
      <c r="A365" s="5">
        <v>46017</v>
      </c>
      <c r="B365" t="s">
        <v>110</v>
      </c>
      <c r="C365" t="s">
        <v>111</v>
      </c>
      <c r="D365" t="s">
        <v>58</v>
      </c>
      <c r="E365" t="s">
        <v>132</v>
      </c>
      <c r="F365" t="s">
        <v>71</v>
      </c>
      <c r="G365" t="s">
        <v>481</v>
      </c>
      <c r="H365" s="6">
        <v>71</v>
      </c>
      <c r="I365" s="7">
        <v>118.49</v>
      </c>
      <c r="J365" s="7">
        <v>8412.7000000000007</v>
      </c>
      <c r="K365" s="6">
        <v>45</v>
      </c>
      <c r="L365" t="s">
        <v>52</v>
      </c>
      <c r="M365" s="8">
        <v>1682.54</v>
      </c>
      <c r="N365" s="7">
        <v>8412.7000000000007</v>
      </c>
      <c r="O365" t="s">
        <v>46</v>
      </c>
      <c r="P365" t="s">
        <v>40</v>
      </c>
    </row>
    <row r="366" spans="1:16" x14ac:dyDescent="0.25">
      <c r="A366" s="5">
        <v>46006</v>
      </c>
      <c r="B366" t="s">
        <v>118</v>
      </c>
      <c r="C366" t="s">
        <v>119</v>
      </c>
      <c r="D366" t="s">
        <v>64</v>
      </c>
      <c r="E366" t="s">
        <v>135</v>
      </c>
      <c r="F366" t="s">
        <v>54</v>
      </c>
      <c r="G366" t="s">
        <v>482</v>
      </c>
      <c r="H366" s="6">
        <v>77</v>
      </c>
      <c r="I366" s="7">
        <v>365.42</v>
      </c>
      <c r="J366" s="7">
        <v>28137.14</v>
      </c>
      <c r="K366" s="6">
        <v>30</v>
      </c>
      <c r="L366" t="s">
        <v>52</v>
      </c>
      <c r="M366" s="8">
        <v>5627.4279999999999</v>
      </c>
      <c r="N366" s="7">
        <v>28137.14</v>
      </c>
      <c r="O366" t="s">
        <v>46</v>
      </c>
      <c r="P366" t="s">
        <v>40</v>
      </c>
    </row>
    <row r="367" spans="1:16" x14ac:dyDescent="0.25">
      <c r="A367" s="5">
        <v>45946</v>
      </c>
      <c r="B367" t="s">
        <v>85</v>
      </c>
      <c r="C367" t="s">
        <v>86</v>
      </c>
      <c r="D367" t="s">
        <v>58</v>
      </c>
      <c r="E367" t="s">
        <v>83</v>
      </c>
      <c r="F367" t="s">
        <v>71</v>
      </c>
      <c r="G367" t="s">
        <v>483</v>
      </c>
      <c r="H367" s="6">
        <v>15</v>
      </c>
      <c r="I367" s="7">
        <v>76.19</v>
      </c>
      <c r="J367" s="7">
        <v>1142.82</v>
      </c>
      <c r="K367" s="6">
        <v>30</v>
      </c>
      <c r="L367" t="s">
        <v>52</v>
      </c>
      <c r="M367" s="8">
        <v>228.56399999999999</v>
      </c>
      <c r="N367" s="7">
        <v>1142.82</v>
      </c>
      <c r="O367" t="s">
        <v>39</v>
      </c>
      <c r="P367" t="s">
        <v>40</v>
      </c>
    </row>
    <row r="368" spans="1:16" x14ac:dyDescent="0.25">
      <c r="A368" s="5">
        <v>45932</v>
      </c>
      <c r="B368" t="s">
        <v>85</v>
      </c>
      <c r="C368" t="s">
        <v>86</v>
      </c>
      <c r="D368" t="s">
        <v>58</v>
      </c>
      <c r="E368" t="s">
        <v>53</v>
      </c>
      <c r="F368" t="s">
        <v>54</v>
      </c>
      <c r="G368" t="s">
        <v>484</v>
      </c>
      <c r="H368" s="6">
        <v>20</v>
      </c>
      <c r="I368" s="7">
        <v>282.79000000000002</v>
      </c>
      <c r="J368" s="7">
        <v>5655.84</v>
      </c>
      <c r="K368" s="6">
        <v>30</v>
      </c>
      <c r="L368" t="s">
        <v>45</v>
      </c>
      <c r="M368" s="8">
        <v>1131.1679999999999</v>
      </c>
      <c r="N368" s="7">
        <v>5655.84</v>
      </c>
      <c r="O368" t="s">
        <v>46</v>
      </c>
      <c r="P368" t="s">
        <v>40</v>
      </c>
    </row>
    <row r="369" spans="1:16" x14ac:dyDescent="0.25">
      <c r="A369" s="5">
        <v>46006</v>
      </c>
      <c r="B369" t="s">
        <v>103</v>
      </c>
      <c r="C369" t="s">
        <v>104</v>
      </c>
      <c r="D369" t="s">
        <v>58</v>
      </c>
      <c r="E369" t="s">
        <v>107</v>
      </c>
      <c r="F369" t="s">
        <v>108</v>
      </c>
      <c r="G369" t="s">
        <v>485</v>
      </c>
      <c r="H369" s="6">
        <v>27</v>
      </c>
      <c r="I369" s="7">
        <v>75.52</v>
      </c>
      <c r="J369" s="7">
        <v>2039.07</v>
      </c>
      <c r="K369" s="6">
        <v>60</v>
      </c>
      <c r="L369" t="s">
        <v>52</v>
      </c>
      <c r="M369" s="8">
        <v>407.81400000000002</v>
      </c>
      <c r="N369" s="7">
        <v>2039.07</v>
      </c>
      <c r="O369" t="s">
        <v>46</v>
      </c>
      <c r="P369" t="s">
        <v>40</v>
      </c>
    </row>
    <row r="370" spans="1:16" x14ac:dyDescent="0.25">
      <c r="A370" s="5">
        <v>45886</v>
      </c>
      <c r="B370" t="s">
        <v>47</v>
      </c>
      <c r="C370" t="s">
        <v>48</v>
      </c>
      <c r="D370" t="s">
        <v>34</v>
      </c>
      <c r="E370" t="s">
        <v>43</v>
      </c>
      <c r="F370" t="s">
        <v>36</v>
      </c>
      <c r="G370" t="s">
        <v>486</v>
      </c>
      <c r="H370" s="6">
        <v>8</v>
      </c>
      <c r="I370" s="7">
        <v>68.59</v>
      </c>
      <c r="J370" s="7">
        <v>548.70000000000005</v>
      </c>
      <c r="K370" s="6">
        <v>45</v>
      </c>
      <c r="L370" t="s">
        <v>38</v>
      </c>
      <c r="M370" s="8">
        <v>109.74</v>
      </c>
      <c r="N370" s="7">
        <v>548.70000000000005</v>
      </c>
      <c r="O370" t="s">
        <v>46</v>
      </c>
      <c r="P370" t="s">
        <v>40</v>
      </c>
    </row>
    <row r="371" spans="1:16" x14ac:dyDescent="0.25">
      <c r="A371" s="5">
        <v>45946</v>
      </c>
      <c r="B371" t="s">
        <v>85</v>
      </c>
      <c r="C371" t="s">
        <v>86</v>
      </c>
      <c r="D371" t="s">
        <v>58</v>
      </c>
      <c r="E371" t="s">
        <v>96</v>
      </c>
      <c r="F371" t="s">
        <v>97</v>
      </c>
      <c r="G371" t="s">
        <v>487</v>
      </c>
      <c r="H371" s="6">
        <v>8</v>
      </c>
      <c r="I371" s="7">
        <v>196.1</v>
      </c>
      <c r="J371" s="7">
        <v>1568.8</v>
      </c>
      <c r="K371" s="6">
        <v>60</v>
      </c>
      <c r="L371" t="s">
        <v>45</v>
      </c>
      <c r="M371" s="8">
        <v>313.76</v>
      </c>
      <c r="N371" s="7">
        <v>1568.8</v>
      </c>
      <c r="O371" t="s">
        <v>46</v>
      </c>
      <c r="P371" t="s">
        <v>40</v>
      </c>
    </row>
    <row r="372" spans="1:16" x14ac:dyDescent="0.25">
      <c r="A372" s="5">
        <v>45669</v>
      </c>
      <c r="B372" t="s">
        <v>85</v>
      </c>
      <c r="C372" t="s">
        <v>86</v>
      </c>
      <c r="D372" t="s">
        <v>58</v>
      </c>
      <c r="E372" t="s">
        <v>115</v>
      </c>
      <c r="F372" t="s">
        <v>60</v>
      </c>
      <c r="G372" t="s">
        <v>488</v>
      </c>
      <c r="H372" s="6">
        <v>51</v>
      </c>
      <c r="I372" s="7">
        <v>222.99</v>
      </c>
      <c r="J372" s="7">
        <v>11372.28</v>
      </c>
      <c r="K372" s="6">
        <v>45</v>
      </c>
      <c r="L372" t="s">
        <v>38</v>
      </c>
      <c r="M372" s="8">
        <v>2274.4560000000001</v>
      </c>
      <c r="N372" s="7">
        <v>11372.28</v>
      </c>
      <c r="O372" t="s">
        <v>46</v>
      </c>
      <c r="P372" t="s">
        <v>40</v>
      </c>
    </row>
    <row r="373" spans="1:16" x14ac:dyDescent="0.25">
      <c r="A373" s="5">
        <v>45695</v>
      </c>
      <c r="B373" t="s">
        <v>85</v>
      </c>
      <c r="C373" t="s">
        <v>86</v>
      </c>
      <c r="D373" t="s">
        <v>58</v>
      </c>
      <c r="E373" t="s">
        <v>53</v>
      </c>
      <c r="F373" t="s">
        <v>54</v>
      </c>
      <c r="G373" t="s">
        <v>489</v>
      </c>
      <c r="H373" s="6">
        <v>6</v>
      </c>
      <c r="I373" s="7">
        <v>328.77</v>
      </c>
      <c r="J373" s="7">
        <v>1972.62</v>
      </c>
      <c r="K373" s="6">
        <v>45</v>
      </c>
      <c r="L373" t="s">
        <v>45</v>
      </c>
      <c r="M373" s="8">
        <v>394.524</v>
      </c>
      <c r="N373" s="7">
        <v>1972.62</v>
      </c>
      <c r="O373" t="s">
        <v>46</v>
      </c>
      <c r="P373" t="s">
        <v>40</v>
      </c>
    </row>
    <row r="374" spans="1:16" x14ac:dyDescent="0.25">
      <c r="A374" s="5">
        <v>45688</v>
      </c>
      <c r="B374" t="s">
        <v>73</v>
      </c>
      <c r="C374" t="s">
        <v>74</v>
      </c>
      <c r="D374" t="s">
        <v>69</v>
      </c>
      <c r="E374" t="s">
        <v>43</v>
      </c>
      <c r="F374" t="s">
        <v>36</v>
      </c>
      <c r="G374" t="s">
        <v>490</v>
      </c>
      <c r="H374" s="6">
        <v>9</v>
      </c>
      <c r="I374" s="7">
        <v>144.38999999999999</v>
      </c>
      <c r="J374" s="7">
        <v>1299.51</v>
      </c>
      <c r="K374" s="6">
        <v>45</v>
      </c>
      <c r="L374" t="s">
        <v>38</v>
      </c>
      <c r="M374" s="8">
        <v>259.90199999999999</v>
      </c>
      <c r="N374" s="7">
        <v>1299.51</v>
      </c>
      <c r="O374" t="s">
        <v>46</v>
      </c>
      <c r="P374" t="s">
        <v>40</v>
      </c>
    </row>
    <row r="375" spans="1:16" x14ac:dyDescent="0.25">
      <c r="A375" s="5">
        <v>45727</v>
      </c>
      <c r="B375" t="s">
        <v>121</v>
      </c>
      <c r="C375" t="s">
        <v>122</v>
      </c>
      <c r="D375" t="s">
        <v>34</v>
      </c>
      <c r="E375" t="s">
        <v>204</v>
      </c>
      <c r="F375" t="s">
        <v>97</v>
      </c>
      <c r="G375" t="s">
        <v>491</v>
      </c>
      <c r="H375" s="6">
        <v>54</v>
      </c>
      <c r="I375" s="7">
        <v>508.46</v>
      </c>
      <c r="J375" s="7">
        <v>27456.7</v>
      </c>
      <c r="K375" s="6">
        <v>45</v>
      </c>
      <c r="L375" t="s">
        <v>45</v>
      </c>
      <c r="M375" s="8">
        <v>5491.34</v>
      </c>
      <c r="N375" s="7">
        <v>27456.7</v>
      </c>
      <c r="O375" t="s">
        <v>46</v>
      </c>
      <c r="P375" t="s">
        <v>40</v>
      </c>
    </row>
    <row r="376" spans="1:16" x14ac:dyDescent="0.25">
      <c r="A376" s="5">
        <v>45699</v>
      </c>
      <c r="B376" t="s">
        <v>62</v>
      </c>
      <c r="C376" t="s">
        <v>63</v>
      </c>
      <c r="D376" t="s">
        <v>64</v>
      </c>
      <c r="E376" t="s">
        <v>96</v>
      </c>
      <c r="F376" t="s">
        <v>97</v>
      </c>
      <c r="G376" t="s">
        <v>492</v>
      </c>
      <c r="H376" s="6">
        <v>70</v>
      </c>
      <c r="I376" s="7">
        <v>980.47</v>
      </c>
      <c r="J376" s="7">
        <v>68632.95</v>
      </c>
      <c r="K376" s="6">
        <v>30</v>
      </c>
      <c r="L376" t="s">
        <v>52</v>
      </c>
      <c r="M376" s="8">
        <v>13726.59</v>
      </c>
      <c r="N376" s="7">
        <v>68632.95</v>
      </c>
      <c r="O376" t="s">
        <v>46</v>
      </c>
      <c r="P376" t="s">
        <v>40</v>
      </c>
    </row>
    <row r="377" spans="1:16" x14ac:dyDescent="0.25">
      <c r="A377" s="5">
        <v>45933</v>
      </c>
      <c r="B377" t="s">
        <v>67</v>
      </c>
      <c r="C377" t="s">
        <v>68</v>
      </c>
      <c r="D377" t="s">
        <v>69</v>
      </c>
      <c r="E377" t="s">
        <v>127</v>
      </c>
      <c r="F377" t="s">
        <v>36</v>
      </c>
      <c r="G377" t="s">
        <v>493</v>
      </c>
      <c r="H377" s="6">
        <v>51</v>
      </c>
      <c r="I377" s="7">
        <v>42.62</v>
      </c>
      <c r="J377" s="7">
        <v>2173.67</v>
      </c>
      <c r="K377" s="6">
        <v>60</v>
      </c>
      <c r="L377" t="s">
        <v>38</v>
      </c>
      <c r="M377" s="8">
        <v>434.73399999999998</v>
      </c>
      <c r="N377" s="7">
        <v>2173.67</v>
      </c>
      <c r="O377" t="s">
        <v>39</v>
      </c>
      <c r="P377" t="s">
        <v>40</v>
      </c>
    </row>
    <row r="378" spans="1:16" x14ac:dyDescent="0.25">
      <c r="A378" s="5">
        <v>45669</v>
      </c>
      <c r="B378" t="s">
        <v>62</v>
      </c>
      <c r="C378" t="s">
        <v>63</v>
      </c>
      <c r="D378" t="s">
        <v>64</v>
      </c>
      <c r="E378" t="s">
        <v>135</v>
      </c>
      <c r="F378" t="s">
        <v>54</v>
      </c>
      <c r="G378" t="s">
        <v>494</v>
      </c>
      <c r="H378" s="6">
        <v>39</v>
      </c>
      <c r="I378" s="7">
        <v>403.93</v>
      </c>
      <c r="J378" s="7">
        <v>15753.2</v>
      </c>
      <c r="K378" s="6">
        <v>45</v>
      </c>
      <c r="L378" t="s">
        <v>52</v>
      </c>
      <c r="M378" s="8">
        <v>3150.64</v>
      </c>
      <c r="N378" s="7">
        <v>15753.2</v>
      </c>
      <c r="O378" t="s">
        <v>46</v>
      </c>
      <c r="P378" t="s">
        <v>40</v>
      </c>
    </row>
    <row r="379" spans="1:16" x14ac:dyDescent="0.25">
      <c r="A379" s="5">
        <v>45852</v>
      </c>
      <c r="B379" t="s">
        <v>41</v>
      </c>
      <c r="C379" t="s">
        <v>42</v>
      </c>
      <c r="D379" t="s">
        <v>34</v>
      </c>
      <c r="E379" t="s">
        <v>105</v>
      </c>
      <c r="F379" t="s">
        <v>97</v>
      </c>
      <c r="G379" t="s">
        <v>495</v>
      </c>
      <c r="H379" s="6">
        <v>30</v>
      </c>
      <c r="I379" s="7">
        <v>331.83</v>
      </c>
      <c r="J379" s="7">
        <v>9954.8799999999992</v>
      </c>
      <c r="K379" s="6">
        <v>30</v>
      </c>
      <c r="L379" t="s">
        <v>45</v>
      </c>
      <c r="M379" s="8">
        <v>1990.9760000000001</v>
      </c>
      <c r="N379" s="7">
        <v>9954.8799999999992</v>
      </c>
      <c r="O379" t="s">
        <v>46</v>
      </c>
      <c r="P379" t="s">
        <v>40</v>
      </c>
    </row>
    <row r="380" spans="1:16" x14ac:dyDescent="0.25">
      <c r="A380" s="5">
        <v>45754</v>
      </c>
      <c r="B380" t="s">
        <v>41</v>
      </c>
      <c r="C380" t="s">
        <v>42</v>
      </c>
      <c r="D380" t="s">
        <v>34</v>
      </c>
      <c r="E380" t="s">
        <v>88</v>
      </c>
      <c r="F380" t="s">
        <v>89</v>
      </c>
      <c r="G380" t="s">
        <v>496</v>
      </c>
      <c r="H380" s="6">
        <v>15</v>
      </c>
      <c r="I380" s="7">
        <v>600.25</v>
      </c>
      <c r="J380" s="7">
        <v>9003.77</v>
      </c>
      <c r="K380" s="6">
        <v>30</v>
      </c>
      <c r="L380" t="s">
        <v>52</v>
      </c>
      <c r="M380" s="8">
        <v>1800.7539999999999</v>
      </c>
      <c r="N380" s="7">
        <v>9003.77</v>
      </c>
      <c r="O380" t="s">
        <v>46</v>
      </c>
      <c r="P380" t="s">
        <v>40</v>
      </c>
    </row>
    <row r="381" spans="1:16" x14ac:dyDescent="0.25">
      <c r="A381" s="5">
        <v>45763</v>
      </c>
      <c r="B381" t="s">
        <v>91</v>
      </c>
      <c r="C381" t="s">
        <v>92</v>
      </c>
      <c r="D381" t="s">
        <v>64</v>
      </c>
      <c r="E381" t="s">
        <v>49</v>
      </c>
      <c r="F381" t="s">
        <v>50</v>
      </c>
      <c r="G381" t="s">
        <v>497</v>
      </c>
      <c r="H381" s="6">
        <v>9</v>
      </c>
      <c r="I381" s="7">
        <v>76.930000000000007</v>
      </c>
      <c r="J381" s="7">
        <v>692.39</v>
      </c>
      <c r="K381" s="6">
        <v>30</v>
      </c>
      <c r="L381" t="s">
        <v>52</v>
      </c>
      <c r="M381" s="8">
        <v>138.47800000000001</v>
      </c>
      <c r="N381" s="7">
        <v>692.39</v>
      </c>
      <c r="O381" t="s">
        <v>39</v>
      </c>
      <c r="P381" t="s">
        <v>40</v>
      </c>
    </row>
    <row r="382" spans="1:16" x14ac:dyDescent="0.25">
      <c r="A382" s="5">
        <v>46002</v>
      </c>
      <c r="B382" t="s">
        <v>100</v>
      </c>
      <c r="C382" t="s">
        <v>101</v>
      </c>
      <c r="D382" t="s">
        <v>69</v>
      </c>
      <c r="E382" t="s">
        <v>129</v>
      </c>
      <c r="F382" t="s">
        <v>108</v>
      </c>
      <c r="G382" t="s">
        <v>498</v>
      </c>
      <c r="H382" s="6">
        <v>7</v>
      </c>
      <c r="I382" s="7">
        <v>47.26</v>
      </c>
      <c r="J382" s="7">
        <v>330.81</v>
      </c>
      <c r="K382" s="6">
        <v>30</v>
      </c>
      <c r="L382" t="s">
        <v>52</v>
      </c>
      <c r="M382" s="8">
        <v>66.162000000000006</v>
      </c>
      <c r="N382" s="7">
        <v>330.81</v>
      </c>
      <c r="O382" t="s">
        <v>46</v>
      </c>
      <c r="P382" t="s">
        <v>40</v>
      </c>
    </row>
    <row r="383" spans="1:16" x14ac:dyDescent="0.25">
      <c r="A383" s="5">
        <v>45777</v>
      </c>
      <c r="B383" t="s">
        <v>32</v>
      </c>
      <c r="C383" t="s">
        <v>33</v>
      </c>
      <c r="D383" t="s">
        <v>34</v>
      </c>
      <c r="E383" t="s">
        <v>96</v>
      </c>
      <c r="F383" t="s">
        <v>97</v>
      </c>
      <c r="G383" t="s">
        <v>499</v>
      </c>
      <c r="H383" s="6">
        <v>70</v>
      </c>
      <c r="I383" s="7">
        <v>215.75</v>
      </c>
      <c r="J383" s="7">
        <v>15102.44</v>
      </c>
      <c r="K383" s="6">
        <v>30</v>
      </c>
      <c r="L383" t="s">
        <v>38</v>
      </c>
      <c r="M383" s="8">
        <v>3020.4879999999998</v>
      </c>
      <c r="N383" s="7">
        <v>15102.44</v>
      </c>
      <c r="O383" t="s">
        <v>46</v>
      </c>
      <c r="P383" t="s">
        <v>40</v>
      </c>
    </row>
    <row r="384" spans="1:16" x14ac:dyDescent="0.25">
      <c r="A384" s="5">
        <v>45952</v>
      </c>
      <c r="B384" t="s">
        <v>67</v>
      </c>
      <c r="C384" t="s">
        <v>68</v>
      </c>
      <c r="D384" t="s">
        <v>69</v>
      </c>
      <c r="E384" t="s">
        <v>59</v>
      </c>
      <c r="F384" t="s">
        <v>60</v>
      </c>
      <c r="G384" t="s">
        <v>500</v>
      </c>
      <c r="H384" s="6">
        <v>41</v>
      </c>
      <c r="I384" s="7">
        <v>68.41</v>
      </c>
      <c r="J384" s="7">
        <v>2804.71</v>
      </c>
      <c r="K384" s="6">
        <v>60</v>
      </c>
      <c r="L384" t="s">
        <v>52</v>
      </c>
      <c r="M384" s="8">
        <v>560.94200000000001</v>
      </c>
      <c r="N384" s="7">
        <v>2804.71</v>
      </c>
      <c r="O384" t="s">
        <v>39</v>
      </c>
      <c r="P384" t="s">
        <v>40</v>
      </c>
    </row>
    <row r="385" spans="1:16" x14ac:dyDescent="0.25">
      <c r="A385" s="5">
        <v>45812</v>
      </c>
      <c r="B385" t="s">
        <v>110</v>
      </c>
      <c r="C385" t="s">
        <v>111</v>
      </c>
      <c r="D385" t="s">
        <v>58</v>
      </c>
      <c r="E385" t="s">
        <v>83</v>
      </c>
      <c r="F385" t="s">
        <v>71</v>
      </c>
      <c r="G385" t="s">
        <v>501</v>
      </c>
      <c r="H385" s="6">
        <v>19</v>
      </c>
      <c r="I385" s="7">
        <v>71.14</v>
      </c>
      <c r="J385" s="7">
        <v>1351.74</v>
      </c>
      <c r="K385" s="6">
        <v>60</v>
      </c>
      <c r="L385" t="s">
        <v>52</v>
      </c>
      <c r="M385" s="8">
        <v>270.34800000000001</v>
      </c>
      <c r="N385" s="7">
        <v>1351.74</v>
      </c>
      <c r="O385" t="s">
        <v>39</v>
      </c>
      <c r="P385" t="s">
        <v>40</v>
      </c>
    </row>
    <row r="386" spans="1:16" x14ac:dyDescent="0.25">
      <c r="A386" s="5">
        <v>45798</v>
      </c>
      <c r="B386" t="s">
        <v>80</v>
      </c>
      <c r="C386" t="s">
        <v>81</v>
      </c>
      <c r="D386" t="s">
        <v>64</v>
      </c>
      <c r="E386" t="s">
        <v>96</v>
      </c>
      <c r="F386" t="s">
        <v>97</v>
      </c>
      <c r="G386" t="s">
        <v>502</v>
      </c>
      <c r="H386" s="6">
        <v>8</v>
      </c>
      <c r="I386" s="7">
        <v>197.6</v>
      </c>
      <c r="J386" s="7">
        <v>1580.82</v>
      </c>
      <c r="K386" s="6">
        <v>60</v>
      </c>
      <c r="L386" t="s">
        <v>52</v>
      </c>
      <c r="M386" s="8">
        <v>316.16399999999999</v>
      </c>
      <c r="N386" s="7">
        <v>1580.82</v>
      </c>
      <c r="O386" t="s">
        <v>46</v>
      </c>
      <c r="P386" t="s">
        <v>40</v>
      </c>
    </row>
    <row r="387" spans="1:16" x14ac:dyDescent="0.25">
      <c r="A387" s="5">
        <v>46005</v>
      </c>
      <c r="B387" t="s">
        <v>80</v>
      </c>
      <c r="C387" t="s">
        <v>81</v>
      </c>
      <c r="D387" t="s">
        <v>64</v>
      </c>
      <c r="E387" t="s">
        <v>124</v>
      </c>
      <c r="F387" t="s">
        <v>89</v>
      </c>
      <c r="G387" t="s">
        <v>503</v>
      </c>
      <c r="H387" s="6">
        <v>55</v>
      </c>
      <c r="I387" s="7">
        <v>195.52</v>
      </c>
      <c r="J387" s="7">
        <v>10753.72</v>
      </c>
      <c r="K387" s="6">
        <v>60</v>
      </c>
      <c r="L387" t="s">
        <v>45</v>
      </c>
      <c r="M387" s="8">
        <v>2150.7440000000001</v>
      </c>
      <c r="N387" s="7">
        <v>10753.72</v>
      </c>
      <c r="O387" t="s">
        <v>46</v>
      </c>
      <c r="P387" t="s">
        <v>40</v>
      </c>
    </row>
    <row r="388" spans="1:16" x14ac:dyDescent="0.25">
      <c r="A388" s="5">
        <v>46001</v>
      </c>
      <c r="B388" t="s">
        <v>47</v>
      </c>
      <c r="C388" t="s">
        <v>48</v>
      </c>
      <c r="D388" t="s">
        <v>34</v>
      </c>
      <c r="E388" t="s">
        <v>70</v>
      </c>
      <c r="F388" t="s">
        <v>71</v>
      </c>
      <c r="G388" t="s">
        <v>504</v>
      </c>
      <c r="H388" s="6">
        <v>49</v>
      </c>
      <c r="I388" s="7">
        <v>114.65</v>
      </c>
      <c r="J388" s="7">
        <v>5617.62</v>
      </c>
      <c r="K388" s="6">
        <v>60</v>
      </c>
      <c r="L388" t="s">
        <v>45</v>
      </c>
      <c r="M388" s="8">
        <v>1123.5239999999999</v>
      </c>
      <c r="N388" s="7">
        <v>5617.62</v>
      </c>
      <c r="O388" t="s">
        <v>46</v>
      </c>
      <c r="P388" t="s">
        <v>40</v>
      </c>
    </row>
    <row r="389" spans="1:16" x14ac:dyDescent="0.25">
      <c r="A389" s="5">
        <v>45734</v>
      </c>
      <c r="B389" t="s">
        <v>80</v>
      </c>
      <c r="C389" t="s">
        <v>81</v>
      </c>
      <c r="D389" t="s">
        <v>64</v>
      </c>
      <c r="E389" t="s">
        <v>96</v>
      </c>
      <c r="F389" t="s">
        <v>97</v>
      </c>
      <c r="G389" t="s">
        <v>505</v>
      </c>
      <c r="H389" s="6">
        <v>39</v>
      </c>
      <c r="I389" s="7">
        <v>841.91</v>
      </c>
      <c r="J389" s="7">
        <v>32834.6</v>
      </c>
      <c r="K389" s="6">
        <v>45</v>
      </c>
      <c r="L389" t="s">
        <v>38</v>
      </c>
      <c r="M389" s="8">
        <v>6566.92</v>
      </c>
      <c r="N389" s="7">
        <v>32834.6</v>
      </c>
      <c r="O389" t="s">
        <v>46</v>
      </c>
      <c r="P389" t="s">
        <v>40</v>
      </c>
    </row>
    <row r="390" spans="1:16" x14ac:dyDescent="0.25">
      <c r="A390" s="5">
        <v>45773</v>
      </c>
      <c r="B390" t="s">
        <v>118</v>
      </c>
      <c r="C390" t="s">
        <v>119</v>
      </c>
      <c r="D390" t="s">
        <v>64</v>
      </c>
      <c r="E390" t="s">
        <v>107</v>
      </c>
      <c r="F390" t="s">
        <v>108</v>
      </c>
      <c r="G390" t="s">
        <v>506</v>
      </c>
      <c r="H390" s="6">
        <v>39</v>
      </c>
      <c r="I390" s="7">
        <v>126.5</v>
      </c>
      <c r="J390" s="7">
        <v>4933.3999999999996</v>
      </c>
      <c r="K390" s="6">
        <v>60</v>
      </c>
      <c r="L390" t="s">
        <v>38</v>
      </c>
      <c r="M390" s="8">
        <v>986.68</v>
      </c>
      <c r="N390" s="7">
        <v>4933.3999999999996</v>
      </c>
      <c r="O390" t="s">
        <v>46</v>
      </c>
      <c r="P390" t="s">
        <v>40</v>
      </c>
    </row>
    <row r="391" spans="1:16" x14ac:dyDescent="0.25">
      <c r="A391" s="5">
        <v>45869</v>
      </c>
      <c r="B391" t="s">
        <v>113</v>
      </c>
      <c r="C391" t="s">
        <v>114</v>
      </c>
      <c r="D391" t="s">
        <v>69</v>
      </c>
      <c r="E391" t="s">
        <v>152</v>
      </c>
      <c r="F391" t="s">
        <v>50</v>
      </c>
      <c r="G391" t="s">
        <v>507</v>
      </c>
      <c r="H391" s="6">
        <v>54</v>
      </c>
      <c r="I391" s="7">
        <v>87.37</v>
      </c>
      <c r="J391" s="7">
        <v>4718.18</v>
      </c>
      <c r="K391" s="6">
        <v>60</v>
      </c>
      <c r="L391" t="s">
        <v>52</v>
      </c>
      <c r="M391" s="8">
        <v>943.63599999999997</v>
      </c>
      <c r="N391" s="7">
        <v>4718.18</v>
      </c>
      <c r="O391" t="s">
        <v>46</v>
      </c>
      <c r="P391" t="s">
        <v>40</v>
      </c>
    </row>
    <row r="392" spans="1:16" x14ac:dyDescent="0.25">
      <c r="A392" s="5">
        <v>45788</v>
      </c>
      <c r="B392" t="s">
        <v>73</v>
      </c>
      <c r="C392" t="s">
        <v>74</v>
      </c>
      <c r="D392" t="s">
        <v>69</v>
      </c>
      <c r="E392" t="s">
        <v>204</v>
      </c>
      <c r="F392" t="s">
        <v>97</v>
      </c>
      <c r="G392" t="s">
        <v>508</v>
      </c>
      <c r="H392" s="6">
        <v>27</v>
      </c>
      <c r="I392" s="7">
        <v>183.03</v>
      </c>
      <c r="J392" s="7">
        <v>4941.83</v>
      </c>
      <c r="K392" s="6">
        <v>45</v>
      </c>
      <c r="L392" t="s">
        <v>52</v>
      </c>
      <c r="M392" s="8">
        <v>988.36599999999999</v>
      </c>
      <c r="N392" s="7">
        <v>4941.83</v>
      </c>
      <c r="O392" t="s">
        <v>46</v>
      </c>
      <c r="P392" t="s">
        <v>40</v>
      </c>
    </row>
    <row r="393" spans="1:16" x14ac:dyDescent="0.25">
      <c r="A393" s="5">
        <v>45705</v>
      </c>
      <c r="B393" t="s">
        <v>110</v>
      </c>
      <c r="C393" t="s">
        <v>111</v>
      </c>
      <c r="D393" t="s">
        <v>58</v>
      </c>
      <c r="E393" t="s">
        <v>139</v>
      </c>
      <c r="F393" t="s">
        <v>108</v>
      </c>
      <c r="G393" t="s">
        <v>509</v>
      </c>
      <c r="H393" s="6">
        <v>69</v>
      </c>
      <c r="I393" s="7">
        <v>98.3</v>
      </c>
      <c r="J393" s="7">
        <v>6782.83</v>
      </c>
      <c r="K393" s="6">
        <v>60</v>
      </c>
      <c r="L393" t="s">
        <v>38</v>
      </c>
      <c r="M393" s="8">
        <v>1356.566</v>
      </c>
      <c r="N393" s="7">
        <v>6782.83</v>
      </c>
      <c r="O393" t="s">
        <v>46</v>
      </c>
      <c r="P393" t="s">
        <v>40</v>
      </c>
    </row>
    <row r="394" spans="1:16" x14ac:dyDescent="0.25">
      <c r="A394" s="5">
        <v>46002</v>
      </c>
      <c r="B394" t="s">
        <v>118</v>
      </c>
      <c r="C394" t="s">
        <v>119</v>
      </c>
      <c r="D394" t="s">
        <v>64</v>
      </c>
      <c r="E394" t="s">
        <v>149</v>
      </c>
      <c r="F394" t="s">
        <v>60</v>
      </c>
      <c r="G394" t="s">
        <v>510</v>
      </c>
      <c r="H394" s="6">
        <v>78</v>
      </c>
      <c r="I394" s="7">
        <v>106.43</v>
      </c>
      <c r="J394" s="7">
        <v>8301.64</v>
      </c>
      <c r="K394" s="6">
        <v>60</v>
      </c>
      <c r="L394" t="s">
        <v>38</v>
      </c>
      <c r="M394" s="8">
        <v>1660.328</v>
      </c>
      <c r="N394" s="7">
        <v>8301.64</v>
      </c>
      <c r="O394" t="s">
        <v>46</v>
      </c>
      <c r="P394" t="s">
        <v>40</v>
      </c>
    </row>
    <row r="395" spans="1:16" x14ac:dyDescent="0.25">
      <c r="A395" s="5">
        <v>46001</v>
      </c>
      <c r="B395" t="s">
        <v>47</v>
      </c>
      <c r="C395" t="s">
        <v>48</v>
      </c>
      <c r="D395" t="s">
        <v>34</v>
      </c>
      <c r="E395" t="s">
        <v>53</v>
      </c>
      <c r="F395" t="s">
        <v>54</v>
      </c>
      <c r="G395" t="s">
        <v>511</v>
      </c>
      <c r="H395" s="6">
        <v>72</v>
      </c>
      <c r="I395" s="7">
        <v>684.55</v>
      </c>
      <c r="J395" s="7">
        <v>49287.68</v>
      </c>
      <c r="K395" s="6">
        <v>30</v>
      </c>
      <c r="L395" t="s">
        <v>45</v>
      </c>
      <c r="M395" s="8">
        <v>9857.5360000000001</v>
      </c>
      <c r="N395" s="7">
        <v>49287.68</v>
      </c>
      <c r="O395" t="s">
        <v>46</v>
      </c>
      <c r="P395" t="s">
        <v>40</v>
      </c>
    </row>
    <row r="396" spans="1:16" x14ac:dyDescent="0.25">
      <c r="A396" s="5">
        <v>45665</v>
      </c>
      <c r="B396" t="s">
        <v>91</v>
      </c>
      <c r="C396" t="s">
        <v>92</v>
      </c>
      <c r="D396" t="s">
        <v>64</v>
      </c>
      <c r="E396" t="s">
        <v>132</v>
      </c>
      <c r="F396" t="s">
        <v>71</v>
      </c>
      <c r="G396" t="s">
        <v>512</v>
      </c>
      <c r="H396" s="6">
        <v>28</v>
      </c>
      <c r="I396" s="7">
        <v>181.74</v>
      </c>
      <c r="J396" s="7">
        <v>5088.68</v>
      </c>
      <c r="K396" s="6">
        <v>30</v>
      </c>
      <c r="L396" t="s">
        <v>52</v>
      </c>
      <c r="M396" s="8">
        <v>1017.736</v>
      </c>
      <c r="N396" s="7">
        <v>5088.68</v>
      </c>
      <c r="O396" t="s">
        <v>46</v>
      </c>
      <c r="P396" t="s">
        <v>40</v>
      </c>
    </row>
    <row r="397" spans="1:16" x14ac:dyDescent="0.25">
      <c r="A397" s="5">
        <v>46014</v>
      </c>
      <c r="B397" t="s">
        <v>113</v>
      </c>
      <c r="C397" t="s">
        <v>114</v>
      </c>
      <c r="D397" t="s">
        <v>69</v>
      </c>
      <c r="E397" t="s">
        <v>107</v>
      </c>
      <c r="F397" t="s">
        <v>108</v>
      </c>
      <c r="G397" t="s">
        <v>513</v>
      </c>
      <c r="H397" s="6">
        <v>78</v>
      </c>
      <c r="I397" s="7">
        <v>57.94</v>
      </c>
      <c r="J397" s="7">
        <v>4519.47</v>
      </c>
      <c r="K397" s="6">
        <v>60</v>
      </c>
      <c r="L397" t="s">
        <v>38</v>
      </c>
      <c r="M397" s="8">
        <v>903.89400000000001</v>
      </c>
      <c r="N397" s="7">
        <v>4519.47</v>
      </c>
      <c r="O397" t="s">
        <v>46</v>
      </c>
      <c r="P397" t="s">
        <v>40</v>
      </c>
    </row>
    <row r="398" spans="1:16" x14ac:dyDescent="0.25">
      <c r="A398" s="5">
        <v>45822</v>
      </c>
      <c r="B398" t="s">
        <v>113</v>
      </c>
      <c r="C398" t="s">
        <v>114</v>
      </c>
      <c r="D398" t="s">
        <v>69</v>
      </c>
      <c r="E398" t="s">
        <v>53</v>
      </c>
      <c r="F398" t="s">
        <v>54</v>
      </c>
      <c r="G398" t="s">
        <v>514</v>
      </c>
      <c r="H398" s="6">
        <v>37</v>
      </c>
      <c r="I398" s="7">
        <v>97.44</v>
      </c>
      <c r="J398" s="7">
        <v>3605.28</v>
      </c>
      <c r="K398" s="6">
        <v>45</v>
      </c>
      <c r="L398" t="s">
        <v>45</v>
      </c>
      <c r="M398" s="8">
        <v>721.05600000000004</v>
      </c>
      <c r="N398" s="7">
        <v>3605.28</v>
      </c>
      <c r="O398" t="s">
        <v>46</v>
      </c>
      <c r="P398" t="s">
        <v>40</v>
      </c>
    </row>
    <row r="399" spans="1:16" x14ac:dyDescent="0.25">
      <c r="A399" s="5">
        <v>45791</v>
      </c>
      <c r="B399" t="s">
        <v>32</v>
      </c>
      <c r="C399" t="s">
        <v>33</v>
      </c>
      <c r="D399" t="s">
        <v>34</v>
      </c>
      <c r="E399" t="s">
        <v>132</v>
      </c>
      <c r="F399" t="s">
        <v>71</v>
      </c>
      <c r="G399" t="s">
        <v>515</v>
      </c>
      <c r="H399" s="6">
        <v>47</v>
      </c>
      <c r="I399" s="7">
        <v>200.04</v>
      </c>
      <c r="J399" s="7">
        <v>9401.7800000000007</v>
      </c>
      <c r="K399" s="6">
        <v>60</v>
      </c>
      <c r="L399" t="s">
        <v>45</v>
      </c>
      <c r="M399" s="8">
        <v>1880.356</v>
      </c>
      <c r="N399" s="7">
        <v>9401.7800000000007</v>
      </c>
      <c r="O399" t="s">
        <v>46</v>
      </c>
      <c r="P399" t="s">
        <v>40</v>
      </c>
    </row>
    <row r="400" spans="1:16" x14ac:dyDescent="0.25">
      <c r="A400" s="5">
        <v>45898</v>
      </c>
      <c r="B400" t="s">
        <v>118</v>
      </c>
      <c r="C400" t="s">
        <v>119</v>
      </c>
      <c r="D400" t="s">
        <v>64</v>
      </c>
      <c r="E400" t="s">
        <v>43</v>
      </c>
      <c r="F400" t="s">
        <v>36</v>
      </c>
      <c r="G400" t="s">
        <v>516</v>
      </c>
      <c r="H400" s="6">
        <v>41</v>
      </c>
      <c r="I400" s="7">
        <v>61.03</v>
      </c>
      <c r="J400" s="7">
        <v>2502.29</v>
      </c>
      <c r="K400" s="6">
        <v>30</v>
      </c>
      <c r="L400" t="s">
        <v>45</v>
      </c>
      <c r="M400" s="8">
        <v>500.45800000000003</v>
      </c>
      <c r="N400" s="7">
        <v>2502.29</v>
      </c>
      <c r="O400" t="s">
        <v>46</v>
      </c>
      <c r="P400" t="s">
        <v>40</v>
      </c>
    </row>
    <row r="401" spans="1:16" x14ac:dyDescent="0.25">
      <c r="A401" s="5">
        <v>45946</v>
      </c>
      <c r="B401" t="s">
        <v>47</v>
      </c>
      <c r="C401" t="s">
        <v>48</v>
      </c>
      <c r="D401" t="s">
        <v>34</v>
      </c>
      <c r="E401" t="s">
        <v>204</v>
      </c>
      <c r="F401" t="s">
        <v>97</v>
      </c>
      <c r="G401" t="s">
        <v>517</v>
      </c>
      <c r="H401" s="6">
        <v>29</v>
      </c>
      <c r="I401" s="7">
        <v>592.64</v>
      </c>
      <c r="J401" s="7">
        <v>17186.46</v>
      </c>
      <c r="K401" s="6">
        <v>60</v>
      </c>
      <c r="L401" t="s">
        <v>38</v>
      </c>
      <c r="M401" s="8">
        <v>3437.2919999999999</v>
      </c>
      <c r="N401" s="7">
        <v>17186.46</v>
      </c>
      <c r="O401" t="s">
        <v>46</v>
      </c>
      <c r="P401" t="s">
        <v>40</v>
      </c>
    </row>
    <row r="402" spans="1:16" x14ac:dyDescent="0.25">
      <c r="A402" s="5">
        <v>45957</v>
      </c>
      <c r="B402" t="s">
        <v>94</v>
      </c>
      <c r="C402" t="s">
        <v>95</v>
      </c>
      <c r="D402" t="s">
        <v>34</v>
      </c>
      <c r="E402" t="s">
        <v>115</v>
      </c>
      <c r="F402" t="s">
        <v>60</v>
      </c>
      <c r="G402" t="s">
        <v>518</v>
      </c>
      <c r="H402" s="6">
        <v>75</v>
      </c>
      <c r="I402" s="7">
        <v>91.53</v>
      </c>
      <c r="J402" s="7">
        <v>6864.93</v>
      </c>
      <c r="K402" s="6">
        <v>60</v>
      </c>
      <c r="L402" t="s">
        <v>45</v>
      </c>
      <c r="M402" s="8">
        <v>1372.9860000000001</v>
      </c>
      <c r="N402" s="7">
        <v>6864.93</v>
      </c>
      <c r="O402" t="s">
        <v>46</v>
      </c>
      <c r="P402" t="s">
        <v>40</v>
      </c>
    </row>
    <row r="403" spans="1:16" x14ac:dyDescent="0.25">
      <c r="A403" s="5">
        <v>45826</v>
      </c>
      <c r="B403" t="s">
        <v>94</v>
      </c>
      <c r="C403" t="s">
        <v>95</v>
      </c>
      <c r="D403" t="s">
        <v>34</v>
      </c>
      <c r="E403" t="s">
        <v>154</v>
      </c>
      <c r="F403" t="s">
        <v>89</v>
      </c>
      <c r="G403" t="s">
        <v>519</v>
      </c>
      <c r="H403" s="6">
        <v>30</v>
      </c>
      <c r="I403" s="7">
        <v>129.44999999999999</v>
      </c>
      <c r="J403" s="7">
        <v>3883.52</v>
      </c>
      <c r="K403" s="6">
        <v>45</v>
      </c>
      <c r="L403" t="s">
        <v>52</v>
      </c>
      <c r="M403" s="8">
        <v>776.70399999999995</v>
      </c>
      <c r="N403" s="7">
        <v>3883.52</v>
      </c>
      <c r="O403" t="s">
        <v>39</v>
      </c>
      <c r="P403" t="s">
        <v>40</v>
      </c>
    </row>
    <row r="404" spans="1:16" x14ac:dyDescent="0.25">
      <c r="A404" s="5">
        <v>45993</v>
      </c>
      <c r="B404" t="s">
        <v>32</v>
      </c>
      <c r="C404" t="s">
        <v>33</v>
      </c>
      <c r="D404" t="s">
        <v>34</v>
      </c>
      <c r="E404" t="s">
        <v>129</v>
      </c>
      <c r="F404" t="s">
        <v>108</v>
      </c>
      <c r="G404" t="s">
        <v>520</v>
      </c>
      <c r="H404" s="6">
        <v>44</v>
      </c>
      <c r="I404" s="7">
        <v>75.22</v>
      </c>
      <c r="J404" s="7">
        <v>3309.53</v>
      </c>
      <c r="K404" s="6">
        <v>45</v>
      </c>
      <c r="L404" t="s">
        <v>45</v>
      </c>
      <c r="M404" s="8">
        <v>661.90599999999995</v>
      </c>
      <c r="N404" s="7">
        <v>3309.53</v>
      </c>
      <c r="O404" t="s">
        <v>46</v>
      </c>
      <c r="P404" t="s">
        <v>40</v>
      </c>
    </row>
    <row r="405" spans="1:16" x14ac:dyDescent="0.25">
      <c r="A405" s="5">
        <v>45744</v>
      </c>
      <c r="B405" t="s">
        <v>32</v>
      </c>
      <c r="C405" t="s">
        <v>33</v>
      </c>
      <c r="D405" t="s">
        <v>34</v>
      </c>
      <c r="E405" t="s">
        <v>139</v>
      </c>
      <c r="F405" t="s">
        <v>108</v>
      </c>
      <c r="G405" t="s">
        <v>521</v>
      </c>
      <c r="H405" s="6">
        <v>46</v>
      </c>
      <c r="I405" s="7">
        <v>76.959999999999994</v>
      </c>
      <c r="J405" s="7">
        <v>3540.31</v>
      </c>
      <c r="K405" s="6">
        <v>30</v>
      </c>
      <c r="L405" t="s">
        <v>38</v>
      </c>
      <c r="M405" s="8">
        <v>708.06200000000001</v>
      </c>
      <c r="N405" s="7">
        <v>3540.31</v>
      </c>
      <c r="O405" t="s">
        <v>46</v>
      </c>
      <c r="P405" t="s">
        <v>40</v>
      </c>
    </row>
    <row r="406" spans="1:16" x14ac:dyDescent="0.25">
      <c r="A406" s="5">
        <v>45935</v>
      </c>
      <c r="B406" t="s">
        <v>91</v>
      </c>
      <c r="C406" t="s">
        <v>92</v>
      </c>
      <c r="D406" t="s">
        <v>64</v>
      </c>
      <c r="E406" t="s">
        <v>107</v>
      </c>
      <c r="F406" t="s">
        <v>108</v>
      </c>
      <c r="G406" t="s">
        <v>522</v>
      </c>
      <c r="H406" s="6">
        <v>8</v>
      </c>
      <c r="I406" s="7">
        <v>58.55</v>
      </c>
      <c r="J406" s="7">
        <v>468.43</v>
      </c>
      <c r="K406" s="6">
        <v>60</v>
      </c>
      <c r="L406" t="s">
        <v>38</v>
      </c>
      <c r="M406" s="8">
        <v>93.686000000000007</v>
      </c>
      <c r="N406" s="7">
        <v>468.43</v>
      </c>
      <c r="O406" t="s">
        <v>46</v>
      </c>
      <c r="P406" t="s">
        <v>40</v>
      </c>
    </row>
    <row r="407" spans="1:16" x14ac:dyDescent="0.25">
      <c r="A407" s="5">
        <v>45869</v>
      </c>
      <c r="B407" t="s">
        <v>56</v>
      </c>
      <c r="C407" t="s">
        <v>57</v>
      </c>
      <c r="D407" t="s">
        <v>58</v>
      </c>
      <c r="E407" t="s">
        <v>49</v>
      </c>
      <c r="F407" t="s">
        <v>50</v>
      </c>
      <c r="G407" t="s">
        <v>523</v>
      </c>
      <c r="H407" s="6">
        <v>18</v>
      </c>
      <c r="I407" s="7">
        <v>169.03</v>
      </c>
      <c r="J407" s="7">
        <v>3042.49</v>
      </c>
      <c r="K407" s="6">
        <v>60</v>
      </c>
      <c r="L407" t="s">
        <v>38</v>
      </c>
      <c r="M407" s="8">
        <v>608.49800000000005</v>
      </c>
      <c r="N407" s="7">
        <v>3042.49</v>
      </c>
      <c r="O407" t="s">
        <v>39</v>
      </c>
      <c r="P407" t="s">
        <v>40</v>
      </c>
    </row>
    <row r="408" spans="1:16" x14ac:dyDescent="0.25">
      <c r="A408" s="5">
        <v>45769</v>
      </c>
      <c r="B408" t="s">
        <v>56</v>
      </c>
      <c r="C408" t="s">
        <v>57</v>
      </c>
      <c r="D408" t="s">
        <v>58</v>
      </c>
      <c r="E408" t="s">
        <v>154</v>
      </c>
      <c r="F408" t="s">
        <v>89</v>
      </c>
      <c r="G408" t="s">
        <v>524</v>
      </c>
      <c r="H408" s="6">
        <v>65</v>
      </c>
      <c r="I408" s="7">
        <v>100.06</v>
      </c>
      <c r="J408" s="7">
        <v>6503.87</v>
      </c>
      <c r="K408" s="6">
        <v>45</v>
      </c>
      <c r="L408" t="s">
        <v>45</v>
      </c>
      <c r="M408" s="8">
        <v>1300.7739999999999</v>
      </c>
      <c r="N408" s="7">
        <v>6503.87</v>
      </c>
      <c r="O408" t="s">
        <v>39</v>
      </c>
      <c r="P408" t="s">
        <v>40</v>
      </c>
    </row>
    <row r="409" spans="1:16" x14ac:dyDescent="0.25">
      <c r="A409" s="5">
        <v>45907</v>
      </c>
      <c r="B409" t="s">
        <v>56</v>
      </c>
      <c r="C409" t="s">
        <v>57</v>
      </c>
      <c r="D409" t="s">
        <v>58</v>
      </c>
      <c r="E409" t="s">
        <v>129</v>
      </c>
      <c r="F409" t="s">
        <v>108</v>
      </c>
      <c r="G409" t="s">
        <v>525</v>
      </c>
      <c r="H409" s="6">
        <v>3</v>
      </c>
      <c r="I409" s="7">
        <v>69.349999999999994</v>
      </c>
      <c r="J409" s="7">
        <v>208.05</v>
      </c>
      <c r="K409" s="6">
        <v>30</v>
      </c>
      <c r="L409" t="s">
        <v>52</v>
      </c>
      <c r="M409" s="8">
        <v>41.61</v>
      </c>
      <c r="N409" s="7">
        <v>208.05</v>
      </c>
      <c r="O409" t="s">
        <v>46</v>
      </c>
      <c r="P409" t="s">
        <v>40</v>
      </c>
    </row>
    <row r="410" spans="1:16" x14ac:dyDescent="0.25">
      <c r="A410" s="5">
        <v>45666</v>
      </c>
      <c r="B410" t="s">
        <v>201</v>
      </c>
      <c r="C410" t="s">
        <v>202</v>
      </c>
      <c r="D410" t="s">
        <v>64</v>
      </c>
      <c r="E410" t="s">
        <v>204</v>
      </c>
      <c r="F410" t="s">
        <v>97</v>
      </c>
      <c r="G410" t="s">
        <v>526</v>
      </c>
      <c r="H410" s="6">
        <v>68</v>
      </c>
      <c r="I410" s="7">
        <v>320.52</v>
      </c>
      <c r="J410" s="7">
        <v>21795.37</v>
      </c>
      <c r="K410" s="6">
        <v>60</v>
      </c>
      <c r="L410" t="s">
        <v>45</v>
      </c>
      <c r="M410" s="8">
        <v>4359.0739999999996</v>
      </c>
      <c r="N410" s="7">
        <v>21795.37</v>
      </c>
      <c r="O410" t="s">
        <v>46</v>
      </c>
      <c r="P410" t="s">
        <v>40</v>
      </c>
    </row>
    <row r="411" spans="1:16" x14ac:dyDescent="0.25">
      <c r="A411" s="5">
        <v>45915</v>
      </c>
      <c r="B411" t="s">
        <v>94</v>
      </c>
      <c r="C411" t="s">
        <v>95</v>
      </c>
      <c r="D411" t="s">
        <v>34</v>
      </c>
      <c r="E411" t="s">
        <v>59</v>
      </c>
      <c r="F411" t="s">
        <v>60</v>
      </c>
      <c r="G411" t="s">
        <v>527</v>
      </c>
      <c r="H411" s="6">
        <v>56</v>
      </c>
      <c r="I411" s="7">
        <v>291.95</v>
      </c>
      <c r="J411" s="7">
        <v>16348.98</v>
      </c>
      <c r="K411" s="6">
        <v>30</v>
      </c>
      <c r="L411" t="s">
        <v>38</v>
      </c>
      <c r="M411" s="8">
        <v>3269.7959999999998</v>
      </c>
      <c r="N411" s="7">
        <v>16348.98</v>
      </c>
      <c r="O411" t="s">
        <v>39</v>
      </c>
      <c r="P411" t="s">
        <v>40</v>
      </c>
    </row>
    <row r="412" spans="1:16" x14ac:dyDescent="0.25">
      <c r="A412" s="5">
        <v>45756</v>
      </c>
      <c r="B412" t="s">
        <v>121</v>
      </c>
      <c r="C412" t="s">
        <v>122</v>
      </c>
      <c r="D412" t="s">
        <v>34</v>
      </c>
      <c r="E412" t="s">
        <v>154</v>
      </c>
      <c r="F412" t="s">
        <v>89</v>
      </c>
      <c r="G412" t="s">
        <v>528</v>
      </c>
      <c r="H412" s="6">
        <v>80</v>
      </c>
      <c r="I412" s="7">
        <v>266.23</v>
      </c>
      <c r="J412" s="7">
        <v>21298.07</v>
      </c>
      <c r="K412" s="6">
        <v>60</v>
      </c>
      <c r="L412" t="s">
        <v>45</v>
      </c>
      <c r="M412" s="8">
        <v>4259.6139999999996</v>
      </c>
      <c r="N412" s="7">
        <v>21298.07</v>
      </c>
      <c r="O412" t="s">
        <v>39</v>
      </c>
      <c r="P412" t="s">
        <v>40</v>
      </c>
    </row>
    <row r="413" spans="1:16" x14ac:dyDescent="0.25">
      <c r="A413" s="5">
        <v>45698</v>
      </c>
      <c r="B413" t="s">
        <v>41</v>
      </c>
      <c r="C413" t="s">
        <v>42</v>
      </c>
      <c r="D413" t="s">
        <v>34</v>
      </c>
      <c r="E413" t="s">
        <v>529</v>
      </c>
      <c r="F413" t="s">
        <v>60</v>
      </c>
      <c r="G413" t="s">
        <v>530</v>
      </c>
      <c r="H413" s="6">
        <v>48</v>
      </c>
      <c r="I413" s="7">
        <v>118.52</v>
      </c>
      <c r="J413" s="7">
        <v>5688.92</v>
      </c>
      <c r="K413" s="6">
        <v>45</v>
      </c>
      <c r="L413" t="s">
        <v>45</v>
      </c>
      <c r="M413" s="8">
        <v>1137.7840000000001</v>
      </c>
      <c r="N413" s="7">
        <v>5688.92</v>
      </c>
      <c r="O413" t="s">
        <v>46</v>
      </c>
      <c r="P413" t="s">
        <v>40</v>
      </c>
    </row>
    <row r="414" spans="1:16" x14ac:dyDescent="0.25">
      <c r="A414" s="5">
        <v>45773</v>
      </c>
      <c r="B414" t="s">
        <v>85</v>
      </c>
      <c r="C414" t="s">
        <v>86</v>
      </c>
      <c r="D414" t="s">
        <v>58</v>
      </c>
      <c r="E414" t="s">
        <v>53</v>
      </c>
      <c r="F414" t="s">
        <v>54</v>
      </c>
      <c r="G414" t="s">
        <v>531</v>
      </c>
      <c r="H414" s="6">
        <v>39</v>
      </c>
      <c r="I414" s="7">
        <v>107.52</v>
      </c>
      <c r="J414" s="7">
        <v>4193.37</v>
      </c>
      <c r="K414" s="6">
        <v>60</v>
      </c>
      <c r="L414" t="s">
        <v>38</v>
      </c>
      <c r="M414" s="8">
        <v>838.67399999999998</v>
      </c>
      <c r="N414" s="7">
        <v>4193.37</v>
      </c>
      <c r="O414" t="s">
        <v>46</v>
      </c>
      <c r="P414" t="s">
        <v>40</v>
      </c>
    </row>
    <row r="415" spans="1:16" x14ac:dyDescent="0.25">
      <c r="A415" s="5">
        <v>45865</v>
      </c>
      <c r="B415" t="s">
        <v>118</v>
      </c>
      <c r="C415" t="s">
        <v>119</v>
      </c>
      <c r="D415" t="s">
        <v>64</v>
      </c>
      <c r="E415" t="s">
        <v>49</v>
      </c>
      <c r="F415" t="s">
        <v>50</v>
      </c>
      <c r="G415" t="s">
        <v>532</v>
      </c>
      <c r="H415" s="6">
        <v>49</v>
      </c>
      <c r="I415" s="7">
        <v>242.31</v>
      </c>
      <c r="J415" s="7">
        <v>11873.14</v>
      </c>
      <c r="K415" s="6">
        <v>45</v>
      </c>
      <c r="L415" t="s">
        <v>52</v>
      </c>
      <c r="M415" s="8">
        <v>2374.6280000000002</v>
      </c>
      <c r="N415" s="7">
        <v>11873.14</v>
      </c>
      <c r="O415" t="s">
        <v>39</v>
      </c>
      <c r="P415" t="s">
        <v>40</v>
      </c>
    </row>
    <row r="416" spans="1:16" x14ac:dyDescent="0.25">
      <c r="A416" s="5">
        <v>45662</v>
      </c>
      <c r="B416" t="s">
        <v>110</v>
      </c>
      <c r="C416" t="s">
        <v>111</v>
      </c>
      <c r="D416" t="s">
        <v>58</v>
      </c>
      <c r="E416" t="s">
        <v>152</v>
      </c>
      <c r="F416" t="s">
        <v>50</v>
      </c>
      <c r="G416" t="s">
        <v>533</v>
      </c>
      <c r="H416" s="6">
        <v>22</v>
      </c>
      <c r="I416" s="7">
        <v>144.06</v>
      </c>
      <c r="J416" s="7">
        <v>3169.43</v>
      </c>
      <c r="K416" s="6">
        <v>30</v>
      </c>
      <c r="L416" t="s">
        <v>45</v>
      </c>
      <c r="M416" s="8">
        <v>633.88599999999997</v>
      </c>
      <c r="N416" s="7">
        <v>3169.43</v>
      </c>
      <c r="O416" t="s">
        <v>46</v>
      </c>
      <c r="P416" t="s">
        <v>40</v>
      </c>
    </row>
    <row r="417" spans="1:16" x14ac:dyDescent="0.25">
      <c r="A417" s="5">
        <v>45706</v>
      </c>
      <c r="B417" t="s">
        <v>47</v>
      </c>
      <c r="C417" t="s">
        <v>48</v>
      </c>
      <c r="D417" t="s">
        <v>34</v>
      </c>
      <c r="E417" t="s">
        <v>70</v>
      </c>
      <c r="F417" t="s">
        <v>71</v>
      </c>
      <c r="G417" t="s">
        <v>534</v>
      </c>
      <c r="H417" s="6">
        <v>68</v>
      </c>
      <c r="I417" s="7">
        <v>62.94</v>
      </c>
      <c r="J417" s="7">
        <v>4280.04</v>
      </c>
      <c r="K417" s="6">
        <v>30</v>
      </c>
      <c r="L417" t="s">
        <v>38</v>
      </c>
      <c r="M417" s="8">
        <v>856.00800000000004</v>
      </c>
      <c r="N417" s="7">
        <v>4280.04</v>
      </c>
      <c r="O417" t="s">
        <v>46</v>
      </c>
      <c r="P417" t="s">
        <v>40</v>
      </c>
    </row>
    <row r="418" spans="1:16" x14ac:dyDescent="0.25">
      <c r="A418" s="5">
        <v>45681</v>
      </c>
      <c r="B418" t="s">
        <v>118</v>
      </c>
      <c r="C418" t="s">
        <v>119</v>
      </c>
      <c r="D418" t="s">
        <v>64</v>
      </c>
      <c r="E418" t="s">
        <v>139</v>
      </c>
      <c r="F418" t="s">
        <v>108</v>
      </c>
      <c r="G418" t="s">
        <v>535</v>
      </c>
      <c r="H418" s="6">
        <v>10</v>
      </c>
      <c r="I418" s="7">
        <v>176.02</v>
      </c>
      <c r="J418" s="7">
        <v>1760.24</v>
      </c>
      <c r="K418" s="6">
        <v>60</v>
      </c>
      <c r="L418" t="s">
        <v>45</v>
      </c>
      <c r="M418" s="8">
        <v>352.048</v>
      </c>
      <c r="N418" s="7">
        <v>1760.24</v>
      </c>
      <c r="O418" t="s">
        <v>46</v>
      </c>
      <c r="P418" t="s">
        <v>40</v>
      </c>
    </row>
    <row r="419" spans="1:16" x14ac:dyDescent="0.25">
      <c r="A419" s="5">
        <v>45819</v>
      </c>
      <c r="B419" t="s">
        <v>56</v>
      </c>
      <c r="C419" t="s">
        <v>57</v>
      </c>
      <c r="D419" t="s">
        <v>58</v>
      </c>
      <c r="E419" t="s">
        <v>49</v>
      </c>
      <c r="F419" t="s">
        <v>50</v>
      </c>
      <c r="G419" t="s">
        <v>536</v>
      </c>
      <c r="H419" s="6">
        <v>3</v>
      </c>
      <c r="I419" s="7">
        <v>127.88</v>
      </c>
      <c r="J419" s="7">
        <v>383.65</v>
      </c>
      <c r="K419" s="6">
        <v>30</v>
      </c>
      <c r="L419" t="s">
        <v>52</v>
      </c>
      <c r="M419" s="8">
        <v>76.73</v>
      </c>
      <c r="N419" s="7">
        <v>383.65</v>
      </c>
      <c r="O419" t="s">
        <v>39</v>
      </c>
      <c r="P419" t="s">
        <v>40</v>
      </c>
    </row>
    <row r="420" spans="1:16" x14ac:dyDescent="0.25">
      <c r="A420" s="5">
        <v>45811</v>
      </c>
      <c r="B420" t="s">
        <v>100</v>
      </c>
      <c r="C420" t="s">
        <v>101</v>
      </c>
      <c r="D420" t="s">
        <v>69</v>
      </c>
      <c r="E420" t="s">
        <v>204</v>
      </c>
      <c r="F420" t="s">
        <v>97</v>
      </c>
      <c r="G420" t="s">
        <v>537</v>
      </c>
      <c r="H420" s="6">
        <v>21</v>
      </c>
      <c r="I420" s="7">
        <v>573.87</v>
      </c>
      <c r="J420" s="7">
        <v>12051.19</v>
      </c>
      <c r="K420" s="6">
        <v>60</v>
      </c>
      <c r="L420" t="s">
        <v>38</v>
      </c>
      <c r="M420" s="8">
        <v>2410.2379999999998</v>
      </c>
      <c r="N420" s="7">
        <v>12051.19</v>
      </c>
      <c r="O420" t="s">
        <v>46</v>
      </c>
      <c r="P420" t="s">
        <v>40</v>
      </c>
    </row>
    <row r="421" spans="1:16" x14ac:dyDescent="0.25">
      <c r="A421" s="5">
        <v>45934</v>
      </c>
      <c r="B421" t="s">
        <v>94</v>
      </c>
      <c r="C421" t="s">
        <v>95</v>
      </c>
      <c r="D421" t="s">
        <v>34</v>
      </c>
      <c r="E421" t="s">
        <v>105</v>
      </c>
      <c r="F421" t="s">
        <v>97</v>
      </c>
      <c r="G421" t="s">
        <v>538</v>
      </c>
      <c r="H421" s="6">
        <v>43</v>
      </c>
      <c r="I421" s="7">
        <v>311.35000000000002</v>
      </c>
      <c r="J421" s="7">
        <v>13388.05</v>
      </c>
      <c r="K421" s="6">
        <v>45</v>
      </c>
      <c r="L421" t="s">
        <v>52</v>
      </c>
      <c r="M421" s="8">
        <v>2677.61</v>
      </c>
      <c r="N421" s="7">
        <v>13388.05</v>
      </c>
      <c r="O421" t="s">
        <v>46</v>
      </c>
      <c r="P421" t="s">
        <v>40</v>
      </c>
    </row>
    <row r="422" spans="1:16" x14ac:dyDescent="0.25">
      <c r="A422" s="5">
        <v>45835</v>
      </c>
      <c r="B422" t="s">
        <v>56</v>
      </c>
      <c r="C422" t="s">
        <v>57</v>
      </c>
      <c r="D422" t="s">
        <v>58</v>
      </c>
      <c r="E422" t="s">
        <v>43</v>
      </c>
      <c r="F422" t="s">
        <v>36</v>
      </c>
      <c r="G422" t="s">
        <v>539</v>
      </c>
      <c r="H422" s="6">
        <v>7</v>
      </c>
      <c r="I422" s="7">
        <v>201.91</v>
      </c>
      <c r="J422" s="7">
        <v>1413.34</v>
      </c>
      <c r="K422" s="6">
        <v>30</v>
      </c>
      <c r="L422" t="s">
        <v>45</v>
      </c>
      <c r="M422" s="8">
        <v>282.66800000000001</v>
      </c>
      <c r="N422" s="7">
        <v>1413.34</v>
      </c>
      <c r="O422" t="s">
        <v>46</v>
      </c>
      <c r="P422" t="s">
        <v>40</v>
      </c>
    </row>
    <row r="423" spans="1:16" x14ac:dyDescent="0.25">
      <c r="A423" s="5">
        <v>45967</v>
      </c>
      <c r="B423" t="s">
        <v>47</v>
      </c>
      <c r="C423" t="s">
        <v>48</v>
      </c>
      <c r="D423" t="s">
        <v>34</v>
      </c>
      <c r="E423" t="s">
        <v>75</v>
      </c>
      <c r="F423" t="s">
        <v>36</v>
      </c>
      <c r="G423" t="s">
        <v>540</v>
      </c>
      <c r="H423" s="6">
        <v>79</v>
      </c>
      <c r="I423" s="7">
        <v>170.69</v>
      </c>
      <c r="J423" s="7">
        <v>13484.18</v>
      </c>
      <c r="K423" s="6">
        <v>60</v>
      </c>
      <c r="L423" t="s">
        <v>45</v>
      </c>
      <c r="M423" s="8">
        <v>2696.8359999999998</v>
      </c>
      <c r="N423" s="7">
        <v>13484.18</v>
      </c>
      <c r="O423" t="s">
        <v>46</v>
      </c>
      <c r="P423" t="s">
        <v>40</v>
      </c>
    </row>
    <row r="424" spans="1:16" x14ac:dyDescent="0.25">
      <c r="A424" s="5">
        <v>45797</v>
      </c>
      <c r="B424" t="s">
        <v>77</v>
      </c>
      <c r="C424" t="s">
        <v>78</v>
      </c>
      <c r="D424" t="s">
        <v>58</v>
      </c>
      <c r="E424" t="s">
        <v>152</v>
      </c>
      <c r="F424" t="s">
        <v>50</v>
      </c>
      <c r="G424" t="s">
        <v>541</v>
      </c>
      <c r="H424" s="6">
        <v>58</v>
      </c>
      <c r="I424" s="7">
        <v>104.64</v>
      </c>
      <c r="J424" s="7">
        <v>6069.34</v>
      </c>
      <c r="K424" s="6">
        <v>45</v>
      </c>
      <c r="L424" t="s">
        <v>38</v>
      </c>
      <c r="M424" s="8">
        <v>1213.8679999999999</v>
      </c>
      <c r="N424" s="7">
        <v>6069.34</v>
      </c>
      <c r="O424" t="s">
        <v>46</v>
      </c>
      <c r="P424" t="s">
        <v>40</v>
      </c>
    </row>
    <row r="425" spans="1:16" x14ac:dyDescent="0.25">
      <c r="A425" s="5">
        <v>45753</v>
      </c>
      <c r="B425" t="s">
        <v>41</v>
      </c>
      <c r="C425" t="s">
        <v>42</v>
      </c>
      <c r="D425" t="s">
        <v>34</v>
      </c>
      <c r="E425" t="s">
        <v>96</v>
      </c>
      <c r="F425" t="s">
        <v>97</v>
      </c>
      <c r="G425" t="s">
        <v>542</v>
      </c>
      <c r="H425" s="6">
        <v>75</v>
      </c>
      <c r="I425" s="7">
        <v>511.91</v>
      </c>
      <c r="J425" s="7">
        <v>38393.160000000003</v>
      </c>
      <c r="K425" s="6">
        <v>60</v>
      </c>
      <c r="L425" t="s">
        <v>45</v>
      </c>
      <c r="M425" s="8">
        <v>7678.6319999999996</v>
      </c>
      <c r="N425" s="7">
        <v>38393.160000000003</v>
      </c>
      <c r="O425" t="s">
        <v>46</v>
      </c>
      <c r="P425" t="s">
        <v>40</v>
      </c>
    </row>
    <row r="426" spans="1:16" x14ac:dyDescent="0.25">
      <c r="A426" s="5">
        <v>45695</v>
      </c>
      <c r="B426" t="s">
        <v>47</v>
      </c>
      <c r="C426" t="s">
        <v>48</v>
      </c>
      <c r="D426" t="s">
        <v>34</v>
      </c>
      <c r="E426" t="s">
        <v>59</v>
      </c>
      <c r="F426" t="s">
        <v>60</v>
      </c>
      <c r="G426" t="s">
        <v>543</v>
      </c>
      <c r="H426" s="6">
        <v>11</v>
      </c>
      <c r="I426" s="7">
        <v>313.75</v>
      </c>
      <c r="J426" s="7">
        <v>3451.21</v>
      </c>
      <c r="K426" s="6">
        <v>45</v>
      </c>
      <c r="L426" t="s">
        <v>38</v>
      </c>
      <c r="M426" s="8">
        <v>690.24199999999996</v>
      </c>
      <c r="N426" s="7">
        <v>3451.21</v>
      </c>
      <c r="O426" t="s">
        <v>39</v>
      </c>
      <c r="P426" t="s">
        <v>40</v>
      </c>
    </row>
    <row r="427" spans="1:16" x14ac:dyDescent="0.25">
      <c r="A427" s="5">
        <v>45857</v>
      </c>
      <c r="B427" t="s">
        <v>77</v>
      </c>
      <c r="C427" t="s">
        <v>78</v>
      </c>
      <c r="D427" t="s">
        <v>58</v>
      </c>
      <c r="E427" t="s">
        <v>124</v>
      </c>
      <c r="F427" t="s">
        <v>89</v>
      </c>
      <c r="G427" t="s">
        <v>544</v>
      </c>
      <c r="H427" s="6">
        <v>41</v>
      </c>
      <c r="I427" s="7">
        <v>382.11</v>
      </c>
      <c r="J427" s="7">
        <v>15666.44</v>
      </c>
      <c r="K427" s="6">
        <v>45</v>
      </c>
      <c r="L427" t="s">
        <v>38</v>
      </c>
      <c r="M427" s="8">
        <v>3133.288</v>
      </c>
      <c r="N427" s="7">
        <v>15666.44</v>
      </c>
      <c r="O427" t="s">
        <v>46</v>
      </c>
      <c r="P427" t="s">
        <v>40</v>
      </c>
    </row>
    <row r="428" spans="1:16" x14ac:dyDescent="0.25">
      <c r="A428" s="5">
        <v>45885</v>
      </c>
      <c r="B428" t="s">
        <v>77</v>
      </c>
      <c r="C428" t="s">
        <v>78</v>
      </c>
      <c r="D428" t="s">
        <v>58</v>
      </c>
      <c r="E428" t="s">
        <v>210</v>
      </c>
      <c r="F428" t="s">
        <v>50</v>
      </c>
      <c r="G428" t="s">
        <v>545</v>
      </c>
      <c r="H428" s="6">
        <v>47</v>
      </c>
      <c r="I428" s="7">
        <v>70.58</v>
      </c>
      <c r="J428" s="7">
        <v>3317.38</v>
      </c>
      <c r="K428" s="6">
        <v>45</v>
      </c>
      <c r="L428" t="s">
        <v>38</v>
      </c>
      <c r="M428" s="8">
        <v>663.476</v>
      </c>
      <c r="N428" s="7">
        <v>3317.38</v>
      </c>
      <c r="O428" t="s">
        <v>46</v>
      </c>
      <c r="P428" t="s">
        <v>40</v>
      </c>
    </row>
    <row r="429" spans="1:16" x14ac:dyDescent="0.25">
      <c r="A429" s="5">
        <v>45878</v>
      </c>
      <c r="B429" t="s">
        <v>73</v>
      </c>
      <c r="C429" t="s">
        <v>74</v>
      </c>
      <c r="D429" t="s">
        <v>69</v>
      </c>
      <c r="E429" t="s">
        <v>127</v>
      </c>
      <c r="F429" t="s">
        <v>36</v>
      </c>
      <c r="G429" t="s">
        <v>546</v>
      </c>
      <c r="H429" s="6">
        <v>58</v>
      </c>
      <c r="I429" s="7">
        <v>94.79</v>
      </c>
      <c r="J429" s="7">
        <v>5498.1</v>
      </c>
      <c r="K429" s="6">
        <v>60</v>
      </c>
      <c r="L429" t="s">
        <v>52</v>
      </c>
      <c r="M429" s="8">
        <v>1099.6199999999999</v>
      </c>
      <c r="N429" s="7">
        <v>5498.1</v>
      </c>
      <c r="O429" t="s">
        <v>39</v>
      </c>
      <c r="P429" t="s">
        <v>40</v>
      </c>
    </row>
    <row r="430" spans="1:16" x14ac:dyDescent="0.25">
      <c r="A430" s="5">
        <v>45671</v>
      </c>
      <c r="B430" t="s">
        <v>80</v>
      </c>
      <c r="C430" t="s">
        <v>81</v>
      </c>
      <c r="D430" t="s">
        <v>64</v>
      </c>
      <c r="E430" t="s">
        <v>204</v>
      </c>
      <c r="F430" t="s">
        <v>97</v>
      </c>
      <c r="G430" t="s">
        <v>547</v>
      </c>
      <c r="H430" s="6">
        <v>12</v>
      </c>
      <c r="I430" s="7">
        <v>536.96</v>
      </c>
      <c r="J430" s="7">
        <v>6443.47</v>
      </c>
      <c r="K430" s="6">
        <v>45</v>
      </c>
      <c r="L430" t="s">
        <v>52</v>
      </c>
      <c r="M430" s="8">
        <v>1288.694</v>
      </c>
      <c r="N430" s="7">
        <v>6443.47</v>
      </c>
      <c r="O430" t="s">
        <v>46</v>
      </c>
      <c r="P430" t="s">
        <v>40</v>
      </c>
    </row>
    <row r="431" spans="1:16" x14ac:dyDescent="0.25">
      <c r="A431" s="5">
        <v>45664</v>
      </c>
      <c r="B431" t="s">
        <v>143</v>
      </c>
      <c r="C431" t="s">
        <v>144</v>
      </c>
      <c r="D431" t="s">
        <v>69</v>
      </c>
      <c r="E431" t="s">
        <v>132</v>
      </c>
      <c r="F431" t="s">
        <v>71</v>
      </c>
      <c r="G431" t="s">
        <v>548</v>
      </c>
      <c r="H431" s="6">
        <v>38</v>
      </c>
      <c r="I431" s="7">
        <v>36.11</v>
      </c>
      <c r="J431" s="7">
        <v>1372.18</v>
      </c>
      <c r="K431" s="6">
        <v>45</v>
      </c>
      <c r="L431" t="s">
        <v>45</v>
      </c>
      <c r="M431" s="8">
        <v>274.43599999999998</v>
      </c>
      <c r="N431" s="7">
        <v>1372.18</v>
      </c>
      <c r="O431" t="s">
        <v>46</v>
      </c>
      <c r="P431" t="s">
        <v>40</v>
      </c>
    </row>
    <row r="432" spans="1:16" x14ac:dyDescent="0.25">
      <c r="A432" s="5">
        <v>45924</v>
      </c>
      <c r="B432" t="s">
        <v>56</v>
      </c>
      <c r="C432" t="s">
        <v>57</v>
      </c>
      <c r="D432" t="s">
        <v>58</v>
      </c>
      <c r="E432" t="s">
        <v>53</v>
      </c>
      <c r="F432" t="s">
        <v>54</v>
      </c>
      <c r="G432" t="s">
        <v>549</v>
      </c>
      <c r="H432" s="6">
        <v>22</v>
      </c>
      <c r="I432" s="7">
        <v>130.41</v>
      </c>
      <c r="J432" s="7">
        <v>2868.98</v>
      </c>
      <c r="K432" s="6">
        <v>60</v>
      </c>
      <c r="L432" t="s">
        <v>45</v>
      </c>
      <c r="M432" s="8">
        <v>573.79600000000005</v>
      </c>
      <c r="N432" s="7">
        <v>2868.98</v>
      </c>
      <c r="O432" t="s">
        <v>46</v>
      </c>
      <c r="P432" t="s">
        <v>40</v>
      </c>
    </row>
    <row r="433" spans="1:16" x14ac:dyDescent="0.25">
      <c r="A433" s="5">
        <v>45812</v>
      </c>
      <c r="B433" t="s">
        <v>32</v>
      </c>
      <c r="C433" t="s">
        <v>33</v>
      </c>
      <c r="D433" t="s">
        <v>34</v>
      </c>
      <c r="E433" t="s">
        <v>88</v>
      </c>
      <c r="F433" t="s">
        <v>89</v>
      </c>
      <c r="G433" t="s">
        <v>550</v>
      </c>
      <c r="H433" s="6">
        <v>35</v>
      </c>
      <c r="I433" s="7">
        <v>58.64</v>
      </c>
      <c r="J433" s="7">
        <v>2052.3200000000002</v>
      </c>
      <c r="K433" s="6">
        <v>45</v>
      </c>
      <c r="L433" t="s">
        <v>38</v>
      </c>
      <c r="M433" s="8">
        <v>410.464</v>
      </c>
      <c r="N433" s="7">
        <v>2052.3200000000002</v>
      </c>
      <c r="O433" t="s">
        <v>46</v>
      </c>
      <c r="P433" t="s">
        <v>40</v>
      </c>
    </row>
    <row r="434" spans="1:16" x14ac:dyDescent="0.25">
      <c r="A434" s="5">
        <v>45799</v>
      </c>
      <c r="B434" t="s">
        <v>91</v>
      </c>
      <c r="C434" t="s">
        <v>92</v>
      </c>
      <c r="D434" t="s">
        <v>64</v>
      </c>
      <c r="E434" t="s">
        <v>88</v>
      </c>
      <c r="F434" t="s">
        <v>89</v>
      </c>
      <c r="G434" t="s">
        <v>551</v>
      </c>
      <c r="H434" s="6">
        <v>54</v>
      </c>
      <c r="I434" s="7">
        <v>155.21</v>
      </c>
      <c r="J434" s="7">
        <v>8381.3700000000008</v>
      </c>
      <c r="K434" s="6">
        <v>45</v>
      </c>
      <c r="L434" t="s">
        <v>45</v>
      </c>
      <c r="M434" s="8">
        <v>1676.2739999999999</v>
      </c>
      <c r="N434" s="7">
        <v>8381.3700000000008</v>
      </c>
      <c r="O434" t="s">
        <v>46</v>
      </c>
      <c r="P434" t="s">
        <v>40</v>
      </c>
    </row>
    <row r="435" spans="1:16" x14ac:dyDescent="0.25">
      <c r="A435" s="5">
        <v>45784</v>
      </c>
      <c r="B435" t="s">
        <v>47</v>
      </c>
      <c r="C435" t="s">
        <v>48</v>
      </c>
      <c r="D435" t="s">
        <v>34</v>
      </c>
      <c r="E435" t="s">
        <v>132</v>
      </c>
      <c r="F435" t="s">
        <v>71</v>
      </c>
      <c r="G435" t="s">
        <v>552</v>
      </c>
      <c r="H435" s="6">
        <v>64</v>
      </c>
      <c r="I435" s="7">
        <v>140.97</v>
      </c>
      <c r="J435" s="7">
        <v>9021.8799999999992</v>
      </c>
      <c r="K435" s="6">
        <v>60</v>
      </c>
      <c r="L435" t="s">
        <v>52</v>
      </c>
      <c r="M435" s="8">
        <v>1804.376</v>
      </c>
      <c r="N435" s="7">
        <v>9021.8799999999992</v>
      </c>
      <c r="O435" t="s">
        <v>46</v>
      </c>
      <c r="P435" t="s">
        <v>40</v>
      </c>
    </row>
    <row r="436" spans="1:16" x14ac:dyDescent="0.25">
      <c r="A436" s="5">
        <v>45727</v>
      </c>
      <c r="B436" t="s">
        <v>91</v>
      </c>
      <c r="C436" t="s">
        <v>92</v>
      </c>
      <c r="D436" t="s">
        <v>64</v>
      </c>
      <c r="E436" t="s">
        <v>107</v>
      </c>
      <c r="F436" t="s">
        <v>108</v>
      </c>
      <c r="G436" t="s">
        <v>553</v>
      </c>
      <c r="H436" s="6">
        <v>39</v>
      </c>
      <c r="I436" s="7">
        <v>171.36</v>
      </c>
      <c r="J436" s="7">
        <v>6683.16</v>
      </c>
      <c r="K436" s="6">
        <v>30</v>
      </c>
      <c r="L436" t="s">
        <v>45</v>
      </c>
      <c r="M436" s="8">
        <v>1336.6320000000001</v>
      </c>
      <c r="N436" s="7">
        <v>6683.16</v>
      </c>
      <c r="O436" t="s">
        <v>46</v>
      </c>
      <c r="P436" t="s">
        <v>40</v>
      </c>
    </row>
    <row r="437" spans="1:16" x14ac:dyDescent="0.25">
      <c r="A437" s="5">
        <v>45883</v>
      </c>
      <c r="B437" t="s">
        <v>67</v>
      </c>
      <c r="C437" t="s">
        <v>68</v>
      </c>
      <c r="D437" t="s">
        <v>69</v>
      </c>
      <c r="E437" t="s">
        <v>96</v>
      </c>
      <c r="F437" t="s">
        <v>97</v>
      </c>
      <c r="G437" t="s">
        <v>554</v>
      </c>
      <c r="H437" s="6">
        <v>43</v>
      </c>
      <c r="I437" s="7">
        <v>312.48</v>
      </c>
      <c r="J437" s="7">
        <v>13436.56</v>
      </c>
      <c r="K437" s="6">
        <v>45</v>
      </c>
      <c r="L437" t="s">
        <v>52</v>
      </c>
      <c r="M437" s="8">
        <v>2687.3119999999999</v>
      </c>
      <c r="N437" s="7">
        <v>13436.56</v>
      </c>
      <c r="O437" t="s">
        <v>46</v>
      </c>
      <c r="P437" t="s">
        <v>40</v>
      </c>
    </row>
    <row r="438" spans="1:16" x14ac:dyDescent="0.25">
      <c r="A438" s="5">
        <v>45822</v>
      </c>
      <c r="B438" t="s">
        <v>201</v>
      </c>
      <c r="C438" t="s">
        <v>202</v>
      </c>
      <c r="D438" t="s">
        <v>64</v>
      </c>
      <c r="E438" t="s">
        <v>88</v>
      </c>
      <c r="F438" t="s">
        <v>89</v>
      </c>
      <c r="G438" t="s">
        <v>555</v>
      </c>
      <c r="H438" s="6">
        <v>78</v>
      </c>
      <c r="I438" s="7">
        <v>440.85</v>
      </c>
      <c r="J438" s="7">
        <v>34385.980000000003</v>
      </c>
      <c r="K438" s="6">
        <v>60</v>
      </c>
      <c r="L438" t="s">
        <v>38</v>
      </c>
      <c r="M438" s="8">
        <v>6877.1959999999999</v>
      </c>
      <c r="N438" s="7">
        <v>34385.980000000003</v>
      </c>
      <c r="O438" t="s">
        <v>46</v>
      </c>
      <c r="P438" t="s">
        <v>40</v>
      </c>
    </row>
    <row r="439" spans="1:16" x14ac:dyDescent="0.25">
      <c r="A439" s="5">
        <v>45861</v>
      </c>
      <c r="B439" t="s">
        <v>41</v>
      </c>
      <c r="C439" t="s">
        <v>42</v>
      </c>
      <c r="D439" t="s">
        <v>34</v>
      </c>
      <c r="E439" t="s">
        <v>83</v>
      </c>
      <c r="F439" t="s">
        <v>71</v>
      </c>
      <c r="G439" t="s">
        <v>556</v>
      </c>
      <c r="H439" s="6">
        <v>41</v>
      </c>
      <c r="I439" s="7">
        <v>44.47</v>
      </c>
      <c r="J439" s="7">
        <v>1823.28</v>
      </c>
      <c r="K439" s="6">
        <v>45</v>
      </c>
      <c r="L439" t="s">
        <v>52</v>
      </c>
      <c r="M439" s="8">
        <v>364.65600000000001</v>
      </c>
      <c r="N439" s="7">
        <v>1823.28</v>
      </c>
      <c r="O439" t="s">
        <v>39</v>
      </c>
      <c r="P439" t="s">
        <v>40</v>
      </c>
    </row>
    <row r="440" spans="1:16" x14ac:dyDescent="0.25">
      <c r="A440" s="5">
        <v>45782</v>
      </c>
      <c r="B440" t="s">
        <v>201</v>
      </c>
      <c r="C440" t="s">
        <v>202</v>
      </c>
      <c r="D440" t="s">
        <v>64</v>
      </c>
      <c r="E440" t="s">
        <v>129</v>
      </c>
      <c r="F440" t="s">
        <v>108</v>
      </c>
      <c r="G440" t="s">
        <v>557</v>
      </c>
      <c r="H440" s="6">
        <v>42</v>
      </c>
      <c r="I440" s="7">
        <v>29.39</v>
      </c>
      <c r="J440" s="7">
        <v>1234.3499999999999</v>
      </c>
      <c r="K440" s="6">
        <v>45</v>
      </c>
      <c r="L440" t="s">
        <v>45</v>
      </c>
      <c r="M440" s="8">
        <v>246.87</v>
      </c>
      <c r="N440" s="7">
        <v>1234.3499999999999</v>
      </c>
      <c r="O440" t="s">
        <v>46</v>
      </c>
      <c r="P440" t="s">
        <v>40</v>
      </c>
    </row>
    <row r="441" spans="1:16" x14ac:dyDescent="0.25">
      <c r="A441" s="5">
        <v>45946</v>
      </c>
      <c r="B441" t="s">
        <v>77</v>
      </c>
      <c r="C441" t="s">
        <v>78</v>
      </c>
      <c r="D441" t="s">
        <v>58</v>
      </c>
      <c r="E441" t="s">
        <v>83</v>
      </c>
      <c r="F441" t="s">
        <v>71</v>
      </c>
      <c r="G441" t="s">
        <v>558</v>
      </c>
      <c r="H441" s="6">
        <v>26</v>
      </c>
      <c r="I441" s="7">
        <v>92.14</v>
      </c>
      <c r="J441" s="7">
        <v>2395.6799999999998</v>
      </c>
      <c r="K441" s="6">
        <v>60</v>
      </c>
      <c r="L441" t="s">
        <v>52</v>
      </c>
      <c r="M441" s="8">
        <v>479.13600000000002</v>
      </c>
      <c r="N441" s="7">
        <v>2395.6799999999998</v>
      </c>
      <c r="O441" t="s">
        <v>39</v>
      </c>
      <c r="P441" t="s">
        <v>40</v>
      </c>
    </row>
    <row r="442" spans="1:16" x14ac:dyDescent="0.25">
      <c r="A442" s="5">
        <v>45894</v>
      </c>
      <c r="B442" t="s">
        <v>47</v>
      </c>
      <c r="C442" t="s">
        <v>48</v>
      </c>
      <c r="D442" t="s">
        <v>34</v>
      </c>
      <c r="E442" t="s">
        <v>152</v>
      </c>
      <c r="F442" t="s">
        <v>50</v>
      </c>
      <c r="G442" t="s">
        <v>559</v>
      </c>
      <c r="H442" s="6">
        <v>27</v>
      </c>
      <c r="I442" s="7">
        <v>148.22</v>
      </c>
      <c r="J442" s="7">
        <v>4002.06</v>
      </c>
      <c r="K442" s="6">
        <v>45</v>
      </c>
      <c r="L442" t="s">
        <v>45</v>
      </c>
      <c r="M442" s="8">
        <v>800.41200000000003</v>
      </c>
      <c r="N442" s="7">
        <v>4002.06</v>
      </c>
      <c r="O442" t="s">
        <v>46</v>
      </c>
      <c r="P442" t="s">
        <v>40</v>
      </c>
    </row>
    <row r="443" spans="1:16" x14ac:dyDescent="0.25">
      <c r="A443" s="5">
        <v>46002</v>
      </c>
      <c r="B443" t="s">
        <v>73</v>
      </c>
      <c r="C443" t="s">
        <v>74</v>
      </c>
      <c r="D443" t="s">
        <v>69</v>
      </c>
      <c r="E443" t="s">
        <v>75</v>
      </c>
      <c r="F443" t="s">
        <v>36</v>
      </c>
      <c r="G443" t="s">
        <v>560</v>
      </c>
      <c r="H443" s="6">
        <v>64</v>
      </c>
      <c r="I443" s="7">
        <v>63.84</v>
      </c>
      <c r="J443" s="7">
        <v>4085.86</v>
      </c>
      <c r="K443" s="6">
        <v>30</v>
      </c>
      <c r="L443" t="s">
        <v>52</v>
      </c>
      <c r="M443" s="8">
        <v>817.17200000000003</v>
      </c>
      <c r="N443" s="7">
        <v>4085.86</v>
      </c>
      <c r="O443" t="s">
        <v>46</v>
      </c>
      <c r="P443" t="s">
        <v>40</v>
      </c>
    </row>
    <row r="444" spans="1:16" x14ac:dyDescent="0.25">
      <c r="A444" s="5">
        <v>45995</v>
      </c>
      <c r="B444" t="s">
        <v>32</v>
      </c>
      <c r="C444" t="s">
        <v>33</v>
      </c>
      <c r="D444" t="s">
        <v>34</v>
      </c>
      <c r="E444" t="s">
        <v>65</v>
      </c>
      <c r="F444" t="s">
        <v>54</v>
      </c>
      <c r="G444" t="s">
        <v>561</v>
      </c>
      <c r="H444" s="6">
        <v>20</v>
      </c>
      <c r="I444" s="7">
        <v>80.19</v>
      </c>
      <c r="J444" s="7">
        <v>1603.75</v>
      </c>
      <c r="K444" s="6">
        <v>60</v>
      </c>
      <c r="L444" t="s">
        <v>45</v>
      </c>
      <c r="M444" s="8">
        <v>320.75</v>
      </c>
      <c r="N444" s="7">
        <v>1603.75</v>
      </c>
      <c r="O444" t="s">
        <v>46</v>
      </c>
      <c r="P444" t="s">
        <v>40</v>
      </c>
    </row>
    <row r="445" spans="1:16" x14ac:dyDescent="0.25">
      <c r="A445" s="5">
        <v>45964</v>
      </c>
      <c r="B445" t="s">
        <v>62</v>
      </c>
      <c r="C445" t="s">
        <v>63</v>
      </c>
      <c r="D445" t="s">
        <v>64</v>
      </c>
      <c r="E445" t="s">
        <v>75</v>
      </c>
      <c r="F445" t="s">
        <v>36</v>
      </c>
      <c r="G445" t="s">
        <v>562</v>
      </c>
      <c r="H445" s="6">
        <v>62</v>
      </c>
      <c r="I445" s="7">
        <v>61.89</v>
      </c>
      <c r="J445" s="7">
        <v>3837.23</v>
      </c>
      <c r="K445" s="6">
        <v>60</v>
      </c>
      <c r="L445" t="s">
        <v>45</v>
      </c>
      <c r="M445" s="8">
        <v>767.44600000000003</v>
      </c>
      <c r="N445" s="7">
        <v>3837.23</v>
      </c>
      <c r="O445" t="s">
        <v>46</v>
      </c>
      <c r="P445" t="s">
        <v>40</v>
      </c>
    </row>
    <row r="446" spans="1:16" x14ac:dyDescent="0.25">
      <c r="A446" s="5">
        <v>45676</v>
      </c>
      <c r="B446" t="s">
        <v>67</v>
      </c>
      <c r="C446" t="s">
        <v>68</v>
      </c>
      <c r="D446" t="s">
        <v>69</v>
      </c>
      <c r="E446" t="s">
        <v>105</v>
      </c>
      <c r="F446" t="s">
        <v>97</v>
      </c>
      <c r="G446" t="s">
        <v>563</v>
      </c>
      <c r="H446" s="6">
        <v>47</v>
      </c>
      <c r="I446" s="7">
        <v>146.4</v>
      </c>
      <c r="J446" s="7">
        <v>6880.67</v>
      </c>
      <c r="K446" s="6">
        <v>60</v>
      </c>
      <c r="L446" t="s">
        <v>52</v>
      </c>
      <c r="M446" s="8">
        <v>1376.134</v>
      </c>
      <c r="N446" s="7">
        <v>6880.67</v>
      </c>
      <c r="O446" t="s">
        <v>46</v>
      </c>
      <c r="P446" t="s">
        <v>40</v>
      </c>
    </row>
    <row r="447" spans="1:16" x14ac:dyDescent="0.25">
      <c r="A447" s="5">
        <v>45785</v>
      </c>
      <c r="B447" t="s">
        <v>73</v>
      </c>
      <c r="C447" t="s">
        <v>74</v>
      </c>
      <c r="D447" t="s">
        <v>69</v>
      </c>
      <c r="E447" t="s">
        <v>127</v>
      </c>
      <c r="F447" t="s">
        <v>36</v>
      </c>
      <c r="G447" t="s">
        <v>564</v>
      </c>
      <c r="H447" s="6">
        <v>46</v>
      </c>
      <c r="I447" s="7">
        <v>93.94</v>
      </c>
      <c r="J447" s="7">
        <v>4321.46</v>
      </c>
      <c r="K447" s="6">
        <v>30</v>
      </c>
      <c r="L447" t="s">
        <v>52</v>
      </c>
      <c r="M447" s="8">
        <v>864.29200000000003</v>
      </c>
      <c r="N447" s="7">
        <v>4321.46</v>
      </c>
      <c r="O447" t="s">
        <v>39</v>
      </c>
      <c r="P447" t="s">
        <v>40</v>
      </c>
    </row>
    <row r="448" spans="1:16" x14ac:dyDescent="0.25">
      <c r="A448" s="5">
        <v>45988</v>
      </c>
      <c r="B448" t="s">
        <v>56</v>
      </c>
      <c r="C448" t="s">
        <v>57</v>
      </c>
      <c r="D448" t="s">
        <v>58</v>
      </c>
      <c r="E448" t="s">
        <v>152</v>
      </c>
      <c r="F448" t="s">
        <v>50</v>
      </c>
      <c r="G448" t="s">
        <v>565</v>
      </c>
      <c r="H448" s="6">
        <v>52</v>
      </c>
      <c r="I448" s="7">
        <v>146.81</v>
      </c>
      <c r="J448" s="7">
        <v>7633.98</v>
      </c>
      <c r="K448" s="6">
        <v>45</v>
      </c>
      <c r="L448" t="s">
        <v>45</v>
      </c>
      <c r="M448" s="8">
        <v>1526.796</v>
      </c>
      <c r="N448" s="7">
        <v>7633.98</v>
      </c>
      <c r="O448" t="s">
        <v>46</v>
      </c>
      <c r="P448" t="s">
        <v>40</v>
      </c>
    </row>
    <row r="449" spans="1:16" x14ac:dyDescent="0.25">
      <c r="A449" s="5">
        <v>45790</v>
      </c>
      <c r="B449" t="s">
        <v>121</v>
      </c>
      <c r="C449" t="s">
        <v>122</v>
      </c>
      <c r="D449" t="s">
        <v>34</v>
      </c>
      <c r="E449" t="s">
        <v>49</v>
      </c>
      <c r="F449" t="s">
        <v>50</v>
      </c>
      <c r="G449" t="s">
        <v>566</v>
      </c>
      <c r="H449" s="6">
        <v>29</v>
      </c>
      <c r="I449" s="7">
        <v>71.56</v>
      </c>
      <c r="J449" s="7">
        <v>2075.2800000000002</v>
      </c>
      <c r="K449" s="6">
        <v>60</v>
      </c>
      <c r="L449" t="s">
        <v>52</v>
      </c>
      <c r="M449" s="8">
        <v>415.05599999999998</v>
      </c>
      <c r="N449" s="7">
        <v>2075.2800000000002</v>
      </c>
      <c r="O449" t="s">
        <v>39</v>
      </c>
      <c r="P449" t="s">
        <v>40</v>
      </c>
    </row>
    <row r="450" spans="1:16" x14ac:dyDescent="0.25">
      <c r="A450" s="5">
        <v>45849</v>
      </c>
      <c r="B450" t="s">
        <v>41</v>
      </c>
      <c r="C450" t="s">
        <v>42</v>
      </c>
      <c r="D450" t="s">
        <v>34</v>
      </c>
      <c r="E450" t="s">
        <v>65</v>
      </c>
      <c r="F450" t="s">
        <v>54</v>
      </c>
      <c r="G450" t="s">
        <v>567</v>
      </c>
      <c r="H450" s="6">
        <v>51</v>
      </c>
      <c r="I450" s="7">
        <v>188.45</v>
      </c>
      <c r="J450" s="7">
        <v>9610.9599999999991</v>
      </c>
      <c r="K450" s="6">
        <v>45</v>
      </c>
      <c r="L450" t="s">
        <v>52</v>
      </c>
      <c r="M450" s="8">
        <v>1922.192</v>
      </c>
      <c r="N450" s="7">
        <v>9610.9599999999991</v>
      </c>
      <c r="O450" t="s">
        <v>46</v>
      </c>
      <c r="P450" t="s">
        <v>40</v>
      </c>
    </row>
    <row r="451" spans="1:16" x14ac:dyDescent="0.25">
      <c r="A451" s="5">
        <v>45670</v>
      </c>
      <c r="B451" t="s">
        <v>94</v>
      </c>
      <c r="C451" t="s">
        <v>95</v>
      </c>
      <c r="D451" t="s">
        <v>34</v>
      </c>
      <c r="E451" t="s">
        <v>88</v>
      </c>
      <c r="F451" t="s">
        <v>89</v>
      </c>
      <c r="G451" t="s">
        <v>568</v>
      </c>
      <c r="H451" s="6">
        <v>62</v>
      </c>
      <c r="I451" s="7">
        <v>100.52</v>
      </c>
      <c r="J451" s="7">
        <v>6232.44</v>
      </c>
      <c r="K451" s="6">
        <v>30</v>
      </c>
      <c r="L451" t="s">
        <v>45</v>
      </c>
      <c r="M451" s="8">
        <v>1246.4880000000001</v>
      </c>
      <c r="N451" s="7">
        <v>6232.44</v>
      </c>
      <c r="O451" t="s">
        <v>46</v>
      </c>
      <c r="P451" t="s">
        <v>40</v>
      </c>
    </row>
    <row r="452" spans="1:16" x14ac:dyDescent="0.25">
      <c r="A452" s="5">
        <v>45730</v>
      </c>
      <c r="B452" t="s">
        <v>77</v>
      </c>
      <c r="C452" t="s">
        <v>78</v>
      </c>
      <c r="D452" t="s">
        <v>58</v>
      </c>
      <c r="E452" t="s">
        <v>127</v>
      </c>
      <c r="F452" t="s">
        <v>36</v>
      </c>
      <c r="G452" t="s">
        <v>569</v>
      </c>
      <c r="H452" s="6">
        <v>45</v>
      </c>
      <c r="I452" s="7">
        <v>62.8</v>
      </c>
      <c r="J452" s="7">
        <v>2825.88</v>
      </c>
      <c r="K452" s="6">
        <v>45</v>
      </c>
      <c r="L452" t="s">
        <v>45</v>
      </c>
      <c r="M452" s="8">
        <v>565.17600000000004</v>
      </c>
      <c r="N452" s="7">
        <v>2825.88</v>
      </c>
      <c r="O452" t="s">
        <v>39</v>
      </c>
      <c r="P452" t="s">
        <v>40</v>
      </c>
    </row>
    <row r="453" spans="1:16" x14ac:dyDescent="0.25">
      <c r="A453" s="5">
        <v>45905</v>
      </c>
      <c r="B453" t="s">
        <v>47</v>
      </c>
      <c r="C453" t="s">
        <v>48</v>
      </c>
      <c r="D453" t="s">
        <v>34</v>
      </c>
      <c r="E453" t="s">
        <v>53</v>
      </c>
      <c r="F453" t="s">
        <v>54</v>
      </c>
      <c r="G453" t="s">
        <v>570</v>
      </c>
      <c r="H453" s="6">
        <v>45</v>
      </c>
      <c r="I453" s="7">
        <v>422.75</v>
      </c>
      <c r="J453" s="7">
        <v>19023.91</v>
      </c>
      <c r="K453" s="6">
        <v>45</v>
      </c>
      <c r="L453" t="s">
        <v>38</v>
      </c>
      <c r="M453" s="8">
        <v>3804.7820000000002</v>
      </c>
      <c r="N453" s="7">
        <v>19023.91</v>
      </c>
      <c r="O453" t="s">
        <v>46</v>
      </c>
      <c r="P453" t="s">
        <v>40</v>
      </c>
    </row>
    <row r="454" spans="1:16" x14ac:dyDescent="0.25">
      <c r="A454" s="5">
        <v>45692</v>
      </c>
      <c r="B454" t="s">
        <v>41</v>
      </c>
      <c r="C454" t="s">
        <v>42</v>
      </c>
      <c r="D454" t="s">
        <v>34</v>
      </c>
      <c r="E454" t="s">
        <v>139</v>
      </c>
      <c r="F454" t="s">
        <v>108</v>
      </c>
      <c r="G454" t="s">
        <v>571</v>
      </c>
      <c r="H454" s="6">
        <v>39</v>
      </c>
      <c r="I454" s="7">
        <v>43.61</v>
      </c>
      <c r="J454" s="7">
        <v>1700.88</v>
      </c>
      <c r="K454" s="6">
        <v>30</v>
      </c>
      <c r="L454" t="s">
        <v>52</v>
      </c>
      <c r="M454" s="8">
        <v>340.17599999999999</v>
      </c>
      <c r="N454" s="7">
        <v>1700.88</v>
      </c>
      <c r="O454" t="s">
        <v>46</v>
      </c>
      <c r="P454" t="s">
        <v>40</v>
      </c>
    </row>
    <row r="455" spans="1:16" x14ac:dyDescent="0.25">
      <c r="A455" s="5">
        <v>45989</v>
      </c>
      <c r="B455" t="s">
        <v>103</v>
      </c>
      <c r="C455" t="s">
        <v>104</v>
      </c>
      <c r="D455" t="s">
        <v>58</v>
      </c>
      <c r="E455" t="s">
        <v>210</v>
      </c>
      <c r="F455" t="s">
        <v>50</v>
      </c>
      <c r="G455" t="s">
        <v>572</v>
      </c>
      <c r="H455" s="6">
        <v>14</v>
      </c>
      <c r="I455" s="7">
        <v>158.34</v>
      </c>
      <c r="J455" s="7">
        <v>2216.6999999999998</v>
      </c>
      <c r="K455" s="6">
        <v>60</v>
      </c>
      <c r="L455" t="s">
        <v>38</v>
      </c>
      <c r="M455" s="8">
        <v>443.34</v>
      </c>
      <c r="N455" s="7">
        <v>2216.6999999999998</v>
      </c>
      <c r="O455" t="s">
        <v>46</v>
      </c>
      <c r="P455" t="s">
        <v>40</v>
      </c>
    </row>
    <row r="456" spans="1:16" x14ac:dyDescent="0.25">
      <c r="A456" s="5">
        <v>45747</v>
      </c>
      <c r="B456" t="s">
        <v>32</v>
      </c>
      <c r="C456" t="s">
        <v>33</v>
      </c>
      <c r="D456" t="s">
        <v>34</v>
      </c>
      <c r="E456" t="s">
        <v>53</v>
      </c>
      <c r="F456" t="s">
        <v>54</v>
      </c>
      <c r="G456" t="s">
        <v>573</v>
      </c>
      <c r="H456" s="6">
        <v>71</v>
      </c>
      <c r="I456" s="7">
        <v>186.76</v>
      </c>
      <c r="J456" s="7">
        <v>13259.89</v>
      </c>
      <c r="K456" s="6">
        <v>30</v>
      </c>
      <c r="L456" t="s">
        <v>45</v>
      </c>
      <c r="M456" s="8">
        <v>2651.9780000000001</v>
      </c>
      <c r="N456" s="7">
        <v>13259.89</v>
      </c>
      <c r="O456" t="s">
        <v>46</v>
      </c>
      <c r="P456" t="s">
        <v>40</v>
      </c>
    </row>
    <row r="457" spans="1:16" x14ac:dyDescent="0.25">
      <c r="A457" s="5">
        <v>45776</v>
      </c>
      <c r="B457" t="s">
        <v>103</v>
      </c>
      <c r="C457" t="s">
        <v>104</v>
      </c>
      <c r="D457" t="s">
        <v>58</v>
      </c>
      <c r="E457" t="s">
        <v>96</v>
      </c>
      <c r="F457" t="s">
        <v>97</v>
      </c>
      <c r="G457" t="s">
        <v>574</v>
      </c>
      <c r="H457" s="6">
        <v>52</v>
      </c>
      <c r="I457" s="7">
        <v>193.97</v>
      </c>
      <c r="J457" s="7">
        <v>10086.43</v>
      </c>
      <c r="K457" s="6">
        <v>60</v>
      </c>
      <c r="L457" t="s">
        <v>38</v>
      </c>
      <c r="M457" s="8">
        <v>2017.2860000000001</v>
      </c>
      <c r="N457" s="7">
        <v>10086.43</v>
      </c>
      <c r="O457" t="s">
        <v>46</v>
      </c>
      <c r="P457" t="s">
        <v>40</v>
      </c>
    </row>
    <row r="458" spans="1:16" x14ac:dyDescent="0.25">
      <c r="A458" s="5">
        <v>45672</v>
      </c>
      <c r="B458" t="s">
        <v>77</v>
      </c>
      <c r="C458" t="s">
        <v>78</v>
      </c>
      <c r="D458" t="s">
        <v>58</v>
      </c>
      <c r="E458" t="s">
        <v>96</v>
      </c>
      <c r="F458" t="s">
        <v>97</v>
      </c>
      <c r="G458" t="s">
        <v>575</v>
      </c>
      <c r="H458" s="6">
        <v>79</v>
      </c>
      <c r="I458" s="7">
        <v>282.85000000000002</v>
      </c>
      <c r="J458" s="7">
        <v>22345.13</v>
      </c>
      <c r="K458" s="6">
        <v>30</v>
      </c>
      <c r="L458" t="s">
        <v>45</v>
      </c>
      <c r="M458" s="8">
        <v>4469.0259999999998</v>
      </c>
      <c r="N458" s="7">
        <v>22345.13</v>
      </c>
      <c r="O458" t="s">
        <v>46</v>
      </c>
      <c r="P458" t="s">
        <v>40</v>
      </c>
    </row>
    <row r="459" spans="1:16" x14ac:dyDescent="0.25">
      <c r="A459" s="5">
        <v>45660</v>
      </c>
      <c r="B459" t="s">
        <v>94</v>
      </c>
      <c r="C459" t="s">
        <v>95</v>
      </c>
      <c r="D459" t="s">
        <v>34</v>
      </c>
      <c r="E459" t="s">
        <v>96</v>
      </c>
      <c r="F459" t="s">
        <v>97</v>
      </c>
      <c r="G459" t="s">
        <v>576</v>
      </c>
      <c r="H459" s="6">
        <v>28</v>
      </c>
      <c r="I459" s="7">
        <v>169.76</v>
      </c>
      <c r="J459" s="7">
        <v>4753.34</v>
      </c>
      <c r="K459" s="6">
        <v>30</v>
      </c>
      <c r="L459" t="s">
        <v>45</v>
      </c>
      <c r="M459" s="8">
        <v>950.66800000000001</v>
      </c>
      <c r="N459" s="7">
        <v>4753.34</v>
      </c>
      <c r="O459" t="s">
        <v>46</v>
      </c>
      <c r="P459" t="s">
        <v>40</v>
      </c>
    </row>
    <row r="460" spans="1:16" x14ac:dyDescent="0.25">
      <c r="A460" s="5">
        <v>45710</v>
      </c>
      <c r="B460" t="s">
        <v>80</v>
      </c>
      <c r="C460" t="s">
        <v>81</v>
      </c>
      <c r="D460" t="s">
        <v>64</v>
      </c>
      <c r="E460" t="s">
        <v>43</v>
      </c>
      <c r="F460" t="s">
        <v>36</v>
      </c>
      <c r="G460" t="s">
        <v>577</v>
      </c>
      <c r="H460" s="6">
        <v>69</v>
      </c>
      <c r="I460" s="7">
        <v>47.94</v>
      </c>
      <c r="J460" s="7">
        <v>3307.63</v>
      </c>
      <c r="K460" s="6">
        <v>30</v>
      </c>
      <c r="L460" t="s">
        <v>45</v>
      </c>
      <c r="M460" s="8">
        <v>661.52599999999995</v>
      </c>
      <c r="N460" s="7">
        <v>3307.63</v>
      </c>
      <c r="O460" t="s">
        <v>46</v>
      </c>
      <c r="P460" t="s">
        <v>40</v>
      </c>
    </row>
    <row r="461" spans="1:16" x14ac:dyDescent="0.25">
      <c r="A461" s="5">
        <v>45716</v>
      </c>
      <c r="B461" t="s">
        <v>85</v>
      </c>
      <c r="C461" t="s">
        <v>86</v>
      </c>
      <c r="D461" t="s">
        <v>58</v>
      </c>
      <c r="E461" t="s">
        <v>65</v>
      </c>
      <c r="F461" t="s">
        <v>54</v>
      </c>
      <c r="G461" t="s">
        <v>578</v>
      </c>
      <c r="H461" s="6">
        <v>34</v>
      </c>
      <c r="I461" s="7">
        <v>129.36000000000001</v>
      </c>
      <c r="J461" s="7">
        <v>4398.37</v>
      </c>
      <c r="K461" s="6">
        <v>60</v>
      </c>
      <c r="L461" t="s">
        <v>45</v>
      </c>
      <c r="M461" s="8">
        <v>879.67399999999998</v>
      </c>
      <c r="N461" s="7">
        <v>4398.37</v>
      </c>
      <c r="O461" t="s">
        <v>46</v>
      </c>
      <c r="P461" t="s">
        <v>40</v>
      </c>
    </row>
    <row r="462" spans="1:16" x14ac:dyDescent="0.25">
      <c r="A462" s="5">
        <v>45856</v>
      </c>
      <c r="B462" t="s">
        <v>85</v>
      </c>
      <c r="C462" t="s">
        <v>86</v>
      </c>
      <c r="D462" t="s">
        <v>58</v>
      </c>
      <c r="E462" t="s">
        <v>70</v>
      </c>
      <c r="F462" t="s">
        <v>71</v>
      </c>
      <c r="G462" t="s">
        <v>579</v>
      </c>
      <c r="H462" s="6">
        <v>79</v>
      </c>
      <c r="I462" s="7">
        <v>279.91000000000003</v>
      </c>
      <c r="J462" s="7">
        <v>22113.06</v>
      </c>
      <c r="K462" s="6">
        <v>45</v>
      </c>
      <c r="L462" t="s">
        <v>52</v>
      </c>
      <c r="M462" s="8">
        <v>4422.6120000000001</v>
      </c>
      <c r="N462" s="7">
        <v>22113.06</v>
      </c>
      <c r="O462" t="s">
        <v>46</v>
      </c>
      <c r="P462" t="s">
        <v>40</v>
      </c>
    </row>
    <row r="463" spans="1:16" x14ac:dyDescent="0.25">
      <c r="A463" s="5">
        <v>45892</v>
      </c>
      <c r="B463" t="s">
        <v>77</v>
      </c>
      <c r="C463" t="s">
        <v>78</v>
      </c>
      <c r="D463" t="s">
        <v>58</v>
      </c>
      <c r="E463" t="s">
        <v>132</v>
      </c>
      <c r="F463" t="s">
        <v>71</v>
      </c>
      <c r="G463" t="s">
        <v>580</v>
      </c>
      <c r="H463" s="6">
        <v>80</v>
      </c>
      <c r="I463" s="7">
        <v>96.86</v>
      </c>
      <c r="J463" s="7">
        <v>7748.84</v>
      </c>
      <c r="K463" s="6">
        <v>30</v>
      </c>
      <c r="L463" t="s">
        <v>52</v>
      </c>
      <c r="M463" s="8">
        <v>1549.768</v>
      </c>
      <c r="N463" s="7">
        <v>7748.84</v>
      </c>
      <c r="O463" t="s">
        <v>46</v>
      </c>
      <c r="P463" t="s">
        <v>40</v>
      </c>
    </row>
    <row r="464" spans="1:16" x14ac:dyDescent="0.25">
      <c r="A464" s="5">
        <v>45960</v>
      </c>
      <c r="B464" t="s">
        <v>103</v>
      </c>
      <c r="C464" t="s">
        <v>104</v>
      </c>
      <c r="D464" t="s">
        <v>58</v>
      </c>
      <c r="E464" t="s">
        <v>115</v>
      </c>
      <c r="F464" t="s">
        <v>60</v>
      </c>
      <c r="G464" t="s">
        <v>581</v>
      </c>
      <c r="H464" s="6">
        <v>11</v>
      </c>
      <c r="I464" s="7">
        <v>149.72</v>
      </c>
      <c r="J464" s="7">
        <v>1646.94</v>
      </c>
      <c r="K464" s="6">
        <v>60</v>
      </c>
      <c r="L464" t="s">
        <v>38</v>
      </c>
      <c r="M464" s="8">
        <v>329.38799999999998</v>
      </c>
      <c r="N464" s="7">
        <v>1646.94</v>
      </c>
      <c r="O464" t="s">
        <v>46</v>
      </c>
      <c r="P464" t="s">
        <v>40</v>
      </c>
    </row>
    <row r="465" spans="1:16" x14ac:dyDescent="0.25">
      <c r="A465" s="5">
        <v>45814</v>
      </c>
      <c r="B465" t="s">
        <v>143</v>
      </c>
      <c r="C465" t="s">
        <v>144</v>
      </c>
      <c r="D465" t="s">
        <v>69</v>
      </c>
      <c r="E465" t="s">
        <v>127</v>
      </c>
      <c r="F465" t="s">
        <v>36</v>
      </c>
      <c r="G465" t="s">
        <v>582</v>
      </c>
      <c r="H465" s="6">
        <v>15</v>
      </c>
      <c r="I465" s="7">
        <v>73.12</v>
      </c>
      <c r="J465" s="7">
        <v>1096.77</v>
      </c>
      <c r="K465" s="6">
        <v>30</v>
      </c>
      <c r="L465" t="s">
        <v>45</v>
      </c>
      <c r="M465" s="8">
        <v>219.35400000000001</v>
      </c>
      <c r="N465" s="7">
        <v>1096.77</v>
      </c>
      <c r="O465" t="s">
        <v>39</v>
      </c>
      <c r="P465" t="s">
        <v>40</v>
      </c>
    </row>
    <row r="466" spans="1:16" x14ac:dyDescent="0.25">
      <c r="A466" s="5">
        <v>45856</v>
      </c>
      <c r="B466" t="s">
        <v>201</v>
      </c>
      <c r="C466" t="s">
        <v>202</v>
      </c>
      <c r="D466" t="s">
        <v>64</v>
      </c>
      <c r="E466" t="s">
        <v>124</v>
      </c>
      <c r="F466" t="s">
        <v>89</v>
      </c>
      <c r="G466" t="s">
        <v>583</v>
      </c>
      <c r="H466" s="6">
        <v>54</v>
      </c>
      <c r="I466" s="7">
        <v>169.22</v>
      </c>
      <c r="J466" s="7">
        <v>9137.67</v>
      </c>
      <c r="K466" s="6">
        <v>60</v>
      </c>
      <c r="L466" t="s">
        <v>38</v>
      </c>
      <c r="M466" s="8">
        <v>1827.5340000000001</v>
      </c>
      <c r="N466" s="7">
        <v>9137.67</v>
      </c>
      <c r="O466" t="s">
        <v>46</v>
      </c>
      <c r="P466" t="s">
        <v>40</v>
      </c>
    </row>
    <row r="467" spans="1:16" x14ac:dyDescent="0.25">
      <c r="A467" s="5">
        <v>45753</v>
      </c>
      <c r="B467" t="s">
        <v>77</v>
      </c>
      <c r="C467" t="s">
        <v>78</v>
      </c>
      <c r="D467" t="s">
        <v>58</v>
      </c>
      <c r="E467" t="s">
        <v>96</v>
      </c>
      <c r="F467" t="s">
        <v>97</v>
      </c>
      <c r="G467" t="s">
        <v>584</v>
      </c>
      <c r="H467" s="6">
        <v>63</v>
      </c>
      <c r="I467" s="7">
        <v>265.67</v>
      </c>
      <c r="J467" s="7">
        <v>16737.11</v>
      </c>
      <c r="K467" s="6">
        <v>60</v>
      </c>
      <c r="L467" t="s">
        <v>52</v>
      </c>
      <c r="M467" s="8">
        <v>3347.422</v>
      </c>
      <c r="N467" s="7">
        <v>16737.11</v>
      </c>
      <c r="O467" t="s">
        <v>46</v>
      </c>
      <c r="P467" t="s">
        <v>40</v>
      </c>
    </row>
    <row r="468" spans="1:16" x14ac:dyDescent="0.25">
      <c r="A468" s="5">
        <v>45743</v>
      </c>
      <c r="B468" t="s">
        <v>201</v>
      </c>
      <c r="C468" t="s">
        <v>202</v>
      </c>
      <c r="D468" t="s">
        <v>64</v>
      </c>
      <c r="E468" t="s">
        <v>124</v>
      </c>
      <c r="F468" t="s">
        <v>89</v>
      </c>
      <c r="G468" t="s">
        <v>585</v>
      </c>
      <c r="H468" s="6">
        <v>63</v>
      </c>
      <c r="I468" s="7">
        <v>252.33</v>
      </c>
      <c r="J468" s="7">
        <v>15896.96</v>
      </c>
      <c r="K468" s="6">
        <v>45</v>
      </c>
      <c r="L468" t="s">
        <v>38</v>
      </c>
      <c r="M468" s="8">
        <v>3179.3919999999998</v>
      </c>
      <c r="N468" s="7">
        <v>15896.96</v>
      </c>
      <c r="O468" t="s">
        <v>46</v>
      </c>
      <c r="P468" t="s">
        <v>40</v>
      </c>
    </row>
    <row r="469" spans="1:16" x14ac:dyDescent="0.25">
      <c r="A469" s="5">
        <v>45975</v>
      </c>
      <c r="B469" t="s">
        <v>110</v>
      </c>
      <c r="C469" t="s">
        <v>111</v>
      </c>
      <c r="D469" t="s">
        <v>58</v>
      </c>
      <c r="E469" t="s">
        <v>132</v>
      </c>
      <c r="F469" t="s">
        <v>71</v>
      </c>
      <c r="G469" t="s">
        <v>586</v>
      </c>
      <c r="H469" s="6">
        <v>7</v>
      </c>
      <c r="I469" s="7">
        <v>144.1</v>
      </c>
      <c r="J469" s="7">
        <v>1008.7</v>
      </c>
      <c r="K469" s="6">
        <v>45</v>
      </c>
      <c r="L469" t="s">
        <v>38</v>
      </c>
      <c r="M469" s="8">
        <v>201.74</v>
      </c>
      <c r="N469" s="7">
        <v>1008.7</v>
      </c>
      <c r="O469" t="s">
        <v>46</v>
      </c>
      <c r="P469" t="s">
        <v>40</v>
      </c>
    </row>
    <row r="470" spans="1:16" x14ac:dyDescent="0.25">
      <c r="A470" s="5">
        <v>45854</v>
      </c>
      <c r="B470" t="s">
        <v>77</v>
      </c>
      <c r="C470" t="s">
        <v>78</v>
      </c>
      <c r="D470" t="s">
        <v>58</v>
      </c>
      <c r="E470" t="s">
        <v>154</v>
      </c>
      <c r="F470" t="s">
        <v>89</v>
      </c>
      <c r="G470" t="s">
        <v>587</v>
      </c>
      <c r="H470" s="6">
        <v>72</v>
      </c>
      <c r="I470" s="7">
        <v>134.44999999999999</v>
      </c>
      <c r="J470" s="7">
        <v>9680.2900000000009</v>
      </c>
      <c r="K470" s="6">
        <v>60</v>
      </c>
      <c r="L470" t="s">
        <v>52</v>
      </c>
      <c r="M470" s="8">
        <v>1936.058</v>
      </c>
      <c r="N470" s="7">
        <v>9680.2900000000009</v>
      </c>
      <c r="O470" t="s">
        <v>39</v>
      </c>
      <c r="P470" t="s">
        <v>40</v>
      </c>
    </row>
    <row r="471" spans="1:16" x14ac:dyDescent="0.25">
      <c r="A471" s="5">
        <v>45909</v>
      </c>
      <c r="B471" t="s">
        <v>121</v>
      </c>
      <c r="C471" t="s">
        <v>122</v>
      </c>
      <c r="D471" t="s">
        <v>34</v>
      </c>
      <c r="E471" t="s">
        <v>105</v>
      </c>
      <c r="F471" t="s">
        <v>97</v>
      </c>
      <c r="G471" t="s">
        <v>588</v>
      </c>
      <c r="H471" s="6">
        <v>54</v>
      </c>
      <c r="I471" s="7">
        <v>218.56</v>
      </c>
      <c r="J471" s="7">
        <v>11802.5</v>
      </c>
      <c r="K471" s="6">
        <v>60</v>
      </c>
      <c r="L471" t="s">
        <v>45</v>
      </c>
      <c r="M471" s="8">
        <v>2360.5</v>
      </c>
      <c r="N471" s="7">
        <v>11802.5</v>
      </c>
      <c r="O471" t="s">
        <v>46</v>
      </c>
      <c r="P471" t="s">
        <v>40</v>
      </c>
    </row>
    <row r="472" spans="1:16" x14ac:dyDescent="0.25">
      <c r="A472" s="5">
        <v>45947</v>
      </c>
      <c r="B472" t="s">
        <v>143</v>
      </c>
      <c r="C472" t="s">
        <v>144</v>
      </c>
      <c r="D472" t="s">
        <v>69</v>
      </c>
      <c r="E472" t="s">
        <v>154</v>
      </c>
      <c r="F472" t="s">
        <v>89</v>
      </c>
      <c r="G472" t="s">
        <v>589</v>
      </c>
      <c r="H472" s="6">
        <v>4</v>
      </c>
      <c r="I472" s="7">
        <v>154.72999999999999</v>
      </c>
      <c r="J472" s="7">
        <v>618.91999999999996</v>
      </c>
      <c r="K472" s="6">
        <v>30</v>
      </c>
      <c r="L472" t="s">
        <v>45</v>
      </c>
      <c r="M472" s="8">
        <v>123.78400000000001</v>
      </c>
      <c r="N472" s="7">
        <v>618.91999999999996</v>
      </c>
      <c r="O472" t="s">
        <v>39</v>
      </c>
      <c r="P472" t="s">
        <v>40</v>
      </c>
    </row>
    <row r="473" spans="1:16" x14ac:dyDescent="0.25">
      <c r="A473" s="5">
        <v>45933</v>
      </c>
      <c r="B473" t="s">
        <v>143</v>
      </c>
      <c r="C473" t="s">
        <v>144</v>
      </c>
      <c r="D473" t="s">
        <v>69</v>
      </c>
      <c r="E473" t="s">
        <v>59</v>
      </c>
      <c r="F473" t="s">
        <v>60</v>
      </c>
      <c r="G473" t="s">
        <v>590</v>
      </c>
      <c r="H473" s="6">
        <v>37</v>
      </c>
      <c r="I473" s="7">
        <v>62.03</v>
      </c>
      <c r="J473" s="7">
        <v>2295</v>
      </c>
      <c r="K473" s="6">
        <v>30</v>
      </c>
      <c r="L473" t="s">
        <v>45</v>
      </c>
      <c r="M473" s="8">
        <v>459</v>
      </c>
      <c r="N473" s="7">
        <v>2295</v>
      </c>
      <c r="O473" t="s">
        <v>39</v>
      </c>
      <c r="P473" t="s">
        <v>40</v>
      </c>
    </row>
    <row r="474" spans="1:16" x14ac:dyDescent="0.25">
      <c r="A474" s="5">
        <v>45919</v>
      </c>
      <c r="B474" t="s">
        <v>56</v>
      </c>
      <c r="C474" t="s">
        <v>57</v>
      </c>
      <c r="D474" t="s">
        <v>58</v>
      </c>
      <c r="E474" t="s">
        <v>129</v>
      </c>
      <c r="F474" t="s">
        <v>108</v>
      </c>
      <c r="G474" t="s">
        <v>591</v>
      </c>
      <c r="H474" s="6">
        <v>15</v>
      </c>
      <c r="I474" s="7">
        <v>32.590000000000003</v>
      </c>
      <c r="J474" s="7">
        <v>488.91</v>
      </c>
      <c r="K474" s="6">
        <v>60</v>
      </c>
      <c r="L474" t="s">
        <v>38</v>
      </c>
      <c r="M474" s="8">
        <v>97.781999999999996</v>
      </c>
      <c r="N474" s="7">
        <v>488.91</v>
      </c>
      <c r="O474" t="s">
        <v>46</v>
      </c>
      <c r="P474" t="s">
        <v>40</v>
      </c>
    </row>
    <row r="475" spans="1:16" x14ac:dyDescent="0.25">
      <c r="A475" s="5">
        <v>45679</v>
      </c>
      <c r="B475" t="s">
        <v>94</v>
      </c>
      <c r="C475" t="s">
        <v>95</v>
      </c>
      <c r="D475" t="s">
        <v>34</v>
      </c>
      <c r="E475" t="s">
        <v>70</v>
      </c>
      <c r="F475" t="s">
        <v>71</v>
      </c>
      <c r="G475" t="s">
        <v>592</v>
      </c>
      <c r="H475" s="6">
        <v>57</v>
      </c>
      <c r="I475" s="7">
        <v>201.47</v>
      </c>
      <c r="J475" s="7">
        <v>11483.99</v>
      </c>
      <c r="K475" s="6">
        <v>60</v>
      </c>
      <c r="L475" t="s">
        <v>38</v>
      </c>
      <c r="M475" s="8">
        <v>2296.7979999999998</v>
      </c>
      <c r="N475" s="7">
        <v>11483.99</v>
      </c>
      <c r="O475" t="s">
        <v>46</v>
      </c>
      <c r="P475" t="s">
        <v>40</v>
      </c>
    </row>
    <row r="476" spans="1:16" x14ac:dyDescent="0.25">
      <c r="A476" s="5">
        <v>45992</v>
      </c>
      <c r="B476" t="s">
        <v>32</v>
      </c>
      <c r="C476" t="s">
        <v>33</v>
      </c>
      <c r="D476" t="s">
        <v>34</v>
      </c>
      <c r="E476" t="s">
        <v>43</v>
      </c>
      <c r="F476" t="s">
        <v>36</v>
      </c>
      <c r="G476" t="s">
        <v>593</v>
      </c>
      <c r="H476" s="6">
        <v>32</v>
      </c>
      <c r="I476" s="7">
        <v>160.63</v>
      </c>
      <c r="J476" s="7">
        <v>5140.24</v>
      </c>
      <c r="K476" s="6">
        <v>45</v>
      </c>
      <c r="L476" t="s">
        <v>38</v>
      </c>
      <c r="M476" s="8">
        <v>1028.048</v>
      </c>
      <c r="N476" s="7">
        <v>5140.24</v>
      </c>
      <c r="O476" t="s">
        <v>46</v>
      </c>
      <c r="P476" t="s">
        <v>40</v>
      </c>
    </row>
    <row r="477" spans="1:16" x14ac:dyDescent="0.25">
      <c r="A477" s="5">
        <v>45702</v>
      </c>
      <c r="B477" t="s">
        <v>100</v>
      </c>
      <c r="C477" t="s">
        <v>101</v>
      </c>
      <c r="D477" t="s">
        <v>69</v>
      </c>
      <c r="E477" t="s">
        <v>149</v>
      </c>
      <c r="F477" t="s">
        <v>60</v>
      </c>
      <c r="G477" t="s">
        <v>594</v>
      </c>
      <c r="H477" s="6">
        <v>57</v>
      </c>
      <c r="I477" s="7">
        <v>191.84</v>
      </c>
      <c r="J477" s="7">
        <v>10934.84</v>
      </c>
      <c r="K477" s="6">
        <v>30</v>
      </c>
      <c r="L477" t="s">
        <v>38</v>
      </c>
      <c r="M477" s="8">
        <v>2186.9679999999998</v>
      </c>
      <c r="N477" s="7">
        <v>10934.84</v>
      </c>
      <c r="O477" t="s">
        <v>46</v>
      </c>
      <c r="P477" t="s">
        <v>40</v>
      </c>
    </row>
    <row r="478" spans="1:16" x14ac:dyDescent="0.25">
      <c r="A478" s="5">
        <v>45970</v>
      </c>
      <c r="B478" t="s">
        <v>201</v>
      </c>
      <c r="C478" t="s">
        <v>202</v>
      </c>
      <c r="D478" t="s">
        <v>64</v>
      </c>
      <c r="E478" t="s">
        <v>70</v>
      </c>
      <c r="F478" t="s">
        <v>71</v>
      </c>
      <c r="G478" t="s">
        <v>595</v>
      </c>
      <c r="H478" s="6">
        <v>55</v>
      </c>
      <c r="I478" s="7">
        <v>130.44999999999999</v>
      </c>
      <c r="J478" s="7">
        <v>7174.7</v>
      </c>
      <c r="K478" s="6">
        <v>30</v>
      </c>
      <c r="L478" t="s">
        <v>52</v>
      </c>
      <c r="M478" s="8">
        <v>1434.94</v>
      </c>
      <c r="N478" s="7">
        <v>7174.7</v>
      </c>
      <c r="O478" t="s">
        <v>46</v>
      </c>
      <c r="P478" t="s">
        <v>40</v>
      </c>
    </row>
    <row r="479" spans="1:16" x14ac:dyDescent="0.25">
      <c r="A479" s="5">
        <v>45688</v>
      </c>
      <c r="B479" t="s">
        <v>94</v>
      </c>
      <c r="C479" t="s">
        <v>95</v>
      </c>
      <c r="D479" t="s">
        <v>34</v>
      </c>
      <c r="E479" t="s">
        <v>135</v>
      </c>
      <c r="F479" t="s">
        <v>54</v>
      </c>
      <c r="G479" t="s">
        <v>596</v>
      </c>
      <c r="H479" s="6">
        <v>73</v>
      </c>
      <c r="I479" s="7">
        <v>296.68</v>
      </c>
      <c r="J479" s="7">
        <v>21657.52</v>
      </c>
      <c r="K479" s="6">
        <v>45</v>
      </c>
      <c r="L479" t="s">
        <v>52</v>
      </c>
      <c r="M479" s="8">
        <v>4331.5039999999999</v>
      </c>
      <c r="N479" s="7">
        <v>21657.52</v>
      </c>
      <c r="O479" t="s">
        <v>46</v>
      </c>
      <c r="P479" t="s">
        <v>40</v>
      </c>
    </row>
    <row r="480" spans="1:16" x14ac:dyDescent="0.25">
      <c r="A480" s="5">
        <v>46018</v>
      </c>
      <c r="B480" t="s">
        <v>41</v>
      </c>
      <c r="C480" t="s">
        <v>42</v>
      </c>
      <c r="D480" t="s">
        <v>34</v>
      </c>
      <c r="E480" t="s">
        <v>88</v>
      </c>
      <c r="F480" t="s">
        <v>89</v>
      </c>
      <c r="G480" t="s">
        <v>597</v>
      </c>
      <c r="H480" s="6">
        <v>38</v>
      </c>
      <c r="I480" s="7">
        <v>978.81</v>
      </c>
      <c r="J480" s="7">
        <v>37194.92</v>
      </c>
      <c r="K480" s="6">
        <v>45</v>
      </c>
      <c r="L480" t="s">
        <v>52</v>
      </c>
      <c r="M480" s="8">
        <v>7438.9840000000004</v>
      </c>
      <c r="N480" s="7">
        <v>37194.92</v>
      </c>
      <c r="O480" t="s">
        <v>46</v>
      </c>
      <c r="P480" t="s">
        <v>40</v>
      </c>
    </row>
    <row r="481" spans="1:16" x14ac:dyDescent="0.25">
      <c r="A481" s="5">
        <v>45868</v>
      </c>
      <c r="B481" t="s">
        <v>110</v>
      </c>
      <c r="C481" t="s">
        <v>111</v>
      </c>
      <c r="D481" t="s">
        <v>58</v>
      </c>
      <c r="E481" t="s">
        <v>127</v>
      </c>
      <c r="F481" t="s">
        <v>36</v>
      </c>
      <c r="G481" t="s">
        <v>598</v>
      </c>
      <c r="H481" s="6">
        <v>8</v>
      </c>
      <c r="I481" s="7">
        <v>120.32</v>
      </c>
      <c r="J481" s="7">
        <v>962.56</v>
      </c>
      <c r="K481" s="6">
        <v>45</v>
      </c>
      <c r="L481" t="s">
        <v>52</v>
      </c>
      <c r="M481" s="8">
        <v>192.512</v>
      </c>
      <c r="N481" s="7">
        <v>962.56</v>
      </c>
      <c r="O481" t="s">
        <v>39</v>
      </c>
      <c r="P481" t="s">
        <v>40</v>
      </c>
    </row>
    <row r="482" spans="1:16" x14ac:dyDescent="0.25">
      <c r="A482" s="5">
        <v>45732</v>
      </c>
      <c r="B482" t="s">
        <v>47</v>
      </c>
      <c r="C482" t="s">
        <v>48</v>
      </c>
      <c r="D482" t="s">
        <v>34</v>
      </c>
      <c r="E482" t="s">
        <v>154</v>
      </c>
      <c r="F482" t="s">
        <v>89</v>
      </c>
      <c r="G482" t="s">
        <v>599</v>
      </c>
      <c r="H482" s="6">
        <v>42</v>
      </c>
      <c r="I482" s="7">
        <v>167.77</v>
      </c>
      <c r="J482" s="7">
        <v>7046.4</v>
      </c>
      <c r="K482" s="6">
        <v>30</v>
      </c>
      <c r="L482" t="s">
        <v>52</v>
      </c>
      <c r="M482" s="8">
        <v>1409.28</v>
      </c>
      <c r="N482" s="7">
        <v>7046.4</v>
      </c>
      <c r="O482" t="s">
        <v>39</v>
      </c>
      <c r="P482" t="s">
        <v>40</v>
      </c>
    </row>
    <row r="483" spans="1:16" x14ac:dyDescent="0.25">
      <c r="A483" s="5">
        <v>45953</v>
      </c>
      <c r="B483" t="s">
        <v>91</v>
      </c>
      <c r="C483" t="s">
        <v>92</v>
      </c>
      <c r="D483" t="s">
        <v>64</v>
      </c>
      <c r="E483" t="s">
        <v>107</v>
      </c>
      <c r="F483" t="s">
        <v>108</v>
      </c>
      <c r="G483" t="s">
        <v>600</v>
      </c>
      <c r="H483" s="6">
        <v>35</v>
      </c>
      <c r="I483" s="7">
        <v>44.34</v>
      </c>
      <c r="J483" s="7">
        <v>1551.98</v>
      </c>
      <c r="K483" s="6">
        <v>60</v>
      </c>
      <c r="L483" t="s">
        <v>45</v>
      </c>
      <c r="M483" s="8">
        <v>310.39600000000002</v>
      </c>
      <c r="N483" s="7">
        <v>1551.98</v>
      </c>
      <c r="O483" t="s">
        <v>46</v>
      </c>
      <c r="P483" t="s">
        <v>40</v>
      </c>
    </row>
    <row r="484" spans="1:16" x14ac:dyDescent="0.25">
      <c r="A484" s="5">
        <v>45982</v>
      </c>
      <c r="B484" t="s">
        <v>56</v>
      </c>
      <c r="C484" t="s">
        <v>57</v>
      </c>
      <c r="D484" t="s">
        <v>58</v>
      </c>
      <c r="E484" t="s">
        <v>107</v>
      </c>
      <c r="F484" t="s">
        <v>108</v>
      </c>
      <c r="G484" t="s">
        <v>601</v>
      </c>
      <c r="H484" s="6">
        <v>12</v>
      </c>
      <c r="I484" s="7">
        <v>31</v>
      </c>
      <c r="J484" s="7">
        <v>371.98</v>
      </c>
      <c r="K484" s="6">
        <v>45</v>
      </c>
      <c r="L484" t="s">
        <v>52</v>
      </c>
      <c r="M484" s="8">
        <v>74.396000000000001</v>
      </c>
      <c r="N484" s="7">
        <v>371.98</v>
      </c>
      <c r="O484" t="s">
        <v>46</v>
      </c>
      <c r="P484" t="s">
        <v>40</v>
      </c>
    </row>
    <row r="485" spans="1:16" x14ac:dyDescent="0.25">
      <c r="A485" s="5">
        <v>45846</v>
      </c>
      <c r="B485" t="s">
        <v>91</v>
      </c>
      <c r="C485" t="s">
        <v>92</v>
      </c>
      <c r="D485" t="s">
        <v>64</v>
      </c>
      <c r="E485" t="s">
        <v>115</v>
      </c>
      <c r="F485" t="s">
        <v>60</v>
      </c>
      <c r="G485" t="s">
        <v>602</v>
      </c>
      <c r="H485" s="6">
        <v>59</v>
      </c>
      <c r="I485" s="7">
        <v>246.05</v>
      </c>
      <c r="J485" s="7">
        <v>14516.92</v>
      </c>
      <c r="K485" s="6">
        <v>45</v>
      </c>
      <c r="L485" t="s">
        <v>45</v>
      </c>
      <c r="M485" s="8">
        <v>2903.384</v>
      </c>
      <c r="N485" s="7">
        <v>14516.92</v>
      </c>
      <c r="O485" t="s">
        <v>46</v>
      </c>
      <c r="P485" t="s">
        <v>40</v>
      </c>
    </row>
    <row r="486" spans="1:16" x14ac:dyDescent="0.25">
      <c r="A486" s="5">
        <v>45705</v>
      </c>
      <c r="B486" t="s">
        <v>143</v>
      </c>
      <c r="C486" t="s">
        <v>144</v>
      </c>
      <c r="D486" t="s">
        <v>69</v>
      </c>
      <c r="E486" t="s">
        <v>152</v>
      </c>
      <c r="F486" t="s">
        <v>50</v>
      </c>
      <c r="G486" t="s">
        <v>603</v>
      </c>
      <c r="H486" s="6">
        <v>59</v>
      </c>
      <c r="I486" s="7">
        <v>79.16</v>
      </c>
      <c r="J486" s="7">
        <v>4670.57</v>
      </c>
      <c r="K486" s="6">
        <v>60</v>
      </c>
      <c r="L486" t="s">
        <v>52</v>
      </c>
      <c r="M486" s="8">
        <v>934.11400000000003</v>
      </c>
      <c r="N486" s="7">
        <v>4670.57</v>
      </c>
      <c r="O486" t="s">
        <v>46</v>
      </c>
      <c r="P486" t="s">
        <v>40</v>
      </c>
    </row>
    <row r="487" spans="1:16" x14ac:dyDescent="0.25">
      <c r="A487" s="5">
        <v>45931</v>
      </c>
      <c r="B487" t="s">
        <v>77</v>
      </c>
      <c r="C487" t="s">
        <v>78</v>
      </c>
      <c r="D487" t="s">
        <v>58</v>
      </c>
      <c r="E487" t="s">
        <v>83</v>
      </c>
      <c r="F487" t="s">
        <v>71</v>
      </c>
      <c r="G487" t="s">
        <v>604</v>
      </c>
      <c r="H487" s="6">
        <v>51</v>
      </c>
      <c r="I487" s="7">
        <v>43.45</v>
      </c>
      <c r="J487" s="7">
        <v>2216.0100000000002</v>
      </c>
      <c r="K487" s="6">
        <v>30</v>
      </c>
      <c r="L487" t="s">
        <v>45</v>
      </c>
      <c r="M487" s="8">
        <v>443.202</v>
      </c>
      <c r="N487" s="7">
        <v>2216.0100000000002</v>
      </c>
      <c r="O487" t="s">
        <v>39</v>
      </c>
      <c r="P487" t="s">
        <v>40</v>
      </c>
    </row>
    <row r="488" spans="1:16" x14ac:dyDescent="0.25">
      <c r="A488" s="5">
        <v>45823</v>
      </c>
      <c r="B488" t="s">
        <v>47</v>
      </c>
      <c r="C488" t="s">
        <v>48</v>
      </c>
      <c r="D488" t="s">
        <v>34</v>
      </c>
      <c r="E488" t="s">
        <v>139</v>
      </c>
      <c r="F488" t="s">
        <v>108</v>
      </c>
      <c r="G488" t="s">
        <v>605</v>
      </c>
      <c r="H488" s="6">
        <v>37</v>
      </c>
      <c r="I488" s="7">
        <v>52.56</v>
      </c>
      <c r="J488" s="7">
        <v>1944.56</v>
      </c>
      <c r="K488" s="6">
        <v>45</v>
      </c>
      <c r="L488" t="s">
        <v>52</v>
      </c>
      <c r="M488" s="8">
        <v>388.91199999999998</v>
      </c>
      <c r="N488" s="7">
        <v>1944.56</v>
      </c>
      <c r="O488" t="s">
        <v>46</v>
      </c>
      <c r="P488" t="s">
        <v>40</v>
      </c>
    </row>
    <row r="489" spans="1:16" x14ac:dyDescent="0.25">
      <c r="A489" s="5">
        <v>45906</v>
      </c>
      <c r="B489" t="s">
        <v>41</v>
      </c>
      <c r="C489" t="s">
        <v>42</v>
      </c>
      <c r="D489" t="s">
        <v>34</v>
      </c>
      <c r="E489" t="s">
        <v>124</v>
      </c>
      <c r="F489" t="s">
        <v>89</v>
      </c>
      <c r="G489" t="s">
        <v>606</v>
      </c>
      <c r="H489" s="6">
        <v>44</v>
      </c>
      <c r="I489" s="7">
        <v>99.3</v>
      </c>
      <c r="J489" s="7">
        <v>4369.0200000000004</v>
      </c>
      <c r="K489" s="6">
        <v>60</v>
      </c>
      <c r="L489" t="s">
        <v>38</v>
      </c>
      <c r="M489" s="8">
        <v>873.80399999999997</v>
      </c>
      <c r="N489" s="7">
        <v>4369.0200000000004</v>
      </c>
      <c r="O489" t="s">
        <v>46</v>
      </c>
      <c r="P489" t="s">
        <v>40</v>
      </c>
    </row>
    <row r="490" spans="1:16" x14ac:dyDescent="0.25">
      <c r="A490" s="5">
        <v>45893</v>
      </c>
      <c r="B490" t="s">
        <v>94</v>
      </c>
      <c r="C490" t="s">
        <v>95</v>
      </c>
      <c r="D490" t="s">
        <v>34</v>
      </c>
      <c r="E490" t="s">
        <v>43</v>
      </c>
      <c r="F490" t="s">
        <v>36</v>
      </c>
      <c r="G490" t="s">
        <v>607</v>
      </c>
      <c r="H490" s="6">
        <v>3</v>
      </c>
      <c r="I490" s="7">
        <v>164.4</v>
      </c>
      <c r="J490" s="7">
        <v>493.21</v>
      </c>
      <c r="K490" s="6">
        <v>30</v>
      </c>
      <c r="L490" t="s">
        <v>38</v>
      </c>
      <c r="M490" s="8">
        <v>98.641999999999996</v>
      </c>
      <c r="N490" s="7">
        <v>493.21</v>
      </c>
      <c r="O490" t="s">
        <v>46</v>
      </c>
      <c r="P490" t="s">
        <v>40</v>
      </c>
    </row>
    <row r="491" spans="1:16" x14ac:dyDescent="0.25">
      <c r="A491" s="5">
        <v>45877</v>
      </c>
      <c r="B491" t="s">
        <v>62</v>
      </c>
      <c r="C491" t="s">
        <v>63</v>
      </c>
      <c r="D491" t="s">
        <v>64</v>
      </c>
      <c r="E491" t="s">
        <v>107</v>
      </c>
      <c r="F491" t="s">
        <v>108</v>
      </c>
      <c r="G491" t="s">
        <v>608</v>
      </c>
      <c r="H491" s="6">
        <v>26</v>
      </c>
      <c r="I491" s="7">
        <v>121.8</v>
      </c>
      <c r="J491" s="7">
        <v>3166.83</v>
      </c>
      <c r="K491" s="6">
        <v>60</v>
      </c>
      <c r="L491" t="s">
        <v>38</v>
      </c>
      <c r="M491" s="8">
        <v>633.36599999999999</v>
      </c>
      <c r="N491" s="7">
        <v>3166.83</v>
      </c>
      <c r="O491" t="s">
        <v>46</v>
      </c>
      <c r="P491" t="s">
        <v>40</v>
      </c>
    </row>
    <row r="492" spans="1:16" x14ac:dyDescent="0.25">
      <c r="A492" s="5">
        <v>45798</v>
      </c>
      <c r="B492" t="s">
        <v>100</v>
      </c>
      <c r="C492" t="s">
        <v>101</v>
      </c>
      <c r="D492" t="s">
        <v>69</v>
      </c>
      <c r="E492" t="s">
        <v>59</v>
      </c>
      <c r="F492" t="s">
        <v>60</v>
      </c>
      <c r="G492" t="s">
        <v>609</v>
      </c>
      <c r="H492" s="6">
        <v>12</v>
      </c>
      <c r="I492" s="7">
        <v>219.04</v>
      </c>
      <c r="J492" s="7">
        <v>2628.45</v>
      </c>
      <c r="K492" s="6">
        <v>60</v>
      </c>
      <c r="L492" t="s">
        <v>45</v>
      </c>
      <c r="M492" s="8">
        <v>525.69000000000005</v>
      </c>
      <c r="N492" s="7">
        <v>2628.45</v>
      </c>
      <c r="O492" t="s">
        <v>39</v>
      </c>
      <c r="P492" t="s">
        <v>40</v>
      </c>
    </row>
    <row r="493" spans="1:16" x14ac:dyDescent="0.25">
      <c r="A493" s="5">
        <v>45998</v>
      </c>
      <c r="B493" t="s">
        <v>118</v>
      </c>
      <c r="C493" t="s">
        <v>119</v>
      </c>
      <c r="D493" t="s">
        <v>64</v>
      </c>
      <c r="E493" t="s">
        <v>75</v>
      </c>
      <c r="F493" t="s">
        <v>36</v>
      </c>
      <c r="G493" t="s">
        <v>610</v>
      </c>
      <c r="H493" s="6">
        <v>22</v>
      </c>
      <c r="I493" s="7">
        <v>146.69999999999999</v>
      </c>
      <c r="J493" s="7">
        <v>3227.29</v>
      </c>
      <c r="K493" s="6">
        <v>30</v>
      </c>
      <c r="L493" t="s">
        <v>45</v>
      </c>
      <c r="M493" s="8">
        <v>645.45799999999997</v>
      </c>
      <c r="N493" s="7">
        <v>3227.29</v>
      </c>
      <c r="O493" t="s">
        <v>46</v>
      </c>
      <c r="P493" t="s">
        <v>40</v>
      </c>
    </row>
    <row r="494" spans="1:16" x14ac:dyDescent="0.25">
      <c r="A494" s="5">
        <v>46016</v>
      </c>
      <c r="B494" t="s">
        <v>32</v>
      </c>
      <c r="C494" t="s">
        <v>33</v>
      </c>
      <c r="D494" t="s">
        <v>34</v>
      </c>
      <c r="E494" t="s">
        <v>115</v>
      </c>
      <c r="F494" t="s">
        <v>60</v>
      </c>
      <c r="G494" t="s">
        <v>611</v>
      </c>
      <c r="H494" s="6">
        <v>30</v>
      </c>
      <c r="I494" s="7">
        <v>229.56</v>
      </c>
      <c r="J494" s="7">
        <v>6886.91</v>
      </c>
      <c r="K494" s="6">
        <v>45</v>
      </c>
      <c r="L494" t="s">
        <v>52</v>
      </c>
      <c r="M494" s="8">
        <v>1377.3820000000001</v>
      </c>
      <c r="N494" s="7">
        <v>6886.91</v>
      </c>
      <c r="O494" t="s">
        <v>46</v>
      </c>
      <c r="P494" t="s">
        <v>40</v>
      </c>
    </row>
    <row r="495" spans="1:16" x14ac:dyDescent="0.25">
      <c r="A495" s="5">
        <v>45767</v>
      </c>
      <c r="B495" t="s">
        <v>100</v>
      </c>
      <c r="C495" t="s">
        <v>101</v>
      </c>
      <c r="D495" t="s">
        <v>69</v>
      </c>
      <c r="E495" t="s">
        <v>127</v>
      </c>
      <c r="F495" t="s">
        <v>36</v>
      </c>
      <c r="G495" t="s">
        <v>612</v>
      </c>
      <c r="H495" s="6">
        <v>62</v>
      </c>
      <c r="I495" s="7">
        <v>40.47</v>
      </c>
      <c r="J495" s="7">
        <v>2509.44</v>
      </c>
      <c r="K495" s="6">
        <v>30</v>
      </c>
      <c r="L495" t="s">
        <v>38</v>
      </c>
      <c r="M495" s="8">
        <v>501.88799999999998</v>
      </c>
      <c r="N495" s="7">
        <v>2509.44</v>
      </c>
      <c r="O495" t="s">
        <v>39</v>
      </c>
      <c r="P495" t="s">
        <v>40</v>
      </c>
    </row>
    <row r="496" spans="1:16" x14ac:dyDescent="0.25">
      <c r="A496" s="5">
        <v>46006</v>
      </c>
      <c r="B496" t="s">
        <v>32</v>
      </c>
      <c r="C496" t="s">
        <v>33</v>
      </c>
      <c r="D496" t="s">
        <v>34</v>
      </c>
      <c r="E496" t="s">
        <v>53</v>
      </c>
      <c r="F496" t="s">
        <v>54</v>
      </c>
      <c r="G496" t="s">
        <v>613</v>
      </c>
      <c r="H496" s="6">
        <v>57</v>
      </c>
      <c r="I496" s="7">
        <v>577.77</v>
      </c>
      <c r="J496" s="7">
        <v>32933</v>
      </c>
      <c r="K496" s="6">
        <v>30</v>
      </c>
      <c r="L496" t="s">
        <v>38</v>
      </c>
      <c r="M496" s="8">
        <v>6586.6</v>
      </c>
      <c r="N496" s="7">
        <v>32933</v>
      </c>
      <c r="O496" t="s">
        <v>46</v>
      </c>
      <c r="P496" t="s">
        <v>40</v>
      </c>
    </row>
    <row r="497" spans="1:16" x14ac:dyDescent="0.25">
      <c r="A497" s="5">
        <v>45874</v>
      </c>
      <c r="B497" t="s">
        <v>143</v>
      </c>
      <c r="C497" t="s">
        <v>144</v>
      </c>
      <c r="D497" t="s">
        <v>69</v>
      </c>
      <c r="E497" t="s">
        <v>83</v>
      </c>
      <c r="F497" t="s">
        <v>71</v>
      </c>
      <c r="G497" t="s">
        <v>614</v>
      </c>
      <c r="H497" s="6">
        <v>17</v>
      </c>
      <c r="I497" s="7">
        <v>127.78</v>
      </c>
      <c r="J497" s="7">
        <v>2172.19</v>
      </c>
      <c r="K497" s="6">
        <v>45</v>
      </c>
      <c r="L497" t="s">
        <v>38</v>
      </c>
      <c r="M497" s="8">
        <v>434.43799999999999</v>
      </c>
      <c r="N497" s="7">
        <v>2172.19</v>
      </c>
      <c r="O497" t="s">
        <v>39</v>
      </c>
      <c r="P497" t="s">
        <v>40</v>
      </c>
    </row>
    <row r="498" spans="1:16" x14ac:dyDescent="0.25">
      <c r="A498" s="5">
        <v>45710</v>
      </c>
      <c r="B498" t="s">
        <v>100</v>
      </c>
      <c r="C498" t="s">
        <v>101</v>
      </c>
      <c r="D498" t="s">
        <v>69</v>
      </c>
      <c r="E498" t="s">
        <v>204</v>
      </c>
      <c r="F498" t="s">
        <v>97</v>
      </c>
      <c r="G498" t="s">
        <v>615</v>
      </c>
      <c r="H498" s="6">
        <v>14</v>
      </c>
      <c r="I498" s="7">
        <v>169.58</v>
      </c>
      <c r="J498" s="7">
        <v>2374.0500000000002</v>
      </c>
      <c r="K498" s="6">
        <v>45</v>
      </c>
      <c r="L498" t="s">
        <v>45</v>
      </c>
      <c r="M498" s="8">
        <v>474.81</v>
      </c>
      <c r="N498" s="7">
        <v>2374.0500000000002</v>
      </c>
      <c r="O498" t="s">
        <v>46</v>
      </c>
      <c r="P498" t="s">
        <v>40</v>
      </c>
    </row>
    <row r="499" spans="1:16" x14ac:dyDescent="0.25">
      <c r="A499" s="5">
        <v>45726</v>
      </c>
      <c r="B499" t="s">
        <v>85</v>
      </c>
      <c r="C499" t="s">
        <v>86</v>
      </c>
      <c r="D499" t="s">
        <v>58</v>
      </c>
      <c r="E499" t="s">
        <v>88</v>
      </c>
      <c r="F499" t="s">
        <v>89</v>
      </c>
      <c r="G499" t="s">
        <v>616</v>
      </c>
      <c r="H499" s="6">
        <v>19</v>
      </c>
      <c r="I499" s="7">
        <v>162.11000000000001</v>
      </c>
      <c r="J499" s="7">
        <v>3080.08</v>
      </c>
      <c r="K499" s="6">
        <v>30</v>
      </c>
      <c r="L499" t="s">
        <v>52</v>
      </c>
      <c r="M499" s="8">
        <v>616.01599999999996</v>
      </c>
      <c r="N499" s="7">
        <v>3080.08</v>
      </c>
      <c r="O499" t="s">
        <v>46</v>
      </c>
      <c r="P499" t="s">
        <v>40</v>
      </c>
    </row>
    <row r="500" spans="1:16" x14ac:dyDescent="0.25">
      <c r="A500" s="5">
        <v>45990</v>
      </c>
      <c r="B500" t="s">
        <v>121</v>
      </c>
      <c r="C500" t="s">
        <v>122</v>
      </c>
      <c r="D500" t="s">
        <v>34</v>
      </c>
      <c r="E500" t="s">
        <v>152</v>
      </c>
      <c r="F500" t="s">
        <v>50</v>
      </c>
      <c r="G500" t="s">
        <v>617</v>
      </c>
      <c r="H500" s="6">
        <v>22</v>
      </c>
      <c r="I500" s="7">
        <v>74.14</v>
      </c>
      <c r="J500" s="7">
        <v>1630.99</v>
      </c>
      <c r="K500" s="6">
        <v>45</v>
      </c>
      <c r="L500" t="s">
        <v>45</v>
      </c>
      <c r="M500" s="8">
        <v>326.19799999999998</v>
      </c>
      <c r="N500" s="7">
        <v>1630.99</v>
      </c>
      <c r="O500" t="s">
        <v>46</v>
      </c>
      <c r="P500" t="s">
        <v>40</v>
      </c>
    </row>
    <row r="501" spans="1:16" x14ac:dyDescent="0.25">
      <c r="A501" s="5">
        <v>45735</v>
      </c>
      <c r="B501" t="s">
        <v>47</v>
      </c>
      <c r="C501" t="s">
        <v>48</v>
      </c>
      <c r="D501" t="s">
        <v>34</v>
      </c>
      <c r="E501" t="s">
        <v>53</v>
      </c>
      <c r="F501" t="s">
        <v>54</v>
      </c>
      <c r="G501" t="s">
        <v>618</v>
      </c>
      <c r="H501" s="6">
        <v>53</v>
      </c>
      <c r="I501" s="7">
        <v>116.85</v>
      </c>
      <c r="J501" s="7">
        <v>6193.24</v>
      </c>
      <c r="K501" s="6">
        <v>60</v>
      </c>
      <c r="L501" t="s">
        <v>52</v>
      </c>
      <c r="M501" s="8">
        <v>1238.6479999999999</v>
      </c>
      <c r="N501" s="7">
        <v>6193.24</v>
      </c>
      <c r="O501" t="s">
        <v>46</v>
      </c>
      <c r="P501" t="s">
        <v>40</v>
      </c>
    </row>
    <row r="502" spans="1:16" x14ac:dyDescent="0.25">
      <c r="A502" s="5">
        <v>45709</v>
      </c>
      <c r="B502" t="s">
        <v>85</v>
      </c>
      <c r="C502" t="s">
        <v>86</v>
      </c>
      <c r="D502" t="s">
        <v>58</v>
      </c>
      <c r="E502" t="s">
        <v>135</v>
      </c>
      <c r="F502" t="s">
        <v>54</v>
      </c>
      <c r="G502" t="s">
        <v>619</v>
      </c>
      <c r="H502" s="6">
        <v>18</v>
      </c>
      <c r="I502" s="7">
        <v>416.07</v>
      </c>
      <c r="J502" s="7">
        <v>7489.3</v>
      </c>
      <c r="K502" s="6">
        <v>30</v>
      </c>
      <c r="L502" t="s">
        <v>52</v>
      </c>
      <c r="M502" s="8">
        <v>1497.86</v>
      </c>
      <c r="N502" s="7">
        <v>7489.3</v>
      </c>
      <c r="O502" t="s">
        <v>46</v>
      </c>
      <c r="P502" t="s">
        <v>40</v>
      </c>
    </row>
    <row r="503" spans="1:16" x14ac:dyDescent="0.25">
      <c r="A503" s="5">
        <v>45877</v>
      </c>
      <c r="B503" t="s">
        <v>121</v>
      </c>
      <c r="C503" t="s">
        <v>122</v>
      </c>
      <c r="D503" t="s">
        <v>34</v>
      </c>
      <c r="E503" t="s">
        <v>96</v>
      </c>
      <c r="F503" t="s">
        <v>97</v>
      </c>
      <c r="G503" t="s">
        <v>620</v>
      </c>
      <c r="H503" s="6">
        <v>41</v>
      </c>
      <c r="I503" s="7">
        <v>857.45</v>
      </c>
      <c r="J503" s="7">
        <v>35155.410000000003</v>
      </c>
      <c r="K503" s="6">
        <v>30</v>
      </c>
      <c r="L503" t="s">
        <v>38</v>
      </c>
      <c r="M503" s="8">
        <v>7031.0820000000003</v>
      </c>
      <c r="N503" s="7">
        <v>35155.410000000003</v>
      </c>
      <c r="O503" t="s">
        <v>46</v>
      </c>
      <c r="P503" t="s">
        <v>40</v>
      </c>
    </row>
    <row r="504" spans="1:16" x14ac:dyDescent="0.25">
      <c r="A504" s="5">
        <v>45941</v>
      </c>
      <c r="B504" t="s">
        <v>47</v>
      </c>
      <c r="C504" t="s">
        <v>48</v>
      </c>
      <c r="D504" t="s">
        <v>34</v>
      </c>
      <c r="E504" t="s">
        <v>127</v>
      </c>
      <c r="F504" t="s">
        <v>36</v>
      </c>
      <c r="G504" t="s">
        <v>621</v>
      </c>
      <c r="H504" s="6">
        <v>77</v>
      </c>
      <c r="I504" s="7">
        <v>30.12</v>
      </c>
      <c r="J504" s="7">
        <v>2319.21</v>
      </c>
      <c r="K504" s="6">
        <v>60</v>
      </c>
      <c r="L504" t="s">
        <v>52</v>
      </c>
      <c r="M504" s="8">
        <v>463.84199999999998</v>
      </c>
      <c r="N504" s="7">
        <v>2319.21</v>
      </c>
      <c r="O504" t="s">
        <v>39</v>
      </c>
      <c r="P504" t="s">
        <v>40</v>
      </c>
    </row>
    <row r="505" spans="1:16" x14ac:dyDescent="0.25">
      <c r="A505" s="5">
        <v>45671</v>
      </c>
      <c r="B505" t="s">
        <v>91</v>
      </c>
      <c r="C505" t="s">
        <v>92</v>
      </c>
      <c r="D505" t="s">
        <v>64</v>
      </c>
      <c r="E505" t="s">
        <v>115</v>
      </c>
      <c r="F505" t="s">
        <v>60</v>
      </c>
      <c r="G505" t="s">
        <v>622</v>
      </c>
      <c r="H505" s="6">
        <v>39</v>
      </c>
      <c r="I505" s="7">
        <v>299.83999999999997</v>
      </c>
      <c r="J505" s="7">
        <v>11693.9</v>
      </c>
      <c r="K505" s="6">
        <v>30</v>
      </c>
      <c r="L505" t="s">
        <v>52</v>
      </c>
      <c r="M505" s="8">
        <v>2338.7800000000002</v>
      </c>
      <c r="N505" s="7">
        <v>11693.9</v>
      </c>
      <c r="O505" t="s">
        <v>46</v>
      </c>
      <c r="P505" t="s">
        <v>40</v>
      </c>
    </row>
    <row r="506" spans="1:16" x14ac:dyDescent="0.25">
      <c r="A506" s="5">
        <v>45858</v>
      </c>
      <c r="B506" t="s">
        <v>94</v>
      </c>
      <c r="C506" t="s">
        <v>95</v>
      </c>
      <c r="D506" t="s">
        <v>34</v>
      </c>
      <c r="E506" t="s">
        <v>53</v>
      </c>
      <c r="F506" t="s">
        <v>54</v>
      </c>
      <c r="G506" t="s">
        <v>623</v>
      </c>
      <c r="H506" s="6">
        <v>38</v>
      </c>
      <c r="I506" s="7">
        <v>174.79</v>
      </c>
      <c r="J506" s="7">
        <v>6642.17</v>
      </c>
      <c r="K506" s="6">
        <v>60</v>
      </c>
      <c r="L506" t="s">
        <v>38</v>
      </c>
      <c r="M506" s="8">
        <v>1328.434</v>
      </c>
      <c r="N506" s="7">
        <v>6642.17</v>
      </c>
      <c r="O506" t="s">
        <v>46</v>
      </c>
      <c r="P506" t="s">
        <v>40</v>
      </c>
    </row>
    <row r="507" spans="1:16" x14ac:dyDescent="0.25">
      <c r="A507" s="5">
        <v>45715</v>
      </c>
      <c r="B507" t="s">
        <v>143</v>
      </c>
      <c r="C507" t="s">
        <v>144</v>
      </c>
      <c r="D507" t="s">
        <v>69</v>
      </c>
      <c r="E507" t="s">
        <v>139</v>
      </c>
      <c r="F507" t="s">
        <v>108</v>
      </c>
      <c r="G507" t="s">
        <v>624</v>
      </c>
      <c r="H507" s="6">
        <v>31</v>
      </c>
      <c r="I507" s="7">
        <v>57.37</v>
      </c>
      <c r="J507" s="7">
        <v>1778.55</v>
      </c>
      <c r="K507" s="6">
        <v>45</v>
      </c>
      <c r="L507" t="s">
        <v>52</v>
      </c>
      <c r="M507" s="8">
        <v>355.71</v>
      </c>
      <c r="N507" s="7">
        <v>1778.55</v>
      </c>
      <c r="O507" t="s">
        <v>46</v>
      </c>
      <c r="P507" t="s">
        <v>40</v>
      </c>
    </row>
    <row r="508" spans="1:16" x14ac:dyDescent="0.25">
      <c r="A508" s="5">
        <v>45664</v>
      </c>
      <c r="B508" t="s">
        <v>91</v>
      </c>
      <c r="C508" t="s">
        <v>92</v>
      </c>
      <c r="D508" t="s">
        <v>64</v>
      </c>
      <c r="E508" t="s">
        <v>43</v>
      </c>
      <c r="F508" t="s">
        <v>36</v>
      </c>
      <c r="G508" t="s">
        <v>625</v>
      </c>
      <c r="H508" s="6">
        <v>47</v>
      </c>
      <c r="I508" s="7">
        <v>46.93</v>
      </c>
      <c r="J508" s="7">
        <v>2205.52</v>
      </c>
      <c r="K508" s="6">
        <v>45</v>
      </c>
      <c r="L508" t="s">
        <v>38</v>
      </c>
      <c r="M508" s="8">
        <v>441.10399999999998</v>
      </c>
      <c r="N508" s="7">
        <v>2205.52</v>
      </c>
      <c r="O508" t="s">
        <v>46</v>
      </c>
      <c r="P508" t="s">
        <v>40</v>
      </c>
    </row>
    <row r="509" spans="1:16" x14ac:dyDescent="0.25">
      <c r="A509" s="5">
        <v>45937</v>
      </c>
      <c r="B509" t="s">
        <v>32</v>
      </c>
      <c r="C509" t="s">
        <v>33</v>
      </c>
      <c r="D509" t="s">
        <v>34</v>
      </c>
      <c r="E509" t="s">
        <v>96</v>
      </c>
      <c r="F509" t="s">
        <v>97</v>
      </c>
      <c r="G509" t="s">
        <v>626</v>
      </c>
      <c r="H509" s="6">
        <v>23</v>
      </c>
      <c r="I509" s="7">
        <v>186.53</v>
      </c>
      <c r="J509" s="7">
        <v>4290.17</v>
      </c>
      <c r="K509" s="6">
        <v>45</v>
      </c>
      <c r="L509" t="s">
        <v>38</v>
      </c>
      <c r="M509" s="8">
        <v>858.03399999999999</v>
      </c>
      <c r="N509" s="7">
        <v>4290.17</v>
      </c>
      <c r="O509" t="s">
        <v>46</v>
      </c>
      <c r="P509" t="s">
        <v>40</v>
      </c>
    </row>
    <row r="510" spans="1:16" x14ac:dyDescent="0.25">
      <c r="A510" s="5">
        <v>45792</v>
      </c>
      <c r="B510" t="s">
        <v>62</v>
      </c>
      <c r="C510" t="s">
        <v>63</v>
      </c>
      <c r="D510" t="s">
        <v>64</v>
      </c>
      <c r="E510" t="s">
        <v>127</v>
      </c>
      <c r="F510" t="s">
        <v>36</v>
      </c>
      <c r="G510" t="s">
        <v>627</v>
      </c>
      <c r="H510" s="6">
        <v>28</v>
      </c>
      <c r="I510" s="7">
        <v>66.760000000000005</v>
      </c>
      <c r="J510" s="7">
        <v>1869.22</v>
      </c>
      <c r="K510" s="6">
        <v>30</v>
      </c>
      <c r="L510" t="s">
        <v>38</v>
      </c>
      <c r="M510" s="8">
        <v>373.84399999999999</v>
      </c>
      <c r="N510" s="7">
        <v>1869.22</v>
      </c>
      <c r="O510" t="s">
        <v>39</v>
      </c>
      <c r="P510" t="s">
        <v>40</v>
      </c>
    </row>
    <row r="511" spans="1:16" x14ac:dyDescent="0.25">
      <c r="A511" s="5">
        <v>46022</v>
      </c>
      <c r="B511" t="s">
        <v>67</v>
      </c>
      <c r="C511" t="s">
        <v>68</v>
      </c>
      <c r="D511" t="s">
        <v>69</v>
      </c>
      <c r="E511" t="s">
        <v>115</v>
      </c>
      <c r="F511" t="s">
        <v>60</v>
      </c>
      <c r="G511" t="s">
        <v>628</v>
      </c>
      <c r="H511" s="6">
        <v>65</v>
      </c>
      <c r="I511" s="7">
        <v>139.30000000000001</v>
      </c>
      <c r="J511" s="7">
        <v>9054.27</v>
      </c>
      <c r="K511" s="6">
        <v>45</v>
      </c>
      <c r="L511" t="s">
        <v>45</v>
      </c>
      <c r="M511" s="8">
        <v>1810.854</v>
      </c>
      <c r="N511" s="7">
        <v>9054.27</v>
      </c>
      <c r="O511" t="s">
        <v>46</v>
      </c>
      <c r="P511" t="s">
        <v>40</v>
      </c>
    </row>
    <row r="512" spans="1:16" x14ac:dyDescent="0.25">
      <c r="A512" s="5">
        <v>45985</v>
      </c>
      <c r="B512" t="s">
        <v>73</v>
      </c>
      <c r="C512" t="s">
        <v>74</v>
      </c>
      <c r="D512" t="s">
        <v>69</v>
      </c>
      <c r="E512" t="s">
        <v>204</v>
      </c>
      <c r="F512" t="s">
        <v>97</v>
      </c>
      <c r="G512" t="s">
        <v>629</v>
      </c>
      <c r="H512" s="6">
        <v>69</v>
      </c>
      <c r="I512" s="7">
        <v>348.12</v>
      </c>
      <c r="J512" s="7">
        <v>24019.96</v>
      </c>
      <c r="K512" s="6">
        <v>60</v>
      </c>
      <c r="L512" t="s">
        <v>52</v>
      </c>
      <c r="M512" s="8">
        <v>4803.9920000000002</v>
      </c>
      <c r="N512" s="7">
        <v>24019.96</v>
      </c>
      <c r="O512" t="s">
        <v>46</v>
      </c>
      <c r="P512" t="s">
        <v>40</v>
      </c>
    </row>
    <row r="513" spans="1:16" x14ac:dyDescent="0.25">
      <c r="A513" s="5">
        <v>45816</v>
      </c>
      <c r="B513" t="s">
        <v>143</v>
      </c>
      <c r="C513" t="s">
        <v>144</v>
      </c>
      <c r="D513" t="s">
        <v>69</v>
      </c>
      <c r="E513" t="s">
        <v>59</v>
      </c>
      <c r="F513" t="s">
        <v>630</v>
      </c>
      <c r="G513" t="s">
        <v>631</v>
      </c>
      <c r="H513" s="6">
        <v>11</v>
      </c>
      <c r="I513" s="7">
        <v>214</v>
      </c>
      <c r="J513" s="7">
        <v>2354.0500000000002</v>
      </c>
      <c r="K513" s="6">
        <v>60</v>
      </c>
      <c r="L513" t="s">
        <v>38</v>
      </c>
      <c r="M513" s="8">
        <v>470.81</v>
      </c>
      <c r="N513" s="7">
        <v>2354.0500000000002</v>
      </c>
      <c r="O513" t="s">
        <v>39</v>
      </c>
      <c r="P513" t="s">
        <v>40</v>
      </c>
    </row>
    <row r="514" spans="1:16" x14ac:dyDescent="0.25">
      <c r="A514" s="5">
        <v>45958</v>
      </c>
      <c r="B514" t="s">
        <v>118</v>
      </c>
      <c r="C514" t="s">
        <v>119</v>
      </c>
      <c r="D514" t="s">
        <v>64</v>
      </c>
      <c r="E514" t="s">
        <v>132</v>
      </c>
      <c r="F514" t="s">
        <v>71</v>
      </c>
      <c r="G514" t="s">
        <v>632</v>
      </c>
      <c r="H514" s="6">
        <v>9</v>
      </c>
      <c r="I514" s="7">
        <v>83.3</v>
      </c>
      <c r="J514" s="7">
        <v>749.71</v>
      </c>
      <c r="K514" s="6">
        <v>45</v>
      </c>
      <c r="L514" t="s">
        <v>52</v>
      </c>
      <c r="M514" s="8">
        <v>149.94200000000001</v>
      </c>
      <c r="N514" s="7">
        <v>749.71</v>
      </c>
      <c r="O514" t="s">
        <v>46</v>
      </c>
      <c r="P514" t="s">
        <v>40</v>
      </c>
    </row>
    <row r="515" spans="1:16" x14ac:dyDescent="0.25">
      <c r="A515" s="5">
        <v>45783</v>
      </c>
      <c r="B515" t="s">
        <v>100</v>
      </c>
      <c r="C515" t="s">
        <v>101</v>
      </c>
      <c r="D515" t="s">
        <v>69</v>
      </c>
      <c r="E515" t="s">
        <v>135</v>
      </c>
      <c r="F515" t="s">
        <v>54</v>
      </c>
      <c r="G515" t="s">
        <v>633</v>
      </c>
      <c r="H515" s="6">
        <v>12</v>
      </c>
      <c r="I515" s="7">
        <v>151.76</v>
      </c>
      <c r="J515" s="7">
        <v>1821.12</v>
      </c>
      <c r="K515" s="6">
        <v>45</v>
      </c>
      <c r="L515" t="s">
        <v>38</v>
      </c>
      <c r="M515" s="8">
        <v>364.22399999999999</v>
      </c>
      <c r="N515" s="7">
        <v>1821.12</v>
      </c>
      <c r="O515" t="s">
        <v>46</v>
      </c>
      <c r="P515" t="s">
        <v>40</v>
      </c>
    </row>
    <row r="516" spans="1:16" x14ac:dyDescent="0.25">
      <c r="A516" s="5">
        <v>45999</v>
      </c>
      <c r="B516" t="s">
        <v>113</v>
      </c>
      <c r="C516" t="s">
        <v>114</v>
      </c>
      <c r="D516" t="s">
        <v>69</v>
      </c>
      <c r="E516" t="s">
        <v>210</v>
      </c>
      <c r="F516" t="s">
        <v>50</v>
      </c>
      <c r="G516" t="s">
        <v>634</v>
      </c>
      <c r="H516" s="6">
        <v>23</v>
      </c>
      <c r="I516" s="7">
        <v>87.38</v>
      </c>
      <c r="J516" s="7">
        <v>2009.74</v>
      </c>
      <c r="K516" s="6">
        <v>30</v>
      </c>
      <c r="L516" t="s">
        <v>38</v>
      </c>
      <c r="M516" s="8">
        <v>401.94799999999998</v>
      </c>
      <c r="N516" s="7">
        <v>2009.74</v>
      </c>
      <c r="O516" t="s">
        <v>46</v>
      </c>
      <c r="P516" t="s">
        <v>40</v>
      </c>
    </row>
    <row r="517" spans="1:16" x14ac:dyDescent="0.25">
      <c r="A517" s="5">
        <v>45663</v>
      </c>
      <c r="B517" t="s">
        <v>80</v>
      </c>
      <c r="C517" t="s">
        <v>81</v>
      </c>
      <c r="D517" t="s">
        <v>64</v>
      </c>
      <c r="E517" t="s">
        <v>124</v>
      </c>
      <c r="F517" t="s">
        <v>89</v>
      </c>
      <c r="G517" t="s">
        <v>635</v>
      </c>
      <c r="H517" s="6">
        <v>21</v>
      </c>
      <c r="I517" s="7">
        <v>272.70999999999998</v>
      </c>
      <c r="J517" s="7">
        <v>5726.98</v>
      </c>
      <c r="K517" s="6">
        <v>45</v>
      </c>
      <c r="L517" t="s">
        <v>45</v>
      </c>
      <c r="M517" s="8">
        <v>1145.396</v>
      </c>
      <c r="N517" s="7">
        <v>5726.98</v>
      </c>
      <c r="O517" t="s">
        <v>46</v>
      </c>
      <c r="P517" t="s">
        <v>40</v>
      </c>
    </row>
    <row r="518" spans="1:16" x14ac:dyDescent="0.25">
      <c r="A518" s="5">
        <v>45848</v>
      </c>
      <c r="B518" t="s">
        <v>100</v>
      </c>
      <c r="C518" t="s">
        <v>101</v>
      </c>
      <c r="D518" t="s">
        <v>69</v>
      </c>
      <c r="E518" t="s">
        <v>59</v>
      </c>
      <c r="F518" t="s">
        <v>60</v>
      </c>
      <c r="G518" t="s">
        <v>636</v>
      </c>
      <c r="H518" s="6">
        <v>17</v>
      </c>
      <c r="I518" s="7">
        <v>289.77999999999997</v>
      </c>
      <c r="J518" s="7">
        <v>4926.3100000000004</v>
      </c>
      <c r="K518" s="6">
        <v>60</v>
      </c>
      <c r="L518" t="s">
        <v>45</v>
      </c>
      <c r="M518" s="8">
        <v>985.26199999999994</v>
      </c>
      <c r="N518" s="7">
        <v>4926.3100000000004</v>
      </c>
      <c r="O518" t="s">
        <v>39</v>
      </c>
      <c r="P518" t="s">
        <v>40</v>
      </c>
    </row>
    <row r="519" spans="1:16" x14ac:dyDescent="0.25">
      <c r="A519" s="5">
        <v>45829</v>
      </c>
      <c r="B519" t="s">
        <v>91</v>
      </c>
      <c r="C519" t="s">
        <v>92</v>
      </c>
      <c r="D519" t="s">
        <v>64</v>
      </c>
      <c r="E519" t="s">
        <v>127</v>
      </c>
      <c r="F519" t="s">
        <v>36</v>
      </c>
      <c r="G519" t="s">
        <v>637</v>
      </c>
      <c r="H519" s="6">
        <v>55</v>
      </c>
      <c r="I519" s="7">
        <v>37.97</v>
      </c>
      <c r="J519" s="7">
        <v>2088.2199999999998</v>
      </c>
      <c r="K519" s="6">
        <v>45</v>
      </c>
      <c r="L519" t="s">
        <v>52</v>
      </c>
      <c r="M519" s="8">
        <v>417.64400000000001</v>
      </c>
      <c r="N519" s="7">
        <v>2088.2199999999998</v>
      </c>
      <c r="O519" t="s">
        <v>39</v>
      </c>
      <c r="P519" t="s">
        <v>40</v>
      </c>
    </row>
    <row r="520" spans="1:16" x14ac:dyDescent="0.25">
      <c r="A520" s="5">
        <v>45953</v>
      </c>
      <c r="B520" t="s">
        <v>100</v>
      </c>
      <c r="C520" t="s">
        <v>101</v>
      </c>
      <c r="D520" t="s">
        <v>69</v>
      </c>
      <c r="E520" t="s">
        <v>115</v>
      </c>
      <c r="F520" t="s">
        <v>60</v>
      </c>
      <c r="G520" t="s">
        <v>638</v>
      </c>
      <c r="H520" s="6">
        <v>10</v>
      </c>
      <c r="I520" s="7">
        <v>232.35</v>
      </c>
      <c r="J520" s="7">
        <v>2323.54</v>
      </c>
      <c r="K520" s="6">
        <v>45</v>
      </c>
      <c r="L520" t="s">
        <v>45</v>
      </c>
      <c r="M520" s="8">
        <v>464.70800000000003</v>
      </c>
      <c r="N520" s="7">
        <v>2323.54</v>
      </c>
      <c r="O520" t="s">
        <v>46</v>
      </c>
      <c r="P520" t="s">
        <v>40</v>
      </c>
    </row>
    <row r="521" spans="1:16" x14ac:dyDescent="0.25">
      <c r="A521" s="5">
        <v>45913</v>
      </c>
      <c r="B521" t="s">
        <v>47</v>
      </c>
      <c r="C521" t="s">
        <v>48</v>
      </c>
      <c r="D521" t="s">
        <v>34</v>
      </c>
      <c r="E521" t="s">
        <v>83</v>
      </c>
      <c r="F521" t="s">
        <v>71</v>
      </c>
      <c r="G521" t="s">
        <v>639</v>
      </c>
      <c r="H521" s="6">
        <v>73</v>
      </c>
      <c r="I521" s="7">
        <v>143.62</v>
      </c>
      <c r="J521" s="7">
        <v>10483.93</v>
      </c>
      <c r="K521" s="6">
        <v>30</v>
      </c>
      <c r="L521" t="s">
        <v>45</v>
      </c>
      <c r="M521" s="8">
        <v>2096.7860000000001</v>
      </c>
      <c r="N521" s="7">
        <v>10483.93</v>
      </c>
      <c r="O521" t="s">
        <v>39</v>
      </c>
      <c r="P521" t="s">
        <v>40</v>
      </c>
    </row>
    <row r="522" spans="1:16" x14ac:dyDescent="0.25">
      <c r="A522" s="5">
        <v>45951</v>
      </c>
      <c r="B522" t="s">
        <v>80</v>
      </c>
      <c r="C522" t="s">
        <v>81</v>
      </c>
      <c r="D522" t="s">
        <v>64</v>
      </c>
      <c r="E522" t="s">
        <v>59</v>
      </c>
      <c r="F522" t="s">
        <v>60</v>
      </c>
      <c r="G522" t="s">
        <v>640</v>
      </c>
      <c r="H522" s="6">
        <v>15</v>
      </c>
      <c r="I522" s="7">
        <v>87.83</v>
      </c>
      <c r="J522" s="7">
        <v>1317.52</v>
      </c>
      <c r="K522" s="6">
        <v>30</v>
      </c>
      <c r="L522" t="s">
        <v>52</v>
      </c>
      <c r="M522" s="8">
        <v>263.50400000000002</v>
      </c>
      <c r="N522" s="7">
        <v>1317.52</v>
      </c>
      <c r="O522" t="s">
        <v>39</v>
      </c>
      <c r="P522" t="s">
        <v>40</v>
      </c>
    </row>
    <row r="523" spans="1:16" x14ac:dyDescent="0.25">
      <c r="A523" s="5">
        <v>45664</v>
      </c>
      <c r="B523" t="s">
        <v>100</v>
      </c>
      <c r="C523" t="s">
        <v>101</v>
      </c>
      <c r="D523" t="s">
        <v>69</v>
      </c>
      <c r="E523" t="s">
        <v>49</v>
      </c>
      <c r="F523" t="s">
        <v>50</v>
      </c>
      <c r="G523" t="s">
        <v>641</v>
      </c>
      <c r="H523" s="6">
        <v>32</v>
      </c>
      <c r="I523" s="7">
        <v>161.80000000000001</v>
      </c>
      <c r="J523" s="7">
        <v>5177.49</v>
      </c>
      <c r="K523" s="6">
        <v>30</v>
      </c>
      <c r="L523" t="s">
        <v>45</v>
      </c>
      <c r="M523" s="8">
        <v>1035.498</v>
      </c>
      <c r="N523" s="7">
        <v>5177.49</v>
      </c>
      <c r="O523" t="s">
        <v>39</v>
      </c>
      <c r="P523" t="s">
        <v>40</v>
      </c>
    </row>
    <row r="524" spans="1:16" x14ac:dyDescent="0.25">
      <c r="A524" s="5">
        <v>45749</v>
      </c>
      <c r="B524" t="s">
        <v>67</v>
      </c>
      <c r="C524" t="s">
        <v>68</v>
      </c>
      <c r="D524" t="s">
        <v>69</v>
      </c>
      <c r="E524" t="s">
        <v>204</v>
      </c>
      <c r="F524" t="s">
        <v>97</v>
      </c>
      <c r="G524" t="s">
        <v>642</v>
      </c>
      <c r="H524" s="6">
        <v>5</v>
      </c>
      <c r="I524" s="7">
        <v>208.38</v>
      </c>
      <c r="J524" s="7">
        <v>1041.8800000000001</v>
      </c>
      <c r="K524" s="6">
        <v>60</v>
      </c>
      <c r="L524" t="s">
        <v>52</v>
      </c>
      <c r="M524" s="8">
        <v>208.376</v>
      </c>
      <c r="N524" s="7">
        <v>1041.8800000000001</v>
      </c>
      <c r="O524" t="s">
        <v>46</v>
      </c>
      <c r="P524" t="s">
        <v>40</v>
      </c>
    </row>
    <row r="525" spans="1:16" x14ac:dyDescent="0.25">
      <c r="A525" s="5">
        <v>45822</v>
      </c>
      <c r="B525" t="s">
        <v>56</v>
      </c>
      <c r="C525" t="s">
        <v>57</v>
      </c>
      <c r="D525" t="s">
        <v>58</v>
      </c>
      <c r="E525" t="s">
        <v>204</v>
      </c>
      <c r="F525" t="s">
        <v>97</v>
      </c>
      <c r="G525" t="s">
        <v>643</v>
      </c>
      <c r="H525" s="6">
        <v>32</v>
      </c>
      <c r="I525" s="7">
        <v>410.6</v>
      </c>
      <c r="J525" s="7">
        <v>13139.1</v>
      </c>
      <c r="K525" s="6">
        <v>45</v>
      </c>
      <c r="L525" t="s">
        <v>52</v>
      </c>
      <c r="M525" s="8">
        <v>2627.82</v>
      </c>
      <c r="N525" s="7">
        <v>13139.1</v>
      </c>
      <c r="O525" t="s">
        <v>46</v>
      </c>
      <c r="P525" t="s">
        <v>40</v>
      </c>
    </row>
    <row r="526" spans="1:16" x14ac:dyDescent="0.25">
      <c r="A526" s="5">
        <v>45950</v>
      </c>
      <c r="B526" t="s">
        <v>201</v>
      </c>
      <c r="C526" t="s">
        <v>202</v>
      </c>
      <c r="D526" t="s">
        <v>64</v>
      </c>
      <c r="E526" t="s">
        <v>59</v>
      </c>
      <c r="F526" t="s">
        <v>60</v>
      </c>
      <c r="G526" t="s">
        <v>644</v>
      </c>
      <c r="H526" s="6">
        <v>48</v>
      </c>
      <c r="I526" s="7">
        <v>144.58000000000001</v>
      </c>
      <c r="J526" s="7">
        <v>6939.85</v>
      </c>
      <c r="K526" s="6">
        <v>30</v>
      </c>
      <c r="L526" t="s">
        <v>52</v>
      </c>
      <c r="M526" s="8">
        <v>1387.97</v>
      </c>
      <c r="N526" s="7">
        <v>6939.85</v>
      </c>
      <c r="O526" t="s">
        <v>39</v>
      </c>
      <c r="P526" t="s">
        <v>40</v>
      </c>
    </row>
    <row r="527" spans="1:16" x14ac:dyDescent="0.25">
      <c r="A527" s="5">
        <v>45772</v>
      </c>
      <c r="B527" t="s">
        <v>77</v>
      </c>
      <c r="C527" t="s">
        <v>78</v>
      </c>
      <c r="D527" t="s">
        <v>58</v>
      </c>
      <c r="E527" t="s">
        <v>49</v>
      </c>
      <c r="F527" t="s">
        <v>50</v>
      </c>
      <c r="G527" t="s">
        <v>645</v>
      </c>
      <c r="H527" s="6">
        <v>67</v>
      </c>
      <c r="I527" s="7">
        <v>44.47</v>
      </c>
      <c r="J527" s="7">
        <v>2979.47</v>
      </c>
      <c r="K527" s="6">
        <v>30</v>
      </c>
      <c r="L527" t="s">
        <v>45</v>
      </c>
      <c r="M527" s="8">
        <v>595.89400000000001</v>
      </c>
      <c r="N527" s="7">
        <v>2979.47</v>
      </c>
      <c r="O527" t="s">
        <v>39</v>
      </c>
      <c r="P527" t="s">
        <v>40</v>
      </c>
    </row>
    <row r="528" spans="1:16" x14ac:dyDescent="0.25">
      <c r="A528" s="5">
        <v>45817</v>
      </c>
      <c r="B528" t="s">
        <v>67</v>
      </c>
      <c r="C528" t="s">
        <v>68</v>
      </c>
      <c r="D528" t="s">
        <v>69</v>
      </c>
      <c r="E528" t="s">
        <v>139</v>
      </c>
      <c r="F528" t="s">
        <v>108</v>
      </c>
      <c r="G528" t="s">
        <v>646</v>
      </c>
      <c r="H528" s="6">
        <v>42</v>
      </c>
      <c r="I528" s="7">
        <v>30.64</v>
      </c>
      <c r="J528" s="7">
        <v>1286.92</v>
      </c>
      <c r="K528" s="6">
        <v>30</v>
      </c>
      <c r="L528" t="s">
        <v>52</v>
      </c>
      <c r="M528" s="8">
        <v>257.38400000000001</v>
      </c>
      <c r="N528" s="7">
        <v>1286.92</v>
      </c>
      <c r="O528" t="s">
        <v>46</v>
      </c>
      <c r="P528" t="s">
        <v>40</v>
      </c>
    </row>
    <row r="529" spans="1:16" x14ac:dyDescent="0.25">
      <c r="A529" s="5">
        <v>45760</v>
      </c>
      <c r="B529" t="s">
        <v>113</v>
      </c>
      <c r="C529" t="s">
        <v>114</v>
      </c>
      <c r="D529" t="s">
        <v>69</v>
      </c>
      <c r="E529" t="s">
        <v>210</v>
      </c>
      <c r="F529" t="s">
        <v>50</v>
      </c>
      <c r="G529" t="s">
        <v>647</v>
      </c>
      <c r="H529" s="6">
        <v>38</v>
      </c>
      <c r="I529" s="7">
        <v>123.22</v>
      </c>
      <c r="J529" s="7">
        <v>4682.21</v>
      </c>
      <c r="K529" s="6">
        <v>60</v>
      </c>
      <c r="L529" t="s">
        <v>45</v>
      </c>
      <c r="M529" s="8">
        <v>936.44200000000001</v>
      </c>
      <c r="N529" s="7">
        <v>4682.21</v>
      </c>
      <c r="O529" t="s">
        <v>46</v>
      </c>
      <c r="P529" t="s">
        <v>40</v>
      </c>
    </row>
    <row r="530" spans="1:16" x14ac:dyDescent="0.25">
      <c r="A530" s="5">
        <v>45846</v>
      </c>
      <c r="B530" t="s">
        <v>201</v>
      </c>
      <c r="C530" t="s">
        <v>202</v>
      </c>
      <c r="D530" t="s">
        <v>64</v>
      </c>
      <c r="E530" t="s">
        <v>65</v>
      </c>
      <c r="F530" t="s">
        <v>54</v>
      </c>
      <c r="G530" t="s">
        <v>648</v>
      </c>
      <c r="H530" s="6">
        <v>76</v>
      </c>
      <c r="I530" s="7">
        <v>288.39</v>
      </c>
      <c r="J530" s="7">
        <v>21917.52</v>
      </c>
      <c r="K530" s="6">
        <v>45</v>
      </c>
      <c r="L530" t="s">
        <v>38</v>
      </c>
      <c r="M530" s="8">
        <v>4383.5039999999999</v>
      </c>
      <c r="N530" s="7">
        <v>21917.52</v>
      </c>
      <c r="O530" t="s">
        <v>46</v>
      </c>
      <c r="P530" t="s">
        <v>40</v>
      </c>
    </row>
    <row r="531" spans="1:16" x14ac:dyDescent="0.25">
      <c r="A531" s="5">
        <v>45661</v>
      </c>
      <c r="B531" t="s">
        <v>67</v>
      </c>
      <c r="C531" t="s">
        <v>68</v>
      </c>
      <c r="D531" t="s">
        <v>69</v>
      </c>
      <c r="E531" t="s">
        <v>135</v>
      </c>
      <c r="F531" t="s">
        <v>54</v>
      </c>
      <c r="G531" t="s">
        <v>649</v>
      </c>
      <c r="H531" s="6">
        <v>53</v>
      </c>
      <c r="I531" s="7">
        <v>152.03</v>
      </c>
      <c r="J531" s="7">
        <v>8057.66</v>
      </c>
      <c r="K531" s="6">
        <v>30</v>
      </c>
      <c r="L531" t="s">
        <v>38</v>
      </c>
      <c r="M531" s="8">
        <v>1611.5319999999999</v>
      </c>
      <c r="N531" s="7">
        <v>8057.66</v>
      </c>
      <c r="O531" t="s">
        <v>46</v>
      </c>
      <c r="P531" t="s">
        <v>40</v>
      </c>
    </row>
    <row r="532" spans="1:16" x14ac:dyDescent="0.25">
      <c r="A532" s="5">
        <v>46013</v>
      </c>
      <c r="B532" t="s">
        <v>62</v>
      </c>
      <c r="C532" t="s">
        <v>63</v>
      </c>
      <c r="D532" t="s">
        <v>64</v>
      </c>
      <c r="E532" t="s">
        <v>70</v>
      </c>
      <c r="F532" t="s">
        <v>71</v>
      </c>
      <c r="G532" t="s">
        <v>650</v>
      </c>
      <c r="H532" s="6">
        <v>2</v>
      </c>
      <c r="I532" s="7">
        <v>134.97999999999999</v>
      </c>
      <c r="J532" s="7">
        <v>269.95</v>
      </c>
      <c r="K532" s="6">
        <v>45</v>
      </c>
      <c r="L532" t="s">
        <v>38</v>
      </c>
      <c r="M532" s="8">
        <v>53.99</v>
      </c>
      <c r="N532" s="7">
        <v>269.95</v>
      </c>
      <c r="O532" t="s">
        <v>46</v>
      </c>
      <c r="P532" t="s">
        <v>40</v>
      </c>
    </row>
    <row r="533" spans="1:16" x14ac:dyDescent="0.25">
      <c r="A533" s="5">
        <v>45815</v>
      </c>
      <c r="B533" t="s">
        <v>85</v>
      </c>
      <c r="C533" t="s">
        <v>86</v>
      </c>
      <c r="D533" t="s">
        <v>58</v>
      </c>
      <c r="E533" t="s">
        <v>105</v>
      </c>
      <c r="F533" t="s">
        <v>97</v>
      </c>
      <c r="G533" t="s">
        <v>651</v>
      </c>
      <c r="H533" s="6">
        <v>14</v>
      </c>
      <c r="I533" s="7">
        <v>120.29</v>
      </c>
      <c r="J533" s="7">
        <v>1684.13</v>
      </c>
      <c r="K533" s="6">
        <v>30</v>
      </c>
      <c r="L533" t="s">
        <v>52</v>
      </c>
      <c r="M533" s="8">
        <v>336.82600000000002</v>
      </c>
      <c r="N533" s="7">
        <v>1684.13</v>
      </c>
      <c r="O533" t="s">
        <v>46</v>
      </c>
      <c r="P533" t="s">
        <v>40</v>
      </c>
    </row>
    <row r="534" spans="1:16" x14ac:dyDescent="0.25">
      <c r="A534" s="5">
        <v>45688</v>
      </c>
      <c r="B534" t="s">
        <v>94</v>
      </c>
      <c r="C534" t="s">
        <v>95</v>
      </c>
      <c r="D534" t="s">
        <v>34</v>
      </c>
      <c r="E534" t="s">
        <v>96</v>
      </c>
      <c r="F534" t="s">
        <v>97</v>
      </c>
      <c r="G534" t="s">
        <v>652</v>
      </c>
      <c r="H534" s="6">
        <v>19</v>
      </c>
      <c r="I534" s="7">
        <v>289.29000000000002</v>
      </c>
      <c r="J534" s="7">
        <v>5496.56</v>
      </c>
      <c r="K534" s="6">
        <v>60</v>
      </c>
      <c r="L534" t="s">
        <v>45</v>
      </c>
      <c r="M534" s="8">
        <v>1099.3119999999999</v>
      </c>
      <c r="N534" s="7">
        <v>5496.56</v>
      </c>
      <c r="O534" t="s">
        <v>46</v>
      </c>
      <c r="P534" t="s">
        <v>40</v>
      </c>
    </row>
    <row r="535" spans="1:16" x14ac:dyDescent="0.25">
      <c r="A535" s="5">
        <v>45924</v>
      </c>
      <c r="B535" t="s">
        <v>118</v>
      </c>
      <c r="C535" t="s">
        <v>119</v>
      </c>
      <c r="D535" t="s">
        <v>64</v>
      </c>
      <c r="E535" t="s">
        <v>49</v>
      </c>
      <c r="F535" t="s">
        <v>50</v>
      </c>
      <c r="G535" t="s">
        <v>653</v>
      </c>
      <c r="H535" s="6">
        <v>53</v>
      </c>
      <c r="I535" s="7">
        <v>61.65</v>
      </c>
      <c r="J535" s="7">
        <v>3267.32</v>
      </c>
      <c r="K535" s="6">
        <v>60</v>
      </c>
      <c r="L535" t="s">
        <v>45</v>
      </c>
      <c r="M535" s="8">
        <v>653.46400000000006</v>
      </c>
      <c r="N535" s="7">
        <v>3267.32</v>
      </c>
      <c r="O535" t="s">
        <v>39</v>
      </c>
      <c r="P535" t="s">
        <v>40</v>
      </c>
    </row>
    <row r="536" spans="1:16" x14ac:dyDescent="0.25">
      <c r="A536" s="5">
        <v>45706</v>
      </c>
      <c r="B536" t="s">
        <v>121</v>
      </c>
      <c r="C536" t="s">
        <v>122</v>
      </c>
      <c r="D536" t="s">
        <v>34</v>
      </c>
      <c r="E536" t="s">
        <v>43</v>
      </c>
      <c r="F536" t="s">
        <v>36</v>
      </c>
      <c r="G536" t="s">
        <v>654</v>
      </c>
      <c r="H536" s="6">
        <v>65</v>
      </c>
      <c r="I536" s="7">
        <v>45.42</v>
      </c>
      <c r="J536" s="7">
        <v>2952.08</v>
      </c>
      <c r="K536" s="6">
        <v>30</v>
      </c>
      <c r="L536" t="s">
        <v>52</v>
      </c>
      <c r="M536" s="8">
        <v>590.41600000000005</v>
      </c>
      <c r="N536" s="7">
        <v>2952.08</v>
      </c>
      <c r="O536" t="s">
        <v>46</v>
      </c>
      <c r="P536" t="s">
        <v>40</v>
      </c>
    </row>
    <row r="537" spans="1:16" x14ac:dyDescent="0.25">
      <c r="A537" s="5">
        <v>45948</v>
      </c>
      <c r="B537" t="s">
        <v>56</v>
      </c>
      <c r="C537" t="s">
        <v>57</v>
      </c>
      <c r="D537" t="s">
        <v>58</v>
      </c>
      <c r="E537" t="s">
        <v>43</v>
      </c>
      <c r="F537" t="s">
        <v>36</v>
      </c>
      <c r="G537" t="s">
        <v>655</v>
      </c>
      <c r="H537" s="6">
        <v>8</v>
      </c>
      <c r="I537" s="7">
        <v>66.72</v>
      </c>
      <c r="J537" s="7">
        <v>533.73</v>
      </c>
      <c r="K537" s="6">
        <v>45</v>
      </c>
      <c r="L537" t="s">
        <v>52</v>
      </c>
      <c r="M537" s="8">
        <v>106.746</v>
      </c>
      <c r="N537" s="7">
        <v>533.73</v>
      </c>
      <c r="O537" t="s">
        <v>46</v>
      </c>
      <c r="P537" t="s">
        <v>40</v>
      </c>
    </row>
    <row r="538" spans="1:16" x14ac:dyDescent="0.25">
      <c r="A538" s="5">
        <v>45791</v>
      </c>
      <c r="B538" t="s">
        <v>201</v>
      </c>
      <c r="C538" t="s">
        <v>202</v>
      </c>
      <c r="D538" t="s">
        <v>64</v>
      </c>
      <c r="E538" t="s">
        <v>65</v>
      </c>
      <c r="F538" t="s">
        <v>54</v>
      </c>
      <c r="G538" t="s">
        <v>656</v>
      </c>
      <c r="H538" s="6">
        <v>41</v>
      </c>
      <c r="I538" s="7">
        <v>155.75</v>
      </c>
      <c r="J538" s="7">
        <v>6385.63</v>
      </c>
      <c r="K538" s="6">
        <v>45</v>
      </c>
      <c r="L538" t="s">
        <v>52</v>
      </c>
      <c r="M538" s="8">
        <v>1277.126</v>
      </c>
      <c r="N538" s="7">
        <v>6385.63</v>
      </c>
      <c r="O538" t="s">
        <v>46</v>
      </c>
      <c r="P538" t="s">
        <v>40</v>
      </c>
    </row>
    <row r="539" spans="1:16" x14ac:dyDescent="0.25">
      <c r="A539" s="5">
        <v>45889</v>
      </c>
      <c r="B539" t="s">
        <v>56</v>
      </c>
      <c r="C539" t="s">
        <v>57</v>
      </c>
      <c r="D539" t="s">
        <v>58</v>
      </c>
      <c r="E539" t="s">
        <v>132</v>
      </c>
      <c r="F539" t="s">
        <v>71</v>
      </c>
      <c r="G539" t="s">
        <v>657</v>
      </c>
      <c r="H539" s="6">
        <v>35</v>
      </c>
      <c r="I539" s="7">
        <v>76.89</v>
      </c>
      <c r="J539" s="7">
        <v>2691.14</v>
      </c>
      <c r="K539" s="6">
        <v>30</v>
      </c>
      <c r="L539" t="s">
        <v>38</v>
      </c>
      <c r="M539" s="8">
        <v>538.22799999999995</v>
      </c>
      <c r="N539" s="7">
        <v>2691.14</v>
      </c>
      <c r="O539" t="s">
        <v>46</v>
      </c>
      <c r="P539" t="s">
        <v>40</v>
      </c>
    </row>
    <row r="540" spans="1:16" x14ac:dyDescent="0.25">
      <c r="A540" s="5">
        <v>45713</v>
      </c>
      <c r="B540" t="s">
        <v>62</v>
      </c>
      <c r="C540" t="s">
        <v>63</v>
      </c>
      <c r="D540" t="s">
        <v>64</v>
      </c>
      <c r="E540" t="s">
        <v>124</v>
      </c>
      <c r="F540" t="s">
        <v>89</v>
      </c>
      <c r="G540" t="s">
        <v>658</v>
      </c>
      <c r="H540" s="6">
        <v>20</v>
      </c>
      <c r="I540" s="7">
        <v>313.07</v>
      </c>
      <c r="J540" s="7">
        <v>6261.34</v>
      </c>
      <c r="K540" s="6">
        <v>30</v>
      </c>
      <c r="L540" t="s">
        <v>38</v>
      </c>
      <c r="M540" s="8">
        <v>1252.268</v>
      </c>
      <c r="N540" s="7">
        <v>6261.34</v>
      </c>
      <c r="O540" t="s">
        <v>46</v>
      </c>
      <c r="P540" t="s">
        <v>40</v>
      </c>
    </row>
    <row r="541" spans="1:16" x14ac:dyDescent="0.25">
      <c r="A541" s="5">
        <v>45866</v>
      </c>
      <c r="B541" t="s">
        <v>67</v>
      </c>
      <c r="C541" t="s">
        <v>68</v>
      </c>
      <c r="D541" t="s">
        <v>69</v>
      </c>
      <c r="E541" t="s">
        <v>139</v>
      </c>
      <c r="F541" t="s">
        <v>108</v>
      </c>
      <c r="G541" t="s">
        <v>659</v>
      </c>
      <c r="H541" s="6">
        <v>16</v>
      </c>
      <c r="I541" s="7">
        <v>54.61</v>
      </c>
      <c r="J541" s="7">
        <v>873.74</v>
      </c>
      <c r="K541" s="6">
        <v>60</v>
      </c>
      <c r="L541" t="s">
        <v>45</v>
      </c>
      <c r="M541" s="8">
        <v>174.74799999999999</v>
      </c>
      <c r="N541" s="7">
        <v>873.74</v>
      </c>
      <c r="O541" t="s">
        <v>46</v>
      </c>
      <c r="P541" t="s">
        <v>40</v>
      </c>
    </row>
    <row r="542" spans="1:16" x14ac:dyDescent="0.25">
      <c r="A542" s="5">
        <v>45895</v>
      </c>
      <c r="B542" t="s">
        <v>47</v>
      </c>
      <c r="C542" t="s">
        <v>48</v>
      </c>
      <c r="D542" t="s">
        <v>34</v>
      </c>
      <c r="E542" t="s">
        <v>139</v>
      </c>
      <c r="F542" t="s">
        <v>108</v>
      </c>
      <c r="G542" t="s">
        <v>660</v>
      </c>
      <c r="H542" s="6">
        <v>34</v>
      </c>
      <c r="I542" s="7">
        <v>118.76</v>
      </c>
      <c r="J542" s="7">
        <v>4037.9</v>
      </c>
      <c r="K542" s="6">
        <v>30</v>
      </c>
      <c r="L542" t="s">
        <v>38</v>
      </c>
      <c r="M542" s="8">
        <v>807.58</v>
      </c>
      <c r="N542" s="7">
        <v>4037.9</v>
      </c>
      <c r="O542" t="s">
        <v>46</v>
      </c>
      <c r="P542" t="s">
        <v>40</v>
      </c>
    </row>
    <row r="543" spans="1:16" x14ac:dyDescent="0.25">
      <c r="A543" s="5">
        <v>46014</v>
      </c>
      <c r="B543" t="s">
        <v>113</v>
      </c>
      <c r="C543" t="s">
        <v>114</v>
      </c>
      <c r="D543" t="s">
        <v>69</v>
      </c>
      <c r="E543" t="s">
        <v>115</v>
      </c>
      <c r="F543" t="s">
        <v>60</v>
      </c>
      <c r="G543" t="s">
        <v>661</v>
      </c>
      <c r="H543" s="6">
        <v>78</v>
      </c>
      <c r="I543" s="7">
        <v>118.19</v>
      </c>
      <c r="J543" s="7">
        <v>9218.7800000000007</v>
      </c>
      <c r="K543" s="6">
        <v>30</v>
      </c>
      <c r="L543" t="s">
        <v>38</v>
      </c>
      <c r="M543" s="8">
        <v>1843.7560000000001</v>
      </c>
      <c r="N543" s="7">
        <v>9218.7800000000007</v>
      </c>
      <c r="O543" t="s">
        <v>46</v>
      </c>
      <c r="P543" t="s">
        <v>40</v>
      </c>
    </row>
    <row r="544" spans="1:16" x14ac:dyDescent="0.25">
      <c r="A544" s="5">
        <v>46022</v>
      </c>
      <c r="B544" t="s">
        <v>143</v>
      </c>
      <c r="C544" t="s">
        <v>144</v>
      </c>
      <c r="D544" t="s">
        <v>69</v>
      </c>
      <c r="E544" t="s">
        <v>154</v>
      </c>
      <c r="F544" t="s">
        <v>89</v>
      </c>
      <c r="G544" t="s">
        <v>662</v>
      </c>
      <c r="H544" s="6">
        <v>32</v>
      </c>
      <c r="I544" s="7">
        <v>240.89</v>
      </c>
      <c r="J544" s="7">
        <v>7708.55</v>
      </c>
      <c r="K544" s="6">
        <v>45</v>
      </c>
      <c r="L544" t="s">
        <v>45</v>
      </c>
      <c r="M544" s="8">
        <v>1541.71</v>
      </c>
      <c r="N544" s="7">
        <v>7708.55</v>
      </c>
      <c r="O544" t="s">
        <v>39</v>
      </c>
      <c r="P544" t="s">
        <v>40</v>
      </c>
    </row>
    <row r="545" spans="1:16" x14ac:dyDescent="0.25">
      <c r="A545" s="5">
        <v>45811</v>
      </c>
      <c r="B545" t="s">
        <v>73</v>
      </c>
      <c r="C545" t="s">
        <v>74</v>
      </c>
      <c r="D545" t="s">
        <v>69</v>
      </c>
      <c r="E545" t="s">
        <v>152</v>
      </c>
      <c r="F545" t="s">
        <v>50</v>
      </c>
      <c r="G545" t="s">
        <v>663</v>
      </c>
      <c r="H545" s="6">
        <v>34</v>
      </c>
      <c r="I545" s="7">
        <v>265.17</v>
      </c>
      <c r="J545" s="7">
        <v>9015.6299999999992</v>
      </c>
      <c r="K545" s="6">
        <v>30</v>
      </c>
      <c r="L545" t="s">
        <v>38</v>
      </c>
      <c r="M545" s="8">
        <v>1803.126</v>
      </c>
      <c r="N545" s="7">
        <v>9015.6299999999992</v>
      </c>
      <c r="O545" t="s">
        <v>46</v>
      </c>
      <c r="P545" t="s">
        <v>40</v>
      </c>
    </row>
    <row r="546" spans="1:16" x14ac:dyDescent="0.25">
      <c r="A546" s="5">
        <v>45939</v>
      </c>
      <c r="B546" t="s">
        <v>47</v>
      </c>
      <c r="C546" t="s">
        <v>48</v>
      </c>
      <c r="D546" t="s">
        <v>34</v>
      </c>
      <c r="E546" t="s">
        <v>129</v>
      </c>
      <c r="F546" t="s">
        <v>108</v>
      </c>
      <c r="G546" t="s">
        <v>664</v>
      </c>
      <c r="H546" s="6">
        <v>32</v>
      </c>
      <c r="I546" s="7">
        <v>19.260000000000002</v>
      </c>
      <c r="J546" s="7">
        <v>616.35</v>
      </c>
      <c r="K546" s="6">
        <v>30</v>
      </c>
      <c r="L546" t="s">
        <v>45</v>
      </c>
      <c r="M546" s="8">
        <v>123.27</v>
      </c>
      <c r="N546" s="7">
        <v>616.35</v>
      </c>
      <c r="O546" t="s">
        <v>46</v>
      </c>
      <c r="P546" t="s">
        <v>40</v>
      </c>
    </row>
    <row r="547" spans="1:16" x14ac:dyDescent="0.25">
      <c r="A547" s="5">
        <v>45664</v>
      </c>
      <c r="B547" t="s">
        <v>73</v>
      </c>
      <c r="C547" t="s">
        <v>74</v>
      </c>
      <c r="D547" t="s">
        <v>69</v>
      </c>
      <c r="E547" t="s">
        <v>154</v>
      </c>
      <c r="F547" t="s">
        <v>89</v>
      </c>
      <c r="G547" t="s">
        <v>665</v>
      </c>
      <c r="H547" s="6">
        <v>8</v>
      </c>
      <c r="I547" s="7">
        <v>116.12</v>
      </c>
      <c r="J547" s="7">
        <v>929</v>
      </c>
      <c r="K547" s="6">
        <v>30</v>
      </c>
      <c r="L547" t="s">
        <v>38</v>
      </c>
      <c r="M547" s="8">
        <v>185.8</v>
      </c>
      <c r="N547" s="7">
        <v>929</v>
      </c>
      <c r="O547" t="s">
        <v>39</v>
      </c>
      <c r="P547" t="s">
        <v>40</v>
      </c>
    </row>
    <row r="548" spans="1:16" x14ac:dyDescent="0.25">
      <c r="A548" s="5">
        <v>46009</v>
      </c>
      <c r="B548" t="s">
        <v>32</v>
      </c>
      <c r="C548" t="s">
        <v>33</v>
      </c>
      <c r="D548" t="s">
        <v>34</v>
      </c>
      <c r="E548" t="s">
        <v>96</v>
      </c>
      <c r="F548" t="s">
        <v>97</v>
      </c>
      <c r="G548" t="s">
        <v>666</v>
      </c>
      <c r="H548" s="6">
        <v>11</v>
      </c>
      <c r="I548" s="7">
        <v>412.06</v>
      </c>
      <c r="J548" s="7">
        <v>4532.67</v>
      </c>
      <c r="K548" s="6">
        <v>60</v>
      </c>
      <c r="L548" t="s">
        <v>52</v>
      </c>
      <c r="M548" s="8">
        <v>906.53399999999999</v>
      </c>
      <c r="N548" s="7">
        <v>4532.67</v>
      </c>
      <c r="O548" t="s">
        <v>46</v>
      </c>
      <c r="P548" t="s">
        <v>40</v>
      </c>
    </row>
    <row r="549" spans="1:16" x14ac:dyDescent="0.25">
      <c r="A549" s="5">
        <v>45691</v>
      </c>
      <c r="B549" t="s">
        <v>110</v>
      </c>
      <c r="C549" t="s">
        <v>111</v>
      </c>
      <c r="D549" t="s">
        <v>58</v>
      </c>
      <c r="E549" t="s">
        <v>127</v>
      </c>
      <c r="F549" t="s">
        <v>36</v>
      </c>
      <c r="G549" t="s">
        <v>667</v>
      </c>
      <c r="H549" s="6">
        <v>26</v>
      </c>
      <c r="I549" s="7">
        <v>58.13</v>
      </c>
      <c r="J549" s="7">
        <v>1511.43</v>
      </c>
      <c r="K549" s="6">
        <v>60</v>
      </c>
      <c r="L549" t="s">
        <v>45</v>
      </c>
      <c r="M549" s="8">
        <v>302.286</v>
      </c>
      <c r="N549" s="7">
        <v>1511.43</v>
      </c>
      <c r="O549" t="s">
        <v>39</v>
      </c>
      <c r="P549" t="s">
        <v>40</v>
      </c>
    </row>
    <row r="550" spans="1:16" x14ac:dyDescent="0.25">
      <c r="A550" s="5">
        <v>45720</v>
      </c>
      <c r="B550" t="s">
        <v>56</v>
      </c>
      <c r="C550" t="s">
        <v>57</v>
      </c>
      <c r="D550" t="s">
        <v>58</v>
      </c>
      <c r="E550" t="s">
        <v>668</v>
      </c>
      <c r="F550" t="s">
        <v>36</v>
      </c>
      <c r="G550" t="s">
        <v>669</v>
      </c>
      <c r="H550" s="6">
        <v>6</v>
      </c>
      <c r="I550" s="7">
        <v>79.72</v>
      </c>
      <c r="J550" s="7">
        <v>478.32</v>
      </c>
      <c r="K550" s="6">
        <v>45</v>
      </c>
      <c r="L550" t="s">
        <v>38</v>
      </c>
      <c r="M550" s="8">
        <v>95.664000000000001</v>
      </c>
      <c r="N550" s="7">
        <v>478.32</v>
      </c>
      <c r="O550" t="s">
        <v>46</v>
      </c>
      <c r="P550" t="s">
        <v>40</v>
      </c>
    </row>
    <row r="551" spans="1:16" x14ac:dyDescent="0.25">
      <c r="A551" s="5">
        <v>45860</v>
      </c>
      <c r="B551" t="s">
        <v>41</v>
      </c>
      <c r="C551" t="s">
        <v>42</v>
      </c>
      <c r="D551" t="s">
        <v>34</v>
      </c>
      <c r="E551" t="s">
        <v>105</v>
      </c>
      <c r="F551" t="s">
        <v>97</v>
      </c>
      <c r="G551" t="s">
        <v>670</v>
      </c>
      <c r="H551" s="6">
        <v>64</v>
      </c>
      <c r="I551" s="7">
        <v>215.2</v>
      </c>
      <c r="J551" s="7">
        <v>13773.11</v>
      </c>
      <c r="K551" s="6">
        <v>30</v>
      </c>
      <c r="L551" t="s">
        <v>45</v>
      </c>
      <c r="M551" s="8">
        <v>2754.6219999999998</v>
      </c>
      <c r="N551" s="7">
        <v>13773.11</v>
      </c>
      <c r="O551" t="s">
        <v>46</v>
      </c>
      <c r="P551" t="s">
        <v>40</v>
      </c>
    </row>
    <row r="552" spans="1:16" x14ac:dyDescent="0.25">
      <c r="A552" s="5">
        <v>45839</v>
      </c>
      <c r="B552" t="s">
        <v>85</v>
      </c>
      <c r="C552" t="s">
        <v>86</v>
      </c>
      <c r="D552" t="s">
        <v>58</v>
      </c>
      <c r="E552" t="s">
        <v>204</v>
      </c>
      <c r="F552" t="s">
        <v>97</v>
      </c>
      <c r="G552" t="s">
        <v>671</v>
      </c>
      <c r="H552" s="6">
        <v>28</v>
      </c>
      <c r="I552" s="7">
        <v>314.63</v>
      </c>
      <c r="J552" s="7">
        <v>8809.7199999999993</v>
      </c>
      <c r="K552" s="6">
        <v>30</v>
      </c>
      <c r="L552" t="s">
        <v>45</v>
      </c>
      <c r="M552" s="8">
        <v>1761.944</v>
      </c>
      <c r="N552" s="7">
        <v>8809.7199999999993</v>
      </c>
      <c r="O552" t="s">
        <v>46</v>
      </c>
      <c r="P552" t="s">
        <v>40</v>
      </c>
    </row>
    <row r="553" spans="1:16" x14ac:dyDescent="0.25">
      <c r="A553" s="5">
        <v>45675</v>
      </c>
      <c r="B553" t="s">
        <v>94</v>
      </c>
      <c r="C553" t="s">
        <v>95</v>
      </c>
      <c r="D553" t="s">
        <v>34</v>
      </c>
      <c r="E553" t="s">
        <v>107</v>
      </c>
      <c r="F553" t="s">
        <v>108</v>
      </c>
      <c r="G553" t="s">
        <v>672</v>
      </c>
      <c r="H553" s="6">
        <v>79</v>
      </c>
      <c r="I553" s="7">
        <v>68.849999999999994</v>
      </c>
      <c r="J553" s="7">
        <v>5438.8</v>
      </c>
      <c r="K553" s="6">
        <v>60</v>
      </c>
      <c r="L553" t="s">
        <v>52</v>
      </c>
      <c r="M553" s="8">
        <v>1087.76</v>
      </c>
      <c r="N553" s="7">
        <v>5438.8</v>
      </c>
      <c r="O553" t="s">
        <v>46</v>
      </c>
      <c r="P553" t="s">
        <v>40</v>
      </c>
    </row>
    <row r="554" spans="1:16" x14ac:dyDescent="0.25">
      <c r="A554" s="5">
        <v>45868</v>
      </c>
      <c r="B554" t="s">
        <v>67</v>
      </c>
      <c r="C554" t="s">
        <v>68</v>
      </c>
      <c r="D554" t="s">
        <v>69</v>
      </c>
      <c r="E554" t="s">
        <v>149</v>
      </c>
      <c r="F554" t="s">
        <v>60</v>
      </c>
      <c r="G554" t="s">
        <v>673</v>
      </c>
      <c r="H554" s="6">
        <v>71</v>
      </c>
      <c r="I554" s="7">
        <v>418.18</v>
      </c>
      <c r="J554" s="7">
        <v>29690.65</v>
      </c>
      <c r="K554" s="6">
        <v>45</v>
      </c>
      <c r="L554" t="s">
        <v>38</v>
      </c>
      <c r="M554" s="8">
        <v>5938.13</v>
      </c>
      <c r="N554" s="7">
        <v>29690.65</v>
      </c>
      <c r="O554" t="s">
        <v>46</v>
      </c>
      <c r="P554" t="s">
        <v>40</v>
      </c>
    </row>
    <row r="555" spans="1:16" x14ac:dyDescent="0.25">
      <c r="A555" s="5">
        <v>45728</v>
      </c>
      <c r="B555" t="s">
        <v>201</v>
      </c>
      <c r="C555" t="s">
        <v>202</v>
      </c>
      <c r="D555" t="s">
        <v>64</v>
      </c>
      <c r="E555" t="s">
        <v>149</v>
      </c>
      <c r="F555" t="s">
        <v>60</v>
      </c>
      <c r="G555" t="s">
        <v>674</v>
      </c>
      <c r="H555" s="6">
        <v>54</v>
      </c>
      <c r="I555" s="7">
        <v>253.04</v>
      </c>
      <c r="J555" s="7">
        <v>13664.32</v>
      </c>
      <c r="K555" s="6">
        <v>30</v>
      </c>
      <c r="L555" t="s">
        <v>52</v>
      </c>
      <c r="M555" s="8">
        <v>2732.864</v>
      </c>
      <c r="N555" s="7">
        <v>13664.32</v>
      </c>
      <c r="O555" t="s">
        <v>46</v>
      </c>
      <c r="P555" t="s">
        <v>40</v>
      </c>
    </row>
    <row r="556" spans="1:16" x14ac:dyDescent="0.25">
      <c r="A556" s="5">
        <v>45936</v>
      </c>
      <c r="B556" t="s">
        <v>100</v>
      </c>
      <c r="C556" t="s">
        <v>101</v>
      </c>
      <c r="D556" t="s">
        <v>69</v>
      </c>
      <c r="E556" t="s">
        <v>53</v>
      </c>
      <c r="F556" t="s">
        <v>54</v>
      </c>
      <c r="G556" t="s">
        <v>675</v>
      </c>
      <c r="H556" s="6">
        <v>3</v>
      </c>
      <c r="I556" s="7">
        <v>301.01</v>
      </c>
      <c r="J556" s="7">
        <v>903.03</v>
      </c>
      <c r="K556" s="6">
        <v>45</v>
      </c>
      <c r="L556" t="s">
        <v>52</v>
      </c>
      <c r="M556" s="8">
        <v>180.60599999999999</v>
      </c>
      <c r="N556" s="7">
        <v>903.03</v>
      </c>
      <c r="O556" t="s">
        <v>46</v>
      </c>
      <c r="P556" t="s">
        <v>40</v>
      </c>
    </row>
    <row r="557" spans="1:16" x14ac:dyDescent="0.25">
      <c r="A557" s="5">
        <v>45906</v>
      </c>
      <c r="B557" t="s">
        <v>41</v>
      </c>
      <c r="C557" t="s">
        <v>42</v>
      </c>
      <c r="D557" t="s">
        <v>34</v>
      </c>
      <c r="E557" t="s">
        <v>129</v>
      </c>
      <c r="F557" t="s">
        <v>108</v>
      </c>
      <c r="G557" t="s">
        <v>676</v>
      </c>
      <c r="H557" s="6">
        <v>45</v>
      </c>
      <c r="I557" s="7">
        <v>59.8</v>
      </c>
      <c r="J557" s="7">
        <v>2690.87</v>
      </c>
      <c r="K557" s="6">
        <v>60</v>
      </c>
      <c r="L557" t="s">
        <v>52</v>
      </c>
      <c r="M557" s="8">
        <v>538.17399999999998</v>
      </c>
      <c r="N557" s="7">
        <v>2690.87</v>
      </c>
      <c r="O557" t="s">
        <v>46</v>
      </c>
      <c r="P557" t="s">
        <v>40</v>
      </c>
    </row>
    <row r="558" spans="1:16" x14ac:dyDescent="0.25">
      <c r="A558" s="5">
        <v>45750</v>
      </c>
      <c r="B558" t="s">
        <v>32</v>
      </c>
      <c r="C558" t="s">
        <v>33</v>
      </c>
      <c r="D558" t="s">
        <v>34</v>
      </c>
      <c r="E558" t="s">
        <v>96</v>
      </c>
      <c r="F558" t="s">
        <v>97</v>
      </c>
      <c r="G558" t="s">
        <v>677</v>
      </c>
      <c r="H558" s="6">
        <v>4</v>
      </c>
      <c r="I558" s="7">
        <v>229.43</v>
      </c>
      <c r="J558" s="7">
        <v>917.72</v>
      </c>
      <c r="K558" s="6">
        <v>45</v>
      </c>
      <c r="L558" t="s">
        <v>52</v>
      </c>
      <c r="M558" s="8">
        <v>183.54400000000001</v>
      </c>
      <c r="N558" s="7">
        <v>917.72</v>
      </c>
      <c r="O558" t="s">
        <v>46</v>
      </c>
      <c r="P558" t="s">
        <v>40</v>
      </c>
    </row>
    <row r="559" spans="1:16" x14ac:dyDescent="0.25">
      <c r="A559" s="5">
        <v>45687</v>
      </c>
      <c r="B559" t="s">
        <v>121</v>
      </c>
      <c r="C559" t="s">
        <v>122</v>
      </c>
      <c r="D559" t="s">
        <v>34</v>
      </c>
      <c r="E559" t="s">
        <v>210</v>
      </c>
      <c r="F559" t="s">
        <v>50</v>
      </c>
      <c r="G559" t="s">
        <v>678</v>
      </c>
      <c r="H559" s="6">
        <v>61</v>
      </c>
      <c r="I559" s="7">
        <v>94.59</v>
      </c>
      <c r="J559" s="7">
        <v>5770.18</v>
      </c>
      <c r="K559" s="6">
        <v>60</v>
      </c>
      <c r="L559" t="s">
        <v>45</v>
      </c>
      <c r="M559" s="8">
        <v>1154.0360000000001</v>
      </c>
      <c r="N559" s="7">
        <v>5770.18</v>
      </c>
      <c r="O559" t="s">
        <v>46</v>
      </c>
      <c r="P559" t="s">
        <v>40</v>
      </c>
    </row>
    <row r="560" spans="1:16" x14ac:dyDescent="0.25">
      <c r="A560" s="5">
        <v>45709</v>
      </c>
      <c r="B560" t="s">
        <v>41</v>
      </c>
      <c r="C560" t="s">
        <v>42</v>
      </c>
      <c r="D560" t="s">
        <v>34</v>
      </c>
      <c r="E560" t="s">
        <v>135</v>
      </c>
      <c r="F560" t="s">
        <v>54</v>
      </c>
      <c r="G560" t="s">
        <v>679</v>
      </c>
      <c r="H560" s="6">
        <v>32</v>
      </c>
      <c r="I560" s="7">
        <v>310.57</v>
      </c>
      <c r="J560" s="7">
        <v>9938.24</v>
      </c>
      <c r="K560" s="6">
        <v>60</v>
      </c>
      <c r="L560" t="s">
        <v>38</v>
      </c>
      <c r="M560" s="8">
        <v>1987.6479999999999</v>
      </c>
      <c r="N560" s="7">
        <v>9938.24</v>
      </c>
      <c r="O560" t="s">
        <v>46</v>
      </c>
      <c r="P560" t="s">
        <v>40</v>
      </c>
    </row>
    <row r="561" spans="1:16" x14ac:dyDescent="0.25">
      <c r="A561" s="5">
        <v>45952</v>
      </c>
      <c r="B561" t="s">
        <v>77</v>
      </c>
      <c r="C561" t="s">
        <v>78</v>
      </c>
      <c r="D561" t="s">
        <v>58</v>
      </c>
      <c r="E561" t="s">
        <v>49</v>
      </c>
      <c r="F561" t="s">
        <v>50</v>
      </c>
      <c r="G561" t="s">
        <v>680</v>
      </c>
      <c r="H561" s="6">
        <v>50</v>
      </c>
      <c r="I561" s="7">
        <v>95.2</v>
      </c>
      <c r="J561" s="7">
        <v>4759.8599999999997</v>
      </c>
      <c r="K561" s="6">
        <v>45</v>
      </c>
      <c r="L561" t="s">
        <v>38</v>
      </c>
      <c r="M561" s="8">
        <v>951.97199999999998</v>
      </c>
      <c r="N561" s="7">
        <v>4759.8599999999997</v>
      </c>
      <c r="O561" t="s">
        <v>39</v>
      </c>
      <c r="P561" t="s">
        <v>40</v>
      </c>
    </row>
    <row r="562" spans="1:16" x14ac:dyDescent="0.25">
      <c r="A562" s="5">
        <v>45820</v>
      </c>
      <c r="B562" t="s">
        <v>56</v>
      </c>
      <c r="C562" t="s">
        <v>57</v>
      </c>
      <c r="D562" t="s">
        <v>58</v>
      </c>
      <c r="E562" t="s">
        <v>53</v>
      </c>
      <c r="F562" t="s">
        <v>54</v>
      </c>
      <c r="G562" t="s">
        <v>681</v>
      </c>
      <c r="H562" s="6">
        <v>46</v>
      </c>
      <c r="I562" s="7">
        <v>293.19</v>
      </c>
      <c r="J562" s="7">
        <v>13486.96</v>
      </c>
      <c r="K562" s="6">
        <v>60</v>
      </c>
      <c r="L562" t="s">
        <v>38</v>
      </c>
      <c r="M562" s="8">
        <v>2697.3919999999998</v>
      </c>
      <c r="N562" s="7">
        <v>13486.96</v>
      </c>
      <c r="O562" t="s">
        <v>46</v>
      </c>
      <c r="P562" t="s">
        <v>40</v>
      </c>
    </row>
    <row r="563" spans="1:16" x14ac:dyDescent="0.25">
      <c r="A563" s="5">
        <v>45946</v>
      </c>
      <c r="B563" t="s">
        <v>77</v>
      </c>
      <c r="C563" t="s">
        <v>78</v>
      </c>
      <c r="D563" t="s">
        <v>58</v>
      </c>
      <c r="E563" t="s">
        <v>70</v>
      </c>
      <c r="F563" t="s">
        <v>71</v>
      </c>
      <c r="G563" t="s">
        <v>682</v>
      </c>
      <c r="H563" s="6">
        <v>19</v>
      </c>
      <c r="I563" s="7">
        <v>297.48</v>
      </c>
      <c r="J563" s="7">
        <v>5652.12</v>
      </c>
      <c r="K563" s="6">
        <v>60</v>
      </c>
      <c r="L563" t="s">
        <v>38</v>
      </c>
      <c r="M563" s="8">
        <v>1130.424</v>
      </c>
      <c r="N563" s="7">
        <v>5652.12</v>
      </c>
      <c r="O563" t="s">
        <v>46</v>
      </c>
      <c r="P563" t="s">
        <v>40</v>
      </c>
    </row>
    <row r="564" spans="1:16" x14ac:dyDescent="0.25">
      <c r="A564" s="5">
        <v>45909</v>
      </c>
      <c r="B564" t="s">
        <v>110</v>
      </c>
      <c r="C564" t="s">
        <v>111</v>
      </c>
      <c r="D564" t="s">
        <v>58</v>
      </c>
      <c r="E564" t="s">
        <v>59</v>
      </c>
      <c r="F564" t="s">
        <v>60</v>
      </c>
      <c r="G564" t="s">
        <v>683</v>
      </c>
      <c r="H564" s="6">
        <v>5</v>
      </c>
      <c r="I564" s="7">
        <v>355.22</v>
      </c>
      <c r="J564" s="7">
        <v>1776.12</v>
      </c>
      <c r="K564" s="6">
        <v>30</v>
      </c>
      <c r="L564" t="s">
        <v>38</v>
      </c>
      <c r="M564" s="8">
        <v>355.22399999999999</v>
      </c>
      <c r="N564" s="7">
        <v>1776.12</v>
      </c>
      <c r="O564" t="s">
        <v>39</v>
      </c>
      <c r="P564" t="s">
        <v>40</v>
      </c>
    </row>
    <row r="565" spans="1:16" x14ac:dyDescent="0.25">
      <c r="A565" s="5">
        <v>45927</v>
      </c>
      <c r="B565" t="s">
        <v>47</v>
      </c>
      <c r="C565" t="s">
        <v>48</v>
      </c>
      <c r="D565" t="s">
        <v>34</v>
      </c>
      <c r="E565" t="s">
        <v>135</v>
      </c>
      <c r="F565" t="s">
        <v>54</v>
      </c>
      <c r="G565" t="s">
        <v>684</v>
      </c>
      <c r="H565" s="6">
        <v>62</v>
      </c>
      <c r="I565" s="7">
        <v>208.96</v>
      </c>
      <c r="J565" s="7">
        <v>12955.59</v>
      </c>
      <c r="K565" s="6">
        <v>30</v>
      </c>
      <c r="L565" t="s">
        <v>45</v>
      </c>
      <c r="M565" s="8">
        <v>2591.1179999999999</v>
      </c>
      <c r="N565" s="7">
        <v>12955.59</v>
      </c>
      <c r="O565" t="s">
        <v>46</v>
      </c>
      <c r="P565" t="s">
        <v>40</v>
      </c>
    </row>
    <row r="566" spans="1:16" x14ac:dyDescent="0.25">
      <c r="A566" s="5">
        <v>45832</v>
      </c>
      <c r="B566" t="s">
        <v>110</v>
      </c>
      <c r="C566" t="s">
        <v>111</v>
      </c>
      <c r="D566" t="s">
        <v>58</v>
      </c>
      <c r="E566" t="s">
        <v>135</v>
      </c>
      <c r="F566" t="s">
        <v>54</v>
      </c>
      <c r="G566" t="s">
        <v>685</v>
      </c>
      <c r="H566" s="6">
        <v>23</v>
      </c>
      <c r="I566" s="7">
        <v>484.02</v>
      </c>
      <c r="J566" s="7">
        <v>11132.49</v>
      </c>
      <c r="K566" s="6">
        <v>45</v>
      </c>
      <c r="L566" t="s">
        <v>38</v>
      </c>
      <c r="M566" s="8">
        <v>2226.498</v>
      </c>
      <c r="N566" s="7">
        <v>11132.49</v>
      </c>
      <c r="O566" t="s">
        <v>46</v>
      </c>
      <c r="P566" t="s">
        <v>40</v>
      </c>
    </row>
    <row r="567" spans="1:16" x14ac:dyDescent="0.25">
      <c r="A567" s="5">
        <v>46018</v>
      </c>
      <c r="B567" t="s">
        <v>94</v>
      </c>
      <c r="C567" t="s">
        <v>95</v>
      </c>
      <c r="D567" t="s">
        <v>34</v>
      </c>
      <c r="E567" t="s">
        <v>124</v>
      </c>
      <c r="F567" t="s">
        <v>89</v>
      </c>
      <c r="G567" t="s">
        <v>686</v>
      </c>
      <c r="H567" s="6">
        <v>19</v>
      </c>
      <c r="I567" s="7">
        <v>143.81</v>
      </c>
      <c r="J567" s="7">
        <v>2732.45</v>
      </c>
      <c r="K567" s="6">
        <v>30</v>
      </c>
      <c r="L567" t="s">
        <v>52</v>
      </c>
      <c r="M567" s="8">
        <v>546.49</v>
      </c>
      <c r="N567" s="7">
        <v>2732.45</v>
      </c>
      <c r="O567" t="s">
        <v>46</v>
      </c>
      <c r="P567" t="s">
        <v>40</v>
      </c>
    </row>
    <row r="568" spans="1:16" x14ac:dyDescent="0.25">
      <c r="A568" s="5">
        <v>46018</v>
      </c>
      <c r="B568" t="s">
        <v>73</v>
      </c>
      <c r="C568" t="s">
        <v>74</v>
      </c>
      <c r="D568" t="s">
        <v>69</v>
      </c>
      <c r="E568" t="s">
        <v>75</v>
      </c>
      <c r="F568" t="s">
        <v>36</v>
      </c>
      <c r="G568" t="s">
        <v>687</v>
      </c>
      <c r="H568" s="6">
        <v>51</v>
      </c>
      <c r="I568" s="7">
        <v>21.19</v>
      </c>
      <c r="J568" s="7">
        <v>1080.57</v>
      </c>
      <c r="K568" s="6">
        <v>60</v>
      </c>
      <c r="L568" t="s">
        <v>38</v>
      </c>
      <c r="M568" s="8">
        <v>216.114</v>
      </c>
      <c r="N568" s="7">
        <v>1080.57</v>
      </c>
      <c r="O568" t="s">
        <v>46</v>
      </c>
      <c r="P568" t="s">
        <v>40</v>
      </c>
    </row>
    <row r="569" spans="1:16" x14ac:dyDescent="0.25">
      <c r="A569" s="5">
        <v>45727</v>
      </c>
      <c r="B569" t="s">
        <v>91</v>
      </c>
      <c r="C569" t="s">
        <v>92</v>
      </c>
      <c r="D569" t="s">
        <v>64</v>
      </c>
      <c r="E569" t="s">
        <v>149</v>
      </c>
      <c r="F569" t="s">
        <v>60</v>
      </c>
      <c r="G569" t="s">
        <v>688</v>
      </c>
      <c r="H569" s="6">
        <v>21</v>
      </c>
      <c r="I569" s="7">
        <v>126.37</v>
      </c>
      <c r="J569" s="7">
        <v>2653.68</v>
      </c>
      <c r="K569" s="6">
        <v>60</v>
      </c>
      <c r="L569" t="s">
        <v>45</v>
      </c>
      <c r="M569" s="8">
        <v>530.73599999999999</v>
      </c>
      <c r="N569" s="7">
        <v>2653.68</v>
      </c>
      <c r="O569" t="s">
        <v>46</v>
      </c>
      <c r="P569" t="s">
        <v>40</v>
      </c>
    </row>
    <row r="570" spans="1:16" x14ac:dyDescent="0.25">
      <c r="A570" s="5">
        <v>45820</v>
      </c>
      <c r="B570" t="s">
        <v>41</v>
      </c>
      <c r="C570" t="s">
        <v>42</v>
      </c>
      <c r="D570" t="s">
        <v>34</v>
      </c>
      <c r="E570" t="s">
        <v>129</v>
      </c>
      <c r="F570" t="s">
        <v>108</v>
      </c>
      <c r="G570" t="s">
        <v>689</v>
      </c>
      <c r="H570" s="6">
        <v>23</v>
      </c>
      <c r="I570" s="7">
        <v>26.8</v>
      </c>
      <c r="J570" s="7">
        <v>616.49</v>
      </c>
      <c r="K570" s="6">
        <v>60</v>
      </c>
      <c r="L570" t="s">
        <v>52</v>
      </c>
      <c r="M570" s="8">
        <v>123.298</v>
      </c>
      <c r="N570" s="7">
        <v>616.49</v>
      </c>
      <c r="O570" t="s">
        <v>46</v>
      </c>
      <c r="P570" t="s">
        <v>40</v>
      </c>
    </row>
    <row r="571" spans="1:16" x14ac:dyDescent="0.25">
      <c r="A571" s="5">
        <v>45998</v>
      </c>
      <c r="B571" t="s">
        <v>85</v>
      </c>
      <c r="C571" t="s">
        <v>86</v>
      </c>
      <c r="D571" t="s">
        <v>58</v>
      </c>
      <c r="E571" t="s">
        <v>83</v>
      </c>
      <c r="F571" t="s">
        <v>71</v>
      </c>
      <c r="G571" t="s">
        <v>690</v>
      </c>
      <c r="H571" s="6">
        <v>76</v>
      </c>
      <c r="I571" s="7">
        <v>78.3</v>
      </c>
      <c r="J571" s="7">
        <v>5950.78</v>
      </c>
      <c r="K571" s="6">
        <v>30</v>
      </c>
      <c r="L571" t="s">
        <v>45</v>
      </c>
      <c r="M571" s="8">
        <v>1190.1559999999999</v>
      </c>
      <c r="N571" s="7">
        <v>5950.78</v>
      </c>
      <c r="O571" t="s">
        <v>39</v>
      </c>
      <c r="P571" t="s">
        <v>40</v>
      </c>
    </row>
    <row r="572" spans="1:16" x14ac:dyDescent="0.25">
      <c r="A572" s="5">
        <v>45748</v>
      </c>
      <c r="B572" t="s">
        <v>67</v>
      </c>
      <c r="C572" t="s">
        <v>68</v>
      </c>
      <c r="D572" t="s">
        <v>69</v>
      </c>
      <c r="E572" t="s">
        <v>59</v>
      </c>
      <c r="F572" t="s">
        <v>60</v>
      </c>
      <c r="G572" t="s">
        <v>691</v>
      </c>
      <c r="H572" s="6">
        <v>1</v>
      </c>
      <c r="I572" s="7">
        <v>222.24</v>
      </c>
      <c r="J572" s="7">
        <v>222.24</v>
      </c>
      <c r="K572" s="6">
        <v>60</v>
      </c>
      <c r="L572" t="s">
        <v>52</v>
      </c>
      <c r="M572" s="8">
        <v>44.448</v>
      </c>
      <c r="N572" s="7">
        <v>222.24</v>
      </c>
      <c r="O572" t="s">
        <v>39</v>
      </c>
      <c r="P572" t="s">
        <v>40</v>
      </c>
    </row>
    <row r="573" spans="1:16" x14ac:dyDescent="0.25">
      <c r="A573" s="5">
        <v>45966</v>
      </c>
      <c r="B573" t="s">
        <v>103</v>
      </c>
      <c r="C573" t="s">
        <v>104</v>
      </c>
      <c r="D573" t="s">
        <v>58</v>
      </c>
      <c r="E573" t="s">
        <v>49</v>
      </c>
      <c r="F573" t="s">
        <v>50</v>
      </c>
      <c r="G573" t="s">
        <v>692</v>
      </c>
      <c r="H573" s="6">
        <v>41</v>
      </c>
      <c r="I573" s="7">
        <v>301.73</v>
      </c>
      <c r="J573" s="7">
        <v>12370.93</v>
      </c>
      <c r="K573" s="6">
        <v>60</v>
      </c>
      <c r="L573" t="s">
        <v>38</v>
      </c>
      <c r="M573" s="8">
        <v>2474.1860000000001</v>
      </c>
      <c r="N573" s="7">
        <v>12370.93</v>
      </c>
      <c r="O573" t="s">
        <v>39</v>
      </c>
      <c r="P573" t="s">
        <v>40</v>
      </c>
    </row>
    <row r="574" spans="1:16" x14ac:dyDescent="0.25">
      <c r="A574" s="5">
        <v>45730</v>
      </c>
      <c r="B574" t="s">
        <v>121</v>
      </c>
      <c r="C574" t="s">
        <v>122</v>
      </c>
      <c r="D574" t="s">
        <v>34</v>
      </c>
      <c r="E574" t="s">
        <v>75</v>
      </c>
      <c r="F574" t="s">
        <v>36</v>
      </c>
      <c r="G574" t="s">
        <v>693</v>
      </c>
      <c r="H574" s="6">
        <v>43</v>
      </c>
      <c r="I574" s="7">
        <v>77.8</v>
      </c>
      <c r="J574" s="7">
        <v>3345.59</v>
      </c>
      <c r="K574" s="6">
        <v>60</v>
      </c>
      <c r="L574" t="s">
        <v>38</v>
      </c>
      <c r="M574" s="8">
        <v>669.11800000000005</v>
      </c>
      <c r="N574" s="7">
        <v>3345.59</v>
      </c>
      <c r="O574" t="s">
        <v>46</v>
      </c>
      <c r="P574" t="s">
        <v>40</v>
      </c>
    </row>
    <row r="575" spans="1:16" x14ac:dyDescent="0.25">
      <c r="A575" s="5">
        <v>45743</v>
      </c>
      <c r="B575" t="s">
        <v>100</v>
      </c>
      <c r="C575" t="s">
        <v>101</v>
      </c>
      <c r="D575" t="s">
        <v>69</v>
      </c>
      <c r="E575" t="s">
        <v>132</v>
      </c>
      <c r="F575" t="s">
        <v>71</v>
      </c>
      <c r="G575" t="s">
        <v>694</v>
      </c>
      <c r="H575" s="6">
        <v>12</v>
      </c>
      <c r="I575" s="7">
        <v>84.21</v>
      </c>
      <c r="J575" s="7">
        <v>1010.58</v>
      </c>
      <c r="K575" s="6">
        <v>60</v>
      </c>
      <c r="L575" t="s">
        <v>52</v>
      </c>
      <c r="M575" s="8">
        <v>202.11600000000001</v>
      </c>
      <c r="N575" s="7">
        <v>1010.58</v>
      </c>
      <c r="O575" t="s">
        <v>46</v>
      </c>
      <c r="P575" t="s">
        <v>40</v>
      </c>
    </row>
    <row r="576" spans="1:16" x14ac:dyDescent="0.25">
      <c r="A576" s="5">
        <v>45663</v>
      </c>
      <c r="B576" t="s">
        <v>113</v>
      </c>
      <c r="C576" t="s">
        <v>114</v>
      </c>
      <c r="D576" t="s">
        <v>69</v>
      </c>
      <c r="E576" t="s">
        <v>132</v>
      </c>
      <c r="F576" t="s">
        <v>71</v>
      </c>
      <c r="G576" t="s">
        <v>695</v>
      </c>
      <c r="H576" s="6">
        <v>34</v>
      </c>
      <c r="I576" s="7">
        <v>149.91</v>
      </c>
      <c r="J576" s="7">
        <v>5097.0200000000004</v>
      </c>
      <c r="K576" s="6">
        <v>30</v>
      </c>
      <c r="L576" t="s">
        <v>38</v>
      </c>
      <c r="M576" s="8">
        <v>1019.404</v>
      </c>
      <c r="N576" s="7">
        <v>5097.0200000000004</v>
      </c>
      <c r="O576" t="s">
        <v>46</v>
      </c>
      <c r="P576" t="s">
        <v>40</v>
      </c>
    </row>
    <row r="577" spans="1:16" x14ac:dyDescent="0.25">
      <c r="A577" s="5">
        <v>45789</v>
      </c>
      <c r="B577" t="s">
        <v>32</v>
      </c>
      <c r="C577" t="s">
        <v>33</v>
      </c>
      <c r="D577" t="s">
        <v>34</v>
      </c>
      <c r="E577" t="s">
        <v>75</v>
      </c>
      <c r="F577" t="s">
        <v>36</v>
      </c>
      <c r="G577" t="s">
        <v>696</v>
      </c>
      <c r="H577" s="6">
        <v>14</v>
      </c>
      <c r="I577" s="7">
        <v>19.260000000000002</v>
      </c>
      <c r="J577" s="7">
        <v>269.7</v>
      </c>
      <c r="K577" s="6">
        <v>60</v>
      </c>
      <c r="L577" t="s">
        <v>38</v>
      </c>
      <c r="M577" s="8">
        <v>53.94</v>
      </c>
      <c r="N577" s="7">
        <v>269.7</v>
      </c>
      <c r="O577" t="s">
        <v>46</v>
      </c>
      <c r="P577" t="s">
        <v>40</v>
      </c>
    </row>
    <row r="578" spans="1:16" x14ac:dyDescent="0.25">
      <c r="A578" s="5">
        <v>45872</v>
      </c>
      <c r="B578" t="s">
        <v>110</v>
      </c>
      <c r="C578" t="s">
        <v>111</v>
      </c>
      <c r="D578" t="s">
        <v>58</v>
      </c>
      <c r="E578" t="s">
        <v>96</v>
      </c>
      <c r="F578" t="s">
        <v>97</v>
      </c>
      <c r="G578" t="s">
        <v>697</v>
      </c>
      <c r="H578" s="6">
        <v>22</v>
      </c>
      <c r="I578" s="7">
        <v>341.51</v>
      </c>
      <c r="J578" s="7">
        <v>7513.17</v>
      </c>
      <c r="K578" s="6">
        <v>45</v>
      </c>
      <c r="L578" t="s">
        <v>45</v>
      </c>
      <c r="M578" s="8">
        <v>1502.634</v>
      </c>
      <c r="N578" s="7">
        <v>7513.17</v>
      </c>
      <c r="O578" t="s">
        <v>46</v>
      </c>
      <c r="P578" t="s">
        <v>40</v>
      </c>
    </row>
    <row r="579" spans="1:16" x14ac:dyDescent="0.25">
      <c r="A579" s="5">
        <v>45850</v>
      </c>
      <c r="B579" t="s">
        <v>32</v>
      </c>
      <c r="C579" t="s">
        <v>33</v>
      </c>
      <c r="D579" t="s">
        <v>34</v>
      </c>
      <c r="E579" t="s">
        <v>70</v>
      </c>
      <c r="F579" t="s">
        <v>71</v>
      </c>
      <c r="G579" t="s">
        <v>698</v>
      </c>
      <c r="H579" s="6">
        <v>13</v>
      </c>
      <c r="I579" s="7">
        <v>145.16</v>
      </c>
      <c r="J579" s="7">
        <v>1887.11</v>
      </c>
      <c r="K579" s="6">
        <v>45</v>
      </c>
      <c r="L579" t="s">
        <v>52</v>
      </c>
      <c r="M579" s="8">
        <v>377.42200000000003</v>
      </c>
      <c r="N579" s="7">
        <v>1887.11</v>
      </c>
      <c r="O579" t="s">
        <v>46</v>
      </c>
      <c r="P579" t="s">
        <v>40</v>
      </c>
    </row>
    <row r="580" spans="1:16" x14ac:dyDescent="0.25">
      <c r="A580" s="5">
        <v>45889</v>
      </c>
      <c r="B580" t="s">
        <v>47</v>
      </c>
      <c r="C580" t="s">
        <v>48</v>
      </c>
      <c r="D580" t="s">
        <v>34</v>
      </c>
      <c r="E580" t="s">
        <v>135</v>
      </c>
      <c r="F580" t="s">
        <v>54</v>
      </c>
      <c r="G580" t="s">
        <v>699</v>
      </c>
      <c r="H580" s="6">
        <v>10</v>
      </c>
      <c r="I580" s="7">
        <v>110.86</v>
      </c>
      <c r="J580" s="7">
        <v>1108.57</v>
      </c>
      <c r="K580" s="6">
        <v>30</v>
      </c>
      <c r="L580" t="s">
        <v>45</v>
      </c>
      <c r="M580" s="8">
        <v>221.714</v>
      </c>
      <c r="N580" s="7">
        <v>1108.57</v>
      </c>
      <c r="O580" t="s">
        <v>46</v>
      </c>
      <c r="P580" t="s">
        <v>40</v>
      </c>
    </row>
    <row r="581" spans="1:16" x14ac:dyDescent="0.25">
      <c r="A581" s="5">
        <v>45711</v>
      </c>
      <c r="B581" t="s">
        <v>100</v>
      </c>
      <c r="C581" t="s">
        <v>101</v>
      </c>
      <c r="D581" t="s">
        <v>69</v>
      </c>
      <c r="E581" t="s">
        <v>132</v>
      </c>
      <c r="F581" t="s">
        <v>71</v>
      </c>
      <c r="G581" t="s">
        <v>700</v>
      </c>
      <c r="H581" s="6">
        <v>10</v>
      </c>
      <c r="I581" s="7">
        <v>178.21</v>
      </c>
      <c r="J581" s="7">
        <v>1782.06</v>
      </c>
      <c r="K581" s="6">
        <v>45</v>
      </c>
      <c r="L581" t="s">
        <v>38</v>
      </c>
      <c r="M581" s="8">
        <v>356.41199999999998</v>
      </c>
      <c r="N581" s="7">
        <v>1782.06</v>
      </c>
      <c r="O581" t="s">
        <v>46</v>
      </c>
      <c r="P581" t="s">
        <v>40</v>
      </c>
    </row>
    <row r="582" spans="1:16" x14ac:dyDescent="0.25">
      <c r="A582" s="5">
        <v>45696</v>
      </c>
      <c r="B582" t="s">
        <v>85</v>
      </c>
      <c r="C582" t="s">
        <v>86</v>
      </c>
      <c r="D582" t="s">
        <v>58</v>
      </c>
      <c r="E582" t="s">
        <v>124</v>
      </c>
      <c r="F582" t="s">
        <v>89</v>
      </c>
      <c r="G582" t="s">
        <v>701</v>
      </c>
      <c r="H582" s="6">
        <v>71</v>
      </c>
      <c r="I582" s="7">
        <v>216.83</v>
      </c>
      <c r="J582" s="7">
        <v>15395.18</v>
      </c>
      <c r="K582" s="6">
        <v>30</v>
      </c>
      <c r="L582" t="s">
        <v>45</v>
      </c>
      <c r="M582" s="8">
        <v>3079.0360000000001</v>
      </c>
      <c r="N582" s="7">
        <v>15395.18</v>
      </c>
      <c r="O582" t="s">
        <v>46</v>
      </c>
      <c r="P582" t="s">
        <v>40</v>
      </c>
    </row>
    <row r="583" spans="1:16" x14ac:dyDescent="0.25">
      <c r="A583" s="5">
        <v>45673</v>
      </c>
      <c r="B583" t="s">
        <v>80</v>
      </c>
      <c r="C583" t="s">
        <v>81</v>
      </c>
      <c r="D583" t="s">
        <v>64</v>
      </c>
      <c r="E583" t="s">
        <v>129</v>
      </c>
      <c r="F583" t="s">
        <v>108</v>
      </c>
      <c r="G583" t="s">
        <v>702</v>
      </c>
      <c r="H583" s="6">
        <v>56</v>
      </c>
      <c r="I583" s="7">
        <v>59.68</v>
      </c>
      <c r="J583" s="7">
        <v>3342.36</v>
      </c>
      <c r="K583" s="6">
        <v>60</v>
      </c>
      <c r="L583" t="s">
        <v>38</v>
      </c>
      <c r="M583" s="8">
        <v>668.47199999999998</v>
      </c>
      <c r="N583" s="7">
        <v>3342.36</v>
      </c>
      <c r="O583" t="s">
        <v>46</v>
      </c>
      <c r="P583" t="s">
        <v>40</v>
      </c>
    </row>
    <row r="584" spans="1:16" x14ac:dyDescent="0.25">
      <c r="A584" s="5">
        <v>45685</v>
      </c>
      <c r="B584" t="s">
        <v>91</v>
      </c>
      <c r="C584" t="s">
        <v>92</v>
      </c>
      <c r="D584" t="s">
        <v>64</v>
      </c>
      <c r="E584" t="s">
        <v>204</v>
      </c>
      <c r="F584" t="s">
        <v>97</v>
      </c>
      <c r="G584" t="s">
        <v>703</v>
      </c>
      <c r="H584" s="6">
        <v>13</v>
      </c>
      <c r="I584" s="7">
        <v>424.88</v>
      </c>
      <c r="J584" s="7">
        <v>5523.47</v>
      </c>
      <c r="K584" s="6">
        <v>45</v>
      </c>
      <c r="L584" t="s">
        <v>38</v>
      </c>
      <c r="M584" s="8">
        <v>1104.694</v>
      </c>
      <c r="N584" s="7">
        <v>5523.47</v>
      </c>
      <c r="O584" t="s">
        <v>46</v>
      </c>
      <c r="P584" t="s">
        <v>40</v>
      </c>
    </row>
    <row r="585" spans="1:16" x14ac:dyDescent="0.25">
      <c r="A585" s="5">
        <v>45941</v>
      </c>
      <c r="B585" t="s">
        <v>110</v>
      </c>
      <c r="C585" t="s">
        <v>111</v>
      </c>
      <c r="D585" t="s">
        <v>58</v>
      </c>
      <c r="E585" t="s">
        <v>105</v>
      </c>
      <c r="F585" t="s">
        <v>97</v>
      </c>
      <c r="G585" t="s">
        <v>704</v>
      </c>
      <c r="H585" s="6">
        <v>70</v>
      </c>
      <c r="I585" s="7">
        <v>1045.93</v>
      </c>
      <c r="J585" s="7">
        <v>73215.23</v>
      </c>
      <c r="K585" s="6">
        <v>45</v>
      </c>
      <c r="L585" t="s">
        <v>52</v>
      </c>
      <c r="M585" s="8">
        <v>14643.046</v>
      </c>
      <c r="N585" s="7">
        <v>73215.23</v>
      </c>
      <c r="O585" t="s">
        <v>46</v>
      </c>
      <c r="P585" t="s">
        <v>40</v>
      </c>
    </row>
    <row r="586" spans="1:16" x14ac:dyDescent="0.25">
      <c r="A586" s="5">
        <v>45707</v>
      </c>
      <c r="B586" t="s">
        <v>201</v>
      </c>
      <c r="C586" t="s">
        <v>202</v>
      </c>
      <c r="D586" t="s">
        <v>64</v>
      </c>
      <c r="E586" t="s">
        <v>59</v>
      </c>
      <c r="F586" t="s">
        <v>60</v>
      </c>
      <c r="G586" t="s">
        <v>705</v>
      </c>
      <c r="H586" s="6">
        <v>7</v>
      </c>
      <c r="I586" s="7">
        <v>243.14</v>
      </c>
      <c r="J586" s="7">
        <v>1702.01</v>
      </c>
      <c r="K586" s="6">
        <v>45</v>
      </c>
      <c r="L586" t="s">
        <v>52</v>
      </c>
      <c r="M586" s="8">
        <v>340.40199999999999</v>
      </c>
      <c r="N586" s="7">
        <v>1702.01</v>
      </c>
      <c r="O586" t="s">
        <v>39</v>
      </c>
      <c r="P586" t="s">
        <v>40</v>
      </c>
    </row>
    <row r="587" spans="1:16" x14ac:dyDescent="0.25">
      <c r="A587" s="5">
        <v>45685</v>
      </c>
      <c r="B587" t="s">
        <v>73</v>
      </c>
      <c r="C587" t="s">
        <v>74</v>
      </c>
      <c r="D587" t="s">
        <v>69</v>
      </c>
      <c r="E587" t="s">
        <v>107</v>
      </c>
      <c r="F587" t="s">
        <v>108</v>
      </c>
      <c r="G587" t="s">
        <v>706</v>
      </c>
      <c r="H587" s="6">
        <v>47</v>
      </c>
      <c r="I587" s="7">
        <v>85.97</v>
      </c>
      <c r="J587" s="7">
        <v>4040.63</v>
      </c>
      <c r="K587" s="6">
        <v>30</v>
      </c>
      <c r="L587" t="s">
        <v>45</v>
      </c>
      <c r="M587" s="8">
        <v>808.12599999999998</v>
      </c>
      <c r="N587" s="7">
        <v>4040.63</v>
      </c>
      <c r="O587" t="s">
        <v>46</v>
      </c>
      <c r="P587" t="s">
        <v>40</v>
      </c>
    </row>
    <row r="588" spans="1:16" x14ac:dyDescent="0.25">
      <c r="A588" s="5">
        <v>45978</v>
      </c>
      <c r="B588" t="s">
        <v>85</v>
      </c>
      <c r="C588" t="s">
        <v>86</v>
      </c>
      <c r="D588" t="s">
        <v>58</v>
      </c>
      <c r="E588" t="s">
        <v>115</v>
      </c>
      <c r="F588" t="s">
        <v>60</v>
      </c>
      <c r="G588" t="s">
        <v>707</v>
      </c>
      <c r="H588" s="6">
        <v>77</v>
      </c>
      <c r="I588" s="7">
        <v>170.88</v>
      </c>
      <c r="J588" s="7">
        <v>13157.99</v>
      </c>
      <c r="K588" s="6">
        <v>45</v>
      </c>
      <c r="L588" t="s">
        <v>38</v>
      </c>
      <c r="M588" s="8">
        <v>2631.598</v>
      </c>
      <c r="N588" s="7">
        <v>13157.99</v>
      </c>
      <c r="O588" t="s">
        <v>46</v>
      </c>
      <c r="P588" t="s">
        <v>40</v>
      </c>
    </row>
    <row r="589" spans="1:16" x14ac:dyDescent="0.25">
      <c r="A589" s="5">
        <v>45745</v>
      </c>
      <c r="B589" t="s">
        <v>62</v>
      </c>
      <c r="C589" t="s">
        <v>63</v>
      </c>
      <c r="D589" t="s">
        <v>64</v>
      </c>
      <c r="E589" t="s">
        <v>49</v>
      </c>
      <c r="F589" t="s">
        <v>50</v>
      </c>
      <c r="G589" t="s">
        <v>708</v>
      </c>
      <c r="H589" s="6">
        <v>38</v>
      </c>
      <c r="I589" s="7">
        <v>75.19</v>
      </c>
      <c r="J589" s="7">
        <v>2857.39</v>
      </c>
      <c r="K589" s="6">
        <v>30</v>
      </c>
      <c r="L589" t="s">
        <v>45</v>
      </c>
      <c r="M589" s="8">
        <v>571.47799999999995</v>
      </c>
      <c r="N589" s="7">
        <v>2857.39</v>
      </c>
      <c r="O589" t="s">
        <v>39</v>
      </c>
      <c r="P589" t="s">
        <v>40</v>
      </c>
    </row>
    <row r="590" spans="1:16" x14ac:dyDescent="0.25">
      <c r="A590" s="5">
        <v>45899</v>
      </c>
      <c r="B590" t="s">
        <v>121</v>
      </c>
      <c r="C590" t="s">
        <v>122</v>
      </c>
      <c r="D590" t="s">
        <v>34</v>
      </c>
      <c r="E590" t="s">
        <v>149</v>
      </c>
      <c r="F590" t="s">
        <v>60</v>
      </c>
      <c r="G590" t="s">
        <v>709</v>
      </c>
      <c r="H590" s="6">
        <v>63</v>
      </c>
      <c r="I590" s="7">
        <v>347.34</v>
      </c>
      <c r="J590" s="7">
        <v>21882.6</v>
      </c>
      <c r="K590" s="6">
        <v>60</v>
      </c>
      <c r="L590" t="s">
        <v>45</v>
      </c>
      <c r="M590" s="8">
        <v>4376.5200000000004</v>
      </c>
      <c r="N590" s="7">
        <v>21882.6</v>
      </c>
      <c r="O590" t="s">
        <v>46</v>
      </c>
      <c r="P590" t="s">
        <v>40</v>
      </c>
    </row>
    <row r="591" spans="1:16" x14ac:dyDescent="0.25">
      <c r="A591" s="5">
        <v>45847</v>
      </c>
      <c r="B591" t="s">
        <v>47</v>
      </c>
      <c r="C591" t="s">
        <v>48</v>
      </c>
      <c r="D591" t="s">
        <v>34</v>
      </c>
      <c r="E591" t="s">
        <v>204</v>
      </c>
      <c r="F591" t="s">
        <v>97</v>
      </c>
      <c r="G591" t="s">
        <v>710</v>
      </c>
      <c r="H591" s="6">
        <v>49</v>
      </c>
      <c r="I591" s="7">
        <v>187.34</v>
      </c>
      <c r="J591" s="7">
        <v>9179.76</v>
      </c>
      <c r="K591" s="6">
        <v>45</v>
      </c>
      <c r="L591" t="s">
        <v>38</v>
      </c>
      <c r="M591" s="8">
        <v>1835.952</v>
      </c>
      <c r="N591" s="7">
        <v>9179.76</v>
      </c>
      <c r="O591" t="s">
        <v>46</v>
      </c>
      <c r="P591" t="s">
        <v>40</v>
      </c>
    </row>
    <row r="592" spans="1:16" x14ac:dyDescent="0.25">
      <c r="A592" s="5">
        <v>45883</v>
      </c>
      <c r="B592" t="s">
        <v>118</v>
      </c>
      <c r="C592" t="s">
        <v>119</v>
      </c>
      <c r="D592" t="s">
        <v>64</v>
      </c>
      <c r="E592" t="s">
        <v>210</v>
      </c>
      <c r="F592" t="s">
        <v>50</v>
      </c>
      <c r="G592" t="s">
        <v>711</v>
      </c>
      <c r="H592" s="6">
        <v>60</v>
      </c>
      <c r="I592" s="7">
        <v>124.82</v>
      </c>
      <c r="J592" s="7">
        <v>7489.05</v>
      </c>
      <c r="K592" s="6">
        <v>45</v>
      </c>
      <c r="L592" t="s">
        <v>38</v>
      </c>
      <c r="M592" s="8">
        <v>1497.81</v>
      </c>
      <c r="N592" s="7">
        <v>7489.05</v>
      </c>
      <c r="O592" t="s">
        <v>46</v>
      </c>
      <c r="P592" t="s">
        <v>40</v>
      </c>
    </row>
    <row r="593" spans="1:16" x14ac:dyDescent="0.25">
      <c r="A593" s="5">
        <v>46014</v>
      </c>
      <c r="B593" t="s">
        <v>67</v>
      </c>
      <c r="C593" t="s">
        <v>68</v>
      </c>
      <c r="D593" t="s">
        <v>69</v>
      </c>
      <c r="E593" t="s">
        <v>49</v>
      </c>
      <c r="F593" t="s">
        <v>50</v>
      </c>
      <c r="G593" t="s">
        <v>712</v>
      </c>
      <c r="H593" s="6">
        <v>13</v>
      </c>
      <c r="I593" s="7">
        <v>92.28</v>
      </c>
      <c r="J593" s="7">
        <v>1199.58</v>
      </c>
      <c r="K593" s="6">
        <v>30</v>
      </c>
      <c r="L593" t="s">
        <v>52</v>
      </c>
      <c r="M593" s="8">
        <v>239.916</v>
      </c>
      <c r="N593" s="7">
        <v>1199.58</v>
      </c>
      <c r="O593" t="s">
        <v>39</v>
      </c>
      <c r="P593" t="s">
        <v>40</v>
      </c>
    </row>
    <row r="594" spans="1:16" x14ac:dyDescent="0.25">
      <c r="A594" s="5">
        <v>45774</v>
      </c>
      <c r="B594" t="s">
        <v>32</v>
      </c>
      <c r="C594" t="s">
        <v>33</v>
      </c>
      <c r="D594" t="s">
        <v>34</v>
      </c>
      <c r="E594" t="s">
        <v>105</v>
      </c>
      <c r="F594" t="s">
        <v>97</v>
      </c>
      <c r="G594" t="s">
        <v>713</v>
      </c>
      <c r="H594" s="6">
        <v>71</v>
      </c>
      <c r="I594" s="7">
        <v>390.42</v>
      </c>
      <c r="J594" s="7">
        <v>27719.77</v>
      </c>
      <c r="K594" s="6">
        <v>30</v>
      </c>
      <c r="L594" t="s">
        <v>45</v>
      </c>
      <c r="M594" s="8">
        <v>5543.9539999999997</v>
      </c>
      <c r="N594" s="7">
        <v>27719.77</v>
      </c>
      <c r="O594" t="s">
        <v>46</v>
      </c>
      <c r="P594" t="s">
        <v>40</v>
      </c>
    </row>
    <row r="595" spans="1:16" x14ac:dyDescent="0.25">
      <c r="A595" s="5">
        <v>46009</v>
      </c>
      <c r="B595" t="s">
        <v>67</v>
      </c>
      <c r="C595" t="s">
        <v>68</v>
      </c>
      <c r="D595" t="s">
        <v>69</v>
      </c>
      <c r="E595" t="s">
        <v>105</v>
      </c>
      <c r="F595" t="s">
        <v>97</v>
      </c>
      <c r="G595" t="s">
        <v>714</v>
      </c>
      <c r="H595" s="6">
        <v>61</v>
      </c>
      <c r="I595" s="7">
        <v>360.43</v>
      </c>
      <c r="J595" s="7">
        <v>21986.21</v>
      </c>
      <c r="K595" s="6">
        <v>60</v>
      </c>
      <c r="L595" t="s">
        <v>38</v>
      </c>
      <c r="M595" s="8">
        <v>4397.2420000000002</v>
      </c>
      <c r="N595" s="7">
        <v>21986.21</v>
      </c>
      <c r="O595" t="s">
        <v>46</v>
      </c>
      <c r="P595" t="s">
        <v>40</v>
      </c>
    </row>
    <row r="596" spans="1:16" x14ac:dyDescent="0.25">
      <c r="A596" s="5">
        <v>45860</v>
      </c>
      <c r="B596" t="s">
        <v>110</v>
      </c>
      <c r="C596" t="s">
        <v>111</v>
      </c>
      <c r="D596" t="s">
        <v>58</v>
      </c>
      <c r="E596" t="s">
        <v>59</v>
      </c>
      <c r="F596" t="s">
        <v>60</v>
      </c>
      <c r="G596" t="s">
        <v>715</v>
      </c>
      <c r="H596" s="6">
        <v>5</v>
      </c>
      <c r="I596" s="7">
        <v>389.27</v>
      </c>
      <c r="J596" s="7">
        <v>1946.35</v>
      </c>
      <c r="K596" s="6">
        <v>60</v>
      </c>
      <c r="L596" t="s">
        <v>52</v>
      </c>
      <c r="M596" s="8">
        <v>389.27</v>
      </c>
      <c r="N596" s="7">
        <v>1946.35</v>
      </c>
      <c r="O596" t="s">
        <v>39</v>
      </c>
      <c r="P596" t="s">
        <v>40</v>
      </c>
    </row>
    <row r="597" spans="1:16" x14ac:dyDescent="0.25">
      <c r="A597" s="5">
        <v>45887</v>
      </c>
      <c r="B597" t="s">
        <v>47</v>
      </c>
      <c r="C597" t="s">
        <v>48</v>
      </c>
      <c r="D597" t="s">
        <v>34</v>
      </c>
      <c r="E597" t="s">
        <v>154</v>
      </c>
      <c r="F597" t="s">
        <v>89</v>
      </c>
      <c r="G597" t="s">
        <v>716</v>
      </c>
      <c r="H597" s="6">
        <v>23</v>
      </c>
      <c r="I597" s="7">
        <v>135.97</v>
      </c>
      <c r="J597" s="7">
        <v>3127.35</v>
      </c>
      <c r="K597" s="6">
        <v>30</v>
      </c>
      <c r="L597" t="s">
        <v>38</v>
      </c>
      <c r="M597" s="8">
        <v>625.47</v>
      </c>
      <c r="N597" s="7">
        <v>3127.35</v>
      </c>
      <c r="O597" t="s">
        <v>39</v>
      </c>
      <c r="P597" t="s">
        <v>40</v>
      </c>
    </row>
    <row r="598" spans="1:16" x14ac:dyDescent="0.25">
      <c r="A598" s="5">
        <v>45874</v>
      </c>
      <c r="B598" t="s">
        <v>103</v>
      </c>
      <c r="C598" t="s">
        <v>104</v>
      </c>
      <c r="D598" t="s">
        <v>58</v>
      </c>
      <c r="E598" t="s">
        <v>154</v>
      </c>
      <c r="F598" t="s">
        <v>89</v>
      </c>
      <c r="G598" t="s">
        <v>717</v>
      </c>
      <c r="H598" s="6">
        <v>11</v>
      </c>
      <c r="I598" s="7">
        <v>155.16999999999999</v>
      </c>
      <c r="J598" s="7">
        <v>1706.88</v>
      </c>
      <c r="K598" s="6">
        <v>60</v>
      </c>
      <c r="L598" t="s">
        <v>45</v>
      </c>
      <c r="M598" s="8">
        <v>341.37599999999998</v>
      </c>
      <c r="N598" s="7">
        <v>1706.88</v>
      </c>
      <c r="O598" t="s">
        <v>39</v>
      </c>
      <c r="P598" t="s">
        <v>40</v>
      </c>
    </row>
    <row r="599" spans="1:16" x14ac:dyDescent="0.25">
      <c r="A599" s="5">
        <v>45790</v>
      </c>
      <c r="B599" t="s">
        <v>41</v>
      </c>
      <c r="C599" t="s">
        <v>42</v>
      </c>
      <c r="D599" t="s">
        <v>34</v>
      </c>
      <c r="E599" t="s">
        <v>124</v>
      </c>
      <c r="F599" t="s">
        <v>89</v>
      </c>
      <c r="G599" t="s">
        <v>718</v>
      </c>
      <c r="H599" s="6">
        <v>41</v>
      </c>
      <c r="I599" s="7">
        <v>105.07</v>
      </c>
      <c r="J599" s="7">
        <v>4307.91</v>
      </c>
      <c r="K599" s="6">
        <v>60</v>
      </c>
      <c r="L599" t="s">
        <v>38</v>
      </c>
      <c r="M599" s="8">
        <v>861.58199999999999</v>
      </c>
      <c r="N599" s="7">
        <v>4307.91</v>
      </c>
      <c r="O599" t="s">
        <v>46</v>
      </c>
      <c r="P599" t="s">
        <v>40</v>
      </c>
    </row>
    <row r="600" spans="1:16" x14ac:dyDescent="0.25">
      <c r="A600" s="5">
        <v>45861</v>
      </c>
      <c r="B600" t="s">
        <v>41</v>
      </c>
      <c r="C600" t="s">
        <v>42</v>
      </c>
      <c r="D600" t="s">
        <v>34</v>
      </c>
      <c r="E600" t="s">
        <v>105</v>
      </c>
      <c r="F600" t="s">
        <v>97</v>
      </c>
      <c r="G600" t="s">
        <v>719</v>
      </c>
      <c r="H600" s="6">
        <v>71</v>
      </c>
      <c r="I600" s="7">
        <v>234.96</v>
      </c>
      <c r="J600" s="7">
        <v>16682.259999999998</v>
      </c>
      <c r="K600" s="6">
        <v>45</v>
      </c>
      <c r="L600" t="s">
        <v>45</v>
      </c>
      <c r="M600" s="8">
        <v>3336.4520000000002</v>
      </c>
      <c r="N600" s="7">
        <v>16682.259999999998</v>
      </c>
      <c r="O600" t="s">
        <v>46</v>
      </c>
      <c r="P600" t="s">
        <v>40</v>
      </c>
    </row>
    <row r="601" spans="1:16" x14ac:dyDescent="0.25">
      <c r="A601" s="5">
        <v>46016</v>
      </c>
      <c r="B601" t="s">
        <v>201</v>
      </c>
      <c r="C601" t="s">
        <v>202</v>
      </c>
      <c r="D601" t="s">
        <v>64</v>
      </c>
      <c r="E601" t="s">
        <v>107</v>
      </c>
      <c r="F601" t="s">
        <v>108</v>
      </c>
      <c r="G601" t="s">
        <v>720</v>
      </c>
      <c r="H601" s="6">
        <v>80</v>
      </c>
      <c r="I601" s="7">
        <v>92.3</v>
      </c>
      <c r="J601" s="7">
        <v>7383.7</v>
      </c>
      <c r="K601" s="6">
        <v>60</v>
      </c>
      <c r="L601" t="s">
        <v>52</v>
      </c>
      <c r="M601" s="8">
        <v>1476.74</v>
      </c>
      <c r="N601" s="7">
        <v>7383.7</v>
      </c>
      <c r="O601" t="s">
        <v>46</v>
      </c>
      <c r="P601" t="s">
        <v>40</v>
      </c>
    </row>
    <row r="602" spans="1:16" x14ac:dyDescent="0.25">
      <c r="A602" s="5">
        <v>45734</v>
      </c>
      <c r="B602" t="s">
        <v>80</v>
      </c>
      <c r="C602" t="s">
        <v>81</v>
      </c>
      <c r="D602" t="s">
        <v>64</v>
      </c>
      <c r="E602" t="s">
        <v>75</v>
      </c>
      <c r="F602" t="s">
        <v>36</v>
      </c>
      <c r="G602" t="s">
        <v>721</v>
      </c>
      <c r="H602" s="6">
        <v>19</v>
      </c>
      <c r="I602" s="7">
        <v>98.57</v>
      </c>
      <c r="J602" s="7">
        <v>1872.76</v>
      </c>
      <c r="K602" s="6">
        <v>60</v>
      </c>
      <c r="L602" t="s">
        <v>52</v>
      </c>
      <c r="M602" s="8">
        <v>374.55200000000002</v>
      </c>
      <c r="N602" s="7">
        <v>1872.76</v>
      </c>
      <c r="O602" t="s">
        <v>46</v>
      </c>
      <c r="P602" t="s">
        <v>40</v>
      </c>
    </row>
    <row r="603" spans="1:16" x14ac:dyDescent="0.25">
      <c r="A603" s="5">
        <v>45946</v>
      </c>
      <c r="B603" t="s">
        <v>91</v>
      </c>
      <c r="C603" t="s">
        <v>92</v>
      </c>
      <c r="D603" t="s">
        <v>64</v>
      </c>
      <c r="E603" t="s">
        <v>127</v>
      </c>
      <c r="F603" t="s">
        <v>36</v>
      </c>
      <c r="G603" t="s">
        <v>722</v>
      </c>
      <c r="H603" s="6">
        <v>13</v>
      </c>
      <c r="I603" s="7">
        <v>39.14</v>
      </c>
      <c r="J603" s="7">
        <v>508.85</v>
      </c>
      <c r="K603" s="6">
        <v>45</v>
      </c>
      <c r="L603" t="s">
        <v>52</v>
      </c>
      <c r="M603" s="8">
        <v>101.77</v>
      </c>
      <c r="N603" s="7">
        <v>508.85</v>
      </c>
      <c r="O603" t="s">
        <v>39</v>
      </c>
      <c r="P603" t="s">
        <v>40</v>
      </c>
    </row>
    <row r="604" spans="1:16" x14ac:dyDescent="0.25">
      <c r="A604" s="5">
        <v>45854</v>
      </c>
      <c r="B604" t="s">
        <v>73</v>
      </c>
      <c r="C604" t="s">
        <v>74</v>
      </c>
      <c r="D604" t="s">
        <v>69</v>
      </c>
      <c r="E604" t="s">
        <v>96</v>
      </c>
      <c r="F604" t="s">
        <v>97</v>
      </c>
      <c r="G604" t="s">
        <v>723</v>
      </c>
      <c r="H604" s="6">
        <v>63</v>
      </c>
      <c r="I604" s="7">
        <v>483.99</v>
      </c>
      <c r="J604" s="7">
        <v>30491.42</v>
      </c>
      <c r="K604" s="6">
        <v>60</v>
      </c>
      <c r="L604" t="s">
        <v>52</v>
      </c>
      <c r="M604" s="8">
        <v>6098.2839999999997</v>
      </c>
      <c r="N604" s="7">
        <v>30491.42</v>
      </c>
      <c r="O604" t="s">
        <v>46</v>
      </c>
      <c r="P604" t="s">
        <v>40</v>
      </c>
    </row>
    <row r="605" spans="1:16" x14ac:dyDescent="0.25">
      <c r="A605" s="5">
        <v>45799</v>
      </c>
      <c r="B605" t="s">
        <v>56</v>
      </c>
      <c r="C605" t="s">
        <v>57</v>
      </c>
      <c r="D605" t="s">
        <v>58</v>
      </c>
      <c r="E605" t="s">
        <v>49</v>
      </c>
      <c r="F605" t="s">
        <v>50</v>
      </c>
      <c r="G605" t="s">
        <v>724</v>
      </c>
      <c r="H605" s="6">
        <v>52</v>
      </c>
      <c r="I605" s="7">
        <v>252.92</v>
      </c>
      <c r="J605" s="7">
        <v>13152.09</v>
      </c>
      <c r="K605" s="6">
        <v>30</v>
      </c>
      <c r="L605" t="s">
        <v>52</v>
      </c>
      <c r="M605" s="8">
        <v>2630.4180000000001</v>
      </c>
      <c r="N605" s="7">
        <v>13152.09</v>
      </c>
      <c r="O605" t="s">
        <v>39</v>
      </c>
      <c r="P605" t="s">
        <v>40</v>
      </c>
    </row>
    <row r="606" spans="1:16" x14ac:dyDescent="0.25">
      <c r="A606" s="5">
        <v>45860</v>
      </c>
      <c r="B606" t="s">
        <v>103</v>
      </c>
      <c r="C606" t="s">
        <v>104</v>
      </c>
      <c r="D606" t="s">
        <v>58</v>
      </c>
      <c r="E606" t="s">
        <v>204</v>
      </c>
      <c r="F606" t="s">
        <v>97</v>
      </c>
      <c r="G606" t="s">
        <v>725</v>
      </c>
      <c r="H606" s="6">
        <v>43</v>
      </c>
      <c r="I606" s="7">
        <v>376.6</v>
      </c>
      <c r="J606" s="7">
        <v>16193.61</v>
      </c>
      <c r="K606" s="6">
        <v>60</v>
      </c>
      <c r="L606" t="s">
        <v>38</v>
      </c>
      <c r="M606" s="8">
        <v>3238.7220000000002</v>
      </c>
      <c r="N606" s="7">
        <v>16193.61</v>
      </c>
      <c r="O606" t="s">
        <v>46</v>
      </c>
      <c r="P606" t="s">
        <v>40</v>
      </c>
    </row>
    <row r="607" spans="1:16" x14ac:dyDescent="0.25">
      <c r="A607" s="5">
        <v>45848</v>
      </c>
      <c r="B607" t="s">
        <v>118</v>
      </c>
      <c r="C607" t="s">
        <v>119</v>
      </c>
      <c r="D607" t="s">
        <v>64</v>
      </c>
      <c r="E607" t="s">
        <v>139</v>
      </c>
      <c r="F607" t="s">
        <v>108</v>
      </c>
      <c r="G607" t="s">
        <v>726</v>
      </c>
      <c r="H607" s="6">
        <v>3</v>
      </c>
      <c r="I607" s="7">
        <v>210.55</v>
      </c>
      <c r="J607" s="7">
        <v>631.65</v>
      </c>
      <c r="K607" s="6">
        <v>45</v>
      </c>
      <c r="L607" t="s">
        <v>45</v>
      </c>
      <c r="M607" s="8">
        <v>126.33</v>
      </c>
      <c r="N607" s="7">
        <v>631.65</v>
      </c>
      <c r="O607" t="s">
        <v>46</v>
      </c>
      <c r="P607" t="s">
        <v>40</v>
      </c>
    </row>
    <row r="608" spans="1:16" x14ac:dyDescent="0.25">
      <c r="A608" s="5">
        <v>46014</v>
      </c>
      <c r="B608" t="s">
        <v>32</v>
      </c>
      <c r="C608" t="s">
        <v>33</v>
      </c>
      <c r="D608" t="s">
        <v>34</v>
      </c>
      <c r="E608" t="s">
        <v>149</v>
      </c>
      <c r="F608" t="s">
        <v>60</v>
      </c>
      <c r="G608" t="s">
        <v>727</v>
      </c>
      <c r="H608" s="6">
        <v>13</v>
      </c>
      <c r="I608" s="7">
        <v>143.75</v>
      </c>
      <c r="J608" s="7">
        <v>1868.69</v>
      </c>
      <c r="K608" s="6">
        <v>30</v>
      </c>
      <c r="L608" t="s">
        <v>38</v>
      </c>
      <c r="M608" s="8">
        <v>373.738</v>
      </c>
      <c r="N608" s="7">
        <v>1868.69</v>
      </c>
      <c r="O608" t="s">
        <v>46</v>
      </c>
      <c r="P608" t="s">
        <v>40</v>
      </c>
    </row>
    <row r="609" spans="1:16" x14ac:dyDescent="0.25">
      <c r="A609" s="5">
        <v>45795</v>
      </c>
      <c r="B609" t="s">
        <v>201</v>
      </c>
      <c r="C609" t="s">
        <v>202</v>
      </c>
      <c r="D609" t="s">
        <v>64</v>
      </c>
      <c r="E609" t="s">
        <v>139</v>
      </c>
      <c r="F609" t="s">
        <v>108</v>
      </c>
      <c r="G609" t="s">
        <v>728</v>
      </c>
      <c r="H609" s="6">
        <v>54</v>
      </c>
      <c r="I609" s="7">
        <v>37.82</v>
      </c>
      <c r="J609" s="7">
        <v>2042.46</v>
      </c>
      <c r="K609" s="6">
        <v>60</v>
      </c>
      <c r="L609" t="s">
        <v>52</v>
      </c>
      <c r="M609" s="8">
        <v>408.49200000000002</v>
      </c>
      <c r="N609" s="7">
        <v>2042.46</v>
      </c>
      <c r="O609" t="s">
        <v>46</v>
      </c>
      <c r="P609" t="s">
        <v>40</v>
      </c>
    </row>
    <row r="610" spans="1:16" x14ac:dyDescent="0.25">
      <c r="A610" s="5">
        <v>45766</v>
      </c>
      <c r="B610" t="s">
        <v>94</v>
      </c>
      <c r="C610" t="s">
        <v>95</v>
      </c>
      <c r="D610" t="s">
        <v>34</v>
      </c>
      <c r="E610" t="s">
        <v>65</v>
      </c>
      <c r="F610" t="s">
        <v>54</v>
      </c>
      <c r="G610" t="s">
        <v>729</v>
      </c>
      <c r="H610" s="6">
        <v>53</v>
      </c>
      <c r="I610" s="7">
        <v>93.99</v>
      </c>
      <c r="J610" s="7">
        <v>4981.3500000000004</v>
      </c>
      <c r="K610" s="6">
        <v>60</v>
      </c>
      <c r="L610" t="s">
        <v>45</v>
      </c>
      <c r="M610" s="8">
        <v>996.27</v>
      </c>
      <c r="N610" s="7">
        <v>4981.3500000000004</v>
      </c>
      <c r="O610" t="s">
        <v>46</v>
      </c>
      <c r="P610" t="s">
        <v>40</v>
      </c>
    </row>
    <row r="611" spans="1:16" x14ac:dyDescent="0.25">
      <c r="A611" s="5">
        <v>45921</v>
      </c>
      <c r="B611" t="s">
        <v>85</v>
      </c>
      <c r="C611" t="s">
        <v>86</v>
      </c>
      <c r="D611" t="s">
        <v>58</v>
      </c>
      <c r="E611" t="s">
        <v>83</v>
      </c>
      <c r="F611" t="s">
        <v>71</v>
      </c>
      <c r="G611" t="s">
        <v>730</v>
      </c>
      <c r="H611" s="6">
        <v>21</v>
      </c>
      <c r="I611" s="7">
        <v>216.31</v>
      </c>
      <c r="J611" s="7">
        <v>4542.46</v>
      </c>
      <c r="K611" s="6">
        <v>30</v>
      </c>
      <c r="L611" t="s">
        <v>45</v>
      </c>
      <c r="M611" s="8">
        <v>908.49199999999996</v>
      </c>
      <c r="N611" s="7">
        <v>4542.46</v>
      </c>
      <c r="O611" t="s">
        <v>39</v>
      </c>
      <c r="P611" t="s">
        <v>40</v>
      </c>
    </row>
    <row r="612" spans="1:16" x14ac:dyDescent="0.25">
      <c r="A612" s="5">
        <v>45926</v>
      </c>
      <c r="B612" t="s">
        <v>103</v>
      </c>
      <c r="C612" t="s">
        <v>104</v>
      </c>
      <c r="D612" t="s">
        <v>58</v>
      </c>
      <c r="E612" t="s">
        <v>204</v>
      </c>
      <c r="F612" t="s">
        <v>97</v>
      </c>
      <c r="G612" t="s">
        <v>731</v>
      </c>
      <c r="H612" s="6">
        <v>73</v>
      </c>
      <c r="I612" s="7">
        <v>429.96</v>
      </c>
      <c r="J612" s="7">
        <v>31386.81</v>
      </c>
      <c r="K612" s="6">
        <v>30</v>
      </c>
      <c r="L612" t="s">
        <v>38</v>
      </c>
      <c r="M612" s="8">
        <v>6277.3620000000001</v>
      </c>
      <c r="N612" s="7">
        <v>31386.81</v>
      </c>
      <c r="O612" t="s">
        <v>46</v>
      </c>
      <c r="P612" t="s">
        <v>40</v>
      </c>
    </row>
    <row r="613" spans="1:16" x14ac:dyDescent="0.25">
      <c r="A613" s="5">
        <v>45785</v>
      </c>
      <c r="B613" t="s">
        <v>143</v>
      </c>
      <c r="C613" t="s">
        <v>144</v>
      </c>
      <c r="D613" t="s">
        <v>69</v>
      </c>
      <c r="E613" t="s">
        <v>135</v>
      </c>
      <c r="F613" t="s">
        <v>54</v>
      </c>
      <c r="G613" t="s">
        <v>732</v>
      </c>
      <c r="H613" s="6">
        <v>5</v>
      </c>
      <c r="I613" s="7">
        <v>242.47</v>
      </c>
      <c r="J613" s="7">
        <v>1212.3599999999999</v>
      </c>
      <c r="K613" s="6">
        <v>45</v>
      </c>
      <c r="L613" t="s">
        <v>38</v>
      </c>
      <c r="M613" s="8">
        <v>242.47200000000001</v>
      </c>
      <c r="N613" s="7">
        <v>1212.3599999999999</v>
      </c>
      <c r="O613" t="s">
        <v>46</v>
      </c>
      <c r="P613" t="s">
        <v>40</v>
      </c>
    </row>
    <row r="614" spans="1:16" x14ac:dyDescent="0.25">
      <c r="A614" s="5">
        <v>45846</v>
      </c>
      <c r="B614" t="s">
        <v>32</v>
      </c>
      <c r="C614" t="s">
        <v>33</v>
      </c>
      <c r="D614" t="s">
        <v>34</v>
      </c>
      <c r="E614" t="s">
        <v>65</v>
      </c>
      <c r="F614" t="s">
        <v>54</v>
      </c>
      <c r="G614" t="s">
        <v>733</v>
      </c>
      <c r="H614" s="6">
        <v>60</v>
      </c>
      <c r="I614" s="7">
        <v>291.62</v>
      </c>
      <c r="J614" s="7">
        <v>17497.060000000001</v>
      </c>
      <c r="K614" s="6">
        <v>60</v>
      </c>
      <c r="L614" t="s">
        <v>45</v>
      </c>
      <c r="M614" s="8">
        <v>3499.4119999999998</v>
      </c>
      <c r="N614" s="7">
        <v>17497.060000000001</v>
      </c>
      <c r="O614" t="s">
        <v>46</v>
      </c>
      <c r="P614" t="s">
        <v>40</v>
      </c>
    </row>
    <row r="615" spans="1:16" x14ac:dyDescent="0.25">
      <c r="A615" s="5">
        <v>45673</v>
      </c>
      <c r="B615" t="s">
        <v>62</v>
      </c>
      <c r="C615" t="s">
        <v>63</v>
      </c>
      <c r="D615" t="s">
        <v>64</v>
      </c>
      <c r="E615" t="s">
        <v>43</v>
      </c>
      <c r="F615" t="s">
        <v>36</v>
      </c>
      <c r="G615" t="s">
        <v>734</v>
      </c>
      <c r="H615" s="6">
        <v>31</v>
      </c>
      <c r="I615" s="7">
        <v>35</v>
      </c>
      <c r="J615" s="7">
        <v>1085.02</v>
      </c>
      <c r="K615" s="6">
        <v>45</v>
      </c>
      <c r="L615" t="s">
        <v>45</v>
      </c>
      <c r="M615" s="8">
        <v>217.00399999999999</v>
      </c>
      <c r="N615" s="7">
        <v>1085.02</v>
      </c>
      <c r="O615" t="s">
        <v>46</v>
      </c>
      <c r="P615" t="s">
        <v>40</v>
      </c>
    </row>
    <row r="616" spans="1:16" x14ac:dyDescent="0.25">
      <c r="A616" s="5">
        <v>45900</v>
      </c>
      <c r="B616" t="s">
        <v>73</v>
      </c>
      <c r="C616" t="s">
        <v>74</v>
      </c>
      <c r="D616" t="s">
        <v>69</v>
      </c>
      <c r="E616" t="s">
        <v>107</v>
      </c>
      <c r="F616" t="s">
        <v>108</v>
      </c>
      <c r="G616" t="s">
        <v>735</v>
      </c>
      <c r="H616" s="6">
        <v>76</v>
      </c>
      <c r="I616" s="7">
        <v>287.91000000000003</v>
      </c>
      <c r="J616" s="7">
        <v>21881.24</v>
      </c>
      <c r="K616" s="6">
        <v>60</v>
      </c>
      <c r="L616" t="s">
        <v>45</v>
      </c>
      <c r="M616" s="8">
        <v>4376.2479999999996</v>
      </c>
      <c r="N616" s="7">
        <v>21881.24</v>
      </c>
      <c r="O616" t="s">
        <v>46</v>
      </c>
      <c r="P616" t="s">
        <v>40</v>
      </c>
    </row>
    <row r="617" spans="1:16" x14ac:dyDescent="0.25">
      <c r="A617" s="5">
        <v>46010</v>
      </c>
      <c r="B617" t="s">
        <v>94</v>
      </c>
      <c r="C617" t="s">
        <v>95</v>
      </c>
      <c r="D617" t="s">
        <v>34</v>
      </c>
      <c r="E617" t="s">
        <v>88</v>
      </c>
      <c r="F617" t="s">
        <v>89</v>
      </c>
      <c r="G617" t="s">
        <v>736</v>
      </c>
      <c r="H617" s="6">
        <v>12</v>
      </c>
      <c r="I617" s="7">
        <v>193.26</v>
      </c>
      <c r="J617" s="7">
        <v>2319.1</v>
      </c>
      <c r="K617" s="6">
        <v>45</v>
      </c>
      <c r="L617" t="s">
        <v>38</v>
      </c>
      <c r="M617" s="8">
        <v>463.82</v>
      </c>
      <c r="N617" s="7">
        <v>2319.1</v>
      </c>
      <c r="O617" t="s">
        <v>46</v>
      </c>
      <c r="P617" t="s">
        <v>40</v>
      </c>
    </row>
    <row r="618" spans="1:16" x14ac:dyDescent="0.25">
      <c r="A618" s="5">
        <v>45950</v>
      </c>
      <c r="B618" t="s">
        <v>113</v>
      </c>
      <c r="C618" t="s">
        <v>114</v>
      </c>
      <c r="D618" t="s">
        <v>69</v>
      </c>
      <c r="E618" t="s">
        <v>49</v>
      </c>
      <c r="F618" t="s">
        <v>50</v>
      </c>
      <c r="G618" t="s">
        <v>737</v>
      </c>
      <c r="H618" s="6">
        <v>28</v>
      </c>
      <c r="I618" s="7">
        <v>127.44</v>
      </c>
      <c r="J618" s="7">
        <v>3568.37</v>
      </c>
      <c r="K618" s="6">
        <v>30</v>
      </c>
      <c r="L618" t="s">
        <v>52</v>
      </c>
      <c r="M618" s="8">
        <v>713.67399999999998</v>
      </c>
      <c r="N618" s="7">
        <v>3568.37</v>
      </c>
      <c r="O618" t="s">
        <v>39</v>
      </c>
      <c r="P618" t="s">
        <v>40</v>
      </c>
    </row>
    <row r="619" spans="1:16" x14ac:dyDescent="0.25">
      <c r="A619" s="5">
        <v>45991</v>
      </c>
      <c r="B619" t="s">
        <v>73</v>
      </c>
      <c r="C619" t="s">
        <v>74</v>
      </c>
      <c r="D619" t="s">
        <v>69</v>
      </c>
      <c r="E619" t="s">
        <v>65</v>
      </c>
      <c r="F619" t="s">
        <v>54</v>
      </c>
      <c r="G619" t="s">
        <v>738</v>
      </c>
      <c r="H619" s="6">
        <v>53</v>
      </c>
      <c r="I619" s="7">
        <v>372.65</v>
      </c>
      <c r="J619" s="7">
        <v>19750.310000000001</v>
      </c>
      <c r="K619" s="6">
        <v>60</v>
      </c>
      <c r="L619" t="s">
        <v>38</v>
      </c>
      <c r="M619" s="8">
        <v>3950.0619999999999</v>
      </c>
      <c r="N619" s="7">
        <v>19750.310000000001</v>
      </c>
      <c r="O619" t="s">
        <v>46</v>
      </c>
      <c r="P619" t="s">
        <v>40</v>
      </c>
    </row>
    <row r="620" spans="1:16" x14ac:dyDescent="0.25">
      <c r="A620" s="5">
        <v>45725</v>
      </c>
      <c r="B620" t="s">
        <v>67</v>
      </c>
      <c r="C620" t="s">
        <v>68</v>
      </c>
      <c r="D620" t="s">
        <v>69</v>
      </c>
      <c r="E620" t="s">
        <v>210</v>
      </c>
      <c r="F620" t="s">
        <v>50</v>
      </c>
      <c r="G620" t="s">
        <v>739</v>
      </c>
      <c r="H620" s="6">
        <v>23</v>
      </c>
      <c r="I620" s="7">
        <v>156.34</v>
      </c>
      <c r="J620" s="7">
        <v>3595.87</v>
      </c>
      <c r="K620" s="6">
        <v>60</v>
      </c>
      <c r="L620" t="s">
        <v>38</v>
      </c>
      <c r="M620" s="8">
        <v>719.17399999999998</v>
      </c>
      <c r="N620" s="7">
        <v>3595.87</v>
      </c>
      <c r="O620" t="s">
        <v>46</v>
      </c>
      <c r="P620" t="s">
        <v>40</v>
      </c>
    </row>
    <row r="621" spans="1:16" x14ac:dyDescent="0.25">
      <c r="A621" s="5">
        <v>45814</v>
      </c>
      <c r="B621" t="s">
        <v>62</v>
      </c>
      <c r="C621" t="s">
        <v>63</v>
      </c>
      <c r="D621" t="s">
        <v>64</v>
      </c>
      <c r="E621" t="s">
        <v>115</v>
      </c>
      <c r="F621" t="s">
        <v>60</v>
      </c>
      <c r="G621" t="s">
        <v>740</v>
      </c>
      <c r="H621" s="6">
        <v>36</v>
      </c>
      <c r="I621" s="7">
        <v>248.83</v>
      </c>
      <c r="J621" s="7">
        <v>8957.82</v>
      </c>
      <c r="K621" s="6">
        <v>45</v>
      </c>
      <c r="L621" t="s">
        <v>45</v>
      </c>
      <c r="M621" s="8">
        <v>1791.5640000000001</v>
      </c>
      <c r="N621" s="7">
        <v>8957.82</v>
      </c>
      <c r="O621" t="s">
        <v>46</v>
      </c>
      <c r="P621" t="s">
        <v>40</v>
      </c>
    </row>
    <row r="622" spans="1:16" x14ac:dyDescent="0.25">
      <c r="A622" s="5">
        <v>45769</v>
      </c>
      <c r="B622" t="s">
        <v>67</v>
      </c>
      <c r="C622" t="s">
        <v>68</v>
      </c>
      <c r="D622" t="s">
        <v>69</v>
      </c>
      <c r="E622" t="s">
        <v>139</v>
      </c>
      <c r="F622" t="s">
        <v>108</v>
      </c>
      <c r="G622" t="s">
        <v>741</v>
      </c>
      <c r="H622" s="6">
        <v>60</v>
      </c>
      <c r="I622" s="7">
        <v>48.56</v>
      </c>
      <c r="J622" s="7">
        <v>2913.39</v>
      </c>
      <c r="K622" s="6">
        <v>45</v>
      </c>
      <c r="L622" t="s">
        <v>52</v>
      </c>
      <c r="M622" s="8">
        <v>582.678</v>
      </c>
      <c r="N622" s="7">
        <v>2913.39</v>
      </c>
      <c r="O622" t="s">
        <v>46</v>
      </c>
      <c r="P622" t="s">
        <v>40</v>
      </c>
    </row>
    <row r="623" spans="1:16" x14ac:dyDescent="0.25">
      <c r="A623" s="5">
        <v>45710</v>
      </c>
      <c r="B623" t="s">
        <v>91</v>
      </c>
      <c r="C623" t="s">
        <v>92</v>
      </c>
      <c r="D623" t="s">
        <v>64</v>
      </c>
      <c r="E623" t="s">
        <v>105</v>
      </c>
      <c r="F623" t="s">
        <v>97</v>
      </c>
      <c r="G623" t="s">
        <v>742</v>
      </c>
      <c r="H623" s="6">
        <v>1</v>
      </c>
      <c r="I623" s="7">
        <v>388.81</v>
      </c>
      <c r="J623" s="7">
        <v>388.81</v>
      </c>
      <c r="K623" s="6">
        <v>60</v>
      </c>
      <c r="L623" t="s">
        <v>52</v>
      </c>
      <c r="M623" s="8">
        <v>77.762</v>
      </c>
      <c r="N623" s="7">
        <v>388.81</v>
      </c>
      <c r="O623" t="s">
        <v>46</v>
      </c>
      <c r="P623" t="s">
        <v>40</v>
      </c>
    </row>
    <row r="624" spans="1:16" x14ac:dyDescent="0.25">
      <c r="A624" s="5">
        <v>46008</v>
      </c>
      <c r="B624" t="s">
        <v>80</v>
      </c>
      <c r="C624" t="s">
        <v>81</v>
      </c>
      <c r="D624" t="s">
        <v>64</v>
      </c>
      <c r="E624" t="s">
        <v>149</v>
      </c>
      <c r="F624" t="s">
        <v>60</v>
      </c>
      <c r="G624" t="s">
        <v>743</v>
      </c>
      <c r="H624" s="6">
        <v>14</v>
      </c>
      <c r="I624" s="7">
        <v>619.39</v>
      </c>
      <c r="J624" s="7">
        <v>8671.51</v>
      </c>
      <c r="K624" s="6">
        <v>45</v>
      </c>
      <c r="L624" t="s">
        <v>38</v>
      </c>
      <c r="M624" s="8">
        <v>1734.3019999999999</v>
      </c>
      <c r="N624" s="7">
        <v>8671.51</v>
      </c>
      <c r="O624" t="s">
        <v>46</v>
      </c>
      <c r="P624" t="s">
        <v>40</v>
      </c>
    </row>
    <row r="625" spans="1:16" x14ac:dyDescent="0.25">
      <c r="A625" s="5">
        <v>45824</v>
      </c>
      <c r="B625" t="s">
        <v>56</v>
      </c>
      <c r="C625" t="s">
        <v>57</v>
      </c>
      <c r="D625" t="s">
        <v>58</v>
      </c>
      <c r="E625" t="s">
        <v>115</v>
      </c>
      <c r="F625" t="s">
        <v>60</v>
      </c>
      <c r="G625" t="s">
        <v>744</v>
      </c>
      <c r="H625" s="6">
        <v>36</v>
      </c>
      <c r="I625" s="7">
        <v>461.1</v>
      </c>
      <c r="J625" s="7">
        <v>16599.490000000002</v>
      </c>
      <c r="K625" s="6">
        <v>45</v>
      </c>
      <c r="L625" t="s">
        <v>52</v>
      </c>
      <c r="M625" s="8">
        <v>3319.8980000000001</v>
      </c>
      <c r="N625" s="7">
        <v>16599.490000000002</v>
      </c>
      <c r="O625" t="s">
        <v>46</v>
      </c>
      <c r="P625" t="s">
        <v>40</v>
      </c>
    </row>
    <row r="626" spans="1:16" x14ac:dyDescent="0.25">
      <c r="A626" s="5">
        <v>45734</v>
      </c>
      <c r="B626" t="s">
        <v>41</v>
      </c>
      <c r="C626" t="s">
        <v>42</v>
      </c>
      <c r="D626" t="s">
        <v>34</v>
      </c>
      <c r="E626" t="s">
        <v>59</v>
      </c>
      <c r="F626" t="s">
        <v>60</v>
      </c>
      <c r="G626" t="s">
        <v>745</v>
      </c>
      <c r="H626" s="6">
        <v>67</v>
      </c>
      <c r="I626" s="7">
        <v>528.41</v>
      </c>
      <c r="J626" s="7">
        <v>35403.74</v>
      </c>
      <c r="K626" s="6">
        <v>30</v>
      </c>
      <c r="L626" t="s">
        <v>38</v>
      </c>
      <c r="M626" s="8">
        <v>7080.7479999999996</v>
      </c>
      <c r="N626" s="7">
        <v>35403.74</v>
      </c>
      <c r="O626" t="s">
        <v>39</v>
      </c>
      <c r="P626" t="s">
        <v>40</v>
      </c>
    </row>
    <row r="627" spans="1:16" x14ac:dyDescent="0.25">
      <c r="A627" s="5">
        <v>45821</v>
      </c>
      <c r="B627" t="s">
        <v>73</v>
      </c>
      <c r="C627" t="s">
        <v>74</v>
      </c>
      <c r="D627" t="s">
        <v>69</v>
      </c>
      <c r="E627" t="s">
        <v>105</v>
      </c>
      <c r="F627" t="s">
        <v>97</v>
      </c>
      <c r="G627" t="s">
        <v>746</v>
      </c>
      <c r="H627" s="6">
        <v>18</v>
      </c>
      <c r="I627" s="7">
        <v>226.47</v>
      </c>
      <c r="J627" s="7">
        <v>4076.47</v>
      </c>
      <c r="K627" s="6">
        <v>60</v>
      </c>
      <c r="L627" t="s">
        <v>38</v>
      </c>
      <c r="M627" s="8">
        <v>815.29399999999998</v>
      </c>
      <c r="N627" s="7">
        <v>4076.47</v>
      </c>
      <c r="O627" t="s">
        <v>46</v>
      </c>
      <c r="P627" t="s">
        <v>40</v>
      </c>
    </row>
    <row r="628" spans="1:16" x14ac:dyDescent="0.25">
      <c r="A628" s="5">
        <v>45790</v>
      </c>
      <c r="B628" t="s">
        <v>100</v>
      </c>
      <c r="C628" t="s">
        <v>101</v>
      </c>
      <c r="D628" t="s">
        <v>69</v>
      </c>
      <c r="E628" t="s">
        <v>139</v>
      </c>
      <c r="F628" t="s">
        <v>108</v>
      </c>
      <c r="G628" t="s">
        <v>747</v>
      </c>
      <c r="H628" s="6">
        <v>54</v>
      </c>
      <c r="I628" s="7">
        <v>43.52</v>
      </c>
      <c r="J628" s="7">
        <v>2350.04</v>
      </c>
      <c r="K628" s="6">
        <v>45</v>
      </c>
      <c r="L628" t="s">
        <v>45</v>
      </c>
      <c r="M628" s="8">
        <v>470.00799999999998</v>
      </c>
      <c r="N628" s="7">
        <v>2350.04</v>
      </c>
      <c r="O628" t="s">
        <v>46</v>
      </c>
      <c r="P628" t="s">
        <v>40</v>
      </c>
    </row>
    <row r="629" spans="1:16" x14ac:dyDescent="0.25">
      <c r="A629" s="5">
        <v>46020</v>
      </c>
      <c r="B629" t="s">
        <v>94</v>
      </c>
      <c r="C629" t="s">
        <v>95</v>
      </c>
      <c r="D629" t="s">
        <v>34</v>
      </c>
      <c r="E629" t="s">
        <v>152</v>
      </c>
      <c r="F629" t="s">
        <v>50</v>
      </c>
      <c r="G629" t="s">
        <v>748</v>
      </c>
      <c r="H629" s="6">
        <v>74</v>
      </c>
      <c r="I629" s="7">
        <v>111.98</v>
      </c>
      <c r="J629" s="7">
        <v>8286.43</v>
      </c>
      <c r="K629" s="6">
        <v>30</v>
      </c>
      <c r="L629" t="s">
        <v>45</v>
      </c>
      <c r="M629" s="8">
        <v>1657.2860000000001</v>
      </c>
      <c r="N629" s="7">
        <v>8286.43</v>
      </c>
      <c r="O629" t="s">
        <v>46</v>
      </c>
      <c r="P629" t="s">
        <v>40</v>
      </c>
    </row>
    <row r="630" spans="1:16" x14ac:dyDescent="0.25">
      <c r="A630" s="5">
        <v>45931</v>
      </c>
      <c r="B630" t="s">
        <v>67</v>
      </c>
      <c r="C630" t="s">
        <v>68</v>
      </c>
      <c r="D630" t="s">
        <v>69</v>
      </c>
      <c r="E630" t="s">
        <v>53</v>
      </c>
      <c r="F630" t="s">
        <v>54</v>
      </c>
      <c r="G630" t="s">
        <v>749</v>
      </c>
      <c r="H630" s="6">
        <v>61</v>
      </c>
      <c r="I630" s="7">
        <v>257.77999999999997</v>
      </c>
      <c r="J630" s="7">
        <v>15724.63</v>
      </c>
      <c r="K630" s="6">
        <v>60</v>
      </c>
      <c r="L630" t="s">
        <v>45</v>
      </c>
      <c r="M630" s="8">
        <v>3144.9259999999999</v>
      </c>
      <c r="N630" s="7">
        <v>15724.63</v>
      </c>
      <c r="O630" t="s">
        <v>46</v>
      </c>
      <c r="P630" t="s">
        <v>40</v>
      </c>
    </row>
    <row r="631" spans="1:16" x14ac:dyDescent="0.25">
      <c r="A631" s="5">
        <v>45994</v>
      </c>
      <c r="B631" t="s">
        <v>113</v>
      </c>
      <c r="C631" t="s">
        <v>114</v>
      </c>
      <c r="D631" t="s">
        <v>69</v>
      </c>
      <c r="E631" t="s">
        <v>59</v>
      </c>
      <c r="F631" t="s">
        <v>60</v>
      </c>
      <c r="G631" t="s">
        <v>750</v>
      </c>
      <c r="H631" s="6">
        <v>72</v>
      </c>
      <c r="I631" s="7">
        <v>401.59</v>
      </c>
      <c r="J631" s="7">
        <v>28914.52</v>
      </c>
      <c r="K631" s="6">
        <v>30</v>
      </c>
      <c r="L631" t="s">
        <v>45</v>
      </c>
      <c r="M631" s="8">
        <v>5782.9040000000005</v>
      </c>
      <c r="N631" s="7">
        <v>28914.52</v>
      </c>
      <c r="O631" t="s">
        <v>39</v>
      </c>
      <c r="P631" t="s">
        <v>40</v>
      </c>
    </row>
    <row r="632" spans="1:16" x14ac:dyDescent="0.25">
      <c r="A632" s="5">
        <v>45790</v>
      </c>
      <c r="B632" t="s">
        <v>41</v>
      </c>
      <c r="C632" t="s">
        <v>42</v>
      </c>
      <c r="D632" t="s">
        <v>34</v>
      </c>
      <c r="E632" t="s">
        <v>107</v>
      </c>
      <c r="F632" t="s">
        <v>108</v>
      </c>
      <c r="G632" t="s">
        <v>751</v>
      </c>
      <c r="H632" s="6">
        <v>72</v>
      </c>
      <c r="I632" s="7">
        <v>29.57</v>
      </c>
      <c r="J632" s="7">
        <v>2128.77</v>
      </c>
      <c r="K632" s="6">
        <v>30</v>
      </c>
      <c r="L632" t="s">
        <v>52</v>
      </c>
      <c r="M632" s="8">
        <v>425.75400000000002</v>
      </c>
      <c r="N632" s="7">
        <v>2128.77</v>
      </c>
      <c r="O632" t="s">
        <v>46</v>
      </c>
      <c r="P632" t="s">
        <v>40</v>
      </c>
    </row>
    <row r="633" spans="1:16" x14ac:dyDescent="0.25">
      <c r="A633" s="5">
        <v>45839</v>
      </c>
      <c r="B633" t="s">
        <v>67</v>
      </c>
      <c r="C633" t="s">
        <v>68</v>
      </c>
      <c r="D633" t="s">
        <v>69</v>
      </c>
      <c r="E633" t="s">
        <v>127</v>
      </c>
      <c r="F633" t="s">
        <v>36</v>
      </c>
      <c r="G633" t="s">
        <v>752</v>
      </c>
      <c r="H633" s="6">
        <v>29</v>
      </c>
      <c r="I633" s="7">
        <v>150.75</v>
      </c>
      <c r="J633" s="7">
        <v>4371.82</v>
      </c>
      <c r="K633" s="6">
        <v>60</v>
      </c>
      <c r="L633" t="s">
        <v>45</v>
      </c>
      <c r="M633" s="8">
        <v>874.36400000000003</v>
      </c>
      <c r="N633" s="7">
        <v>4371.82</v>
      </c>
      <c r="O633" t="s">
        <v>39</v>
      </c>
      <c r="P633" t="s">
        <v>40</v>
      </c>
    </row>
    <row r="634" spans="1:16" x14ac:dyDescent="0.25">
      <c r="A634" s="5">
        <v>45791</v>
      </c>
      <c r="B634" t="s">
        <v>47</v>
      </c>
      <c r="C634" t="s">
        <v>48</v>
      </c>
      <c r="D634" t="s">
        <v>34</v>
      </c>
      <c r="E634" t="s">
        <v>132</v>
      </c>
      <c r="F634" t="s">
        <v>71</v>
      </c>
      <c r="G634" t="s">
        <v>753</v>
      </c>
      <c r="H634" s="6">
        <v>75</v>
      </c>
      <c r="I634" s="7">
        <v>87.09</v>
      </c>
      <c r="J634" s="7">
        <v>6531.95</v>
      </c>
      <c r="K634" s="6">
        <v>45</v>
      </c>
      <c r="L634" t="s">
        <v>45</v>
      </c>
      <c r="M634" s="8">
        <v>1306.3900000000001</v>
      </c>
      <c r="N634" s="7">
        <v>6531.95</v>
      </c>
      <c r="O634" t="s">
        <v>46</v>
      </c>
      <c r="P634" t="s">
        <v>40</v>
      </c>
    </row>
    <row r="635" spans="1:16" x14ac:dyDescent="0.25">
      <c r="A635" s="5">
        <v>45982</v>
      </c>
      <c r="B635" t="s">
        <v>100</v>
      </c>
      <c r="C635" t="s">
        <v>101</v>
      </c>
      <c r="D635" t="s">
        <v>69</v>
      </c>
      <c r="E635" t="s">
        <v>107</v>
      </c>
      <c r="F635" t="s">
        <v>108</v>
      </c>
      <c r="G635" t="s">
        <v>754</v>
      </c>
      <c r="H635" s="6">
        <v>75</v>
      </c>
      <c r="I635" s="7">
        <v>59.31</v>
      </c>
      <c r="J635" s="7">
        <v>4447.92</v>
      </c>
      <c r="K635" s="6">
        <v>60</v>
      </c>
      <c r="L635" t="s">
        <v>52</v>
      </c>
      <c r="M635" s="8">
        <v>889.58399999999995</v>
      </c>
      <c r="N635" s="7">
        <v>4447.92</v>
      </c>
      <c r="O635" t="s">
        <v>46</v>
      </c>
      <c r="P635" t="s">
        <v>40</v>
      </c>
    </row>
    <row r="636" spans="1:16" x14ac:dyDescent="0.25">
      <c r="A636" s="5">
        <v>45914</v>
      </c>
      <c r="B636" t="s">
        <v>201</v>
      </c>
      <c r="C636" t="s">
        <v>202</v>
      </c>
      <c r="D636" t="s">
        <v>64</v>
      </c>
      <c r="E636" t="s">
        <v>107</v>
      </c>
      <c r="F636" t="s">
        <v>108</v>
      </c>
      <c r="G636" t="s">
        <v>755</v>
      </c>
      <c r="H636" s="6">
        <v>16</v>
      </c>
      <c r="I636" s="7">
        <v>42.98</v>
      </c>
      <c r="J636" s="7">
        <v>687.75</v>
      </c>
      <c r="K636" s="6">
        <v>60</v>
      </c>
      <c r="L636" t="s">
        <v>45</v>
      </c>
      <c r="M636" s="8">
        <v>137.55000000000001</v>
      </c>
      <c r="N636" s="7">
        <v>687.75</v>
      </c>
      <c r="O636" t="s">
        <v>46</v>
      </c>
      <c r="P636" t="s">
        <v>40</v>
      </c>
    </row>
    <row r="637" spans="1:16" x14ac:dyDescent="0.25">
      <c r="A637" s="5">
        <v>45685</v>
      </c>
      <c r="B637" t="s">
        <v>41</v>
      </c>
      <c r="C637" t="s">
        <v>42</v>
      </c>
      <c r="D637" t="s">
        <v>34</v>
      </c>
      <c r="E637" t="s">
        <v>149</v>
      </c>
      <c r="F637" t="s">
        <v>60</v>
      </c>
      <c r="G637" t="s">
        <v>756</v>
      </c>
      <c r="H637" s="6">
        <v>20</v>
      </c>
      <c r="I637" s="7">
        <v>88.54</v>
      </c>
      <c r="J637" s="7">
        <v>1770.8</v>
      </c>
      <c r="K637" s="6">
        <v>30</v>
      </c>
      <c r="L637" t="s">
        <v>38</v>
      </c>
      <c r="M637" s="8">
        <v>354.16</v>
      </c>
      <c r="N637" s="7">
        <v>1770.8</v>
      </c>
      <c r="O637" t="s">
        <v>46</v>
      </c>
      <c r="P637" t="s">
        <v>40</v>
      </c>
    </row>
    <row r="638" spans="1:16" x14ac:dyDescent="0.25">
      <c r="A638" s="5">
        <v>45892</v>
      </c>
      <c r="B638" t="s">
        <v>67</v>
      </c>
      <c r="C638" t="s">
        <v>68</v>
      </c>
      <c r="D638" t="s">
        <v>69</v>
      </c>
      <c r="E638" t="s">
        <v>105</v>
      </c>
      <c r="F638" t="s">
        <v>97</v>
      </c>
      <c r="G638" t="s">
        <v>757</v>
      </c>
      <c r="H638" s="6">
        <v>19</v>
      </c>
      <c r="I638" s="7">
        <v>471.79</v>
      </c>
      <c r="J638" s="7">
        <v>8963.94</v>
      </c>
      <c r="K638" s="6">
        <v>45</v>
      </c>
      <c r="L638" t="s">
        <v>52</v>
      </c>
      <c r="M638" s="8">
        <v>1792.788</v>
      </c>
      <c r="N638" s="7">
        <v>8963.94</v>
      </c>
      <c r="O638" t="s">
        <v>46</v>
      </c>
      <c r="P638" t="s">
        <v>40</v>
      </c>
    </row>
    <row r="639" spans="1:16" x14ac:dyDescent="0.25">
      <c r="A639" s="5">
        <v>45828</v>
      </c>
      <c r="B639" t="s">
        <v>67</v>
      </c>
      <c r="C639" t="s">
        <v>68</v>
      </c>
      <c r="D639" t="s">
        <v>69</v>
      </c>
      <c r="E639" t="s">
        <v>75</v>
      </c>
      <c r="F639" t="s">
        <v>36</v>
      </c>
      <c r="G639" t="s">
        <v>758</v>
      </c>
      <c r="H639" s="6">
        <v>23</v>
      </c>
      <c r="I639" s="7">
        <v>67.67</v>
      </c>
      <c r="J639" s="7">
        <v>1556.52</v>
      </c>
      <c r="K639" s="6">
        <v>45</v>
      </c>
      <c r="L639" t="s">
        <v>52</v>
      </c>
      <c r="M639" s="8">
        <v>311.30399999999997</v>
      </c>
      <c r="N639" s="7">
        <v>1556.52</v>
      </c>
      <c r="O639" t="s">
        <v>46</v>
      </c>
      <c r="P639" t="s">
        <v>40</v>
      </c>
    </row>
    <row r="640" spans="1:16" x14ac:dyDescent="0.25">
      <c r="A640" s="5">
        <v>45798</v>
      </c>
      <c r="B640" t="s">
        <v>143</v>
      </c>
      <c r="C640" t="s">
        <v>144</v>
      </c>
      <c r="D640" t="s">
        <v>69</v>
      </c>
      <c r="E640" t="s">
        <v>210</v>
      </c>
      <c r="F640" t="s">
        <v>50</v>
      </c>
      <c r="G640" t="s">
        <v>759</v>
      </c>
      <c r="H640" s="6">
        <v>27</v>
      </c>
      <c r="I640" s="7">
        <v>59.03</v>
      </c>
      <c r="J640" s="7">
        <v>1593.76</v>
      </c>
      <c r="K640" s="6">
        <v>30</v>
      </c>
      <c r="L640" t="s">
        <v>52</v>
      </c>
      <c r="M640" s="8">
        <v>318.75200000000001</v>
      </c>
      <c r="N640" s="7">
        <v>1593.76</v>
      </c>
      <c r="O640" t="s">
        <v>46</v>
      </c>
      <c r="P640" t="s">
        <v>40</v>
      </c>
    </row>
    <row r="641" spans="1:16" x14ac:dyDescent="0.25">
      <c r="A641" s="5">
        <v>45724</v>
      </c>
      <c r="B641" t="s">
        <v>91</v>
      </c>
      <c r="C641" t="s">
        <v>92</v>
      </c>
      <c r="D641" t="s">
        <v>64</v>
      </c>
      <c r="E641" t="s">
        <v>107</v>
      </c>
      <c r="F641" t="s">
        <v>108</v>
      </c>
      <c r="G641" t="s">
        <v>760</v>
      </c>
      <c r="H641" s="6">
        <v>79</v>
      </c>
      <c r="I641" s="7">
        <v>36.79</v>
      </c>
      <c r="J641" s="7">
        <v>2906.32</v>
      </c>
      <c r="K641" s="6">
        <v>45</v>
      </c>
      <c r="L641" t="s">
        <v>52</v>
      </c>
      <c r="M641" s="8">
        <v>581.26400000000001</v>
      </c>
      <c r="N641" s="7">
        <v>2906.32</v>
      </c>
      <c r="O641" t="s">
        <v>46</v>
      </c>
      <c r="P641" t="s">
        <v>40</v>
      </c>
    </row>
    <row r="642" spans="1:16" x14ac:dyDescent="0.25">
      <c r="A642" s="5">
        <v>45902</v>
      </c>
      <c r="B642" t="s">
        <v>91</v>
      </c>
      <c r="C642" t="s">
        <v>92</v>
      </c>
      <c r="D642" t="s">
        <v>64</v>
      </c>
      <c r="E642" t="s">
        <v>96</v>
      </c>
      <c r="F642" t="s">
        <v>97</v>
      </c>
      <c r="G642" t="s">
        <v>761</v>
      </c>
      <c r="H642" s="6">
        <v>50</v>
      </c>
      <c r="I642" s="7">
        <v>249.41</v>
      </c>
      <c r="J642" s="7">
        <v>12470.53</v>
      </c>
      <c r="K642" s="6">
        <v>30</v>
      </c>
      <c r="L642" t="s">
        <v>38</v>
      </c>
      <c r="M642" s="8">
        <v>2494.1060000000002</v>
      </c>
      <c r="N642" s="7">
        <v>12470.53</v>
      </c>
      <c r="O642" t="s">
        <v>46</v>
      </c>
      <c r="P642" t="s">
        <v>40</v>
      </c>
    </row>
    <row r="643" spans="1:16" x14ac:dyDescent="0.25">
      <c r="A643" s="5">
        <v>45849</v>
      </c>
      <c r="B643" t="s">
        <v>118</v>
      </c>
      <c r="C643" t="s">
        <v>119</v>
      </c>
      <c r="D643" t="s">
        <v>64</v>
      </c>
      <c r="E643" t="s">
        <v>53</v>
      </c>
      <c r="F643" t="s">
        <v>54</v>
      </c>
      <c r="G643" t="s">
        <v>762</v>
      </c>
      <c r="H643" s="6">
        <v>2</v>
      </c>
      <c r="I643" s="7">
        <v>626.04999999999995</v>
      </c>
      <c r="J643" s="7">
        <v>1252.0899999999999</v>
      </c>
      <c r="K643" s="6">
        <v>45</v>
      </c>
      <c r="L643" t="s">
        <v>52</v>
      </c>
      <c r="M643" s="8">
        <v>250.41800000000001</v>
      </c>
      <c r="N643" s="7">
        <v>1252.0899999999999</v>
      </c>
      <c r="O643" t="s">
        <v>46</v>
      </c>
      <c r="P643" t="s">
        <v>40</v>
      </c>
    </row>
    <row r="644" spans="1:16" x14ac:dyDescent="0.25">
      <c r="A644" s="5">
        <v>45660</v>
      </c>
      <c r="B644" t="s">
        <v>77</v>
      </c>
      <c r="C644" t="s">
        <v>78</v>
      </c>
      <c r="D644" t="s">
        <v>58</v>
      </c>
      <c r="E644" t="s">
        <v>152</v>
      </c>
      <c r="F644" t="s">
        <v>50</v>
      </c>
      <c r="G644" t="s">
        <v>763</v>
      </c>
      <c r="H644" s="6">
        <v>32</v>
      </c>
      <c r="I644" s="7">
        <v>104.03</v>
      </c>
      <c r="J644" s="7">
        <v>3329.08</v>
      </c>
      <c r="K644" s="6">
        <v>30</v>
      </c>
      <c r="L644" t="s">
        <v>52</v>
      </c>
      <c r="M644" s="8">
        <v>665.81600000000003</v>
      </c>
      <c r="N644" s="7">
        <v>3329.08</v>
      </c>
      <c r="O644" t="s">
        <v>46</v>
      </c>
      <c r="P644" t="s">
        <v>40</v>
      </c>
    </row>
    <row r="645" spans="1:16" x14ac:dyDescent="0.25">
      <c r="A645" s="5">
        <v>45710</v>
      </c>
      <c r="B645" t="s">
        <v>47</v>
      </c>
      <c r="C645" t="s">
        <v>48</v>
      </c>
      <c r="D645" t="s">
        <v>34</v>
      </c>
      <c r="E645" t="s">
        <v>59</v>
      </c>
      <c r="F645" t="s">
        <v>60</v>
      </c>
      <c r="G645" t="s">
        <v>764</v>
      </c>
      <c r="H645" s="6">
        <v>50</v>
      </c>
      <c r="I645" s="7">
        <v>96.25</v>
      </c>
      <c r="J645" s="7">
        <v>4812.26</v>
      </c>
      <c r="K645" s="6">
        <v>60</v>
      </c>
      <c r="L645" t="s">
        <v>52</v>
      </c>
      <c r="M645" s="8">
        <v>962.452</v>
      </c>
      <c r="N645" s="7">
        <v>4812.26</v>
      </c>
      <c r="O645" t="s">
        <v>39</v>
      </c>
      <c r="P645" t="s">
        <v>40</v>
      </c>
    </row>
    <row r="646" spans="1:16" x14ac:dyDescent="0.25">
      <c r="A646" s="5">
        <v>45681</v>
      </c>
      <c r="B646" t="s">
        <v>32</v>
      </c>
      <c r="C646" t="s">
        <v>33</v>
      </c>
      <c r="D646" t="s">
        <v>34</v>
      </c>
      <c r="E646" t="s">
        <v>154</v>
      </c>
      <c r="F646" t="s">
        <v>89</v>
      </c>
      <c r="G646" t="s">
        <v>765</v>
      </c>
      <c r="H646" s="6">
        <v>39</v>
      </c>
      <c r="I646" s="7">
        <v>157.24</v>
      </c>
      <c r="J646" s="7">
        <v>6132.51</v>
      </c>
      <c r="K646" s="6">
        <v>45</v>
      </c>
      <c r="L646" t="s">
        <v>45</v>
      </c>
      <c r="M646" s="8">
        <v>1226.502</v>
      </c>
      <c r="N646" s="7">
        <v>6132.51</v>
      </c>
      <c r="O646" t="s">
        <v>39</v>
      </c>
      <c r="P646" t="s">
        <v>40</v>
      </c>
    </row>
    <row r="647" spans="1:16" x14ac:dyDescent="0.25">
      <c r="A647" s="5">
        <v>46009</v>
      </c>
      <c r="B647" t="s">
        <v>94</v>
      </c>
      <c r="C647" t="s">
        <v>95</v>
      </c>
      <c r="D647" t="s">
        <v>34</v>
      </c>
      <c r="E647" t="s">
        <v>132</v>
      </c>
      <c r="F647" t="s">
        <v>71</v>
      </c>
      <c r="G647" t="s">
        <v>766</v>
      </c>
      <c r="H647" s="6">
        <v>18</v>
      </c>
      <c r="I647" s="7">
        <v>81.77</v>
      </c>
      <c r="J647" s="7">
        <v>1471.81</v>
      </c>
      <c r="K647" s="6">
        <v>45</v>
      </c>
      <c r="L647" t="s">
        <v>45</v>
      </c>
      <c r="M647" s="8">
        <v>294.36200000000002</v>
      </c>
      <c r="N647" s="7">
        <v>1471.81</v>
      </c>
      <c r="O647" t="s">
        <v>46</v>
      </c>
      <c r="P647" t="s">
        <v>40</v>
      </c>
    </row>
    <row r="648" spans="1:16" x14ac:dyDescent="0.25">
      <c r="A648" s="5">
        <v>45864</v>
      </c>
      <c r="B648" t="s">
        <v>32</v>
      </c>
      <c r="C648" t="s">
        <v>33</v>
      </c>
      <c r="D648" t="s">
        <v>34</v>
      </c>
      <c r="E648" t="s">
        <v>135</v>
      </c>
      <c r="F648" t="s">
        <v>54</v>
      </c>
      <c r="G648" t="s">
        <v>767</v>
      </c>
      <c r="H648" s="6">
        <v>3</v>
      </c>
      <c r="I648" s="7">
        <v>56.72</v>
      </c>
      <c r="J648" s="7">
        <v>170.17</v>
      </c>
      <c r="K648" s="6">
        <v>30</v>
      </c>
      <c r="L648" t="s">
        <v>38</v>
      </c>
      <c r="M648" s="8">
        <v>34.033999999999999</v>
      </c>
      <c r="N648" s="7">
        <v>170.17</v>
      </c>
      <c r="O648" t="s">
        <v>46</v>
      </c>
      <c r="P648" t="s">
        <v>40</v>
      </c>
    </row>
    <row r="649" spans="1:16" x14ac:dyDescent="0.25">
      <c r="A649" s="5">
        <v>45669</v>
      </c>
      <c r="B649" t="s">
        <v>85</v>
      </c>
      <c r="C649" t="s">
        <v>86</v>
      </c>
      <c r="D649" t="s">
        <v>58</v>
      </c>
      <c r="E649" t="s">
        <v>154</v>
      </c>
      <c r="F649" t="s">
        <v>89</v>
      </c>
      <c r="G649" t="s">
        <v>768</v>
      </c>
      <c r="H649" s="6">
        <v>76</v>
      </c>
      <c r="I649" s="7">
        <v>174.7</v>
      </c>
      <c r="J649" s="7">
        <v>13277.52</v>
      </c>
      <c r="K649" s="6">
        <v>60</v>
      </c>
      <c r="L649" t="s">
        <v>38</v>
      </c>
      <c r="M649" s="8">
        <v>2655.5039999999999</v>
      </c>
      <c r="N649" s="7">
        <v>13277.52</v>
      </c>
      <c r="O649" t="s">
        <v>39</v>
      </c>
      <c r="P649" t="s">
        <v>40</v>
      </c>
    </row>
    <row r="650" spans="1:16" x14ac:dyDescent="0.25">
      <c r="A650" s="5">
        <v>45991</v>
      </c>
      <c r="B650" t="s">
        <v>32</v>
      </c>
      <c r="C650" t="s">
        <v>33</v>
      </c>
      <c r="D650" t="s">
        <v>34</v>
      </c>
      <c r="E650" t="s">
        <v>70</v>
      </c>
      <c r="F650" t="s">
        <v>71</v>
      </c>
      <c r="G650" t="s">
        <v>769</v>
      </c>
      <c r="H650" s="6">
        <v>5</v>
      </c>
      <c r="I650" s="7">
        <v>83.67</v>
      </c>
      <c r="J650" s="7">
        <v>418.34</v>
      </c>
      <c r="K650" s="6">
        <v>45</v>
      </c>
      <c r="L650" t="s">
        <v>52</v>
      </c>
      <c r="M650" s="8">
        <v>83.668000000000006</v>
      </c>
      <c r="N650" s="7">
        <v>418.34</v>
      </c>
      <c r="O650" t="s">
        <v>46</v>
      </c>
      <c r="P650" t="s">
        <v>40</v>
      </c>
    </row>
    <row r="651" spans="1:16" x14ac:dyDescent="0.25">
      <c r="A651" s="5">
        <v>45682</v>
      </c>
      <c r="B651" t="s">
        <v>32</v>
      </c>
      <c r="C651" t="s">
        <v>33</v>
      </c>
      <c r="D651" t="s">
        <v>34</v>
      </c>
      <c r="E651" t="s">
        <v>152</v>
      </c>
      <c r="F651" t="s">
        <v>50</v>
      </c>
      <c r="G651" t="s">
        <v>770</v>
      </c>
      <c r="H651" s="6">
        <v>14</v>
      </c>
      <c r="I651" s="7">
        <v>175.99</v>
      </c>
      <c r="J651" s="7">
        <v>2463.81</v>
      </c>
      <c r="K651" s="6">
        <v>60</v>
      </c>
      <c r="L651" t="s">
        <v>38</v>
      </c>
      <c r="M651" s="8">
        <v>492.762</v>
      </c>
      <c r="N651" s="7">
        <v>2463.81</v>
      </c>
      <c r="O651" t="s">
        <v>46</v>
      </c>
      <c r="P651" t="s">
        <v>40</v>
      </c>
    </row>
    <row r="652" spans="1:16" x14ac:dyDescent="0.25">
      <c r="A652" s="5">
        <v>45885</v>
      </c>
      <c r="B652" t="s">
        <v>94</v>
      </c>
      <c r="C652" t="s">
        <v>95</v>
      </c>
      <c r="D652" t="s">
        <v>34</v>
      </c>
      <c r="E652" t="s">
        <v>75</v>
      </c>
      <c r="F652" t="s">
        <v>36</v>
      </c>
      <c r="G652" t="s">
        <v>771</v>
      </c>
      <c r="H652" s="6">
        <v>49</v>
      </c>
      <c r="I652" s="7">
        <v>179.7</v>
      </c>
      <c r="J652" s="7">
        <v>8805.51</v>
      </c>
      <c r="K652" s="6">
        <v>30</v>
      </c>
      <c r="L652" t="s">
        <v>52</v>
      </c>
      <c r="M652" s="8">
        <v>1761.1020000000001</v>
      </c>
      <c r="N652" s="7">
        <v>8805.51</v>
      </c>
      <c r="O652" t="s">
        <v>46</v>
      </c>
      <c r="P652" t="s">
        <v>40</v>
      </c>
    </row>
    <row r="653" spans="1:16" x14ac:dyDescent="0.25">
      <c r="A653" s="5">
        <v>45736</v>
      </c>
      <c r="B653" t="s">
        <v>91</v>
      </c>
      <c r="C653" t="s">
        <v>92</v>
      </c>
      <c r="D653" t="s">
        <v>64</v>
      </c>
      <c r="E653" t="s">
        <v>129</v>
      </c>
      <c r="F653" t="s">
        <v>108</v>
      </c>
      <c r="G653" t="s">
        <v>772</v>
      </c>
      <c r="H653" s="6">
        <v>27</v>
      </c>
      <c r="I653" s="7">
        <v>139.37</v>
      </c>
      <c r="J653" s="7">
        <v>3762.86</v>
      </c>
      <c r="K653" s="6">
        <v>60</v>
      </c>
      <c r="L653" t="s">
        <v>52</v>
      </c>
      <c r="M653" s="8">
        <v>752.572</v>
      </c>
      <c r="N653" s="7">
        <v>3762.86</v>
      </c>
      <c r="O653" t="s">
        <v>46</v>
      </c>
      <c r="P653" t="s">
        <v>40</v>
      </c>
    </row>
    <row r="654" spans="1:16" x14ac:dyDescent="0.25">
      <c r="A654" s="5">
        <v>45873</v>
      </c>
      <c r="B654" t="s">
        <v>121</v>
      </c>
      <c r="C654" t="s">
        <v>122</v>
      </c>
      <c r="D654" t="s">
        <v>34</v>
      </c>
      <c r="E654" t="s">
        <v>210</v>
      </c>
      <c r="F654" t="s">
        <v>50</v>
      </c>
      <c r="G654" t="s">
        <v>773</v>
      </c>
      <c r="H654" s="6">
        <v>13</v>
      </c>
      <c r="I654" s="7">
        <v>103.5</v>
      </c>
      <c r="J654" s="7">
        <v>1345.54</v>
      </c>
      <c r="K654" s="6">
        <v>60</v>
      </c>
      <c r="L654" t="s">
        <v>52</v>
      </c>
      <c r="M654" s="8">
        <v>269.108</v>
      </c>
      <c r="N654" s="7">
        <v>1345.54</v>
      </c>
      <c r="O654" t="s">
        <v>46</v>
      </c>
      <c r="P654" t="s">
        <v>40</v>
      </c>
    </row>
    <row r="655" spans="1:16" x14ac:dyDescent="0.25">
      <c r="A655" s="5">
        <v>45711</v>
      </c>
      <c r="B655" t="s">
        <v>77</v>
      </c>
      <c r="C655" t="s">
        <v>78</v>
      </c>
      <c r="D655" t="s">
        <v>58</v>
      </c>
      <c r="E655" t="s">
        <v>88</v>
      </c>
      <c r="F655" t="s">
        <v>89</v>
      </c>
      <c r="G655" t="s">
        <v>774</v>
      </c>
      <c r="H655" s="6">
        <v>66</v>
      </c>
      <c r="I655" s="7">
        <v>97.94</v>
      </c>
      <c r="J655" s="7">
        <v>6464.12</v>
      </c>
      <c r="K655" s="6">
        <v>60</v>
      </c>
      <c r="L655" t="s">
        <v>52</v>
      </c>
      <c r="M655" s="8">
        <v>1292.8240000000001</v>
      </c>
      <c r="N655" s="7">
        <v>6464.12</v>
      </c>
      <c r="O655" t="s">
        <v>46</v>
      </c>
      <c r="P655" t="s">
        <v>40</v>
      </c>
    </row>
    <row r="656" spans="1:16" x14ac:dyDescent="0.25">
      <c r="A656" s="5">
        <v>45712</v>
      </c>
      <c r="B656" t="s">
        <v>118</v>
      </c>
      <c r="C656" t="s">
        <v>119</v>
      </c>
      <c r="D656" t="s">
        <v>64</v>
      </c>
      <c r="E656" t="s">
        <v>59</v>
      </c>
      <c r="F656" t="s">
        <v>60</v>
      </c>
      <c r="G656" t="s">
        <v>775</v>
      </c>
      <c r="H656" s="6">
        <v>64</v>
      </c>
      <c r="I656" s="7">
        <v>905.94</v>
      </c>
      <c r="J656" s="7">
        <v>57980.3</v>
      </c>
      <c r="K656" s="6">
        <v>30</v>
      </c>
      <c r="L656" t="s">
        <v>52</v>
      </c>
      <c r="M656" s="8">
        <v>11596.06</v>
      </c>
      <c r="N656" s="7">
        <v>57980.3</v>
      </c>
      <c r="O656" t="s">
        <v>39</v>
      </c>
      <c r="P656" t="s">
        <v>40</v>
      </c>
    </row>
    <row r="657" spans="1:16" x14ac:dyDescent="0.25">
      <c r="A657" s="5">
        <v>45761</v>
      </c>
      <c r="B657" t="s">
        <v>56</v>
      </c>
      <c r="C657" t="s">
        <v>57</v>
      </c>
      <c r="D657" t="s">
        <v>58</v>
      </c>
      <c r="E657" t="s">
        <v>115</v>
      </c>
      <c r="F657" t="s">
        <v>60</v>
      </c>
      <c r="G657" t="s">
        <v>776</v>
      </c>
      <c r="H657" s="6">
        <v>46</v>
      </c>
      <c r="I657" s="7">
        <v>227.28</v>
      </c>
      <c r="J657" s="7">
        <v>10455.040000000001</v>
      </c>
      <c r="K657" s="6">
        <v>60</v>
      </c>
      <c r="L657" t="s">
        <v>45</v>
      </c>
      <c r="M657" s="8">
        <v>2091.0079999999998</v>
      </c>
      <c r="N657" s="7">
        <v>10455.040000000001</v>
      </c>
      <c r="O657" t="s">
        <v>46</v>
      </c>
      <c r="P657" t="s">
        <v>40</v>
      </c>
    </row>
    <row r="658" spans="1:16" x14ac:dyDescent="0.25">
      <c r="A658" s="5">
        <v>45938</v>
      </c>
      <c r="B658" t="s">
        <v>73</v>
      </c>
      <c r="C658" t="s">
        <v>74</v>
      </c>
      <c r="D658" t="s">
        <v>69</v>
      </c>
      <c r="E658" t="s">
        <v>154</v>
      </c>
      <c r="F658" t="s">
        <v>89</v>
      </c>
      <c r="G658" t="s">
        <v>777</v>
      </c>
      <c r="H658" s="6">
        <v>64</v>
      </c>
      <c r="I658" s="7">
        <v>181.38</v>
      </c>
      <c r="J658" s="7">
        <v>11608.59</v>
      </c>
      <c r="K658" s="6">
        <v>30</v>
      </c>
      <c r="L658" t="s">
        <v>52</v>
      </c>
      <c r="M658" s="8">
        <v>2321.7179999999998</v>
      </c>
      <c r="N658" s="7">
        <v>11608.59</v>
      </c>
      <c r="O658" t="s">
        <v>39</v>
      </c>
      <c r="P658" t="s">
        <v>40</v>
      </c>
    </row>
    <row r="659" spans="1:16" x14ac:dyDescent="0.25">
      <c r="A659" s="5">
        <v>45659</v>
      </c>
      <c r="B659" t="s">
        <v>32</v>
      </c>
      <c r="C659" t="s">
        <v>33</v>
      </c>
      <c r="D659" t="s">
        <v>34</v>
      </c>
      <c r="E659" t="s">
        <v>83</v>
      </c>
      <c r="F659" t="s">
        <v>71</v>
      </c>
      <c r="G659" t="s">
        <v>778</v>
      </c>
      <c r="H659" s="6">
        <v>2</v>
      </c>
      <c r="I659" s="7">
        <v>93.75</v>
      </c>
      <c r="J659" s="7">
        <v>187.5</v>
      </c>
      <c r="K659" s="6">
        <v>60</v>
      </c>
      <c r="L659" t="s">
        <v>38</v>
      </c>
      <c r="M659" s="8">
        <v>37.5</v>
      </c>
      <c r="N659" s="7">
        <v>187.5</v>
      </c>
      <c r="O659" t="s">
        <v>39</v>
      </c>
      <c r="P659" t="s">
        <v>40</v>
      </c>
    </row>
    <row r="660" spans="1:16" x14ac:dyDescent="0.25">
      <c r="A660" s="5">
        <v>45704</v>
      </c>
      <c r="B660" t="s">
        <v>94</v>
      </c>
      <c r="C660" t="s">
        <v>95</v>
      </c>
      <c r="D660" t="s">
        <v>34</v>
      </c>
      <c r="E660" t="s">
        <v>107</v>
      </c>
      <c r="F660" t="s">
        <v>108</v>
      </c>
      <c r="G660" t="s">
        <v>779</v>
      </c>
      <c r="H660" s="6">
        <v>66</v>
      </c>
      <c r="I660" s="7">
        <v>83.63</v>
      </c>
      <c r="J660" s="7">
        <v>5519.76</v>
      </c>
      <c r="K660" s="6">
        <v>30</v>
      </c>
      <c r="L660" t="s">
        <v>52</v>
      </c>
      <c r="M660" s="8">
        <v>1103.952</v>
      </c>
      <c r="N660" s="7">
        <v>5519.76</v>
      </c>
      <c r="O660" t="s">
        <v>46</v>
      </c>
      <c r="P660" t="s">
        <v>40</v>
      </c>
    </row>
    <row r="661" spans="1:16" x14ac:dyDescent="0.25">
      <c r="A661" s="5">
        <v>45987</v>
      </c>
      <c r="B661" t="s">
        <v>100</v>
      </c>
      <c r="C661" t="s">
        <v>101</v>
      </c>
      <c r="D661" t="s">
        <v>69</v>
      </c>
      <c r="E661" t="s">
        <v>75</v>
      </c>
      <c r="F661" t="s">
        <v>36</v>
      </c>
      <c r="G661" t="s">
        <v>780</v>
      </c>
      <c r="H661" s="6">
        <v>30</v>
      </c>
      <c r="I661" s="7">
        <v>60.04</v>
      </c>
      <c r="J661" s="7">
        <v>1801.16</v>
      </c>
      <c r="K661" s="6">
        <v>45</v>
      </c>
      <c r="L661" t="s">
        <v>45</v>
      </c>
      <c r="M661" s="8">
        <v>360.23200000000003</v>
      </c>
      <c r="N661" s="7">
        <v>1801.16</v>
      </c>
      <c r="O661" t="s">
        <v>46</v>
      </c>
      <c r="P661" t="s">
        <v>40</v>
      </c>
    </row>
    <row r="662" spans="1:16" x14ac:dyDescent="0.25">
      <c r="A662" s="5">
        <v>45709</v>
      </c>
      <c r="B662" t="s">
        <v>62</v>
      </c>
      <c r="C662" t="s">
        <v>63</v>
      </c>
      <c r="D662" t="s">
        <v>64</v>
      </c>
      <c r="E662" t="s">
        <v>107</v>
      </c>
      <c r="F662" t="s">
        <v>108</v>
      </c>
      <c r="G662" t="s">
        <v>781</v>
      </c>
      <c r="H662" s="6">
        <v>23</v>
      </c>
      <c r="I662" s="7">
        <v>54.71</v>
      </c>
      <c r="J662" s="7">
        <v>1258.24</v>
      </c>
      <c r="K662" s="6">
        <v>30</v>
      </c>
      <c r="L662" t="s">
        <v>45</v>
      </c>
      <c r="M662" s="8">
        <v>251.648</v>
      </c>
      <c r="N662" s="7">
        <v>1258.24</v>
      </c>
      <c r="O662" t="s">
        <v>46</v>
      </c>
      <c r="P662" t="s">
        <v>40</v>
      </c>
    </row>
    <row r="663" spans="1:16" x14ac:dyDescent="0.25">
      <c r="A663" s="5">
        <v>45717</v>
      </c>
      <c r="B663" t="s">
        <v>118</v>
      </c>
      <c r="C663" t="s">
        <v>119</v>
      </c>
      <c r="D663" t="s">
        <v>64</v>
      </c>
      <c r="E663" t="s">
        <v>132</v>
      </c>
      <c r="F663" t="s">
        <v>71</v>
      </c>
      <c r="G663" t="s">
        <v>782</v>
      </c>
      <c r="H663" s="6">
        <v>13</v>
      </c>
      <c r="I663" s="7">
        <v>70.319999999999993</v>
      </c>
      <c r="J663" s="7">
        <v>914.2</v>
      </c>
      <c r="K663" s="6">
        <v>30</v>
      </c>
      <c r="L663" t="s">
        <v>38</v>
      </c>
      <c r="M663" s="8">
        <v>182.84</v>
      </c>
      <c r="N663" s="7">
        <v>914.2</v>
      </c>
      <c r="O663" t="s">
        <v>46</v>
      </c>
      <c r="P663" t="s">
        <v>40</v>
      </c>
    </row>
    <row r="664" spans="1:16" x14ac:dyDescent="0.25">
      <c r="A664" s="5">
        <v>45841</v>
      </c>
      <c r="B664" t="s">
        <v>110</v>
      </c>
      <c r="C664" t="s">
        <v>111</v>
      </c>
      <c r="D664" t="s">
        <v>58</v>
      </c>
      <c r="E664" t="s">
        <v>88</v>
      </c>
      <c r="F664" t="s">
        <v>89</v>
      </c>
      <c r="G664" t="s">
        <v>783</v>
      </c>
      <c r="H664" s="6">
        <v>57</v>
      </c>
      <c r="I664" s="7">
        <v>176.79</v>
      </c>
      <c r="J664" s="7">
        <v>10076.83</v>
      </c>
      <c r="K664" s="6">
        <v>60</v>
      </c>
      <c r="L664" t="s">
        <v>45</v>
      </c>
      <c r="M664" s="8">
        <v>2015.366</v>
      </c>
      <c r="N664" s="7">
        <v>10076.83</v>
      </c>
      <c r="O664" t="s">
        <v>46</v>
      </c>
      <c r="P664" t="s">
        <v>40</v>
      </c>
    </row>
    <row r="665" spans="1:16" x14ac:dyDescent="0.25">
      <c r="A665" s="5">
        <v>45833</v>
      </c>
      <c r="B665" t="s">
        <v>118</v>
      </c>
      <c r="C665" t="s">
        <v>119</v>
      </c>
      <c r="D665" t="s">
        <v>64</v>
      </c>
      <c r="E665" t="s">
        <v>75</v>
      </c>
      <c r="F665" t="s">
        <v>36</v>
      </c>
      <c r="G665" t="s">
        <v>784</v>
      </c>
      <c r="H665" s="6">
        <v>24</v>
      </c>
      <c r="I665" s="7">
        <v>48.21</v>
      </c>
      <c r="J665" s="7">
        <v>1156.97</v>
      </c>
      <c r="K665" s="6">
        <v>30</v>
      </c>
      <c r="L665" t="s">
        <v>45</v>
      </c>
      <c r="M665" s="8">
        <v>231.39400000000001</v>
      </c>
      <c r="N665" s="7">
        <v>1156.97</v>
      </c>
      <c r="O665" t="s">
        <v>46</v>
      </c>
      <c r="P665" t="s">
        <v>40</v>
      </c>
    </row>
    <row r="666" spans="1:16" x14ac:dyDescent="0.25">
      <c r="A666" s="5">
        <v>45855</v>
      </c>
      <c r="B666" t="s">
        <v>118</v>
      </c>
      <c r="C666" t="s">
        <v>119</v>
      </c>
      <c r="D666" t="s">
        <v>64</v>
      </c>
      <c r="E666" t="s">
        <v>139</v>
      </c>
      <c r="F666" t="s">
        <v>108</v>
      </c>
      <c r="G666" t="s">
        <v>785</v>
      </c>
      <c r="H666" s="6">
        <v>62</v>
      </c>
      <c r="I666" s="7">
        <v>50.67</v>
      </c>
      <c r="J666" s="7">
        <v>3141.82</v>
      </c>
      <c r="K666" s="6">
        <v>45</v>
      </c>
      <c r="L666" t="s">
        <v>52</v>
      </c>
      <c r="M666" s="8">
        <v>628.36400000000003</v>
      </c>
      <c r="N666" s="7">
        <v>3141.82</v>
      </c>
      <c r="O666" t="s">
        <v>46</v>
      </c>
      <c r="P666" t="s">
        <v>40</v>
      </c>
    </row>
    <row r="667" spans="1:16" x14ac:dyDescent="0.25">
      <c r="A667" s="5">
        <v>46014</v>
      </c>
      <c r="B667" t="s">
        <v>47</v>
      </c>
      <c r="C667" t="s">
        <v>48</v>
      </c>
      <c r="D667" t="s">
        <v>34</v>
      </c>
      <c r="E667" t="s">
        <v>127</v>
      </c>
      <c r="F667" t="s">
        <v>36</v>
      </c>
      <c r="G667" t="s">
        <v>786</v>
      </c>
      <c r="H667" s="6">
        <v>8</v>
      </c>
      <c r="I667" s="7">
        <v>68.92</v>
      </c>
      <c r="J667" s="7">
        <v>551.35</v>
      </c>
      <c r="K667" s="6">
        <v>30</v>
      </c>
      <c r="L667" t="s">
        <v>38</v>
      </c>
      <c r="M667" s="8">
        <v>110.27</v>
      </c>
      <c r="N667" s="7">
        <v>551.35</v>
      </c>
      <c r="O667" t="s">
        <v>39</v>
      </c>
      <c r="P667" t="s">
        <v>40</v>
      </c>
    </row>
    <row r="668" spans="1:16" x14ac:dyDescent="0.25">
      <c r="A668" s="5">
        <v>46005</v>
      </c>
      <c r="B668" t="s">
        <v>47</v>
      </c>
      <c r="C668" t="s">
        <v>48</v>
      </c>
      <c r="D668" t="s">
        <v>34</v>
      </c>
      <c r="E668" t="s">
        <v>129</v>
      </c>
      <c r="F668" t="s">
        <v>108</v>
      </c>
      <c r="G668" t="s">
        <v>787</v>
      </c>
      <c r="H668" s="6">
        <v>57</v>
      </c>
      <c r="I668" s="7">
        <v>65.19</v>
      </c>
      <c r="J668" s="7">
        <v>3715.62</v>
      </c>
      <c r="K668" s="6">
        <v>30</v>
      </c>
      <c r="L668" t="s">
        <v>52</v>
      </c>
      <c r="M668" s="8">
        <v>743.12400000000002</v>
      </c>
      <c r="N668" s="7">
        <v>3715.62</v>
      </c>
      <c r="O668" t="s">
        <v>46</v>
      </c>
      <c r="P668" t="s">
        <v>40</v>
      </c>
    </row>
    <row r="669" spans="1:16" x14ac:dyDescent="0.25">
      <c r="A669" s="5">
        <v>45672</v>
      </c>
      <c r="B669" t="s">
        <v>62</v>
      </c>
      <c r="C669" t="s">
        <v>63</v>
      </c>
      <c r="D669" t="s">
        <v>64</v>
      </c>
      <c r="E669" t="s">
        <v>70</v>
      </c>
      <c r="F669" t="s">
        <v>71</v>
      </c>
      <c r="G669" t="s">
        <v>788</v>
      </c>
      <c r="H669" s="6">
        <v>17</v>
      </c>
      <c r="I669" s="7">
        <v>217.26</v>
      </c>
      <c r="J669" s="7">
        <v>3693.34</v>
      </c>
      <c r="K669" s="6">
        <v>45</v>
      </c>
      <c r="L669" t="s">
        <v>45</v>
      </c>
      <c r="M669" s="8">
        <v>738.66800000000001</v>
      </c>
      <c r="N669" s="7">
        <v>3693.34</v>
      </c>
      <c r="O669" t="s">
        <v>46</v>
      </c>
      <c r="P669" t="s">
        <v>40</v>
      </c>
    </row>
    <row r="670" spans="1:16" x14ac:dyDescent="0.25">
      <c r="A670" s="5">
        <v>45681</v>
      </c>
      <c r="B670" t="s">
        <v>143</v>
      </c>
      <c r="C670" t="s">
        <v>144</v>
      </c>
      <c r="D670" t="s">
        <v>69</v>
      </c>
      <c r="E670" t="s">
        <v>96</v>
      </c>
      <c r="F670" t="s">
        <v>97</v>
      </c>
      <c r="G670" t="s">
        <v>789</v>
      </c>
      <c r="H670" s="6">
        <v>9</v>
      </c>
      <c r="I670" s="7">
        <v>69.81</v>
      </c>
      <c r="J670" s="7">
        <v>628.27</v>
      </c>
      <c r="K670" s="6">
        <v>45</v>
      </c>
      <c r="L670" t="s">
        <v>52</v>
      </c>
      <c r="M670" s="8">
        <v>125.654</v>
      </c>
      <c r="N670" s="7">
        <v>628.27</v>
      </c>
      <c r="O670" t="s">
        <v>46</v>
      </c>
      <c r="P670" t="s">
        <v>40</v>
      </c>
    </row>
    <row r="671" spans="1:16" x14ac:dyDescent="0.25">
      <c r="A671" s="5">
        <v>46005</v>
      </c>
      <c r="B671" t="s">
        <v>103</v>
      </c>
      <c r="C671" t="s">
        <v>104</v>
      </c>
      <c r="D671" t="s">
        <v>58</v>
      </c>
      <c r="E671" t="s">
        <v>152</v>
      </c>
      <c r="F671" t="s">
        <v>50</v>
      </c>
      <c r="G671" t="s">
        <v>790</v>
      </c>
      <c r="H671" s="6">
        <v>68</v>
      </c>
      <c r="I671" s="7">
        <v>218.73</v>
      </c>
      <c r="J671" s="7">
        <v>14873.38</v>
      </c>
      <c r="K671" s="6">
        <v>60</v>
      </c>
      <c r="L671" t="s">
        <v>52</v>
      </c>
      <c r="M671" s="8">
        <v>2974.6759999999999</v>
      </c>
      <c r="N671" s="7">
        <v>14873.38</v>
      </c>
      <c r="O671" t="s">
        <v>46</v>
      </c>
      <c r="P671" t="s">
        <v>40</v>
      </c>
    </row>
    <row r="672" spans="1:16" x14ac:dyDescent="0.25">
      <c r="A672" s="5">
        <v>45831</v>
      </c>
      <c r="B672" t="s">
        <v>110</v>
      </c>
      <c r="C672" t="s">
        <v>111</v>
      </c>
      <c r="D672" t="s">
        <v>58</v>
      </c>
      <c r="E672" t="s">
        <v>53</v>
      </c>
      <c r="F672" t="s">
        <v>54</v>
      </c>
      <c r="G672" t="s">
        <v>791</v>
      </c>
      <c r="H672" s="6">
        <v>67</v>
      </c>
      <c r="I672" s="7">
        <v>496.12</v>
      </c>
      <c r="J672" s="7">
        <v>33239.71</v>
      </c>
      <c r="K672" s="6">
        <v>60</v>
      </c>
      <c r="L672" t="s">
        <v>52</v>
      </c>
      <c r="M672" s="8">
        <v>6647.942</v>
      </c>
      <c r="N672" s="7">
        <v>33239.71</v>
      </c>
      <c r="O672" t="s">
        <v>46</v>
      </c>
      <c r="P672" t="s">
        <v>40</v>
      </c>
    </row>
    <row r="673" spans="1:16" x14ac:dyDescent="0.25">
      <c r="A673" s="5">
        <v>45996</v>
      </c>
      <c r="B673" t="s">
        <v>103</v>
      </c>
      <c r="C673" t="s">
        <v>104</v>
      </c>
      <c r="D673" t="s">
        <v>58</v>
      </c>
      <c r="E673" t="s">
        <v>75</v>
      </c>
      <c r="F673" t="s">
        <v>36</v>
      </c>
      <c r="G673" t="s">
        <v>792</v>
      </c>
      <c r="H673" s="6">
        <v>32</v>
      </c>
      <c r="I673" s="7">
        <v>20.78</v>
      </c>
      <c r="J673" s="7">
        <v>664.98</v>
      </c>
      <c r="K673" s="6">
        <v>45</v>
      </c>
      <c r="L673" t="s">
        <v>45</v>
      </c>
      <c r="M673" s="8">
        <v>132.99600000000001</v>
      </c>
      <c r="N673" s="7">
        <v>664.98</v>
      </c>
      <c r="O673" t="s">
        <v>46</v>
      </c>
      <c r="P673" t="s">
        <v>40</v>
      </c>
    </row>
    <row r="674" spans="1:16" x14ac:dyDescent="0.25">
      <c r="A674" s="5">
        <v>45943</v>
      </c>
      <c r="B674" t="s">
        <v>103</v>
      </c>
      <c r="C674" t="s">
        <v>104</v>
      </c>
      <c r="D674" t="s">
        <v>58</v>
      </c>
      <c r="E674" t="s">
        <v>204</v>
      </c>
      <c r="F674" t="s">
        <v>97</v>
      </c>
      <c r="G674" t="s">
        <v>793</v>
      </c>
      <c r="H674" s="6">
        <v>79</v>
      </c>
      <c r="I674" s="7">
        <v>248.47</v>
      </c>
      <c r="J674" s="7">
        <v>19628.78</v>
      </c>
      <c r="K674" s="6">
        <v>30</v>
      </c>
      <c r="L674" t="s">
        <v>38</v>
      </c>
      <c r="M674" s="8">
        <v>3925.7559999999999</v>
      </c>
      <c r="N674" s="7">
        <v>19628.78</v>
      </c>
      <c r="O674" t="s">
        <v>46</v>
      </c>
      <c r="P674" t="s">
        <v>40</v>
      </c>
    </row>
    <row r="675" spans="1:16" x14ac:dyDescent="0.25">
      <c r="A675" s="5">
        <v>45898</v>
      </c>
      <c r="B675" t="s">
        <v>47</v>
      </c>
      <c r="C675" t="s">
        <v>48</v>
      </c>
      <c r="D675" t="s">
        <v>34</v>
      </c>
      <c r="E675" t="s">
        <v>124</v>
      </c>
      <c r="F675" t="s">
        <v>89</v>
      </c>
      <c r="G675" t="s">
        <v>794</v>
      </c>
      <c r="H675" s="6">
        <v>64</v>
      </c>
      <c r="I675" s="7">
        <v>146.74</v>
      </c>
      <c r="J675" s="7">
        <v>9391.3799999999992</v>
      </c>
      <c r="K675" s="6">
        <v>30</v>
      </c>
      <c r="L675" t="s">
        <v>38</v>
      </c>
      <c r="M675" s="8">
        <v>1878.2760000000001</v>
      </c>
      <c r="N675" s="7">
        <v>9391.3799999999992</v>
      </c>
      <c r="O675" t="s">
        <v>46</v>
      </c>
      <c r="P675" t="s">
        <v>40</v>
      </c>
    </row>
    <row r="676" spans="1:16" x14ac:dyDescent="0.25">
      <c r="A676" s="5">
        <v>45781</v>
      </c>
      <c r="B676" t="s">
        <v>103</v>
      </c>
      <c r="C676" t="s">
        <v>104</v>
      </c>
      <c r="D676" t="s">
        <v>58</v>
      </c>
      <c r="E676" t="s">
        <v>139</v>
      </c>
      <c r="F676" t="s">
        <v>108</v>
      </c>
      <c r="G676" t="s">
        <v>795</v>
      </c>
      <c r="H676" s="6">
        <v>43</v>
      </c>
      <c r="I676" s="7">
        <v>34.58</v>
      </c>
      <c r="J676" s="7">
        <v>1487.06</v>
      </c>
      <c r="K676" s="6">
        <v>45</v>
      </c>
      <c r="L676" t="s">
        <v>38</v>
      </c>
      <c r="M676" s="8">
        <v>297.41199999999998</v>
      </c>
      <c r="N676" s="7">
        <v>1487.06</v>
      </c>
      <c r="O676" t="s">
        <v>46</v>
      </c>
      <c r="P676" t="s">
        <v>40</v>
      </c>
    </row>
    <row r="677" spans="1:16" x14ac:dyDescent="0.25">
      <c r="A677" s="5">
        <v>45987</v>
      </c>
      <c r="B677" t="s">
        <v>67</v>
      </c>
      <c r="C677" t="s">
        <v>68</v>
      </c>
      <c r="D677" t="s">
        <v>69</v>
      </c>
      <c r="E677" t="s">
        <v>53</v>
      </c>
      <c r="F677" t="s">
        <v>54</v>
      </c>
      <c r="G677" t="s">
        <v>796</v>
      </c>
      <c r="H677" s="6">
        <v>49</v>
      </c>
      <c r="I677" s="7">
        <v>162.99</v>
      </c>
      <c r="J677" s="7">
        <v>7986.29</v>
      </c>
      <c r="K677" s="6">
        <v>45</v>
      </c>
      <c r="L677" t="s">
        <v>38</v>
      </c>
      <c r="M677" s="8">
        <v>1597.258</v>
      </c>
      <c r="N677" s="7">
        <v>7986.29</v>
      </c>
      <c r="O677" t="s">
        <v>46</v>
      </c>
      <c r="P677" t="s">
        <v>40</v>
      </c>
    </row>
    <row r="678" spans="1:16" x14ac:dyDescent="0.25">
      <c r="A678" s="5">
        <v>45951</v>
      </c>
      <c r="B678" t="s">
        <v>143</v>
      </c>
      <c r="C678" t="s">
        <v>144</v>
      </c>
      <c r="D678" t="s">
        <v>69</v>
      </c>
      <c r="E678" t="s">
        <v>139</v>
      </c>
      <c r="F678" t="s">
        <v>108</v>
      </c>
      <c r="G678" t="s">
        <v>797</v>
      </c>
      <c r="H678" s="6">
        <v>58</v>
      </c>
      <c r="I678" s="7">
        <v>40.72</v>
      </c>
      <c r="J678" s="7">
        <v>2361.65</v>
      </c>
      <c r="K678" s="6">
        <v>30</v>
      </c>
      <c r="L678" t="s">
        <v>45</v>
      </c>
      <c r="M678" s="8">
        <v>472.33</v>
      </c>
      <c r="N678" s="7">
        <v>2361.65</v>
      </c>
      <c r="O678" t="s">
        <v>46</v>
      </c>
      <c r="P678" t="s">
        <v>40</v>
      </c>
    </row>
    <row r="679" spans="1:16" x14ac:dyDescent="0.25">
      <c r="A679" s="5">
        <v>45912</v>
      </c>
      <c r="B679" t="s">
        <v>80</v>
      </c>
      <c r="C679" t="s">
        <v>81</v>
      </c>
      <c r="D679" t="s">
        <v>64</v>
      </c>
      <c r="E679" t="s">
        <v>83</v>
      </c>
      <c r="F679" t="s">
        <v>71</v>
      </c>
      <c r="G679" t="s">
        <v>798</v>
      </c>
      <c r="H679" s="6">
        <v>3</v>
      </c>
      <c r="I679" s="7">
        <v>249.04</v>
      </c>
      <c r="J679" s="7">
        <v>747.13</v>
      </c>
      <c r="K679" s="6">
        <v>30</v>
      </c>
      <c r="L679" t="s">
        <v>45</v>
      </c>
      <c r="M679" s="8">
        <v>149.42599999999999</v>
      </c>
      <c r="N679" s="7">
        <v>747.13</v>
      </c>
      <c r="O679" t="s">
        <v>39</v>
      </c>
      <c r="P679" t="s">
        <v>40</v>
      </c>
    </row>
    <row r="680" spans="1:16" x14ac:dyDescent="0.25">
      <c r="A680" s="5">
        <v>45939</v>
      </c>
      <c r="B680" t="s">
        <v>32</v>
      </c>
      <c r="C680" t="s">
        <v>33</v>
      </c>
      <c r="D680" t="s">
        <v>34</v>
      </c>
      <c r="E680" t="s">
        <v>152</v>
      </c>
      <c r="F680" t="s">
        <v>50</v>
      </c>
      <c r="G680" t="s">
        <v>799</v>
      </c>
      <c r="H680" s="6">
        <v>1</v>
      </c>
      <c r="I680" s="7">
        <v>200.76</v>
      </c>
      <c r="J680" s="7">
        <v>200.76</v>
      </c>
      <c r="K680" s="6">
        <v>30</v>
      </c>
      <c r="L680" t="s">
        <v>52</v>
      </c>
      <c r="M680" s="8">
        <v>40.152000000000001</v>
      </c>
      <c r="N680" s="7">
        <v>200.76</v>
      </c>
      <c r="O680" t="s">
        <v>46</v>
      </c>
      <c r="P680" t="s">
        <v>40</v>
      </c>
    </row>
    <row r="681" spans="1:16" x14ac:dyDescent="0.25">
      <c r="A681" s="5">
        <v>45945</v>
      </c>
      <c r="B681" t="s">
        <v>121</v>
      </c>
      <c r="C681" t="s">
        <v>122</v>
      </c>
      <c r="D681" t="s">
        <v>34</v>
      </c>
      <c r="E681" t="s">
        <v>115</v>
      </c>
      <c r="F681" t="s">
        <v>60</v>
      </c>
      <c r="G681" t="s">
        <v>800</v>
      </c>
      <c r="H681" s="6">
        <v>27</v>
      </c>
      <c r="I681" s="7">
        <v>442.74</v>
      </c>
      <c r="J681" s="7">
        <v>11953.98</v>
      </c>
      <c r="K681" s="6">
        <v>60</v>
      </c>
      <c r="L681" t="s">
        <v>52</v>
      </c>
      <c r="M681" s="8">
        <v>2390.7959999999998</v>
      </c>
      <c r="N681" s="7">
        <v>11953.98</v>
      </c>
      <c r="O681" t="s">
        <v>46</v>
      </c>
      <c r="P681" t="s">
        <v>40</v>
      </c>
    </row>
    <row r="682" spans="1:16" x14ac:dyDescent="0.25">
      <c r="A682" s="5">
        <v>45685</v>
      </c>
      <c r="B682" t="s">
        <v>62</v>
      </c>
      <c r="C682" t="s">
        <v>63</v>
      </c>
      <c r="D682" t="s">
        <v>64</v>
      </c>
      <c r="E682" t="s">
        <v>132</v>
      </c>
      <c r="F682" t="s">
        <v>71</v>
      </c>
      <c r="G682" t="s">
        <v>801</v>
      </c>
      <c r="H682" s="6">
        <v>29</v>
      </c>
      <c r="I682" s="7">
        <v>141.29</v>
      </c>
      <c r="J682" s="7">
        <v>4097.34</v>
      </c>
      <c r="K682" s="6">
        <v>45</v>
      </c>
      <c r="L682" t="s">
        <v>45</v>
      </c>
      <c r="M682" s="8">
        <v>819.46799999999996</v>
      </c>
      <c r="N682" s="7">
        <v>4097.34</v>
      </c>
      <c r="O682" t="s">
        <v>46</v>
      </c>
      <c r="P682" t="s">
        <v>40</v>
      </c>
    </row>
    <row r="683" spans="1:16" x14ac:dyDescent="0.25">
      <c r="A683" s="5">
        <v>45994</v>
      </c>
      <c r="B683" t="s">
        <v>91</v>
      </c>
      <c r="C683" t="s">
        <v>92</v>
      </c>
      <c r="D683" t="s">
        <v>64</v>
      </c>
      <c r="E683" t="s">
        <v>129</v>
      </c>
      <c r="F683" t="s">
        <v>108</v>
      </c>
      <c r="G683" t="s">
        <v>802</v>
      </c>
      <c r="H683" s="6">
        <v>47</v>
      </c>
      <c r="I683" s="7">
        <v>40.31</v>
      </c>
      <c r="J683" s="7">
        <v>1894.4</v>
      </c>
      <c r="K683" s="6">
        <v>60</v>
      </c>
      <c r="L683" t="s">
        <v>45</v>
      </c>
      <c r="M683" s="8">
        <v>378.88</v>
      </c>
      <c r="N683" s="7">
        <v>1894.4</v>
      </c>
      <c r="O683" t="s">
        <v>46</v>
      </c>
      <c r="P683" t="s">
        <v>40</v>
      </c>
    </row>
    <row r="684" spans="1:16" x14ac:dyDescent="0.25">
      <c r="A684" s="5">
        <v>45771</v>
      </c>
      <c r="B684" t="s">
        <v>41</v>
      </c>
      <c r="C684" t="s">
        <v>42</v>
      </c>
      <c r="D684" t="s">
        <v>34</v>
      </c>
      <c r="E684" t="s">
        <v>43</v>
      </c>
      <c r="F684" t="s">
        <v>36</v>
      </c>
      <c r="G684" t="s">
        <v>803</v>
      </c>
      <c r="H684" s="6">
        <v>1</v>
      </c>
      <c r="I684" s="7">
        <v>48.71</v>
      </c>
      <c r="J684" s="7">
        <v>48.71</v>
      </c>
      <c r="K684" s="6">
        <v>45</v>
      </c>
      <c r="L684" t="s">
        <v>45</v>
      </c>
      <c r="M684" s="8">
        <v>9.7420000000000009</v>
      </c>
      <c r="N684" s="7">
        <v>48.71</v>
      </c>
      <c r="O684" t="s">
        <v>46</v>
      </c>
      <c r="P684" t="s">
        <v>40</v>
      </c>
    </row>
    <row r="685" spans="1:16" x14ac:dyDescent="0.25">
      <c r="A685" s="5">
        <v>45925</v>
      </c>
      <c r="B685" t="s">
        <v>47</v>
      </c>
      <c r="C685" t="s">
        <v>48</v>
      </c>
      <c r="D685" t="s">
        <v>34</v>
      </c>
      <c r="E685" t="s">
        <v>115</v>
      </c>
      <c r="F685" t="s">
        <v>60</v>
      </c>
      <c r="G685" t="s">
        <v>804</v>
      </c>
      <c r="H685" s="6">
        <v>48</v>
      </c>
      <c r="I685" s="7">
        <v>287.95</v>
      </c>
      <c r="J685" s="7">
        <v>13821.55</v>
      </c>
      <c r="K685" s="6">
        <v>60</v>
      </c>
      <c r="L685" t="s">
        <v>38</v>
      </c>
      <c r="M685" s="8">
        <v>2764.31</v>
      </c>
      <c r="N685" s="7">
        <v>13821.55</v>
      </c>
      <c r="O685" t="s">
        <v>46</v>
      </c>
      <c r="P685" t="s">
        <v>40</v>
      </c>
    </row>
    <row r="686" spans="1:16" x14ac:dyDescent="0.25">
      <c r="A686" s="5">
        <v>45729</v>
      </c>
      <c r="B686" t="s">
        <v>85</v>
      </c>
      <c r="C686" t="s">
        <v>86</v>
      </c>
      <c r="D686" t="s">
        <v>58</v>
      </c>
      <c r="E686" t="s">
        <v>88</v>
      </c>
      <c r="F686" t="s">
        <v>89</v>
      </c>
      <c r="G686" t="s">
        <v>805</v>
      </c>
      <c r="H686" s="6">
        <v>53</v>
      </c>
      <c r="I686" s="7">
        <v>91.91</v>
      </c>
      <c r="J686" s="7">
        <v>4871.12</v>
      </c>
      <c r="K686" s="6">
        <v>30</v>
      </c>
      <c r="L686" t="s">
        <v>45</v>
      </c>
      <c r="M686" s="8">
        <v>974.22400000000005</v>
      </c>
      <c r="N686" s="7">
        <v>4871.12</v>
      </c>
      <c r="O686" t="s">
        <v>46</v>
      </c>
      <c r="P686" t="s">
        <v>40</v>
      </c>
    </row>
    <row r="687" spans="1:16" x14ac:dyDescent="0.25">
      <c r="A687" s="5">
        <v>45719</v>
      </c>
      <c r="B687" t="s">
        <v>121</v>
      </c>
      <c r="C687" t="s">
        <v>122</v>
      </c>
      <c r="D687" t="s">
        <v>34</v>
      </c>
      <c r="E687" t="s">
        <v>806</v>
      </c>
      <c r="F687" t="s">
        <v>54</v>
      </c>
      <c r="G687" t="s">
        <v>807</v>
      </c>
      <c r="H687" s="6">
        <v>51</v>
      </c>
      <c r="I687" s="7">
        <v>370.04</v>
      </c>
      <c r="J687" s="7">
        <v>18872.02</v>
      </c>
      <c r="K687" s="6">
        <v>30</v>
      </c>
      <c r="L687" t="s">
        <v>45</v>
      </c>
      <c r="M687" s="8">
        <v>3774.404</v>
      </c>
      <c r="N687" s="7">
        <v>18872.02</v>
      </c>
      <c r="O687" t="s">
        <v>46</v>
      </c>
      <c r="P687" t="s">
        <v>40</v>
      </c>
    </row>
    <row r="688" spans="1:16" x14ac:dyDescent="0.25">
      <c r="A688" s="5">
        <v>45870</v>
      </c>
      <c r="B688" t="s">
        <v>77</v>
      </c>
      <c r="C688" t="s">
        <v>78</v>
      </c>
      <c r="D688" t="s">
        <v>58</v>
      </c>
      <c r="E688" t="s">
        <v>83</v>
      </c>
      <c r="F688" t="s">
        <v>71</v>
      </c>
      <c r="G688" t="s">
        <v>808</v>
      </c>
      <c r="H688" s="6">
        <v>6</v>
      </c>
      <c r="I688" s="7">
        <v>83.24</v>
      </c>
      <c r="J688" s="7">
        <v>499.42</v>
      </c>
      <c r="K688" s="6">
        <v>60</v>
      </c>
      <c r="L688" t="s">
        <v>52</v>
      </c>
      <c r="M688" s="8">
        <v>99.884</v>
      </c>
      <c r="N688" s="7">
        <v>499.42</v>
      </c>
      <c r="O688" t="s">
        <v>39</v>
      </c>
      <c r="P688" t="s">
        <v>40</v>
      </c>
    </row>
    <row r="689" spans="1:16" x14ac:dyDescent="0.25">
      <c r="A689" s="5">
        <v>45892</v>
      </c>
      <c r="B689" t="s">
        <v>41</v>
      </c>
      <c r="C689" t="s">
        <v>42</v>
      </c>
      <c r="D689" t="s">
        <v>34</v>
      </c>
      <c r="E689" t="s">
        <v>75</v>
      </c>
      <c r="F689" t="s">
        <v>36</v>
      </c>
      <c r="G689" t="s">
        <v>809</v>
      </c>
      <c r="H689" s="6">
        <v>76</v>
      </c>
      <c r="I689" s="7">
        <v>52.89</v>
      </c>
      <c r="J689" s="7">
        <v>4019.73</v>
      </c>
      <c r="K689" s="6">
        <v>60</v>
      </c>
      <c r="L689" t="s">
        <v>38</v>
      </c>
      <c r="M689" s="8">
        <v>803.94600000000003</v>
      </c>
      <c r="N689" s="7">
        <v>4019.73</v>
      </c>
      <c r="O689" t="s">
        <v>46</v>
      </c>
      <c r="P689" t="s">
        <v>40</v>
      </c>
    </row>
    <row r="690" spans="1:16" x14ac:dyDescent="0.25">
      <c r="A690" s="5">
        <v>45682</v>
      </c>
      <c r="B690" t="s">
        <v>91</v>
      </c>
      <c r="C690" t="s">
        <v>92</v>
      </c>
      <c r="D690" t="s">
        <v>64</v>
      </c>
      <c r="E690" t="s">
        <v>152</v>
      </c>
      <c r="F690" t="s">
        <v>50</v>
      </c>
      <c r="G690" t="s">
        <v>810</v>
      </c>
      <c r="H690" s="6">
        <v>71</v>
      </c>
      <c r="I690" s="7">
        <v>177.42</v>
      </c>
      <c r="J690" s="7">
        <v>12596.82</v>
      </c>
      <c r="K690" s="6">
        <v>45</v>
      </c>
      <c r="L690" t="s">
        <v>52</v>
      </c>
      <c r="M690" s="8">
        <v>2519.364</v>
      </c>
      <c r="N690" s="7">
        <v>12596.82</v>
      </c>
      <c r="O690" t="s">
        <v>46</v>
      </c>
      <c r="P690" t="s">
        <v>40</v>
      </c>
    </row>
    <row r="691" spans="1:16" x14ac:dyDescent="0.25">
      <c r="A691" s="5">
        <v>45954</v>
      </c>
      <c r="B691" t="s">
        <v>94</v>
      </c>
      <c r="C691" t="s">
        <v>95</v>
      </c>
      <c r="D691" t="s">
        <v>34</v>
      </c>
      <c r="E691" t="s">
        <v>124</v>
      </c>
      <c r="F691" t="s">
        <v>89</v>
      </c>
      <c r="G691" t="s">
        <v>811</v>
      </c>
      <c r="H691" s="6">
        <v>23</v>
      </c>
      <c r="I691" s="7">
        <v>229.82</v>
      </c>
      <c r="J691" s="7">
        <v>5285.89</v>
      </c>
      <c r="K691" s="6">
        <v>60</v>
      </c>
      <c r="L691" t="s">
        <v>38</v>
      </c>
      <c r="M691" s="8">
        <v>1057.1780000000001</v>
      </c>
      <c r="N691" s="7">
        <v>5285.89</v>
      </c>
      <c r="O691" t="s">
        <v>46</v>
      </c>
      <c r="P691" t="s">
        <v>40</v>
      </c>
    </row>
    <row r="692" spans="1:16" x14ac:dyDescent="0.25">
      <c r="A692" s="5">
        <v>45965</v>
      </c>
      <c r="B692" t="s">
        <v>94</v>
      </c>
      <c r="C692" t="s">
        <v>95</v>
      </c>
      <c r="D692" t="s">
        <v>34</v>
      </c>
      <c r="E692" t="s">
        <v>105</v>
      </c>
      <c r="F692" t="s">
        <v>97</v>
      </c>
      <c r="G692" t="s">
        <v>812</v>
      </c>
      <c r="H692" s="6">
        <v>78</v>
      </c>
      <c r="I692" s="7">
        <v>245.98</v>
      </c>
      <c r="J692" s="7">
        <v>19186.46</v>
      </c>
      <c r="K692" s="6">
        <v>45</v>
      </c>
      <c r="L692" t="s">
        <v>52</v>
      </c>
      <c r="M692" s="8">
        <v>3837.2919999999999</v>
      </c>
      <c r="N692" s="7">
        <v>19186.46</v>
      </c>
      <c r="O692" t="s">
        <v>46</v>
      </c>
      <c r="P692" t="s">
        <v>40</v>
      </c>
    </row>
    <row r="693" spans="1:16" x14ac:dyDescent="0.25">
      <c r="A693" s="5">
        <v>46012</v>
      </c>
      <c r="B693" t="s">
        <v>201</v>
      </c>
      <c r="C693" t="s">
        <v>202</v>
      </c>
      <c r="D693" t="s">
        <v>64</v>
      </c>
      <c r="E693" t="s">
        <v>105</v>
      </c>
      <c r="F693" t="s">
        <v>97</v>
      </c>
      <c r="G693" t="s">
        <v>813</v>
      </c>
      <c r="H693" s="6">
        <v>32</v>
      </c>
      <c r="I693" s="7">
        <v>567.6</v>
      </c>
      <c r="J693" s="7">
        <v>18163.14</v>
      </c>
      <c r="K693" s="6">
        <v>45</v>
      </c>
      <c r="L693" t="s">
        <v>45</v>
      </c>
      <c r="M693" s="8">
        <v>3632.6280000000002</v>
      </c>
      <c r="N693" s="7">
        <v>18163.14</v>
      </c>
      <c r="O693" t="s">
        <v>46</v>
      </c>
      <c r="P693" t="s">
        <v>40</v>
      </c>
    </row>
    <row r="694" spans="1:16" x14ac:dyDescent="0.25">
      <c r="A694" s="5">
        <v>45726</v>
      </c>
      <c r="B694" t="s">
        <v>100</v>
      </c>
      <c r="C694" t="s">
        <v>101</v>
      </c>
      <c r="D694" t="s">
        <v>69</v>
      </c>
      <c r="E694" t="s">
        <v>149</v>
      </c>
      <c r="F694" t="s">
        <v>60</v>
      </c>
      <c r="G694" t="s">
        <v>814</v>
      </c>
      <c r="H694" s="6">
        <v>18</v>
      </c>
      <c r="I694" s="7">
        <v>121.39</v>
      </c>
      <c r="J694" s="7">
        <v>2185.09</v>
      </c>
      <c r="K694" s="6">
        <v>45</v>
      </c>
      <c r="L694" t="s">
        <v>52</v>
      </c>
      <c r="M694" s="8">
        <v>437.01799999999997</v>
      </c>
      <c r="N694" s="7">
        <v>2185.09</v>
      </c>
      <c r="O694" t="s">
        <v>46</v>
      </c>
      <c r="P694" t="s">
        <v>40</v>
      </c>
    </row>
    <row r="695" spans="1:16" x14ac:dyDescent="0.25">
      <c r="A695" s="5">
        <v>45938</v>
      </c>
      <c r="B695" t="s">
        <v>118</v>
      </c>
      <c r="C695" t="s">
        <v>119</v>
      </c>
      <c r="D695" t="s">
        <v>64</v>
      </c>
      <c r="E695" t="s">
        <v>115</v>
      </c>
      <c r="F695" t="s">
        <v>60</v>
      </c>
      <c r="G695" t="s">
        <v>815</v>
      </c>
      <c r="H695" s="6">
        <v>41</v>
      </c>
      <c r="I695" s="7">
        <v>308.70999999999998</v>
      </c>
      <c r="J695" s="7">
        <v>12656.98</v>
      </c>
      <c r="K695" s="6">
        <v>60</v>
      </c>
      <c r="L695" t="s">
        <v>52</v>
      </c>
      <c r="M695" s="8">
        <v>2531.3960000000002</v>
      </c>
      <c r="N695" s="7">
        <v>12656.98</v>
      </c>
      <c r="O695" t="s">
        <v>46</v>
      </c>
      <c r="P695" t="s">
        <v>40</v>
      </c>
    </row>
    <row r="696" spans="1:16" x14ac:dyDescent="0.25">
      <c r="A696" s="5">
        <v>45765</v>
      </c>
      <c r="B696" t="s">
        <v>103</v>
      </c>
      <c r="C696" t="s">
        <v>104</v>
      </c>
      <c r="D696" t="s">
        <v>58</v>
      </c>
      <c r="E696" t="s">
        <v>135</v>
      </c>
      <c r="F696" t="s">
        <v>54</v>
      </c>
      <c r="G696" t="s">
        <v>816</v>
      </c>
      <c r="H696" s="6">
        <v>80</v>
      </c>
      <c r="I696" s="7">
        <v>346.43</v>
      </c>
      <c r="J696" s="7">
        <v>27714.01</v>
      </c>
      <c r="K696" s="6">
        <v>60</v>
      </c>
      <c r="L696" t="s">
        <v>45</v>
      </c>
      <c r="M696" s="8">
        <v>5542.8019999999997</v>
      </c>
      <c r="N696" s="7">
        <v>27714.01</v>
      </c>
      <c r="O696" t="s">
        <v>46</v>
      </c>
      <c r="P696" t="s">
        <v>40</v>
      </c>
    </row>
    <row r="697" spans="1:16" x14ac:dyDescent="0.25">
      <c r="A697" s="5">
        <v>45725</v>
      </c>
      <c r="B697" t="s">
        <v>85</v>
      </c>
      <c r="C697" t="s">
        <v>86</v>
      </c>
      <c r="D697" t="s">
        <v>58</v>
      </c>
      <c r="E697" t="s">
        <v>70</v>
      </c>
      <c r="F697" t="s">
        <v>71</v>
      </c>
      <c r="G697" t="s">
        <v>817</v>
      </c>
      <c r="H697" s="6">
        <v>23</v>
      </c>
      <c r="I697" s="7">
        <v>80.13</v>
      </c>
      <c r="J697" s="7">
        <v>1842.95</v>
      </c>
      <c r="K697" s="6">
        <v>60</v>
      </c>
      <c r="L697" t="s">
        <v>52</v>
      </c>
      <c r="M697" s="8">
        <v>368.59</v>
      </c>
      <c r="N697" s="7">
        <v>1842.95</v>
      </c>
      <c r="O697" t="s">
        <v>46</v>
      </c>
      <c r="P697" t="s">
        <v>40</v>
      </c>
    </row>
    <row r="698" spans="1:16" x14ac:dyDescent="0.25">
      <c r="A698" s="5">
        <v>45717</v>
      </c>
      <c r="B698" t="s">
        <v>121</v>
      </c>
      <c r="C698" t="s">
        <v>122</v>
      </c>
      <c r="D698" t="s">
        <v>34</v>
      </c>
      <c r="E698" t="s">
        <v>70</v>
      </c>
      <c r="F698" t="s">
        <v>71</v>
      </c>
      <c r="G698" t="s">
        <v>818</v>
      </c>
      <c r="H698" s="6">
        <v>46</v>
      </c>
      <c r="I698" s="7">
        <v>113.66</v>
      </c>
      <c r="J698" s="7">
        <v>5228.5600000000004</v>
      </c>
      <c r="K698" s="6">
        <v>60</v>
      </c>
      <c r="L698" t="s">
        <v>45</v>
      </c>
      <c r="M698" s="8">
        <v>1045.712</v>
      </c>
      <c r="N698" s="7">
        <v>5228.5600000000004</v>
      </c>
      <c r="O698" t="s">
        <v>46</v>
      </c>
      <c r="P698" t="s">
        <v>40</v>
      </c>
    </row>
    <row r="699" spans="1:16" x14ac:dyDescent="0.25">
      <c r="A699" s="5">
        <v>45931</v>
      </c>
      <c r="B699" t="s">
        <v>47</v>
      </c>
      <c r="C699" t="s">
        <v>48</v>
      </c>
      <c r="D699" t="s">
        <v>34</v>
      </c>
      <c r="E699" t="s">
        <v>105</v>
      </c>
      <c r="F699" t="s">
        <v>97</v>
      </c>
      <c r="G699" t="s">
        <v>819</v>
      </c>
      <c r="H699" s="6">
        <v>37</v>
      </c>
      <c r="I699" s="7">
        <v>150.76</v>
      </c>
      <c r="J699" s="7">
        <v>5578.01</v>
      </c>
      <c r="K699" s="6">
        <v>45</v>
      </c>
      <c r="L699" t="s">
        <v>38</v>
      </c>
      <c r="M699" s="8">
        <v>1115.6020000000001</v>
      </c>
      <c r="N699" s="7">
        <v>5578.01</v>
      </c>
      <c r="O699" t="s">
        <v>46</v>
      </c>
      <c r="P699" t="s">
        <v>40</v>
      </c>
    </row>
    <row r="700" spans="1:16" x14ac:dyDescent="0.25">
      <c r="A700" s="5">
        <v>45853</v>
      </c>
      <c r="B700" t="s">
        <v>143</v>
      </c>
      <c r="C700" t="s">
        <v>144</v>
      </c>
      <c r="D700" t="s">
        <v>69</v>
      </c>
      <c r="E700" t="s">
        <v>127</v>
      </c>
      <c r="F700" t="s">
        <v>36</v>
      </c>
      <c r="G700" t="s">
        <v>820</v>
      </c>
      <c r="H700" s="6">
        <v>19</v>
      </c>
      <c r="I700" s="7">
        <v>108.05</v>
      </c>
      <c r="J700" s="7">
        <v>2052.9699999999998</v>
      </c>
      <c r="K700" s="6">
        <v>30</v>
      </c>
      <c r="L700" t="s">
        <v>52</v>
      </c>
      <c r="M700" s="8">
        <v>410.59399999999999</v>
      </c>
      <c r="N700" s="7">
        <v>2052.9699999999998</v>
      </c>
      <c r="O700" t="s">
        <v>39</v>
      </c>
      <c r="P700" t="s">
        <v>40</v>
      </c>
    </row>
    <row r="701" spans="1:16" x14ac:dyDescent="0.25">
      <c r="A701" s="5">
        <v>45740</v>
      </c>
      <c r="B701" t="s">
        <v>62</v>
      </c>
      <c r="C701" t="s">
        <v>63</v>
      </c>
      <c r="D701" t="s">
        <v>64</v>
      </c>
      <c r="E701" t="s">
        <v>65</v>
      </c>
      <c r="F701" t="s">
        <v>54</v>
      </c>
      <c r="G701" t="s">
        <v>821</v>
      </c>
      <c r="H701" s="6">
        <v>37</v>
      </c>
      <c r="I701" s="7">
        <v>225.83</v>
      </c>
      <c r="J701" s="7">
        <v>8355.56</v>
      </c>
      <c r="K701" s="6">
        <v>60</v>
      </c>
      <c r="L701" t="s">
        <v>45</v>
      </c>
      <c r="M701" s="8">
        <v>1671.1120000000001</v>
      </c>
      <c r="N701" s="7">
        <v>8355.56</v>
      </c>
      <c r="O701" t="s">
        <v>46</v>
      </c>
      <c r="P701" t="s">
        <v>40</v>
      </c>
    </row>
    <row r="702" spans="1:16" x14ac:dyDescent="0.25">
      <c r="A702" s="5">
        <v>45809</v>
      </c>
      <c r="B702" t="s">
        <v>201</v>
      </c>
      <c r="C702" t="s">
        <v>202</v>
      </c>
      <c r="D702" t="s">
        <v>64</v>
      </c>
      <c r="E702" t="s">
        <v>152</v>
      </c>
      <c r="F702" t="s">
        <v>50</v>
      </c>
      <c r="G702" t="s">
        <v>822</v>
      </c>
      <c r="H702" s="6">
        <v>27</v>
      </c>
      <c r="I702" s="7">
        <v>90.02</v>
      </c>
      <c r="J702" s="7">
        <v>2430.4499999999998</v>
      </c>
      <c r="K702" s="6">
        <v>60</v>
      </c>
      <c r="L702" t="s">
        <v>38</v>
      </c>
      <c r="M702" s="8">
        <v>486.09</v>
      </c>
      <c r="N702" s="7">
        <v>2430.4499999999998</v>
      </c>
      <c r="O702" t="s">
        <v>46</v>
      </c>
      <c r="P702" t="s">
        <v>40</v>
      </c>
    </row>
    <row r="703" spans="1:16" x14ac:dyDescent="0.25">
      <c r="A703" s="5">
        <v>45973</v>
      </c>
      <c r="B703" t="s">
        <v>103</v>
      </c>
      <c r="C703" t="s">
        <v>104</v>
      </c>
      <c r="D703" t="s">
        <v>58</v>
      </c>
      <c r="E703" t="s">
        <v>107</v>
      </c>
      <c r="F703" t="s">
        <v>108</v>
      </c>
      <c r="G703" t="s">
        <v>823</v>
      </c>
      <c r="H703" s="6">
        <v>72</v>
      </c>
      <c r="I703" s="7">
        <v>133.55000000000001</v>
      </c>
      <c r="J703" s="7">
        <v>9615.2900000000009</v>
      </c>
      <c r="K703" s="6">
        <v>30</v>
      </c>
      <c r="L703" t="s">
        <v>52</v>
      </c>
      <c r="M703" s="8">
        <v>1923.058</v>
      </c>
      <c r="N703" s="7">
        <v>9615.2900000000009</v>
      </c>
      <c r="O703" t="s">
        <v>46</v>
      </c>
      <c r="P703" t="s">
        <v>40</v>
      </c>
    </row>
    <row r="704" spans="1:16" x14ac:dyDescent="0.25">
      <c r="A704" s="5">
        <v>45919</v>
      </c>
      <c r="B704" t="s">
        <v>94</v>
      </c>
      <c r="C704" t="s">
        <v>95</v>
      </c>
      <c r="D704" t="s">
        <v>34</v>
      </c>
      <c r="E704" t="s">
        <v>204</v>
      </c>
      <c r="F704" t="s">
        <v>97</v>
      </c>
      <c r="G704" t="s">
        <v>824</v>
      </c>
      <c r="H704" s="6">
        <v>37</v>
      </c>
      <c r="I704" s="7">
        <v>203.65</v>
      </c>
      <c r="J704" s="7">
        <v>7534.98</v>
      </c>
      <c r="K704" s="6">
        <v>60</v>
      </c>
      <c r="L704" t="s">
        <v>52</v>
      </c>
      <c r="M704" s="8">
        <v>1506.9960000000001</v>
      </c>
      <c r="N704" s="7">
        <v>7534.98</v>
      </c>
      <c r="O704" t="s">
        <v>46</v>
      </c>
      <c r="P704" t="s">
        <v>40</v>
      </c>
    </row>
    <row r="705" spans="1:16" x14ac:dyDescent="0.25">
      <c r="A705" s="5">
        <v>45871</v>
      </c>
      <c r="B705" t="s">
        <v>201</v>
      </c>
      <c r="C705" t="s">
        <v>202</v>
      </c>
      <c r="D705" t="s">
        <v>64</v>
      </c>
      <c r="E705" t="s">
        <v>96</v>
      </c>
      <c r="F705" t="s">
        <v>97</v>
      </c>
      <c r="G705" t="s">
        <v>825</v>
      </c>
      <c r="H705" s="6">
        <v>41</v>
      </c>
      <c r="I705" s="7">
        <v>138.26</v>
      </c>
      <c r="J705" s="7">
        <v>5668.62</v>
      </c>
      <c r="K705" s="6">
        <v>60</v>
      </c>
      <c r="L705" t="s">
        <v>38</v>
      </c>
      <c r="M705" s="8">
        <v>1133.7239999999999</v>
      </c>
      <c r="N705" s="7">
        <v>5668.62</v>
      </c>
      <c r="O705" t="s">
        <v>46</v>
      </c>
      <c r="P705" t="s">
        <v>40</v>
      </c>
    </row>
    <row r="706" spans="1:16" x14ac:dyDescent="0.25">
      <c r="A706" s="5">
        <v>45975</v>
      </c>
      <c r="B706" t="s">
        <v>67</v>
      </c>
      <c r="C706" t="s">
        <v>68</v>
      </c>
      <c r="D706" t="s">
        <v>69</v>
      </c>
      <c r="E706" t="s">
        <v>59</v>
      </c>
      <c r="F706" t="s">
        <v>60</v>
      </c>
      <c r="G706" t="s">
        <v>826</v>
      </c>
      <c r="H706" s="6">
        <v>57</v>
      </c>
      <c r="I706" s="7">
        <v>93.46</v>
      </c>
      <c r="J706" s="7">
        <v>5326.94</v>
      </c>
      <c r="K706" s="6">
        <v>30</v>
      </c>
      <c r="L706" t="s">
        <v>52</v>
      </c>
      <c r="M706" s="8">
        <v>1065.3879999999999</v>
      </c>
      <c r="N706" s="7">
        <v>5326.94</v>
      </c>
      <c r="O706" t="s">
        <v>39</v>
      </c>
      <c r="P706" t="s">
        <v>40</v>
      </c>
    </row>
    <row r="707" spans="1:16" x14ac:dyDescent="0.25">
      <c r="A707" s="5">
        <v>45937</v>
      </c>
      <c r="B707" t="s">
        <v>201</v>
      </c>
      <c r="C707" t="s">
        <v>202</v>
      </c>
      <c r="D707" t="s">
        <v>64</v>
      </c>
      <c r="E707" t="s">
        <v>70</v>
      </c>
      <c r="F707" t="s">
        <v>71</v>
      </c>
      <c r="G707" t="s">
        <v>827</v>
      </c>
      <c r="H707" s="6">
        <v>78</v>
      </c>
      <c r="I707" s="7">
        <v>132.58000000000001</v>
      </c>
      <c r="J707" s="7">
        <v>10341.200000000001</v>
      </c>
      <c r="K707" s="6">
        <v>30</v>
      </c>
      <c r="L707" t="s">
        <v>52</v>
      </c>
      <c r="M707" s="8">
        <v>2068.2399999999998</v>
      </c>
      <c r="N707" s="7">
        <v>10341.200000000001</v>
      </c>
      <c r="O707" t="s">
        <v>46</v>
      </c>
      <c r="P707" t="s">
        <v>40</v>
      </c>
    </row>
    <row r="708" spans="1:16" x14ac:dyDescent="0.25">
      <c r="A708" s="5">
        <v>45748</v>
      </c>
      <c r="B708" t="s">
        <v>32</v>
      </c>
      <c r="C708" t="s">
        <v>33</v>
      </c>
      <c r="D708" t="s">
        <v>34</v>
      </c>
      <c r="E708" t="s">
        <v>149</v>
      </c>
      <c r="F708" t="s">
        <v>60</v>
      </c>
      <c r="G708" t="s">
        <v>828</v>
      </c>
      <c r="H708" s="6">
        <v>10</v>
      </c>
      <c r="I708" s="7">
        <v>108.79</v>
      </c>
      <c r="J708" s="7">
        <v>1087.8699999999999</v>
      </c>
      <c r="K708" s="6">
        <v>30</v>
      </c>
      <c r="L708" t="s">
        <v>38</v>
      </c>
      <c r="M708" s="8">
        <v>217.57400000000001</v>
      </c>
      <c r="N708" s="7">
        <v>1087.8699999999999</v>
      </c>
      <c r="O708" t="s">
        <v>46</v>
      </c>
      <c r="P708" t="s">
        <v>40</v>
      </c>
    </row>
    <row r="709" spans="1:16" x14ac:dyDescent="0.25">
      <c r="A709" s="5">
        <v>45678</v>
      </c>
      <c r="B709" t="s">
        <v>77</v>
      </c>
      <c r="C709" t="s">
        <v>78</v>
      </c>
      <c r="D709" t="s">
        <v>58</v>
      </c>
      <c r="E709" t="s">
        <v>75</v>
      </c>
      <c r="F709" t="s">
        <v>36</v>
      </c>
      <c r="G709" t="s">
        <v>829</v>
      </c>
      <c r="H709" s="6">
        <v>55</v>
      </c>
      <c r="I709" s="7">
        <v>170.63</v>
      </c>
      <c r="J709" s="7">
        <v>9384.9</v>
      </c>
      <c r="K709" s="6">
        <v>45</v>
      </c>
      <c r="L709" t="s">
        <v>52</v>
      </c>
      <c r="M709" s="8">
        <v>1876.98</v>
      </c>
      <c r="N709" s="7">
        <v>9384.9</v>
      </c>
      <c r="O709" t="s">
        <v>46</v>
      </c>
      <c r="P709" t="s">
        <v>40</v>
      </c>
    </row>
    <row r="710" spans="1:16" x14ac:dyDescent="0.25">
      <c r="A710" s="5">
        <v>45957</v>
      </c>
      <c r="B710" t="s">
        <v>85</v>
      </c>
      <c r="C710" t="s">
        <v>86</v>
      </c>
      <c r="D710" t="s">
        <v>58</v>
      </c>
      <c r="E710" t="s">
        <v>154</v>
      </c>
      <c r="F710" t="s">
        <v>89</v>
      </c>
      <c r="G710" t="s">
        <v>830</v>
      </c>
      <c r="H710" s="6">
        <v>33</v>
      </c>
      <c r="I710" s="7">
        <v>57.28</v>
      </c>
      <c r="J710" s="7">
        <v>1890.13</v>
      </c>
      <c r="K710" s="6">
        <v>30</v>
      </c>
      <c r="L710" t="s">
        <v>45</v>
      </c>
      <c r="M710" s="8">
        <v>378.02600000000001</v>
      </c>
      <c r="N710" s="7">
        <v>1890.13</v>
      </c>
      <c r="O710" t="s">
        <v>39</v>
      </c>
      <c r="P710" t="s">
        <v>40</v>
      </c>
    </row>
    <row r="711" spans="1:16" x14ac:dyDescent="0.25">
      <c r="A711" s="5">
        <v>45736</v>
      </c>
      <c r="B711" t="s">
        <v>118</v>
      </c>
      <c r="C711" t="s">
        <v>119</v>
      </c>
      <c r="D711" t="s">
        <v>64</v>
      </c>
      <c r="E711" t="s">
        <v>154</v>
      </c>
      <c r="F711" t="s">
        <v>89</v>
      </c>
      <c r="G711" t="s">
        <v>831</v>
      </c>
      <c r="H711" s="6">
        <v>42</v>
      </c>
      <c r="I711" s="7">
        <v>457.61</v>
      </c>
      <c r="J711" s="7">
        <v>19219.439999999999</v>
      </c>
      <c r="K711" s="6">
        <v>60</v>
      </c>
      <c r="L711" t="s">
        <v>38</v>
      </c>
      <c r="M711" s="8">
        <v>3843.8879999999999</v>
      </c>
      <c r="N711" s="7">
        <v>19219.439999999999</v>
      </c>
      <c r="O711" t="s">
        <v>39</v>
      </c>
      <c r="P711" t="s">
        <v>40</v>
      </c>
    </row>
    <row r="712" spans="1:16" x14ac:dyDescent="0.25">
      <c r="A712" s="5">
        <v>45951</v>
      </c>
      <c r="B712" t="s">
        <v>62</v>
      </c>
      <c r="C712" t="s">
        <v>63</v>
      </c>
      <c r="D712" t="s">
        <v>64</v>
      </c>
      <c r="E712" t="s">
        <v>149</v>
      </c>
      <c r="F712" t="s">
        <v>60</v>
      </c>
      <c r="G712" t="s">
        <v>832</v>
      </c>
      <c r="H712" s="6">
        <v>71</v>
      </c>
      <c r="I712" s="7">
        <v>247.07</v>
      </c>
      <c r="J712" s="7">
        <v>17542.240000000002</v>
      </c>
      <c r="K712" s="6">
        <v>45</v>
      </c>
      <c r="L712" t="s">
        <v>38</v>
      </c>
      <c r="M712" s="8">
        <v>3508.4479999999999</v>
      </c>
      <c r="N712" s="7">
        <v>17542.240000000002</v>
      </c>
      <c r="O712" t="s">
        <v>46</v>
      </c>
      <c r="P712" t="s">
        <v>40</v>
      </c>
    </row>
    <row r="713" spans="1:16" x14ac:dyDescent="0.25">
      <c r="A713" s="5">
        <v>45770</v>
      </c>
      <c r="B713" t="s">
        <v>41</v>
      </c>
      <c r="C713" t="s">
        <v>42</v>
      </c>
      <c r="D713" t="s">
        <v>34</v>
      </c>
      <c r="E713" t="s">
        <v>70</v>
      </c>
      <c r="F713" t="s">
        <v>71</v>
      </c>
      <c r="G713" t="s">
        <v>833</v>
      </c>
      <c r="H713" s="6">
        <v>24</v>
      </c>
      <c r="I713" s="7">
        <v>90.08</v>
      </c>
      <c r="J713" s="7">
        <v>2161.89</v>
      </c>
      <c r="K713" s="6">
        <v>60</v>
      </c>
      <c r="L713" t="s">
        <v>38</v>
      </c>
      <c r="M713" s="8">
        <v>432.37799999999999</v>
      </c>
      <c r="N713" s="7">
        <v>2161.89</v>
      </c>
      <c r="O713" t="s">
        <v>46</v>
      </c>
      <c r="P713" t="s">
        <v>40</v>
      </c>
    </row>
    <row r="714" spans="1:16" x14ac:dyDescent="0.25">
      <c r="A714" s="5">
        <v>45936</v>
      </c>
      <c r="B714" t="s">
        <v>91</v>
      </c>
      <c r="C714" t="s">
        <v>92</v>
      </c>
      <c r="D714" t="s">
        <v>64</v>
      </c>
      <c r="E714" t="s">
        <v>88</v>
      </c>
      <c r="F714" t="s">
        <v>89</v>
      </c>
      <c r="G714" t="s">
        <v>834</v>
      </c>
      <c r="H714" s="6">
        <v>69</v>
      </c>
      <c r="I714" s="7">
        <v>133.38999999999999</v>
      </c>
      <c r="J714" s="7">
        <v>9203.67</v>
      </c>
      <c r="K714" s="6">
        <v>45</v>
      </c>
      <c r="L714" t="s">
        <v>38</v>
      </c>
      <c r="M714" s="8">
        <v>1840.7339999999999</v>
      </c>
      <c r="N714" s="7">
        <v>9203.67</v>
      </c>
      <c r="O714" t="s">
        <v>46</v>
      </c>
      <c r="P714" t="s">
        <v>40</v>
      </c>
    </row>
    <row r="715" spans="1:16" x14ac:dyDescent="0.25">
      <c r="A715" s="5">
        <v>45997</v>
      </c>
      <c r="B715" t="s">
        <v>67</v>
      </c>
      <c r="C715" t="s">
        <v>68</v>
      </c>
      <c r="D715" t="s">
        <v>69</v>
      </c>
      <c r="E715" t="s">
        <v>135</v>
      </c>
      <c r="F715" t="s">
        <v>54</v>
      </c>
      <c r="G715" t="s">
        <v>835</v>
      </c>
      <c r="H715" s="6">
        <v>43</v>
      </c>
      <c r="I715" s="7">
        <v>311.37</v>
      </c>
      <c r="J715" s="7">
        <v>13388.96</v>
      </c>
      <c r="K715" s="6">
        <v>45</v>
      </c>
      <c r="L715" t="s">
        <v>45</v>
      </c>
      <c r="M715" s="8">
        <v>2677.7919999999999</v>
      </c>
      <c r="N715" s="7">
        <v>13388.96</v>
      </c>
      <c r="O715" t="s">
        <v>46</v>
      </c>
      <c r="P715" t="s">
        <v>40</v>
      </c>
    </row>
    <row r="716" spans="1:16" x14ac:dyDescent="0.25">
      <c r="A716" s="5">
        <v>45929</v>
      </c>
      <c r="B716" t="s">
        <v>143</v>
      </c>
      <c r="C716" t="s">
        <v>144</v>
      </c>
      <c r="D716" t="s">
        <v>69</v>
      </c>
      <c r="E716" t="s">
        <v>53</v>
      </c>
      <c r="F716" t="s">
        <v>54</v>
      </c>
      <c r="G716" t="s">
        <v>836</v>
      </c>
      <c r="H716" s="6">
        <v>61</v>
      </c>
      <c r="I716" s="7">
        <v>244.88</v>
      </c>
      <c r="J716" s="7">
        <v>14937.58</v>
      </c>
      <c r="K716" s="6">
        <v>60</v>
      </c>
      <c r="L716" t="s">
        <v>52</v>
      </c>
      <c r="M716" s="8">
        <v>2987.5160000000001</v>
      </c>
      <c r="N716" s="7">
        <v>14937.58</v>
      </c>
      <c r="O716" t="s">
        <v>46</v>
      </c>
      <c r="P716" t="s">
        <v>40</v>
      </c>
    </row>
    <row r="717" spans="1:16" x14ac:dyDescent="0.25">
      <c r="A717" s="5">
        <v>45835</v>
      </c>
      <c r="B717" t="s">
        <v>121</v>
      </c>
      <c r="C717" t="s">
        <v>122</v>
      </c>
      <c r="D717" t="s">
        <v>34</v>
      </c>
      <c r="E717" t="s">
        <v>43</v>
      </c>
      <c r="F717" t="s">
        <v>36</v>
      </c>
      <c r="G717" t="s">
        <v>837</v>
      </c>
      <c r="H717" s="6">
        <v>58</v>
      </c>
      <c r="I717" s="7">
        <v>119.25</v>
      </c>
      <c r="J717" s="7">
        <v>6916.37</v>
      </c>
      <c r="K717" s="6">
        <v>30</v>
      </c>
      <c r="L717" t="s">
        <v>52</v>
      </c>
      <c r="M717" s="8">
        <v>1383.2739999999999</v>
      </c>
      <c r="N717" s="7">
        <v>6916.37</v>
      </c>
      <c r="O717" t="s">
        <v>46</v>
      </c>
      <c r="P717" t="s">
        <v>40</v>
      </c>
    </row>
    <row r="718" spans="1:16" x14ac:dyDescent="0.25">
      <c r="A718" s="5">
        <v>46007</v>
      </c>
      <c r="B718" t="s">
        <v>85</v>
      </c>
      <c r="C718" t="s">
        <v>86</v>
      </c>
      <c r="D718" t="s">
        <v>58</v>
      </c>
      <c r="E718" t="s">
        <v>135</v>
      </c>
      <c r="F718" t="s">
        <v>54</v>
      </c>
      <c r="G718" t="s">
        <v>838</v>
      </c>
      <c r="H718" s="6">
        <v>42</v>
      </c>
      <c r="I718" s="7">
        <v>266.20999999999998</v>
      </c>
      <c r="J718" s="7">
        <v>11180.83</v>
      </c>
      <c r="K718" s="6">
        <v>45</v>
      </c>
      <c r="L718" t="s">
        <v>38</v>
      </c>
      <c r="M718" s="8">
        <v>2236.1660000000002</v>
      </c>
      <c r="N718" s="7">
        <v>11180.83</v>
      </c>
      <c r="O718" t="s">
        <v>46</v>
      </c>
      <c r="P718" t="s">
        <v>40</v>
      </c>
    </row>
    <row r="719" spans="1:16" x14ac:dyDescent="0.25">
      <c r="A719" s="5">
        <v>45802</v>
      </c>
      <c r="B719" t="s">
        <v>32</v>
      </c>
      <c r="C719" t="s">
        <v>33</v>
      </c>
      <c r="D719" t="s">
        <v>34</v>
      </c>
      <c r="E719" t="s">
        <v>115</v>
      </c>
      <c r="F719" t="s">
        <v>60</v>
      </c>
      <c r="G719" t="s">
        <v>839</v>
      </c>
      <c r="H719" s="6">
        <v>4</v>
      </c>
      <c r="I719" s="7">
        <v>238.96</v>
      </c>
      <c r="J719" s="7">
        <v>955.84</v>
      </c>
      <c r="K719" s="6">
        <v>60</v>
      </c>
      <c r="L719" t="s">
        <v>45</v>
      </c>
      <c r="M719" s="8">
        <v>191.16800000000001</v>
      </c>
      <c r="N719" s="7">
        <v>955.84</v>
      </c>
      <c r="O719" t="s">
        <v>46</v>
      </c>
      <c r="P719" t="s">
        <v>40</v>
      </c>
    </row>
    <row r="720" spans="1:16" x14ac:dyDescent="0.25">
      <c r="A720" s="5">
        <v>45680</v>
      </c>
      <c r="B720" t="s">
        <v>201</v>
      </c>
      <c r="C720" t="s">
        <v>202</v>
      </c>
      <c r="D720" t="s">
        <v>64</v>
      </c>
      <c r="E720" t="s">
        <v>139</v>
      </c>
      <c r="F720" t="s">
        <v>108</v>
      </c>
      <c r="G720" t="s">
        <v>840</v>
      </c>
      <c r="H720" s="6">
        <v>38</v>
      </c>
      <c r="I720" s="7">
        <v>61.41</v>
      </c>
      <c r="J720" s="7">
        <v>2333.41</v>
      </c>
      <c r="K720" s="6">
        <v>60</v>
      </c>
      <c r="L720" t="s">
        <v>38</v>
      </c>
      <c r="M720" s="8">
        <v>466.68200000000002</v>
      </c>
      <c r="N720" s="7">
        <v>2333.41</v>
      </c>
      <c r="O720" t="s">
        <v>46</v>
      </c>
      <c r="P720" t="s">
        <v>40</v>
      </c>
    </row>
    <row r="721" spans="1:16" x14ac:dyDescent="0.25">
      <c r="A721" s="5">
        <v>45743</v>
      </c>
      <c r="B721" t="s">
        <v>67</v>
      </c>
      <c r="C721" t="s">
        <v>68</v>
      </c>
      <c r="D721" t="s">
        <v>69</v>
      </c>
      <c r="E721" t="s">
        <v>127</v>
      </c>
      <c r="F721" t="s">
        <v>36</v>
      </c>
      <c r="G721" t="s">
        <v>841</v>
      </c>
      <c r="H721" s="6">
        <v>69</v>
      </c>
      <c r="I721" s="7">
        <v>63</v>
      </c>
      <c r="J721" s="7">
        <v>4346.71</v>
      </c>
      <c r="K721" s="6">
        <v>60</v>
      </c>
      <c r="L721" t="s">
        <v>38</v>
      </c>
      <c r="M721" s="8">
        <v>869.34199999999998</v>
      </c>
      <c r="N721" s="7">
        <v>4346.71</v>
      </c>
      <c r="O721" t="s">
        <v>39</v>
      </c>
      <c r="P721" t="s">
        <v>40</v>
      </c>
    </row>
    <row r="722" spans="1:16" x14ac:dyDescent="0.25">
      <c r="A722" s="5">
        <v>46001</v>
      </c>
      <c r="B722" t="s">
        <v>94</v>
      </c>
      <c r="C722" t="s">
        <v>95</v>
      </c>
      <c r="D722" t="s">
        <v>34</v>
      </c>
      <c r="E722" t="s">
        <v>127</v>
      </c>
      <c r="F722" t="s">
        <v>36</v>
      </c>
      <c r="G722" t="s">
        <v>842</v>
      </c>
      <c r="H722" s="6">
        <v>28</v>
      </c>
      <c r="I722" s="7">
        <v>76.989999999999995</v>
      </c>
      <c r="J722" s="7">
        <v>2155.73</v>
      </c>
      <c r="K722" s="6">
        <v>60</v>
      </c>
      <c r="L722" t="s">
        <v>45</v>
      </c>
      <c r="M722" s="8">
        <v>431.14600000000002</v>
      </c>
      <c r="N722" s="7">
        <v>2155.73</v>
      </c>
      <c r="O722" t="s">
        <v>39</v>
      </c>
      <c r="P722" t="s">
        <v>40</v>
      </c>
    </row>
    <row r="723" spans="1:16" x14ac:dyDescent="0.25">
      <c r="A723" s="5">
        <v>46017</v>
      </c>
      <c r="B723" t="s">
        <v>121</v>
      </c>
      <c r="C723" t="s">
        <v>122</v>
      </c>
      <c r="D723" t="s">
        <v>34</v>
      </c>
      <c r="E723" t="s">
        <v>53</v>
      </c>
      <c r="F723" t="s">
        <v>54</v>
      </c>
      <c r="G723" t="s">
        <v>843</v>
      </c>
      <c r="H723" s="6">
        <v>56</v>
      </c>
      <c r="I723" s="7">
        <v>97.6</v>
      </c>
      <c r="J723" s="7">
        <v>5465.55</v>
      </c>
      <c r="K723" s="6">
        <v>60</v>
      </c>
      <c r="L723" t="s">
        <v>38</v>
      </c>
      <c r="M723" s="8">
        <v>1093.1099999999999</v>
      </c>
      <c r="N723" s="7">
        <v>5465.55</v>
      </c>
      <c r="O723" t="s">
        <v>46</v>
      </c>
      <c r="P723" t="s">
        <v>40</v>
      </c>
    </row>
    <row r="724" spans="1:16" x14ac:dyDescent="0.25">
      <c r="A724" s="5">
        <v>45893</v>
      </c>
      <c r="B724" t="s">
        <v>41</v>
      </c>
      <c r="C724" t="s">
        <v>42</v>
      </c>
      <c r="D724" t="s">
        <v>34</v>
      </c>
      <c r="E724" t="s">
        <v>154</v>
      </c>
      <c r="F724" t="s">
        <v>89</v>
      </c>
      <c r="G724" t="s">
        <v>844</v>
      </c>
      <c r="H724" s="6">
        <v>43</v>
      </c>
      <c r="I724" s="7">
        <v>85.75</v>
      </c>
      <c r="J724" s="7">
        <v>3687.32</v>
      </c>
      <c r="K724" s="6">
        <v>30</v>
      </c>
      <c r="L724" t="s">
        <v>38</v>
      </c>
      <c r="M724" s="8">
        <v>737.46400000000006</v>
      </c>
      <c r="N724" s="7">
        <v>3687.32</v>
      </c>
      <c r="O724" t="s">
        <v>39</v>
      </c>
      <c r="P724" t="s">
        <v>40</v>
      </c>
    </row>
    <row r="725" spans="1:16" x14ac:dyDescent="0.25">
      <c r="A725" s="5">
        <v>45786</v>
      </c>
      <c r="B725" t="s">
        <v>91</v>
      </c>
      <c r="C725" t="s">
        <v>92</v>
      </c>
      <c r="D725" t="s">
        <v>64</v>
      </c>
      <c r="E725" t="s">
        <v>49</v>
      </c>
      <c r="F725" t="s">
        <v>50</v>
      </c>
      <c r="G725" t="s">
        <v>845</v>
      </c>
      <c r="H725" s="6">
        <v>72</v>
      </c>
      <c r="I725" s="7">
        <v>180.6</v>
      </c>
      <c r="J725" s="7">
        <v>13003.23</v>
      </c>
      <c r="K725" s="6">
        <v>30</v>
      </c>
      <c r="L725" t="s">
        <v>52</v>
      </c>
      <c r="M725" s="8">
        <v>2600.6460000000002</v>
      </c>
      <c r="N725" s="7">
        <v>13003.23</v>
      </c>
      <c r="O725" t="s">
        <v>39</v>
      </c>
      <c r="P725" t="s">
        <v>40</v>
      </c>
    </row>
    <row r="726" spans="1:16" x14ac:dyDescent="0.25">
      <c r="A726" s="5">
        <v>45856</v>
      </c>
      <c r="B726" t="s">
        <v>56</v>
      </c>
      <c r="C726" t="s">
        <v>57</v>
      </c>
      <c r="D726" t="s">
        <v>58</v>
      </c>
      <c r="E726" t="s">
        <v>149</v>
      </c>
      <c r="F726" t="s">
        <v>60</v>
      </c>
      <c r="G726" t="s">
        <v>846</v>
      </c>
      <c r="H726" s="6">
        <v>58</v>
      </c>
      <c r="I726" s="7">
        <v>241.68</v>
      </c>
      <c r="J726" s="7">
        <v>14017.29</v>
      </c>
      <c r="K726" s="6">
        <v>60</v>
      </c>
      <c r="L726" t="s">
        <v>45</v>
      </c>
      <c r="M726" s="8">
        <v>2803.4580000000001</v>
      </c>
      <c r="N726" s="7">
        <v>14017.29</v>
      </c>
      <c r="O726" t="s">
        <v>46</v>
      </c>
      <c r="P726" t="s">
        <v>40</v>
      </c>
    </row>
    <row r="727" spans="1:16" x14ac:dyDescent="0.25">
      <c r="A727" s="5">
        <v>45857</v>
      </c>
      <c r="B727" t="s">
        <v>91</v>
      </c>
      <c r="C727" t="s">
        <v>92</v>
      </c>
      <c r="D727" t="s">
        <v>64</v>
      </c>
      <c r="E727" t="s">
        <v>83</v>
      </c>
      <c r="F727" t="s">
        <v>71</v>
      </c>
      <c r="G727" t="s">
        <v>847</v>
      </c>
      <c r="H727" s="6">
        <v>16</v>
      </c>
      <c r="I727" s="7">
        <v>85.86</v>
      </c>
      <c r="J727" s="7">
        <v>1373.72</v>
      </c>
      <c r="K727" s="6">
        <v>60</v>
      </c>
      <c r="L727" t="s">
        <v>38</v>
      </c>
      <c r="M727" s="8">
        <v>274.74400000000003</v>
      </c>
      <c r="N727" s="7">
        <v>1373.72</v>
      </c>
      <c r="O727" t="s">
        <v>39</v>
      </c>
      <c r="P727" t="s">
        <v>40</v>
      </c>
    </row>
    <row r="728" spans="1:16" x14ac:dyDescent="0.25">
      <c r="A728" s="5">
        <v>45957</v>
      </c>
      <c r="B728" t="s">
        <v>32</v>
      </c>
      <c r="C728" t="s">
        <v>33</v>
      </c>
      <c r="D728" t="s">
        <v>34</v>
      </c>
      <c r="E728" t="s">
        <v>43</v>
      </c>
      <c r="F728" t="s">
        <v>36</v>
      </c>
      <c r="G728" t="s">
        <v>848</v>
      </c>
      <c r="H728" s="6">
        <v>6</v>
      </c>
      <c r="I728" s="7">
        <v>65.66</v>
      </c>
      <c r="J728" s="7">
        <v>393.97</v>
      </c>
      <c r="K728" s="6">
        <v>60</v>
      </c>
      <c r="L728" t="s">
        <v>38</v>
      </c>
      <c r="M728" s="8">
        <v>78.793999999999997</v>
      </c>
      <c r="N728" s="7">
        <v>393.97</v>
      </c>
      <c r="O728" t="s">
        <v>46</v>
      </c>
      <c r="P728" t="s">
        <v>40</v>
      </c>
    </row>
    <row r="729" spans="1:16" x14ac:dyDescent="0.25">
      <c r="A729" s="5">
        <v>46009</v>
      </c>
      <c r="B729" t="s">
        <v>113</v>
      </c>
      <c r="C729" t="s">
        <v>114</v>
      </c>
      <c r="D729" t="s">
        <v>69</v>
      </c>
      <c r="E729" t="s">
        <v>75</v>
      </c>
      <c r="F729" t="s">
        <v>36</v>
      </c>
      <c r="G729" t="s">
        <v>849</v>
      </c>
      <c r="H729" s="6">
        <v>39</v>
      </c>
      <c r="I729" s="7">
        <v>78.69</v>
      </c>
      <c r="J729" s="7">
        <v>3069.04</v>
      </c>
      <c r="K729" s="6">
        <v>60</v>
      </c>
      <c r="L729" t="s">
        <v>38</v>
      </c>
      <c r="M729" s="8">
        <v>613.80799999999999</v>
      </c>
      <c r="N729" s="7">
        <v>3069.04</v>
      </c>
      <c r="O729" t="s">
        <v>46</v>
      </c>
      <c r="P729" t="s">
        <v>40</v>
      </c>
    </row>
    <row r="730" spans="1:16" x14ac:dyDescent="0.25">
      <c r="A730" s="5">
        <v>45860</v>
      </c>
      <c r="B730" t="s">
        <v>201</v>
      </c>
      <c r="C730" t="s">
        <v>202</v>
      </c>
      <c r="D730" t="s">
        <v>64</v>
      </c>
      <c r="E730" t="s">
        <v>139</v>
      </c>
      <c r="F730" t="s">
        <v>108</v>
      </c>
      <c r="G730" t="s">
        <v>850</v>
      </c>
      <c r="H730" s="6">
        <v>4</v>
      </c>
      <c r="I730" s="7">
        <v>55.74</v>
      </c>
      <c r="J730" s="7">
        <v>222.94</v>
      </c>
      <c r="K730" s="6">
        <v>45</v>
      </c>
      <c r="L730" t="s">
        <v>38</v>
      </c>
      <c r="M730" s="8">
        <v>44.588000000000001</v>
      </c>
      <c r="N730" s="7">
        <v>222.94</v>
      </c>
      <c r="O730" t="s">
        <v>46</v>
      </c>
      <c r="P730" t="s">
        <v>40</v>
      </c>
    </row>
    <row r="731" spans="1:16" x14ac:dyDescent="0.25">
      <c r="A731" s="5">
        <v>45858</v>
      </c>
      <c r="B731" t="s">
        <v>113</v>
      </c>
      <c r="C731" t="s">
        <v>114</v>
      </c>
      <c r="D731" t="s">
        <v>69</v>
      </c>
      <c r="E731" t="s">
        <v>135</v>
      </c>
      <c r="F731" t="s">
        <v>54</v>
      </c>
      <c r="G731" t="s">
        <v>851</v>
      </c>
      <c r="H731" s="6">
        <v>70</v>
      </c>
      <c r="I731" s="7">
        <v>162.94</v>
      </c>
      <c r="J731" s="7">
        <v>11405.93</v>
      </c>
      <c r="K731" s="6">
        <v>45</v>
      </c>
      <c r="L731" t="s">
        <v>52</v>
      </c>
      <c r="M731" s="8">
        <v>2281.1860000000001</v>
      </c>
      <c r="N731" s="7">
        <v>11405.93</v>
      </c>
      <c r="O731" t="s">
        <v>46</v>
      </c>
      <c r="P731" t="s">
        <v>40</v>
      </c>
    </row>
    <row r="732" spans="1:16" x14ac:dyDescent="0.25">
      <c r="A732" s="5">
        <v>45989</v>
      </c>
      <c r="B732" t="s">
        <v>201</v>
      </c>
      <c r="C732" t="s">
        <v>202</v>
      </c>
      <c r="D732" t="s">
        <v>64</v>
      </c>
      <c r="E732" t="s">
        <v>115</v>
      </c>
      <c r="F732" t="s">
        <v>60</v>
      </c>
      <c r="G732" t="s">
        <v>852</v>
      </c>
      <c r="H732" s="6">
        <v>48</v>
      </c>
      <c r="I732" s="7">
        <v>245.02</v>
      </c>
      <c r="J732" s="7">
        <v>11760.99</v>
      </c>
      <c r="K732" s="6">
        <v>30</v>
      </c>
      <c r="L732" t="s">
        <v>52</v>
      </c>
      <c r="M732" s="8">
        <v>2352.1979999999999</v>
      </c>
      <c r="N732" s="7">
        <v>11760.99</v>
      </c>
      <c r="O732" t="s">
        <v>46</v>
      </c>
      <c r="P732" t="s">
        <v>40</v>
      </c>
    </row>
    <row r="733" spans="1:16" x14ac:dyDescent="0.25">
      <c r="A733" s="5">
        <v>45679</v>
      </c>
      <c r="B733" t="s">
        <v>73</v>
      </c>
      <c r="C733" t="s">
        <v>74</v>
      </c>
      <c r="D733" t="s">
        <v>69</v>
      </c>
      <c r="E733" t="s">
        <v>154</v>
      </c>
      <c r="F733" t="s">
        <v>89</v>
      </c>
      <c r="G733" t="s">
        <v>853</v>
      </c>
      <c r="H733" s="6">
        <v>1</v>
      </c>
      <c r="I733" s="7">
        <v>105.09</v>
      </c>
      <c r="J733" s="7">
        <v>105.09</v>
      </c>
      <c r="K733" s="6">
        <v>60</v>
      </c>
      <c r="L733" t="s">
        <v>52</v>
      </c>
      <c r="M733" s="8">
        <v>21.018000000000001</v>
      </c>
      <c r="N733" s="7">
        <v>105.09</v>
      </c>
      <c r="O733" t="s">
        <v>39</v>
      </c>
      <c r="P733" t="s">
        <v>40</v>
      </c>
    </row>
    <row r="734" spans="1:16" x14ac:dyDescent="0.25">
      <c r="A734" s="5">
        <v>45765</v>
      </c>
      <c r="B734" t="s">
        <v>110</v>
      </c>
      <c r="C734" t="s">
        <v>111</v>
      </c>
      <c r="D734" t="s">
        <v>58</v>
      </c>
      <c r="E734" t="s">
        <v>75</v>
      </c>
      <c r="F734" t="s">
        <v>36</v>
      </c>
      <c r="G734" t="s">
        <v>854</v>
      </c>
      <c r="H734" s="6">
        <v>45</v>
      </c>
      <c r="I734" s="7">
        <v>81.36</v>
      </c>
      <c r="J734" s="7">
        <v>3661.36</v>
      </c>
      <c r="K734" s="6">
        <v>30</v>
      </c>
      <c r="L734" t="s">
        <v>45</v>
      </c>
      <c r="M734" s="8">
        <v>732.27200000000005</v>
      </c>
      <c r="N734" s="7">
        <v>3661.36</v>
      </c>
      <c r="O734" t="s">
        <v>46</v>
      </c>
      <c r="P734" t="s">
        <v>40</v>
      </c>
    </row>
    <row r="735" spans="1:16" x14ac:dyDescent="0.25">
      <c r="A735" s="5">
        <v>45752</v>
      </c>
      <c r="B735" t="s">
        <v>56</v>
      </c>
      <c r="C735" t="s">
        <v>57</v>
      </c>
      <c r="D735" t="s">
        <v>58</v>
      </c>
      <c r="E735" t="s">
        <v>154</v>
      </c>
      <c r="F735" t="s">
        <v>89</v>
      </c>
      <c r="G735" t="s">
        <v>855</v>
      </c>
      <c r="H735" s="6">
        <v>29</v>
      </c>
      <c r="I735" s="7">
        <v>70.569999999999993</v>
      </c>
      <c r="J735" s="7">
        <v>2046.39</v>
      </c>
      <c r="K735" s="6">
        <v>60</v>
      </c>
      <c r="L735" t="s">
        <v>45</v>
      </c>
      <c r="M735" s="8">
        <v>409.27800000000002</v>
      </c>
      <c r="N735" s="7">
        <v>2046.39</v>
      </c>
      <c r="O735" t="s">
        <v>39</v>
      </c>
      <c r="P735" t="s">
        <v>40</v>
      </c>
    </row>
    <row r="736" spans="1:16" x14ac:dyDescent="0.25">
      <c r="A736" s="5">
        <v>46001</v>
      </c>
      <c r="B736" t="s">
        <v>94</v>
      </c>
      <c r="C736" t="s">
        <v>95</v>
      </c>
      <c r="D736" t="s">
        <v>34</v>
      </c>
      <c r="E736" t="s">
        <v>127</v>
      </c>
      <c r="F736" t="s">
        <v>36</v>
      </c>
      <c r="G736" t="s">
        <v>856</v>
      </c>
      <c r="H736" s="6">
        <v>73</v>
      </c>
      <c r="I736" s="7">
        <v>114.48</v>
      </c>
      <c r="J736" s="7">
        <v>8357.23</v>
      </c>
      <c r="K736" s="6">
        <v>30</v>
      </c>
      <c r="L736" t="s">
        <v>52</v>
      </c>
      <c r="M736" s="8">
        <v>1671.4459999999999</v>
      </c>
      <c r="N736" s="7">
        <v>8357.23</v>
      </c>
      <c r="O736" t="s">
        <v>39</v>
      </c>
      <c r="P736" t="s">
        <v>40</v>
      </c>
    </row>
    <row r="737" spans="1:16" x14ac:dyDescent="0.25">
      <c r="A737" s="5">
        <v>46001</v>
      </c>
      <c r="B737" t="s">
        <v>91</v>
      </c>
      <c r="C737" t="s">
        <v>92</v>
      </c>
      <c r="D737" t="s">
        <v>64</v>
      </c>
      <c r="E737" t="s">
        <v>75</v>
      </c>
      <c r="F737" t="s">
        <v>36</v>
      </c>
      <c r="G737" t="s">
        <v>857</v>
      </c>
      <c r="H737" s="6">
        <v>9</v>
      </c>
      <c r="I737" s="7">
        <v>84.29</v>
      </c>
      <c r="J737" s="7">
        <v>758.65</v>
      </c>
      <c r="K737" s="6">
        <v>45</v>
      </c>
      <c r="L737" t="s">
        <v>38</v>
      </c>
      <c r="M737" s="8">
        <v>151.72999999999999</v>
      </c>
      <c r="N737" s="7">
        <v>758.65</v>
      </c>
      <c r="O737" t="s">
        <v>46</v>
      </c>
      <c r="P737" t="s">
        <v>40</v>
      </c>
    </row>
    <row r="738" spans="1:16" x14ac:dyDescent="0.25">
      <c r="A738" s="5">
        <v>45840</v>
      </c>
      <c r="B738" t="s">
        <v>32</v>
      </c>
      <c r="C738" t="s">
        <v>33</v>
      </c>
      <c r="D738" t="s">
        <v>34</v>
      </c>
      <c r="E738" t="s">
        <v>139</v>
      </c>
      <c r="F738" t="s">
        <v>108</v>
      </c>
      <c r="G738" t="s">
        <v>858</v>
      </c>
      <c r="H738" s="6">
        <v>17</v>
      </c>
      <c r="I738" s="7">
        <v>86.34</v>
      </c>
      <c r="J738" s="7">
        <v>1467.8</v>
      </c>
      <c r="K738" s="6">
        <v>60</v>
      </c>
      <c r="L738" t="s">
        <v>52</v>
      </c>
      <c r="M738" s="8">
        <v>293.56</v>
      </c>
      <c r="N738" s="7">
        <v>1467.8</v>
      </c>
      <c r="O738" t="s">
        <v>46</v>
      </c>
      <c r="P738" t="s">
        <v>40</v>
      </c>
    </row>
    <row r="739" spans="1:16" x14ac:dyDescent="0.25">
      <c r="A739" s="5">
        <v>45975</v>
      </c>
      <c r="B739" t="s">
        <v>62</v>
      </c>
      <c r="C739" t="s">
        <v>63</v>
      </c>
      <c r="D739" t="s">
        <v>64</v>
      </c>
      <c r="E739" t="s">
        <v>75</v>
      </c>
      <c r="F739" t="s">
        <v>36</v>
      </c>
      <c r="G739" t="s">
        <v>859</v>
      </c>
      <c r="H739" s="6">
        <v>9</v>
      </c>
      <c r="I739" s="7">
        <v>111.59</v>
      </c>
      <c r="J739" s="7">
        <v>1004.35</v>
      </c>
      <c r="K739" s="6">
        <v>30</v>
      </c>
      <c r="L739" t="s">
        <v>45</v>
      </c>
      <c r="M739" s="8">
        <v>200.87</v>
      </c>
      <c r="N739" s="7">
        <v>1004.35</v>
      </c>
      <c r="O739" t="s">
        <v>46</v>
      </c>
      <c r="P739" t="s">
        <v>40</v>
      </c>
    </row>
    <row r="740" spans="1:16" x14ac:dyDescent="0.25">
      <c r="A740" s="5">
        <v>45973</v>
      </c>
      <c r="B740" t="s">
        <v>67</v>
      </c>
      <c r="C740" t="s">
        <v>68</v>
      </c>
      <c r="D740" t="s">
        <v>69</v>
      </c>
      <c r="E740" t="s">
        <v>139</v>
      </c>
      <c r="F740" t="s">
        <v>108</v>
      </c>
      <c r="G740" t="s">
        <v>860</v>
      </c>
      <c r="H740" s="6">
        <v>40</v>
      </c>
      <c r="I740" s="7">
        <v>187.45</v>
      </c>
      <c r="J740" s="7">
        <v>7497.9</v>
      </c>
      <c r="K740" s="6">
        <v>60</v>
      </c>
      <c r="L740" t="s">
        <v>52</v>
      </c>
      <c r="M740" s="8">
        <v>1499.58</v>
      </c>
      <c r="N740" s="7">
        <v>7497.9</v>
      </c>
      <c r="O740" t="s">
        <v>46</v>
      </c>
      <c r="P740" t="s">
        <v>40</v>
      </c>
    </row>
    <row r="741" spans="1:16" x14ac:dyDescent="0.25">
      <c r="A741" s="5">
        <v>45877</v>
      </c>
      <c r="B741" t="s">
        <v>32</v>
      </c>
      <c r="C741" t="s">
        <v>33</v>
      </c>
      <c r="D741" t="s">
        <v>34</v>
      </c>
      <c r="E741" t="s">
        <v>132</v>
      </c>
      <c r="F741" t="s">
        <v>71</v>
      </c>
      <c r="G741" t="s">
        <v>861</v>
      </c>
      <c r="H741" s="6">
        <v>22</v>
      </c>
      <c r="I741" s="7">
        <v>165.97</v>
      </c>
      <c r="J741" s="7">
        <v>3651.24</v>
      </c>
      <c r="K741" s="6">
        <v>30</v>
      </c>
      <c r="L741" t="s">
        <v>45</v>
      </c>
      <c r="M741" s="8">
        <v>730.24800000000005</v>
      </c>
      <c r="N741" s="7">
        <v>3651.24</v>
      </c>
      <c r="O741" t="s">
        <v>46</v>
      </c>
      <c r="P741" t="s">
        <v>40</v>
      </c>
    </row>
    <row r="742" spans="1:16" x14ac:dyDescent="0.25">
      <c r="A742" s="5">
        <v>45986</v>
      </c>
      <c r="B742" t="s">
        <v>56</v>
      </c>
      <c r="C742" t="s">
        <v>57</v>
      </c>
      <c r="D742" t="s">
        <v>58</v>
      </c>
      <c r="E742" t="s">
        <v>53</v>
      </c>
      <c r="F742" t="s">
        <v>54</v>
      </c>
      <c r="G742" t="s">
        <v>862</v>
      </c>
      <c r="H742" s="6">
        <v>56</v>
      </c>
      <c r="I742" s="7">
        <v>90.83</v>
      </c>
      <c r="J742" s="7">
        <v>5086.43</v>
      </c>
      <c r="K742" s="6">
        <v>45</v>
      </c>
      <c r="L742" t="s">
        <v>45</v>
      </c>
      <c r="M742" s="8">
        <v>1017.2859999999999</v>
      </c>
      <c r="N742" s="7">
        <v>5086.43</v>
      </c>
      <c r="O742" t="s">
        <v>46</v>
      </c>
      <c r="P742" t="s">
        <v>40</v>
      </c>
    </row>
    <row r="743" spans="1:16" x14ac:dyDescent="0.25">
      <c r="A743" s="5">
        <v>45894</v>
      </c>
      <c r="B743" t="s">
        <v>94</v>
      </c>
      <c r="C743" t="s">
        <v>95</v>
      </c>
      <c r="D743" t="s">
        <v>34</v>
      </c>
      <c r="E743" t="s">
        <v>132</v>
      </c>
      <c r="F743" t="s">
        <v>71</v>
      </c>
      <c r="G743" t="s">
        <v>863</v>
      </c>
      <c r="H743" s="6">
        <v>58</v>
      </c>
      <c r="I743" s="7">
        <v>47</v>
      </c>
      <c r="J743" s="7">
        <v>2725.9</v>
      </c>
      <c r="K743" s="6">
        <v>45</v>
      </c>
      <c r="L743" t="s">
        <v>45</v>
      </c>
      <c r="M743" s="8">
        <v>545.17999999999995</v>
      </c>
      <c r="N743" s="7">
        <v>2725.9</v>
      </c>
      <c r="O743" t="s">
        <v>46</v>
      </c>
      <c r="P743" t="s">
        <v>40</v>
      </c>
    </row>
    <row r="744" spans="1:16" x14ac:dyDescent="0.25">
      <c r="A744" s="5">
        <v>45988</v>
      </c>
      <c r="B744" t="s">
        <v>121</v>
      </c>
      <c r="C744" t="s">
        <v>122</v>
      </c>
      <c r="D744" t="s">
        <v>34</v>
      </c>
      <c r="E744" t="s">
        <v>127</v>
      </c>
      <c r="F744" t="s">
        <v>36</v>
      </c>
      <c r="G744" t="s">
        <v>864</v>
      </c>
      <c r="H744" s="6">
        <v>78</v>
      </c>
      <c r="I744" s="7">
        <v>46.1</v>
      </c>
      <c r="J744" s="7">
        <v>3595.53</v>
      </c>
      <c r="K744" s="6">
        <v>30</v>
      </c>
      <c r="L744" t="s">
        <v>45</v>
      </c>
      <c r="M744" s="8">
        <v>719.10599999999999</v>
      </c>
      <c r="N744" s="7">
        <v>3595.53</v>
      </c>
      <c r="O744" t="s">
        <v>39</v>
      </c>
      <c r="P744" t="s">
        <v>40</v>
      </c>
    </row>
    <row r="745" spans="1:16" x14ac:dyDescent="0.25">
      <c r="A745" s="5">
        <v>45978</v>
      </c>
      <c r="B745" t="s">
        <v>100</v>
      </c>
      <c r="C745" t="s">
        <v>101</v>
      </c>
      <c r="D745" t="s">
        <v>69</v>
      </c>
      <c r="E745" t="s">
        <v>65</v>
      </c>
      <c r="F745" t="s">
        <v>54</v>
      </c>
      <c r="G745" t="s">
        <v>865</v>
      </c>
      <c r="H745" s="6">
        <v>10</v>
      </c>
      <c r="I745" s="7">
        <v>253.61</v>
      </c>
      <c r="J745" s="7">
        <v>2536.13</v>
      </c>
      <c r="K745" s="6">
        <v>60</v>
      </c>
      <c r="L745" t="s">
        <v>38</v>
      </c>
      <c r="M745" s="8">
        <v>507.226</v>
      </c>
      <c r="N745" s="7">
        <v>2536.13</v>
      </c>
      <c r="O745" t="s">
        <v>46</v>
      </c>
      <c r="P745" t="s">
        <v>40</v>
      </c>
    </row>
    <row r="746" spans="1:16" x14ac:dyDescent="0.25">
      <c r="A746" s="5">
        <v>45954</v>
      </c>
      <c r="B746" t="s">
        <v>32</v>
      </c>
      <c r="C746" t="s">
        <v>33</v>
      </c>
      <c r="D746" t="s">
        <v>34</v>
      </c>
      <c r="E746" t="s">
        <v>152</v>
      </c>
      <c r="F746" t="s">
        <v>50</v>
      </c>
      <c r="G746" t="s">
        <v>866</v>
      </c>
      <c r="H746" s="6">
        <v>52</v>
      </c>
      <c r="I746" s="7">
        <v>159.53</v>
      </c>
      <c r="J746" s="7">
        <v>8295.33</v>
      </c>
      <c r="K746" s="6">
        <v>60</v>
      </c>
      <c r="L746" t="s">
        <v>38</v>
      </c>
      <c r="M746" s="8">
        <v>1659.066</v>
      </c>
      <c r="N746" s="7">
        <v>8295.33</v>
      </c>
      <c r="O746" t="s">
        <v>46</v>
      </c>
      <c r="P746" t="s">
        <v>40</v>
      </c>
    </row>
    <row r="747" spans="1:16" x14ac:dyDescent="0.25">
      <c r="A747" s="5">
        <v>45934</v>
      </c>
      <c r="B747" t="s">
        <v>56</v>
      </c>
      <c r="C747" t="s">
        <v>57</v>
      </c>
      <c r="D747" t="s">
        <v>58</v>
      </c>
      <c r="E747" t="s">
        <v>115</v>
      </c>
      <c r="F747" t="s">
        <v>60</v>
      </c>
      <c r="G747" t="s">
        <v>867</v>
      </c>
      <c r="H747" s="6">
        <v>61</v>
      </c>
      <c r="I747" s="7">
        <v>147.59</v>
      </c>
      <c r="J747" s="7">
        <v>9003.26</v>
      </c>
      <c r="K747" s="6">
        <v>60</v>
      </c>
      <c r="L747" t="s">
        <v>38</v>
      </c>
      <c r="M747" s="8">
        <v>1800.652</v>
      </c>
      <c r="N747" s="7">
        <v>9003.26</v>
      </c>
      <c r="O747" t="s">
        <v>46</v>
      </c>
      <c r="P747" t="s">
        <v>40</v>
      </c>
    </row>
    <row r="748" spans="1:16" x14ac:dyDescent="0.25">
      <c r="A748" s="5">
        <v>45959</v>
      </c>
      <c r="B748" t="s">
        <v>47</v>
      </c>
      <c r="C748" t="s">
        <v>48</v>
      </c>
      <c r="D748" t="s">
        <v>34</v>
      </c>
      <c r="E748" t="s">
        <v>204</v>
      </c>
      <c r="F748" t="s">
        <v>97</v>
      </c>
      <c r="G748" t="s">
        <v>868</v>
      </c>
      <c r="H748" s="6">
        <v>38</v>
      </c>
      <c r="I748" s="7">
        <v>332.45</v>
      </c>
      <c r="J748" s="7">
        <v>12633.29</v>
      </c>
      <c r="K748" s="6">
        <v>30</v>
      </c>
      <c r="L748" t="s">
        <v>45</v>
      </c>
      <c r="M748" s="8">
        <v>2526.6579999999999</v>
      </c>
      <c r="N748" s="7">
        <v>12633.29</v>
      </c>
      <c r="O748" t="s">
        <v>46</v>
      </c>
      <c r="P748" t="s">
        <v>40</v>
      </c>
    </row>
    <row r="749" spans="1:16" x14ac:dyDescent="0.25">
      <c r="A749" s="5">
        <v>45844</v>
      </c>
      <c r="B749" t="s">
        <v>56</v>
      </c>
      <c r="C749" t="s">
        <v>57</v>
      </c>
      <c r="D749" t="s">
        <v>58</v>
      </c>
      <c r="E749" t="s">
        <v>75</v>
      </c>
      <c r="F749" t="s">
        <v>36</v>
      </c>
      <c r="G749" t="s">
        <v>869</v>
      </c>
      <c r="H749" s="6">
        <v>65</v>
      </c>
      <c r="I749" s="7">
        <v>42.9</v>
      </c>
      <c r="J749" s="7">
        <v>2788.65</v>
      </c>
      <c r="K749" s="6">
        <v>30</v>
      </c>
      <c r="L749" t="s">
        <v>52</v>
      </c>
      <c r="M749" s="8">
        <v>557.73</v>
      </c>
      <c r="N749" s="7">
        <v>2788.65</v>
      </c>
      <c r="O749" t="s">
        <v>46</v>
      </c>
      <c r="P749" t="s">
        <v>40</v>
      </c>
    </row>
    <row r="750" spans="1:16" x14ac:dyDescent="0.25">
      <c r="A750" s="5">
        <v>45729</v>
      </c>
      <c r="B750" t="s">
        <v>67</v>
      </c>
      <c r="C750" t="s">
        <v>68</v>
      </c>
      <c r="D750" t="s">
        <v>69</v>
      </c>
      <c r="E750" t="s">
        <v>124</v>
      </c>
      <c r="F750" t="s">
        <v>89</v>
      </c>
      <c r="G750" t="s">
        <v>870</v>
      </c>
      <c r="H750" s="6">
        <v>58</v>
      </c>
      <c r="I750" s="7">
        <v>128.59</v>
      </c>
      <c r="J750" s="7">
        <v>7458.17</v>
      </c>
      <c r="K750" s="6">
        <v>30</v>
      </c>
      <c r="L750" t="s">
        <v>38</v>
      </c>
      <c r="M750" s="8">
        <v>1491.634</v>
      </c>
      <c r="N750" s="7">
        <v>7458.17</v>
      </c>
      <c r="O750" t="s">
        <v>46</v>
      </c>
      <c r="P750" t="s">
        <v>40</v>
      </c>
    </row>
    <row r="751" spans="1:16" x14ac:dyDescent="0.25">
      <c r="A751" s="5">
        <v>45905</v>
      </c>
      <c r="B751" t="s">
        <v>32</v>
      </c>
      <c r="C751" t="s">
        <v>33</v>
      </c>
      <c r="D751" t="s">
        <v>34</v>
      </c>
      <c r="E751" t="s">
        <v>124</v>
      </c>
      <c r="F751" t="s">
        <v>89</v>
      </c>
      <c r="G751" t="s">
        <v>871</v>
      </c>
      <c r="H751" s="6">
        <v>46</v>
      </c>
      <c r="I751" s="7">
        <v>83.04</v>
      </c>
      <c r="J751" s="7">
        <v>3819.73</v>
      </c>
      <c r="K751" s="6">
        <v>30</v>
      </c>
      <c r="L751" t="s">
        <v>38</v>
      </c>
      <c r="M751" s="8">
        <v>763.94600000000003</v>
      </c>
      <c r="N751" s="7">
        <v>3819.73</v>
      </c>
      <c r="O751" t="s">
        <v>46</v>
      </c>
      <c r="P751" t="s">
        <v>40</v>
      </c>
    </row>
    <row r="752" spans="1:16" x14ac:dyDescent="0.25">
      <c r="A752" s="5">
        <v>45690</v>
      </c>
      <c r="B752" t="s">
        <v>110</v>
      </c>
      <c r="C752" t="s">
        <v>111</v>
      </c>
      <c r="D752" t="s">
        <v>58</v>
      </c>
      <c r="E752" t="s">
        <v>107</v>
      </c>
      <c r="F752" t="s">
        <v>108</v>
      </c>
      <c r="G752" t="s">
        <v>872</v>
      </c>
      <c r="H752" s="6">
        <v>34</v>
      </c>
      <c r="I752" s="7">
        <v>45.14</v>
      </c>
      <c r="J752" s="7">
        <v>1534.67</v>
      </c>
      <c r="K752" s="6">
        <v>45</v>
      </c>
      <c r="L752" t="s">
        <v>38</v>
      </c>
      <c r="M752" s="8">
        <v>306.93400000000003</v>
      </c>
      <c r="N752" s="7">
        <v>1534.67</v>
      </c>
      <c r="O752" t="s">
        <v>46</v>
      </c>
      <c r="P752" t="s">
        <v>40</v>
      </c>
    </row>
    <row r="753" spans="1:16" x14ac:dyDescent="0.25">
      <c r="A753" s="5">
        <v>45842</v>
      </c>
      <c r="B753" t="s">
        <v>121</v>
      </c>
      <c r="C753" t="s">
        <v>122</v>
      </c>
      <c r="D753" t="s">
        <v>34</v>
      </c>
      <c r="E753" t="s">
        <v>53</v>
      </c>
      <c r="F753" t="s">
        <v>54</v>
      </c>
      <c r="G753" t="s">
        <v>873</v>
      </c>
      <c r="H753" s="6">
        <v>50</v>
      </c>
      <c r="I753" s="7">
        <v>118.87</v>
      </c>
      <c r="J753" s="7">
        <v>5943.52</v>
      </c>
      <c r="K753" s="6">
        <v>45</v>
      </c>
      <c r="L753" t="s">
        <v>45</v>
      </c>
      <c r="M753" s="8">
        <v>1188.704</v>
      </c>
      <c r="N753" s="7">
        <v>5943.52</v>
      </c>
      <c r="O753" t="s">
        <v>46</v>
      </c>
      <c r="P753" t="s">
        <v>40</v>
      </c>
    </row>
    <row r="754" spans="1:16" x14ac:dyDescent="0.25">
      <c r="A754" s="5">
        <v>45823</v>
      </c>
      <c r="B754" t="s">
        <v>41</v>
      </c>
      <c r="C754" t="s">
        <v>42</v>
      </c>
      <c r="D754" t="s">
        <v>34</v>
      </c>
      <c r="E754" t="s">
        <v>152</v>
      </c>
      <c r="F754" t="s">
        <v>50</v>
      </c>
      <c r="G754" t="s">
        <v>874</v>
      </c>
      <c r="H754" s="6">
        <v>14</v>
      </c>
      <c r="I754" s="7">
        <v>70.16</v>
      </c>
      <c r="J754" s="7">
        <v>982.22</v>
      </c>
      <c r="K754" s="6">
        <v>60</v>
      </c>
      <c r="L754" t="s">
        <v>52</v>
      </c>
      <c r="M754" s="8">
        <v>196.44399999999999</v>
      </c>
      <c r="N754" s="7">
        <v>982.22</v>
      </c>
      <c r="O754" t="s">
        <v>46</v>
      </c>
      <c r="P754" t="s">
        <v>40</v>
      </c>
    </row>
    <row r="755" spans="1:16" x14ac:dyDescent="0.25">
      <c r="A755" s="5">
        <v>45792</v>
      </c>
      <c r="B755" t="s">
        <v>32</v>
      </c>
      <c r="C755" t="s">
        <v>33</v>
      </c>
      <c r="D755" t="s">
        <v>34</v>
      </c>
      <c r="E755" t="s">
        <v>115</v>
      </c>
      <c r="F755" t="s">
        <v>60</v>
      </c>
      <c r="G755" t="s">
        <v>875</v>
      </c>
      <c r="H755" s="6">
        <v>75</v>
      </c>
      <c r="I755" s="7">
        <v>392.73</v>
      </c>
      <c r="J755" s="7">
        <v>29454.99</v>
      </c>
      <c r="K755" s="6">
        <v>60</v>
      </c>
      <c r="L755" t="s">
        <v>52</v>
      </c>
      <c r="M755" s="8">
        <v>5890.9979999999996</v>
      </c>
      <c r="N755" s="7">
        <v>29454.99</v>
      </c>
      <c r="O755" t="s">
        <v>46</v>
      </c>
      <c r="P755" t="s">
        <v>40</v>
      </c>
    </row>
    <row r="756" spans="1:16" x14ac:dyDescent="0.25">
      <c r="A756" s="5">
        <v>45851</v>
      </c>
      <c r="B756" t="s">
        <v>77</v>
      </c>
      <c r="C756" t="s">
        <v>78</v>
      </c>
      <c r="D756" t="s">
        <v>58</v>
      </c>
      <c r="E756" t="s">
        <v>105</v>
      </c>
      <c r="F756" t="s">
        <v>97</v>
      </c>
      <c r="G756" t="s">
        <v>876</v>
      </c>
      <c r="H756" s="6">
        <v>47</v>
      </c>
      <c r="I756" s="7">
        <v>177.97</v>
      </c>
      <c r="J756" s="7">
        <v>8364.57</v>
      </c>
      <c r="K756" s="6">
        <v>60</v>
      </c>
      <c r="L756" t="s">
        <v>52</v>
      </c>
      <c r="M756" s="8">
        <v>1672.914</v>
      </c>
      <c r="N756" s="7">
        <v>8364.57</v>
      </c>
      <c r="O756" t="s">
        <v>46</v>
      </c>
      <c r="P756" t="s">
        <v>40</v>
      </c>
    </row>
    <row r="757" spans="1:16" x14ac:dyDescent="0.25">
      <c r="A757" s="5">
        <v>45772</v>
      </c>
      <c r="B757" t="s">
        <v>118</v>
      </c>
      <c r="C757" t="s">
        <v>119</v>
      </c>
      <c r="D757" t="s">
        <v>64</v>
      </c>
      <c r="E757" t="s">
        <v>149</v>
      </c>
      <c r="F757" t="s">
        <v>60</v>
      </c>
      <c r="G757" t="s">
        <v>877</v>
      </c>
      <c r="H757" s="6">
        <v>67</v>
      </c>
      <c r="I757" s="7">
        <v>935.83</v>
      </c>
      <c r="J757" s="7">
        <v>62700.85</v>
      </c>
      <c r="K757" s="6">
        <v>45</v>
      </c>
      <c r="L757" t="s">
        <v>45</v>
      </c>
      <c r="M757" s="8">
        <v>12540.17</v>
      </c>
      <c r="N757" s="7">
        <v>62700.85</v>
      </c>
      <c r="O757" t="s">
        <v>46</v>
      </c>
      <c r="P757" t="s">
        <v>40</v>
      </c>
    </row>
    <row r="758" spans="1:16" x14ac:dyDescent="0.25">
      <c r="A758" s="5">
        <v>45967</v>
      </c>
      <c r="B758" t="s">
        <v>201</v>
      </c>
      <c r="C758" t="s">
        <v>202</v>
      </c>
      <c r="D758" t="s">
        <v>64</v>
      </c>
      <c r="E758" t="s">
        <v>139</v>
      </c>
      <c r="F758" t="s">
        <v>108</v>
      </c>
      <c r="G758" t="s">
        <v>878</v>
      </c>
      <c r="H758" s="6">
        <v>1</v>
      </c>
      <c r="I758" s="7">
        <v>98.38</v>
      </c>
      <c r="J758" s="7">
        <v>98.38</v>
      </c>
      <c r="K758" s="6">
        <v>60</v>
      </c>
      <c r="L758" t="s">
        <v>38</v>
      </c>
      <c r="M758" s="8">
        <v>19.675999999999998</v>
      </c>
      <c r="N758" s="7">
        <v>98.38</v>
      </c>
      <c r="O758" t="s">
        <v>46</v>
      </c>
      <c r="P758" t="s">
        <v>40</v>
      </c>
    </row>
    <row r="759" spans="1:16" x14ac:dyDescent="0.25">
      <c r="A759" s="5">
        <v>45697</v>
      </c>
      <c r="B759" t="s">
        <v>121</v>
      </c>
      <c r="C759" t="s">
        <v>122</v>
      </c>
      <c r="D759" t="s">
        <v>34</v>
      </c>
      <c r="E759" t="s">
        <v>154</v>
      </c>
      <c r="F759" t="s">
        <v>89</v>
      </c>
      <c r="G759" t="s">
        <v>879</v>
      </c>
      <c r="H759" s="6">
        <v>66</v>
      </c>
      <c r="I759" s="7">
        <v>199.26</v>
      </c>
      <c r="J759" s="7">
        <v>13151.24</v>
      </c>
      <c r="K759" s="6">
        <v>60</v>
      </c>
      <c r="L759" t="s">
        <v>45</v>
      </c>
      <c r="M759" s="8">
        <v>2630.248</v>
      </c>
      <c r="N759" s="7">
        <v>13151.24</v>
      </c>
      <c r="O759" t="s">
        <v>39</v>
      </c>
      <c r="P759" t="s">
        <v>40</v>
      </c>
    </row>
    <row r="760" spans="1:16" x14ac:dyDescent="0.25">
      <c r="A760" s="5">
        <v>45738</v>
      </c>
      <c r="B760" t="s">
        <v>94</v>
      </c>
      <c r="C760" t="s">
        <v>95</v>
      </c>
      <c r="D760" t="s">
        <v>34</v>
      </c>
      <c r="E760" t="s">
        <v>154</v>
      </c>
      <c r="F760" t="s">
        <v>89</v>
      </c>
      <c r="G760" t="s">
        <v>880</v>
      </c>
      <c r="H760" s="6">
        <v>47</v>
      </c>
      <c r="I760" s="7">
        <v>112.26</v>
      </c>
      <c r="J760" s="7">
        <v>5276.44</v>
      </c>
      <c r="K760" s="6">
        <v>60</v>
      </c>
      <c r="L760" t="s">
        <v>52</v>
      </c>
      <c r="M760" s="8">
        <v>1055.288</v>
      </c>
      <c r="N760" s="7">
        <v>5276.44</v>
      </c>
      <c r="O760" t="s">
        <v>39</v>
      </c>
      <c r="P760" t="s">
        <v>40</v>
      </c>
    </row>
    <row r="761" spans="1:16" x14ac:dyDescent="0.25">
      <c r="A761" s="5">
        <v>45827</v>
      </c>
      <c r="B761" t="s">
        <v>91</v>
      </c>
      <c r="C761" t="s">
        <v>92</v>
      </c>
      <c r="D761" t="s">
        <v>64</v>
      </c>
      <c r="E761" t="s">
        <v>65</v>
      </c>
      <c r="F761" t="s">
        <v>54</v>
      </c>
      <c r="G761" t="s">
        <v>881</v>
      </c>
      <c r="H761" s="6">
        <v>15</v>
      </c>
      <c r="I761" s="7">
        <v>367.47</v>
      </c>
      <c r="J761" s="7">
        <v>5511.99</v>
      </c>
      <c r="K761" s="6">
        <v>45</v>
      </c>
      <c r="L761" t="s">
        <v>52</v>
      </c>
      <c r="M761" s="8">
        <v>1102.3979999999999</v>
      </c>
      <c r="N761" s="7">
        <v>5511.99</v>
      </c>
      <c r="O761" t="s">
        <v>46</v>
      </c>
      <c r="P761" t="s">
        <v>40</v>
      </c>
    </row>
    <row r="762" spans="1:16" x14ac:dyDescent="0.25">
      <c r="A762" s="5">
        <v>45960</v>
      </c>
      <c r="B762" t="s">
        <v>73</v>
      </c>
      <c r="C762" t="s">
        <v>74</v>
      </c>
      <c r="D762" t="s">
        <v>69</v>
      </c>
      <c r="E762" t="s">
        <v>107</v>
      </c>
      <c r="F762" t="s">
        <v>108</v>
      </c>
      <c r="G762" t="s">
        <v>882</v>
      </c>
      <c r="H762" s="6">
        <v>21</v>
      </c>
      <c r="I762" s="7">
        <v>54.65</v>
      </c>
      <c r="J762" s="7">
        <v>1147.58</v>
      </c>
      <c r="K762" s="6">
        <v>60</v>
      </c>
      <c r="L762" t="s">
        <v>45</v>
      </c>
      <c r="M762" s="8">
        <v>229.51599999999999</v>
      </c>
      <c r="N762" s="7">
        <v>1147.58</v>
      </c>
      <c r="O762" t="s">
        <v>46</v>
      </c>
      <c r="P762" t="s">
        <v>40</v>
      </c>
    </row>
    <row r="763" spans="1:16" x14ac:dyDescent="0.25">
      <c r="A763" s="5">
        <v>45723</v>
      </c>
      <c r="B763" t="s">
        <v>62</v>
      </c>
      <c r="C763" t="s">
        <v>63</v>
      </c>
      <c r="D763" t="s">
        <v>64</v>
      </c>
      <c r="E763" t="s">
        <v>135</v>
      </c>
      <c r="F763" t="s">
        <v>54</v>
      </c>
      <c r="G763" t="s">
        <v>883</v>
      </c>
      <c r="H763" s="6">
        <v>74</v>
      </c>
      <c r="I763" s="7">
        <v>267.35000000000002</v>
      </c>
      <c r="J763" s="7">
        <v>19784.05</v>
      </c>
      <c r="K763" s="6">
        <v>60</v>
      </c>
      <c r="L763" t="s">
        <v>38</v>
      </c>
      <c r="M763" s="8">
        <v>3956.81</v>
      </c>
      <c r="N763" s="7">
        <v>19784.05</v>
      </c>
      <c r="O763" t="s">
        <v>46</v>
      </c>
      <c r="P763" t="s">
        <v>40</v>
      </c>
    </row>
    <row r="764" spans="1:16" x14ac:dyDescent="0.25">
      <c r="A764" s="5">
        <v>45733</v>
      </c>
      <c r="B764" t="s">
        <v>85</v>
      </c>
      <c r="C764" t="s">
        <v>86</v>
      </c>
      <c r="D764" t="s">
        <v>58</v>
      </c>
      <c r="E764" t="s">
        <v>152</v>
      </c>
      <c r="F764" t="s">
        <v>50</v>
      </c>
      <c r="G764" t="s">
        <v>884</v>
      </c>
      <c r="H764" s="6">
        <v>8</v>
      </c>
      <c r="I764" s="7">
        <v>490.56</v>
      </c>
      <c r="J764" s="7">
        <v>3924.44</v>
      </c>
      <c r="K764" s="6">
        <v>30</v>
      </c>
      <c r="L764" t="s">
        <v>45</v>
      </c>
      <c r="M764" s="8">
        <v>784.88800000000003</v>
      </c>
      <c r="N764" s="7">
        <v>3924.44</v>
      </c>
      <c r="O764" t="s">
        <v>46</v>
      </c>
      <c r="P764" t="s">
        <v>40</v>
      </c>
    </row>
    <row r="765" spans="1:16" x14ac:dyDescent="0.25">
      <c r="A765" s="5">
        <v>45946</v>
      </c>
      <c r="B765" t="s">
        <v>73</v>
      </c>
      <c r="C765" t="s">
        <v>74</v>
      </c>
      <c r="D765" t="s">
        <v>69</v>
      </c>
      <c r="E765" t="s">
        <v>105</v>
      </c>
      <c r="F765" t="s">
        <v>97</v>
      </c>
      <c r="G765" t="s">
        <v>885</v>
      </c>
      <c r="H765" s="6">
        <v>3</v>
      </c>
      <c r="I765" s="7">
        <v>284.56</v>
      </c>
      <c r="J765" s="7">
        <v>853.68</v>
      </c>
      <c r="K765" s="6">
        <v>60</v>
      </c>
      <c r="L765" t="s">
        <v>52</v>
      </c>
      <c r="M765" s="8">
        <v>170.73599999999999</v>
      </c>
      <c r="N765" s="7">
        <v>853.68</v>
      </c>
      <c r="O765" t="s">
        <v>46</v>
      </c>
      <c r="P765" t="s">
        <v>40</v>
      </c>
    </row>
    <row r="766" spans="1:16" x14ac:dyDescent="0.25">
      <c r="A766" s="5">
        <v>45768</v>
      </c>
      <c r="B766" t="s">
        <v>94</v>
      </c>
      <c r="C766" t="s">
        <v>95</v>
      </c>
      <c r="D766" t="s">
        <v>34</v>
      </c>
      <c r="E766" t="s">
        <v>59</v>
      </c>
      <c r="F766" t="s">
        <v>60</v>
      </c>
      <c r="G766" t="s">
        <v>886</v>
      </c>
      <c r="H766" s="6">
        <v>58</v>
      </c>
      <c r="I766" s="7">
        <v>413.94</v>
      </c>
      <c r="J766" s="7">
        <v>24008.68</v>
      </c>
      <c r="K766" s="6">
        <v>60</v>
      </c>
      <c r="L766" t="s">
        <v>45</v>
      </c>
      <c r="M766" s="8">
        <v>4801.7359999999999</v>
      </c>
      <c r="N766" s="7">
        <v>24008.68</v>
      </c>
      <c r="O766" t="s">
        <v>39</v>
      </c>
      <c r="P766" t="s">
        <v>40</v>
      </c>
    </row>
    <row r="767" spans="1:16" x14ac:dyDescent="0.25">
      <c r="A767" s="5">
        <v>45868</v>
      </c>
      <c r="B767" t="s">
        <v>62</v>
      </c>
      <c r="C767" t="s">
        <v>63</v>
      </c>
      <c r="D767" t="s">
        <v>64</v>
      </c>
      <c r="E767" t="s">
        <v>154</v>
      </c>
      <c r="F767" t="s">
        <v>89</v>
      </c>
      <c r="G767" t="s">
        <v>887</v>
      </c>
      <c r="H767" s="6">
        <v>77</v>
      </c>
      <c r="I767" s="7">
        <v>122.27</v>
      </c>
      <c r="J767" s="7">
        <v>9414.58</v>
      </c>
      <c r="K767" s="6">
        <v>30</v>
      </c>
      <c r="L767" t="s">
        <v>52</v>
      </c>
      <c r="M767" s="8">
        <v>1882.9159999999999</v>
      </c>
      <c r="N767" s="7">
        <v>9414.58</v>
      </c>
      <c r="O767" t="s">
        <v>39</v>
      </c>
      <c r="P767" t="s">
        <v>40</v>
      </c>
    </row>
    <row r="768" spans="1:16" x14ac:dyDescent="0.25">
      <c r="A768" s="5">
        <v>46009</v>
      </c>
      <c r="B768" t="s">
        <v>91</v>
      </c>
      <c r="C768" t="s">
        <v>92</v>
      </c>
      <c r="D768" t="s">
        <v>64</v>
      </c>
      <c r="E768" t="s">
        <v>59</v>
      </c>
      <c r="F768" t="s">
        <v>60</v>
      </c>
      <c r="G768" t="s">
        <v>888</v>
      </c>
      <c r="H768" s="6">
        <v>44</v>
      </c>
      <c r="I768" s="7">
        <v>215.81</v>
      </c>
      <c r="J768" s="7">
        <v>9495.5</v>
      </c>
      <c r="K768" s="6">
        <v>45</v>
      </c>
      <c r="L768" t="s">
        <v>52</v>
      </c>
      <c r="M768" s="8">
        <v>1899.1</v>
      </c>
      <c r="N768" s="7">
        <v>9495.5</v>
      </c>
      <c r="O768" t="s">
        <v>39</v>
      </c>
      <c r="P768" t="s">
        <v>40</v>
      </c>
    </row>
    <row r="769" spans="1:16" x14ac:dyDescent="0.25">
      <c r="A769" s="5">
        <v>45851</v>
      </c>
      <c r="B769" t="s">
        <v>118</v>
      </c>
      <c r="C769" t="s">
        <v>119</v>
      </c>
      <c r="D769" t="s">
        <v>64</v>
      </c>
      <c r="E769" t="s">
        <v>127</v>
      </c>
      <c r="F769" t="s">
        <v>36</v>
      </c>
      <c r="G769" t="s">
        <v>889</v>
      </c>
      <c r="H769" s="6">
        <v>50</v>
      </c>
      <c r="I769" s="7">
        <v>172.14</v>
      </c>
      <c r="J769" s="7">
        <v>8607.17</v>
      </c>
      <c r="K769" s="6">
        <v>30</v>
      </c>
      <c r="L769" t="s">
        <v>38</v>
      </c>
      <c r="M769" s="8">
        <v>1721.434</v>
      </c>
      <c r="N769" s="7">
        <v>8607.17</v>
      </c>
      <c r="O769" t="s">
        <v>39</v>
      </c>
      <c r="P769" t="s">
        <v>40</v>
      </c>
    </row>
    <row r="770" spans="1:16" x14ac:dyDescent="0.25">
      <c r="A770" s="5">
        <v>45916</v>
      </c>
      <c r="B770" t="s">
        <v>103</v>
      </c>
      <c r="C770" t="s">
        <v>104</v>
      </c>
      <c r="D770" t="s">
        <v>58</v>
      </c>
      <c r="E770" t="s">
        <v>53</v>
      </c>
      <c r="F770" t="s">
        <v>54</v>
      </c>
      <c r="G770" t="s">
        <v>890</v>
      </c>
      <c r="H770" s="6">
        <v>54</v>
      </c>
      <c r="I770" s="7">
        <v>177.08</v>
      </c>
      <c r="J770" s="7">
        <v>9562.58</v>
      </c>
      <c r="K770" s="6">
        <v>30</v>
      </c>
      <c r="L770" t="s">
        <v>52</v>
      </c>
      <c r="M770" s="8">
        <v>1912.5160000000001</v>
      </c>
      <c r="N770" s="7">
        <v>9562.58</v>
      </c>
      <c r="O770" t="s">
        <v>46</v>
      </c>
      <c r="P770" t="s">
        <v>40</v>
      </c>
    </row>
    <row r="771" spans="1:16" x14ac:dyDescent="0.25">
      <c r="A771" s="5">
        <v>45972</v>
      </c>
      <c r="B771" t="s">
        <v>118</v>
      </c>
      <c r="C771" t="s">
        <v>119</v>
      </c>
      <c r="D771" t="s">
        <v>64</v>
      </c>
      <c r="E771" t="s">
        <v>88</v>
      </c>
      <c r="F771" t="s">
        <v>89</v>
      </c>
      <c r="G771" t="s">
        <v>891</v>
      </c>
      <c r="H771" s="6">
        <v>77</v>
      </c>
      <c r="I771" s="7">
        <v>487.75</v>
      </c>
      <c r="J771" s="7">
        <v>37556.769999999997</v>
      </c>
      <c r="K771" s="6">
        <v>30</v>
      </c>
      <c r="L771" t="s">
        <v>52</v>
      </c>
      <c r="M771" s="8">
        <v>7511.3540000000003</v>
      </c>
      <c r="N771" s="7">
        <v>37556.769999999997</v>
      </c>
      <c r="O771" t="s">
        <v>46</v>
      </c>
      <c r="P771" t="s">
        <v>40</v>
      </c>
    </row>
    <row r="772" spans="1:16" x14ac:dyDescent="0.25">
      <c r="A772" s="5">
        <v>45904</v>
      </c>
      <c r="B772" t="s">
        <v>143</v>
      </c>
      <c r="C772" t="s">
        <v>144</v>
      </c>
      <c r="D772" t="s">
        <v>69</v>
      </c>
      <c r="E772" t="s">
        <v>127</v>
      </c>
      <c r="F772" t="s">
        <v>36</v>
      </c>
      <c r="G772" t="s">
        <v>892</v>
      </c>
      <c r="H772" s="6">
        <v>17</v>
      </c>
      <c r="I772" s="7">
        <v>95.93</v>
      </c>
      <c r="J772" s="7">
        <v>1630.86</v>
      </c>
      <c r="K772" s="6">
        <v>60</v>
      </c>
      <c r="L772" t="s">
        <v>52</v>
      </c>
      <c r="M772" s="8">
        <v>326.17200000000003</v>
      </c>
      <c r="N772" s="7">
        <v>1630.86</v>
      </c>
      <c r="O772" t="s">
        <v>39</v>
      </c>
      <c r="P772" t="s">
        <v>40</v>
      </c>
    </row>
    <row r="773" spans="1:16" x14ac:dyDescent="0.25">
      <c r="A773" s="5">
        <v>45873</v>
      </c>
      <c r="B773" t="s">
        <v>113</v>
      </c>
      <c r="C773" t="s">
        <v>114</v>
      </c>
      <c r="D773" t="s">
        <v>69</v>
      </c>
      <c r="E773" t="s">
        <v>105</v>
      </c>
      <c r="F773" t="s">
        <v>97</v>
      </c>
      <c r="G773" t="s">
        <v>893</v>
      </c>
      <c r="H773" s="6">
        <v>48</v>
      </c>
      <c r="I773" s="7">
        <v>220.18</v>
      </c>
      <c r="J773" s="7">
        <v>10568.43</v>
      </c>
      <c r="K773" s="6">
        <v>30</v>
      </c>
      <c r="L773" t="s">
        <v>52</v>
      </c>
      <c r="M773" s="8">
        <v>2113.6860000000001</v>
      </c>
      <c r="N773" s="7">
        <v>10568.43</v>
      </c>
      <c r="O773" t="s">
        <v>46</v>
      </c>
      <c r="P773" t="s">
        <v>40</v>
      </c>
    </row>
    <row r="774" spans="1:16" x14ac:dyDescent="0.25">
      <c r="A774" s="5">
        <v>45904</v>
      </c>
      <c r="B774" t="s">
        <v>103</v>
      </c>
      <c r="C774" t="s">
        <v>104</v>
      </c>
      <c r="D774" t="s">
        <v>58</v>
      </c>
      <c r="E774" t="s">
        <v>204</v>
      </c>
      <c r="F774" t="s">
        <v>97</v>
      </c>
      <c r="G774" t="s">
        <v>894</v>
      </c>
      <c r="H774" s="6">
        <v>49</v>
      </c>
      <c r="I774" s="7">
        <v>424.8</v>
      </c>
      <c r="J774" s="7">
        <v>20814.96</v>
      </c>
      <c r="K774" s="6">
        <v>45</v>
      </c>
      <c r="L774" t="s">
        <v>52</v>
      </c>
      <c r="M774" s="8">
        <v>4162.9920000000002</v>
      </c>
      <c r="N774" s="7">
        <v>20814.96</v>
      </c>
      <c r="O774" t="s">
        <v>46</v>
      </c>
      <c r="P774" t="s">
        <v>40</v>
      </c>
    </row>
    <row r="775" spans="1:16" x14ac:dyDescent="0.25">
      <c r="A775" s="5">
        <v>45726</v>
      </c>
      <c r="B775" t="s">
        <v>67</v>
      </c>
      <c r="C775" t="s">
        <v>68</v>
      </c>
      <c r="D775" t="s">
        <v>69</v>
      </c>
      <c r="E775" t="s">
        <v>75</v>
      </c>
      <c r="F775" t="s">
        <v>36</v>
      </c>
      <c r="G775" t="s">
        <v>895</v>
      </c>
      <c r="H775" s="6">
        <v>33</v>
      </c>
      <c r="I775" s="7">
        <v>110.97</v>
      </c>
      <c r="J775" s="7">
        <v>3662.13</v>
      </c>
      <c r="K775" s="6">
        <v>45</v>
      </c>
      <c r="L775" t="s">
        <v>38</v>
      </c>
      <c r="M775" s="8">
        <v>732.42600000000004</v>
      </c>
      <c r="N775" s="7">
        <v>3662.13</v>
      </c>
      <c r="O775" t="s">
        <v>46</v>
      </c>
      <c r="P775" t="s">
        <v>40</v>
      </c>
    </row>
    <row r="776" spans="1:16" x14ac:dyDescent="0.25">
      <c r="A776" s="5">
        <v>45936</v>
      </c>
      <c r="B776" t="s">
        <v>100</v>
      </c>
      <c r="C776" t="s">
        <v>101</v>
      </c>
      <c r="D776" t="s">
        <v>69</v>
      </c>
      <c r="E776" t="s">
        <v>115</v>
      </c>
      <c r="F776" t="s">
        <v>60</v>
      </c>
      <c r="G776" t="s">
        <v>896</v>
      </c>
      <c r="H776" s="6">
        <v>53</v>
      </c>
      <c r="I776" s="7">
        <v>309.70999999999998</v>
      </c>
      <c r="J776" s="7">
        <v>16414.41</v>
      </c>
      <c r="K776" s="6">
        <v>45</v>
      </c>
      <c r="L776" t="s">
        <v>38</v>
      </c>
      <c r="M776" s="8">
        <v>3282.8820000000001</v>
      </c>
      <c r="N776" s="7">
        <v>16414.41</v>
      </c>
      <c r="O776" t="s">
        <v>46</v>
      </c>
      <c r="P776" t="s">
        <v>40</v>
      </c>
    </row>
    <row r="777" spans="1:16" x14ac:dyDescent="0.25">
      <c r="A777" s="5">
        <v>45925</v>
      </c>
      <c r="B777" t="s">
        <v>100</v>
      </c>
      <c r="C777" t="s">
        <v>101</v>
      </c>
      <c r="D777" t="s">
        <v>69</v>
      </c>
      <c r="E777" t="s">
        <v>152</v>
      </c>
      <c r="F777" t="s">
        <v>50</v>
      </c>
      <c r="G777" t="s">
        <v>897</v>
      </c>
      <c r="H777" s="6">
        <v>16</v>
      </c>
      <c r="I777" s="7">
        <v>50.6</v>
      </c>
      <c r="J777" s="7">
        <v>809.53</v>
      </c>
      <c r="K777" s="6">
        <v>60</v>
      </c>
      <c r="L777" t="s">
        <v>38</v>
      </c>
      <c r="M777" s="8">
        <v>161.90600000000001</v>
      </c>
      <c r="N777" s="7">
        <v>809.53</v>
      </c>
      <c r="O777" t="s">
        <v>46</v>
      </c>
      <c r="P777" t="s">
        <v>40</v>
      </c>
    </row>
    <row r="778" spans="1:16" x14ac:dyDescent="0.25">
      <c r="A778" s="5">
        <v>45819</v>
      </c>
      <c r="B778" t="s">
        <v>91</v>
      </c>
      <c r="C778" t="s">
        <v>92</v>
      </c>
      <c r="D778" t="s">
        <v>64</v>
      </c>
      <c r="E778" t="s">
        <v>53</v>
      </c>
      <c r="F778" t="s">
        <v>54</v>
      </c>
      <c r="G778" t="s">
        <v>898</v>
      </c>
      <c r="H778" s="6">
        <v>53</v>
      </c>
      <c r="I778" s="7">
        <v>167.59</v>
      </c>
      <c r="J778" s="7">
        <v>8882.4</v>
      </c>
      <c r="K778" s="6">
        <v>45</v>
      </c>
      <c r="L778" t="s">
        <v>38</v>
      </c>
      <c r="M778" s="8">
        <v>1776.48</v>
      </c>
      <c r="N778" s="7">
        <v>8882.4</v>
      </c>
      <c r="O778" t="s">
        <v>46</v>
      </c>
      <c r="P778" t="s">
        <v>40</v>
      </c>
    </row>
    <row r="779" spans="1:16" x14ac:dyDescent="0.25">
      <c r="A779" s="5">
        <v>45957</v>
      </c>
      <c r="B779" t="s">
        <v>121</v>
      </c>
      <c r="C779" t="s">
        <v>122</v>
      </c>
      <c r="D779" t="s">
        <v>34</v>
      </c>
      <c r="E779" t="s">
        <v>105</v>
      </c>
      <c r="F779" t="s">
        <v>97</v>
      </c>
      <c r="G779" t="s">
        <v>899</v>
      </c>
      <c r="H779" s="6">
        <v>33</v>
      </c>
      <c r="I779" s="7">
        <v>261.82</v>
      </c>
      <c r="J779" s="7">
        <v>8639.9699999999993</v>
      </c>
      <c r="K779" s="6">
        <v>45</v>
      </c>
      <c r="L779" t="s">
        <v>52</v>
      </c>
      <c r="M779" s="8">
        <v>1727.9939999999999</v>
      </c>
      <c r="N779" s="7">
        <v>8639.9699999999993</v>
      </c>
      <c r="O779" t="s">
        <v>46</v>
      </c>
      <c r="P779" t="s">
        <v>40</v>
      </c>
    </row>
    <row r="780" spans="1:16" x14ac:dyDescent="0.25">
      <c r="A780" s="5">
        <v>45799</v>
      </c>
      <c r="B780" t="s">
        <v>73</v>
      </c>
      <c r="C780" t="s">
        <v>74</v>
      </c>
      <c r="D780" t="s">
        <v>69</v>
      </c>
      <c r="E780" t="s">
        <v>70</v>
      </c>
      <c r="F780" t="s">
        <v>71</v>
      </c>
      <c r="G780" t="s">
        <v>900</v>
      </c>
      <c r="H780" s="6">
        <v>51</v>
      </c>
      <c r="I780" s="7">
        <v>91.19</v>
      </c>
      <c r="J780" s="7">
        <v>4650.66</v>
      </c>
      <c r="K780" s="6">
        <v>30</v>
      </c>
      <c r="L780" t="s">
        <v>45</v>
      </c>
      <c r="M780" s="8">
        <v>930.13199999999995</v>
      </c>
      <c r="N780" s="7">
        <v>4650.66</v>
      </c>
      <c r="O780" t="s">
        <v>46</v>
      </c>
      <c r="P780" t="s">
        <v>40</v>
      </c>
    </row>
    <row r="781" spans="1:16" x14ac:dyDescent="0.25">
      <c r="A781" s="5">
        <v>45847</v>
      </c>
      <c r="B781" t="s">
        <v>118</v>
      </c>
      <c r="C781" t="s">
        <v>119</v>
      </c>
      <c r="D781" t="s">
        <v>64</v>
      </c>
      <c r="E781" t="s">
        <v>107</v>
      </c>
      <c r="F781" t="s">
        <v>108</v>
      </c>
      <c r="G781" t="s">
        <v>901</v>
      </c>
      <c r="H781" s="6">
        <v>72</v>
      </c>
      <c r="I781" s="7">
        <v>105.52</v>
      </c>
      <c r="J781" s="7">
        <v>7597.12</v>
      </c>
      <c r="K781" s="6">
        <v>60</v>
      </c>
      <c r="L781" t="s">
        <v>45</v>
      </c>
      <c r="M781" s="8">
        <v>1519.424</v>
      </c>
      <c r="N781" s="7">
        <v>7597.12</v>
      </c>
      <c r="O781" t="s">
        <v>46</v>
      </c>
      <c r="P781" t="s">
        <v>40</v>
      </c>
    </row>
    <row r="782" spans="1:16" x14ac:dyDescent="0.25">
      <c r="A782" s="5">
        <v>45834</v>
      </c>
      <c r="B782" t="s">
        <v>91</v>
      </c>
      <c r="C782" t="s">
        <v>92</v>
      </c>
      <c r="D782" t="s">
        <v>64</v>
      </c>
      <c r="E782" t="s">
        <v>115</v>
      </c>
      <c r="F782" t="s">
        <v>60</v>
      </c>
      <c r="G782" t="s">
        <v>902</v>
      </c>
      <c r="H782" s="6">
        <v>51</v>
      </c>
      <c r="I782" s="7">
        <v>242.59</v>
      </c>
      <c r="J782" s="7">
        <v>12371.97</v>
      </c>
      <c r="K782" s="6">
        <v>60</v>
      </c>
      <c r="L782" t="s">
        <v>38</v>
      </c>
      <c r="M782" s="8">
        <v>2474.3939999999998</v>
      </c>
      <c r="N782" s="7">
        <v>12371.97</v>
      </c>
      <c r="O782" t="s">
        <v>46</v>
      </c>
      <c r="P782" t="s">
        <v>40</v>
      </c>
    </row>
    <row r="783" spans="1:16" x14ac:dyDescent="0.25">
      <c r="A783" s="5">
        <v>45775</v>
      </c>
      <c r="B783" t="s">
        <v>32</v>
      </c>
      <c r="C783" t="s">
        <v>33</v>
      </c>
      <c r="D783" t="s">
        <v>34</v>
      </c>
      <c r="E783" t="s">
        <v>43</v>
      </c>
      <c r="F783" t="s">
        <v>36</v>
      </c>
      <c r="G783" t="s">
        <v>903</v>
      </c>
      <c r="H783" s="6">
        <v>58</v>
      </c>
      <c r="I783" s="7">
        <v>31.19</v>
      </c>
      <c r="J783" s="7">
        <v>1808.75</v>
      </c>
      <c r="K783" s="6">
        <v>60</v>
      </c>
      <c r="L783" t="s">
        <v>38</v>
      </c>
      <c r="M783" s="8">
        <v>361.75</v>
      </c>
      <c r="N783" s="7">
        <v>1808.75</v>
      </c>
      <c r="O783" t="s">
        <v>46</v>
      </c>
      <c r="P783" t="s">
        <v>40</v>
      </c>
    </row>
    <row r="784" spans="1:16" x14ac:dyDescent="0.25">
      <c r="A784" s="5">
        <v>45863</v>
      </c>
      <c r="B784" t="s">
        <v>201</v>
      </c>
      <c r="C784" t="s">
        <v>202</v>
      </c>
      <c r="D784" t="s">
        <v>64</v>
      </c>
      <c r="E784" t="s">
        <v>53</v>
      </c>
      <c r="F784" t="s">
        <v>54</v>
      </c>
      <c r="G784" t="s">
        <v>904</v>
      </c>
      <c r="H784" s="6">
        <v>44</v>
      </c>
      <c r="I784" s="7">
        <v>308.14</v>
      </c>
      <c r="J784" s="7">
        <v>13558.37</v>
      </c>
      <c r="K784" s="6">
        <v>60</v>
      </c>
      <c r="L784" t="s">
        <v>52</v>
      </c>
      <c r="M784" s="8">
        <v>2711.674</v>
      </c>
      <c r="N784" s="7">
        <v>13558.37</v>
      </c>
      <c r="O784" t="s">
        <v>46</v>
      </c>
      <c r="P784" t="s">
        <v>40</v>
      </c>
    </row>
    <row r="785" spans="1:16" x14ac:dyDescent="0.25">
      <c r="A785" s="5">
        <v>45857</v>
      </c>
      <c r="B785" t="s">
        <v>121</v>
      </c>
      <c r="C785" t="s">
        <v>122</v>
      </c>
      <c r="D785" t="s">
        <v>34</v>
      </c>
      <c r="E785" t="s">
        <v>49</v>
      </c>
      <c r="F785" t="s">
        <v>50</v>
      </c>
      <c r="G785" t="s">
        <v>905</v>
      </c>
      <c r="H785" s="6">
        <v>1</v>
      </c>
      <c r="I785" s="7">
        <v>167.89</v>
      </c>
      <c r="J785" s="7">
        <v>167.89</v>
      </c>
      <c r="K785" s="6">
        <v>30</v>
      </c>
      <c r="L785" t="s">
        <v>38</v>
      </c>
      <c r="M785" s="8">
        <v>33.578000000000003</v>
      </c>
      <c r="N785" s="7">
        <v>167.89</v>
      </c>
      <c r="O785" t="s">
        <v>39</v>
      </c>
      <c r="P785" t="s">
        <v>40</v>
      </c>
    </row>
    <row r="786" spans="1:16" x14ac:dyDescent="0.25">
      <c r="A786" s="5">
        <v>45690</v>
      </c>
      <c r="B786" t="s">
        <v>56</v>
      </c>
      <c r="C786" t="s">
        <v>57</v>
      </c>
      <c r="D786" t="s">
        <v>58</v>
      </c>
      <c r="E786" t="s">
        <v>204</v>
      </c>
      <c r="F786" t="s">
        <v>97</v>
      </c>
      <c r="G786" t="s">
        <v>906</v>
      </c>
      <c r="H786" s="6">
        <v>34</v>
      </c>
      <c r="I786" s="7">
        <v>408.16</v>
      </c>
      <c r="J786" s="7">
        <v>13877.55</v>
      </c>
      <c r="K786" s="6">
        <v>30</v>
      </c>
      <c r="L786" t="s">
        <v>45</v>
      </c>
      <c r="M786" s="8">
        <v>2775.51</v>
      </c>
      <c r="N786" s="7">
        <v>13877.55</v>
      </c>
      <c r="O786" t="s">
        <v>46</v>
      </c>
      <c r="P786" t="s">
        <v>40</v>
      </c>
    </row>
    <row r="787" spans="1:16" x14ac:dyDescent="0.25">
      <c r="A787" s="5">
        <v>45854</v>
      </c>
      <c r="B787" t="s">
        <v>121</v>
      </c>
      <c r="C787" t="s">
        <v>122</v>
      </c>
      <c r="D787" t="s">
        <v>34</v>
      </c>
      <c r="E787" t="s">
        <v>152</v>
      </c>
      <c r="F787" t="s">
        <v>50</v>
      </c>
      <c r="G787" t="s">
        <v>907</v>
      </c>
      <c r="H787" s="6">
        <v>52</v>
      </c>
      <c r="I787" s="7">
        <v>217.44</v>
      </c>
      <c r="J787" s="7">
        <v>11306.86</v>
      </c>
      <c r="K787" s="6">
        <v>60</v>
      </c>
      <c r="L787" t="s">
        <v>52</v>
      </c>
      <c r="M787" s="8">
        <v>2261.3719999999998</v>
      </c>
      <c r="N787" s="7">
        <v>11306.86</v>
      </c>
      <c r="O787" t="s">
        <v>46</v>
      </c>
      <c r="P787" t="s">
        <v>40</v>
      </c>
    </row>
    <row r="788" spans="1:16" x14ac:dyDescent="0.25">
      <c r="A788" s="5">
        <v>45963</v>
      </c>
      <c r="B788" t="s">
        <v>103</v>
      </c>
      <c r="C788" t="s">
        <v>104</v>
      </c>
      <c r="D788" t="s">
        <v>58</v>
      </c>
      <c r="E788" t="s">
        <v>115</v>
      </c>
      <c r="F788" t="s">
        <v>60</v>
      </c>
      <c r="G788" t="s">
        <v>908</v>
      </c>
      <c r="H788" s="6">
        <v>8</v>
      </c>
      <c r="I788" s="7">
        <v>348.03</v>
      </c>
      <c r="J788" s="7">
        <v>2784.23</v>
      </c>
      <c r="K788" s="6">
        <v>30</v>
      </c>
      <c r="L788" t="s">
        <v>52</v>
      </c>
      <c r="M788" s="8">
        <v>556.846</v>
      </c>
      <c r="N788" s="7">
        <v>2784.23</v>
      </c>
      <c r="O788" t="s">
        <v>46</v>
      </c>
      <c r="P788" t="s">
        <v>40</v>
      </c>
    </row>
    <row r="789" spans="1:16" x14ac:dyDescent="0.25">
      <c r="A789" s="5">
        <v>45761</v>
      </c>
      <c r="B789" t="s">
        <v>118</v>
      </c>
      <c r="C789" t="s">
        <v>119</v>
      </c>
      <c r="D789" t="s">
        <v>64</v>
      </c>
      <c r="E789" t="s">
        <v>107</v>
      </c>
      <c r="F789" t="s">
        <v>108</v>
      </c>
      <c r="G789" t="s">
        <v>909</v>
      </c>
      <c r="H789" s="6">
        <v>67</v>
      </c>
      <c r="I789" s="7">
        <v>96.55</v>
      </c>
      <c r="J789" s="7">
        <v>6468.7</v>
      </c>
      <c r="K789" s="6">
        <v>45</v>
      </c>
      <c r="L789" t="s">
        <v>38</v>
      </c>
      <c r="M789" s="8">
        <v>1293.74</v>
      </c>
      <c r="N789" s="7">
        <v>6468.7</v>
      </c>
      <c r="O789" t="s">
        <v>46</v>
      </c>
      <c r="P789" t="s">
        <v>40</v>
      </c>
    </row>
    <row r="790" spans="1:16" x14ac:dyDescent="0.25">
      <c r="A790" s="5">
        <v>45744</v>
      </c>
      <c r="B790" t="s">
        <v>32</v>
      </c>
      <c r="C790" t="s">
        <v>33</v>
      </c>
      <c r="D790" t="s">
        <v>34</v>
      </c>
      <c r="E790" t="s">
        <v>53</v>
      </c>
      <c r="F790" t="s">
        <v>54</v>
      </c>
      <c r="G790" t="s">
        <v>910</v>
      </c>
      <c r="H790" s="6">
        <v>5</v>
      </c>
      <c r="I790" s="7">
        <v>240.54</v>
      </c>
      <c r="J790" s="7">
        <v>1202.68</v>
      </c>
      <c r="K790" s="6">
        <v>45</v>
      </c>
      <c r="L790" t="s">
        <v>38</v>
      </c>
      <c r="M790" s="8">
        <v>240.536</v>
      </c>
      <c r="N790" s="7">
        <v>1202.68</v>
      </c>
      <c r="O790" t="s">
        <v>46</v>
      </c>
      <c r="P790" t="s">
        <v>40</v>
      </c>
    </row>
    <row r="791" spans="1:16" x14ac:dyDescent="0.25">
      <c r="A791" s="5">
        <v>45702</v>
      </c>
      <c r="B791" t="s">
        <v>110</v>
      </c>
      <c r="C791" t="s">
        <v>111</v>
      </c>
      <c r="D791" t="s">
        <v>58</v>
      </c>
      <c r="E791" t="s">
        <v>49</v>
      </c>
      <c r="F791" t="s">
        <v>50</v>
      </c>
      <c r="G791" t="s">
        <v>911</v>
      </c>
      <c r="H791" s="6">
        <v>36</v>
      </c>
      <c r="I791" s="7">
        <v>48.13</v>
      </c>
      <c r="J791" s="7">
        <v>1732.78</v>
      </c>
      <c r="K791" s="6">
        <v>45</v>
      </c>
      <c r="L791" t="s">
        <v>45</v>
      </c>
      <c r="M791" s="8">
        <v>346.55599999999998</v>
      </c>
      <c r="N791" s="7">
        <v>1732.78</v>
      </c>
      <c r="O791" t="s">
        <v>39</v>
      </c>
      <c r="P791" t="s">
        <v>40</v>
      </c>
    </row>
    <row r="792" spans="1:16" x14ac:dyDescent="0.25">
      <c r="A792" s="5">
        <v>45958</v>
      </c>
      <c r="B792" t="s">
        <v>56</v>
      </c>
      <c r="C792" t="s">
        <v>57</v>
      </c>
      <c r="D792" t="s">
        <v>58</v>
      </c>
      <c r="E792" t="s">
        <v>96</v>
      </c>
      <c r="F792" t="s">
        <v>97</v>
      </c>
      <c r="G792" t="s">
        <v>912</v>
      </c>
      <c r="H792" s="6">
        <v>26</v>
      </c>
      <c r="I792" s="7">
        <v>379.96</v>
      </c>
      <c r="J792" s="7">
        <v>9879.02</v>
      </c>
      <c r="K792" s="6">
        <v>60</v>
      </c>
      <c r="L792" t="s">
        <v>38</v>
      </c>
      <c r="M792" s="8">
        <v>1975.8040000000001</v>
      </c>
      <c r="N792" s="7">
        <v>9879.02</v>
      </c>
      <c r="O792" t="s">
        <v>46</v>
      </c>
      <c r="P792" t="s">
        <v>40</v>
      </c>
    </row>
    <row r="793" spans="1:16" x14ac:dyDescent="0.25">
      <c r="A793" s="5">
        <v>45939</v>
      </c>
      <c r="B793" t="s">
        <v>77</v>
      </c>
      <c r="C793" t="s">
        <v>78</v>
      </c>
      <c r="D793" t="s">
        <v>58</v>
      </c>
      <c r="E793" t="s">
        <v>127</v>
      </c>
      <c r="F793" t="s">
        <v>36</v>
      </c>
      <c r="G793" t="s">
        <v>913</v>
      </c>
      <c r="H793" s="6">
        <v>37</v>
      </c>
      <c r="I793" s="7">
        <v>72.87</v>
      </c>
      <c r="J793" s="7">
        <v>2696.02</v>
      </c>
      <c r="K793" s="6">
        <v>60</v>
      </c>
      <c r="L793" t="s">
        <v>52</v>
      </c>
      <c r="M793" s="8">
        <v>539.20399999999995</v>
      </c>
      <c r="N793" s="7">
        <v>2696.02</v>
      </c>
      <c r="O793" t="s">
        <v>39</v>
      </c>
      <c r="P793" t="s">
        <v>40</v>
      </c>
    </row>
    <row r="794" spans="1:16" x14ac:dyDescent="0.25">
      <c r="A794" s="5">
        <v>45799</v>
      </c>
      <c r="B794" t="s">
        <v>41</v>
      </c>
      <c r="C794" t="s">
        <v>42</v>
      </c>
      <c r="D794" t="s">
        <v>34</v>
      </c>
      <c r="E794" t="s">
        <v>132</v>
      </c>
      <c r="F794" t="s">
        <v>71</v>
      </c>
      <c r="G794" t="s">
        <v>914</v>
      </c>
      <c r="H794" s="6">
        <v>29</v>
      </c>
      <c r="I794" s="7">
        <v>110.3</v>
      </c>
      <c r="J794" s="7">
        <v>3198.83</v>
      </c>
      <c r="K794" s="6">
        <v>60</v>
      </c>
      <c r="L794" t="s">
        <v>38</v>
      </c>
      <c r="M794" s="8">
        <v>639.76599999999996</v>
      </c>
      <c r="N794" s="7">
        <v>3198.83</v>
      </c>
      <c r="O794" t="s">
        <v>46</v>
      </c>
      <c r="P794" t="s">
        <v>40</v>
      </c>
    </row>
    <row r="795" spans="1:16" x14ac:dyDescent="0.25">
      <c r="A795" s="5">
        <v>45660</v>
      </c>
      <c r="B795" t="s">
        <v>56</v>
      </c>
      <c r="C795" t="s">
        <v>57</v>
      </c>
      <c r="D795" t="s">
        <v>58</v>
      </c>
      <c r="E795" t="s">
        <v>105</v>
      </c>
      <c r="F795" t="s">
        <v>97</v>
      </c>
      <c r="G795" t="s">
        <v>915</v>
      </c>
      <c r="H795" s="6">
        <v>34</v>
      </c>
      <c r="I795" s="7">
        <v>148.65</v>
      </c>
      <c r="J795" s="7">
        <v>5053.9799999999996</v>
      </c>
      <c r="K795" s="6">
        <v>30</v>
      </c>
      <c r="L795" t="s">
        <v>45</v>
      </c>
      <c r="M795" s="8">
        <v>1010.796</v>
      </c>
      <c r="N795" s="7">
        <v>5053.9799999999996</v>
      </c>
      <c r="O795" t="s">
        <v>46</v>
      </c>
      <c r="P795" t="s">
        <v>40</v>
      </c>
    </row>
    <row r="796" spans="1:16" x14ac:dyDescent="0.25">
      <c r="A796" s="5">
        <v>45695</v>
      </c>
      <c r="B796" t="s">
        <v>47</v>
      </c>
      <c r="C796" t="s">
        <v>48</v>
      </c>
      <c r="D796" t="s">
        <v>34</v>
      </c>
      <c r="E796" t="s">
        <v>43</v>
      </c>
      <c r="F796" t="s">
        <v>36</v>
      </c>
      <c r="G796" t="s">
        <v>916</v>
      </c>
      <c r="H796" s="6">
        <v>65</v>
      </c>
      <c r="I796" s="7">
        <v>35.869999999999997</v>
      </c>
      <c r="J796" s="7">
        <v>2331.33</v>
      </c>
      <c r="K796" s="6">
        <v>45</v>
      </c>
      <c r="L796" t="s">
        <v>45</v>
      </c>
      <c r="M796" s="8">
        <v>466.26600000000002</v>
      </c>
      <c r="N796" s="7">
        <v>2331.33</v>
      </c>
      <c r="O796" t="s">
        <v>46</v>
      </c>
      <c r="P796" t="s">
        <v>40</v>
      </c>
    </row>
    <row r="797" spans="1:16" x14ac:dyDescent="0.25">
      <c r="A797" s="5">
        <v>45952</v>
      </c>
      <c r="B797" t="s">
        <v>80</v>
      </c>
      <c r="C797" t="s">
        <v>81</v>
      </c>
      <c r="D797" t="s">
        <v>64</v>
      </c>
      <c r="E797" t="s">
        <v>115</v>
      </c>
      <c r="F797" t="s">
        <v>60</v>
      </c>
      <c r="G797" t="s">
        <v>917</v>
      </c>
      <c r="H797" s="6">
        <v>33</v>
      </c>
      <c r="I797" s="7">
        <v>392.63</v>
      </c>
      <c r="J797" s="7">
        <v>12956.71</v>
      </c>
      <c r="K797" s="6">
        <v>60</v>
      </c>
      <c r="L797" t="s">
        <v>45</v>
      </c>
      <c r="M797" s="8">
        <v>2591.3420000000001</v>
      </c>
      <c r="N797" s="7">
        <v>12956.71</v>
      </c>
      <c r="O797" t="s">
        <v>46</v>
      </c>
      <c r="P797" t="s">
        <v>40</v>
      </c>
    </row>
    <row r="798" spans="1:16" x14ac:dyDescent="0.25">
      <c r="A798" s="5">
        <v>45831</v>
      </c>
      <c r="B798" t="s">
        <v>73</v>
      </c>
      <c r="C798" t="s">
        <v>74</v>
      </c>
      <c r="D798" t="s">
        <v>69</v>
      </c>
      <c r="E798" t="s">
        <v>107</v>
      </c>
      <c r="F798" t="s">
        <v>108</v>
      </c>
      <c r="G798" t="s">
        <v>918</v>
      </c>
      <c r="H798" s="6">
        <v>59</v>
      </c>
      <c r="I798" s="7">
        <v>73.39</v>
      </c>
      <c r="J798" s="7">
        <v>4329.7700000000004</v>
      </c>
      <c r="K798" s="6">
        <v>60</v>
      </c>
      <c r="L798" t="s">
        <v>45</v>
      </c>
      <c r="M798" s="8">
        <v>865.95399999999995</v>
      </c>
      <c r="N798" s="7">
        <v>4329.7700000000004</v>
      </c>
      <c r="O798" t="s">
        <v>46</v>
      </c>
      <c r="P798" t="s">
        <v>40</v>
      </c>
    </row>
    <row r="799" spans="1:16" x14ac:dyDescent="0.25">
      <c r="A799" s="5">
        <v>45717</v>
      </c>
      <c r="B799" t="s">
        <v>77</v>
      </c>
      <c r="C799" t="s">
        <v>78</v>
      </c>
      <c r="D799" t="s">
        <v>58</v>
      </c>
      <c r="E799" t="s">
        <v>210</v>
      </c>
      <c r="F799" t="s">
        <v>50</v>
      </c>
      <c r="G799" t="s">
        <v>919</v>
      </c>
      <c r="H799" s="6">
        <v>34</v>
      </c>
      <c r="I799" s="7">
        <v>174.57</v>
      </c>
      <c r="J799" s="7">
        <v>5935.33</v>
      </c>
      <c r="K799" s="6">
        <v>30</v>
      </c>
      <c r="L799" t="s">
        <v>45</v>
      </c>
      <c r="M799" s="8">
        <v>1187.066</v>
      </c>
      <c r="N799" s="7">
        <v>5935.33</v>
      </c>
      <c r="O799" t="s">
        <v>46</v>
      </c>
      <c r="P799" t="s">
        <v>40</v>
      </c>
    </row>
    <row r="800" spans="1:16" x14ac:dyDescent="0.25">
      <c r="A800" s="5">
        <v>46017</v>
      </c>
      <c r="B800" t="s">
        <v>47</v>
      </c>
      <c r="C800" t="s">
        <v>48</v>
      </c>
      <c r="D800" t="s">
        <v>34</v>
      </c>
      <c r="E800" t="s">
        <v>53</v>
      </c>
      <c r="F800" t="s">
        <v>54</v>
      </c>
      <c r="G800" t="s">
        <v>920</v>
      </c>
      <c r="H800" s="6">
        <v>30</v>
      </c>
      <c r="I800" s="7">
        <v>253.92</v>
      </c>
      <c r="J800" s="7">
        <v>7617.73</v>
      </c>
      <c r="K800" s="6">
        <v>45</v>
      </c>
      <c r="L800" t="s">
        <v>45</v>
      </c>
      <c r="M800" s="8">
        <v>1523.546</v>
      </c>
      <c r="N800" s="7">
        <v>7617.73</v>
      </c>
      <c r="O800" t="s">
        <v>46</v>
      </c>
      <c r="P800" t="s">
        <v>40</v>
      </c>
    </row>
    <row r="801" spans="1:16" x14ac:dyDescent="0.25">
      <c r="A801" s="5">
        <v>45792</v>
      </c>
      <c r="B801" t="s">
        <v>113</v>
      </c>
      <c r="C801" t="s">
        <v>114</v>
      </c>
      <c r="D801" t="s">
        <v>69</v>
      </c>
      <c r="E801" t="s">
        <v>152</v>
      </c>
      <c r="F801" t="s">
        <v>50</v>
      </c>
      <c r="G801" t="s">
        <v>921</v>
      </c>
      <c r="H801" s="6">
        <v>32</v>
      </c>
      <c r="I801" s="7">
        <v>121.98</v>
      </c>
      <c r="J801" s="7">
        <v>3903.36</v>
      </c>
      <c r="K801" s="6">
        <v>45</v>
      </c>
      <c r="L801" t="s">
        <v>38</v>
      </c>
      <c r="M801" s="8">
        <v>780.67200000000003</v>
      </c>
      <c r="N801" s="7">
        <v>3903.36</v>
      </c>
      <c r="O801" t="s">
        <v>46</v>
      </c>
      <c r="P801" t="s">
        <v>40</v>
      </c>
    </row>
    <row r="802" spans="1:16" x14ac:dyDescent="0.25">
      <c r="A802" s="5">
        <v>45941</v>
      </c>
      <c r="B802" t="s">
        <v>118</v>
      </c>
      <c r="C802" t="s">
        <v>119</v>
      </c>
      <c r="D802" t="s">
        <v>64</v>
      </c>
      <c r="E802" t="s">
        <v>83</v>
      </c>
      <c r="F802" t="s">
        <v>71</v>
      </c>
      <c r="G802" t="s">
        <v>922</v>
      </c>
      <c r="H802" s="6">
        <v>23</v>
      </c>
      <c r="I802" s="7">
        <v>159.16</v>
      </c>
      <c r="J802" s="7">
        <v>3660.76</v>
      </c>
      <c r="K802" s="6">
        <v>45</v>
      </c>
      <c r="L802" t="s">
        <v>45</v>
      </c>
      <c r="M802" s="8">
        <v>732.15200000000004</v>
      </c>
      <c r="N802" s="7">
        <v>3660.76</v>
      </c>
      <c r="O802" t="s">
        <v>39</v>
      </c>
      <c r="P802" t="s">
        <v>40</v>
      </c>
    </row>
    <row r="803" spans="1:16" x14ac:dyDescent="0.25">
      <c r="A803" s="5">
        <v>45795</v>
      </c>
      <c r="B803" t="s">
        <v>121</v>
      </c>
      <c r="C803" t="s">
        <v>122</v>
      </c>
      <c r="D803" t="s">
        <v>34</v>
      </c>
      <c r="E803" t="s">
        <v>53</v>
      </c>
      <c r="F803" t="s">
        <v>54</v>
      </c>
      <c r="G803" t="s">
        <v>923</v>
      </c>
      <c r="H803" s="6">
        <v>24</v>
      </c>
      <c r="I803" s="7">
        <v>188.22</v>
      </c>
      <c r="J803" s="7">
        <v>4517.3900000000003</v>
      </c>
      <c r="K803" s="6">
        <v>60</v>
      </c>
      <c r="L803" t="s">
        <v>52</v>
      </c>
      <c r="M803" s="8">
        <v>903.47799999999995</v>
      </c>
      <c r="N803" s="7">
        <v>4517.3900000000003</v>
      </c>
      <c r="O803" t="s">
        <v>46</v>
      </c>
      <c r="P803" t="s">
        <v>40</v>
      </c>
    </row>
    <row r="804" spans="1:16" x14ac:dyDescent="0.25">
      <c r="A804" s="5">
        <v>45760</v>
      </c>
      <c r="B804" t="s">
        <v>100</v>
      </c>
      <c r="C804" t="s">
        <v>101</v>
      </c>
      <c r="D804" t="s">
        <v>69</v>
      </c>
      <c r="E804" t="s">
        <v>129</v>
      </c>
      <c r="F804" t="s">
        <v>108</v>
      </c>
      <c r="G804" t="s">
        <v>924</v>
      </c>
      <c r="H804" s="6">
        <v>31</v>
      </c>
      <c r="I804" s="7">
        <v>79.069999999999993</v>
      </c>
      <c r="J804" s="7">
        <v>2451.2199999999998</v>
      </c>
      <c r="K804" s="6">
        <v>60</v>
      </c>
      <c r="L804" t="s">
        <v>38</v>
      </c>
      <c r="M804" s="8">
        <v>490.24400000000003</v>
      </c>
      <c r="N804" s="7">
        <v>2451.2199999999998</v>
      </c>
      <c r="O804" t="s">
        <v>46</v>
      </c>
      <c r="P804" t="s">
        <v>40</v>
      </c>
    </row>
    <row r="805" spans="1:16" x14ac:dyDescent="0.25">
      <c r="A805" s="5">
        <v>45761</v>
      </c>
      <c r="B805" t="s">
        <v>73</v>
      </c>
      <c r="C805" t="s">
        <v>74</v>
      </c>
      <c r="D805" t="s">
        <v>69</v>
      </c>
      <c r="E805" t="s">
        <v>135</v>
      </c>
      <c r="F805" t="s">
        <v>54</v>
      </c>
      <c r="G805" t="s">
        <v>925</v>
      </c>
      <c r="H805" s="6">
        <v>32</v>
      </c>
      <c r="I805" s="7">
        <v>193.87</v>
      </c>
      <c r="J805" s="7">
        <v>6203.97</v>
      </c>
      <c r="K805" s="6">
        <v>60</v>
      </c>
      <c r="L805" t="s">
        <v>45</v>
      </c>
      <c r="M805" s="8">
        <v>1240.7940000000001</v>
      </c>
      <c r="N805" s="7">
        <v>6203.97</v>
      </c>
      <c r="O805" t="s">
        <v>46</v>
      </c>
      <c r="P805" t="s">
        <v>40</v>
      </c>
    </row>
    <row r="806" spans="1:16" x14ac:dyDescent="0.25">
      <c r="A806" s="5">
        <v>45698</v>
      </c>
      <c r="B806" t="s">
        <v>143</v>
      </c>
      <c r="C806" t="s">
        <v>144</v>
      </c>
      <c r="D806" t="s">
        <v>69</v>
      </c>
      <c r="E806" t="s">
        <v>127</v>
      </c>
      <c r="F806" t="s">
        <v>36</v>
      </c>
      <c r="G806" t="s">
        <v>926</v>
      </c>
      <c r="H806" s="6">
        <v>64</v>
      </c>
      <c r="I806" s="7">
        <v>51.18</v>
      </c>
      <c r="J806" s="7">
        <v>3275.73</v>
      </c>
      <c r="K806" s="6">
        <v>60</v>
      </c>
      <c r="L806" t="s">
        <v>38</v>
      </c>
      <c r="M806" s="8">
        <v>655.14599999999996</v>
      </c>
      <c r="N806" s="7">
        <v>3275.73</v>
      </c>
      <c r="O806" t="s">
        <v>39</v>
      </c>
      <c r="P806" t="s">
        <v>40</v>
      </c>
    </row>
    <row r="807" spans="1:16" x14ac:dyDescent="0.25">
      <c r="A807" s="5">
        <v>45848</v>
      </c>
      <c r="B807" t="s">
        <v>118</v>
      </c>
      <c r="C807" t="s">
        <v>119</v>
      </c>
      <c r="D807" t="s">
        <v>64</v>
      </c>
      <c r="E807" t="s">
        <v>210</v>
      </c>
      <c r="F807" t="s">
        <v>50</v>
      </c>
      <c r="G807" t="s">
        <v>927</v>
      </c>
      <c r="H807" s="6">
        <v>80</v>
      </c>
      <c r="I807" s="7">
        <v>101.24</v>
      </c>
      <c r="J807" s="7">
        <v>8098.82</v>
      </c>
      <c r="K807" s="6">
        <v>45</v>
      </c>
      <c r="L807" t="s">
        <v>45</v>
      </c>
      <c r="M807" s="8">
        <v>1619.7639999999999</v>
      </c>
      <c r="N807" s="7">
        <v>8098.82</v>
      </c>
      <c r="O807" t="s">
        <v>46</v>
      </c>
      <c r="P807" t="s">
        <v>40</v>
      </c>
    </row>
    <row r="808" spans="1:16" x14ac:dyDescent="0.25">
      <c r="A808" s="5">
        <v>45751</v>
      </c>
      <c r="B808" t="s">
        <v>56</v>
      </c>
      <c r="C808" t="s">
        <v>57</v>
      </c>
      <c r="D808" t="s">
        <v>58</v>
      </c>
      <c r="E808" t="s">
        <v>149</v>
      </c>
      <c r="F808" t="s">
        <v>60</v>
      </c>
      <c r="G808" t="s">
        <v>928</v>
      </c>
      <c r="H808" s="6">
        <v>66</v>
      </c>
      <c r="I808" s="7">
        <v>248.59</v>
      </c>
      <c r="J808" s="7">
        <v>16406.88</v>
      </c>
      <c r="K808" s="6">
        <v>45</v>
      </c>
      <c r="L808" t="s">
        <v>45</v>
      </c>
      <c r="M808" s="8">
        <v>3281.3760000000002</v>
      </c>
      <c r="N808" s="7">
        <v>16406.88</v>
      </c>
      <c r="O808" t="s">
        <v>46</v>
      </c>
      <c r="P808" t="s">
        <v>40</v>
      </c>
    </row>
    <row r="809" spans="1:16" x14ac:dyDescent="0.25">
      <c r="A809" s="5">
        <v>45927</v>
      </c>
      <c r="B809" t="s">
        <v>103</v>
      </c>
      <c r="C809" t="s">
        <v>104</v>
      </c>
      <c r="D809" t="s">
        <v>58</v>
      </c>
      <c r="E809" t="s">
        <v>154</v>
      </c>
      <c r="F809" t="s">
        <v>89</v>
      </c>
      <c r="G809" t="s">
        <v>929</v>
      </c>
      <c r="H809" s="6">
        <v>55</v>
      </c>
      <c r="I809" s="7">
        <v>138.33000000000001</v>
      </c>
      <c r="J809" s="7">
        <v>7608.17</v>
      </c>
      <c r="K809" s="6">
        <v>45</v>
      </c>
      <c r="L809" t="s">
        <v>52</v>
      </c>
      <c r="M809" s="8">
        <v>1521.634</v>
      </c>
      <c r="N809" s="7">
        <v>7608.17</v>
      </c>
      <c r="O809" t="s">
        <v>39</v>
      </c>
      <c r="P809" t="s">
        <v>40</v>
      </c>
    </row>
    <row r="810" spans="1:16" x14ac:dyDescent="0.25">
      <c r="A810" s="5">
        <v>46009</v>
      </c>
      <c r="B810" t="s">
        <v>103</v>
      </c>
      <c r="C810" t="s">
        <v>104</v>
      </c>
      <c r="D810" t="s">
        <v>58</v>
      </c>
      <c r="E810" t="s">
        <v>132</v>
      </c>
      <c r="F810" t="s">
        <v>71</v>
      </c>
      <c r="G810" t="s">
        <v>930</v>
      </c>
      <c r="H810" s="6">
        <v>23</v>
      </c>
      <c r="I810" s="7">
        <v>189.53</v>
      </c>
      <c r="J810" s="7">
        <v>4359.17</v>
      </c>
      <c r="K810" s="6">
        <v>45</v>
      </c>
      <c r="L810" t="s">
        <v>38</v>
      </c>
      <c r="M810" s="8">
        <v>871.83399999999995</v>
      </c>
      <c r="N810" s="7">
        <v>4359.17</v>
      </c>
      <c r="O810" t="s">
        <v>46</v>
      </c>
      <c r="P810" t="s">
        <v>40</v>
      </c>
    </row>
    <row r="811" spans="1:16" x14ac:dyDescent="0.25">
      <c r="A811" s="5">
        <v>46010</v>
      </c>
      <c r="B811" t="s">
        <v>85</v>
      </c>
      <c r="C811" t="s">
        <v>86</v>
      </c>
      <c r="D811" t="s">
        <v>58</v>
      </c>
      <c r="E811" t="s">
        <v>139</v>
      </c>
      <c r="F811" t="s">
        <v>108</v>
      </c>
      <c r="G811" t="s">
        <v>931</v>
      </c>
      <c r="H811" s="6">
        <v>2</v>
      </c>
      <c r="I811" s="7">
        <v>45.85</v>
      </c>
      <c r="J811" s="7">
        <v>91.71</v>
      </c>
      <c r="K811" s="6">
        <v>30</v>
      </c>
      <c r="L811" t="s">
        <v>52</v>
      </c>
      <c r="M811" s="8">
        <v>18.341999999999999</v>
      </c>
      <c r="N811" s="7">
        <v>91.71</v>
      </c>
      <c r="O811" t="s">
        <v>46</v>
      </c>
      <c r="P811" t="s">
        <v>40</v>
      </c>
    </row>
    <row r="812" spans="1:16" x14ac:dyDescent="0.25">
      <c r="A812" s="5">
        <v>45709</v>
      </c>
      <c r="B812" t="s">
        <v>32</v>
      </c>
      <c r="C812" t="s">
        <v>33</v>
      </c>
      <c r="D812" t="s">
        <v>34</v>
      </c>
      <c r="E812" t="s">
        <v>105</v>
      </c>
      <c r="F812" t="s">
        <v>97</v>
      </c>
      <c r="G812" t="s">
        <v>932</v>
      </c>
      <c r="H812" s="6">
        <v>42</v>
      </c>
      <c r="I812" s="7">
        <v>270.7</v>
      </c>
      <c r="J812" s="7">
        <v>11369.31</v>
      </c>
      <c r="K812" s="6">
        <v>45</v>
      </c>
      <c r="L812" t="s">
        <v>52</v>
      </c>
      <c r="M812" s="8">
        <v>2273.8620000000001</v>
      </c>
      <c r="N812" s="7">
        <v>11369.31</v>
      </c>
      <c r="O812" t="s">
        <v>46</v>
      </c>
      <c r="P812" t="s">
        <v>40</v>
      </c>
    </row>
    <row r="813" spans="1:16" x14ac:dyDescent="0.25">
      <c r="A813" s="5">
        <v>45792</v>
      </c>
      <c r="B813" t="s">
        <v>80</v>
      </c>
      <c r="C813" t="s">
        <v>81</v>
      </c>
      <c r="D813" t="s">
        <v>64</v>
      </c>
      <c r="E813" t="s">
        <v>124</v>
      </c>
      <c r="F813" t="s">
        <v>89</v>
      </c>
      <c r="G813" t="s">
        <v>933</v>
      </c>
      <c r="H813" s="6">
        <v>31</v>
      </c>
      <c r="I813" s="7">
        <v>141.33000000000001</v>
      </c>
      <c r="J813" s="7">
        <v>4381.26</v>
      </c>
      <c r="K813" s="6">
        <v>45</v>
      </c>
      <c r="L813" t="s">
        <v>45</v>
      </c>
      <c r="M813" s="8">
        <v>876.25199999999995</v>
      </c>
      <c r="N813" s="7">
        <v>4381.26</v>
      </c>
      <c r="O813" t="s">
        <v>46</v>
      </c>
      <c r="P813" t="s">
        <v>40</v>
      </c>
    </row>
    <row r="814" spans="1:16" x14ac:dyDescent="0.25">
      <c r="A814" s="5">
        <v>45752</v>
      </c>
      <c r="B814" t="s">
        <v>143</v>
      </c>
      <c r="C814" t="s">
        <v>144</v>
      </c>
      <c r="D814" t="s">
        <v>69</v>
      </c>
      <c r="E814" t="s">
        <v>132</v>
      </c>
      <c r="F814" t="s">
        <v>71</v>
      </c>
      <c r="G814" t="s">
        <v>934</v>
      </c>
      <c r="H814" s="6">
        <v>64</v>
      </c>
      <c r="I814" s="7">
        <v>210.55</v>
      </c>
      <c r="J814" s="7">
        <v>13475.09</v>
      </c>
      <c r="K814" s="6">
        <v>45</v>
      </c>
      <c r="L814" t="s">
        <v>38</v>
      </c>
      <c r="M814" s="8">
        <v>2695.018</v>
      </c>
      <c r="N814" s="7">
        <v>13475.09</v>
      </c>
      <c r="O814" t="s">
        <v>46</v>
      </c>
      <c r="P814" t="s">
        <v>40</v>
      </c>
    </row>
    <row r="815" spans="1:16" x14ac:dyDescent="0.25">
      <c r="A815" s="5">
        <v>45863</v>
      </c>
      <c r="B815" t="s">
        <v>56</v>
      </c>
      <c r="C815" t="s">
        <v>57</v>
      </c>
      <c r="D815" t="s">
        <v>58</v>
      </c>
      <c r="E815" t="s">
        <v>132</v>
      </c>
      <c r="F815" t="s">
        <v>71</v>
      </c>
      <c r="G815" t="s">
        <v>935</v>
      </c>
      <c r="H815" s="6">
        <v>36</v>
      </c>
      <c r="I815" s="7">
        <v>105.85</v>
      </c>
      <c r="J815" s="7">
        <v>3810.44</v>
      </c>
      <c r="K815" s="6">
        <v>45</v>
      </c>
      <c r="L815" t="s">
        <v>38</v>
      </c>
      <c r="M815" s="8">
        <v>762.08799999999997</v>
      </c>
      <c r="N815" s="7">
        <v>3810.44</v>
      </c>
      <c r="O815" t="s">
        <v>46</v>
      </c>
      <c r="P815" t="s">
        <v>40</v>
      </c>
    </row>
    <row r="816" spans="1:16" x14ac:dyDescent="0.25">
      <c r="A816" s="5">
        <v>46009</v>
      </c>
      <c r="B816" t="s">
        <v>67</v>
      </c>
      <c r="C816" t="s">
        <v>68</v>
      </c>
      <c r="D816" t="s">
        <v>69</v>
      </c>
      <c r="E816" t="s">
        <v>124</v>
      </c>
      <c r="F816" t="s">
        <v>89</v>
      </c>
      <c r="G816" t="s">
        <v>936</v>
      </c>
      <c r="H816" s="6">
        <v>30</v>
      </c>
      <c r="I816" s="7">
        <v>317.5</v>
      </c>
      <c r="J816" s="7">
        <v>9524.94</v>
      </c>
      <c r="K816" s="6">
        <v>30</v>
      </c>
      <c r="L816" t="s">
        <v>52</v>
      </c>
      <c r="M816" s="8">
        <v>1904.9880000000001</v>
      </c>
      <c r="N816" s="7">
        <v>9524.94</v>
      </c>
      <c r="O816" t="s">
        <v>46</v>
      </c>
      <c r="P816" t="s">
        <v>40</v>
      </c>
    </row>
    <row r="817" spans="1:16" x14ac:dyDescent="0.25">
      <c r="A817" s="5">
        <v>45879</v>
      </c>
      <c r="B817" t="s">
        <v>62</v>
      </c>
      <c r="C817" t="s">
        <v>63</v>
      </c>
      <c r="D817" t="s">
        <v>64</v>
      </c>
      <c r="E817" t="s">
        <v>53</v>
      </c>
      <c r="F817" t="s">
        <v>54</v>
      </c>
      <c r="G817" t="s">
        <v>937</v>
      </c>
      <c r="H817" s="6">
        <v>49</v>
      </c>
      <c r="I817" s="7">
        <v>110.43</v>
      </c>
      <c r="J817" s="7">
        <v>5411.18</v>
      </c>
      <c r="K817" s="6">
        <v>30</v>
      </c>
      <c r="L817" t="s">
        <v>38</v>
      </c>
      <c r="M817" s="8">
        <v>1082.2360000000001</v>
      </c>
      <c r="N817" s="7">
        <v>5411.18</v>
      </c>
      <c r="O817" t="s">
        <v>46</v>
      </c>
      <c r="P817" t="s">
        <v>40</v>
      </c>
    </row>
    <row r="818" spans="1:16" x14ac:dyDescent="0.25">
      <c r="A818" s="5">
        <v>45662</v>
      </c>
      <c r="B818" t="s">
        <v>110</v>
      </c>
      <c r="C818" t="s">
        <v>111</v>
      </c>
      <c r="D818" t="s">
        <v>58</v>
      </c>
      <c r="E818" t="s">
        <v>88</v>
      </c>
      <c r="F818" t="s">
        <v>89</v>
      </c>
      <c r="G818" t="s">
        <v>938</v>
      </c>
      <c r="H818" s="6">
        <v>23</v>
      </c>
      <c r="I818" s="7">
        <v>208.48</v>
      </c>
      <c r="J818" s="7">
        <v>4795</v>
      </c>
      <c r="K818" s="6">
        <v>45</v>
      </c>
      <c r="L818" t="s">
        <v>45</v>
      </c>
      <c r="M818" s="8">
        <v>959</v>
      </c>
      <c r="N818" s="7">
        <v>4795</v>
      </c>
      <c r="O818" t="s">
        <v>46</v>
      </c>
      <c r="P818" t="s">
        <v>40</v>
      </c>
    </row>
    <row r="819" spans="1:16" x14ac:dyDescent="0.25">
      <c r="A819" s="5">
        <v>45811</v>
      </c>
      <c r="B819" t="s">
        <v>118</v>
      </c>
      <c r="C819" t="s">
        <v>119</v>
      </c>
      <c r="D819" t="s">
        <v>64</v>
      </c>
      <c r="E819" t="s">
        <v>132</v>
      </c>
      <c r="F819" t="s">
        <v>71</v>
      </c>
      <c r="G819" t="s">
        <v>939</v>
      </c>
      <c r="H819" s="6">
        <v>33</v>
      </c>
      <c r="I819" s="7">
        <v>154.96</v>
      </c>
      <c r="J819" s="7">
        <v>5113.71</v>
      </c>
      <c r="K819" s="6">
        <v>60</v>
      </c>
      <c r="L819" t="s">
        <v>52</v>
      </c>
      <c r="M819" s="8">
        <v>1022.742</v>
      </c>
      <c r="N819" s="7">
        <v>5113.71</v>
      </c>
      <c r="O819" t="s">
        <v>46</v>
      </c>
      <c r="P819" t="s">
        <v>40</v>
      </c>
    </row>
    <row r="820" spans="1:16" x14ac:dyDescent="0.25">
      <c r="A820" s="5">
        <v>46011</v>
      </c>
      <c r="B820" t="s">
        <v>103</v>
      </c>
      <c r="C820" t="s">
        <v>104</v>
      </c>
      <c r="D820" t="s">
        <v>58</v>
      </c>
      <c r="E820" t="s">
        <v>204</v>
      </c>
      <c r="F820" t="s">
        <v>97</v>
      </c>
      <c r="G820" t="s">
        <v>940</v>
      </c>
      <c r="H820" s="6">
        <v>21</v>
      </c>
      <c r="I820" s="7">
        <v>313.89</v>
      </c>
      <c r="J820" s="7">
        <v>6591.66</v>
      </c>
      <c r="K820" s="6">
        <v>30</v>
      </c>
      <c r="L820" t="s">
        <v>38</v>
      </c>
      <c r="M820" s="8">
        <v>1318.3320000000001</v>
      </c>
      <c r="N820" s="7">
        <v>6591.66</v>
      </c>
      <c r="O820" t="s">
        <v>46</v>
      </c>
      <c r="P820" t="s">
        <v>40</v>
      </c>
    </row>
    <row r="821" spans="1:16" x14ac:dyDescent="0.25">
      <c r="A821" s="5">
        <v>45707</v>
      </c>
      <c r="B821" t="s">
        <v>47</v>
      </c>
      <c r="C821" t="s">
        <v>48</v>
      </c>
      <c r="D821" t="s">
        <v>34</v>
      </c>
      <c r="E821" t="s">
        <v>129</v>
      </c>
      <c r="F821" t="s">
        <v>108</v>
      </c>
      <c r="G821" t="s">
        <v>941</v>
      </c>
      <c r="H821" s="6">
        <v>58</v>
      </c>
      <c r="I821" s="7">
        <v>134.76</v>
      </c>
      <c r="J821" s="7">
        <v>7816.13</v>
      </c>
      <c r="K821" s="6">
        <v>60</v>
      </c>
      <c r="L821" t="s">
        <v>45</v>
      </c>
      <c r="M821" s="8">
        <v>1563.2260000000001</v>
      </c>
      <c r="N821" s="7">
        <v>7816.13</v>
      </c>
      <c r="O821" t="s">
        <v>46</v>
      </c>
      <c r="P821" t="s">
        <v>40</v>
      </c>
    </row>
    <row r="822" spans="1:16" x14ac:dyDescent="0.25">
      <c r="A822" s="5">
        <v>45944</v>
      </c>
      <c r="B822" t="s">
        <v>41</v>
      </c>
      <c r="C822" t="s">
        <v>42</v>
      </c>
      <c r="D822" t="s">
        <v>34</v>
      </c>
      <c r="E822" t="s">
        <v>132</v>
      </c>
      <c r="F822" t="s">
        <v>71</v>
      </c>
      <c r="G822" t="s">
        <v>942</v>
      </c>
      <c r="H822" s="6">
        <v>72</v>
      </c>
      <c r="I822" s="7">
        <v>71.48</v>
      </c>
      <c r="J822" s="7">
        <v>5146.3100000000004</v>
      </c>
      <c r="K822" s="6">
        <v>45</v>
      </c>
      <c r="L822" t="s">
        <v>45</v>
      </c>
      <c r="M822" s="8">
        <v>1029.2619999999999</v>
      </c>
      <c r="N822" s="7">
        <v>5146.3100000000004</v>
      </c>
      <c r="O822" t="s">
        <v>46</v>
      </c>
      <c r="P822" t="s">
        <v>40</v>
      </c>
    </row>
    <row r="823" spans="1:16" x14ac:dyDescent="0.25">
      <c r="A823" s="5">
        <v>45837</v>
      </c>
      <c r="B823" t="s">
        <v>113</v>
      </c>
      <c r="C823" t="s">
        <v>114</v>
      </c>
      <c r="D823" t="s">
        <v>69</v>
      </c>
      <c r="E823" t="s">
        <v>204</v>
      </c>
      <c r="F823" t="s">
        <v>97</v>
      </c>
      <c r="G823" t="s">
        <v>943</v>
      </c>
      <c r="H823" s="6">
        <v>78</v>
      </c>
      <c r="I823" s="7">
        <v>651.27</v>
      </c>
      <c r="J823" s="7">
        <v>50799.02</v>
      </c>
      <c r="K823" s="6">
        <v>30</v>
      </c>
      <c r="L823" t="s">
        <v>52</v>
      </c>
      <c r="M823" s="8">
        <v>10159.804</v>
      </c>
      <c r="N823" s="7">
        <v>50799.02</v>
      </c>
      <c r="O823" t="s">
        <v>46</v>
      </c>
      <c r="P823" t="s">
        <v>40</v>
      </c>
    </row>
    <row r="824" spans="1:16" x14ac:dyDescent="0.25">
      <c r="A824" s="5">
        <v>45839</v>
      </c>
      <c r="B824" t="s">
        <v>103</v>
      </c>
      <c r="C824" t="s">
        <v>104</v>
      </c>
      <c r="D824" t="s">
        <v>58</v>
      </c>
      <c r="E824" t="s">
        <v>944</v>
      </c>
      <c r="F824" t="s">
        <v>89</v>
      </c>
      <c r="G824" t="s">
        <v>945</v>
      </c>
      <c r="H824" s="6">
        <v>42</v>
      </c>
      <c r="I824" s="7">
        <v>637.37</v>
      </c>
      <c r="J824" s="7">
        <v>26769.55</v>
      </c>
      <c r="K824" s="6">
        <v>60</v>
      </c>
      <c r="L824" t="s">
        <v>52</v>
      </c>
      <c r="M824" s="8">
        <v>5353.91</v>
      </c>
      <c r="N824" s="7">
        <v>26769.55</v>
      </c>
      <c r="O824" t="s">
        <v>46</v>
      </c>
      <c r="P824" t="s">
        <v>40</v>
      </c>
    </row>
    <row r="825" spans="1:16" x14ac:dyDescent="0.25">
      <c r="A825" s="5">
        <v>45853</v>
      </c>
      <c r="B825" t="s">
        <v>67</v>
      </c>
      <c r="C825" t="s">
        <v>68</v>
      </c>
      <c r="D825" t="s">
        <v>69</v>
      </c>
      <c r="E825" t="s">
        <v>107</v>
      </c>
      <c r="F825" t="s">
        <v>108</v>
      </c>
      <c r="G825" t="s">
        <v>946</v>
      </c>
      <c r="H825" s="6">
        <v>79</v>
      </c>
      <c r="I825" s="7">
        <v>61.43</v>
      </c>
      <c r="J825" s="7">
        <v>4853.1099999999997</v>
      </c>
      <c r="K825" s="6">
        <v>45</v>
      </c>
      <c r="L825" t="s">
        <v>45</v>
      </c>
      <c r="M825" s="8">
        <v>970.62199999999996</v>
      </c>
      <c r="N825" s="7">
        <v>4853.1099999999997</v>
      </c>
      <c r="O825" t="s">
        <v>46</v>
      </c>
      <c r="P825" t="s">
        <v>40</v>
      </c>
    </row>
    <row r="826" spans="1:16" x14ac:dyDescent="0.25">
      <c r="A826" s="5">
        <v>45985</v>
      </c>
      <c r="B826" t="s">
        <v>73</v>
      </c>
      <c r="C826" t="s">
        <v>74</v>
      </c>
      <c r="D826" t="s">
        <v>69</v>
      </c>
      <c r="E826" t="s">
        <v>154</v>
      </c>
      <c r="F826" t="s">
        <v>89</v>
      </c>
      <c r="G826" t="s">
        <v>947</v>
      </c>
      <c r="H826" s="6">
        <v>44</v>
      </c>
      <c r="I826" s="7">
        <v>140.88</v>
      </c>
      <c r="J826" s="7">
        <v>6198.86</v>
      </c>
      <c r="K826" s="6">
        <v>45</v>
      </c>
      <c r="L826" t="s">
        <v>52</v>
      </c>
      <c r="M826" s="8">
        <v>1239.7719999999999</v>
      </c>
      <c r="N826" s="7">
        <v>6198.86</v>
      </c>
      <c r="O826" t="s">
        <v>39</v>
      </c>
      <c r="P826" t="s">
        <v>40</v>
      </c>
    </row>
    <row r="827" spans="1:16" x14ac:dyDescent="0.25">
      <c r="A827" s="5">
        <v>45698</v>
      </c>
      <c r="B827" t="s">
        <v>143</v>
      </c>
      <c r="C827" t="s">
        <v>144</v>
      </c>
      <c r="D827" t="s">
        <v>69</v>
      </c>
      <c r="E827" t="s">
        <v>204</v>
      </c>
      <c r="F827" t="s">
        <v>97</v>
      </c>
      <c r="G827" t="s">
        <v>948</v>
      </c>
      <c r="H827" s="6">
        <v>21</v>
      </c>
      <c r="I827" s="7">
        <v>667.24</v>
      </c>
      <c r="J827" s="7">
        <v>14011.96</v>
      </c>
      <c r="K827" s="6">
        <v>45</v>
      </c>
      <c r="L827" t="s">
        <v>38</v>
      </c>
      <c r="M827" s="8">
        <v>2802.3919999999998</v>
      </c>
      <c r="N827" s="7">
        <v>14011.96</v>
      </c>
      <c r="O827" t="s">
        <v>46</v>
      </c>
      <c r="P827" t="s">
        <v>40</v>
      </c>
    </row>
    <row r="828" spans="1:16" x14ac:dyDescent="0.25">
      <c r="A828" s="5">
        <v>45807</v>
      </c>
      <c r="B828" t="s">
        <v>103</v>
      </c>
      <c r="C828" t="s">
        <v>104</v>
      </c>
      <c r="D828" t="s">
        <v>58</v>
      </c>
      <c r="E828" t="s">
        <v>70</v>
      </c>
      <c r="F828" t="s">
        <v>71</v>
      </c>
      <c r="G828" t="s">
        <v>949</v>
      </c>
      <c r="H828" s="6">
        <v>35</v>
      </c>
      <c r="I828" s="7">
        <v>226.48</v>
      </c>
      <c r="J828" s="7">
        <v>7926.68</v>
      </c>
      <c r="K828" s="6">
        <v>60</v>
      </c>
      <c r="L828" t="s">
        <v>52</v>
      </c>
      <c r="M828" s="8">
        <v>1585.336</v>
      </c>
      <c r="N828" s="7">
        <v>7926.68</v>
      </c>
      <c r="O828" t="s">
        <v>46</v>
      </c>
      <c r="P828" t="s">
        <v>40</v>
      </c>
    </row>
    <row r="829" spans="1:16" x14ac:dyDescent="0.25">
      <c r="A829" s="5">
        <v>45843</v>
      </c>
      <c r="B829" t="s">
        <v>110</v>
      </c>
      <c r="C829" t="s">
        <v>111</v>
      </c>
      <c r="D829" t="s">
        <v>58</v>
      </c>
      <c r="E829" t="s">
        <v>149</v>
      </c>
      <c r="F829" t="s">
        <v>60</v>
      </c>
      <c r="G829" t="s">
        <v>950</v>
      </c>
      <c r="H829" s="6">
        <v>76</v>
      </c>
      <c r="I829" s="7">
        <v>165.02</v>
      </c>
      <c r="J829" s="7">
        <v>12541.37</v>
      </c>
      <c r="K829" s="6">
        <v>60</v>
      </c>
      <c r="L829" t="s">
        <v>45</v>
      </c>
      <c r="M829" s="8">
        <v>2508.2739999999999</v>
      </c>
      <c r="N829" s="7">
        <v>12541.37</v>
      </c>
      <c r="O829" t="s">
        <v>46</v>
      </c>
      <c r="P829" t="s">
        <v>40</v>
      </c>
    </row>
    <row r="830" spans="1:16" x14ac:dyDescent="0.25">
      <c r="A830" s="5">
        <v>45669</v>
      </c>
      <c r="B830" t="s">
        <v>91</v>
      </c>
      <c r="C830" t="s">
        <v>92</v>
      </c>
      <c r="D830" t="s">
        <v>64</v>
      </c>
      <c r="E830" t="s">
        <v>154</v>
      </c>
      <c r="F830" t="s">
        <v>89</v>
      </c>
      <c r="G830" t="s">
        <v>951</v>
      </c>
      <c r="H830" s="6">
        <v>17</v>
      </c>
      <c r="I830" s="7">
        <v>142.86000000000001</v>
      </c>
      <c r="J830" s="7">
        <v>2428.59</v>
      </c>
      <c r="K830" s="6">
        <v>60</v>
      </c>
      <c r="L830" t="s">
        <v>38</v>
      </c>
      <c r="M830" s="8">
        <v>485.71800000000002</v>
      </c>
      <c r="N830" s="7">
        <v>2428.59</v>
      </c>
      <c r="O830" t="s">
        <v>39</v>
      </c>
      <c r="P830" t="s">
        <v>40</v>
      </c>
    </row>
    <row r="831" spans="1:16" x14ac:dyDescent="0.25">
      <c r="A831" s="5">
        <v>46016</v>
      </c>
      <c r="B831" t="s">
        <v>94</v>
      </c>
      <c r="C831" t="s">
        <v>95</v>
      </c>
      <c r="D831" t="s">
        <v>34</v>
      </c>
      <c r="E831" t="s">
        <v>115</v>
      </c>
      <c r="F831" t="s">
        <v>60</v>
      </c>
      <c r="G831" t="s">
        <v>952</v>
      </c>
      <c r="H831" s="6">
        <v>11</v>
      </c>
      <c r="I831" s="7">
        <v>188.41</v>
      </c>
      <c r="J831" s="7">
        <v>2072.56</v>
      </c>
      <c r="K831" s="6">
        <v>30</v>
      </c>
      <c r="L831" t="s">
        <v>38</v>
      </c>
      <c r="M831" s="8">
        <v>414.512</v>
      </c>
      <c r="N831" s="7">
        <v>2072.56</v>
      </c>
      <c r="O831" t="s">
        <v>46</v>
      </c>
      <c r="P831" t="s">
        <v>40</v>
      </c>
    </row>
    <row r="832" spans="1:16" x14ac:dyDescent="0.25">
      <c r="A832" s="5">
        <v>45690</v>
      </c>
      <c r="B832" t="s">
        <v>113</v>
      </c>
      <c r="C832" t="s">
        <v>114</v>
      </c>
      <c r="D832" t="s">
        <v>69</v>
      </c>
      <c r="E832" t="s">
        <v>127</v>
      </c>
      <c r="F832" t="s">
        <v>36</v>
      </c>
      <c r="G832" t="s">
        <v>953</v>
      </c>
      <c r="H832" s="6">
        <v>61</v>
      </c>
      <c r="I832" s="7">
        <v>31.03</v>
      </c>
      <c r="J832" s="7">
        <v>1892.8</v>
      </c>
      <c r="K832" s="6">
        <v>60</v>
      </c>
      <c r="L832" t="s">
        <v>38</v>
      </c>
      <c r="M832" s="8">
        <v>378.56</v>
      </c>
      <c r="N832" s="7">
        <v>1892.8</v>
      </c>
      <c r="O832" t="s">
        <v>39</v>
      </c>
      <c r="P832" t="s">
        <v>40</v>
      </c>
    </row>
    <row r="833" spans="1:16" x14ac:dyDescent="0.25">
      <c r="A833" s="5">
        <v>45700</v>
      </c>
      <c r="B833" t="s">
        <v>32</v>
      </c>
      <c r="C833" t="s">
        <v>33</v>
      </c>
      <c r="D833" t="s">
        <v>34</v>
      </c>
      <c r="E833" t="s">
        <v>105</v>
      </c>
      <c r="F833" t="s">
        <v>97</v>
      </c>
      <c r="G833" t="s">
        <v>954</v>
      </c>
      <c r="H833" s="6">
        <v>14</v>
      </c>
      <c r="I833" s="7">
        <v>181</v>
      </c>
      <c r="J833" s="7">
        <v>2534.0700000000002</v>
      </c>
      <c r="K833" s="6">
        <v>45</v>
      </c>
      <c r="L833" t="s">
        <v>52</v>
      </c>
      <c r="M833" s="8">
        <v>506.81400000000002</v>
      </c>
      <c r="N833" s="7">
        <v>2534.0700000000002</v>
      </c>
      <c r="O833" t="s">
        <v>46</v>
      </c>
      <c r="P833" t="s">
        <v>40</v>
      </c>
    </row>
    <row r="834" spans="1:16" x14ac:dyDescent="0.25">
      <c r="A834" s="5">
        <v>45857</v>
      </c>
      <c r="B834" t="s">
        <v>121</v>
      </c>
      <c r="C834" t="s">
        <v>122</v>
      </c>
      <c r="D834" t="s">
        <v>34</v>
      </c>
      <c r="E834" t="s">
        <v>43</v>
      </c>
      <c r="F834" t="s">
        <v>36</v>
      </c>
      <c r="G834" t="s">
        <v>955</v>
      </c>
      <c r="H834" s="6">
        <v>40</v>
      </c>
      <c r="I834" s="7">
        <v>37.42</v>
      </c>
      <c r="J834" s="7">
        <v>1496.66</v>
      </c>
      <c r="K834" s="6">
        <v>30</v>
      </c>
      <c r="L834" t="s">
        <v>38</v>
      </c>
      <c r="M834" s="8">
        <v>299.33199999999999</v>
      </c>
      <c r="N834" s="7">
        <v>1496.66</v>
      </c>
      <c r="O834" t="s">
        <v>46</v>
      </c>
      <c r="P834" t="s">
        <v>40</v>
      </c>
    </row>
    <row r="835" spans="1:16" x14ac:dyDescent="0.25">
      <c r="A835" s="5">
        <v>45978</v>
      </c>
      <c r="B835" t="s">
        <v>121</v>
      </c>
      <c r="C835" t="s">
        <v>122</v>
      </c>
      <c r="D835" t="s">
        <v>34</v>
      </c>
      <c r="E835" t="s">
        <v>149</v>
      </c>
      <c r="F835" t="s">
        <v>60</v>
      </c>
      <c r="G835" t="s">
        <v>956</v>
      </c>
      <c r="H835" s="6">
        <v>17</v>
      </c>
      <c r="I835" s="7">
        <v>144.22</v>
      </c>
      <c r="J835" s="7">
        <v>2451.7399999999998</v>
      </c>
      <c r="K835" s="6">
        <v>30</v>
      </c>
      <c r="L835" t="s">
        <v>52</v>
      </c>
      <c r="M835" s="8">
        <v>490.34800000000001</v>
      </c>
      <c r="N835" s="7">
        <v>2451.7399999999998</v>
      </c>
      <c r="O835" t="s">
        <v>46</v>
      </c>
      <c r="P835" t="s">
        <v>40</v>
      </c>
    </row>
    <row r="836" spans="1:16" x14ac:dyDescent="0.25">
      <c r="A836" s="5">
        <v>45997</v>
      </c>
      <c r="B836" t="s">
        <v>94</v>
      </c>
      <c r="C836" t="s">
        <v>95</v>
      </c>
      <c r="D836" t="s">
        <v>34</v>
      </c>
      <c r="E836" t="s">
        <v>49</v>
      </c>
      <c r="F836" t="s">
        <v>50</v>
      </c>
      <c r="G836" t="s">
        <v>957</v>
      </c>
      <c r="H836" s="6">
        <v>46</v>
      </c>
      <c r="I836" s="7">
        <v>117.73</v>
      </c>
      <c r="J836" s="7">
        <v>5415.69</v>
      </c>
      <c r="K836" s="6">
        <v>45</v>
      </c>
      <c r="L836" t="s">
        <v>45</v>
      </c>
      <c r="M836" s="8">
        <v>1083.1379999999999</v>
      </c>
      <c r="N836" s="7">
        <v>5415.69</v>
      </c>
      <c r="O836" t="s">
        <v>39</v>
      </c>
      <c r="P836" t="s">
        <v>40</v>
      </c>
    </row>
    <row r="837" spans="1:16" x14ac:dyDescent="0.25">
      <c r="A837" s="5">
        <v>45885</v>
      </c>
      <c r="B837" t="s">
        <v>110</v>
      </c>
      <c r="C837" t="s">
        <v>111</v>
      </c>
      <c r="D837" t="s">
        <v>58</v>
      </c>
      <c r="E837" t="s">
        <v>115</v>
      </c>
      <c r="F837" t="s">
        <v>60</v>
      </c>
      <c r="G837" t="s">
        <v>958</v>
      </c>
      <c r="H837" s="6">
        <v>18</v>
      </c>
      <c r="I837" s="7">
        <v>250.25</v>
      </c>
      <c r="J837" s="7">
        <v>4504.43</v>
      </c>
      <c r="K837" s="6">
        <v>60</v>
      </c>
      <c r="L837" t="s">
        <v>52</v>
      </c>
      <c r="M837" s="8">
        <v>900.88599999999997</v>
      </c>
      <c r="N837" s="7">
        <v>4504.43</v>
      </c>
      <c r="O837" t="s">
        <v>46</v>
      </c>
      <c r="P837" t="s">
        <v>40</v>
      </c>
    </row>
    <row r="838" spans="1:16" x14ac:dyDescent="0.25">
      <c r="A838" s="5">
        <v>45983</v>
      </c>
      <c r="B838" t="s">
        <v>62</v>
      </c>
      <c r="C838" t="s">
        <v>63</v>
      </c>
      <c r="D838" t="s">
        <v>64</v>
      </c>
      <c r="E838" t="s">
        <v>129</v>
      </c>
      <c r="F838" t="s">
        <v>108</v>
      </c>
      <c r="G838" t="s">
        <v>959</v>
      </c>
      <c r="H838" s="6">
        <v>73</v>
      </c>
      <c r="I838" s="7">
        <v>175.96</v>
      </c>
      <c r="J838" s="7">
        <v>12845.17</v>
      </c>
      <c r="K838" s="6">
        <v>45</v>
      </c>
      <c r="L838" t="s">
        <v>52</v>
      </c>
      <c r="M838" s="8">
        <v>2569.0340000000001</v>
      </c>
      <c r="N838" s="7">
        <v>12845.17</v>
      </c>
      <c r="O838" t="s">
        <v>46</v>
      </c>
      <c r="P838" t="s">
        <v>40</v>
      </c>
    </row>
    <row r="839" spans="1:16" x14ac:dyDescent="0.25">
      <c r="A839" s="5">
        <v>45904</v>
      </c>
      <c r="B839" t="s">
        <v>110</v>
      </c>
      <c r="C839" t="s">
        <v>111</v>
      </c>
      <c r="D839" t="s">
        <v>58</v>
      </c>
      <c r="E839" t="s">
        <v>149</v>
      </c>
      <c r="F839" t="s">
        <v>60</v>
      </c>
      <c r="G839" t="s">
        <v>960</v>
      </c>
      <c r="H839" s="6">
        <v>70</v>
      </c>
      <c r="I839" s="7">
        <v>127.04</v>
      </c>
      <c r="J839" s="7">
        <v>8893.07</v>
      </c>
      <c r="K839" s="6">
        <v>30</v>
      </c>
      <c r="L839" t="s">
        <v>38</v>
      </c>
      <c r="M839" s="8">
        <v>1778.614</v>
      </c>
      <c r="N839" s="7">
        <v>8893.07</v>
      </c>
      <c r="O839" t="s">
        <v>46</v>
      </c>
      <c r="P839" t="s">
        <v>40</v>
      </c>
    </row>
    <row r="840" spans="1:16" x14ac:dyDescent="0.25">
      <c r="A840" s="5">
        <v>45869</v>
      </c>
      <c r="B840" t="s">
        <v>103</v>
      </c>
      <c r="C840" t="s">
        <v>104</v>
      </c>
      <c r="D840" t="s">
        <v>58</v>
      </c>
      <c r="E840" t="s">
        <v>149</v>
      </c>
      <c r="F840" t="s">
        <v>60</v>
      </c>
      <c r="G840" t="s">
        <v>961</v>
      </c>
      <c r="H840" s="6">
        <v>34</v>
      </c>
      <c r="I840" s="7">
        <v>378.04</v>
      </c>
      <c r="J840" s="7">
        <v>12853.42</v>
      </c>
      <c r="K840" s="6">
        <v>30</v>
      </c>
      <c r="L840" t="s">
        <v>45</v>
      </c>
      <c r="M840" s="8">
        <v>2570.6840000000002</v>
      </c>
      <c r="N840" s="7">
        <v>12853.42</v>
      </c>
      <c r="O840" t="s">
        <v>46</v>
      </c>
      <c r="P840" t="s">
        <v>40</v>
      </c>
    </row>
    <row r="841" spans="1:16" x14ac:dyDescent="0.25">
      <c r="A841" s="5">
        <v>45727</v>
      </c>
      <c r="B841" t="s">
        <v>62</v>
      </c>
      <c r="C841" t="s">
        <v>63</v>
      </c>
      <c r="D841" t="s">
        <v>64</v>
      </c>
      <c r="E841" t="s">
        <v>152</v>
      </c>
      <c r="F841" t="s">
        <v>50</v>
      </c>
      <c r="G841" t="s">
        <v>962</v>
      </c>
      <c r="H841" s="6">
        <v>45</v>
      </c>
      <c r="I841" s="7">
        <v>106.68</v>
      </c>
      <c r="J841" s="7">
        <v>4800.43</v>
      </c>
      <c r="K841" s="6">
        <v>45</v>
      </c>
      <c r="L841" t="s">
        <v>45</v>
      </c>
      <c r="M841" s="8">
        <v>960.08600000000001</v>
      </c>
      <c r="N841" s="7">
        <v>4800.43</v>
      </c>
      <c r="O841" t="s">
        <v>46</v>
      </c>
      <c r="P841" t="s">
        <v>40</v>
      </c>
    </row>
    <row r="842" spans="1:16" x14ac:dyDescent="0.25">
      <c r="A842" s="5">
        <v>45909</v>
      </c>
      <c r="B842" t="s">
        <v>113</v>
      </c>
      <c r="C842" t="s">
        <v>114</v>
      </c>
      <c r="D842" t="s">
        <v>69</v>
      </c>
      <c r="E842" t="s">
        <v>152</v>
      </c>
      <c r="F842" t="s">
        <v>50</v>
      </c>
      <c r="G842" t="s">
        <v>963</v>
      </c>
      <c r="H842" s="6">
        <v>62</v>
      </c>
      <c r="I842" s="7">
        <v>116.78</v>
      </c>
      <c r="J842" s="7">
        <v>7240.32</v>
      </c>
      <c r="K842" s="6">
        <v>45</v>
      </c>
      <c r="L842" t="s">
        <v>38</v>
      </c>
      <c r="M842" s="8">
        <v>1448.0640000000001</v>
      </c>
      <c r="N842" s="7">
        <v>7240.32</v>
      </c>
      <c r="O842" t="s">
        <v>46</v>
      </c>
      <c r="P842" t="s">
        <v>40</v>
      </c>
    </row>
    <row r="843" spans="1:16" x14ac:dyDescent="0.25">
      <c r="A843" s="5">
        <v>45776</v>
      </c>
      <c r="B843" t="s">
        <v>103</v>
      </c>
      <c r="C843" t="s">
        <v>104</v>
      </c>
      <c r="D843" t="s">
        <v>58</v>
      </c>
      <c r="E843" t="s">
        <v>115</v>
      </c>
      <c r="F843" t="s">
        <v>60</v>
      </c>
      <c r="G843" t="s">
        <v>964</v>
      </c>
      <c r="H843" s="6">
        <v>1</v>
      </c>
      <c r="I843" s="7">
        <v>318.87</v>
      </c>
      <c r="J843" s="7">
        <v>318.87</v>
      </c>
      <c r="K843" s="6">
        <v>60</v>
      </c>
      <c r="L843" t="s">
        <v>45</v>
      </c>
      <c r="M843" s="8">
        <v>63.774000000000001</v>
      </c>
      <c r="N843" s="7">
        <v>318.87</v>
      </c>
      <c r="O843" t="s">
        <v>46</v>
      </c>
      <c r="P843" t="s">
        <v>40</v>
      </c>
    </row>
    <row r="844" spans="1:16" x14ac:dyDescent="0.25">
      <c r="A844" s="5">
        <v>45881</v>
      </c>
      <c r="B844" t="s">
        <v>201</v>
      </c>
      <c r="C844" t="s">
        <v>202</v>
      </c>
      <c r="D844" t="s">
        <v>64</v>
      </c>
      <c r="E844" t="s">
        <v>105</v>
      </c>
      <c r="F844" t="s">
        <v>97</v>
      </c>
      <c r="G844" t="s">
        <v>965</v>
      </c>
      <c r="H844" s="6">
        <v>51</v>
      </c>
      <c r="I844" s="7">
        <v>161.79</v>
      </c>
      <c r="J844" s="7">
        <v>8251.18</v>
      </c>
      <c r="K844" s="6">
        <v>30</v>
      </c>
      <c r="L844" t="s">
        <v>38</v>
      </c>
      <c r="M844" s="8">
        <v>1650.2360000000001</v>
      </c>
      <c r="N844" s="7">
        <v>8251.18</v>
      </c>
      <c r="O844" t="s">
        <v>46</v>
      </c>
      <c r="P844" t="s">
        <v>40</v>
      </c>
    </row>
    <row r="845" spans="1:16" x14ac:dyDescent="0.25">
      <c r="A845" s="5">
        <v>45770</v>
      </c>
      <c r="B845" t="s">
        <v>41</v>
      </c>
      <c r="C845" t="s">
        <v>42</v>
      </c>
      <c r="D845" t="s">
        <v>34</v>
      </c>
      <c r="E845" t="s">
        <v>96</v>
      </c>
      <c r="F845" t="s">
        <v>97</v>
      </c>
      <c r="G845" t="s">
        <v>966</v>
      </c>
      <c r="H845" s="6">
        <v>34</v>
      </c>
      <c r="I845" s="7">
        <v>370.22</v>
      </c>
      <c r="J845" s="7">
        <v>12587.61</v>
      </c>
      <c r="K845" s="6">
        <v>30</v>
      </c>
      <c r="L845" t="s">
        <v>45</v>
      </c>
      <c r="M845" s="8">
        <v>2517.5219999999999</v>
      </c>
      <c r="N845" s="7">
        <v>12587.61</v>
      </c>
      <c r="O845" t="s">
        <v>46</v>
      </c>
      <c r="P845" t="s">
        <v>40</v>
      </c>
    </row>
    <row r="846" spans="1:16" x14ac:dyDescent="0.25">
      <c r="A846" s="5">
        <v>45971</v>
      </c>
      <c r="B846" t="s">
        <v>41</v>
      </c>
      <c r="C846" t="s">
        <v>42</v>
      </c>
      <c r="D846" t="s">
        <v>34</v>
      </c>
      <c r="E846" t="s">
        <v>53</v>
      </c>
      <c r="F846" t="s">
        <v>54</v>
      </c>
      <c r="G846" t="s">
        <v>967</v>
      </c>
      <c r="H846" s="6">
        <v>35</v>
      </c>
      <c r="I846" s="7">
        <v>273.97000000000003</v>
      </c>
      <c r="J846" s="7">
        <v>9588.86</v>
      </c>
      <c r="K846" s="6">
        <v>45</v>
      </c>
      <c r="L846" t="s">
        <v>52</v>
      </c>
      <c r="M846" s="8">
        <v>1917.7719999999999</v>
      </c>
      <c r="N846" s="7">
        <v>9588.86</v>
      </c>
      <c r="O846" t="s">
        <v>46</v>
      </c>
      <c r="P846" t="s">
        <v>40</v>
      </c>
    </row>
    <row r="847" spans="1:16" x14ac:dyDescent="0.25">
      <c r="A847" s="5">
        <v>45754</v>
      </c>
      <c r="B847" t="s">
        <v>113</v>
      </c>
      <c r="C847" t="s">
        <v>114</v>
      </c>
      <c r="D847" t="s">
        <v>69</v>
      </c>
      <c r="E847" t="s">
        <v>149</v>
      </c>
      <c r="F847" t="s">
        <v>60</v>
      </c>
      <c r="G847" t="s">
        <v>968</v>
      </c>
      <c r="H847" s="6">
        <v>9</v>
      </c>
      <c r="I847" s="7">
        <v>288.44</v>
      </c>
      <c r="J847" s="7">
        <v>2595.9299999999998</v>
      </c>
      <c r="K847" s="6">
        <v>30</v>
      </c>
      <c r="L847" t="s">
        <v>38</v>
      </c>
      <c r="M847" s="8">
        <v>519.18600000000004</v>
      </c>
      <c r="N847" s="7">
        <v>2595.9299999999998</v>
      </c>
      <c r="O847" t="s">
        <v>46</v>
      </c>
      <c r="P847" t="s">
        <v>40</v>
      </c>
    </row>
    <row r="848" spans="1:16" x14ac:dyDescent="0.25">
      <c r="A848" s="5">
        <v>45891</v>
      </c>
      <c r="B848" t="s">
        <v>100</v>
      </c>
      <c r="C848" t="s">
        <v>101</v>
      </c>
      <c r="D848" t="s">
        <v>69</v>
      </c>
      <c r="E848" t="s">
        <v>43</v>
      </c>
      <c r="F848" t="s">
        <v>36</v>
      </c>
      <c r="G848" t="s">
        <v>969</v>
      </c>
      <c r="H848" s="6">
        <v>80</v>
      </c>
      <c r="I848" s="7">
        <v>76.209999999999994</v>
      </c>
      <c r="J848" s="7">
        <v>6096.42</v>
      </c>
      <c r="K848" s="6">
        <v>45</v>
      </c>
      <c r="L848" t="s">
        <v>45</v>
      </c>
      <c r="M848" s="8">
        <v>1219.2840000000001</v>
      </c>
      <c r="N848" s="7">
        <v>6096.42</v>
      </c>
      <c r="O848" t="s">
        <v>46</v>
      </c>
      <c r="P848" t="s">
        <v>40</v>
      </c>
    </row>
    <row r="849" spans="1:16" x14ac:dyDescent="0.25">
      <c r="A849" s="5">
        <v>45822</v>
      </c>
      <c r="B849" t="s">
        <v>47</v>
      </c>
      <c r="C849" t="s">
        <v>48</v>
      </c>
      <c r="D849" t="s">
        <v>34</v>
      </c>
      <c r="E849" t="s">
        <v>107</v>
      </c>
      <c r="F849" t="s">
        <v>108</v>
      </c>
      <c r="G849" t="s">
        <v>970</v>
      </c>
      <c r="H849" s="6">
        <v>3</v>
      </c>
      <c r="I849" s="7">
        <v>289.43</v>
      </c>
      <c r="J849" s="7">
        <v>868.28</v>
      </c>
      <c r="K849" s="6">
        <v>30</v>
      </c>
      <c r="L849" t="s">
        <v>38</v>
      </c>
      <c r="M849" s="8">
        <v>173.65600000000001</v>
      </c>
      <c r="N849" s="7">
        <v>868.28</v>
      </c>
      <c r="O849" t="s">
        <v>46</v>
      </c>
      <c r="P849" t="s">
        <v>40</v>
      </c>
    </row>
    <row r="850" spans="1:16" x14ac:dyDescent="0.25">
      <c r="A850" s="5">
        <v>45710</v>
      </c>
      <c r="B850" t="s">
        <v>80</v>
      </c>
      <c r="C850" t="s">
        <v>81</v>
      </c>
      <c r="D850" t="s">
        <v>64</v>
      </c>
      <c r="E850" t="s">
        <v>49</v>
      </c>
      <c r="F850" t="s">
        <v>50</v>
      </c>
      <c r="G850" t="s">
        <v>971</v>
      </c>
      <c r="H850" s="6">
        <v>37</v>
      </c>
      <c r="I850" s="7">
        <v>84.5</v>
      </c>
      <c r="J850" s="7">
        <v>3126.45</v>
      </c>
      <c r="K850" s="6">
        <v>45</v>
      </c>
      <c r="L850" t="s">
        <v>38</v>
      </c>
      <c r="M850" s="8">
        <v>625.29</v>
      </c>
      <c r="N850" s="7">
        <v>3126.45</v>
      </c>
      <c r="O850" t="s">
        <v>39</v>
      </c>
      <c r="P850" t="s">
        <v>40</v>
      </c>
    </row>
    <row r="851" spans="1:16" x14ac:dyDescent="0.25">
      <c r="A851" s="5">
        <v>45662</v>
      </c>
      <c r="B851" t="s">
        <v>85</v>
      </c>
      <c r="C851" t="s">
        <v>86</v>
      </c>
      <c r="D851" t="s">
        <v>58</v>
      </c>
      <c r="E851" t="s">
        <v>129</v>
      </c>
      <c r="F851" t="s">
        <v>108</v>
      </c>
      <c r="G851" t="s">
        <v>972</v>
      </c>
      <c r="H851" s="6">
        <v>30</v>
      </c>
      <c r="I851" s="7">
        <v>56</v>
      </c>
      <c r="J851" s="7">
        <v>1680.15</v>
      </c>
      <c r="K851" s="6">
        <v>30</v>
      </c>
      <c r="L851" t="s">
        <v>38</v>
      </c>
      <c r="M851" s="8">
        <v>336.03</v>
      </c>
      <c r="N851" s="7">
        <v>1680.15</v>
      </c>
      <c r="O851" t="s">
        <v>46</v>
      </c>
      <c r="P851" t="s">
        <v>40</v>
      </c>
    </row>
    <row r="852" spans="1:16" x14ac:dyDescent="0.25">
      <c r="A852" s="5">
        <v>45833</v>
      </c>
      <c r="B852" t="s">
        <v>47</v>
      </c>
      <c r="C852" t="s">
        <v>48</v>
      </c>
      <c r="D852" t="s">
        <v>34</v>
      </c>
      <c r="E852" t="s">
        <v>107</v>
      </c>
      <c r="F852" t="s">
        <v>108</v>
      </c>
      <c r="G852" t="s">
        <v>973</v>
      </c>
      <c r="H852" s="6">
        <v>54</v>
      </c>
      <c r="I852" s="7">
        <v>53.24</v>
      </c>
      <c r="J852" s="7">
        <v>2874.82</v>
      </c>
      <c r="K852" s="6">
        <v>45</v>
      </c>
      <c r="L852" t="s">
        <v>45</v>
      </c>
      <c r="M852" s="8">
        <v>574.96400000000006</v>
      </c>
      <c r="N852" s="7">
        <v>2874.82</v>
      </c>
      <c r="O852" t="s">
        <v>46</v>
      </c>
      <c r="P852" t="s">
        <v>40</v>
      </c>
    </row>
    <row r="853" spans="1:16" x14ac:dyDescent="0.25">
      <c r="A853" s="5">
        <v>45674</v>
      </c>
      <c r="B853" t="s">
        <v>121</v>
      </c>
      <c r="C853" t="s">
        <v>122</v>
      </c>
      <c r="D853" t="s">
        <v>34</v>
      </c>
      <c r="E853" t="s">
        <v>129</v>
      </c>
      <c r="F853" t="s">
        <v>108</v>
      </c>
      <c r="G853" t="s">
        <v>974</v>
      </c>
      <c r="H853" s="6">
        <v>43</v>
      </c>
      <c r="I853" s="7">
        <v>55.26</v>
      </c>
      <c r="J853" s="7">
        <v>2376.0100000000002</v>
      </c>
      <c r="K853" s="6">
        <v>30</v>
      </c>
      <c r="L853" t="s">
        <v>38</v>
      </c>
      <c r="M853" s="8">
        <v>475.202</v>
      </c>
      <c r="N853" s="7">
        <v>2376.0100000000002</v>
      </c>
      <c r="O853" t="s">
        <v>46</v>
      </c>
      <c r="P853" t="s">
        <v>40</v>
      </c>
    </row>
    <row r="854" spans="1:16" x14ac:dyDescent="0.25">
      <c r="A854" s="5">
        <v>45694</v>
      </c>
      <c r="B854" t="s">
        <v>32</v>
      </c>
      <c r="C854" t="s">
        <v>33</v>
      </c>
      <c r="D854" t="s">
        <v>34</v>
      </c>
      <c r="E854" t="s">
        <v>149</v>
      </c>
      <c r="F854" t="s">
        <v>60</v>
      </c>
      <c r="G854" t="s">
        <v>975</v>
      </c>
      <c r="H854" s="6">
        <v>70</v>
      </c>
      <c r="I854" s="7">
        <v>154.94</v>
      </c>
      <c r="J854" s="7">
        <v>10846.09</v>
      </c>
      <c r="K854" s="6">
        <v>45</v>
      </c>
      <c r="L854" t="s">
        <v>38</v>
      </c>
      <c r="M854" s="8">
        <v>2169.2179999999998</v>
      </c>
      <c r="N854" s="7">
        <v>10846.09</v>
      </c>
      <c r="O854" t="s">
        <v>46</v>
      </c>
      <c r="P854" t="s">
        <v>40</v>
      </c>
    </row>
    <row r="855" spans="1:16" x14ac:dyDescent="0.25">
      <c r="A855" s="5">
        <v>45664</v>
      </c>
      <c r="B855" t="s">
        <v>80</v>
      </c>
      <c r="C855" t="s">
        <v>81</v>
      </c>
      <c r="D855" t="s">
        <v>64</v>
      </c>
      <c r="E855" t="s">
        <v>149</v>
      </c>
      <c r="F855" t="s">
        <v>60</v>
      </c>
      <c r="G855" t="s">
        <v>976</v>
      </c>
      <c r="H855" s="6">
        <v>16</v>
      </c>
      <c r="I855" s="7">
        <v>423.09</v>
      </c>
      <c r="J855" s="7">
        <v>6769.45</v>
      </c>
      <c r="K855" s="6">
        <v>60</v>
      </c>
      <c r="L855" t="s">
        <v>38</v>
      </c>
      <c r="M855" s="8">
        <v>1353.89</v>
      </c>
      <c r="N855" s="7">
        <v>6769.45</v>
      </c>
      <c r="O855" t="s">
        <v>46</v>
      </c>
      <c r="P855" t="s">
        <v>40</v>
      </c>
    </row>
    <row r="856" spans="1:16" x14ac:dyDescent="0.25">
      <c r="A856" s="5">
        <v>45675</v>
      </c>
      <c r="B856" t="s">
        <v>121</v>
      </c>
      <c r="C856" t="s">
        <v>122</v>
      </c>
      <c r="D856" t="s">
        <v>34</v>
      </c>
      <c r="E856" t="s">
        <v>107</v>
      </c>
      <c r="F856" t="s">
        <v>108</v>
      </c>
      <c r="G856" t="s">
        <v>977</v>
      </c>
      <c r="H856" s="6">
        <v>26</v>
      </c>
      <c r="I856" s="7">
        <v>163.82</v>
      </c>
      <c r="J856" s="7">
        <v>4259.3100000000004</v>
      </c>
      <c r="K856" s="6">
        <v>45</v>
      </c>
      <c r="L856" t="s">
        <v>52</v>
      </c>
      <c r="M856" s="8">
        <v>851.86199999999997</v>
      </c>
      <c r="N856" s="7">
        <v>4259.3100000000004</v>
      </c>
      <c r="O856" t="s">
        <v>46</v>
      </c>
      <c r="P856" t="s">
        <v>40</v>
      </c>
    </row>
    <row r="857" spans="1:16" x14ac:dyDescent="0.25">
      <c r="A857" s="5">
        <v>45857</v>
      </c>
      <c r="B857" t="s">
        <v>56</v>
      </c>
      <c r="C857" t="s">
        <v>57</v>
      </c>
      <c r="D857" t="s">
        <v>58</v>
      </c>
      <c r="E857" t="s">
        <v>65</v>
      </c>
      <c r="F857" t="s">
        <v>54</v>
      </c>
      <c r="G857" t="s">
        <v>978</v>
      </c>
      <c r="H857" s="6">
        <v>40</v>
      </c>
      <c r="I857" s="7">
        <v>182.65</v>
      </c>
      <c r="J857" s="7">
        <v>7305.84</v>
      </c>
      <c r="K857" s="6">
        <v>45</v>
      </c>
      <c r="L857" t="s">
        <v>38</v>
      </c>
      <c r="M857" s="8">
        <v>1461.1679999999999</v>
      </c>
      <c r="N857" s="7">
        <v>7305.84</v>
      </c>
      <c r="O857" t="s">
        <v>46</v>
      </c>
      <c r="P857" t="s">
        <v>40</v>
      </c>
    </row>
    <row r="858" spans="1:16" x14ac:dyDescent="0.25">
      <c r="A858" s="5">
        <v>45939</v>
      </c>
      <c r="B858" t="s">
        <v>56</v>
      </c>
      <c r="C858" t="s">
        <v>57</v>
      </c>
      <c r="D858" t="s">
        <v>58</v>
      </c>
      <c r="E858" t="s">
        <v>152</v>
      </c>
      <c r="F858" t="s">
        <v>50</v>
      </c>
      <c r="G858" t="s">
        <v>979</v>
      </c>
      <c r="H858" s="6">
        <v>67</v>
      </c>
      <c r="I858" s="7">
        <v>75.92</v>
      </c>
      <c r="J858" s="7">
        <v>5086.72</v>
      </c>
      <c r="K858" s="6">
        <v>30</v>
      </c>
      <c r="L858" t="s">
        <v>45</v>
      </c>
      <c r="M858" s="8">
        <v>1017.3440000000001</v>
      </c>
      <c r="N858" s="7">
        <v>5086.72</v>
      </c>
      <c r="O858" t="s">
        <v>46</v>
      </c>
      <c r="P858" t="s">
        <v>40</v>
      </c>
    </row>
    <row r="859" spans="1:16" x14ac:dyDescent="0.25">
      <c r="A859" s="5">
        <v>45842</v>
      </c>
      <c r="B859" t="s">
        <v>143</v>
      </c>
      <c r="C859" t="s">
        <v>144</v>
      </c>
      <c r="D859" t="s">
        <v>69</v>
      </c>
      <c r="E859" t="s">
        <v>59</v>
      </c>
      <c r="F859" t="s">
        <v>60</v>
      </c>
      <c r="G859" t="s">
        <v>980</v>
      </c>
      <c r="H859" s="6">
        <v>7</v>
      </c>
      <c r="I859" s="7">
        <v>285.12</v>
      </c>
      <c r="J859" s="7">
        <v>1995.83</v>
      </c>
      <c r="K859" s="6">
        <v>60</v>
      </c>
      <c r="L859" t="s">
        <v>38</v>
      </c>
      <c r="M859" s="8">
        <v>399.166</v>
      </c>
      <c r="N859" s="7">
        <v>1995.83</v>
      </c>
      <c r="O859" t="s">
        <v>39</v>
      </c>
      <c r="P859" t="s">
        <v>40</v>
      </c>
    </row>
    <row r="860" spans="1:16" x14ac:dyDescent="0.25">
      <c r="A860" s="5">
        <v>45880</v>
      </c>
      <c r="B860" t="s">
        <v>110</v>
      </c>
      <c r="C860" t="s">
        <v>111</v>
      </c>
      <c r="D860" t="s">
        <v>58</v>
      </c>
      <c r="E860" t="s">
        <v>53</v>
      </c>
      <c r="F860" t="s">
        <v>54</v>
      </c>
      <c r="G860" t="s">
        <v>981</v>
      </c>
      <c r="H860" s="6">
        <v>42</v>
      </c>
      <c r="I860" s="7">
        <v>184.52</v>
      </c>
      <c r="J860" s="7">
        <v>7749.69</v>
      </c>
      <c r="K860" s="6">
        <v>30</v>
      </c>
      <c r="L860" t="s">
        <v>38</v>
      </c>
      <c r="M860" s="8">
        <v>1549.9380000000001</v>
      </c>
      <c r="N860" s="7">
        <v>7749.69</v>
      </c>
      <c r="O860" t="s">
        <v>46</v>
      </c>
      <c r="P860" t="s">
        <v>40</v>
      </c>
    </row>
    <row r="861" spans="1:16" x14ac:dyDescent="0.25">
      <c r="A861" s="5">
        <v>45782</v>
      </c>
      <c r="B861" t="s">
        <v>103</v>
      </c>
      <c r="C861" t="s">
        <v>104</v>
      </c>
      <c r="D861" t="s">
        <v>58</v>
      </c>
      <c r="E861" t="s">
        <v>75</v>
      </c>
      <c r="F861" t="s">
        <v>36</v>
      </c>
      <c r="G861" t="s">
        <v>982</v>
      </c>
      <c r="H861" s="6">
        <v>2</v>
      </c>
      <c r="I861" s="7">
        <v>92.07</v>
      </c>
      <c r="J861" s="7">
        <v>184.13</v>
      </c>
      <c r="K861" s="6">
        <v>30</v>
      </c>
      <c r="L861" t="s">
        <v>52</v>
      </c>
      <c r="M861" s="8">
        <v>36.826000000000001</v>
      </c>
      <c r="N861" s="7">
        <v>184.13</v>
      </c>
      <c r="O861" t="s">
        <v>46</v>
      </c>
      <c r="P861" t="s">
        <v>40</v>
      </c>
    </row>
    <row r="862" spans="1:16" x14ac:dyDescent="0.25">
      <c r="A862" s="5">
        <v>45963</v>
      </c>
      <c r="B862" t="s">
        <v>73</v>
      </c>
      <c r="C862" t="s">
        <v>74</v>
      </c>
      <c r="D862" t="s">
        <v>69</v>
      </c>
      <c r="E862" t="s">
        <v>129</v>
      </c>
      <c r="F862" t="s">
        <v>108</v>
      </c>
      <c r="G862" t="s">
        <v>983</v>
      </c>
      <c r="H862" s="6">
        <v>20</v>
      </c>
      <c r="I862" s="7">
        <v>83.86</v>
      </c>
      <c r="J862" s="7">
        <v>1677.11</v>
      </c>
      <c r="K862" s="6">
        <v>45</v>
      </c>
      <c r="L862" t="s">
        <v>38</v>
      </c>
      <c r="M862" s="8">
        <v>335.42200000000003</v>
      </c>
      <c r="N862" s="7">
        <v>1677.11</v>
      </c>
      <c r="O862" t="s">
        <v>46</v>
      </c>
      <c r="P862" t="s">
        <v>40</v>
      </c>
    </row>
    <row r="863" spans="1:16" x14ac:dyDescent="0.25">
      <c r="A863" s="5">
        <v>45704</v>
      </c>
      <c r="B863" t="s">
        <v>91</v>
      </c>
      <c r="C863" t="s">
        <v>92</v>
      </c>
      <c r="D863" t="s">
        <v>64</v>
      </c>
      <c r="E863" t="s">
        <v>88</v>
      </c>
      <c r="F863" t="s">
        <v>89</v>
      </c>
      <c r="G863" t="s">
        <v>984</v>
      </c>
      <c r="H863" s="6">
        <v>80</v>
      </c>
      <c r="I863" s="7">
        <v>78.2</v>
      </c>
      <c r="J863" s="7">
        <v>6256.17</v>
      </c>
      <c r="K863" s="6">
        <v>45</v>
      </c>
      <c r="L863" t="s">
        <v>52</v>
      </c>
      <c r="M863" s="8">
        <v>1251.2339999999999</v>
      </c>
      <c r="N863" s="7">
        <v>6256.17</v>
      </c>
      <c r="O863" t="s">
        <v>46</v>
      </c>
      <c r="P863" t="s">
        <v>40</v>
      </c>
    </row>
    <row r="864" spans="1:16" x14ac:dyDescent="0.25">
      <c r="A864" s="5">
        <v>45988</v>
      </c>
      <c r="B864" t="s">
        <v>80</v>
      </c>
      <c r="C864" t="s">
        <v>81</v>
      </c>
      <c r="D864" t="s">
        <v>64</v>
      </c>
      <c r="E864" t="s">
        <v>210</v>
      </c>
      <c r="F864" t="s">
        <v>50</v>
      </c>
      <c r="G864" t="s">
        <v>985</v>
      </c>
      <c r="H864" s="6">
        <v>20</v>
      </c>
      <c r="I864" s="7">
        <v>281.07</v>
      </c>
      <c r="J864" s="7">
        <v>5621.49</v>
      </c>
      <c r="K864" s="6">
        <v>60</v>
      </c>
      <c r="L864" t="s">
        <v>52</v>
      </c>
      <c r="M864" s="8">
        <v>1124.298</v>
      </c>
      <c r="N864" s="7">
        <v>5621.49</v>
      </c>
      <c r="O864" t="s">
        <v>46</v>
      </c>
      <c r="P864" t="s">
        <v>40</v>
      </c>
    </row>
    <row r="865" spans="1:16" x14ac:dyDescent="0.25">
      <c r="A865" s="5">
        <v>45777</v>
      </c>
      <c r="B865" t="s">
        <v>32</v>
      </c>
      <c r="C865" t="s">
        <v>33</v>
      </c>
      <c r="D865" t="s">
        <v>34</v>
      </c>
      <c r="E865" t="s">
        <v>88</v>
      </c>
      <c r="F865" t="s">
        <v>89</v>
      </c>
      <c r="G865" t="s">
        <v>986</v>
      </c>
      <c r="H865" s="6">
        <v>41</v>
      </c>
      <c r="I865" s="7">
        <v>483.33</v>
      </c>
      <c r="J865" s="7">
        <v>19816.330000000002</v>
      </c>
      <c r="K865" s="6">
        <v>60</v>
      </c>
      <c r="L865" t="s">
        <v>52</v>
      </c>
      <c r="M865" s="8">
        <v>3963.2660000000001</v>
      </c>
      <c r="N865" s="7">
        <v>19816.330000000002</v>
      </c>
      <c r="O865" t="s">
        <v>46</v>
      </c>
      <c r="P865" t="s">
        <v>40</v>
      </c>
    </row>
    <row r="866" spans="1:16" x14ac:dyDescent="0.25">
      <c r="A866" s="5">
        <v>45756</v>
      </c>
      <c r="B866" t="s">
        <v>80</v>
      </c>
      <c r="C866" t="s">
        <v>81</v>
      </c>
      <c r="D866" t="s">
        <v>64</v>
      </c>
      <c r="E866" t="s">
        <v>132</v>
      </c>
      <c r="F866" t="s">
        <v>71</v>
      </c>
      <c r="G866" t="s">
        <v>987</v>
      </c>
      <c r="H866" s="6">
        <v>3</v>
      </c>
      <c r="I866" s="7">
        <v>67.819999999999993</v>
      </c>
      <c r="J866" s="7">
        <v>203.46</v>
      </c>
      <c r="K866" s="6">
        <v>60</v>
      </c>
      <c r="L866" t="s">
        <v>45</v>
      </c>
      <c r="M866" s="8">
        <v>40.692</v>
      </c>
      <c r="N866" s="7">
        <v>203.46</v>
      </c>
      <c r="O866" t="s">
        <v>46</v>
      </c>
      <c r="P866" t="s">
        <v>40</v>
      </c>
    </row>
    <row r="867" spans="1:16" x14ac:dyDescent="0.25">
      <c r="A867" s="5">
        <v>45678</v>
      </c>
      <c r="B867" t="s">
        <v>91</v>
      </c>
      <c r="C867" t="s">
        <v>92</v>
      </c>
      <c r="D867" t="s">
        <v>64</v>
      </c>
      <c r="E867" t="s">
        <v>88</v>
      </c>
      <c r="F867" t="s">
        <v>89</v>
      </c>
      <c r="G867" t="s">
        <v>988</v>
      </c>
      <c r="H867" s="6">
        <v>63</v>
      </c>
      <c r="I867" s="7">
        <v>145.43</v>
      </c>
      <c r="J867" s="7">
        <v>9162.33</v>
      </c>
      <c r="K867" s="6">
        <v>60</v>
      </c>
      <c r="L867" t="s">
        <v>45</v>
      </c>
      <c r="M867" s="8">
        <v>1832.4659999999999</v>
      </c>
      <c r="N867" s="7">
        <v>9162.33</v>
      </c>
      <c r="O867" t="s">
        <v>46</v>
      </c>
      <c r="P867" t="s">
        <v>40</v>
      </c>
    </row>
    <row r="868" spans="1:16" x14ac:dyDescent="0.25">
      <c r="A868" s="5">
        <v>46014</v>
      </c>
      <c r="B868" t="s">
        <v>110</v>
      </c>
      <c r="C868" t="s">
        <v>111</v>
      </c>
      <c r="D868" t="s">
        <v>58</v>
      </c>
      <c r="E868" t="s">
        <v>115</v>
      </c>
      <c r="F868" t="s">
        <v>60</v>
      </c>
      <c r="G868" t="s">
        <v>989</v>
      </c>
      <c r="H868" s="6">
        <v>63</v>
      </c>
      <c r="I868" s="7">
        <v>257.45999999999998</v>
      </c>
      <c r="J868" s="7">
        <v>16219.8</v>
      </c>
      <c r="K868" s="6">
        <v>30</v>
      </c>
      <c r="L868" t="s">
        <v>52</v>
      </c>
      <c r="M868" s="8">
        <v>3243.96</v>
      </c>
      <c r="N868" s="7">
        <v>16219.8</v>
      </c>
      <c r="O868" t="s">
        <v>46</v>
      </c>
      <c r="P868" t="s">
        <v>40</v>
      </c>
    </row>
    <row r="869" spans="1:16" x14ac:dyDescent="0.25">
      <c r="A869" s="5">
        <v>45897</v>
      </c>
      <c r="B869" t="s">
        <v>85</v>
      </c>
      <c r="C869" t="s">
        <v>86</v>
      </c>
      <c r="D869" t="s">
        <v>58</v>
      </c>
      <c r="E869" t="s">
        <v>132</v>
      </c>
      <c r="F869" t="s">
        <v>71</v>
      </c>
      <c r="G869" t="s">
        <v>990</v>
      </c>
      <c r="H869" s="6">
        <v>36</v>
      </c>
      <c r="I869" s="7">
        <v>114.19</v>
      </c>
      <c r="J869" s="7">
        <v>4110.6899999999996</v>
      </c>
      <c r="K869" s="6">
        <v>60</v>
      </c>
      <c r="L869" t="s">
        <v>52</v>
      </c>
      <c r="M869" s="8">
        <v>822.13800000000003</v>
      </c>
      <c r="N869" s="7">
        <v>4110.6899999999996</v>
      </c>
      <c r="O869" t="s">
        <v>46</v>
      </c>
      <c r="P869" t="s">
        <v>40</v>
      </c>
    </row>
    <row r="870" spans="1:16" x14ac:dyDescent="0.25">
      <c r="A870" s="5">
        <v>45737</v>
      </c>
      <c r="B870" t="s">
        <v>103</v>
      </c>
      <c r="C870" t="s">
        <v>104</v>
      </c>
      <c r="D870" t="s">
        <v>58</v>
      </c>
      <c r="E870" t="s">
        <v>43</v>
      </c>
      <c r="F870" t="s">
        <v>36</v>
      </c>
      <c r="G870" t="s">
        <v>991</v>
      </c>
      <c r="H870" s="6">
        <v>58</v>
      </c>
      <c r="I870" s="7">
        <v>93.37</v>
      </c>
      <c r="J870" s="7">
        <v>5415.55</v>
      </c>
      <c r="K870" s="6">
        <v>45</v>
      </c>
      <c r="L870" t="s">
        <v>45</v>
      </c>
      <c r="M870" s="8">
        <v>1083.1099999999999</v>
      </c>
      <c r="N870" s="7">
        <v>5415.55</v>
      </c>
      <c r="O870" t="s">
        <v>46</v>
      </c>
      <c r="P870" t="s">
        <v>40</v>
      </c>
    </row>
    <row r="871" spans="1:16" x14ac:dyDescent="0.25">
      <c r="A871" s="5">
        <v>45658</v>
      </c>
      <c r="B871" t="s">
        <v>47</v>
      </c>
      <c r="C871" t="s">
        <v>48</v>
      </c>
      <c r="D871" t="s">
        <v>34</v>
      </c>
      <c r="E871" t="s">
        <v>132</v>
      </c>
      <c r="F871" t="s">
        <v>71</v>
      </c>
      <c r="G871" t="s">
        <v>992</v>
      </c>
      <c r="H871" s="6">
        <v>65</v>
      </c>
      <c r="I871" s="7">
        <v>287</v>
      </c>
      <c r="J871" s="7">
        <v>18655.13</v>
      </c>
      <c r="K871" s="6">
        <v>45</v>
      </c>
      <c r="L871" t="s">
        <v>52</v>
      </c>
      <c r="M871" s="8">
        <v>3731.0259999999998</v>
      </c>
      <c r="N871" s="7">
        <v>18655.13</v>
      </c>
      <c r="O871" t="s">
        <v>46</v>
      </c>
      <c r="P871" t="s">
        <v>40</v>
      </c>
    </row>
    <row r="872" spans="1:16" x14ac:dyDescent="0.25">
      <c r="A872" s="5">
        <v>45844</v>
      </c>
      <c r="B872" t="s">
        <v>118</v>
      </c>
      <c r="C872" t="s">
        <v>119</v>
      </c>
      <c r="D872" t="s">
        <v>64</v>
      </c>
      <c r="E872" t="s">
        <v>152</v>
      </c>
      <c r="F872" t="s">
        <v>50</v>
      </c>
      <c r="G872" t="s">
        <v>993</v>
      </c>
      <c r="H872" s="6">
        <v>80</v>
      </c>
      <c r="I872" s="7">
        <v>108.87</v>
      </c>
      <c r="J872" s="7">
        <v>8709.74</v>
      </c>
      <c r="K872" s="6">
        <v>30</v>
      </c>
      <c r="L872" t="s">
        <v>45</v>
      </c>
      <c r="M872" s="8">
        <v>1741.9480000000001</v>
      </c>
      <c r="N872" s="7">
        <v>8709.74</v>
      </c>
      <c r="O872" t="s">
        <v>46</v>
      </c>
      <c r="P872" t="s">
        <v>40</v>
      </c>
    </row>
    <row r="873" spans="1:16" x14ac:dyDescent="0.25">
      <c r="A873" s="5">
        <v>45933</v>
      </c>
      <c r="B873" t="s">
        <v>80</v>
      </c>
      <c r="C873" t="s">
        <v>81</v>
      </c>
      <c r="D873" t="s">
        <v>64</v>
      </c>
      <c r="E873" t="s">
        <v>43</v>
      </c>
      <c r="F873" t="s">
        <v>36</v>
      </c>
      <c r="G873" t="s">
        <v>994</v>
      </c>
      <c r="H873" s="6">
        <v>50</v>
      </c>
      <c r="I873" s="7">
        <v>41.9</v>
      </c>
      <c r="J873" s="7">
        <v>2095.08</v>
      </c>
      <c r="K873" s="6">
        <v>30</v>
      </c>
      <c r="L873" t="s">
        <v>52</v>
      </c>
      <c r="M873" s="8">
        <v>419.01600000000002</v>
      </c>
      <c r="N873" s="7">
        <v>2095.08</v>
      </c>
      <c r="O873" t="s">
        <v>46</v>
      </c>
      <c r="P873" t="s">
        <v>40</v>
      </c>
    </row>
    <row r="874" spans="1:16" x14ac:dyDescent="0.25">
      <c r="A874" s="5">
        <v>45736</v>
      </c>
      <c r="B874" t="s">
        <v>67</v>
      </c>
      <c r="C874" t="s">
        <v>68</v>
      </c>
      <c r="D874" t="s">
        <v>69</v>
      </c>
      <c r="E874" t="s">
        <v>129</v>
      </c>
      <c r="F874" t="s">
        <v>108</v>
      </c>
      <c r="G874" t="s">
        <v>995</v>
      </c>
      <c r="H874" s="6">
        <v>79</v>
      </c>
      <c r="I874" s="7">
        <v>35.119999999999997</v>
      </c>
      <c r="J874" s="7">
        <v>2774.73</v>
      </c>
      <c r="K874" s="6">
        <v>45</v>
      </c>
      <c r="L874" t="s">
        <v>45</v>
      </c>
      <c r="M874" s="8">
        <v>554.94600000000003</v>
      </c>
      <c r="N874" s="7">
        <v>2774.73</v>
      </c>
      <c r="O874" t="s">
        <v>46</v>
      </c>
      <c r="P874" t="s">
        <v>40</v>
      </c>
    </row>
    <row r="875" spans="1:16" x14ac:dyDescent="0.25">
      <c r="A875" s="5">
        <v>45707</v>
      </c>
      <c r="B875" t="s">
        <v>67</v>
      </c>
      <c r="C875" t="s">
        <v>68</v>
      </c>
      <c r="D875" t="s">
        <v>69</v>
      </c>
      <c r="E875" t="s">
        <v>83</v>
      </c>
      <c r="F875" t="s">
        <v>71</v>
      </c>
      <c r="G875" t="s">
        <v>996</v>
      </c>
      <c r="H875" s="6">
        <v>67</v>
      </c>
      <c r="I875" s="7">
        <v>63.55</v>
      </c>
      <c r="J875" s="7">
        <v>4258.01</v>
      </c>
      <c r="K875" s="6">
        <v>60</v>
      </c>
      <c r="L875" t="s">
        <v>38</v>
      </c>
      <c r="M875" s="8">
        <v>851.60199999999998</v>
      </c>
      <c r="N875" s="7">
        <v>4258.01</v>
      </c>
      <c r="O875" t="s">
        <v>39</v>
      </c>
      <c r="P875" t="s">
        <v>40</v>
      </c>
    </row>
    <row r="876" spans="1:16" x14ac:dyDescent="0.25">
      <c r="A876" s="5">
        <v>45674</v>
      </c>
      <c r="B876" t="s">
        <v>32</v>
      </c>
      <c r="C876" t="s">
        <v>33</v>
      </c>
      <c r="D876" t="s">
        <v>34</v>
      </c>
      <c r="E876" t="s">
        <v>154</v>
      </c>
      <c r="F876" t="s">
        <v>89</v>
      </c>
      <c r="G876" t="s">
        <v>997</v>
      </c>
      <c r="H876" s="6">
        <v>26</v>
      </c>
      <c r="I876" s="7">
        <v>176.75</v>
      </c>
      <c r="J876" s="7">
        <v>4595.5</v>
      </c>
      <c r="K876" s="6">
        <v>30</v>
      </c>
      <c r="L876" t="s">
        <v>45</v>
      </c>
      <c r="M876" s="8">
        <v>919.1</v>
      </c>
      <c r="N876" s="7">
        <v>4595.5</v>
      </c>
      <c r="O876" t="s">
        <v>39</v>
      </c>
      <c r="P876" t="s">
        <v>40</v>
      </c>
    </row>
    <row r="877" spans="1:16" x14ac:dyDescent="0.25">
      <c r="A877" s="5">
        <v>45950</v>
      </c>
      <c r="B877" t="s">
        <v>73</v>
      </c>
      <c r="C877" t="s">
        <v>74</v>
      </c>
      <c r="D877" t="s">
        <v>69</v>
      </c>
      <c r="E877" t="s">
        <v>127</v>
      </c>
      <c r="F877" t="s">
        <v>36</v>
      </c>
      <c r="G877" t="s">
        <v>998</v>
      </c>
      <c r="H877" s="6">
        <v>50</v>
      </c>
      <c r="I877" s="7">
        <v>174.41</v>
      </c>
      <c r="J877" s="7">
        <v>8720.3700000000008</v>
      </c>
      <c r="K877" s="6">
        <v>60</v>
      </c>
      <c r="L877" t="s">
        <v>45</v>
      </c>
      <c r="M877" s="8">
        <v>1744.0740000000001</v>
      </c>
      <c r="N877" s="7">
        <v>8720.3700000000008</v>
      </c>
      <c r="O877" t="s">
        <v>39</v>
      </c>
      <c r="P877" t="s">
        <v>40</v>
      </c>
    </row>
    <row r="878" spans="1:16" x14ac:dyDescent="0.25">
      <c r="A878" s="5">
        <v>45845</v>
      </c>
      <c r="B878" t="s">
        <v>201</v>
      </c>
      <c r="C878" t="s">
        <v>202</v>
      </c>
      <c r="D878" t="s">
        <v>64</v>
      </c>
      <c r="E878" t="s">
        <v>59</v>
      </c>
      <c r="F878" t="s">
        <v>60</v>
      </c>
      <c r="G878" t="s">
        <v>999</v>
      </c>
      <c r="H878" s="6">
        <v>29</v>
      </c>
      <c r="I878" s="7">
        <v>165.5</v>
      </c>
      <c r="J878" s="7">
        <v>4799.3599999999997</v>
      </c>
      <c r="K878" s="6">
        <v>60</v>
      </c>
      <c r="L878" t="s">
        <v>52</v>
      </c>
      <c r="M878" s="8">
        <v>959.87199999999996</v>
      </c>
      <c r="N878" s="7">
        <v>4799.3599999999997</v>
      </c>
      <c r="O878" t="s">
        <v>39</v>
      </c>
      <c r="P878" t="s">
        <v>40</v>
      </c>
    </row>
    <row r="879" spans="1:16" x14ac:dyDescent="0.25">
      <c r="A879" s="5">
        <v>45993</v>
      </c>
      <c r="B879" t="s">
        <v>85</v>
      </c>
      <c r="C879" t="s">
        <v>86</v>
      </c>
      <c r="D879" t="s">
        <v>58</v>
      </c>
      <c r="E879" t="s">
        <v>49</v>
      </c>
      <c r="F879" t="s">
        <v>50</v>
      </c>
      <c r="G879" t="s">
        <v>1000</v>
      </c>
      <c r="H879" s="6">
        <v>63</v>
      </c>
      <c r="I879" s="7">
        <v>135.72</v>
      </c>
      <c r="J879" s="7">
        <v>8550.2000000000007</v>
      </c>
      <c r="K879" s="6">
        <v>30</v>
      </c>
      <c r="L879" t="s">
        <v>45</v>
      </c>
      <c r="M879" s="8">
        <v>1710.04</v>
      </c>
      <c r="N879" s="7">
        <v>8550.2000000000007</v>
      </c>
      <c r="O879" t="s">
        <v>39</v>
      </c>
      <c r="P879" t="s">
        <v>40</v>
      </c>
    </row>
    <row r="880" spans="1:16" x14ac:dyDescent="0.25">
      <c r="A880" s="5">
        <v>45943</v>
      </c>
      <c r="B880" t="s">
        <v>41</v>
      </c>
      <c r="C880" t="s">
        <v>42</v>
      </c>
      <c r="D880" t="s">
        <v>34</v>
      </c>
      <c r="E880" t="s">
        <v>210</v>
      </c>
      <c r="F880" t="s">
        <v>50</v>
      </c>
      <c r="G880" t="s">
        <v>1001</v>
      </c>
      <c r="H880" s="6">
        <v>54</v>
      </c>
      <c r="I880" s="7">
        <v>118.92</v>
      </c>
      <c r="J880" s="7">
        <v>6421.73</v>
      </c>
      <c r="K880" s="6">
        <v>45</v>
      </c>
      <c r="L880" t="s">
        <v>52</v>
      </c>
      <c r="M880" s="8">
        <v>1284.346</v>
      </c>
      <c r="N880" s="7">
        <v>6421.73</v>
      </c>
      <c r="O880" t="s">
        <v>46</v>
      </c>
      <c r="P880" t="s">
        <v>40</v>
      </c>
    </row>
    <row r="881" spans="1:16" x14ac:dyDescent="0.25">
      <c r="A881" s="5">
        <v>45678</v>
      </c>
      <c r="B881" t="s">
        <v>118</v>
      </c>
      <c r="C881" t="s">
        <v>119</v>
      </c>
      <c r="D881" t="s">
        <v>64</v>
      </c>
      <c r="E881" t="s">
        <v>115</v>
      </c>
      <c r="F881" t="s">
        <v>60</v>
      </c>
      <c r="G881" t="s">
        <v>1002</v>
      </c>
      <c r="H881" s="6">
        <v>10</v>
      </c>
      <c r="I881" s="7">
        <v>422.95</v>
      </c>
      <c r="J881" s="7">
        <v>4229.46</v>
      </c>
      <c r="K881" s="6">
        <v>45</v>
      </c>
      <c r="L881" t="s">
        <v>38</v>
      </c>
      <c r="M881" s="8">
        <v>845.89200000000005</v>
      </c>
      <c r="N881" s="7">
        <v>4229.46</v>
      </c>
      <c r="O881" t="s">
        <v>46</v>
      </c>
      <c r="P881" t="s">
        <v>40</v>
      </c>
    </row>
    <row r="882" spans="1:16" x14ac:dyDescent="0.25">
      <c r="A882" s="5">
        <v>45776</v>
      </c>
      <c r="B882" t="s">
        <v>143</v>
      </c>
      <c r="C882" t="s">
        <v>144</v>
      </c>
      <c r="D882" t="s">
        <v>69</v>
      </c>
      <c r="E882" t="s">
        <v>127</v>
      </c>
      <c r="F882" t="s">
        <v>36</v>
      </c>
      <c r="G882" t="s">
        <v>1003</v>
      </c>
      <c r="H882" s="6">
        <v>69</v>
      </c>
      <c r="I882" s="7">
        <v>260.92</v>
      </c>
      <c r="J882" s="7">
        <v>18003.23</v>
      </c>
      <c r="K882" s="6">
        <v>45</v>
      </c>
      <c r="L882" t="s">
        <v>38</v>
      </c>
      <c r="M882" s="8">
        <v>3600.6460000000002</v>
      </c>
      <c r="N882" s="7">
        <v>18003.23</v>
      </c>
      <c r="O882" t="s">
        <v>39</v>
      </c>
      <c r="P882" t="s">
        <v>40</v>
      </c>
    </row>
    <row r="883" spans="1:16" x14ac:dyDescent="0.25">
      <c r="A883" s="5">
        <v>45978</v>
      </c>
      <c r="B883" t="s">
        <v>47</v>
      </c>
      <c r="C883" t="s">
        <v>48</v>
      </c>
      <c r="D883" t="s">
        <v>34</v>
      </c>
      <c r="E883" t="s">
        <v>53</v>
      </c>
      <c r="F883" t="s">
        <v>54</v>
      </c>
      <c r="G883" t="s">
        <v>1004</v>
      </c>
      <c r="H883" s="6">
        <v>23</v>
      </c>
      <c r="I883" s="7">
        <v>186.7</v>
      </c>
      <c r="J883" s="7">
        <v>4294.01</v>
      </c>
      <c r="K883" s="6">
        <v>60</v>
      </c>
      <c r="L883" t="s">
        <v>52</v>
      </c>
      <c r="M883" s="8">
        <v>858.80200000000002</v>
      </c>
      <c r="N883" s="7">
        <v>4294.01</v>
      </c>
      <c r="O883" t="s">
        <v>46</v>
      </c>
      <c r="P883" t="s">
        <v>40</v>
      </c>
    </row>
    <row r="884" spans="1:16" x14ac:dyDescent="0.25">
      <c r="A884" s="5">
        <v>45712</v>
      </c>
      <c r="B884" t="s">
        <v>62</v>
      </c>
      <c r="C884" t="s">
        <v>63</v>
      </c>
      <c r="D884" t="s">
        <v>64</v>
      </c>
      <c r="E884" t="s">
        <v>105</v>
      </c>
      <c r="F884" t="s">
        <v>97</v>
      </c>
      <c r="G884" t="s">
        <v>1005</v>
      </c>
      <c r="H884" s="6">
        <v>74</v>
      </c>
      <c r="I884" s="7">
        <v>229.2</v>
      </c>
      <c r="J884" s="7">
        <v>16960.73</v>
      </c>
      <c r="K884" s="6">
        <v>45</v>
      </c>
      <c r="L884" t="s">
        <v>52</v>
      </c>
      <c r="M884" s="8">
        <v>3392.1460000000002</v>
      </c>
      <c r="N884" s="7">
        <v>16960.73</v>
      </c>
      <c r="O884" t="s">
        <v>46</v>
      </c>
      <c r="P884" t="s">
        <v>40</v>
      </c>
    </row>
    <row r="885" spans="1:16" x14ac:dyDescent="0.25">
      <c r="A885" s="5">
        <v>45743</v>
      </c>
      <c r="B885" t="s">
        <v>100</v>
      </c>
      <c r="C885" t="s">
        <v>101</v>
      </c>
      <c r="D885" t="s">
        <v>69</v>
      </c>
      <c r="E885" t="s">
        <v>204</v>
      </c>
      <c r="F885" t="s">
        <v>97</v>
      </c>
      <c r="G885" t="s">
        <v>1006</v>
      </c>
      <c r="H885" s="6">
        <v>24</v>
      </c>
      <c r="I885" s="7">
        <v>532.76</v>
      </c>
      <c r="J885" s="7">
        <v>12786.24</v>
      </c>
      <c r="K885" s="6">
        <v>60</v>
      </c>
      <c r="L885" t="s">
        <v>45</v>
      </c>
      <c r="M885" s="8">
        <v>2557.248</v>
      </c>
      <c r="N885" s="7">
        <v>12786.24</v>
      </c>
      <c r="O885" t="s">
        <v>46</v>
      </c>
      <c r="P885" t="s">
        <v>40</v>
      </c>
    </row>
    <row r="886" spans="1:16" x14ac:dyDescent="0.25">
      <c r="A886" s="5">
        <v>45738</v>
      </c>
      <c r="B886" t="s">
        <v>91</v>
      </c>
      <c r="C886" t="s">
        <v>92</v>
      </c>
      <c r="D886" t="s">
        <v>64</v>
      </c>
      <c r="E886" t="s">
        <v>70</v>
      </c>
      <c r="F886" t="s">
        <v>71</v>
      </c>
      <c r="G886" t="s">
        <v>1007</v>
      </c>
      <c r="H886" s="6">
        <v>69</v>
      </c>
      <c r="I886" s="7">
        <v>138.22999999999999</v>
      </c>
      <c r="J886" s="7">
        <v>9537.85</v>
      </c>
      <c r="K886" s="6">
        <v>60</v>
      </c>
      <c r="L886" t="s">
        <v>45</v>
      </c>
      <c r="M886" s="8">
        <v>1907.57</v>
      </c>
      <c r="N886" s="7">
        <v>9537.85</v>
      </c>
      <c r="O886" t="s">
        <v>46</v>
      </c>
      <c r="P886" t="s">
        <v>40</v>
      </c>
    </row>
    <row r="887" spans="1:16" x14ac:dyDescent="0.25">
      <c r="A887" s="5">
        <v>45824</v>
      </c>
      <c r="B887" t="s">
        <v>47</v>
      </c>
      <c r="C887" t="s">
        <v>48</v>
      </c>
      <c r="D887" t="s">
        <v>34</v>
      </c>
      <c r="E887" t="s">
        <v>70</v>
      </c>
      <c r="F887" t="s">
        <v>71</v>
      </c>
      <c r="G887" t="s">
        <v>1008</v>
      </c>
      <c r="H887" s="6">
        <v>48</v>
      </c>
      <c r="I887" s="7">
        <v>262.32</v>
      </c>
      <c r="J887" s="7">
        <v>12591.37</v>
      </c>
      <c r="K887" s="6">
        <v>45</v>
      </c>
      <c r="L887" t="s">
        <v>52</v>
      </c>
      <c r="M887" s="8">
        <v>2518.2739999999999</v>
      </c>
      <c r="N887" s="7">
        <v>12591.37</v>
      </c>
      <c r="O887" t="s">
        <v>46</v>
      </c>
      <c r="P887" t="s">
        <v>40</v>
      </c>
    </row>
    <row r="888" spans="1:16" x14ac:dyDescent="0.25">
      <c r="A888" s="5">
        <v>45781</v>
      </c>
      <c r="B888" t="s">
        <v>94</v>
      </c>
      <c r="C888" t="s">
        <v>95</v>
      </c>
      <c r="D888" t="s">
        <v>34</v>
      </c>
      <c r="E888" t="s">
        <v>70</v>
      </c>
      <c r="F888" t="s">
        <v>71</v>
      </c>
      <c r="G888" t="s">
        <v>1009</v>
      </c>
      <c r="H888" s="6">
        <v>73</v>
      </c>
      <c r="I888" s="7">
        <v>130.97999999999999</v>
      </c>
      <c r="J888" s="7">
        <v>9561.4699999999993</v>
      </c>
      <c r="K888" s="6">
        <v>60</v>
      </c>
      <c r="L888" t="s">
        <v>38</v>
      </c>
      <c r="M888" s="8">
        <v>1912.2940000000001</v>
      </c>
      <c r="N888" s="7">
        <v>9561.4699999999993</v>
      </c>
      <c r="O888" t="s">
        <v>46</v>
      </c>
      <c r="P888" t="s">
        <v>40</v>
      </c>
    </row>
    <row r="889" spans="1:16" x14ac:dyDescent="0.25">
      <c r="A889" s="5">
        <v>45889</v>
      </c>
      <c r="B889" t="s">
        <v>91</v>
      </c>
      <c r="C889" t="s">
        <v>92</v>
      </c>
      <c r="D889" t="s">
        <v>64</v>
      </c>
      <c r="E889" t="s">
        <v>149</v>
      </c>
      <c r="F889" t="s">
        <v>60</v>
      </c>
      <c r="G889" t="s">
        <v>1010</v>
      </c>
      <c r="H889" s="6">
        <v>58</v>
      </c>
      <c r="I889" s="7">
        <v>180.55</v>
      </c>
      <c r="J889" s="7">
        <v>10472</v>
      </c>
      <c r="K889" s="6">
        <v>45</v>
      </c>
      <c r="L889" t="s">
        <v>38</v>
      </c>
      <c r="M889" s="8">
        <v>2094.4</v>
      </c>
      <c r="N889" s="7">
        <v>10472</v>
      </c>
      <c r="O889" t="s">
        <v>46</v>
      </c>
      <c r="P889" t="s">
        <v>40</v>
      </c>
    </row>
    <row r="890" spans="1:16" x14ac:dyDescent="0.25">
      <c r="A890" s="5">
        <v>45963</v>
      </c>
      <c r="B890" t="s">
        <v>201</v>
      </c>
      <c r="C890" t="s">
        <v>202</v>
      </c>
      <c r="D890" t="s">
        <v>64</v>
      </c>
      <c r="E890" t="s">
        <v>210</v>
      </c>
      <c r="F890" t="s">
        <v>50</v>
      </c>
      <c r="G890" t="s">
        <v>1011</v>
      </c>
      <c r="H890" s="6">
        <v>3</v>
      </c>
      <c r="I890" s="7">
        <v>166.06</v>
      </c>
      <c r="J890" s="7">
        <v>498.18</v>
      </c>
      <c r="K890" s="6">
        <v>60</v>
      </c>
      <c r="L890" t="s">
        <v>38</v>
      </c>
      <c r="M890" s="8">
        <v>99.635999999999996</v>
      </c>
      <c r="N890" s="7">
        <v>498.18</v>
      </c>
      <c r="O890" t="s">
        <v>46</v>
      </c>
      <c r="P890" t="s">
        <v>40</v>
      </c>
    </row>
    <row r="891" spans="1:16" x14ac:dyDescent="0.25">
      <c r="A891" s="5">
        <v>45771</v>
      </c>
      <c r="B891" t="s">
        <v>62</v>
      </c>
      <c r="C891" t="s">
        <v>63</v>
      </c>
      <c r="D891" t="s">
        <v>64</v>
      </c>
      <c r="E891" t="s">
        <v>210</v>
      </c>
      <c r="F891" t="s">
        <v>50</v>
      </c>
      <c r="G891" t="s">
        <v>1012</v>
      </c>
      <c r="H891" s="6">
        <v>28</v>
      </c>
      <c r="I891" s="7">
        <v>220.8</v>
      </c>
      <c r="J891" s="7">
        <v>6182.53</v>
      </c>
      <c r="K891" s="6">
        <v>45</v>
      </c>
      <c r="L891" t="s">
        <v>38</v>
      </c>
      <c r="M891" s="8">
        <v>1236.5060000000001</v>
      </c>
      <c r="N891" s="7">
        <v>6182.53</v>
      </c>
      <c r="O891" t="s">
        <v>46</v>
      </c>
      <c r="P891" t="s">
        <v>40</v>
      </c>
    </row>
    <row r="892" spans="1:16" x14ac:dyDescent="0.25">
      <c r="A892" s="5">
        <v>45919</v>
      </c>
      <c r="B892" t="s">
        <v>110</v>
      </c>
      <c r="C892" t="s">
        <v>111</v>
      </c>
      <c r="D892" t="s">
        <v>58</v>
      </c>
      <c r="E892" t="s">
        <v>115</v>
      </c>
      <c r="F892" t="s">
        <v>60</v>
      </c>
      <c r="G892" t="s">
        <v>1013</v>
      </c>
      <c r="H892" s="6">
        <v>72</v>
      </c>
      <c r="I892" s="7">
        <v>345.47</v>
      </c>
      <c r="J892" s="7">
        <v>24873.52</v>
      </c>
      <c r="K892" s="6">
        <v>60</v>
      </c>
      <c r="L892" t="s">
        <v>52</v>
      </c>
      <c r="M892" s="8">
        <v>4974.7039999999997</v>
      </c>
      <c r="N892" s="7">
        <v>24873.52</v>
      </c>
      <c r="O892" t="s">
        <v>46</v>
      </c>
      <c r="P892" t="s">
        <v>40</v>
      </c>
    </row>
    <row r="893" spans="1:16" x14ac:dyDescent="0.25">
      <c r="A893" s="5">
        <v>45893</v>
      </c>
      <c r="B893" t="s">
        <v>41</v>
      </c>
      <c r="C893" t="s">
        <v>42</v>
      </c>
      <c r="D893" t="s">
        <v>34</v>
      </c>
      <c r="E893" t="s">
        <v>127</v>
      </c>
      <c r="F893" t="s">
        <v>36</v>
      </c>
      <c r="G893" t="s">
        <v>1014</v>
      </c>
      <c r="H893" s="6">
        <v>46</v>
      </c>
      <c r="I893" s="7">
        <v>85.92</v>
      </c>
      <c r="J893" s="7">
        <v>3952.21</v>
      </c>
      <c r="K893" s="6">
        <v>30</v>
      </c>
      <c r="L893" t="s">
        <v>38</v>
      </c>
      <c r="M893" s="8">
        <v>790.44200000000001</v>
      </c>
      <c r="N893" s="7">
        <v>3952.21</v>
      </c>
      <c r="O893" t="s">
        <v>39</v>
      </c>
      <c r="P893" t="s">
        <v>40</v>
      </c>
    </row>
    <row r="894" spans="1:16" x14ac:dyDescent="0.25">
      <c r="A894" s="5">
        <v>45785</v>
      </c>
      <c r="B894" t="s">
        <v>62</v>
      </c>
      <c r="C894" t="s">
        <v>63</v>
      </c>
      <c r="D894" t="s">
        <v>64</v>
      </c>
      <c r="E894" t="s">
        <v>70</v>
      </c>
      <c r="F894" t="s">
        <v>71</v>
      </c>
      <c r="G894" t="s">
        <v>1015</v>
      </c>
      <c r="H894" s="6">
        <v>30</v>
      </c>
      <c r="I894" s="7">
        <v>170.81</v>
      </c>
      <c r="J894" s="7">
        <v>5124.28</v>
      </c>
      <c r="K894" s="6">
        <v>45</v>
      </c>
      <c r="L894" t="s">
        <v>45</v>
      </c>
      <c r="M894" s="8">
        <v>1024.856</v>
      </c>
      <c r="N894" s="7">
        <v>5124.28</v>
      </c>
      <c r="O894" t="s">
        <v>46</v>
      </c>
      <c r="P894" t="s">
        <v>40</v>
      </c>
    </row>
    <row r="895" spans="1:16" x14ac:dyDescent="0.25">
      <c r="A895" s="5">
        <v>45769</v>
      </c>
      <c r="B895" t="s">
        <v>47</v>
      </c>
      <c r="C895" t="s">
        <v>48</v>
      </c>
      <c r="D895" t="s">
        <v>34</v>
      </c>
      <c r="E895" t="s">
        <v>105</v>
      </c>
      <c r="F895" t="s">
        <v>97</v>
      </c>
      <c r="G895" t="s">
        <v>1016</v>
      </c>
      <c r="H895" s="6">
        <v>10</v>
      </c>
      <c r="I895" s="7">
        <v>570.72</v>
      </c>
      <c r="J895" s="7">
        <v>5707.18</v>
      </c>
      <c r="K895" s="6">
        <v>60</v>
      </c>
      <c r="L895" t="s">
        <v>45</v>
      </c>
      <c r="M895" s="8">
        <v>1141.4359999999999</v>
      </c>
      <c r="N895" s="7">
        <v>5707.18</v>
      </c>
      <c r="O895" t="s">
        <v>46</v>
      </c>
      <c r="P895" t="s">
        <v>40</v>
      </c>
    </row>
    <row r="896" spans="1:16" x14ac:dyDescent="0.25">
      <c r="A896" s="5">
        <v>46011</v>
      </c>
      <c r="B896" t="s">
        <v>62</v>
      </c>
      <c r="C896" t="s">
        <v>63</v>
      </c>
      <c r="D896" t="s">
        <v>64</v>
      </c>
      <c r="E896" t="s">
        <v>88</v>
      </c>
      <c r="F896" t="s">
        <v>89</v>
      </c>
      <c r="G896" t="s">
        <v>1017</v>
      </c>
      <c r="H896" s="6">
        <v>74</v>
      </c>
      <c r="I896" s="7">
        <v>384.96</v>
      </c>
      <c r="J896" s="7">
        <v>28487.18</v>
      </c>
      <c r="K896" s="6">
        <v>30</v>
      </c>
      <c r="L896" t="s">
        <v>52</v>
      </c>
      <c r="M896" s="8">
        <v>5697.4359999999997</v>
      </c>
      <c r="N896" s="7">
        <v>28487.18</v>
      </c>
      <c r="O896" t="s">
        <v>46</v>
      </c>
      <c r="P896" t="s">
        <v>40</v>
      </c>
    </row>
    <row r="897" spans="1:16" x14ac:dyDescent="0.25">
      <c r="A897" s="5">
        <v>45953</v>
      </c>
      <c r="B897" t="s">
        <v>100</v>
      </c>
      <c r="C897" t="s">
        <v>101</v>
      </c>
      <c r="D897" t="s">
        <v>69</v>
      </c>
      <c r="E897" t="s">
        <v>59</v>
      </c>
      <c r="F897" t="s">
        <v>60</v>
      </c>
      <c r="G897" t="s">
        <v>1018</v>
      </c>
      <c r="H897" s="6">
        <v>49</v>
      </c>
      <c r="I897" s="7">
        <v>314.32</v>
      </c>
      <c r="J897" s="7">
        <v>15401.78</v>
      </c>
      <c r="K897" s="6">
        <v>30</v>
      </c>
      <c r="L897" t="s">
        <v>38</v>
      </c>
      <c r="M897" s="8">
        <v>3080.3560000000002</v>
      </c>
      <c r="N897" s="7">
        <v>15401.78</v>
      </c>
      <c r="O897" t="s">
        <v>39</v>
      </c>
      <c r="P897" t="s">
        <v>40</v>
      </c>
    </row>
    <row r="898" spans="1:16" x14ac:dyDescent="0.25">
      <c r="A898" s="5">
        <v>45871</v>
      </c>
      <c r="B898" t="s">
        <v>113</v>
      </c>
      <c r="C898" t="s">
        <v>114</v>
      </c>
      <c r="D898" t="s">
        <v>69</v>
      </c>
      <c r="E898" t="s">
        <v>132</v>
      </c>
      <c r="F898" t="s">
        <v>71</v>
      </c>
      <c r="G898" t="s">
        <v>1019</v>
      </c>
      <c r="H898" s="6">
        <v>16</v>
      </c>
      <c r="I898" s="7">
        <v>86.66</v>
      </c>
      <c r="J898" s="7">
        <v>1386.52</v>
      </c>
      <c r="K898" s="6">
        <v>30</v>
      </c>
      <c r="L898" t="s">
        <v>52</v>
      </c>
      <c r="M898" s="8">
        <v>277.30399999999997</v>
      </c>
      <c r="N898" s="7">
        <v>1386.52</v>
      </c>
      <c r="O898" t="s">
        <v>46</v>
      </c>
      <c r="P898" t="s">
        <v>40</v>
      </c>
    </row>
    <row r="899" spans="1:16" x14ac:dyDescent="0.25">
      <c r="A899" s="5">
        <v>45981</v>
      </c>
      <c r="B899" t="s">
        <v>80</v>
      </c>
      <c r="C899" t="s">
        <v>81</v>
      </c>
      <c r="D899" t="s">
        <v>64</v>
      </c>
      <c r="E899" t="s">
        <v>152</v>
      </c>
      <c r="F899" t="s">
        <v>50</v>
      </c>
      <c r="G899" t="s">
        <v>1020</v>
      </c>
      <c r="H899" s="6">
        <v>49</v>
      </c>
      <c r="I899" s="7">
        <v>130.08000000000001</v>
      </c>
      <c r="J899" s="7">
        <v>6374.14</v>
      </c>
      <c r="K899" s="6">
        <v>30</v>
      </c>
      <c r="L899" t="s">
        <v>45</v>
      </c>
      <c r="M899" s="8">
        <v>1274.828</v>
      </c>
      <c r="N899" s="7">
        <v>6374.14</v>
      </c>
      <c r="O899" t="s">
        <v>46</v>
      </c>
      <c r="P899" t="s">
        <v>40</v>
      </c>
    </row>
    <row r="900" spans="1:16" x14ac:dyDescent="0.25">
      <c r="A900" s="5">
        <v>45934</v>
      </c>
      <c r="B900" t="s">
        <v>32</v>
      </c>
      <c r="C900" t="s">
        <v>33</v>
      </c>
      <c r="D900" t="s">
        <v>34</v>
      </c>
      <c r="E900" t="s">
        <v>210</v>
      </c>
      <c r="F900" t="s">
        <v>50</v>
      </c>
      <c r="G900" t="s">
        <v>1021</v>
      </c>
      <c r="H900" s="6">
        <v>73</v>
      </c>
      <c r="I900" s="7">
        <v>233.01</v>
      </c>
      <c r="J900" s="7">
        <v>17009.57</v>
      </c>
      <c r="K900" s="6">
        <v>30</v>
      </c>
      <c r="L900" t="s">
        <v>45</v>
      </c>
      <c r="M900" s="8">
        <v>3401.9140000000002</v>
      </c>
      <c r="N900" s="7">
        <v>17009.57</v>
      </c>
      <c r="O900" t="s">
        <v>46</v>
      </c>
      <c r="P900" t="s">
        <v>40</v>
      </c>
    </row>
    <row r="901" spans="1:16" x14ac:dyDescent="0.25">
      <c r="A901" s="5">
        <v>45683</v>
      </c>
      <c r="B901" t="s">
        <v>32</v>
      </c>
      <c r="C901" t="s">
        <v>33</v>
      </c>
      <c r="D901" t="s">
        <v>34</v>
      </c>
      <c r="E901" t="s">
        <v>135</v>
      </c>
      <c r="F901" t="s">
        <v>54</v>
      </c>
      <c r="G901" t="s">
        <v>1022</v>
      </c>
      <c r="H901" s="6">
        <v>51</v>
      </c>
      <c r="I901" s="7">
        <v>159.52000000000001</v>
      </c>
      <c r="J901" s="7">
        <v>8135.33</v>
      </c>
      <c r="K901" s="6">
        <v>45</v>
      </c>
      <c r="L901" t="s">
        <v>52</v>
      </c>
      <c r="M901" s="8">
        <v>1627.066</v>
      </c>
      <c r="N901" s="7">
        <v>8135.33</v>
      </c>
      <c r="O901" t="s">
        <v>46</v>
      </c>
      <c r="P901" t="s">
        <v>40</v>
      </c>
    </row>
    <row r="902" spans="1:16" x14ac:dyDescent="0.25">
      <c r="A902" s="5">
        <v>45879</v>
      </c>
      <c r="B902" t="s">
        <v>47</v>
      </c>
      <c r="C902" t="s">
        <v>48</v>
      </c>
      <c r="D902" t="s">
        <v>34</v>
      </c>
      <c r="E902" t="s">
        <v>127</v>
      </c>
      <c r="F902" t="s">
        <v>36</v>
      </c>
      <c r="G902" t="s">
        <v>1023</v>
      </c>
      <c r="H902" s="6">
        <v>38</v>
      </c>
      <c r="I902" s="7">
        <v>79.61</v>
      </c>
      <c r="J902" s="7">
        <v>3025.23</v>
      </c>
      <c r="K902" s="6">
        <v>45</v>
      </c>
      <c r="L902" t="s">
        <v>38</v>
      </c>
      <c r="M902" s="8">
        <v>605.04600000000005</v>
      </c>
      <c r="N902" s="7">
        <v>3025.23</v>
      </c>
      <c r="O902" t="s">
        <v>39</v>
      </c>
      <c r="P902" t="s">
        <v>40</v>
      </c>
    </row>
    <row r="903" spans="1:16" x14ac:dyDescent="0.25">
      <c r="A903" s="5">
        <v>45901</v>
      </c>
      <c r="C903" t="s">
        <v>101</v>
      </c>
      <c r="D903" t="s">
        <v>69</v>
      </c>
      <c r="E903" t="s">
        <v>83</v>
      </c>
      <c r="F903" t="s">
        <v>71</v>
      </c>
      <c r="G903" t="s">
        <v>1024</v>
      </c>
      <c r="H903" s="6">
        <v>74</v>
      </c>
      <c r="I903" s="7">
        <v>76.52</v>
      </c>
      <c r="J903" s="7">
        <v>5662.41</v>
      </c>
      <c r="K903" s="6">
        <v>60</v>
      </c>
      <c r="L903" t="s">
        <v>38</v>
      </c>
      <c r="M903" s="8">
        <v>1132.482</v>
      </c>
      <c r="N903" s="7">
        <v>5662.41</v>
      </c>
      <c r="O903" t="s">
        <v>39</v>
      </c>
      <c r="P903" t="s">
        <v>1025</v>
      </c>
    </row>
    <row r="904" spans="1:16" x14ac:dyDescent="0.25">
      <c r="A904" s="5">
        <v>45701</v>
      </c>
      <c r="B904" t="s">
        <v>67</v>
      </c>
      <c r="C904" t="s">
        <v>68</v>
      </c>
      <c r="D904" t="s">
        <v>69</v>
      </c>
      <c r="E904" t="s">
        <v>96</v>
      </c>
      <c r="F904" t="s">
        <v>97</v>
      </c>
      <c r="G904" t="s">
        <v>1026</v>
      </c>
      <c r="H904" s="6">
        <v>52</v>
      </c>
      <c r="I904" s="7">
        <v>304.77999999999997</v>
      </c>
      <c r="J904" s="7">
        <v>15848.59</v>
      </c>
      <c r="K904" s="6">
        <v>60</v>
      </c>
      <c r="L904" t="s">
        <v>45</v>
      </c>
      <c r="M904" s="8">
        <v>3169.7179999999998</v>
      </c>
      <c r="N904" s="7">
        <v>15848.59</v>
      </c>
      <c r="O904" t="s">
        <v>46</v>
      </c>
      <c r="P904" t="s">
        <v>40</v>
      </c>
    </row>
    <row r="905" spans="1:16" x14ac:dyDescent="0.25">
      <c r="A905" s="5">
        <v>45904</v>
      </c>
      <c r="B905" t="s">
        <v>56</v>
      </c>
      <c r="C905" t="s">
        <v>57</v>
      </c>
      <c r="D905" t="s">
        <v>58</v>
      </c>
      <c r="E905" t="s">
        <v>154</v>
      </c>
      <c r="F905" t="s">
        <v>89</v>
      </c>
      <c r="G905" t="s">
        <v>1027</v>
      </c>
      <c r="H905" s="6">
        <v>72</v>
      </c>
      <c r="I905" s="7">
        <v>363.62</v>
      </c>
      <c r="J905" s="7">
        <v>26180.54</v>
      </c>
      <c r="K905" s="6">
        <v>30</v>
      </c>
      <c r="L905" t="s">
        <v>45</v>
      </c>
      <c r="M905" s="8">
        <v>5236.1080000000002</v>
      </c>
      <c r="N905" s="7">
        <v>26180.54</v>
      </c>
      <c r="O905" t="s">
        <v>39</v>
      </c>
      <c r="P905" t="s">
        <v>40</v>
      </c>
    </row>
    <row r="906" spans="1:16" x14ac:dyDescent="0.25">
      <c r="A906" s="5">
        <v>45973</v>
      </c>
      <c r="B906" t="s">
        <v>47</v>
      </c>
      <c r="C906" t="s">
        <v>48</v>
      </c>
      <c r="D906" t="s">
        <v>34</v>
      </c>
      <c r="E906" t="s">
        <v>53</v>
      </c>
      <c r="F906" t="s">
        <v>54</v>
      </c>
      <c r="G906" t="s">
        <v>1028</v>
      </c>
      <c r="H906" s="6">
        <v>68</v>
      </c>
      <c r="I906" s="7">
        <v>277.70999999999998</v>
      </c>
      <c r="J906" s="7">
        <v>18884.05</v>
      </c>
      <c r="K906" s="6">
        <v>30</v>
      </c>
      <c r="L906" t="s">
        <v>38</v>
      </c>
      <c r="M906" s="8">
        <v>3776.81</v>
      </c>
      <c r="N906" s="7">
        <v>18884.05</v>
      </c>
      <c r="O906" t="s">
        <v>46</v>
      </c>
      <c r="P906" t="s">
        <v>40</v>
      </c>
    </row>
    <row r="907" spans="1:16" x14ac:dyDescent="0.25">
      <c r="A907" s="5">
        <v>45823</v>
      </c>
      <c r="B907" t="s">
        <v>201</v>
      </c>
      <c r="C907" t="s">
        <v>202</v>
      </c>
      <c r="D907" t="s">
        <v>64</v>
      </c>
      <c r="E907" t="s">
        <v>149</v>
      </c>
      <c r="F907" t="s">
        <v>60</v>
      </c>
      <c r="G907" t="s">
        <v>1029</v>
      </c>
      <c r="H907" s="6">
        <v>74</v>
      </c>
      <c r="I907" s="7">
        <v>225.69</v>
      </c>
      <c r="J907" s="7">
        <v>16701.150000000001</v>
      </c>
      <c r="K907" s="6">
        <v>30</v>
      </c>
      <c r="L907" t="s">
        <v>38</v>
      </c>
      <c r="M907" s="8">
        <v>3340.23</v>
      </c>
      <c r="N907" s="7">
        <v>16701.150000000001</v>
      </c>
      <c r="O907" t="s">
        <v>46</v>
      </c>
      <c r="P907" t="s">
        <v>40</v>
      </c>
    </row>
    <row r="908" spans="1:16" x14ac:dyDescent="0.25">
      <c r="A908" s="5">
        <v>45845</v>
      </c>
      <c r="B908" t="s">
        <v>121</v>
      </c>
      <c r="C908" t="s">
        <v>122</v>
      </c>
      <c r="D908" t="s">
        <v>34</v>
      </c>
      <c r="E908" t="s">
        <v>96</v>
      </c>
      <c r="F908" t="s">
        <v>97</v>
      </c>
      <c r="G908" t="s">
        <v>1030</v>
      </c>
      <c r="H908" s="6">
        <v>45</v>
      </c>
      <c r="I908" s="7">
        <v>142</v>
      </c>
      <c r="J908" s="7">
        <v>6390.22</v>
      </c>
      <c r="K908" s="6">
        <v>30</v>
      </c>
      <c r="L908" t="s">
        <v>45</v>
      </c>
      <c r="M908" s="8">
        <v>1278.0440000000001</v>
      </c>
      <c r="N908" s="7">
        <v>6390.22</v>
      </c>
      <c r="O908" t="s">
        <v>46</v>
      </c>
      <c r="P908" t="s">
        <v>40</v>
      </c>
    </row>
    <row r="909" spans="1:16" x14ac:dyDescent="0.25">
      <c r="A909" s="5">
        <v>45744</v>
      </c>
      <c r="B909" t="s">
        <v>41</v>
      </c>
      <c r="C909" t="s">
        <v>42</v>
      </c>
      <c r="D909" t="s">
        <v>34</v>
      </c>
      <c r="E909" t="s">
        <v>210</v>
      </c>
      <c r="F909" t="s">
        <v>50</v>
      </c>
      <c r="G909" t="s">
        <v>1031</v>
      </c>
      <c r="H909" s="6">
        <v>45</v>
      </c>
      <c r="I909" s="7">
        <v>180.9</v>
      </c>
      <c r="J909" s="7">
        <v>8140.39</v>
      </c>
      <c r="K909" s="6">
        <v>60</v>
      </c>
      <c r="L909" t="s">
        <v>45</v>
      </c>
      <c r="M909" s="8">
        <v>1628.078</v>
      </c>
      <c r="N909" s="7">
        <v>8140.39</v>
      </c>
      <c r="O909" t="s">
        <v>46</v>
      </c>
      <c r="P909" t="s">
        <v>40</v>
      </c>
    </row>
    <row r="910" spans="1:16" x14ac:dyDescent="0.25">
      <c r="A910" s="5">
        <v>45680</v>
      </c>
      <c r="B910" t="s">
        <v>56</v>
      </c>
      <c r="C910" t="s">
        <v>57</v>
      </c>
      <c r="D910" t="s">
        <v>58</v>
      </c>
      <c r="E910" t="s">
        <v>88</v>
      </c>
      <c r="F910" t="s">
        <v>89</v>
      </c>
      <c r="G910" t="s">
        <v>1032</v>
      </c>
      <c r="H910" s="6">
        <v>30</v>
      </c>
      <c r="I910" s="7">
        <v>256.72000000000003</v>
      </c>
      <c r="J910" s="7">
        <v>7701.5</v>
      </c>
      <c r="K910" s="6">
        <v>30</v>
      </c>
      <c r="L910" t="s">
        <v>52</v>
      </c>
      <c r="M910" s="8">
        <v>1540.3</v>
      </c>
      <c r="N910" s="7">
        <v>7701.5</v>
      </c>
      <c r="O910" t="s">
        <v>46</v>
      </c>
      <c r="P910" t="s">
        <v>40</v>
      </c>
    </row>
    <row r="911" spans="1:16" x14ac:dyDescent="0.25">
      <c r="A911" s="5">
        <v>45701</v>
      </c>
      <c r="B911" t="s">
        <v>100</v>
      </c>
      <c r="C911" t="s">
        <v>101</v>
      </c>
      <c r="D911" t="s">
        <v>69</v>
      </c>
      <c r="E911" t="s">
        <v>124</v>
      </c>
      <c r="F911" t="s">
        <v>89</v>
      </c>
      <c r="G911" t="s">
        <v>1033</v>
      </c>
      <c r="H911" s="6">
        <v>15</v>
      </c>
      <c r="I911" s="7">
        <v>591.54999999999995</v>
      </c>
      <c r="J911" s="7">
        <v>8873.26</v>
      </c>
      <c r="K911" s="6">
        <v>60</v>
      </c>
      <c r="L911" t="s">
        <v>38</v>
      </c>
      <c r="M911" s="8">
        <v>1774.652</v>
      </c>
      <c r="N911" s="7">
        <v>8873.26</v>
      </c>
      <c r="O911" t="s">
        <v>46</v>
      </c>
      <c r="P911" t="s">
        <v>40</v>
      </c>
    </row>
    <row r="912" spans="1:16" x14ac:dyDescent="0.25">
      <c r="A912" s="5">
        <v>45665</v>
      </c>
      <c r="B912" t="s">
        <v>80</v>
      </c>
      <c r="C912" t="s">
        <v>81</v>
      </c>
      <c r="D912" t="s">
        <v>64</v>
      </c>
      <c r="E912" t="s">
        <v>88</v>
      </c>
      <c r="F912" t="s">
        <v>89</v>
      </c>
      <c r="G912" t="s">
        <v>1034</v>
      </c>
      <c r="H912" s="6">
        <v>44</v>
      </c>
      <c r="I912" s="7">
        <v>151.97</v>
      </c>
      <c r="J912" s="7">
        <v>6686.65</v>
      </c>
      <c r="K912" s="6">
        <v>60</v>
      </c>
      <c r="L912" t="s">
        <v>38</v>
      </c>
      <c r="M912" s="8">
        <v>1337.33</v>
      </c>
      <c r="N912" s="7">
        <v>6686.65</v>
      </c>
      <c r="O912" t="s">
        <v>46</v>
      </c>
      <c r="P912" t="s">
        <v>40</v>
      </c>
    </row>
    <row r="913" spans="1:16" x14ac:dyDescent="0.25">
      <c r="A913" s="5">
        <v>45669</v>
      </c>
      <c r="B913" t="s">
        <v>85</v>
      </c>
      <c r="C913" t="s">
        <v>86</v>
      </c>
      <c r="D913" t="s">
        <v>58</v>
      </c>
      <c r="E913" t="s">
        <v>139</v>
      </c>
      <c r="F913" t="s">
        <v>108</v>
      </c>
      <c r="G913" t="s">
        <v>1035</v>
      </c>
      <c r="H913" s="6">
        <v>43</v>
      </c>
      <c r="I913" s="7">
        <v>84.61</v>
      </c>
      <c r="J913" s="7">
        <v>3638.11</v>
      </c>
      <c r="K913" s="6">
        <v>30</v>
      </c>
      <c r="L913" t="s">
        <v>52</v>
      </c>
      <c r="M913" s="8">
        <v>727.62199999999996</v>
      </c>
      <c r="N913" s="7">
        <v>3638.11</v>
      </c>
      <c r="O913" t="s">
        <v>46</v>
      </c>
      <c r="P913" t="s">
        <v>40</v>
      </c>
    </row>
    <row r="914" spans="1:16" x14ac:dyDescent="0.25">
      <c r="A914" s="5">
        <v>45937</v>
      </c>
      <c r="B914" t="s">
        <v>80</v>
      </c>
      <c r="C914" t="s">
        <v>81</v>
      </c>
      <c r="D914" t="s">
        <v>64</v>
      </c>
      <c r="E914" t="s">
        <v>135</v>
      </c>
      <c r="F914" t="s">
        <v>54</v>
      </c>
      <c r="G914" t="s">
        <v>1036</v>
      </c>
      <c r="H914" s="6">
        <v>67</v>
      </c>
      <c r="I914" s="7">
        <v>286.75</v>
      </c>
      <c r="J914" s="7">
        <v>19212.46</v>
      </c>
      <c r="K914" s="6">
        <v>45</v>
      </c>
      <c r="L914" t="s">
        <v>52</v>
      </c>
      <c r="M914" s="8">
        <v>3842.4920000000002</v>
      </c>
      <c r="N914" s="7">
        <v>19212.46</v>
      </c>
      <c r="O914" t="s">
        <v>46</v>
      </c>
      <c r="P914" t="s">
        <v>40</v>
      </c>
    </row>
    <row r="915" spans="1:16" x14ac:dyDescent="0.25">
      <c r="A915" s="5">
        <v>46015</v>
      </c>
      <c r="B915" t="s">
        <v>62</v>
      </c>
      <c r="C915" t="s">
        <v>63</v>
      </c>
      <c r="D915" t="s">
        <v>64</v>
      </c>
      <c r="E915" t="s">
        <v>124</v>
      </c>
      <c r="F915" t="s">
        <v>89</v>
      </c>
      <c r="G915" t="s">
        <v>1037</v>
      </c>
      <c r="H915" s="6">
        <v>3</v>
      </c>
      <c r="I915" s="7">
        <v>428.61</v>
      </c>
      <c r="J915" s="7">
        <v>1285.8399999999999</v>
      </c>
      <c r="K915" s="6">
        <v>45</v>
      </c>
      <c r="L915" t="s">
        <v>52</v>
      </c>
      <c r="M915" s="8">
        <v>257.16800000000001</v>
      </c>
      <c r="N915" s="7">
        <v>1285.8399999999999</v>
      </c>
      <c r="O915" t="s">
        <v>46</v>
      </c>
      <c r="P915" t="s">
        <v>40</v>
      </c>
    </row>
    <row r="916" spans="1:16" x14ac:dyDescent="0.25">
      <c r="A916" s="5">
        <v>45745</v>
      </c>
      <c r="B916" t="s">
        <v>103</v>
      </c>
      <c r="C916" t="s">
        <v>104</v>
      </c>
      <c r="D916" t="s">
        <v>58</v>
      </c>
      <c r="E916" t="s">
        <v>210</v>
      </c>
      <c r="F916" t="s">
        <v>50</v>
      </c>
      <c r="G916" t="s">
        <v>1038</v>
      </c>
      <c r="H916" s="6">
        <v>8</v>
      </c>
      <c r="I916" s="7">
        <v>113.87</v>
      </c>
      <c r="J916" s="7">
        <v>910.98</v>
      </c>
      <c r="K916" s="6">
        <v>45</v>
      </c>
      <c r="L916" t="s">
        <v>38</v>
      </c>
      <c r="M916" s="8">
        <v>182.196</v>
      </c>
      <c r="N916" s="7">
        <v>910.98</v>
      </c>
      <c r="O916" t="s">
        <v>46</v>
      </c>
      <c r="P916" t="s">
        <v>40</v>
      </c>
    </row>
    <row r="917" spans="1:16" x14ac:dyDescent="0.25">
      <c r="A917" s="5">
        <v>45896</v>
      </c>
      <c r="B917" t="s">
        <v>85</v>
      </c>
      <c r="C917" t="s">
        <v>86</v>
      </c>
      <c r="D917" t="s">
        <v>58</v>
      </c>
      <c r="E917" t="s">
        <v>59</v>
      </c>
      <c r="F917" t="s">
        <v>60</v>
      </c>
      <c r="G917" t="s">
        <v>1039</v>
      </c>
      <c r="H917" s="6">
        <v>2</v>
      </c>
      <c r="I917" s="7">
        <v>256.49</v>
      </c>
      <c r="J917" s="7">
        <v>512.98</v>
      </c>
      <c r="K917" s="6">
        <v>30</v>
      </c>
      <c r="L917" t="s">
        <v>45</v>
      </c>
      <c r="M917" s="8">
        <v>102.596</v>
      </c>
      <c r="N917" s="7">
        <v>512.98</v>
      </c>
      <c r="O917" t="s">
        <v>39</v>
      </c>
      <c r="P917" t="s">
        <v>40</v>
      </c>
    </row>
    <row r="918" spans="1:16" x14ac:dyDescent="0.25">
      <c r="A918" s="5">
        <v>45995</v>
      </c>
      <c r="B918" t="s">
        <v>77</v>
      </c>
      <c r="C918" t="s">
        <v>78</v>
      </c>
      <c r="D918" t="s">
        <v>58</v>
      </c>
      <c r="E918" t="s">
        <v>115</v>
      </c>
      <c r="F918" t="s">
        <v>60</v>
      </c>
      <c r="G918" t="s">
        <v>1040</v>
      </c>
      <c r="H918" s="6">
        <v>47</v>
      </c>
      <c r="I918" s="7">
        <v>307.33999999999997</v>
      </c>
      <c r="J918" s="7">
        <v>14445.21</v>
      </c>
      <c r="K918" s="6">
        <v>30</v>
      </c>
      <c r="L918" t="s">
        <v>38</v>
      </c>
      <c r="M918" s="8">
        <v>2889.0419999999999</v>
      </c>
      <c r="N918" s="7">
        <v>14445.21</v>
      </c>
      <c r="O918" t="s">
        <v>46</v>
      </c>
      <c r="P918" t="s">
        <v>40</v>
      </c>
    </row>
    <row r="919" spans="1:16" x14ac:dyDescent="0.25">
      <c r="A919" s="5">
        <v>45852</v>
      </c>
      <c r="B919" t="s">
        <v>73</v>
      </c>
      <c r="C919" t="s">
        <v>74</v>
      </c>
      <c r="D919" t="s">
        <v>69</v>
      </c>
      <c r="E919" t="s">
        <v>204</v>
      </c>
      <c r="F919" t="s">
        <v>97</v>
      </c>
      <c r="G919" t="s">
        <v>1041</v>
      </c>
      <c r="H919" s="6">
        <v>66</v>
      </c>
      <c r="I919" s="7">
        <v>332.43</v>
      </c>
      <c r="J919" s="7">
        <v>21940.12</v>
      </c>
      <c r="K919" s="6">
        <v>60</v>
      </c>
      <c r="L919" t="s">
        <v>38</v>
      </c>
      <c r="M919" s="8">
        <v>4388.0240000000003</v>
      </c>
      <c r="N919" s="7">
        <v>21940.12</v>
      </c>
      <c r="O919" t="s">
        <v>46</v>
      </c>
      <c r="P919" t="s">
        <v>40</v>
      </c>
    </row>
    <row r="920" spans="1:16" x14ac:dyDescent="0.25">
      <c r="A920" s="5">
        <v>45930</v>
      </c>
      <c r="B920" t="s">
        <v>94</v>
      </c>
      <c r="C920" t="s">
        <v>95</v>
      </c>
      <c r="D920" t="s">
        <v>34</v>
      </c>
      <c r="E920" t="s">
        <v>129</v>
      </c>
      <c r="F920" t="s">
        <v>108</v>
      </c>
      <c r="G920" t="s">
        <v>1042</v>
      </c>
      <c r="H920" s="6">
        <v>12</v>
      </c>
      <c r="I920" s="7">
        <v>58.67</v>
      </c>
      <c r="J920" s="7">
        <v>704.05</v>
      </c>
      <c r="K920" s="6">
        <v>30</v>
      </c>
      <c r="L920" t="s">
        <v>38</v>
      </c>
      <c r="M920" s="8">
        <v>140.81</v>
      </c>
      <c r="N920" s="7">
        <v>704.05</v>
      </c>
      <c r="O920" t="s">
        <v>46</v>
      </c>
      <c r="P920" t="s">
        <v>40</v>
      </c>
    </row>
    <row r="921" spans="1:16" x14ac:dyDescent="0.25">
      <c r="A921" s="5">
        <v>46022</v>
      </c>
      <c r="B921" t="s">
        <v>41</v>
      </c>
      <c r="C921" t="s">
        <v>42</v>
      </c>
      <c r="D921" t="s">
        <v>34</v>
      </c>
      <c r="E921" t="s">
        <v>129</v>
      </c>
      <c r="F921" t="s">
        <v>108</v>
      </c>
      <c r="G921" t="s">
        <v>1043</v>
      </c>
      <c r="H921" s="6">
        <v>3</v>
      </c>
      <c r="I921" s="7">
        <v>83.45</v>
      </c>
      <c r="J921" s="7">
        <v>250.35</v>
      </c>
      <c r="K921" s="6">
        <v>30</v>
      </c>
      <c r="L921" t="s">
        <v>38</v>
      </c>
      <c r="M921" s="8">
        <v>50.07</v>
      </c>
      <c r="N921" s="7">
        <v>250.35</v>
      </c>
      <c r="O921" t="s">
        <v>46</v>
      </c>
      <c r="P921" t="s">
        <v>40</v>
      </c>
    </row>
    <row r="922" spans="1:16" x14ac:dyDescent="0.25">
      <c r="A922" s="5">
        <v>45908</v>
      </c>
      <c r="B922" t="s">
        <v>32</v>
      </c>
      <c r="C922" t="s">
        <v>33</v>
      </c>
      <c r="D922" t="s">
        <v>34</v>
      </c>
      <c r="E922" t="s">
        <v>149</v>
      </c>
      <c r="F922" t="s">
        <v>60</v>
      </c>
      <c r="G922" t="s">
        <v>1044</v>
      </c>
      <c r="H922" s="6">
        <v>51</v>
      </c>
      <c r="I922" s="7">
        <v>397.07</v>
      </c>
      <c r="J922" s="7">
        <v>20250.82</v>
      </c>
      <c r="K922" s="6">
        <v>60</v>
      </c>
      <c r="L922" t="s">
        <v>38</v>
      </c>
      <c r="M922" s="8">
        <v>4050.1640000000002</v>
      </c>
      <c r="N922" s="7">
        <v>20250.82</v>
      </c>
      <c r="O922" t="s">
        <v>46</v>
      </c>
      <c r="P922" t="s">
        <v>40</v>
      </c>
    </row>
    <row r="923" spans="1:16" x14ac:dyDescent="0.25">
      <c r="A923" s="5">
        <v>45838</v>
      </c>
      <c r="B923" t="s">
        <v>100</v>
      </c>
      <c r="C923" t="s">
        <v>101</v>
      </c>
      <c r="D923" t="s">
        <v>69</v>
      </c>
      <c r="E923" t="s">
        <v>70</v>
      </c>
      <c r="F923" t="s">
        <v>71</v>
      </c>
      <c r="G923" t="s">
        <v>1045</v>
      </c>
      <c r="H923" s="6">
        <v>46</v>
      </c>
      <c r="I923" s="7">
        <v>54.02</v>
      </c>
      <c r="J923" s="7">
        <v>2484.77</v>
      </c>
      <c r="K923" s="6">
        <v>60</v>
      </c>
      <c r="L923" t="s">
        <v>45</v>
      </c>
      <c r="M923" s="8">
        <v>496.95400000000001</v>
      </c>
      <c r="N923" s="7">
        <v>2484.77</v>
      </c>
      <c r="O923" t="s">
        <v>46</v>
      </c>
      <c r="P923" t="s">
        <v>40</v>
      </c>
    </row>
    <row r="924" spans="1:16" x14ac:dyDescent="0.25">
      <c r="A924" s="5">
        <v>45978</v>
      </c>
      <c r="B924" t="s">
        <v>201</v>
      </c>
      <c r="C924" t="s">
        <v>202</v>
      </c>
      <c r="D924" t="s">
        <v>64</v>
      </c>
      <c r="E924" t="s">
        <v>59</v>
      </c>
      <c r="F924" t="s">
        <v>60</v>
      </c>
      <c r="G924" t="s">
        <v>1046</v>
      </c>
      <c r="H924" s="6">
        <v>33</v>
      </c>
      <c r="I924" s="7">
        <v>236.69</v>
      </c>
      <c r="J924" s="7">
        <v>7810.84</v>
      </c>
      <c r="K924" s="6">
        <v>45</v>
      </c>
      <c r="L924" t="s">
        <v>38</v>
      </c>
      <c r="M924" s="8">
        <v>1562.1679999999999</v>
      </c>
      <c r="N924" s="7">
        <v>7810.84</v>
      </c>
      <c r="O924" t="s">
        <v>39</v>
      </c>
      <c r="P924" t="s">
        <v>40</v>
      </c>
    </row>
    <row r="925" spans="1:16" x14ac:dyDescent="0.25">
      <c r="A925" s="5">
        <v>45735</v>
      </c>
      <c r="B925" t="s">
        <v>118</v>
      </c>
      <c r="C925" t="s">
        <v>119</v>
      </c>
      <c r="D925" t="s">
        <v>64</v>
      </c>
      <c r="E925" t="s">
        <v>59</v>
      </c>
      <c r="F925" t="s">
        <v>60</v>
      </c>
      <c r="G925" t="s">
        <v>1047</v>
      </c>
      <c r="H925" s="6">
        <v>44</v>
      </c>
      <c r="I925" s="7">
        <v>149.69</v>
      </c>
      <c r="J925" s="7">
        <v>6586.32</v>
      </c>
      <c r="K925" s="6">
        <v>45</v>
      </c>
      <c r="L925" t="s">
        <v>52</v>
      </c>
      <c r="M925" s="8">
        <v>1317.2639999999999</v>
      </c>
      <c r="N925" s="7">
        <v>6586.32</v>
      </c>
      <c r="O925" t="s">
        <v>39</v>
      </c>
      <c r="P925" t="s">
        <v>40</v>
      </c>
    </row>
    <row r="926" spans="1:16" x14ac:dyDescent="0.25">
      <c r="A926" s="5">
        <v>45853</v>
      </c>
      <c r="B926" t="s">
        <v>47</v>
      </c>
      <c r="C926" t="s">
        <v>48</v>
      </c>
      <c r="D926" t="s">
        <v>34</v>
      </c>
      <c r="E926" t="s">
        <v>43</v>
      </c>
      <c r="F926" t="s">
        <v>36</v>
      </c>
      <c r="G926" t="s">
        <v>1048</v>
      </c>
      <c r="H926" s="6">
        <v>67</v>
      </c>
      <c r="I926" s="7">
        <v>125.42</v>
      </c>
      <c r="J926" s="7">
        <v>8403.1</v>
      </c>
      <c r="K926" s="6">
        <v>60</v>
      </c>
      <c r="L926" t="s">
        <v>52</v>
      </c>
      <c r="M926" s="8">
        <v>1680.62</v>
      </c>
      <c r="N926" s="7">
        <v>8403.1</v>
      </c>
      <c r="O926" t="s">
        <v>46</v>
      </c>
      <c r="P926" t="s">
        <v>40</v>
      </c>
    </row>
    <row r="927" spans="1:16" x14ac:dyDescent="0.25">
      <c r="A927" s="5">
        <v>45781</v>
      </c>
      <c r="B927" t="s">
        <v>67</v>
      </c>
      <c r="C927" t="s">
        <v>68</v>
      </c>
      <c r="D927" t="s">
        <v>69</v>
      </c>
      <c r="E927" t="s">
        <v>65</v>
      </c>
      <c r="F927" t="s">
        <v>54</v>
      </c>
      <c r="G927" t="s">
        <v>1049</v>
      </c>
      <c r="H927" s="6">
        <v>74</v>
      </c>
      <c r="I927" s="7">
        <v>108.17</v>
      </c>
      <c r="J927" s="7">
        <v>8004.61</v>
      </c>
      <c r="K927" s="6">
        <v>30</v>
      </c>
      <c r="L927" t="s">
        <v>45</v>
      </c>
      <c r="M927" s="8">
        <v>1600.922</v>
      </c>
      <c r="N927" s="7">
        <v>8004.61</v>
      </c>
      <c r="O927" t="s">
        <v>46</v>
      </c>
      <c r="P927" t="s">
        <v>40</v>
      </c>
    </row>
    <row r="928" spans="1:16" x14ac:dyDescent="0.25">
      <c r="A928" s="5">
        <v>45935</v>
      </c>
      <c r="B928" t="s">
        <v>100</v>
      </c>
      <c r="C928" t="s">
        <v>101</v>
      </c>
      <c r="D928" t="s">
        <v>69</v>
      </c>
      <c r="E928" t="s">
        <v>132</v>
      </c>
      <c r="F928" t="s">
        <v>71</v>
      </c>
      <c r="G928" t="s">
        <v>1050</v>
      </c>
      <c r="H928" s="6">
        <v>17</v>
      </c>
      <c r="I928" s="7">
        <v>69.86</v>
      </c>
      <c r="J928" s="7">
        <v>1187.5899999999999</v>
      </c>
      <c r="K928" s="6">
        <v>30</v>
      </c>
      <c r="L928" t="s">
        <v>52</v>
      </c>
      <c r="M928" s="8">
        <v>237.518</v>
      </c>
      <c r="N928" s="7">
        <v>1187.5899999999999</v>
      </c>
      <c r="O928" t="s">
        <v>46</v>
      </c>
      <c r="P928" t="s">
        <v>40</v>
      </c>
    </row>
    <row r="929" spans="1:16" x14ac:dyDescent="0.25">
      <c r="A929" s="5">
        <v>45816</v>
      </c>
      <c r="B929" t="s">
        <v>77</v>
      </c>
      <c r="C929" t="s">
        <v>78</v>
      </c>
      <c r="D929" t="s">
        <v>58</v>
      </c>
      <c r="E929" t="s">
        <v>135</v>
      </c>
      <c r="F929" t="s">
        <v>54</v>
      </c>
      <c r="G929" t="s">
        <v>1051</v>
      </c>
      <c r="H929" s="6">
        <v>68</v>
      </c>
      <c r="I929" s="7">
        <v>307.64</v>
      </c>
      <c r="J929" s="7">
        <v>20919.46</v>
      </c>
      <c r="K929" s="6">
        <v>30</v>
      </c>
      <c r="L929" t="s">
        <v>45</v>
      </c>
      <c r="M929" s="8">
        <v>4183.8919999999998</v>
      </c>
      <c r="N929" s="7">
        <v>20919.46</v>
      </c>
      <c r="O929" t="s">
        <v>46</v>
      </c>
      <c r="P929" t="s">
        <v>40</v>
      </c>
    </row>
    <row r="930" spans="1:16" x14ac:dyDescent="0.25">
      <c r="A930" s="5">
        <v>45692</v>
      </c>
      <c r="B930" t="s">
        <v>143</v>
      </c>
      <c r="C930" t="s">
        <v>144</v>
      </c>
      <c r="D930" t="s">
        <v>69</v>
      </c>
      <c r="E930" t="s">
        <v>88</v>
      </c>
      <c r="F930" t="s">
        <v>89</v>
      </c>
      <c r="G930" t="s">
        <v>1052</v>
      </c>
      <c r="H930" s="6">
        <v>72</v>
      </c>
      <c r="I930" s="7">
        <v>425.81</v>
      </c>
      <c r="J930" s="7">
        <v>30658.38</v>
      </c>
      <c r="K930" s="6">
        <v>60</v>
      </c>
      <c r="L930" t="s">
        <v>52</v>
      </c>
      <c r="M930" s="8">
        <v>6131.6760000000004</v>
      </c>
      <c r="N930" s="7">
        <v>30658.38</v>
      </c>
      <c r="O930" t="s">
        <v>46</v>
      </c>
      <c r="P930" t="s">
        <v>40</v>
      </c>
    </row>
    <row r="931" spans="1:16" x14ac:dyDescent="0.25">
      <c r="A931" s="5">
        <v>45732</v>
      </c>
      <c r="B931" t="s">
        <v>113</v>
      </c>
      <c r="C931" t="s">
        <v>114</v>
      </c>
      <c r="D931" t="s">
        <v>69</v>
      </c>
      <c r="E931" t="s">
        <v>88</v>
      </c>
      <c r="F931" t="s">
        <v>89</v>
      </c>
      <c r="G931" t="s">
        <v>1053</v>
      </c>
      <c r="H931" s="6">
        <v>4</v>
      </c>
      <c r="I931" s="7">
        <v>173.61</v>
      </c>
      <c r="J931" s="7">
        <v>694.43</v>
      </c>
      <c r="K931" s="6">
        <v>45</v>
      </c>
      <c r="L931" t="s">
        <v>45</v>
      </c>
      <c r="M931" s="8">
        <v>138.886</v>
      </c>
      <c r="N931" s="7">
        <v>694.43</v>
      </c>
      <c r="O931" t="s">
        <v>46</v>
      </c>
      <c r="P931" t="s">
        <v>40</v>
      </c>
    </row>
    <row r="932" spans="1:16" x14ac:dyDescent="0.25">
      <c r="A932" s="5">
        <v>45984</v>
      </c>
      <c r="B932" t="s">
        <v>143</v>
      </c>
      <c r="C932" t="s">
        <v>144</v>
      </c>
      <c r="D932" t="s">
        <v>69</v>
      </c>
      <c r="E932" t="s">
        <v>149</v>
      </c>
      <c r="F932" t="s">
        <v>60</v>
      </c>
      <c r="G932" t="s">
        <v>1054</v>
      </c>
      <c r="H932" s="6">
        <v>36</v>
      </c>
      <c r="I932" s="7">
        <v>162.11000000000001</v>
      </c>
      <c r="J932" s="7">
        <v>5835.92</v>
      </c>
      <c r="K932" s="6">
        <v>30</v>
      </c>
      <c r="L932" t="s">
        <v>38</v>
      </c>
      <c r="M932" s="8">
        <v>1167.184</v>
      </c>
      <c r="N932" s="7">
        <v>5835.92</v>
      </c>
      <c r="O932" t="s">
        <v>46</v>
      </c>
      <c r="P932" t="s">
        <v>40</v>
      </c>
    </row>
    <row r="933" spans="1:16" x14ac:dyDescent="0.25">
      <c r="A933" s="5">
        <v>45671</v>
      </c>
      <c r="B933" t="s">
        <v>143</v>
      </c>
      <c r="C933" t="s">
        <v>144</v>
      </c>
      <c r="D933" t="s">
        <v>69</v>
      </c>
      <c r="E933" t="s">
        <v>154</v>
      </c>
      <c r="F933" t="s">
        <v>89</v>
      </c>
      <c r="G933" t="s">
        <v>1055</v>
      </c>
      <c r="H933" s="6">
        <v>79</v>
      </c>
      <c r="I933" s="7">
        <v>506.53</v>
      </c>
      <c r="J933" s="7">
        <v>40016.26</v>
      </c>
      <c r="K933" s="6">
        <v>60</v>
      </c>
      <c r="L933" t="s">
        <v>45</v>
      </c>
      <c r="M933" s="8">
        <v>8003.2520000000004</v>
      </c>
      <c r="N933" s="7">
        <v>40016.26</v>
      </c>
      <c r="O933" t="s">
        <v>39</v>
      </c>
      <c r="P933" t="s">
        <v>40</v>
      </c>
    </row>
    <row r="934" spans="1:16" x14ac:dyDescent="0.25">
      <c r="A934" s="5">
        <v>45776</v>
      </c>
      <c r="B934" t="s">
        <v>201</v>
      </c>
      <c r="C934" t="s">
        <v>202</v>
      </c>
      <c r="D934" t="s">
        <v>64</v>
      </c>
      <c r="E934" t="s">
        <v>53</v>
      </c>
      <c r="F934" t="s">
        <v>54</v>
      </c>
      <c r="G934" t="s">
        <v>1056</v>
      </c>
      <c r="H934" s="6">
        <v>30</v>
      </c>
      <c r="I934" s="7">
        <v>112.74</v>
      </c>
      <c r="J934" s="7">
        <v>3382.1</v>
      </c>
      <c r="K934" s="6">
        <v>60</v>
      </c>
      <c r="L934" t="s">
        <v>38</v>
      </c>
      <c r="M934" s="8">
        <v>676.42</v>
      </c>
      <c r="N934" s="7">
        <v>3382.1</v>
      </c>
      <c r="O934" t="s">
        <v>46</v>
      </c>
      <c r="P934" t="s">
        <v>40</v>
      </c>
    </row>
    <row r="935" spans="1:16" x14ac:dyDescent="0.25">
      <c r="A935" s="5">
        <v>45902</v>
      </c>
      <c r="B935" t="s">
        <v>85</v>
      </c>
      <c r="C935" t="s">
        <v>86</v>
      </c>
      <c r="D935" t="s">
        <v>58</v>
      </c>
      <c r="E935" t="s">
        <v>43</v>
      </c>
      <c r="F935" t="s">
        <v>36</v>
      </c>
      <c r="G935" t="s">
        <v>1057</v>
      </c>
      <c r="H935" s="6">
        <v>18</v>
      </c>
      <c r="I935" s="7">
        <v>19.399999999999999</v>
      </c>
      <c r="J935" s="7">
        <v>349.12</v>
      </c>
      <c r="K935" s="6">
        <v>60</v>
      </c>
      <c r="L935" t="s">
        <v>52</v>
      </c>
      <c r="M935" s="8">
        <v>69.823999999999998</v>
      </c>
      <c r="N935" s="7">
        <v>349.12</v>
      </c>
      <c r="O935" t="s">
        <v>46</v>
      </c>
      <c r="P935" t="s">
        <v>40</v>
      </c>
    </row>
    <row r="936" spans="1:16" x14ac:dyDescent="0.25">
      <c r="A936" s="5">
        <v>45856</v>
      </c>
      <c r="B936" t="s">
        <v>80</v>
      </c>
      <c r="C936" t="s">
        <v>81</v>
      </c>
      <c r="D936" t="s">
        <v>64</v>
      </c>
      <c r="E936" t="s">
        <v>83</v>
      </c>
      <c r="F936" t="s">
        <v>71</v>
      </c>
      <c r="G936" t="s">
        <v>1058</v>
      </c>
      <c r="H936" s="6">
        <v>63</v>
      </c>
      <c r="I936" s="7">
        <v>121.01</v>
      </c>
      <c r="J936" s="7">
        <v>7623.72</v>
      </c>
      <c r="K936" s="6">
        <v>45</v>
      </c>
      <c r="L936" t="s">
        <v>38</v>
      </c>
      <c r="M936" s="8">
        <v>1524.7439999999999</v>
      </c>
      <c r="N936" s="7">
        <v>7623.72</v>
      </c>
      <c r="O936" t="s">
        <v>39</v>
      </c>
      <c r="P936" t="s">
        <v>40</v>
      </c>
    </row>
    <row r="937" spans="1:16" x14ac:dyDescent="0.25">
      <c r="A937" s="5">
        <v>45674</v>
      </c>
      <c r="B937" t="s">
        <v>201</v>
      </c>
      <c r="C937" t="s">
        <v>202</v>
      </c>
      <c r="D937" t="s">
        <v>64</v>
      </c>
      <c r="E937" t="s">
        <v>135</v>
      </c>
      <c r="F937" t="s">
        <v>54</v>
      </c>
      <c r="G937" t="s">
        <v>1059</v>
      </c>
      <c r="H937" s="6">
        <v>53</v>
      </c>
      <c r="I937" s="7">
        <v>189.68</v>
      </c>
      <c r="J937" s="7">
        <v>10052.969999999999</v>
      </c>
      <c r="K937" s="6">
        <v>30</v>
      </c>
      <c r="L937" t="s">
        <v>45</v>
      </c>
      <c r="M937" s="8">
        <v>2010.5940000000001</v>
      </c>
      <c r="N937" s="7">
        <v>10052.969999999999</v>
      </c>
      <c r="O937" t="s">
        <v>46</v>
      </c>
      <c r="P937" t="s">
        <v>40</v>
      </c>
    </row>
    <row r="938" spans="1:16" x14ac:dyDescent="0.25">
      <c r="A938" s="5">
        <v>46001</v>
      </c>
      <c r="B938" t="s">
        <v>113</v>
      </c>
      <c r="C938" t="s">
        <v>114</v>
      </c>
      <c r="D938" t="s">
        <v>69</v>
      </c>
      <c r="E938" t="s">
        <v>53</v>
      </c>
      <c r="F938" t="s">
        <v>54</v>
      </c>
      <c r="G938" t="s">
        <v>1060</v>
      </c>
      <c r="H938" s="6">
        <v>26</v>
      </c>
      <c r="I938" s="7">
        <v>142.56</v>
      </c>
      <c r="J938" s="7">
        <v>3706.63</v>
      </c>
      <c r="K938" s="6">
        <v>30</v>
      </c>
      <c r="L938" t="s">
        <v>38</v>
      </c>
      <c r="M938" s="8">
        <v>741.32600000000002</v>
      </c>
      <c r="N938" s="7">
        <v>3706.63</v>
      </c>
      <c r="O938" t="s">
        <v>46</v>
      </c>
      <c r="P938" t="s">
        <v>40</v>
      </c>
    </row>
    <row r="939" spans="1:16" x14ac:dyDescent="0.25">
      <c r="A939" s="5">
        <v>45908</v>
      </c>
      <c r="B939" t="s">
        <v>85</v>
      </c>
      <c r="C939" t="s">
        <v>86</v>
      </c>
      <c r="D939" t="s">
        <v>58</v>
      </c>
      <c r="E939" t="s">
        <v>129</v>
      </c>
      <c r="F939" t="s">
        <v>108</v>
      </c>
      <c r="G939" t="s">
        <v>1061</v>
      </c>
      <c r="H939" s="6">
        <v>42</v>
      </c>
      <c r="I939" s="7">
        <v>110.73</v>
      </c>
      <c r="J939" s="7">
        <v>4650.6099999999997</v>
      </c>
      <c r="K939" s="6">
        <v>45</v>
      </c>
      <c r="L939" t="s">
        <v>38</v>
      </c>
      <c r="M939" s="8">
        <v>930.12199999999996</v>
      </c>
      <c r="N939" s="7">
        <v>4650.6099999999997</v>
      </c>
      <c r="O939" t="s">
        <v>46</v>
      </c>
      <c r="P939" t="s">
        <v>40</v>
      </c>
    </row>
    <row r="940" spans="1:16" x14ac:dyDescent="0.25">
      <c r="A940" s="5">
        <v>45969</v>
      </c>
      <c r="B940" t="s">
        <v>41</v>
      </c>
      <c r="C940" t="s">
        <v>42</v>
      </c>
      <c r="D940" t="s">
        <v>34</v>
      </c>
      <c r="E940" t="s">
        <v>204</v>
      </c>
      <c r="F940" t="s">
        <v>97</v>
      </c>
      <c r="G940" t="s">
        <v>1062</v>
      </c>
      <c r="H940" s="6">
        <v>49</v>
      </c>
      <c r="I940" s="7">
        <v>343.05</v>
      </c>
      <c r="J940" s="7">
        <v>16809.39</v>
      </c>
      <c r="K940" s="6">
        <v>60</v>
      </c>
      <c r="L940" t="s">
        <v>45</v>
      </c>
      <c r="M940" s="8">
        <v>3361.8780000000002</v>
      </c>
      <c r="N940" s="7">
        <v>16809.39</v>
      </c>
      <c r="O940" t="s">
        <v>46</v>
      </c>
      <c r="P940" t="s">
        <v>40</v>
      </c>
    </row>
    <row r="941" spans="1:16" x14ac:dyDescent="0.25">
      <c r="A941" s="5">
        <v>45713</v>
      </c>
      <c r="B941" t="s">
        <v>85</v>
      </c>
      <c r="C941" t="s">
        <v>86</v>
      </c>
      <c r="D941" t="s">
        <v>58</v>
      </c>
      <c r="E941" t="s">
        <v>152</v>
      </c>
      <c r="F941" t="s">
        <v>50</v>
      </c>
      <c r="G941" t="s">
        <v>1063</v>
      </c>
      <c r="H941" s="6">
        <v>58</v>
      </c>
      <c r="I941" s="7">
        <v>87.99</v>
      </c>
      <c r="J941" s="7">
        <v>5103.55</v>
      </c>
      <c r="K941" s="6">
        <v>45</v>
      </c>
      <c r="L941" t="s">
        <v>38</v>
      </c>
      <c r="M941" s="8">
        <v>1020.71</v>
      </c>
      <c r="N941" s="7">
        <v>5103.55</v>
      </c>
      <c r="O941" t="s">
        <v>46</v>
      </c>
      <c r="P941" t="s">
        <v>40</v>
      </c>
    </row>
    <row r="942" spans="1:16" x14ac:dyDescent="0.25">
      <c r="A942" s="5">
        <v>45678</v>
      </c>
      <c r="B942" t="s">
        <v>100</v>
      </c>
      <c r="C942" t="s">
        <v>101</v>
      </c>
      <c r="D942" t="s">
        <v>69</v>
      </c>
      <c r="E942" t="s">
        <v>105</v>
      </c>
      <c r="F942" t="s">
        <v>97</v>
      </c>
      <c r="G942" t="s">
        <v>1064</v>
      </c>
      <c r="H942" s="6">
        <v>72</v>
      </c>
      <c r="I942" s="7">
        <v>148.36000000000001</v>
      </c>
      <c r="J942" s="7">
        <v>10681.63</v>
      </c>
      <c r="K942" s="6">
        <v>45</v>
      </c>
      <c r="L942" t="s">
        <v>52</v>
      </c>
      <c r="M942" s="8">
        <v>2136.326</v>
      </c>
      <c r="N942" s="7">
        <v>10681.63</v>
      </c>
      <c r="O942" t="s">
        <v>46</v>
      </c>
      <c r="P942" t="s">
        <v>40</v>
      </c>
    </row>
    <row r="943" spans="1:16" x14ac:dyDescent="0.25">
      <c r="A943" s="5">
        <v>45807</v>
      </c>
      <c r="B943" t="s">
        <v>67</v>
      </c>
      <c r="C943" t="s">
        <v>68</v>
      </c>
      <c r="D943" t="s">
        <v>69</v>
      </c>
      <c r="E943" t="s">
        <v>49</v>
      </c>
      <c r="F943" t="s">
        <v>50</v>
      </c>
      <c r="G943" t="s">
        <v>1065</v>
      </c>
      <c r="H943" s="6">
        <v>57</v>
      </c>
      <c r="I943" s="7">
        <v>193.9</v>
      </c>
      <c r="J943" s="7">
        <v>11052.31</v>
      </c>
      <c r="K943" s="6">
        <v>45</v>
      </c>
      <c r="L943" t="s">
        <v>45</v>
      </c>
      <c r="M943" s="8">
        <v>2210.462</v>
      </c>
      <c r="N943" s="7">
        <v>11052.31</v>
      </c>
      <c r="O943" t="s">
        <v>39</v>
      </c>
      <c r="P943" t="s">
        <v>40</v>
      </c>
    </row>
    <row r="944" spans="1:16" x14ac:dyDescent="0.25">
      <c r="A944" s="5">
        <v>45874</v>
      </c>
      <c r="B944" t="s">
        <v>113</v>
      </c>
      <c r="C944" t="s">
        <v>114</v>
      </c>
      <c r="D944" t="s">
        <v>69</v>
      </c>
      <c r="E944" t="s">
        <v>107</v>
      </c>
      <c r="F944" t="s">
        <v>108</v>
      </c>
      <c r="G944" t="s">
        <v>1066</v>
      </c>
      <c r="H944" s="6">
        <v>38</v>
      </c>
      <c r="I944" s="7">
        <v>107.24</v>
      </c>
      <c r="J944" s="7">
        <v>4075.24</v>
      </c>
      <c r="K944" s="6">
        <v>60</v>
      </c>
      <c r="L944" t="s">
        <v>38</v>
      </c>
      <c r="M944" s="8">
        <v>815.048</v>
      </c>
      <c r="N944" s="7">
        <v>4075.24</v>
      </c>
      <c r="O944" t="s">
        <v>46</v>
      </c>
      <c r="P944" t="s">
        <v>40</v>
      </c>
    </row>
    <row r="945" spans="1:16" x14ac:dyDescent="0.25">
      <c r="A945" s="5">
        <v>45988</v>
      </c>
      <c r="B945" t="s">
        <v>103</v>
      </c>
      <c r="C945" t="s">
        <v>104</v>
      </c>
      <c r="D945" t="s">
        <v>58</v>
      </c>
      <c r="E945" t="s">
        <v>88</v>
      </c>
      <c r="F945" t="s">
        <v>89</v>
      </c>
      <c r="G945" t="s">
        <v>1067</v>
      </c>
      <c r="H945" s="6">
        <v>58</v>
      </c>
      <c r="I945" s="7">
        <v>170.44</v>
      </c>
      <c r="J945" s="7">
        <v>9885.7800000000007</v>
      </c>
      <c r="K945" s="6">
        <v>30</v>
      </c>
      <c r="L945" t="s">
        <v>52</v>
      </c>
      <c r="M945" s="8">
        <v>1977.1559999999999</v>
      </c>
      <c r="N945" s="7">
        <v>9885.7800000000007</v>
      </c>
      <c r="O945" t="s">
        <v>46</v>
      </c>
      <c r="P945" t="s">
        <v>40</v>
      </c>
    </row>
    <row r="946" spans="1:16" x14ac:dyDescent="0.25">
      <c r="A946" s="5">
        <v>45957</v>
      </c>
      <c r="B946" t="s">
        <v>47</v>
      </c>
      <c r="C946" t="s">
        <v>48</v>
      </c>
      <c r="D946" t="s">
        <v>34</v>
      </c>
      <c r="E946" t="s">
        <v>127</v>
      </c>
      <c r="F946" t="s">
        <v>36</v>
      </c>
      <c r="G946" t="s">
        <v>1068</v>
      </c>
      <c r="H946" s="6">
        <v>70</v>
      </c>
      <c r="I946" s="7">
        <v>179.48</v>
      </c>
      <c r="J946" s="7">
        <v>12563.27</v>
      </c>
      <c r="K946" s="6">
        <v>30</v>
      </c>
      <c r="L946" t="s">
        <v>45</v>
      </c>
      <c r="M946" s="8">
        <v>2512.654</v>
      </c>
      <c r="N946" s="7">
        <v>12563.27</v>
      </c>
      <c r="O946" t="s">
        <v>39</v>
      </c>
      <c r="P946" t="s">
        <v>40</v>
      </c>
    </row>
    <row r="947" spans="1:16" x14ac:dyDescent="0.25">
      <c r="A947" s="5">
        <v>45670</v>
      </c>
      <c r="B947" t="s">
        <v>56</v>
      </c>
      <c r="C947" t="s">
        <v>57</v>
      </c>
      <c r="D947" t="s">
        <v>58</v>
      </c>
      <c r="E947" t="s">
        <v>132</v>
      </c>
      <c r="F947" t="s">
        <v>71</v>
      </c>
      <c r="G947" t="s">
        <v>1069</v>
      </c>
      <c r="H947" s="6">
        <v>23</v>
      </c>
      <c r="I947" s="7">
        <v>52.74</v>
      </c>
      <c r="J947" s="7">
        <v>1212.97</v>
      </c>
      <c r="K947" s="6">
        <v>45</v>
      </c>
      <c r="L947" t="s">
        <v>52</v>
      </c>
      <c r="M947" s="8">
        <v>242.59399999999999</v>
      </c>
      <c r="N947" s="7">
        <v>1212.97</v>
      </c>
      <c r="O947" t="s">
        <v>46</v>
      </c>
      <c r="P947" t="s">
        <v>40</v>
      </c>
    </row>
    <row r="948" spans="1:16" x14ac:dyDescent="0.25">
      <c r="A948" s="5">
        <v>45704</v>
      </c>
      <c r="B948" t="s">
        <v>103</v>
      </c>
      <c r="C948" t="s">
        <v>104</v>
      </c>
      <c r="D948" t="s">
        <v>58</v>
      </c>
      <c r="E948" t="s">
        <v>65</v>
      </c>
      <c r="F948" t="s">
        <v>54</v>
      </c>
      <c r="G948" t="s">
        <v>1070</v>
      </c>
      <c r="H948" s="6">
        <v>33</v>
      </c>
      <c r="I948" s="7">
        <v>108.03</v>
      </c>
      <c r="J948" s="7">
        <v>3565.04</v>
      </c>
      <c r="K948" s="6">
        <v>45</v>
      </c>
      <c r="L948" t="s">
        <v>52</v>
      </c>
      <c r="M948" s="8">
        <v>713.00800000000004</v>
      </c>
      <c r="N948" s="7">
        <v>3565.04</v>
      </c>
      <c r="O948" t="s">
        <v>46</v>
      </c>
      <c r="P948" t="s">
        <v>40</v>
      </c>
    </row>
    <row r="949" spans="1:16" x14ac:dyDescent="0.25">
      <c r="A949" s="5">
        <v>45721</v>
      </c>
      <c r="B949" t="s">
        <v>143</v>
      </c>
      <c r="C949" t="s">
        <v>144</v>
      </c>
      <c r="D949" t="s">
        <v>69</v>
      </c>
      <c r="E949" t="s">
        <v>124</v>
      </c>
      <c r="F949" t="s">
        <v>89</v>
      </c>
      <c r="G949" t="s">
        <v>1071</v>
      </c>
      <c r="H949" s="6">
        <v>12</v>
      </c>
      <c r="I949" s="7">
        <v>123.03</v>
      </c>
      <c r="J949" s="7">
        <v>1476.33</v>
      </c>
      <c r="K949" s="6">
        <v>30</v>
      </c>
      <c r="L949" t="s">
        <v>52</v>
      </c>
      <c r="M949" s="8">
        <v>295.26600000000002</v>
      </c>
      <c r="N949" s="7">
        <v>1476.33</v>
      </c>
      <c r="O949" t="s">
        <v>46</v>
      </c>
      <c r="P949" t="s">
        <v>40</v>
      </c>
    </row>
    <row r="950" spans="1:16" x14ac:dyDescent="0.25">
      <c r="A950" s="5">
        <v>45926</v>
      </c>
      <c r="B950" t="s">
        <v>67</v>
      </c>
      <c r="C950" t="s">
        <v>68</v>
      </c>
      <c r="D950" t="s">
        <v>69</v>
      </c>
      <c r="E950" t="s">
        <v>83</v>
      </c>
      <c r="F950" t="s">
        <v>71</v>
      </c>
      <c r="G950" t="s">
        <v>1072</v>
      </c>
      <c r="H950" s="6">
        <v>50</v>
      </c>
      <c r="I950" s="7">
        <v>92.65</v>
      </c>
      <c r="J950" s="7">
        <v>4632.3900000000003</v>
      </c>
      <c r="K950" s="6">
        <v>60</v>
      </c>
      <c r="L950" t="s">
        <v>52</v>
      </c>
      <c r="M950" s="8">
        <v>926.47799999999995</v>
      </c>
      <c r="N950" s="7">
        <v>4632.3900000000003</v>
      </c>
      <c r="O950" t="s">
        <v>39</v>
      </c>
      <c r="P950" t="s">
        <v>40</v>
      </c>
    </row>
    <row r="951" spans="1:16" x14ac:dyDescent="0.25">
      <c r="A951" s="5">
        <v>45939</v>
      </c>
      <c r="B951" t="s">
        <v>143</v>
      </c>
      <c r="C951" t="s">
        <v>144</v>
      </c>
      <c r="D951" t="s">
        <v>69</v>
      </c>
      <c r="E951" t="s">
        <v>88</v>
      </c>
      <c r="F951" t="s">
        <v>89</v>
      </c>
      <c r="G951" t="s">
        <v>1073</v>
      </c>
      <c r="H951" s="6">
        <v>49</v>
      </c>
      <c r="I951" s="7">
        <v>205.78</v>
      </c>
      <c r="J951" s="7">
        <v>10083.08</v>
      </c>
      <c r="K951" s="6">
        <v>30</v>
      </c>
      <c r="L951" t="s">
        <v>38</v>
      </c>
      <c r="M951" s="8">
        <v>2016.616</v>
      </c>
      <c r="N951" s="7">
        <v>10083.08</v>
      </c>
      <c r="O951" t="s">
        <v>46</v>
      </c>
      <c r="P951" t="s">
        <v>40</v>
      </c>
    </row>
    <row r="952" spans="1:16" x14ac:dyDescent="0.25">
      <c r="A952" s="5">
        <v>45732</v>
      </c>
      <c r="B952" t="s">
        <v>62</v>
      </c>
      <c r="C952" t="s">
        <v>63</v>
      </c>
      <c r="D952" t="s">
        <v>64</v>
      </c>
      <c r="E952" t="s">
        <v>154</v>
      </c>
      <c r="F952" t="s">
        <v>89</v>
      </c>
      <c r="G952" t="s">
        <v>1074</v>
      </c>
      <c r="H952" s="6">
        <v>23</v>
      </c>
      <c r="I952" s="7">
        <v>157.63</v>
      </c>
      <c r="J952" s="7">
        <v>3625.59</v>
      </c>
      <c r="K952" s="6">
        <v>60</v>
      </c>
      <c r="L952" t="s">
        <v>38</v>
      </c>
      <c r="M952" s="8">
        <v>725.11800000000005</v>
      </c>
      <c r="N952" s="7">
        <v>3625.59</v>
      </c>
      <c r="O952" t="s">
        <v>39</v>
      </c>
      <c r="P952" t="s">
        <v>40</v>
      </c>
    </row>
    <row r="953" spans="1:16" x14ac:dyDescent="0.25">
      <c r="A953" s="5">
        <v>45886</v>
      </c>
      <c r="B953" t="s">
        <v>94</v>
      </c>
      <c r="C953" t="s">
        <v>95</v>
      </c>
      <c r="D953" t="s">
        <v>34</v>
      </c>
      <c r="E953" t="s">
        <v>149</v>
      </c>
      <c r="F953" t="s">
        <v>60</v>
      </c>
      <c r="G953" t="s">
        <v>1075</v>
      </c>
      <c r="H953" s="6">
        <v>37</v>
      </c>
      <c r="I953" s="7">
        <v>267</v>
      </c>
      <c r="J953" s="7">
        <v>9879.09</v>
      </c>
      <c r="K953" s="6">
        <v>60</v>
      </c>
      <c r="L953" t="s">
        <v>38</v>
      </c>
      <c r="M953" s="8">
        <v>1975.818</v>
      </c>
      <c r="N953" s="7">
        <v>9879.09</v>
      </c>
      <c r="O953" t="s">
        <v>46</v>
      </c>
      <c r="P953" t="s">
        <v>40</v>
      </c>
    </row>
    <row r="954" spans="1:16" x14ac:dyDescent="0.25">
      <c r="A954" s="5">
        <v>45659</v>
      </c>
      <c r="B954" t="s">
        <v>113</v>
      </c>
      <c r="C954" t="s">
        <v>114</v>
      </c>
      <c r="D954" t="s">
        <v>69</v>
      </c>
      <c r="E954" t="s">
        <v>154</v>
      </c>
      <c r="F954" t="s">
        <v>89</v>
      </c>
      <c r="G954" t="s">
        <v>1076</v>
      </c>
      <c r="H954" s="6">
        <v>80</v>
      </c>
      <c r="I954" s="7">
        <v>90.43</v>
      </c>
      <c r="J954" s="7">
        <v>7234.65</v>
      </c>
      <c r="K954" s="6">
        <v>45</v>
      </c>
      <c r="L954" t="s">
        <v>38</v>
      </c>
      <c r="M954" s="8">
        <v>1446.93</v>
      </c>
      <c r="N954" s="7">
        <v>7234.65</v>
      </c>
      <c r="O954" t="s">
        <v>39</v>
      </c>
      <c r="P954" t="s">
        <v>40</v>
      </c>
    </row>
    <row r="955" spans="1:16" x14ac:dyDescent="0.25">
      <c r="A955" s="5">
        <v>45936</v>
      </c>
      <c r="B955" t="s">
        <v>80</v>
      </c>
      <c r="C955" t="s">
        <v>81</v>
      </c>
      <c r="D955" t="s">
        <v>64</v>
      </c>
      <c r="E955" t="s">
        <v>139</v>
      </c>
      <c r="F955" t="s">
        <v>108</v>
      </c>
      <c r="G955" t="s">
        <v>1077</v>
      </c>
      <c r="H955" s="6">
        <v>1</v>
      </c>
      <c r="I955" s="7">
        <v>165.93</v>
      </c>
      <c r="J955" s="7">
        <v>165.93</v>
      </c>
      <c r="K955" s="6">
        <v>60</v>
      </c>
      <c r="L955" t="s">
        <v>45</v>
      </c>
      <c r="M955" s="8">
        <v>33.186</v>
      </c>
      <c r="N955" s="7">
        <v>165.93</v>
      </c>
      <c r="O955" t="s">
        <v>46</v>
      </c>
      <c r="P955" t="s">
        <v>40</v>
      </c>
    </row>
    <row r="956" spans="1:16" x14ac:dyDescent="0.25">
      <c r="A956" s="5">
        <v>45995</v>
      </c>
      <c r="B956" t="s">
        <v>85</v>
      </c>
      <c r="C956" t="s">
        <v>86</v>
      </c>
      <c r="D956" t="s">
        <v>58</v>
      </c>
      <c r="E956" t="s">
        <v>53</v>
      </c>
      <c r="F956" t="s">
        <v>54</v>
      </c>
      <c r="G956" t="s">
        <v>1078</v>
      </c>
      <c r="H956" s="6">
        <v>61</v>
      </c>
      <c r="I956" s="7">
        <v>238.96</v>
      </c>
      <c r="J956" s="7">
        <v>14576.29</v>
      </c>
      <c r="K956" s="6">
        <v>45</v>
      </c>
      <c r="L956" t="s">
        <v>45</v>
      </c>
      <c r="M956" s="8">
        <v>2915.2579999999998</v>
      </c>
      <c r="N956" s="7">
        <v>14576.29</v>
      </c>
      <c r="O956" t="s">
        <v>46</v>
      </c>
      <c r="P956" t="s">
        <v>40</v>
      </c>
    </row>
    <row r="957" spans="1:16" x14ac:dyDescent="0.25">
      <c r="A957" s="5">
        <v>45965</v>
      </c>
      <c r="B957" t="s">
        <v>110</v>
      </c>
      <c r="C957" t="s">
        <v>111</v>
      </c>
      <c r="D957" t="s">
        <v>58</v>
      </c>
      <c r="E957" t="s">
        <v>43</v>
      </c>
      <c r="F957" t="s">
        <v>36</v>
      </c>
      <c r="G957" t="s">
        <v>1079</v>
      </c>
      <c r="H957" s="6">
        <v>1</v>
      </c>
      <c r="I957" s="7">
        <v>120.17</v>
      </c>
      <c r="J957" s="7">
        <v>120.17</v>
      </c>
      <c r="K957" s="6">
        <v>30</v>
      </c>
      <c r="L957" t="s">
        <v>52</v>
      </c>
      <c r="M957" s="8">
        <v>24.033999999999999</v>
      </c>
      <c r="N957" s="7">
        <v>120.17</v>
      </c>
      <c r="O957" t="s">
        <v>46</v>
      </c>
      <c r="P957" t="s">
        <v>40</v>
      </c>
    </row>
    <row r="958" spans="1:16" x14ac:dyDescent="0.25">
      <c r="A958" s="5">
        <v>45752</v>
      </c>
      <c r="B958" t="s">
        <v>85</v>
      </c>
      <c r="C958" t="s">
        <v>86</v>
      </c>
      <c r="D958" t="s">
        <v>58</v>
      </c>
      <c r="E958" t="s">
        <v>135</v>
      </c>
      <c r="F958" t="s">
        <v>54</v>
      </c>
      <c r="G958" t="s">
        <v>1080</v>
      </c>
      <c r="H958" s="6">
        <v>19</v>
      </c>
      <c r="I958" s="7">
        <v>301.86</v>
      </c>
      <c r="J958" s="7">
        <v>5735.32</v>
      </c>
      <c r="K958" s="6">
        <v>30</v>
      </c>
      <c r="L958" t="s">
        <v>52</v>
      </c>
      <c r="M958" s="8">
        <v>1147.0640000000001</v>
      </c>
      <c r="N958" s="7">
        <v>5735.32</v>
      </c>
      <c r="O958" t="s">
        <v>46</v>
      </c>
      <c r="P958" t="s">
        <v>40</v>
      </c>
    </row>
    <row r="959" spans="1:16" x14ac:dyDescent="0.25">
      <c r="A959" s="5">
        <v>45674</v>
      </c>
      <c r="B959" t="s">
        <v>110</v>
      </c>
      <c r="C959" t="s">
        <v>111</v>
      </c>
      <c r="D959" t="s">
        <v>58</v>
      </c>
      <c r="E959" t="s">
        <v>49</v>
      </c>
      <c r="F959" t="s">
        <v>50</v>
      </c>
      <c r="G959" t="s">
        <v>1081</v>
      </c>
      <c r="H959" s="6">
        <v>74</v>
      </c>
      <c r="I959" s="7">
        <v>154.27000000000001</v>
      </c>
      <c r="J959" s="7">
        <v>11416</v>
      </c>
      <c r="K959" s="6">
        <v>60</v>
      </c>
      <c r="L959" t="s">
        <v>45</v>
      </c>
      <c r="M959" s="8">
        <v>2283.1999999999998</v>
      </c>
      <c r="N959" s="7">
        <v>11416</v>
      </c>
      <c r="O959" t="s">
        <v>39</v>
      </c>
      <c r="P959" t="s">
        <v>40</v>
      </c>
    </row>
    <row r="960" spans="1:16" x14ac:dyDescent="0.25">
      <c r="A960" s="5">
        <v>45713</v>
      </c>
      <c r="B960" t="s">
        <v>201</v>
      </c>
      <c r="C960" t="s">
        <v>202</v>
      </c>
      <c r="D960" t="s">
        <v>64</v>
      </c>
      <c r="E960" t="s">
        <v>127</v>
      </c>
      <c r="F960" t="s">
        <v>36</v>
      </c>
      <c r="G960" t="s">
        <v>1082</v>
      </c>
      <c r="H960" s="6">
        <v>54</v>
      </c>
      <c r="I960" s="7">
        <v>88.92</v>
      </c>
      <c r="J960" s="7">
        <v>4801.79</v>
      </c>
      <c r="K960" s="6">
        <v>30</v>
      </c>
      <c r="L960" t="s">
        <v>38</v>
      </c>
      <c r="M960" s="8">
        <v>960.35799999999995</v>
      </c>
      <c r="N960" s="7">
        <v>4801.79</v>
      </c>
      <c r="O960" t="s">
        <v>39</v>
      </c>
      <c r="P960" t="s">
        <v>40</v>
      </c>
    </row>
    <row r="961" spans="1:16" x14ac:dyDescent="0.25">
      <c r="A961" s="5">
        <v>45996</v>
      </c>
      <c r="B961" t="s">
        <v>85</v>
      </c>
      <c r="C961" t="s">
        <v>86</v>
      </c>
      <c r="D961" t="s">
        <v>58</v>
      </c>
      <c r="E961" t="s">
        <v>391</v>
      </c>
      <c r="F961" t="s">
        <v>60</v>
      </c>
      <c r="G961" t="s">
        <v>1083</v>
      </c>
      <c r="H961" s="6">
        <v>77</v>
      </c>
      <c r="I961" s="7">
        <v>281.43</v>
      </c>
      <c r="J961" s="7">
        <v>21669.75</v>
      </c>
      <c r="K961" s="6">
        <v>60</v>
      </c>
      <c r="L961" t="s">
        <v>52</v>
      </c>
      <c r="M961" s="8">
        <v>4333.95</v>
      </c>
      <c r="N961" s="7">
        <v>21669.75</v>
      </c>
      <c r="O961" t="s">
        <v>46</v>
      </c>
      <c r="P961" t="s">
        <v>40</v>
      </c>
    </row>
    <row r="962" spans="1:16" x14ac:dyDescent="0.25">
      <c r="A962" s="5">
        <v>45954</v>
      </c>
      <c r="B962" t="s">
        <v>41</v>
      </c>
      <c r="C962" t="s">
        <v>42</v>
      </c>
      <c r="D962" t="s">
        <v>34</v>
      </c>
      <c r="E962" t="s">
        <v>129</v>
      </c>
      <c r="F962" t="s">
        <v>108</v>
      </c>
      <c r="G962" t="s">
        <v>1084</v>
      </c>
      <c r="H962" s="6">
        <v>47</v>
      </c>
      <c r="I962" s="7">
        <v>106.8</v>
      </c>
      <c r="J962" s="7">
        <v>5019.74</v>
      </c>
      <c r="K962" s="6">
        <v>30</v>
      </c>
      <c r="L962" t="s">
        <v>38</v>
      </c>
      <c r="M962" s="8">
        <v>1003.948</v>
      </c>
      <c r="N962" s="7">
        <v>5019.74</v>
      </c>
      <c r="O962" t="s">
        <v>46</v>
      </c>
      <c r="P962" t="s">
        <v>40</v>
      </c>
    </row>
    <row r="963" spans="1:16" x14ac:dyDescent="0.25">
      <c r="A963" s="5">
        <v>45852</v>
      </c>
      <c r="B963" t="s">
        <v>103</v>
      </c>
      <c r="C963" t="s">
        <v>104</v>
      </c>
      <c r="D963" t="s">
        <v>58</v>
      </c>
      <c r="E963" t="s">
        <v>132</v>
      </c>
      <c r="F963" t="s">
        <v>71</v>
      </c>
      <c r="G963" t="s">
        <v>1085</v>
      </c>
      <c r="H963" s="6">
        <v>9</v>
      </c>
      <c r="I963" s="7">
        <v>197.34</v>
      </c>
      <c r="J963" s="7">
        <v>1776.03</v>
      </c>
      <c r="K963" s="6">
        <v>45</v>
      </c>
      <c r="L963" t="s">
        <v>52</v>
      </c>
      <c r="M963" s="8">
        <v>355.20600000000002</v>
      </c>
      <c r="N963" s="7">
        <v>1776.03</v>
      </c>
      <c r="O963" t="s">
        <v>46</v>
      </c>
      <c r="P963" t="s">
        <v>40</v>
      </c>
    </row>
    <row r="964" spans="1:16" x14ac:dyDescent="0.25">
      <c r="A964" s="5">
        <v>45726</v>
      </c>
      <c r="B964" t="s">
        <v>91</v>
      </c>
      <c r="C964" t="s">
        <v>92</v>
      </c>
      <c r="D964" t="s">
        <v>64</v>
      </c>
      <c r="E964" t="s">
        <v>149</v>
      </c>
      <c r="F964" t="s">
        <v>60</v>
      </c>
      <c r="G964" t="s">
        <v>1086</v>
      </c>
      <c r="H964" s="6">
        <v>16</v>
      </c>
      <c r="I964" s="7">
        <v>245.11</v>
      </c>
      <c r="J964" s="7">
        <v>3921.79</v>
      </c>
      <c r="K964" s="6">
        <v>60</v>
      </c>
      <c r="L964" t="s">
        <v>45</v>
      </c>
      <c r="M964" s="8">
        <v>784.35799999999995</v>
      </c>
      <c r="N964" s="7">
        <v>3921.79</v>
      </c>
      <c r="O964" t="s">
        <v>46</v>
      </c>
      <c r="P964" t="s">
        <v>40</v>
      </c>
    </row>
    <row r="965" spans="1:16" x14ac:dyDescent="0.25">
      <c r="A965" s="5">
        <v>45765</v>
      </c>
      <c r="B965" t="s">
        <v>113</v>
      </c>
      <c r="C965" t="s">
        <v>114</v>
      </c>
      <c r="D965" t="s">
        <v>69</v>
      </c>
      <c r="E965" t="s">
        <v>105</v>
      </c>
      <c r="F965" t="s">
        <v>97</v>
      </c>
      <c r="G965" t="s">
        <v>1087</v>
      </c>
      <c r="H965" s="6">
        <v>27</v>
      </c>
      <c r="I965" s="7">
        <v>443.07</v>
      </c>
      <c r="J965" s="7">
        <v>11962.97</v>
      </c>
      <c r="K965" s="6">
        <v>60</v>
      </c>
      <c r="L965" t="s">
        <v>38</v>
      </c>
      <c r="M965" s="8">
        <v>2392.5940000000001</v>
      </c>
      <c r="N965" s="7">
        <v>11962.97</v>
      </c>
      <c r="O965" t="s">
        <v>46</v>
      </c>
      <c r="P965" t="s">
        <v>40</v>
      </c>
    </row>
    <row r="966" spans="1:16" x14ac:dyDescent="0.25">
      <c r="A966" s="5">
        <v>46010</v>
      </c>
      <c r="B966" t="s">
        <v>73</v>
      </c>
      <c r="C966" t="s">
        <v>74</v>
      </c>
      <c r="D966" t="s">
        <v>69</v>
      </c>
      <c r="E966" t="s">
        <v>75</v>
      </c>
      <c r="F966" t="s">
        <v>36</v>
      </c>
      <c r="G966" t="s">
        <v>1088</v>
      </c>
      <c r="H966" s="6">
        <v>78</v>
      </c>
      <c r="I966" s="7">
        <v>61.87</v>
      </c>
      <c r="J966" s="7">
        <v>4825.8500000000004</v>
      </c>
      <c r="K966" s="6">
        <v>60</v>
      </c>
      <c r="L966" t="s">
        <v>45</v>
      </c>
      <c r="M966" s="8">
        <v>965.17</v>
      </c>
      <c r="N966" s="7">
        <v>4825.8500000000004</v>
      </c>
      <c r="O966" t="s">
        <v>46</v>
      </c>
      <c r="P966" t="s">
        <v>40</v>
      </c>
    </row>
    <row r="967" spans="1:16" x14ac:dyDescent="0.25">
      <c r="A967" s="5">
        <v>45927</v>
      </c>
      <c r="B967" t="s">
        <v>67</v>
      </c>
      <c r="C967" t="s">
        <v>68</v>
      </c>
      <c r="D967" t="s">
        <v>69</v>
      </c>
      <c r="E967" t="s">
        <v>132</v>
      </c>
      <c r="F967" t="s">
        <v>71</v>
      </c>
      <c r="G967" t="s">
        <v>1089</v>
      </c>
      <c r="H967" s="6">
        <v>74</v>
      </c>
      <c r="I967" s="7">
        <v>209.76</v>
      </c>
      <c r="J967" s="7">
        <v>15521.89</v>
      </c>
      <c r="K967" s="6">
        <v>60</v>
      </c>
      <c r="L967" t="s">
        <v>45</v>
      </c>
      <c r="M967" s="8">
        <v>3104.3780000000002</v>
      </c>
      <c r="N967" s="7">
        <v>15521.89</v>
      </c>
      <c r="O967" t="s">
        <v>46</v>
      </c>
      <c r="P967" t="s">
        <v>40</v>
      </c>
    </row>
    <row r="968" spans="1:16" x14ac:dyDescent="0.25">
      <c r="A968" s="5">
        <v>45981</v>
      </c>
      <c r="B968" t="s">
        <v>118</v>
      </c>
      <c r="C968" t="s">
        <v>119</v>
      </c>
      <c r="D968" t="s">
        <v>64</v>
      </c>
      <c r="E968" t="s">
        <v>129</v>
      </c>
      <c r="F968" t="s">
        <v>108</v>
      </c>
      <c r="G968" t="s">
        <v>1090</v>
      </c>
      <c r="H968" s="6">
        <v>64</v>
      </c>
      <c r="I968" s="7">
        <v>51.7</v>
      </c>
      <c r="J968" s="7">
        <v>3308.85</v>
      </c>
      <c r="K968" s="6">
        <v>45</v>
      </c>
      <c r="L968" t="s">
        <v>38</v>
      </c>
      <c r="M968" s="8">
        <v>661.77</v>
      </c>
      <c r="N968" s="7">
        <v>3308.85</v>
      </c>
      <c r="O968" t="s">
        <v>46</v>
      </c>
      <c r="P968" t="s">
        <v>40</v>
      </c>
    </row>
    <row r="969" spans="1:16" x14ac:dyDescent="0.25">
      <c r="A969" s="5">
        <v>45806</v>
      </c>
      <c r="B969" t="s">
        <v>110</v>
      </c>
      <c r="C969" t="s">
        <v>111</v>
      </c>
      <c r="D969" t="s">
        <v>58</v>
      </c>
      <c r="E969" t="s">
        <v>53</v>
      </c>
      <c r="F969" t="s">
        <v>54</v>
      </c>
      <c r="G969" t="s">
        <v>1091</v>
      </c>
      <c r="H969" s="6">
        <v>25</v>
      </c>
      <c r="I969" s="7">
        <v>673.16</v>
      </c>
      <c r="J969" s="7">
        <v>16828.919999999998</v>
      </c>
      <c r="K969" s="6">
        <v>30</v>
      </c>
      <c r="L969" t="s">
        <v>38</v>
      </c>
      <c r="M969" s="8">
        <v>3365.7840000000001</v>
      </c>
      <c r="N969" s="7">
        <v>16828.919999999998</v>
      </c>
      <c r="O969" t="s">
        <v>46</v>
      </c>
      <c r="P969" t="s">
        <v>40</v>
      </c>
    </row>
    <row r="970" spans="1:16" x14ac:dyDescent="0.25">
      <c r="A970" s="5">
        <v>45718</v>
      </c>
      <c r="B970" t="s">
        <v>41</v>
      </c>
      <c r="C970" t="s">
        <v>42</v>
      </c>
      <c r="D970" t="s">
        <v>34</v>
      </c>
      <c r="E970" t="s">
        <v>129</v>
      </c>
      <c r="F970" t="s">
        <v>108</v>
      </c>
      <c r="G970" t="s">
        <v>1092</v>
      </c>
      <c r="H970" s="6">
        <v>27</v>
      </c>
      <c r="I970" s="7">
        <v>73.36</v>
      </c>
      <c r="J970" s="7">
        <v>1980.76</v>
      </c>
      <c r="K970" s="6">
        <v>60</v>
      </c>
      <c r="L970" t="s">
        <v>45</v>
      </c>
      <c r="M970" s="8">
        <v>396.15199999999999</v>
      </c>
      <c r="N970" s="7">
        <v>1980.76</v>
      </c>
      <c r="O970" t="s">
        <v>46</v>
      </c>
      <c r="P970" t="s">
        <v>40</v>
      </c>
    </row>
    <row r="971" spans="1:16" x14ac:dyDescent="0.25">
      <c r="A971" s="5">
        <v>45837</v>
      </c>
      <c r="B971" t="s">
        <v>103</v>
      </c>
      <c r="C971" t="s">
        <v>104</v>
      </c>
      <c r="D971" t="s">
        <v>58</v>
      </c>
      <c r="E971" t="s">
        <v>210</v>
      </c>
      <c r="F971" t="s">
        <v>50</v>
      </c>
      <c r="G971" t="s">
        <v>1093</v>
      </c>
      <c r="H971" s="6">
        <v>72</v>
      </c>
      <c r="I971" s="7">
        <v>54.63</v>
      </c>
      <c r="J971" s="7">
        <v>3933.29</v>
      </c>
      <c r="K971" s="6">
        <v>60</v>
      </c>
      <c r="L971" t="s">
        <v>38</v>
      </c>
      <c r="M971" s="8">
        <v>786.65800000000002</v>
      </c>
      <c r="N971" s="7">
        <v>3933.29</v>
      </c>
      <c r="O971" t="s">
        <v>46</v>
      </c>
      <c r="P971" t="s">
        <v>40</v>
      </c>
    </row>
    <row r="972" spans="1:16" x14ac:dyDescent="0.25">
      <c r="A972" s="5">
        <v>45802</v>
      </c>
      <c r="B972" t="s">
        <v>91</v>
      </c>
      <c r="C972" t="s">
        <v>92</v>
      </c>
      <c r="D972" t="s">
        <v>64</v>
      </c>
      <c r="E972" t="s">
        <v>53</v>
      </c>
      <c r="F972" t="s">
        <v>54</v>
      </c>
      <c r="G972" t="s">
        <v>1094</v>
      </c>
      <c r="H972" s="6">
        <v>33</v>
      </c>
      <c r="I972" s="7">
        <v>268.25</v>
      </c>
      <c r="J972" s="7">
        <v>8852.24</v>
      </c>
      <c r="K972" s="6">
        <v>30</v>
      </c>
      <c r="L972" t="s">
        <v>45</v>
      </c>
      <c r="M972" s="8">
        <v>1770.4480000000001</v>
      </c>
      <c r="N972" s="7">
        <v>8852.24</v>
      </c>
      <c r="O972" t="s">
        <v>46</v>
      </c>
      <c r="P972" t="s">
        <v>40</v>
      </c>
    </row>
    <row r="973" spans="1:16" x14ac:dyDescent="0.25">
      <c r="A973" s="5">
        <v>45716</v>
      </c>
      <c r="B973" t="s">
        <v>73</v>
      </c>
      <c r="C973" t="s">
        <v>74</v>
      </c>
      <c r="D973" t="s">
        <v>69</v>
      </c>
      <c r="E973" t="s">
        <v>83</v>
      </c>
      <c r="F973" t="s">
        <v>71</v>
      </c>
      <c r="G973" t="s">
        <v>1095</v>
      </c>
      <c r="H973" s="6">
        <v>43</v>
      </c>
      <c r="I973" s="7">
        <v>65.319999999999993</v>
      </c>
      <c r="J973" s="7">
        <v>2808.76</v>
      </c>
      <c r="K973" s="6">
        <v>45</v>
      </c>
      <c r="L973" t="s">
        <v>45</v>
      </c>
      <c r="M973" s="8">
        <v>561.75199999999995</v>
      </c>
      <c r="N973" s="7">
        <v>2808.76</v>
      </c>
      <c r="O973" t="s">
        <v>39</v>
      </c>
      <c r="P973" t="s">
        <v>40</v>
      </c>
    </row>
    <row r="974" spans="1:16" x14ac:dyDescent="0.25">
      <c r="A974" s="5">
        <v>45757</v>
      </c>
      <c r="B974" t="s">
        <v>94</v>
      </c>
      <c r="C974" t="s">
        <v>95</v>
      </c>
      <c r="D974" t="s">
        <v>34</v>
      </c>
      <c r="E974" t="s">
        <v>49</v>
      </c>
      <c r="F974" t="s">
        <v>50</v>
      </c>
      <c r="G974" t="s">
        <v>1096</v>
      </c>
      <c r="H974" s="6">
        <v>43</v>
      </c>
      <c r="I974" s="7">
        <v>190.54</v>
      </c>
      <c r="J974" s="7">
        <v>8193.09</v>
      </c>
      <c r="K974" s="6">
        <v>45</v>
      </c>
      <c r="L974" t="s">
        <v>52</v>
      </c>
      <c r="M974" s="8">
        <v>1638.6179999999999</v>
      </c>
      <c r="N974" s="7">
        <v>8193.09</v>
      </c>
      <c r="O974" t="s">
        <v>39</v>
      </c>
      <c r="P974" t="s">
        <v>40</v>
      </c>
    </row>
    <row r="975" spans="1:16" x14ac:dyDescent="0.25">
      <c r="A975" s="5">
        <v>45988</v>
      </c>
      <c r="B975" t="s">
        <v>94</v>
      </c>
      <c r="C975" t="s">
        <v>95</v>
      </c>
      <c r="D975" t="s">
        <v>34</v>
      </c>
      <c r="E975" t="s">
        <v>107</v>
      </c>
      <c r="F975" t="s">
        <v>108</v>
      </c>
      <c r="G975" t="s">
        <v>1097</v>
      </c>
      <c r="H975" s="6">
        <v>18</v>
      </c>
      <c r="I975" s="7">
        <v>52.38</v>
      </c>
      <c r="J975" s="7">
        <v>942.86</v>
      </c>
      <c r="K975" s="6">
        <v>45</v>
      </c>
      <c r="L975" t="s">
        <v>38</v>
      </c>
      <c r="M975" s="8">
        <v>188.572</v>
      </c>
      <c r="N975" s="7">
        <v>942.86</v>
      </c>
      <c r="O975" t="s">
        <v>46</v>
      </c>
      <c r="P975" t="s">
        <v>40</v>
      </c>
    </row>
    <row r="976" spans="1:16" x14ac:dyDescent="0.25">
      <c r="A976" s="5">
        <v>45829</v>
      </c>
      <c r="B976" t="s">
        <v>85</v>
      </c>
      <c r="C976" t="s">
        <v>86</v>
      </c>
      <c r="D976" t="s">
        <v>58</v>
      </c>
      <c r="E976" t="s">
        <v>129</v>
      </c>
      <c r="F976" t="s">
        <v>108</v>
      </c>
      <c r="G976" t="s">
        <v>1098</v>
      </c>
      <c r="H976" s="6">
        <v>60</v>
      </c>
      <c r="I976" s="7">
        <v>58.68</v>
      </c>
      <c r="J976" s="7">
        <v>3520.76</v>
      </c>
      <c r="K976" s="6">
        <v>45</v>
      </c>
      <c r="L976" t="s">
        <v>52</v>
      </c>
      <c r="M976" s="8">
        <v>704.15200000000004</v>
      </c>
      <c r="N976" s="7">
        <v>3520.76</v>
      </c>
      <c r="O976" t="s">
        <v>46</v>
      </c>
      <c r="P976" t="s">
        <v>40</v>
      </c>
    </row>
    <row r="977" spans="1:16" x14ac:dyDescent="0.25">
      <c r="A977" s="5">
        <v>46005</v>
      </c>
      <c r="B977" t="s">
        <v>94</v>
      </c>
      <c r="C977" t="s">
        <v>95</v>
      </c>
      <c r="D977" t="s">
        <v>34</v>
      </c>
      <c r="E977" t="s">
        <v>115</v>
      </c>
      <c r="F977" t="s">
        <v>60</v>
      </c>
      <c r="G977" t="s">
        <v>1099</v>
      </c>
      <c r="H977" s="6">
        <v>41</v>
      </c>
      <c r="I977" s="7">
        <v>77.819999999999993</v>
      </c>
      <c r="J977" s="7">
        <v>3190.56</v>
      </c>
      <c r="K977" s="6">
        <v>60</v>
      </c>
      <c r="L977" t="s">
        <v>52</v>
      </c>
      <c r="M977" s="8">
        <v>638.11199999999997</v>
      </c>
      <c r="N977" s="7">
        <v>3190.56</v>
      </c>
      <c r="O977" t="s">
        <v>46</v>
      </c>
      <c r="P977" t="s">
        <v>40</v>
      </c>
    </row>
    <row r="978" spans="1:16" x14ac:dyDescent="0.25">
      <c r="A978" s="5">
        <v>46008</v>
      </c>
      <c r="B978" t="s">
        <v>121</v>
      </c>
      <c r="C978" t="s">
        <v>122</v>
      </c>
      <c r="D978" t="s">
        <v>34</v>
      </c>
      <c r="E978" t="s">
        <v>53</v>
      </c>
      <c r="F978" t="s">
        <v>54</v>
      </c>
      <c r="G978" t="s">
        <v>1100</v>
      </c>
      <c r="H978" s="6">
        <v>43</v>
      </c>
      <c r="I978" s="7">
        <v>194.94</v>
      </c>
      <c r="J978" s="7">
        <v>8382.43</v>
      </c>
      <c r="K978" s="6">
        <v>45</v>
      </c>
      <c r="L978" t="s">
        <v>38</v>
      </c>
      <c r="M978" s="8">
        <v>1676.4860000000001</v>
      </c>
      <c r="N978" s="7">
        <v>8382.43</v>
      </c>
      <c r="O978" t="s">
        <v>46</v>
      </c>
      <c r="P978" t="s">
        <v>40</v>
      </c>
    </row>
    <row r="979" spans="1:16" x14ac:dyDescent="0.25">
      <c r="A979" s="5">
        <v>45831</v>
      </c>
      <c r="B979" t="s">
        <v>91</v>
      </c>
      <c r="C979" t="s">
        <v>92</v>
      </c>
      <c r="D979" t="s">
        <v>64</v>
      </c>
      <c r="E979" t="s">
        <v>59</v>
      </c>
      <c r="F979" t="s">
        <v>60</v>
      </c>
      <c r="G979" t="s">
        <v>1101</v>
      </c>
      <c r="H979" s="6">
        <v>49</v>
      </c>
      <c r="I979" s="7">
        <v>58</v>
      </c>
      <c r="J979" s="7">
        <v>2842.14</v>
      </c>
      <c r="K979" s="6">
        <v>60</v>
      </c>
      <c r="L979" t="s">
        <v>52</v>
      </c>
      <c r="M979" s="8">
        <v>568.428</v>
      </c>
      <c r="N979" s="7">
        <v>2842.14</v>
      </c>
      <c r="O979" t="s">
        <v>39</v>
      </c>
      <c r="P979" t="s">
        <v>40</v>
      </c>
    </row>
    <row r="980" spans="1:16" x14ac:dyDescent="0.25">
      <c r="A980" s="5">
        <v>45962</v>
      </c>
      <c r="B980" t="s">
        <v>41</v>
      </c>
      <c r="C980" t="s">
        <v>42</v>
      </c>
      <c r="D980" t="s">
        <v>34</v>
      </c>
      <c r="E980" t="s">
        <v>204</v>
      </c>
      <c r="F980" t="s">
        <v>97</v>
      </c>
      <c r="G980" t="s">
        <v>1102</v>
      </c>
      <c r="H980" s="6">
        <v>15</v>
      </c>
      <c r="I980" s="7">
        <v>125.54</v>
      </c>
      <c r="J980" s="7">
        <v>1883.12</v>
      </c>
      <c r="K980" s="6">
        <v>45</v>
      </c>
      <c r="L980" t="s">
        <v>52</v>
      </c>
      <c r="M980" s="8">
        <v>376.62400000000002</v>
      </c>
      <c r="N980" s="7">
        <v>1883.12</v>
      </c>
      <c r="O980" t="s">
        <v>46</v>
      </c>
      <c r="P980" t="s">
        <v>40</v>
      </c>
    </row>
    <row r="981" spans="1:16" x14ac:dyDescent="0.25">
      <c r="A981" s="5">
        <v>45869</v>
      </c>
      <c r="B981" t="s">
        <v>41</v>
      </c>
      <c r="C981" t="s">
        <v>42</v>
      </c>
      <c r="D981" t="s">
        <v>34</v>
      </c>
      <c r="E981" t="s">
        <v>210</v>
      </c>
      <c r="F981" t="s">
        <v>50</v>
      </c>
      <c r="G981" t="s">
        <v>1103</v>
      </c>
      <c r="H981" s="6">
        <v>12</v>
      </c>
      <c r="I981" s="7">
        <v>182.31</v>
      </c>
      <c r="J981" s="7">
        <v>2187.7399999999998</v>
      </c>
      <c r="K981" s="6">
        <v>45</v>
      </c>
      <c r="L981" t="s">
        <v>38</v>
      </c>
      <c r="M981" s="8">
        <v>437.548</v>
      </c>
      <c r="N981" s="7">
        <v>2187.7399999999998</v>
      </c>
      <c r="O981" t="s">
        <v>46</v>
      </c>
      <c r="P981" t="s">
        <v>40</v>
      </c>
    </row>
    <row r="982" spans="1:16" x14ac:dyDescent="0.25">
      <c r="A982" s="5">
        <v>45768</v>
      </c>
      <c r="B982" t="s">
        <v>47</v>
      </c>
      <c r="C982" t="s">
        <v>48</v>
      </c>
      <c r="D982" t="s">
        <v>34</v>
      </c>
      <c r="E982" t="s">
        <v>139</v>
      </c>
      <c r="F982" t="s">
        <v>108</v>
      </c>
      <c r="G982" t="s">
        <v>1104</v>
      </c>
      <c r="H982" s="6">
        <v>68</v>
      </c>
      <c r="I982" s="7">
        <v>115.55</v>
      </c>
      <c r="J982" s="7">
        <v>7857.2</v>
      </c>
      <c r="K982" s="6">
        <v>45</v>
      </c>
      <c r="L982" t="s">
        <v>38</v>
      </c>
      <c r="M982" s="8">
        <v>1571.44</v>
      </c>
      <c r="N982" s="7">
        <v>7857.2</v>
      </c>
      <c r="O982" t="s">
        <v>46</v>
      </c>
      <c r="P982" t="s">
        <v>40</v>
      </c>
    </row>
    <row r="983" spans="1:16" x14ac:dyDescent="0.25">
      <c r="A983" s="5">
        <v>45761</v>
      </c>
      <c r="B983" t="s">
        <v>67</v>
      </c>
      <c r="C983" t="s">
        <v>68</v>
      </c>
      <c r="D983" t="s">
        <v>69</v>
      </c>
      <c r="E983" t="s">
        <v>83</v>
      </c>
      <c r="F983" t="s">
        <v>71</v>
      </c>
      <c r="G983" t="s">
        <v>1105</v>
      </c>
      <c r="H983" s="6">
        <v>12</v>
      </c>
      <c r="I983" s="7">
        <v>120.05</v>
      </c>
      <c r="J983" s="7">
        <v>1440.56</v>
      </c>
      <c r="K983" s="6">
        <v>45</v>
      </c>
      <c r="L983" t="s">
        <v>52</v>
      </c>
      <c r="M983" s="8">
        <v>288.11200000000002</v>
      </c>
      <c r="N983" s="7">
        <v>1440.56</v>
      </c>
      <c r="O983" t="s">
        <v>39</v>
      </c>
      <c r="P983" t="s">
        <v>40</v>
      </c>
    </row>
    <row r="984" spans="1:16" x14ac:dyDescent="0.25">
      <c r="A984" s="5">
        <v>45736</v>
      </c>
      <c r="B984" t="s">
        <v>110</v>
      </c>
      <c r="C984" t="s">
        <v>111</v>
      </c>
      <c r="D984" t="s">
        <v>58</v>
      </c>
      <c r="E984" t="s">
        <v>129</v>
      </c>
      <c r="F984" t="s">
        <v>108</v>
      </c>
      <c r="G984" t="s">
        <v>1106</v>
      </c>
      <c r="H984" s="6">
        <v>25</v>
      </c>
      <c r="I984" s="7">
        <v>44.06</v>
      </c>
      <c r="J984" s="7">
        <v>1101.6099999999999</v>
      </c>
      <c r="K984" s="6">
        <v>45</v>
      </c>
      <c r="L984" t="s">
        <v>45</v>
      </c>
      <c r="M984" s="8">
        <v>220.322</v>
      </c>
      <c r="N984" s="7">
        <v>1101.6099999999999</v>
      </c>
      <c r="O984" t="s">
        <v>46</v>
      </c>
      <c r="P984" t="s">
        <v>40</v>
      </c>
    </row>
    <row r="985" spans="1:16" x14ac:dyDescent="0.25">
      <c r="A985" s="5">
        <v>45731</v>
      </c>
      <c r="B985" t="s">
        <v>201</v>
      </c>
      <c r="C985" t="s">
        <v>202</v>
      </c>
      <c r="D985" t="s">
        <v>64</v>
      </c>
      <c r="E985" t="s">
        <v>149</v>
      </c>
      <c r="F985" t="s">
        <v>60</v>
      </c>
      <c r="G985" t="s">
        <v>1107</v>
      </c>
      <c r="H985" s="6">
        <v>13</v>
      </c>
      <c r="I985" s="7">
        <v>214.3</v>
      </c>
      <c r="J985" s="7">
        <v>2785.93</v>
      </c>
      <c r="K985" s="6">
        <v>60</v>
      </c>
      <c r="L985" t="s">
        <v>52</v>
      </c>
      <c r="M985" s="8">
        <v>557.18600000000004</v>
      </c>
      <c r="N985" s="7">
        <v>2785.93</v>
      </c>
      <c r="O985" t="s">
        <v>46</v>
      </c>
      <c r="P985" t="s">
        <v>40</v>
      </c>
    </row>
    <row r="986" spans="1:16" x14ac:dyDescent="0.25">
      <c r="A986" s="5">
        <v>45676</v>
      </c>
      <c r="B986" t="s">
        <v>143</v>
      </c>
      <c r="C986" t="s">
        <v>144</v>
      </c>
      <c r="D986" t="s">
        <v>69</v>
      </c>
      <c r="E986" t="s">
        <v>53</v>
      </c>
      <c r="F986" t="s">
        <v>54</v>
      </c>
      <c r="G986" t="s">
        <v>1108</v>
      </c>
      <c r="H986" s="6">
        <v>59</v>
      </c>
      <c r="I986" s="7">
        <v>249.51</v>
      </c>
      <c r="J986" s="7">
        <v>14720.8</v>
      </c>
      <c r="K986" s="6">
        <v>45</v>
      </c>
      <c r="L986" t="s">
        <v>52</v>
      </c>
      <c r="M986" s="8">
        <v>2944.16</v>
      </c>
      <c r="N986" s="7">
        <v>14720.8</v>
      </c>
      <c r="O986" t="s">
        <v>46</v>
      </c>
      <c r="P986" t="s">
        <v>40</v>
      </c>
    </row>
    <row r="987" spans="1:16" x14ac:dyDescent="0.25">
      <c r="A987" s="5">
        <v>45817</v>
      </c>
      <c r="B987" t="s">
        <v>121</v>
      </c>
      <c r="C987" t="s">
        <v>122</v>
      </c>
      <c r="D987" t="s">
        <v>34</v>
      </c>
      <c r="E987" t="s">
        <v>127</v>
      </c>
      <c r="F987" t="s">
        <v>36</v>
      </c>
      <c r="G987" t="s">
        <v>1109</v>
      </c>
      <c r="H987" s="6">
        <v>6</v>
      </c>
      <c r="I987" s="7">
        <v>34.369999999999997</v>
      </c>
      <c r="J987" s="7">
        <v>206.24</v>
      </c>
      <c r="K987" s="6">
        <v>60</v>
      </c>
      <c r="L987" t="s">
        <v>52</v>
      </c>
      <c r="M987" s="8">
        <v>41.247999999999998</v>
      </c>
      <c r="N987" s="7">
        <v>206.24</v>
      </c>
      <c r="O987" t="s">
        <v>39</v>
      </c>
      <c r="P987" t="s">
        <v>40</v>
      </c>
    </row>
    <row r="988" spans="1:16" x14ac:dyDescent="0.25">
      <c r="A988" s="5">
        <v>45681</v>
      </c>
      <c r="B988" t="s">
        <v>32</v>
      </c>
      <c r="C988" t="s">
        <v>33</v>
      </c>
      <c r="D988" t="s">
        <v>34</v>
      </c>
      <c r="E988" t="s">
        <v>132</v>
      </c>
      <c r="F988" t="s">
        <v>71</v>
      </c>
      <c r="G988" t="s">
        <v>1110</v>
      </c>
      <c r="H988" s="6">
        <v>14</v>
      </c>
      <c r="I988" s="7">
        <v>217.18</v>
      </c>
      <c r="J988" s="7">
        <v>3040.58</v>
      </c>
      <c r="K988" s="6">
        <v>60</v>
      </c>
      <c r="L988" t="s">
        <v>52</v>
      </c>
      <c r="M988" s="8">
        <v>608.11599999999999</v>
      </c>
      <c r="N988" s="7">
        <v>3040.58</v>
      </c>
      <c r="O988" t="s">
        <v>46</v>
      </c>
      <c r="P988" t="s">
        <v>40</v>
      </c>
    </row>
    <row r="989" spans="1:16" x14ac:dyDescent="0.25">
      <c r="A989" s="5">
        <v>45953</v>
      </c>
      <c r="B989" t="s">
        <v>62</v>
      </c>
      <c r="C989" t="s">
        <v>63</v>
      </c>
      <c r="D989" t="s">
        <v>64</v>
      </c>
      <c r="E989" t="s">
        <v>59</v>
      </c>
      <c r="F989" t="s">
        <v>60</v>
      </c>
      <c r="G989" t="s">
        <v>1111</v>
      </c>
      <c r="H989" s="6">
        <v>40</v>
      </c>
      <c r="I989" s="7">
        <v>356.44</v>
      </c>
      <c r="J989" s="7">
        <v>14257.76</v>
      </c>
      <c r="K989" s="6">
        <v>60</v>
      </c>
      <c r="L989" t="s">
        <v>38</v>
      </c>
      <c r="M989" s="8">
        <v>2851.5520000000001</v>
      </c>
      <c r="N989" s="7">
        <v>14257.76</v>
      </c>
      <c r="O989" t="s">
        <v>39</v>
      </c>
      <c r="P989" t="s">
        <v>40</v>
      </c>
    </row>
    <row r="990" spans="1:16" x14ac:dyDescent="0.25">
      <c r="A990" s="5">
        <v>45804</v>
      </c>
      <c r="B990" t="s">
        <v>67</v>
      </c>
      <c r="C990" t="s">
        <v>68</v>
      </c>
      <c r="D990" t="s">
        <v>69</v>
      </c>
      <c r="E990" t="s">
        <v>135</v>
      </c>
      <c r="F990" t="s">
        <v>54</v>
      </c>
      <c r="G990" t="s">
        <v>1112</v>
      </c>
      <c r="H990" s="6">
        <v>36</v>
      </c>
      <c r="I990" s="7">
        <v>221.39</v>
      </c>
      <c r="J990" s="7">
        <v>7970.08</v>
      </c>
      <c r="K990" s="6">
        <v>60</v>
      </c>
      <c r="L990" t="s">
        <v>45</v>
      </c>
      <c r="M990" s="8">
        <v>1594.0160000000001</v>
      </c>
      <c r="N990" s="7">
        <v>7970.08</v>
      </c>
      <c r="O990" t="s">
        <v>46</v>
      </c>
      <c r="P990" t="s">
        <v>40</v>
      </c>
    </row>
    <row r="991" spans="1:16" x14ac:dyDescent="0.25">
      <c r="A991" s="5">
        <v>45734</v>
      </c>
      <c r="B991" t="s">
        <v>85</v>
      </c>
      <c r="C991" t="s">
        <v>86</v>
      </c>
      <c r="D991" t="s">
        <v>58</v>
      </c>
      <c r="E991" t="s">
        <v>75</v>
      </c>
      <c r="F991" t="s">
        <v>36</v>
      </c>
      <c r="G991" t="s">
        <v>1113</v>
      </c>
      <c r="H991" s="6">
        <v>21</v>
      </c>
      <c r="I991" s="7">
        <v>65.97</v>
      </c>
      <c r="J991" s="7">
        <v>1385.33</v>
      </c>
      <c r="K991" s="6">
        <v>45</v>
      </c>
      <c r="L991" t="s">
        <v>38</v>
      </c>
      <c r="M991" s="8">
        <v>277.06599999999997</v>
      </c>
      <c r="N991" s="7">
        <v>1385.33</v>
      </c>
      <c r="O991" t="s">
        <v>46</v>
      </c>
      <c r="P991" t="s">
        <v>40</v>
      </c>
    </row>
    <row r="992" spans="1:16" x14ac:dyDescent="0.25">
      <c r="A992" s="5">
        <v>45935</v>
      </c>
      <c r="B992" t="s">
        <v>94</v>
      </c>
      <c r="C992" t="s">
        <v>95</v>
      </c>
      <c r="D992" t="s">
        <v>34</v>
      </c>
      <c r="E992" t="s">
        <v>127</v>
      </c>
      <c r="F992" t="s">
        <v>36</v>
      </c>
      <c r="G992" t="s">
        <v>1114</v>
      </c>
      <c r="H992" s="6">
        <v>45</v>
      </c>
      <c r="I992" s="7">
        <v>72.89</v>
      </c>
      <c r="J992" s="7">
        <v>3280.2</v>
      </c>
      <c r="K992" s="6">
        <v>60</v>
      </c>
      <c r="L992" t="s">
        <v>45</v>
      </c>
      <c r="M992" s="8">
        <v>656.04</v>
      </c>
      <c r="N992" s="7">
        <v>3280.2</v>
      </c>
      <c r="O992" t="s">
        <v>39</v>
      </c>
      <c r="P992" t="s">
        <v>40</v>
      </c>
    </row>
    <row r="993" spans="1:16" x14ac:dyDescent="0.25">
      <c r="A993" s="5">
        <v>45803</v>
      </c>
      <c r="B993" t="s">
        <v>121</v>
      </c>
      <c r="C993" t="s">
        <v>122</v>
      </c>
      <c r="D993" t="s">
        <v>34</v>
      </c>
      <c r="E993" t="s">
        <v>124</v>
      </c>
      <c r="F993" t="s">
        <v>89</v>
      </c>
      <c r="G993" t="s">
        <v>1115</v>
      </c>
      <c r="H993" s="6">
        <v>74</v>
      </c>
      <c r="I993" s="7">
        <v>58.56</v>
      </c>
      <c r="J993" s="7">
        <v>4333.2299999999996</v>
      </c>
      <c r="K993" s="6">
        <v>30</v>
      </c>
      <c r="L993" t="s">
        <v>38</v>
      </c>
      <c r="M993" s="8">
        <v>866.64599999999996</v>
      </c>
      <c r="N993" s="7">
        <v>4333.2299999999996</v>
      </c>
      <c r="O993" t="s">
        <v>46</v>
      </c>
      <c r="P993" t="s">
        <v>40</v>
      </c>
    </row>
    <row r="994" spans="1:16" x14ac:dyDescent="0.25">
      <c r="A994" s="5">
        <v>45831</v>
      </c>
      <c r="B994" t="s">
        <v>47</v>
      </c>
      <c r="C994" t="s">
        <v>48</v>
      </c>
      <c r="D994" t="s">
        <v>34</v>
      </c>
      <c r="E994" t="s">
        <v>115</v>
      </c>
      <c r="F994" t="s">
        <v>60</v>
      </c>
      <c r="G994" t="s">
        <v>1116</v>
      </c>
      <c r="H994" s="6">
        <v>70</v>
      </c>
      <c r="I994" s="7">
        <v>192.04</v>
      </c>
      <c r="J994" s="7">
        <v>13442.48</v>
      </c>
      <c r="K994" s="6">
        <v>45</v>
      </c>
      <c r="L994" t="s">
        <v>38</v>
      </c>
      <c r="M994" s="8">
        <v>2688.4960000000001</v>
      </c>
      <c r="N994" s="7">
        <v>13442.48</v>
      </c>
      <c r="O994" t="s">
        <v>46</v>
      </c>
      <c r="P994" t="s">
        <v>40</v>
      </c>
    </row>
    <row r="995" spans="1:16" x14ac:dyDescent="0.25">
      <c r="A995" s="5">
        <v>46003</v>
      </c>
      <c r="B995" t="s">
        <v>118</v>
      </c>
      <c r="C995" t="s">
        <v>119</v>
      </c>
      <c r="D995" t="s">
        <v>64</v>
      </c>
      <c r="E995" t="s">
        <v>210</v>
      </c>
      <c r="F995" t="s">
        <v>50</v>
      </c>
      <c r="G995" t="s">
        <v>1117</v>
      </c>
      <c r="H995" s="6">
        <v>7</v>
      </c>
      <c r="I995" s="7">
        <v>82.47</v>
      </c>
      <c r="J995" s="7">
        <v>577.27</v>
      </c>
      <c r="K995" s="6">
        <v>30</v>
      </c>
      <c r="L995" t="s">
        <v>45</v>
      </c>
      <c r="M995" s="8">
        <v>115.45399999999999</v>
      </c>
      <c r="N995" s="7">
        <v>577.27</v>
      </c>
      <c r="O995" t="s">
        <v>46</v>
      </c>
      <c r="P995" t="s">
        <v>40</v>
      </c>
    </row>
    <row r="996" spans="1:16" x14ac:dyDescent="0.25">
      <c r="A996" s="5">
        <v>45858</v>
      </c>
      <c r="B996" t="s">
        <v>94</v>
      </c>
      <c r="C996" t="s">
        <v>95</v>
      </c>
      <c r="D996" t="s">
        <v>34</v>
      </c>
      <c r="E996" t="s">
        <v>75</v>
      </c>
      <c r="F996" t="s">
        <v>36</v>
      </c>
      <c r="G996" t="s">
        <v>1118</v>
      </c>
      <c r="H996" s="6">
        <v>23</v>
      </c>
      <c r="I996" s="7">
        <v>37.47</v>
      </c>
      <c r="J996" s="7">
        <v>861.77</v>
      </c>
      <c r="K996" s="6">
        <v>60</v>
      </c>
      <c r="L996" t="s">
        <v>52</v>
      </c>
      <c r="M996" s="8">
        <v>172.35400000000001</v>
      </c>
      <c r="N996" s="7">
        <v>861.77</v>
      </c>
      <c r="O996" t="s">
        <v>46</v>
      </c>
      <c r="P996" t="s">
        <v>40</v>
      </c>
    </row>
    <row r="997" spans="1:16" x14ac:dyDescent="0.25">
      <c r="A997" s="5">
        <v>45840</v>
      </c>
      <c r="B997" t="s">
        <v>121</v>
      </c>
      <c r="C997" t="s">
        <v>122</v>
      </c>
      <c r="D997" t="s">
        <v>34</v>
      </c>
      <c r="E997" t="s">
        <v>129</v>
      </c>
      <c r="F997" t="s">
        <v>108</v>
      </c>
      <c r="G997" t="s">
        <v>1119</v>
      </c>
      <c r="H997" s="6">
        <v>40</v>
      </c>
      <c r="I997" s="7">
        <v>64.260000000000005</v>
      </c>
      <c r="J997" s="7">
        <v>2570.2600000000002</v>
      </c>
      <c r="K997" s="6">
        <v>45</v>
      </c>
      <c r="L997" t="s">
        <v>38</v>
      </c>
      <c r="M997" s="8">
        <v>514.05200000000002</v>
      </c>
      <c r="N997" s="7">
        <v>2570.2600000000002</v>
      </c>
      <c r="O997" t="s">
        <v>46</v>
      </c>
      <c r="P997" t="s">
        <v>40</v>
      </c>
    </row>
    <row r="998" spans="1:16" x14ac:dyDescent="0.25">
      <c r="A998" s="5">
        <v>45948</v>
      </c>
      <c r="B998" t="s">
        <v>56</v>
      </c>
      <c r="C998" t="s">
        <v>57</v>
      </c>
      <c r="D998" t="s">
        <v>58</v>
      </c>
      <c r="E998" t="s">
        <v>75</v>
      </c>
      <c r="F998" t="s">
        <v>36</v>
      </c>
      <c r="G998" t="s">
        <v>1120</v>
      </c>
      <c r="H998" s="6">
        <v>17</v>
      </c>
      <c r="I998" s="7">
        <v>174.71</v>
      </c>
      <c r="J998" s="7">
        <v>2970.03</v>
      </c>
      <c r="K998" s="6">
        <v>30</v>
      </c>
      <c r="L998" t="s">
        <v>52</v>
      </c>
      <c r="M998" s="8">
        <v>594.00599999999997</v>
      </c>
      <c r="N998" s="7">
        <v>2970.03</v>
      </c>
      <c r="O998" t="s">
        <v>46</v>
      </c>
      <c r="P998" t="s">
        <v>40</v>
      </c>
    </row>
    <row r="999" spans="1:16" x14ac:dyDescent="0.25">
      <c r="A999" s="5">
        <v>45816</v>
      </c>
      <c r="B999" t="s">
        <v>80</v>
      </c>
      <c r="C999" t="s">
        <v>81</v>
      </c>
      <c r="D999" t="s">
        <v>64</v>
      </c>
      <c r="E999" t="s">
        <v>75</v>
      </c>
      <c r="F999" t="s">
        <v>36</v>
      </c>
      <c r="G999" t="s">
        <v>1121</v>
      </c>
      <c r="H999" s="6">
        <v>60</v>
      </c>
      <c r="I999" s="7">
        <v>92.47</v>
      </c>
      <c r="J999" s="7">
        <v>5548.01</v>
      </c>
      <c r="K999" s="6">
        <v>45</v>
      </c>
      <c r="L999" t="s">
        <v>38</v>
      </c>
      <c r="M999" s="8">
        <v>1109.6020000000001</v>
      </c>
      <c r="N999" s="7">
        <v>5548.01</v>
      </c>
      <c r="O999" t="s">
        <v>46</v>
      </c>
      <c r="P999" t="s">
        <v>40</v>
      </c>
    </row>
    <row r="1000" spans="1:16" x14ac:dyDescent="0.25">
      <c r="A1000" s="5">
        <v>45790</v>
      </c>
      <c r="B1000" t="s">
        <v>118</v>
      </c>
      <c r="C1000" t="s">
        <v>119</v>
      </c>
      <c r="D1000" t="s">
        <v>64</v>
      </c>
      <c r="E1000" t="s">
        <v>124</v>
      </c>
      <c r="F1000" t="s">
        <v>89</v>
      </c>
      <c r="G1000" t="s">
        <v>1122</v>
      </c>
      <c r="H1000" s="6">
        <v>47</v>
      </c>
      <c r="I1000" s="7">
        <v>131.47</v>
      </c>
      <c r="J1000" s="7">
        <v>6179.27</v>
      </c>
      <c r="K1000" s="6">
        <v>45</v>
      </c>
      <c r="L1000" t="s">
        <v>38</v>
      </c>
      <c r="M1000" s="8">
        <v>1235.854</v>
      </c>
      <c r="N1000" s="7">
        <v>6179.27</v>
      </c>
      <c r="O1000" t="s">
        <v>46</v>
      </c>
      <c r="P1000" t="s">
        <v>40</v>
      </c>
    </row>
    <row r="1001" spans="1:16" x14ac:dyDescent="0.25">
      <c r="A1001" s="5">
        <v>45890</v>
      </c>
      <c r="B1001" t="s">
        <v>110</v>
      </c>
      <c r="C1001" t="s">
        <v>111</v>
      </c>
      <c r="D1001" t="s">
        <v>58</v>
      </c>
      <c r="E1001" t="s">
        <v>132</v>
      </c>
      <c r="F1001" t="s">
        <v>71</v>
      </c>
      <c r="G1001" t="s">
        <v>1123</v>
      </c>
      <c r="H1001" s="6">
        <v>63</v>
      </c>
      <c r="I1001" s="7">
        <v>130.16</v>
      </c>
      <c r="J1001" s="7">
        <v>8200.35</v>
      </c>
      <c r="K1001" s="6">
        <v>30</v>
      </c>
      <c r="L1001" t="s">
        <v>38</v>
      </c>
      <c r="M1001" s="8">
        <v>1640.07</v>
      </c>
      <c r="N1001" s="7">
        <v>8200.35</v>
      </c>
      <c r="O1001" t="s">
        <v>46</v>
      </c>
      <c r="P1001" t="s">
        <v>40</v>
      </c>
    </row>
    <row r="1002" spans="1:16" x14ac:dyDescent="0.25">
      <c r="A1002" s="5">
        <v>45903</v>
      </c>
      <c r="B1002" t="s">
        <v>118</v>
      </c>
      <c r="C1002" t="s">
        <v>119</v>
      </c>
      <c r="D1002" t="s">
        <v>64</v>
      </c>
      <c r="E1002" t="s">
        <v>75</v>
      </c>
      <c r="F1002" t="s">
        <v>36</v>
      </c>
      <c r="G1002" t="s">
        <v>1124</v>
      </c>
      <c r="H1002" s="6">
        <v>60</v>
      </c>
      <c r="I1002" s="7">
        <v>140.34</v>
      </c>
      <c r="J1002" s="7">
        <v>8420.1</v>
      </c>
      <c r="K1002" s="6">
        <v>30</v>
      </c>
      <c r="L1002" t="s">
        <v>45</v>
      </c>
      <c r="M1002" s="8">
        <v>1684.02</v>
      </c>
      <c r="N1002" s="7">
        <v>8420.1</v>
      </c>
      <c r="O1002" t="s">
        <v>46</v>
      </c>
      <c r="P1002" t="s">
        <v>40</v>
      </c>
    </row>
    <row r="1003" spans="1:16" x14ac:dyDescent="0.25">
      <c r="A1003" s="5">
        <v>45710</v>
      </c>
      <c r="B1003" t="s">
        <v>85</v>
      </c>
      <c r="C1003" t="s">
        <v>86</v>
      </c>
      <c r="D1003" t="s">
        <v>58</v>
      </c>
      <c r="E1003" t="s">
        <v>124</v>
      </c>
      <c r="F1003" t="s">
        <v>89</v>
      </c>
      <c r="G1003" t="s">
        <v>1125</v>
      </c>
      <c r="H1003" s="6">
        <v>52</v>
      </c>
      <c r="I1003" s="7">
        <v>299.32</v>
      </c>
      <c r="J1003" s="7">
        <v>15564.52</v>
      </c>
      <c r="K1003" s="6">
        <v>60</v>
      </c>
      <c r="L1003" t="s">
        <v>38</v>
      </c>
      <c r="M1003" s="8">
        <v>3112.904</v>
      </c>
      <c r="N1003" s="7">
        <v>15564.52</v>
      </c>
      <c r="O1003" t="s">
        <v>46</v>
      </c>
      <c r="P1003" t="s">
        <v>40</v>
      </c>
    </row>
    <row r="1004" spans="1:16" x14ac:dyDescent="0.25">
      <c r="A1004" s="5">
        <v>45930</v>
      </c>
      <c r="B1004" t="s">
        <v>47</v>
      </c>
      <c r="C1004" t="s">
        <v>48</v>
      </c>
      <c r="D1004" t="s">
        <v>34</v>
      </c>
      <c r="E1004" t="s">
        <v>75</v>
      </c>
      <c r="F1004" t="s">
        <v>36</v>
      </c>
      <c r="G1004" t="s">
        <v>1126</v>
      </c>
      <c r="H1004" s="6">
        <v>60</v>
      </c>
      <c r="I1004" s="7">
        <v>67.17</v>
      </c>
      <c r="J1004" s="7">
        <v>4030.03</v>
      </c>
      <c r="K1004" s="6">
        <v>45</v>
      </c>
      <c r="L1004" t="s">
        <v>52</v>
      </c>
      <c r="M1004" s="8">
        <v>806.00599999999997</v>
      </c>
      <c r="N1004" s="7">
        <v>4030.03</v>
      </c>
      <c r="O1004" t="s">
        <v>46</v>
      </c>
      <c r="P1004" t="s">
        <v>40</v>
      </c>
    </row>
    <row r="1005" spans="1:16" x14ac:dyDescent="0.25">
      <c r="A1005" s="5">
        <v>45782</v>
      </c>
      <c r="B1005" t="s">
        <v>201</v>
      </c>
      <c r="C1005" t="s">
        <v>202</v>
      </c>
      <c r="D1005" t="s">
        <v>64</v>
      </c>
      <c r="E1005" t="s">
        <v>53</v>
      </c>
      <c r="F1005" t="s">
        <v>54</v>
      </c>
      <c r="G1005" t="s">
        <v>1127</v>
      </c>
      <c r="H1005" s="6">
        <v>71</v>
      </c>
      <c r="I1005" s="7">
        <v>175.15</v>
      </c>
      <c r="J1005" s="7">
        <v>12435.69</v>
      </c>
      <c r="K1005" s="6">
        <v>30</v>
      </c>
      <c r="L1005" t="s">
        <v>45</v>
      </c>
      <c r="M1005" s="8">
        <v>2487.1379999999999</v>
      </c>
      <c r="N1005" s="7">
        <v>12435.69</v>
      </c>
      <c r="O1005" t="s">
        <v>46</v>
      </c>
      <c r="P1005" t="s">
        <v>40</v>
      </c>
    </row>
    <row r="1006" spans="1:16" x14ac:dyDescent="0.25">
      <c r="A1006" s="5">
        <v>45764</v>
      </c>
      <c r="B1006" t="s">
        <v>118</v>
      </c>
      <c r="C1006" t="s">
        <v>119</v>
      </c>
      <c r="D1006" t="s">
        <v>64</v>
      </c>
      <c r="E1006" t="s">
        <v>75</v>
      </c>
      <c r="F1006" t="s">
        <v>36</v>
      </c>
      <c r="G1006" t="s">
        <v>1128</v>
      </c>
      <c r="H1006" s="6">
        <v>76</v>
      </c>
      <c r="I1006" s="7">
        <v>95.43</v>
      </c>
      <c r="J1006" s="7">
        <v>7252.8</v>
      </c>
      <c r="K1006" s="6">
        <v>45</v>
      </c>
      <c r="L1006" t="s">
        <v>45</v>
      </c>
      <c r="M1006" s="8">
        <v>1450.56</v>
      </c>
      <c r="N1006" s="7">
        <v>7252.8</v>
      </c>
      <c r="O1006" t="s">
        <v>46</v>
      </c>
      <c r="P1006" t="s">
        <v>40</v>
      </c>
    </row>
    <row r="1007" spans="1:16" x14ac:dyDescent="0.25">
      <c r="A1007" s="5">
        <v>46013</v>
      </c>
      <c r="B1007" t="s">
        <v>80</v>
      </c>
      <c r="C1007" t="s">
        <v>81</v>
      </c>
      <c r="D1007" t="s">
        <v>64</v>
      </c>
      <c r="E1007" t="s">
        <v>70</v>
      </c>
      <c r="F1007" t="s">
        <v>71</v>
      </c>
      <c r="G1007" t="s">
        <v>1129</v>
      </c>
      <c r="H1007" s="6">
        <v>31</v>
      </c>
      <c r="I1007" s="7">
        <v>117.95</v>
      </c>
      <c r="J1007" s="7">
        <v>3656.57</v>
      </c>
      <c r="K1007" s="6">
        <v>30</v>
      </c>
      <c r="L1007" t="s">
        <v>52</v>
      </c>
      <c r="M1007" s="8">
        <v>731.31399999999996</v>
      </c>
      <c r="N1007" s="7">
        <v>3656.57</v>
      </c>
      <c r="O1007" t="s">
        <v>46</v>
      </c>
      <c r="P1007" t="s">
        <v>40</v>
      </c>
    </row>
    <row r="1008" spans="1:16" x14ac:dyDescent="0.25">
      <c r="A1008" s="5">
        <v>46022</v>
      </c>
      <c r="B1008" t="s">
        <v>100</v>
      </c>
      <c r="C1008" t="s">
        <v>101</v>
      </c>
      <c r="D1008" t="s">
        <v>69</v>
      </c>
      <c r="E1008" t="s">
        <v>43</v>
      </c>
      <c r="F1008" t="s">
        <v>36</v>
      </c>
      <c r="G1008" t="s">
        <v>1130</v>
      </c>
      <c r="H1008" s="6">
        <v>74</v>
      </c>
      <c r="I1008" s="7">
        <v>106.35</v>
      </c>
      <c r="J1008" s="7">
        <v>7869.96</v>
      </c>
      <c r="K1008" s="6">
        <v>45</v>
      </c>
      <c r="L1008" t="s">
        <v>38</v>
      </c>
      <c r="M1008" s="8">
        <v>1573.992</v>
      </c>
      <c r="N1008" s="7">
        <v>7869.96</v>
      </c>
      <c r="O1008" t="s">
        <v>46</v>
      </c>
      <c r="P1008" t="s">
        <v>40</v>
      </c>
    </row>
    <row r="1009" spans="1:16" x14ac:dyDescent="0.25">
      <c r="A1009" s="5">
        <v>45942</v>
      </c>
      <c r="B1009" t="s">
        <v>73</v>
      </c>
      <c r="C1009" t="s">
        <v>74</v>
      </c>
      <c r="D1009" t="s">
        <v>69</v>
      </c>
      <c r="E1009" t="s">
        <v>139</v>
      </c>
      <c r="F1009" t="s">
        <v>108</v>
      </c>
      <c r="G1009" t="s">
        <v>1131</v>
      </c>
      <c r="H1009" s="6">
        <v>13</v>
      </c>
      <c r="I1009" s="7">
        <v>106.36</v>
      </c>
      <c r="J1009" s="7">
        <v>1382.68</v>
      </c>
      <c r="K1009" s="6">
        <v>45</v>
      </c>
      <c r="L1009" t="s">
        <v>38</v>
      </c>
      <c r="M1009" s="8">
        <v>276.536</v>
      </c>
      <c r="N1009" s="7">
        <v>1382.68</v>
      </c>
      <c r="O1009" t="s">
        <v>46</v>
      </c>
      <c r="P1009" t="s">
        <v>40</v>
      </c>
    </row>
    <row r="1010" spans="1:16" x14ac:dyDescent="0.25">
      <c r="A1010" s="5">
        <v>45964</v>
      </c>
      <c r="B1010" t="s">
        <v>121</v>
      </c>
      <c r="C1010" t="s">
        <v>122</v>
      </c>
      <c r="D1010" t="s">
        <v>34</v>
      </c>
      <c r="E1010" t="s">
        <v>204</v>
      </c>
      <c r="F1010" t="s">
        <v>97</v>
      </c>
      <c r="G1010" t="s">
        <v>1132</v>
      </c>
      <c r="H1010" s="6">
        <v>14</v>
      </c>
      <c r="I1010" s="7">
        <v>534.34</v>
      </c>
      <c r="J1010" s="7">
        <v>7480.79</v>
      </c>
      <c r="K1010" s="6">
        <v>60</v>
      </c>
      <c r="L1010" t="s">
        <v>52</v>
      </c>
      <c r="M1010" s="8">
        <v>1496.1579999999999</v>
      </c>
      <c r="N1010" s="7">
        <v>7480.79</v>
      </c>
      <c r="O1010" t="s">
        <v>46</v>
      </c>
      <c r="P1010" t="s">
        <v>40</v>
      </c>
    </row>
    <row r="1011" spans="1:16" x14ac:dyDescent="0.25">
      <c r="A1011" s="5">
        <v>45988</v>
      </c>
      <c r="B1011" t="s">
        <v>41</v>
      </c>
      <c r="C1011" t="s">
        <v>42</v>
      </c>
      <c r="D1011" t="s">
        <v>34</v>
      </c>
      <c r="E1011" t="s">
        <v>132</v>
      </c>
      <c r="F1011" t="s">
        <v>71</v>
      </c>
      <c r="G1011" t="s">
        <v>1133</v>
      </c>
      <c r="H1011" s="6">
        <v>8</v>
      </c>
      <c r="I1011" s="7">
        <v>70.77</v>
      </c>
      <c r="J1011" s="7">
        <v>566.20000000000005</v>
      </c>
      <c r="K1011" s="6">
        <v>30</v>
      </c>
      <c r="L1011" t="s">
        <v>38</v>
      </c>
      <c r="M1011" s="8">
        <v>113.24</v>
      </c>
      <c r="N1011" s="7">
        <v>566.20000000000005</v>
      </c>
      <c r="O1011" t="s">
        <v>46</v>
      </c>
      <c r="P1011" t="s">
        <v>40</v>
      </c>
    </row>
    <row r="1012" spans="1:16" x14ac:dyDescent="0.25">
      <c r="A1012" s="5">
        <v>45996</v>
      </c>
      <c r="B1012" t="s">
        <v>62</v>
      </c>
      <c r="C1012" t="s">
        <v>63</v>
      </c>
      <c r="D1012" t="s">
        <v>64</v>
      </c>
      <c r="E1012" t="s">
        <v>49</v>
      </c>
      <c r="F1012" t="s">
        <v>50</v>
      </c>
      <c r="G1012" t="s">
        <v>1134</v>
      </c>
      <c r="H1012" s="6">
        <v>20</v>
      </c>
      <c r="I1012" s="7">
        <v>247.66</v>
      </c>
      <c r="J1012" s="7">
        <v>4953.21</v>
      </c>
      <c r="K1012" s="6">
        <v>45</v>
      </c>
      <c r="L1012" t="s">
        <v>52</v>
      </c>
      <c r="M1012" s="8">
        <v>990.64200000000005</v>
      </c>
      <c r="N1012" s="7">
        <v>4953.21</v>
      </c>
      <c r="O1012" t="s">
        <v>39</v>
      </c>
      <c r="P1012" t="s">
        <v>40</v>
      </c>
    </row>
    <row r="1013" spans="1:16" x14ac:dyDescent="0.25">
      <c r="A1013" s="5">
        <v>45953</v>
      </c>
      <c r="B1013" t="s">
        <v>103</v>
      </c>
      <c r="C1013" t="s">
        <v>104</v>
      </c>
      <c r="D1013" t="s">
        <v>58</v>
      </c>
      <c r="E1013" t="s">
        <v>105</v>
      </c>
      <c r="F1013" t="s">
        <v>97</v>
      </c>
      <c r="G1013" t="s">
        <v>1135</v>
      </c>
      <c r="H1013" s="6">
        <v>58</v>
      </c>
      <c r="I1013" s="7">
        <v>334.44</v>
      </c>
      <c r="J1013" s="7">
        <v>19397.61</v>
      </c>
      <c r="K1013" s="6">
        <v>30</v>
      </c>
      <c r="L1013" t="s">
        <v>38</v>
      </c>
      <c r="M1013" s="8">
        <v>3879.5219999999999</v>
      </c>
      <c r="N1013" s="7">
        <v>19397.61</v>
      </c>
      <c r="O1013" t="s">
        <v>46</v>
      </c>
      <c r="P1013" t="s">
        <v>40</v>
      </c>
    </row>
    <row r="1014" spans="1:16" x14ac:dyDescent="0.25">
      <c r="A1014" s="5">
        <v>45949</v>
      </c>
      <c r="B1014" t="s">
        <v>118</v>
      </c>
      <c r="C1014" t="s">
        <v>119</v>
      </c>
      <c r="D1014" t="s">
        <v>64</v>
      </c>
      <c r="E1014" t="s">
        <v>132</v>
      </c>
      <c r="F1014" t="s">
        <v>71</v>
      </c>
      <c r="G1014" t="s">
        <v>1136</v>
      </c>
      <c r="H1014" s="6">
        <v>39</v>
      </c>
      <c r="I1014" s="7">
        <v>297.45999999999998</v>
      </c>
      <c r="J1014" s="7">
        <v>11600.83</v>
      </c>
      <c r="K1014" s="6">
        <v>45</v>
      </c>
      <c r="L1014" t="s">
        <v>52</v>
      </c>
      <c r="M1014" s="8">
        <v>2320.1660000000002</v>
      </c>
      <c r="N1014" s="7">
        <v>11600.83</v>
      </c>
      <c r="O1014" t="s">
        <v>46</v>
      </c>
      <c r="P1014" t="s">
        <v>40</v>
      </c>
    </row>
    <row r="1015" spans="1:16" x14ac:dyDescent="0.25">
      <c r="A1015" s="5">
        <v>45662</v>
      </c>
      <c r="B1015" t="s">
        <v>121</v>
      </c>
      <c r="C1015" t="s">
        <v>122</v>
      </c>
      <c r="D1015" t="s">
        <v>34</v>
      </c>
      <c r="E1015" t="s">
        <v>43</v>
      </c>
      <c r="F1015" t="s">
        <v>36</v>
      </c>
      <c r="G1015" t="s">
        <v>1137</v>
      </c>
      <c r="H1015" s="6">
        <v>79</v>
      </c>
      <c r="I1015" s="7">
        <v>44.49</v>
      </c>
      <c r="J1015" s="7">
        <v>3514.95</v>
      </c>
      <c r="K1015" s="6">
        <v>60</v>
      </c>
      <c r="L1015" t="s">
        <v>45</v>
      </c>
      <c r="M1015" s="8">
        <v>702.99</v>
      </c>
      <c r="N1015" s="7">
        <v>3514.95</v>
      </c>
      <c r="O1015" t="s">
        <v>46</v>
      </c>
      <c r="P1015" t="s">
        <v>40</v>
      </c>
    </row>
    <row r="1016" spans="1:16" x14ac:dyDescent="0.25">
      <c r="A1016" s="5">
        <v>45847</v>
      </c>
      <c r="B1016" t="s">
        <v>110</v>
      </c>
      <c r="C1016" t="s">
        <v>111</v>
      </c>
      <c r="D1016" t="s">
        <v>58</v>
      </c>
      <c r="E1016" t="s">
        <v>59</v>
      </c>
      <c r="F1016" t="s">
        <v>60</v>
      </c>
      <c r="G1016" t="s">
        <v>1138</v>
      </c>
      <c r="H1016" s="6">
        <v>71</v>
      </c>
      <c r="I1016" s="7">
        <v>571.58000000000004</v>
      </c>
      <c r="J1016" s="7">
        <v>40582.31</v>
      </c>
      <c r="K1016" s="6">
        <v>30</v>
      </c>
      <c r="L1016" t="s">
        <v>38</v>
      </c>
      <c r="M1016" s="8">
        <v>8116.4620000000004</v>
      </c>
      <c r="N1016" s="7">
        <v>40582.31</v>
      </c>
      <c r="O1016" t="s">
        <v>39</v>
      </c>
      <c r="P1016" t="s">
        <v>40</v>
      </c>
    </row>
    <row r="1017" spans="1:16" x14ac:dyDescent="0.25">
      <c r="A1017" s="5">
        <v>45802</v>
      </c>
      <c r="B1017" t="s">
        <v>77</v>
      </c>
      <c r="C1017" t="s">
        <v>78</v>
      </c>
      <c r="D1017" t="s">
        <v>58</v>
      </c>
      <c r="E1017" t="s">
        <v>83</v>
      </c>
      <c r="F1017" t="s">
        <v>71</v>
      </c>
      <c r="G1017" t="s">
        <v>1139</v>
      </c>
      <c r="H1017" s="6">
        <v>4</v>
      </c>
      <c r="I1017" s="7">
        <v>105.92</v>
      </c>
      <c r="J1017" s="7">
        <v>423.7</v>
      </c>
      <c r="K1017" s="6">
        <v>30</v>
      </c>
      <c r="L1017" t="s">
        <v>45</v>
      </c>
      <c r="M1017" s="8">
        <v>84.74</v>
      </c>
      <c r="N1017" s="7">
        <v>423.7</v>
      </c>
      <c r="O1017" t="s">
        <v>39</v>
      </c>
      <c r="P1017" t="s">
        <v>40</v>
      </c>
    </row>
    <row r="1018" spans="1:16" x14ac:dyDescent="0.25">
      <c r="A1018" s="5">
        <v>45820</v>
      </c>
      <c r="B1018" t="s">
        <v>67</v>
      </c>
      <c r="C1018" t="s">
        <v>68</v>
      </c>
      <c r="D1018" t="s">
        <v>69</v>
      </c>
      <c r="E1018" t="s">
        <v>105</v>
      </c>
      <c r="F1018" t="s">
        <v>97</v>
      </c>
      <c r="G1018" t="s">
        <v>1140</v>
      </c>
      <c r="H1018" s="6">
        <v>49</v>
      </c>
      <c r="I1018" s="7">
        <v>209.66</v>
      </c>
      <c r="J1018" s="7">
        <v>10273.5</v>
      </c>
      <c r="K1018" s="6">
        <v>45</v>
      </c>
      <c r="L1018" t="s">
        <v>45</v>
      </c>
      <c r="M1018" s="8">
        <v>2054.6999999999998</v>
      </c>
      <c r="N1018" s="7">
        <v>10273.5</v>
      </c>
      <c r="O1018" t="s">
        <v>46</v>
      </c>
      <c r="P1018" t="s">
        <v>40</v>
      </c>
    </row>
    <row r="1019" spans="1:16" x14ac:dyDescent="0.25">
      <c r="A1019" s="5">
        <v>45746</v>
      </c>
      <c r="B1019" t="s">
        <v>62</v>
      </c>
      <c r="C1019" t="s">
        <v>63</v>
      </c>
      <c r="D1019" t="s">
        <v>64</v>
      </c>
      <c r="E1019" t="s">
        <v>53</v>
      </c>
      <c r="F1019" t="s">
        <v>54</v>
      </c>
      <c r="G1019" t="s">
        <v>1141</v>
      </c>
      <c r="H1019" s="6">
        <v>61</v>
      </c>
      <c r="I1019" s="7">
        <v>191.58</v>
      </c>
      <c r="J1019" s="7">
        <v>11686.59</v>
      </c>
      <c r="K1019" s="6">
        <v>30</v>
      </c>
      <c r="L1019" t="s">
        <v>38</v>
      </c>
      <c r="M1019" s="8">
        <v>2337.3180000000002</v>
      </c>
      <c r="N1019" s="7">
        <v>11686.59</v>
      </c>
      <c r="O1019" t="s">
        <v>46</v>
      </c>
      <c r="P1019" t="s">
        <v>40</v>
      </c>
    </row>
    <row r="1020" spans="1:16" x14ac:dyDescent="0.25">
      <c r="A1020" s="5">
        <v>45871</v>
      </c>
      <c r="B1020" t="s">
        <v>110</v>
      </c>
      <c r="C1020" t="s">
        <v>111</v>
      </c>
      <c r="D1020" t="s">
        <v>58</v>
      </c>
      <c r="E1020" t="s">
        <v>96</v>
      </c>
      <c r="F1020" t="s">
        <v>97</v>
      </c>
      <c r="G1020" t="s">
        <v>1142</v>
      </c>
      <c r="H1020" s="6">
        <v>20</v>
      </c>
      <c r="I1020" s="7">
        <v>251.54</v>
      </c>
      <c r="J1020" s="7">
        <v>5030.75</v>
      </c>
      <c r="K1020" s="6">
        <v>45</v>
      </c>
      <c r="L1020" t="s">
        <v>52</v>
      </c>
      <c r="M1020" s="8">
        <v>1006.15</v>
      </c>
      <c r="N1020" s="7">
        <v>5030.75</v>
      </c>
      <c r="O1020" t="s">
        <v>46</v>
      </c>
      <c r="P1020" t="s">
        <v>40</v>
      </c>
    </row>
    <row r="1021" spans="1:16" x14ac:dyDescent="0.25">
      <c r="A1021" s="5">
        <v>45694</v>
      </c>
      <c r="B1021" t="s">
        <v>143</v>
      </c>
      <c r="C1021" t="s">
        <v>144</v>
      </c>
      <c r="D1021" t="s">
        <v>69</v>
      </c>
      <c r="E1021" t="s">
        <v>154</v>
      </c>
      <c r="F1021" t="s">
        <v>89</v>
      </c>
      <c r="G1021" t="s">
        <v>1143</v>
      </c>
      <c r="H1021" s="6">
        <v>3</v>
      </c>
      <c r="I1021" s="7">
        <v>227.29</v>
      </c>
      <c r="J1021" s="7">
        <v>681.88</v>
      </c>
      <c r="K1021" s="6">
        <v>30</v>
      </c>
      <c r="L1021" t="s">
        <v>52</v>
      </c>
      <c r="M1021" s="8">
        <v>136.376</v>
      </c>
      <c r="N1021" s="7">
        <v>681.88</v>
      </c>
      <c r="O1021" t="s">
        <v>39</v>
      </c>
      <c r="P1021" t="s">
        <v>40</v>
      </c>
    </row>
    <row r="1022" spans="1:16" x14ac:dyDescent="0.25">
      <c r="A1022" s="5">
        <v>45701</v>
      </c>
      <c r="B1022" t="s">
        <v>67</v>
      </c>
      <c r="C1022" t="s">
        <v>68</v>
      </c>
      <c r="D1022" t="s">
        <v>69</v>
      </c>
      <c r="E1022" t="s">
        <v>204</v>
      </c>
      <c r="F1022" t="s">
        <v>97</v>
      </c>
      <c r="G1022" t="s">
        <v>1144</v>
      </c>
      <c r="H1022" s="6">
        <v>18</v>
      </c>
      <c r="I1022" s="7">
        <v>399.95</v>
      </c>
      <c r="J1022" s="7">
        <v>7199.12</v>
      </c>
      <c r="K1022" s="6">
        <v>60</v>
      </c>
      <c r="L1022" t="s">
        <v>45</v>
      </c>
      <c r="M1022" s="8">
        <v>1439.8240000000001</v>
      </c>
      <c r="N1022" s="7">
        <v>7199.12</v>
      </c>
      <c r="O1022" t="s">
        <v>46</v>
      </c>
      <c r="P1022" t="s">
        <v>40</v>
      </c>
    </row>
    <row r="1023" spans="1:16" x14ac:dyDescent="0.25">
      <c r="A1023" s="5">
        <v>45750</v>
      </c>
      <c r="B1023" t="s">
        <v>56</v>
      </c>
      <c r="C1023" t="s">
        <v>57</v>
      </c>
      <c r="D1023" t="s">
        <v>58</v>
      </c>
      <c r="E1023" t="s">
        <v>105</v>
      </c>
      <c r="F1023" t="s">
        <v>97</v>
      </c>
      <c r="G1023" t="s">
        <v>1145</v>
      </c>
      <c r="H1023" s="6">
        <v>59</v>
      </c>
      <c r="I1023" s="7">
        <v>218.82</v>
      </c>
      <c r="J1023" s="7">
        <v>12910.35</v>
      </c>
      <c r="K1023" s="6">
        <v>60</v>
      </c>
      <c r="L1023" t="s">
        <v>45</v>
      </c>
      <c r="M1023" s="8">
        <v>2582.0700000000002</v>
      </c>
      <c r="N1023" s="7">
        <v>12910.35</v>
      </c>
      <c r="O1023" t="s">
        <v>46</v>
      </c>
      <c r="P1023" t="s">
        <v>40</v>
      </c>
    </row>
    <row r="1024" spans="1:16" x14ac:dyDescent="0.25">
      <c r="A1024" s="5">
        <v>45839</v>
      </c>
      <c r="B1024" t="s">
        <v>103</v>
      </c>
      <c r="C1024" t="s">
        <v>104</v>
      </c>
      <c r="D1024" t="s">
        <v>58</v>
      </c>
      <c r="E1024" t="s">
        <v>139</v>
      </c>
      <c r="F1024" t="s">
        <v>108</v>
      </c>
      <c r="G1024" t="s">
        <v>1146</v>
      </c>
      <c r="H1024" s="6">
        <v>29</v>
      </c>
      <c r="I1024" s="7">
        <v>74</v>
      </c>
      <c r="J1024" s="7">
        <v>2146.06</v>
      </c>
      <c r="K1024" s="6">
        <v>30</v>
      </c>
      <c r="L1024" t="s">
        <v>45</v>
      </c>
      <c r="M1024" s="8">
        <v>429.21199999999999</v>
      </c>
      <c r="N1024" s="7">
        <v>2146.06</v>
      </c>
      <c r="O1024" t="s">
        <v>46</v>
      </c>
      <c r="P1024" t="s">
        <v>40</v>
      </c>
    </row>
    <row r="1025" spans="1:16" x14ac:dyDescent="0.25">
      <c r="A1025" s="5">
        <v>45913</v>
      </c>
      <c r="B1025" t="s">
        <v>143</v>
      </c>
      <c r="C1025" t="s">
        <v>144</v>
      </c>
      <c r="D1025" t="s">
        <v>69</v>
      </c>
      <c r="E1025" t="s">
        <v>152</v>
      </c>
      <c r="F1025" t="s">
        <v>50</v>
      </c>
      <c r="G1025" t="s">
        <v>1147</v>
      </c>
      <c r="H1025" s="6">
        <v>31</v>
      </c>
      <c r="I1025" s="7">
        <v>389.84</v>
      </c>
      <c r="J1025" s="7">
        <v>12085.09</v>
      </c>
      <c r="K1025" s="6">
        <v>60</v>
      </c>
      <c r="L1025" t="s">
        <v>52</v>
      </c>
      <c r="M1025" s="8">
        <v>2417.018</v>
      </c>
      <c r="N1025" s="7">
        <v>12085.09</v>
      </c>
      <c r="O1025" t="s">
        <v>46</v>
      </c>
      <c r="P1025" t="s">
        <v>40</v>
      </c>
    </row>
    <row r="1026" spans="1:16" x14ac:dyDescent="0.25">
      <c r="A1026" s="5">
        <v>45953</v>
      </c>
      <c r="B1026" t="s">
        <v>94</v>
      </c>
      <c r="C1026" t="s">
        <v>95</v>
      </c>
      <c r="D1026" t="s">
        <v>34</v>
      </c>
      <c r="E1026" t="s">
        <v>105</v>
      </c>
      <c r="F1026" t="s">
        <v>97</v>
      </c>
      <c r="G1026" t="s">
        <v>1148</v>
      </c>
      <c r="H1026" s="6">
        <v>47</v>
      </c>
      <c r="I1026" s="7">
        <v>775.83</v>
      </c>
      <c r="J1026" s="7">
        <v>36463.93</v>
      </c>
      <c r="K1026" s="6">
        <v>30</v>
      </c>
      <c r="L1026" t="s">
        <v>38</v>
      </c>
      <c r="M1026" s="8">
        <v>7292.7860000000001</v>
      </c>
      <c r="N1026" s="7">
        <v>36463.93</v>
      </c>
      <c r="O1026" t="s">
        <v>46</v>
      </c>
      <c r="P1026" t="s">
        <v>40</v>
      </c>
    </row>
    <row r="1027" spans="1:16" x14ac:dyDescent="0.25">
      <c r="A1027" s="5">
        <v>45846</v>
      </c>
      <c r="B1027" t="s">
        <v>143</v>
      </c>
      <c r="C1027" t="s">
        <v>144</v>
      </c>
      <c r="D1027" t="s">
        <v>69</v>
      </c>
      <c r="E1027" t="s">
        <v>129</v>
      </c>
      <c r="F1027" t="s">
        <v>108</v>
      </c>
      <c r="G1027" t="s">
        <v>1149</v>
      </c>
      <c r="H1027" s="6">
        <v>15</v>
      </c>
      <c r="I1027" s="7">
        <v>95.34</v>
      </c>
      <c r="J1027" s="7">
        <v>1430.12</v>
      </c>
      <c r="K1027" s="6">
        <v>60</v>
      </c>
      <c r="L1027" t="s">
        <v>45</v>
      </c>
      <c r="M1027" s="8">
        <v>286.024</v>
      </c>
      <c r="N1027" s="7">
        <v>1430.12</v>
      </c>
      <c r="O1027" t="s">
        <v>46</v>
      </c>
      <c r="P1027" t="s">
        <v>40</v>
      </c>
    </row>
    <row r="1028" spans="1:16" x14ac:dyDescent="0.25">
      <c r="A1028" s="5">
        <v>45927</v>
      </c>
      <c r="B1028" t="s">
        <v>118</v>
      </c>
      <c r="C1028" t="s">
        <v>119</v>
      </c>
      <c r="D1028" t="s">
        <v>64</v>
      </c>
      <c r="E1028" t="s">
        <v>127</v>
      </c>
      <c r="F1028" t="s">
        <v>36</v>
      </c>
      <c r="G1028" t="s">
        <v>1150</v>
      </c>
      <c r="H1028" s="6">
        <v>36</v>
      </c>
      <c r="I1028" s="7">
        <v>66.37</v>
      </c>
      <c r="J1028" s="7">
        <v>2389.4299999999998</v>
      </c>
      <c r="K1028" s="6">
        <v>45</v>
      </c>
      <c r="L1028" t="s">
        <v>52</v>
      </c>
      <c r="M1028" s="8">
        <v>477.88600000000002</v>
      </c>
      <c r="N1028" s="7">
        <v>2389.4299999999998</v>
      </c>
      <c r="O1028" t="s">
        <v>39</v>
      </c>
      <c r="P1028" t="s">
        <v>40</v>
      </c>
    </row>
    <row r="1029" spans="1:16" x14ac:dyDescent="0.25">
      <c r="A1029" s="5">
        <v>45899</v>
      </c>
      <c r="B1029" t="s">
        <v>201</v>
      </c>
      <c r="C1029" t="s">
        <v>202</v>
      </c>
      <c r="D1029" t="s">
        <v>64</v>
      </c>
      <c r="E1029" t="s">
        <v>127</v>
      </c>
      <c r="F1029" t="s">
        <v>36</v>
      </c>
      <c r="G1029" t="s">
        <v>1151</v>
      </c>
      <c r="H1029" s="6">
        <v>10</v>
      </c>
      <c r="I1029" s="7">
        <v>69.44</v>
      </c>
      <c r="J1029" s="7">
        <v>694.36</v>
      </c>
      <c r="K1029" s="6">
        <v>60</v>
      </c>
      <c r="L1029" t="s">
        <v>52</v>
      </c>
      <c r="M1029" s="8">
        <v>138.87200000000001</v>
      </c>
      <c r="N1029" s="7">
        <v>694.36</v>
      </c>
      <c r="O1029" t="s">
        <v>39</v>
      </c>
      <c r="P1029" t="s">
        <v>40</v>
      </c>
    </row>
    <row r="1030" spans="1:16" x14ac:dyDescent="0.25">
      <c r="A1030" s="5">
        <v>45685</v>
      </c>
      <c r="B1030" t="s">
        <v>80</v>
      </c>
      <c r="C1030" t="s">
        <v>81</v>
      </c>
      <c r="D1030" t="s">
        <v>64</v>
      </c>
      <c r="E1030" t="s">
        <v>115</v>
      </c>
      <c r="F1030" t="s">
        <v>60</v>
      </c>
      <c r="G1030" t="s">
        <v>1152</v>
      </c>
      <c r="H1030" s="6">
        <v>44</v>
      </c>
      <c r="I1030" s="7">
        <v>308.3</v>
      </c>
      <c r="J1030" s="7">
        <v>13565.05</v>
      </c>
      <c r="K1030" s="6">
        <v>60</v>
      </c>
      <c r="L1030" t="s">
        <v>38</v>
      </c>
      <c r="M1030" s="8">
        <v>2713.01</v>
      </c>
      <c r="N1030" s="7">
        <v>13565.05</v>
      </c>
      <c r="O1030" t="s">
        <v>46</v>
      </c>
      <c r="P1030" t="s">
        <v>40</v>
      </c>
    </row>
    <row r="1031" spans="1:16" x14ac:dyDescent="0.25">
      <c r="A1031" s="5">
        <v>45898</v>
      </c>
      <c r="B1031" t="s">
        <v>110</v>
      </c>
      <c r="C1031" t="s">
        <v>111</v>
      </c>
      <c r="D1031" t="s">
        <v>58</v>
      </c>
      <c r="E1031" t="s">
        <v>129</v>
      </c>
      <c r="F1031" t="s">
        <v>108</v>
      </c>
      <c r="G1031" t="s">
        <v>1153</v>
      </c>
      <c r="H1031" s="6">
        <v>74</v>
      </c>
      <c r="I1031" s="7">
        <v>42.73</v>
      </c>
      <c r="J1031" s="7">
        <v>3162.18</v>
      </c>
      <c r="K1031" s="6">
        <v>60</v>
      </c>
      <c r="L1031" t="s">
        <v>45</v>
      </c>
      <c r="M1031" s="8">
        <v>632.43600000000004</v>
      </c>
      <c r="N1031" s="7">
        <v>3162.18</v>
      </c>
      <c r="O1031" t="s">
        <v>46</v>
      </c>
      <c r="P1031" t="s">
        <v>40</v>
      </c>
    </row>
    <row r="1032" spans="1:16" x14ac:dyDescent="0.25">
      <c r="A1032" s="5">
        <v>45806</v>
      </c>
      <c r="B1032" t="s">
        <v>80</v>
      </c>
      <c r="C1032" t="s">
        <v>81</v>
      </c>
      <c r="D1032" t="s">
        <v>64</v>
      </c>
      <c r="E1032" t="s">
        <v>132</v>
      </c>
      <c r="F1032" t="s">
        <v>71</v>
      </c>
      <c r="G1032" t="s">
        <v>1154</v>
      </c>
      <c r="H1032" s="6">
        <v>22</v>
      </c>
      <c r="I1032" s="7">
        <v>82.46</v>
      </c>
      <c r="J1032" s="7">
        <v>1814.13</v>
      </c>
      <c r="K1032" s="6">
        <v>30</v>
      </c>
      <c r="L1032" t="s">
        <v>52</v>
      </c>
      <c r="M1032" s="8">
        <v>362.82600000000002</v>
      </c>
      <c r="N1032" s="7">
        <v>1814.13</v>
      </c>
      <c r="O1032" t="s">
        <v>46</v>
      </c>
      <c r="P1032" t="s">
        <v>40</v>
      </c>
    </row>
    <row r="1033" spans="1:16" x14ac:dyDescent="0.25">
      <c r="A1033" s="5">
        <v>45946</v>
      </c>
      <c r="B1033" t="s">
        <v>47</v>
      </c>
      <c r="C1033" t="s">
        <v>48</v>
      </c>
      <c r="D1033" t="s">
        <v>34</v>
      </c>
      <c r="E1033" t="s">
        <v>115</v>
      </c>
      <c r="F1033" t="s">
        <v>60</v>
      </c>
      <c r="G1033" t="s">
        <v>1155</v>
      </c>
      <c r="H1033" s="6">
        <v>34</v>
      </c>
      <c r="I1033" s="7">
        <v>87.87</v>
      </c>
      <c r="J1033" s="7">
        <v>2987.72</v>
      </c>
      <c r="K1033" s="6">
        <v>30</v>
      </c>
      <c r="L1033" t="s">
        <v>52</v>
      </c>
      <c r="M1033" s="8">
        <v>597.54399999999998</v>
      </c>
      <c r="N1033" s="7">
        <v>2987.72</v>
      </c>
      <c r="O1033" t="s">
        <v>46</v>
      </c>
      <c r="P1033" t="s">
        <v>40</v>
      </c>
    </row>
    <row r="1034" spans="1:16" x14ac:dyDescent="0.25">
      <c r="A1034" s="5">
        <v>45684</v>
      </c>
      <c r="B1034" t="s">
        <v>85</v>
      </c>
      <c r="C1034" t="s">
        <v>86</v>
      </c>
      <c r="D1034" t="s">
        <v>58</v>
      </c>
      <c r="E1034" t="s">
        <v>124</v>
      </c>
      <c r="F1034" t="s">
        <v>89</v>
      </c>
      <c r="G1034" t="s">
        <v>1156</v>
      </c>
      <c r="H1034" s="6">
        <v>38</v>
      </c>
      <c r="I1034" s="7">
        <v>224.2</v>
      </c>
      <c r="J1034" s="7">
        <v>8519.52</v>
      </c>
      <c r="K1034" s="6">
        <v>60</v>
      </c>
      <c r="L1034" t="s">
        <v>52</v>
      </c>
      <c r="M1034" s="8">
        <v>1703.904</v>
      </c>
      <c r="N1034" s="7">
        <v>8519.52</v>
      </c>
      <c r="O1034" t="s">
        <v>46</v>
      </c>
      <c r="P1034" t="s">
        <v>40</v>
      </c>
    </row>
    <row r="1035" spans="1:16" x14ac:dyDescent="0.25">
      <c r="A1035" s="5">
        <v>45700</v>
      </c>
      <c r="B1035" t="s">
        <v>100</v>
      </c>
      <c r="C1035" t="s">
        <v>101</v>
      </c>
      <c r="D1035" t="s">
        <v>69</v>
      </c>
      <c r="E1035" t="s">
        <v>149</v>
      </c>
      <c r="F1035" t="s">
        <v>60</v>
      </c>
      <c r="G1035" t="s">
        <v>1157</v>
      </c>
      <c r="H1035" s="6">
        <v>17</v>
      </c>
      <c r="I1035" s="7">
        <v>314.06</v>
      </c>
      <c r="J1035" s="7">
        <v>5339.03</v>
      </c>
      <c r="K1035" s="6">
        <v>60</v>
      </c>
      <c r="L1035" t="s">
        <v>38</v>
      </c>
      <c r="M1035" s="8">
        <v>1067.806</v>
      </c>
      <c r="N1035" s="7">
        <v>5339.03</v>
      </c>
      <c r="O1035" t="s">
        <v>46</v>
      </c>
      <c r="P1035" t="s">
        <v>40</v>
      </c>
    </row>
    <row r="1036" spans="1:16" x14ac:dyDescent="0.25">
      <c r="A1036" s="5">
        <v>45973</v>
      </c>
      <c r="B1036" t="s">
        <v>77</v>
      </c>
      <c r="C1036" t="s">
        <v>78</v>
      </c>
      <c r="D1036" t="s">
        <v>58</v>
      </c>
      <c r="E1036" t="s">
        <v>59</v>
      </c>
      <c r="F1036" t="s">
        <v>60</v>
      </c>
      <c r="G1036" t="s">
        <v>1158</v>
      </c>
      <c r="H1036" s="6">
        <v>36</v>
      </c>
      <c r="I1036" s="7">
        <v>168.66</v>
      </c>
      <c r="J1036" s="7">
        <v>6071.7</v>
      </c>
      <c r="K1036" s="6">
        <v>45</v>
      </c>
      <c r="L1036" t="s">
        <v>45</v>
      </c>
      <c r="M1036" s="8">
        <v>1214.3399999999999</v>
      </c>
      <c r="N1036" s="7">
        <v>6071.7</v>
      </c>
      <c r="O1036" t="s">
        <v>39</v>
      </c>
      <c r="P1036" t="s">
        <v>40</v>
      </c>
    </row>
    <row r="1037" spans="1:16" x14ac:dyDescent="0.25">
      <c r="A1037" s="5">
        <v>45747</v>
      </c>
      <c r="B1037" t="s">
        <v>77</v>
      </c>
      <c r="C1037" t="s">
        <v>78</v>
      </c>
      <c r="D1037" t="s">
        <v>58</v>
      </c>
      <c r="E1037" t="s">
        <v>43</v>
      </c>
      <c r="F1037" t="s">
        <v>36</v>
      </c>
      <c r="G1037" t="s">
        <v>1159</v>
      </c>
      <c r="H1037" s="6">
        <v>76</v>
      </c>
      <c r="I1037" s="7">
        <v>154.47999999999999</v>
      </c>
      <c r="J1037" s="7">
        <v>11740.66</v>
      </c>
      <c r="K1037" s="6">
        <v>60</v>
      </c>
      <c r="L1037" t="s">
        <v>38</v>
      </c>
      <c r="M1037" s="8">
        <v>2348.1320000000001</v>
      </c>
      <c r="N1037" s="7">
        <v>11740.66</v>
      </c>
      <c r="O1037" t="s">
        <v>46</v>
      </c>
      <c r="P1037" t="s">
        <v>40</v>
      </c>
    </row>
    <row r="1038" spans="1:16" x14ac:dyDescent="0.25">
      <c r="A1038" s="5">
        <v>45747</v>
      </c>
      <c r="B1038" t="s">
        <v>100</v>
      </c>
      <c r="C1038" t="s">
        <v>101</v>
      </c>
      <c r="D1038" t="s">
        <v>69</v>
      </c>
      <c r="E1038" t="s">
        <v>139</v>
      </c>
      <c r="F1038" t="s">
        <v>108</v>
      </c>
      <c r="G1038" t="s">
        <v>1160</v>
      </c>
      <c r="H1038" s="6">
        <v>34</v>
      </c>
      <c r="I1038" s="7">
        <v>38.22</v>
      </c>
      <c r="J1038" s="7">
        <v>1299.43</v>
      </c>
      <c r="K1038" s="6">
        <v>60</v>
      </c>
      <c r="L1038" t="s">
        <v>38</v>
      </c>
      <c r="M1038" s="8">
        <v>259.88600000000002</v>
      </c>
      <c r="N1038" s="7">
        <v>1299.43</v>
      </c>
      <c r="O1038" t="s">
        <v>46</v>
      </c>
      <c r="P1038" t="s">
        <v>40</v>
      </c>
    </row>
    <row r="1039" spans="1:16" x14ac:dyDescent="0.25">
      <c r="A1039" s="5">
        <v>45674</v>
      </c>
      <c r="B1039" t="s">
        <v>67</v>
      </c>
      <c r="C1039" t="s">
        <v>68</v>
      </c>
      <c r="D1039" t="s">
        <v>69</v>
      </c>
      <c r="E1039" t="s">
        <v>124</v>
      </c>
      <c r="F1039" t="s">
        <v>89</v>
      </c>
      <c r="G1039" t="s">
        <v>1161</v>
      </c>
      <c r="H1039" s="6">
        <v>44</v>
      </c>
      <c r="I1039" s="7">
        <v>80.44</v>
      </c>
      <c r="J1039" s="7">
        <v>3539.5</v>
      </c>
      <c r="K1039" s="6">
        <v>30</v>
      </c>
      <c r="L1039" t="s">
        <v>38</v>
      </c>
      <c r="M1039" s="8">
        <v>707.9</v>
      </c>
      <c r="N1039" s="7">
        <v>3539.5</v>
      </c>
      <c r="O1039" t="s">
        <v>46</v>
      </c>
      <c r="P1039" t="s">
        <v>40</v>
      </c>
    </row>
    <row r="1040" spans="1:16" x14ac:dyDescent="0.25">
      <c r="A1040" s="5">
        <v>45869</v>
      </c>
      <c r="B1040" t="s">
        <v>80</v>
      </c>
      <c r="C1040" t="s">
        <v>81</v>
      </c>
      <c r="D1040" t="s">
        <v>64</v>
      </c>
      <c r="E1040" t="s">
        <v>88</v>
      </c>
      <c r="F1040" t="s">
        <v>89</v>
      </c>
      <c r="G1040" t="s">
        <v>1162</v>
      </c>
      <c r="H1040" s="6">
        <v>50</v>
      </c>
      <c r="I1040" s="7">
        <v>203.65</v>
      </c>
      <c r="J1040" s="7">
        <v>10182.530000000001</v>
      </c>
      <c r="K1040" s="6">
        <v>30</v>
      </c>
      <c r="L1040" t="s">
        <v>52</v>
      </c>
      <c r="M1040" s="8">
        <v>2036.5060000000001</v>
      </c>
      <c r="N1040" s="7">
        <v>10182.530000000001</v>
      </c>
      <c r="O1040" t="s">
        <v>46</v>
      </c>
      <c r="P1040" t="s">
        <v>40</v>
      </c>
    </row>
    <row r="1041" spans="1:16" x14ac:dyDescent="0.25">
      <c r="A1041" s="5">
        <v>45953</v>
      </c>
      <c r="B1041" t="s">
        <v>77</v>
      </c>
      <c r="C1041" t="s">
        <v>78</v>
      </c>
      <c r="D1041" t="s">
        <v>58</v>
      </c>
      <c r="E1041" t="s">
        <v>154</v>
      </c>
      <c r="F1041" t="s">
        <v>89</v>
      </c>
      <c r="G1041" t="s">
        <v>1163</v>
      </c>
      <c r="H1041" s="6">
        <v>45</v>
      </c>
      <c r="I1041" s="7">
        <v>320.17</v>
      </c>
      <c r="J1041" s="7">
        <v>14407.78</v>
      </c>
      <c r="K1041" s="6">
        <v>30</v>
      </c>
      <c r="L1041" t="s">
        <v>52</v>
      </c>
      <c r="M1041" s="8">
        <v>2881.556</v>
      </c>
      <c r="N1041" s="7">
        <v>14407.78</v>
      </c>
      <c r="O1041" t="s">
        <v>39</v>
      </c>
      <c r="P1041" t="s">
        <v>40</v>
      </c>
    </row>
    <row r="1042" spans="1:16" x14ac:dyDescent="0.25">
      <c r="A1042" s="5">
        <v>45743</v>
      </c>
      <c r="B1042" t="s">
        <v>100</v>
      </c>
      <c r="C1042" t="s">
        <v>101</v>
      </c>
      <c r="D1042" t="s">
        <v>69</v>
      </c>
      <c r="E1042" t="s">
        <v>127</v>
      </c>
      <c r="F1042" t="s">
        <v>36</v>
      </c>
      <c r="G1042" t="s">
        <v>1164</v>
      </c>
      <c r="H1042" s="6">
        <v>60</v>
      </c>
      <c r="I1042" s="7">
        <v>164.11</v>
      </c>
      <c r="J1042" s="7">
        <v>9846.7000000000007</v>
      </c>
      <c r="K1042" s="6">
        <v>45</v>
      </c>
      <c r="L1042" t="s">
        <v>45</v>
      </c>
      <c r="M1042" s="8">
        <v>1969.34</v>
      </c>
      <c r="N1042" s="7">
        <v>9846.7000000000007</v>
      </c>
      <c r="O1042" t="s">
        <v>39</v>
      </c>
      <c r="P1042" t="s">
        <v>40</v>
      </c>
    </row>
    <row r="1043" spans="1:16" x14ac:dyDescent="0.25">
      <c r="A1043" s="5">
        <v>45930</v>
      </c>
      <c r="B1043" t="s">
        <v>80</v>
      </c>
      <c r="C1043" t="s">
        <v>81</v>
      </c>
      <c r="D1043" t="s">
        <v>64</v>
      </c>
      <c r="E1043" t="s">
        <v>129</v>
      </c>
      <c r="F1043" t="s">
        <v>108</v>
      </c>
      <c r="G1043" t="s">
        <v>1165</v>
      </c>
      <c r="H1043" s="6">
        <v>30</v>
      </c>
      <c r="I1043" s="7">
        <v>58.27</v>
      </c>
      <c r="J1043" s="7">
        <v>1748.13</v>
      </c>
      <c r="K1043" s="6">
        <v>45</v>
      </c>
      <c r="L1043" t="s">
        <v>52</v>
      </c>
      <c r="M1043" s="8">
        <v>349.62599999999998</v>
      </c>
      <c r="N1043" s="7">
        <v>1748.13</v>
      </c>
      <c r="O1043" t="s">
        <v>46</v>
      </c>
      <c r="P1043" t="s">
        <v>40</v>
      </c>
    </row>
    <row r="1044" spans="1:16" x14ac:dyDescent="0.25">
      <c r="A1044" s="5">
        <v>45792</v>
      </c>
      <c r="B1044" t="s">
        <v>103</v>
      </c>
      <c r="C1044" t="s">
        <v>104</v>
      </c>
      <c r="D1044" t="s">
        <v>58</v>
      </c>
      <c r="E1044" t="s">
        <v>96</v>
      </c>
      <c r="F1044" t="s">
        <v>97</v>
      </c>
      <c r="G1044" t="s">
        <v>1166</v>
      </c>
      <c r="H1044" s="6">
        <v>19</v>
      </c>
      <c r="I1044" s="7">
        <v>542.97</v>
      </c>
      <c r="J1044" s="7">
        <v>10316.459999999999</v>
      </c>
      <c r="K1044" s="6">
        <v>60</v>
      </c>
      <c r="L1044" t="s">
        <v>45</v>
      </c>
      <c r="M1044" s="8">
        <v>2063.2919999999999</v>
      </c>
      <c r="N1044" s="7">
        <v>10316.459999999999</v>
      </c>
      <c r="O1044" t="s">
        <v>46</v>
      </c>
      <c r="P1044" t="s">
        <v>40</v>
      </c>
    </row>
    <row r="1045" spans="1:16" x14ac:dyDescent="0.25">
      <c r="A1045" s="5">
        <v>45853</v>
      </c>
      <c r="B1045" t="s">
        <v>118</v>
      </c>
      <c r="C1045" t="s">
        <v>119</v>
      </c>
      <c r="D1045" t="s">
        <v>64</v>
      </c>
      <c r="E1045" t="s">
        <v>149</v>
      </c>
      <c r="F1045" t="s">
        <v>60</v>
      </c>
      <c r="G1045" t="s">
        <v>1167</v>
      </c>
      <c r="H1045" s="6">
        <v>41</v>
      </c>
      <c r="I1045" s="7">
        <v>215.39</v>
      </c>
      <c r="J1045" s="7">
        <v>8830.9699999999993</v>
      </c>
      <c r="K1045" s="6">
        <v>60</v>
      </c>
      <c r="L1045" t="s">
        <v>52</v>
      </c>
      <c r="M1045" s="8">
        <v>1766.194</v>
      </c>
      <c r="N1045" s="7">
        <v>8830.9699999999993</v>
      </c>
      <c r="O1045" t="s">
        <v>46</v>
      </c>
      <c r="P1045" t="s">
        <v>40</v>
      </c>
    </row>
    <row r="1046" spans="1:16" x14ac:dyDescent="0.25">
      <c r="A1046" s="5">
        <v>45984</v>
      </c>
      <c r="B1046" t="s">
        <v>143</v>
      </c>
      <c r="C1046" t="s">
        <v>144</v>
      </c>
      <c r="D1046" t="s">
        <v>69</v>
      </c>
      <c r="E1046" t="s">
        <v>43</v>
      </c>
      <c r="F1046" t="s">
        <v>36</v>
      </c>
      <c r="G1046" t="s">
        <v>1168</v>
      </c>
      <c r="H1046" s="6">
        <v>46</v>
      </c>
      <c r="I1046" s="7">
        <v>59.11</v>
      </c>
      <c r="J1046" s="7">
        <v>2719.17</v>
      </c>
      <c r="K1046" s="6">
        <v>45</v>
      </c>
      <c r="L1046" t="s">
        <v>52</v>
      </c>
      <c r="M1046" s="8">
        <v>543.83399999999995</v>
      </c>
      <c r="N1046" s="7">
        <v>2719.17</v>
      </c>
      <c r="O1046" t="s">
        <v>46</v>
      </c>
      <c r="P1046" t="s">
        <v>40</v>
      </c>
    </row>
    <row r="1047" spans="1:16" x14ac:dyDescent="0.25">
      <c r="A1047" s="5">
        <v>45796</v>
      </c>
      <c r="B1047" t="s">
        <v>77</v>
      </c>
      <c r="C1047" t="s">
        <v>78</v>
      </c>
      <c r="D1047" t="s">
        <v>58</v>
      </c>
      <c r="E1047" t="s">
        <v>149</v>
      </c>
      <c r="F1047" t="s">
        <v>60</v>
      </c>
      <c r="G1047" t="s">
        <v>1169</v>
      </c>
      <c r="H1047" s="6">
        <v>35</v>
      </c>
      <c r="I1047" s="7">
        <v>357.68</v>
      </c>
      <c r="J1047" s="7">
        <v>12518.82</v>
      </c>
      <c r="K1047" s="6">
        <v>30</v>
      </c>
      <c r="L1047" t="s">
        <v>45</v>
      </c>
      <c r="M1047" s="8">
        <v>2503.7640000000001</v>
      </c>
      <c r="N1047" s="7">
        <v>12518.82</v>
      </c>
      <c r="O1047" t="s">
        <v>46</v>
      </c>
      <c r="P1047" t="s">
        <v>40</v>
      </c>
    </row>
    <row r="1048" spans="1:16" x14ac:dyDescent="0.25">
      <c r="A1048" s="5">
        <v>46003</v>
      </c>
      <c r="B1048" t="s">
        <v>62</v>
      </c>
      <c r="C1048" t="s">
        <v>63</v>
      </c>
      <c r="D1048" t="s">
        <v>64</v>
      </c>
      <c r="E1048" t="s">
        <v>96</v>
      </c>
      <c r="F1048" t="s">
        <v>97</v>
      </c>
      <c r="G1048" t="s">
        <v>1170</v>
      </c>
      <c r="H1048" s="6">
        <v>31</v>
      </c>
      <c r="I1048" s="7">
        <v>429.47</v>
      </c>
      <c r="J1048" s="7">
        <v>13313.68</v>
      </c>
      <c r="K1048" s="6">
        <v>60</v>
      </c>
      <c r="L1048" t="s">
        <v>52</v>
      </c>
      <c r="M1048" s="8">
        <v>2662.7359999999999</v>
      </c>
      <c r="N1048" s="7">
        <v>13313.68</v>
      </c>
      <c r="O1048" t="s">
        <v>46</v>
      </c>
      <c r="P1048" t="s">
        <v>40</v>
      </c>
    </row>
    <row r="1049" spans="1:16" x14ac:dyDescent="0.25">
      <c r="A1049" s="5">
        <v>45830</v>
      </c>
      <c r="B1049" t="s">
        <v>91</v>
      </c>
      <c r="C1049" t="s">
        <v>92</v>
      </c>
      <c r="D1049" t="s">
        <v>64</v>
      </c>
      <c r="E1049" t="s">
        <v>53</v>
      </c>
      <c r="F1049" t="s">
        <v>54</v>
      </c>
      <c r="G1049" t="s">
        <v>1171</v>
      </c>
      <c r="H1049" s="6">
        <v>24</v>
      </c>
      <c r="I1049" s="7">
        <v>105.05</v>
      </c>
      <c r="J1049" s="7">
        <v>2521.2199999999998</v>
      </c>
      <c r="K1049" s="6">
        <v>45</v>
      </c>
      <c r="L1049" t="s">
        <v>52</v>
      </c>
      <c r="M1049" s="8">
        <v>504.24400000000003</v>
      </c>
      <c r="N1049" s="7">
        <v>2521.2199999999998</v>
      </c>
      <c r="O1049" t="s">
        <v>46</v>
      </c>
      <c r="P1049" t="s">
        <v>40</v>
      </c>
    </row>
    <row r="1050" spans="1:16" x14ac:dyDescent="0.25">
      <c r="A1050" s="5">
        <v>45664</v>
      </c>
      <c r="B1050" t="s">
        <v>80</v>
      </c>
      <c r="C1050" t="s">
        <v>81</v>
      </c>
      <c r="D1050" t="s">
        <v>64</v>
      </c>
      <c r="E1050" t="s">
        <v>49</v>
      </c>
      <c r="F1050" t="s">
        <v>50</v>
      </c>
      <c r="G1050" t="s">
        <v>1172</v>
      </c>
      <c r="H1050" s="6">
        <v>53</v>
      </c>
      <c r="I1050" s="7">
        <v>270.32</v>
      </c>
      <c r="J1050" s="7">
        <v>14326.71</v>
      </c>
      <c r="K1050" s="6">
        <v>30</v>
      </c>
      <c r="L1050" t="s">
        <v>52</v>
      </c>
      <c r="M1050" s="8">
        <v>2865.3420000000001</v>
      </c>
      <c r="N1050" s="7">
        <v>14326.71</v>
      </c>
      <c r="O1050" t="s">
        <v>39</v>
      </c>
      <c r="P1050" t="s">
        <v>40</v>
      </c>
    </row>
    <row r="1051" spans="1:16" x14ac:dyDescent="0.25">
      <c r="A1051" s="5">
        <v>45770</v>
      </c>
      <c r="B1051" t="s">
        <v>94</v>
      </c>
      <c r="C1051" t="s">
        <v>95</v>
      </c>
      <c r="D1051" t="s">
        <v>34</v>
      </c>
      <c r="E1051" t="s">
        <v>139</v>
      </c>
      <c r="F1051" t="s">
        <v>108</v>
      </c>
      <c r="G1051" t="s">
        <v>1173</v>
      </c>
      <c r="H1051" s="6">
        <v>37</v>
      </c>
      <c r="I1051" s="7">
        <v>160.22</v>
      </c>
      <c r="J1051" s="7">
        <v>5928.08</v>
      </c>
      <c r="K1051" s="6">
        <v>45</v>
      </c>
      <c r="L1051" t="s">
        <v>38</v>
      </c>
      <c r="M1051" s="8">
        <v>1185.616</v>
      </c>
      <c r="N1051" s="7">
        <v>5928.08</v>
      </c>
      <c r="O1051" t="s">
        <v>46</v>
      </c>
      <c r="P1051" t="s">
        <v>40</v>
      </c>
    </row>
    <row r="1052" spans="1:16" x14ac:dyDescent="0.25">
      <c r="A1052" s="5">
        <v>45705</v>
      </c>
      <c r="B1052" t="s">
        <v>91</v>
      </c>
      <c r="C1052" t="s">
        <v>92</v>
      </c>
      <c r="D1052" t="s">
        <v>64</v>
      </c>
      <c r="E1052" t="s">
        <v>152</v>
      </c>
      <c r="F1052" t="s">
        <v>50</v>
      </c>
      <c r="G1052" t="s">
        <v>1174</v>
      </c>
      <c r="H1052" s="6">
        <v>8</v>
      </c>
      <c r="I1052" s="7">
        <v>85.07</v>
      </c>
      <c r="J1052" s="7">
        <v>680.53</v>
      </c>
      <c r="K1052" s="6">
        <v>60</v>
      </c>
      <c r="L1052" t="s">
        <v>52</v>
      </c>
      <c r="M1052" s="8">
        <v>136.10599999999999</v>
      </c>
      <c r="N1052" s="7">
        <v>680.53</v>
      </c>
      <c r="O1052" t="s">
        <v>46</v>
      </c>
      <c r="P1052" t="s">
        <v>40</v>
      </c>
    </row>
    <row r="1053" spans="1:16" x14ac:dyDescent="0.25">
      <c r="A1053" s="5">
        <v>45719</v>
      </c>
      <c r="B1053" t="s">
        <v>201</v>
      </c>
      <c r="C1053" t="s">
        <v>202</v>
      </c>
      <c r="D1053" t="s">
        <v>64</v>
      </c>
      <c r="E1053" t="s">
        <v>43</v>
      </c>
      <c r="F1053" t="s">
        <v>36</v>
      </c>
      <c r="G1053" t="s">
        <v>1175</v>
      </c>
      <c r="H1053" s="6">
        <v>12</v>
      </c>
      <c r="I1053" s="7">
        <v>80.81</v>
      </c>
      <c r="J1053" s="7">
        <v>969.7</v>
      </c>
      <c r="K1053" s="6">
        <v>60</v>
      </c>
      <c r="L1053" t="s">
        <v>38</v>
      </c>
      <c r="M1053" s="8">
        <v>193.94</v>
      </c>
      <c r="N1053" s="7">
        <v>969.7</v>
      </c>
      <c r="O1053" t="s">
        <v>46</v>
      </c>
      <c r="P1053" t="s">
        <v>40</v>
      </c>
    </row>
    <row r="1054" spans="1:16" x14ac:dyDescent="0.25">
      <c r="A1054" s="5">
        <v>46014</v>
      </c>
      <c r="B1054" t="s">
        <v>67</v>
      </c>
      <c r="C1054" t="s">
        <v>68</v>
      </c>
      <c r="D1054" t="s">
        <v>69</v>
      </c>
      <c r="E1054" t="s">
        <v>154</v>
      </c>
      <c r="F1054" t="s">
        <v>89</v>
      </c>
      <c r="G1054" t="s">
        <v>1176</v>
      </c>
      <c r="H1054" s="6">
        <v>24</v>
      </c>
      <c r="I1054" s="7">
        <v>236.2</v>
      </c>
      <c r="J1054" s="7">
        <v>5668.77</v>
      </c>
      <c r="K1054" s="6">
        <v>45</v>
      </c>
      <c r="L1054" t="s">
        <v>45</v>
      </c>
      <c r="M1054" s="8">
        <v>1133.7539999999999</v>
      </c>
      <c r="N1054" s="7">
        <v>5668.77</v>
      </c>
      <c r="O1054" t="s">
        <v>39</v>
      </c>
      <c r="P1054" t="s">
        <v>40</v>
      </c>
    </row>
    <row r="1055" spans="1:16" x14ac:dyDescent="0.25">
      <c r="A1055" s="5">
        <v>45890</v>
      </c>
      <c r="B1055" t="s">
        <v>113</v>
      </c>
      <c r="C1055" t="s">
        <v>114</v>
      </c>
      <c r="D1055" t="s">
        <v>69</v>
      </c>
      <c r="E1055" t="s">
        <v>43</v>
      </c>
      <c r="F1055" t="s">
        <v>36</v>
      </c>
      <c r="G1055" t="s">
        <v>1177</v>
      </c>
      <c r="H1055" s="6">
        <v>36</v>
      </c>
      <c r="I1055" s="7">
        <v>75.02</v>
      </c>
      <c r="J1055" s="7">
        <v>2700.73</v>
      </c>
      <c r="K1055" s="6">
        <v>45</v>
      </c>
      <c r="L1055" t="s">
        <v>52</v>
      </c>
      <c r="M1055" s="8">
        <v>540.14599999999996</v>
      </c>
      <c r="N1055" s="7">
        <v>2700.73</v>
      </c>
      <c r="O1055" t="s">
        <v>46</v>
      </c>
      <c r="P1055" t="s">
        <v>40</v>
      </c>
    </row>
    <row r="1056" spans="1:16" x14ac:dyDescent="0.25">
      <c r="A1056" s="5">
        <v>45740</v>
      </c>
      <c r="B1056" t="s">
        <v>100</v>
      </c>
      <c r="C1056" t="s">
        <v>101</v>
      </c>
      <c r="D1056" t="s">
        <v>69</v>
      </c>
      <c r="E1056" t="s">
        <v>132</v>
      </c>
      <c r="F1056" t="s">
        <v>71</v>
      </c>
      <c r="G1056" t="s">
        <v>1178</v>
      </c>
      <c r="H1056" s="6">
        <v>10</v>
      </c>
      <c r="I1056" s="7">
        <v>70.19</v>
      </c>
      <c r="J1056" s="7">
        <v>701.9</v>
      </c>
      <c r="K1056" s="6">
        <v>45</v>
      </c>
      <c r="L1056" t="s">
        <v>38</v>
      </c>
      <c r="M1056" s="8">
        <v>140.38</v>
      </c>
      <c r="N1056" s="7">
        <v>701.9</v>
      </c>
      <c r="O1056" t="s">
        <v>46</v>
      </c>
      <c r="P1056" t="s">
        <v>40</v>
      </c>
    </row>
    <row r="1057" spans="1:16" x14ac:dyDescent="0.25">
      <c r="A1057" s="5">
        <v>45688</v>
      </c>
      <c r="B1057" t="s">
        <v>110</v>
      </c>
      <c r="C1057" t="s">
        <v>111</v>
      </c>
      <c r="D1057" t="s">
        <v>58</v>
      </c>
      <c r="E1057" t="s">
        <v>96</v>
      </c>
      <c r="F1057" t="s">
        <v>97</v>
      </c>
      <c r="G1057" t="s">
        <v>1179</v>
      </c>
      <c r="H1057" s="6">
        <v>34</v>
      </c>
      <c r="I1057" s="7">
        <v>207.35</v>
      </c>
      <c r="J1057" s="7">
        <v>7049.77</v>
      </c>
      <c r="K1057" s="6">
        <v>45</v>
      </c>
      <c r="L1057" t="s">
        <v>38</v>
      </c>
      <c r="M1057" s="8">
        <v>1409.954</v>
      </c>
      <c r="N1057" s="7">
        <v>7049.77</v>
      </c>
      <c r="O1057" t="s">
        <v>46</v>
      </c>
      <c r="P1057" t="s">
        <v>40</v>
      </c>
    </row>
    <row r="1058" spans="1:16" x14ac:dyDescent="0.25">
      <c r="A1058" s="5">
        <v>45760</v>
      </c>
      <c r="B1058" t="s">
        <v>94</v>
      </c>
      <c r="C1058" t="s">
        <v>95</v>
      </c>
      <c r="D1058" t="s">
        <v>34</v>
      </c>
      <c r="E1058" t="s">
        <v>75</v>
      </c>
      <c r="F1058" t="s">
        <v>36</v>
      </c>
      <c r="G1058" t="s">
        <v>1180</v>
      </c>
      <c r="H1058" s="6">
        <v>79</v>
      </c>
      <c r="I1058" s="7">
        <v>64.09</v>
      </c>
      <c r="J1058" s="7">
        <v>5063.33</v>
      </c>
      <c r="K1058" s="6">
        <v>45</v>
      </c>
      <c r="L1058" t="s">
        <v>38</v>
      </c>
      <c r="M1058" s="8">
        <v>1012.6660000000001</v>
      </c>
      <c r="N1058" s="7">
        <v>5063.33</v>
      </c>
      <c r="O1058" t="s">
        <v>46</v>
      </c>
      <c r="P1058" t="s">
        <v>40</v>
      </c>
    </row>
    <row r="1059" spans="1:16" x14ac:dyDescent="0.25">
      <c r="A1059" s="5">
        <v>45731</v>
      </c>
      <c r="B1059" t="s">
        <v>91</v>
      </c>
      <c r="C1059" t="s">
        <v>92</v>
      </c>
      <c r="D1059" t="s">
        <v>64</v>
      </c>
      <c r="E1059" t="s">
        <v>107</v>
      </c>
      <c r="F1059" t="s">
        <v>108</v>
      </c>
      <c r="G1059" t="s">
        <v>1181</v>
      </c>
      <c r="H1059" s="6">
        <v>70</v>
      </c>
      <c r="I1059" s="7">
        <v>142.94999999999999</v>
      </c>
      <c r="J1059" s="7">
        <v>10006.44</v>
      </c>
      <c r="K1059" s="6">
        <v>45</v>
      </c>
      <c r="L1059" t="s">
        <v>38</v>
      </c>
      <c r="M1059" s="8">
        <v>2001.288</v>
      </c>
      <c r="N1059" s="7">
        <v>10006.44</v>
      </c>
      <c r="O1059" t="s">
        <v>46</v>
      </c>
      <c r="P1059" t="s">
        <v>40</v>
      </c>
    </row>
    <row r="1060" spans="1:16" x14ac:dyDescent="0.25">
      <c r="A1060" s="5">
        <v>45790</v>
      </c>
      <c r="B1060" t="s">
        <v>77</v>
      </c>
      <c r="C1060" t="s">
        <v>78</v>
      </c>
      <c r="D1060" t="s">
        <v>58</v>
      </c>
      <c r="E1060" t="s">
        <v>75</v>
      </c>
      <c r="F1060" t="s">
        <v>36</v>
      </c>
      <c r="G1060" t="s">
        <v>1182</v>
      </c>
      <c r="H1060" s="6">
        <v>14</v>
      </c>
      <c r="I1060" s="7">
        <v>87.65</v>
      </c>
      <c r="J1060" s="7">
        <v>1227.1199999999999</v>
      </c>
      <c r="K1060" s="6">
        <v>30</v>
      </c>
      <c r="L1060" t="s">
        <v>38</v>
      </c>
      <c r="M1060" s="8">
        <v>245.42400000000001</v>
      </c>
      <c r="N1060" s="7">
        <v>1227.1199999999999</v>
      </c>
      <c r="O1060" t="s">
        <v>46</v>
      </c>
      <c r="P1060" t="s">
        <v>40</v>
      </c>
    </row>
    <row r="1061" spans="1:16" x14ac:dyDescent="0.25">
      <c r="A1061" s="5">
        <v>45667</v>
      </c>
      <c r="B1061" t="s">
        <v>85</v>
      </c>
      <c r="C1061" t="s">
        <v>86</v>
      </c>
      <c r="D1061" t="s">
        <v>58</v>
      </c>
      <c r="E1061" t="s">
        <v>149</v>
      </c>
      <c r="F1061" t="s">
        <v>60</v>
      </c>
      <c r="G1061" t="s">
        <v>1183</v>
      </c>
      <c r="H1061" s="6">
        <v>64</v>
      </c>
      <c r="I1061" s="7">
        <v>179.43</v>
      </c>
      <c r="J1061" s="7">
        <v>11483.57</v>
      </c>
      <c r="K1061" s="6">
        <v>30</v>
      </c>
      <c r="L1061" t="s">
        <v>52</v>
      </c>
      <c r="M1061" s="8">
        <v>2296.7139999999999</v>
      </c>
      <c r="N1061" s="7">
        <v>11483.57</v>
      </c>
      <c r="O1061" t="s">
        <v>46</v>
      </c>
      <c r="P1061" t="s">
        <v>40</v>
      </c>
    </row>
    <row r="1062" spans="1:16" x14ac:dyDescent="0.25">
      <c r="A1062" s="5">
        <v>45998</v>
      </c>
      <c r="B1062" t="s">
        <v>56</v>
      </c>
      <c r="C1062" t="s">
        <v>57</v>
      </c>
      <c r="D1062" t="s">
        <v>58</v>
      </c>
      <c r="E1062" t="s">
        <v>49</v>
      </c>
      <c r="F1062" t="s">
        <v>50</v>
      </c>
      <c r="G1062" t="s">
        <v>1184</v>
      </c>
      <c r="H1062" s="6">
        <v>50</v>
      </c>
      <c r="I1062" s="7">
        <v>183.45</v>
      </c>
      <c r="J1062" s="7">
        <v>9172.35</v>
      </c>
      <c r="K1062" s="6">
        <v>45</v>
      </c>
      <c r="L1062" t="s">
        <v>38</v>
      </c>
      <c r="M1062" s="8">
        <v>1834.47</v>
      </c>
      <c r="N1062" s="7">
        <v>9172.35</v>
      </c>
      <c r="O1062" t="s">
        <v>39</v>
      </c>
      <c r="P1062" t="s">
        <v>40</v>
      </c>
    </row>
    <row r="1063" spans="1:16" x14ac:dyDescent="0.25">
      <c r="A1063" s="5">
        <v>45952</v>
      </c>
      <c r="B1063" t="s">
        <v>73</v>
      </c>
      <c r="C1063" t="s">
        <v>74</v>
      </c>
      <c r="D1063" t="s">
        <v>69</v>
      </c>
      <c r="E1063" t="s">
        <v>132</v>
      </c>
      <c r="F1063" t="s">
        <v>71</v>
      </c>
      <c r="G1063" t="s">
        <v>1185</v>
      </c>
      <c r="H1063" s="6">
        <v>1</v>
      </c>
      <c r="I1063" s="7">
        <v>19.829999999999998</v>
      </c>
      <c r="J1063" s="7">
        <v>19.829999999999998</v>
      </c>
      <c r="K1063" s="6">
        <v>60</v>
      </c>
      <c r="L1063" t="s">
        <v>52</v>
      </c>
      <c r="M1063" s="8">
        <v>3.9660000000000002</v>
      </c>
      <c r="N1063" s="7">
        <v>19.829999999999998</v>
      </c>
      <c r="O1063" t="s">
        <v>46</v>
      </c>
      <c r="P1063" t="s">
        <v>40</v>
      </c>
    </row>
    <row r="1064" spans="1:16" x14ac:dyDescent="0.25">
      <c r="A1064" s="5">
        <v>45864</v>
      </c>
      <c r="B1064" t="s">
        <v>113</v>
      </c>
      <c r="C1064" t="s">
        <v>114</v>
      </c>
      <c r="D1064" t="s">
        <v>69</v>
      </c>
      <c r="E1064" t="s">
        <v>139</v>
      </c>
      <c r="F1064" t="s">
        <v>108</v>
      </c>
      <c r="G1064" t="s">
        <v>1186</v>
      </c>
      <c r="H1064" s="6">
        <v>9</v>
      </c>
      <c r="I1064" s="7">
        <v>141.08000000000001</v>
      </c>
      <c r="J1064" s="7">
        <v>1269.7</v>
      </c>
      <c r="K1064" s="6">
        <v>60</v>
      </c>
      <c r="L1064" t="s">
        <v>38</v>
      </c>
      <c r="M1064" s="8">
        <v>253.94</v>
      </c>
      <c r="N1064" s="7">
        <v>1269.7</v>
      </c>
      <c r="O1064" t="s">
        <v>46</v>
      </c>
      <c r="P1064" t="s">
        <v>40</v>
      </c>
    </row>
    <row r="1065" spans="1:16" x14ac:dyDescent="0.25">
      <c r="A1065" s="5">
        <v>45904</v>
      </c>
      <c r="B1065" t="s">
        <v>56</v>
      </c>
      <c r="C1065" t="s">
        <v>57</v>
      </c>
      <c r="D1065" t="s">
        <v>58</v>
      </c>
      <c r="E1065" t="s">
        <v>105</v>
      </c>
      <c r="F1065" t="s">
        <v>97</v>
      </c>
      <c r="G1065" t="s">
        <v>1187</v>
      </c>
      <c r="H1065" s="6">
        <v>16</v>
      </c>
      <c r="I1065" s="7">
        <v>115.23</v>
      </c>
      <c r="J1065" s="7">
        <v>1843.7</v>
      </c>
      <c r="K1065" s="6">
        <v>60</v>
      </c>
      <c r="L1065" t="s">
        <v>52</v>
      </c>
      <c r="M1065" s="8">
        <v>368.74</v>
      </c>
      <c r="N1065" s="7">
        <v>1843.7</v>
      </c>
      <c r="O1065" t="s">
        <v>46</v>
      </c>
      <c r="P1065" t="s">
        <v>40</v>
      </c>
    </row>
    <row r="1066" spans="1:16" x14ac:dyDescent="0.25">
      <c r="A1066" s="5">
        <v>45813</v>
      </c>
      <c r="B1066" t="s">
        <v>56</v>
      </c>
      <c r="C1066" t="s">
        <v>57</v>
      </c>
      <c r="D1066" t="s">
        <v>58</v>
      </c>
      <c r="E1066" t="s">
        <v>70</v>
      </c>
      <c r="F1066" t="s">
        <v>71</v>
      </c>
      <c r="G1066" t="s">
        <v>1188</v>
      </c>
      <c r="H1066" s="6">
        <v>52</v>
      </c>
      <c r="I1066" s="7">
        <v>77.83</v>
      </c>
      <c r="J1066" s="7">
        <v>4047.19</v>
      </c>
      <c r="K1066" s="6">
        <v>30</v>
      </c>
      <c r="L1066" t="s">
        <v>52</v>
      </c>
      <c r="M1066" s="8">
        <v>809.43799999999999</v>
      </c>
      <c r="N1066" s="7">
        <v>4047.19</v>
      </c>
      <c r="O1066" t="s">
        <v>46</v>
      </c>
      <c r="P1066" t="s">
        <v>40</v>
      </c>
    </row>
    <row r="1067" spans="1:16" x14ac:dyDescent="0.25">
      <c r="A1067" s="5">
        <v>45931</v>
      </c>
      <c r="B1067" t="s">
        <v>41</v>
      </c>
      <c r="C1067" t="s">
        <v>42</v>
      </c>
      <c r="D1067" t="s">
        <v>34</v>
      </c>
      <c r="E1067" t="s">
        <v>75</v>
      </c>
      <c r="F1067" t="s">
        <v>36</v>
      </c>
      <c r="G1067" t="s">
        <v>1189</v>
      </c>
      <c r="H1067" s="6">
        <v>44</v>
      </c>
      <c r="I1067" s="7">
        <v>35.11</v>
      </c>
      <c r="J1067" s="7">
        <v>1544.97</v>
      </c>
      <c r="K1067" s="6">
        <v>30</v>
      </c>
      <c r="L1067" t="s">
        <v>45</v>
      </c>
      <c r="M1067" s="8">
        <v>308.99400000000003</v>
      </c>
      <c r="N1067" s="7">
        <v>1544.97</v>
      </c>
      <c r="O1067" t="s">
        <v>46</v>
      </c>
      <c r="P1067" t="s">
        <v>40</v>
      </c>
    </row>
    <row r="1068" spans="1:16" x14ac:dyDescent="0.25">
      <c r="A1068" s="5">
        <v>45761</v>
      </c>
      <c r="B1068" t="s">
        <v>113</v>
      </c>
      <c r="C1068" t="s">
        <v>114</v>
      </c>
      <c r="D1068" t="s">
        <v>69</v>
      </c>
      <c r="E1068" t="s">
        <v>115</v>
      </c>
      <c r="F1068" t="s">
        <v>60</v>
      </c>
      <c r="G1068" t="s">
        <v>1190</v>
      </c>
      <c r="H1068" s="6">
        <v>23</v>
      </c>
      <c r="I1068" s="7">
        <v>107.94</v>
      </c>
      <c r="J1068" s="7">
        <v>2482.56</v>
      </c>
      <c r="K1068" s="6">
        <v>60</v>
      </c>
      <c r="L1068" t="s">
        <v>38</v>
      </c>
      <c r="M1068" s="8">
        <v>496.512</v>
      </c>
      <c r="N1068" s="7">
        <v>2482.56</v>
      </c>
      <c r="O1068" t="s">
        <v>46</v>
      </c>
      <c r="P1068" t="s">
        <v>40</v>
      </c>
    </row>
    <row r="1069" spans="1:16" x14ac:dyDescent="0.25">
      <c r="A1069" s="5">
        <v>46014</v>
      </c>
      <c r="B1069" t="s">
        <v>103</v>
      </c>
      <c r="C1069" t="s">
        <v>104</v>
      </c>
      <c r="D1069" t="s">
        <v>58</v>
      </c>
      <c r="E1069" t="s">
        <v>65</v>
      </c>
      <c r="F1069" t="s">
        <v>54</v>
      </c>
      <c r="G1069" t="s">
        <v>1191</v>
      </c>
      <c r="H1069" s="6">
        <v>50</v>
      </c>
      <c r="I1069" s="7">
        <v>473.39</v>
      </c>
      <c r="J1069" s="7">
        <v>23669.41</v>
      </c>
      <c r="K1069" s="6">
        <v>30</v>
      </c>
      <c r="L1069" t="s">
        <v>52</v>
      </c>
      <c r="M1069" s="8">
        <v>4733.8819999999996</v>
      </c>
      <c r="N1069" s="7">
        <v>23669.41</v>
      </c>
      <c r="O1069" t="s">
        <v>46</v>
      </c>
      <c r="P1069" t="s">
        <v>40</v>
      </c>
    </row>
    <row r="1070" spans="1:16" x14ac:dyDescent="0.25">
      <c r="A1070" s="5">
        <v>45701</v>
      </c>
      <c r="B1070" t="s">
        <v>80</v>
      </c>
      <c r="C1070" t="s">
        <v>81</v>
      </c>
      <c r="D1070" t="s">
        <v>64</v>
      </c>
      <c r="E1070" t="s">
        <v>132</v>
      </c>
      <c r="F1070" t="s">
        <v>71</v>
      </c>
      <c r="G1070" t="s">
        <v>1192</v>
      </c>
      <c r="H1070" s="6">
        <v>57</v>
      </c>
      <c r="I1070" s="7">
        <v>73.45</v>
      </c>
      <c r="J1070" s="7">
        <v>4186.8</v>
      </c>
      <c r="K1070" s="6">
        <v>60</v>
      </c>
      <c r="L1070" t="s">
        <v>38</v>
      </c>
      <c r="M1070" s="8">
        <v>837.36</v>
      </c>
      <c r="N1070" s="7">
        <v>4186.8</v>
      </c>
      <c r="O1070" t="s">
        <v>46</v>
      </c>
      <c r="P1070" t="s">
        <v>40</v>
      </c>
    </row>
    <row r="1071" spans="1:16" x14ac:dyDescent="0.25">
      <c r="A1071" s="5">
        <v>45670</v>
      </c>
      <c r="B1071" t="s">
        <v>56</v>
      </c>
      <c r="C1071" t="s">
        <v>57</v>
      </c>
      <c r="D1071" t="s">
        <v>58</v>
      </c>
      <c r="E1071" t="s">
        <v>49</v>
      </c>
      <c r="F1071" t="s">
        <v>50</v>
      </c>
      <c r="G1071" t="s">
        <v>1193</v>
      </c>
      <c r="H1071" s="6">
        <v>76</v>
      </c>
      <c r="I1071" s="7">
        <v>145.19</v>
      </c>
      <c r="J1071" s="7">
        <v>11034.72</v>
      </c>
      <c r="K1071" s="6">
        <v>30</v>
      </c>
      <c r="L1071" t="s">
        <v>45</v>
      </c>
      <c r="M1071" s="8">
        <v>2206.944</v>
      </c>
      <c r="N1071" s="7">
        <v>11034.72</v>
      </c>
      <c r="O1071" t="s">
        <v>39</v>
      </c>
      <c r="P1071" t="s">
        <v>40</v>
      </c>
    </row>
    <row r="1072" spans="1:16" x14ac:dyDescent="0.25">
      <c r="A1072" s="5">
        <v>45987</v>
      </c>
      <c r="B1072" t="s">
        <v>56</v>
      </c>
      <c r="C1072" t="s">
        <v>57</v>
      </c>
      <c r="D1072" t="s">
        <v>58</v>
      </c>
      <c r="E1072" t="s">
        <v>43</v>
      </c>
      <c r="F1072" t="s">
        <v>36</v>
      </c>
      <c r="G1072" t="s">
        <v>1194</v>
      </c>
      <c r="H1072" s="6">
        <v>40</v>
      </c>
      <c r="I1072" s="7">
        <v>63.34</v>
      </c>
      <c r="J1072" s="7">
        <v>2533.7600000000002</v>
      </c>
      <c r="K1072" s="6">
        <v>45</v>
      </c>
      <c r="L1072" t="s">
        <v>52</v>
      </c>
      <c r="M1072" s="8">
        <v>506.75200000000001</v>
      </c>
      <c r="N1072" s="7">
        <v>2533.7600000000002</v>
      </c>
      <c r="O1072" t="s">
        <v>46</v>
      </c>
      <c r="P1072" t="s">
        <v>40</v>
      </c>
    </row>
    <row r="1073" spans="1:16" x14ac:dyDescent="0.25">
      <c r="A1073" s="5">
        <v>45831</v>
      </c>
      <c r="B1073" t="s">
        <v>121</v>
      </c>
      <c r="C1073" t="s">
        <v>122</v>
      </c>
      <c r="D1073" t="s">
        <v>34</v>
      </c>
      <c r="E1073" t="s">
        <v>49</v>
      </c>
      <c r="F1073" t="s">
        <v>50</v>
      </c>
      <c r="G1073" t="s">
        <v>1195</v>
      </c>
      <c r="H1073" s="6">
        <v>8</v>
      </c>
      <c r="I1073" s="7">
        <v>156</v>
      </c>
      <c r="J1073" s="7">
        <v>1248.01</v>
      </c>
      <c r="K1073" s="6">
        <v>45</v>
      </c>
      <c r="L1073" t="s">
        <v>52</v>
      </c>
      <c r="M1073" s="8">
        <v>249.602</v>
      </c>
      <c r="N1073" s="7">
        <v>1248.01</v>
      </c>
      <c r="O1073" t="s">
        <v>39</v>
      </c>
      <c r="P1073" t="s">
        <v>40</v>
      </c>
    </row>
    <row r="1074" spans="1:16" x14ac:dyDescent="0.25">
      <c r="A1074" s="5">
        <v>45766</v>
      </c>
      <c r="B1074" t="s">
        <v>100</v>
      </c>
      <c r="C1074" t="s">
        <v>101</v>
      </c>
      <c r="D1074" t="s">
        <v>69</v>
      </c>
      <c r="E1074" t="s">
        <v>204</v>
      </c>
      <c r="F1074" t="s">
        <v>97</v>
      </c>
      <c r="G1074" t="s">
        <v>1196</v>
      </c>
      <c r="H1074" s="6">
        <v>67</v>
      </c>
      <c r="I1074" s="7">
        <v>312.95</v>
      </c>
      <c r="J1074" s="7">
        <v>20967.46</v>
      </c>
      <c r="K1074" s="6">
        <v>45</v>
      </c>
      <c r="L1074" t="s">
        <v>52</v>
      </c>
      <c r="M1074" s="8">
        <v>4193.4920000000002</v>
      </c>
      <c r="N1074" s="7">
        <v>20967.46</v>
      </c>
      <c r="O1074" t="s">
        <v>46</v>
      </c>
      <c r="P1074" t="s">
        <v>40</v>
      </c>
    </row>
    <row r="1075" spans="1:16" x14ac:dyDescent="0.25">
      <c r="A1075" s="5">
        <v>45954</v>
      </c>
      <c r="B1075" t="s">
        <v>113</v>
      </c>
      <c r="C1075" t="s">
        <v>114</v>
      </c>
      <c r="D1075" t="s">
        <v>69</v>
      </c>
      <c r="E1075" t="s">
        <v>124</v>
      </c>
      <c r="F1075" t="s">
        <v>89</v>
      </c>
      <c r="G1075" t="s">
        <v>1197</v>
      </c>
      <c r="H1075" s="6">
        <v>30</v>
      </c>
      <c r="I1075" s="7">
        <v>88.88</v>
      </c>
      <c r="J1075" s="7">
        <v>2666.46</v>
      </c>
      <c r="K1075" s="6">
        <v>30</v>
      </c>
      <c r="L1075" t="s">
        <v>38</v>
      </c>
      <c r="M1075" s="8">
        <v>533.29200000000003</v>
      </c>
      <c r="N1075" s="7">
        <v>2666.46</v>
      </c>
      <c r="O1075" t="s">
        <v>46</v>
      </c>
      <c r="P1075" t="s">
        <v>40</v>
      </c>
    </row>
    <row r="1076" spans="1:16" x14ac:dyDescent="0.25">
      <c r="A1076" s="5">
        <v>45992</v>
      </c>
      <c r="B1076" t="s">
        <v>100</v>
      </c>
      <c r="C1076" t="s">
        <v>101</v>
      </c>
      <c r="D1076" t="s">
        <v>69</v>
      </c>
      <c r="E1076" t="s">
        <v>88</v>
      </c>
      <c r="F1076" t="s">
        <v>89</v>
      </c>
      <c r="G1076" t="s">
        <v>1198</v>
      </c>
      <c r="H1076" s="6">
        <v>3</v>
      </c>
      <c r="I1076" s="7">
        <v>311.35000000000002</v>
      </c>
      <c r="J1076" s="7">
        <v>934.04</v>
      </c>
      <c r="K1076" s="6">
        <v>45</v>
      </c>
      <c r="L1076" t="s">
        <v>52</v>
      </c>
      <c r="M1076" s="8">
        <v>186.80799999999999</v>
      </c>
      <c r="N1076" s="7">
        <v>934.04</v>
      </c>
      <c r="O1076" t="s">
        <v>46</v>
      </c>
      <c r="P1076" t="s">
        <v>40</v>
      </c>
    </row>
    <row r="1077" spans="1:16" x14ac:dyDescent="0.25">
      <c r="A1077" s="5">
        <v>45990</v>
      </c>
      <c r="B1077" t="s">
        <v>47</v>
      </c>
      <c r="C1077" t="s">
        <v>48</v>
      </c>
      <c r="D1077" t="s">
        <v>34</v>
      </c>
      <c r="E1077" t="s">
        <v>53</v>
      </c>
      <c r="F1077" t="s">
        <v>54</v>
      </c>
      <c r="G1077" t="s">
        <v>1199</v>
      </c>
      <c r="H1077" s="6">
        <v>17</v>
      </c>
      <c r="I1077" s="7">
        <v>190.55</v>
      </c>
      <c r="J1077" s="7">
        <v>3239.29</v>
      </c>
      <c r="K1077" s="6">
        <v>30</v>
      </c>
      <c r="L1077" t="s">
        <v>38</v>
      </c>
      <c r="M1077" s="8">
        <v>647.85799999999995</v>
      </c>
      <c r="N1077" s="7">
        <v>3239.29</v>
      </c>
      <c r="O1077" t="s">
        <v>46</v>
      </c>
      <c r="P1077" t="s">
        <v>40</v>
      </c>
    </row>
    <row r="1078" spans="1:16" x14ac:dyDescent="0.25">
      <c r="A1078" s="5">
        <v>45707</v>
      </c>
      <c r="B1078" t="s">
        <v>143</v>
      </c>
      <c r="C1078" t="s">
        <v>144</v>
      </c>
      <c r="D1078" t="s">
        <v>69</v>
      </c>
      <c r="E1078" t="s">
        <v>210</v>
      </c>
      <c r="F1078" t="s">
        <v>50</v>
      </c>
      <c r="G1078" t="s">
        <v>1200</v>
      </c>
      <c r="H1078" s="6">
        <v>59</v>
      </c>
      <c r="I1078" s="7">
        <v>50.98</v>
      </c>
      <c r="J1078" s="7">
        <v>3007.63</v>
      </c>
      <c r="K1078" s="6">
        <v>60</v>
      </c>
      <c r="L1078" t="s">
        <v>38</v>
      </c>
      <c r="M1078" s="8">
        <v>601.52599999999995</v>
      </c>
      <c r="N1078" s="7">
        <v>3007.63</v>
      </c>
      <c r="O1078" t="s">
        <v>46</v>
      </c>
      <c r="P1078" t="s">
        <v>40</v>
      </c>
    </row>
    <row r="1079" spans="1:16" x14ac:dyDescent="0.25">
      <c r="A1079" s="5">
        <v>45716</v>
      </c>
      <c r="B1079" t="s">
        <v>56</v>
      </c>
      <c r="C1079" t="s">
        <v>57</v>
      </c>
      <c r="D1079" t="s">
        <v>58</v>
      </c>
      <c r="E1079" t="s">
        <v>127</v>
      </c>
      <c r="F1079" t="s">
        <v>36</v>
      </c>
      <c r="G1079" t="s">
        <v>1201</v>
      </c>
      <c r="H1079" s="6">
        <v>64</v>
      </c>
      <c r="I1079" s="7">
        <v>51.36</v>
      </c>
      <c r="J1079" s="7">
        <v>3287.25</v>
      </c>
      <c r="K1079" s="6">
        <v>60</v>
      </c>
      <c r="L1079" t="s">
        <v>52</v>
      </c>
      <c r="M1079" s="8">
        <v>657.45</v>
      </c>
      <c r="N1079" s="7">
        <v>3287.25</v>
      </c>
      <c r="O1079" t="s">
        <v>39</v>
      </c>
      <c r="P1079" t="s">
        <v>40</v>
      </c>
    </row>
    <row r="1080" spans="1:16" x14ac:dyDescent="0.25">
      <c r="A1080" s="5">
        <v>45876</v>
      </c>
      <c r="B1080" t="s">
        <v>94</v>
      </c>
      <c r="C1080" t="s">
        <v>95</v>
      </c>
      <c r="D1080" t="s">
        <v>34</v>
      </c>
      <c r="E1080" t="s">
        <v>127</v>
      </c>
      <c r="F1080" t="s">
        <v>36</v>
      </c>
      <c r="G1080" t="s">
        <v>1202</v>
      </c>
      <c r="H1080" s="6">
        <v>44</v>
      </c>
      <c r="I1080" s="7">
        <v>148.38</v>
      </c>
      <c r="J1080" s="7">
        <v>6528.91</v>
      </c>
      <c r="K1080" s="6">
        <v>60</v>
      </c>
      <c r="L1080" t="s">
        <v>52</v>
      </c>
      <c r="M1080" s="8">
        <v>1305.7819999999999</v>
      </c>
      <c r="N1080" s="7">
        <v>6528.91</v>
      </c>
      <c r="O1080" t="s">
        <v>39</v>
      </c>
      <c r="P1080" t="s">
        <v>40</v>
      </c>
    </row>
    <row r="1081" spans="1:16" x14ac:dyDescent="0.25">
      <c r="A1081" s="5">
        <v>46008</v>
      </c>
      <c r="B1081" t="s">
        <v>85</v>
      </c>
      <c r="C1081" t="s">
        <v>86</v>
      </c>
      <c r="D1081" t="s">
        <v>58</v>
      </c>
      <c r="E1081" t="s">
        <v>83</v>
      </c>
      <c r="F1081" t="s">
        <v>71</v>
      </c>
      <c r="G1081" t="s">
        <v>1203</v>
      </c>
      <c r="H1081" s="6">
        <v>74</v>
      </c>
      <c r="I1081" s="7">
        <v>151.63999999999999</v>
      </c>
      <c r="J1081" s="7">
        <v>11221.24</v>
      </c>
      <c r="K1081" s="6">
        <v>60</v>
      </c>
      <c r="L1081" t="s">
        <v>38</v>
      </c>
      <c r="M1081" s="8">
        <v>2244.248</v>
      </c>
      <c r="N1081" s="7">
        <v>11221.24</v>
      </c>
      <c r="O1081" t="s">
        <v>39</v>
      </c>
      <c r="P1081" t="s">
        <v>40</v>
      </c>
    </row>
    <row r="1082" spans="1:16" x14ac:dyDescent="0.25">
      <c r="A1082" s="5">
        <v>45961</v>
      </c>
      <c r="B1082" t="s">
        <v>47</v>
      </c>
      <c r="C1082" t="s">
        <v>48</v>
      </c>
      <c r="D1082" t="s">
        <v>34</v>
      </c>
      <c r="E1082" t="s">
        <v>135</v>
      </c>
      <c r="F1082" t="s">
        <v>54</v>
      </c>
      <c r="G1082" t="s">
        <v>1204</v>
      </c>
      <c r="H1082" s="6">
        <v>23</v>
      </c>
      <c r="I1082" s="7">
        <v>206.38</v>
      </c>
      <c r="J1082" s="7">
        <v>4746.66</v>
      </c>
      <c r="K1082" s="6">
        <v>45</v>
      </c>
      <c r="L1082" t="s">
        <v>38</v>
      </c>
      <c r="M1082" s="8">
        <v>949.33199999999999</v>
      </c>
      <c r="N1082" s="7">
        <v>4746.66</v>
      </c>
      <c r="O1082" t="s">
        <v>46</v>
      </c>
      <c r="P1082" t="s">
        <v>40</v>
      </c>
    </row>
    <row r="1083" spans="1:16" x14ac:dyDescent="0.25">
      <c r="A1083" s="5">
        <v>45870</v>
      </c>
      <c r="B1083" t="s">
        <v>32</v>
      </c>
      <c r="C1083" t="s">
        <v>33</v>
      </c>
      <c r="D1083" t="s">
        <v>34</v>
      </c>
      <c r="E1083" t="s">
        <v>59</v>
      </c>
      <c r="F1083" t="s">
        <v>60</v>
      </c>
      <c r="G1083" t="s">
        <v>1205</v>
      </c>
      <c r="H1083" s="6">
        <v>22</v>
      </c>
      <c r="I1083" s="7">
        <v>181.55</v>
      </c>
      <c r="J1083" s="7">
        <v>3994.12</v>
      </c>
      <c r="K1083" s="6">
        <v>60</v>
      </c>
      <c r="L1083" t="s">
        <v>45</v>
      </c>
      <c r="M1083" s="8">
        <v>798.82399999999996</v>
      </c>
      <c r="N1083" s="7">
        <v>3994.12</v>
      </c>
      <c r="O1083" t="s">
        <v>39</v>
      </c>
      <c r="P1083" t="s">
        <v>40</v>
      </c>
    </row>
    <row r="1084" spans="1:16" x14ac:dyDescent="0.25">
      <c r="A1084" s="5">
        <v>45782</v>
      </c>
      <c r="B1084" t="s">
        <v>113</v>
      </c>
      <c r="C1084" t="s">
        <v>114</v>
      </c>
      <c r="D1084" t="s">
        <v>69</v>
      </c>
      <c r="E1084" t="s">
        <v>88</v>
      </c>
      <c r="F1084" t="s">
        <v>89</v>
      </c>
      <c r="G1084" t="s">
        <v>1206</v>
      </c>
      <c r="H1084" s="6">
        <v>75</v>
      </c>
      <c r="I1084" s="7">
        <v>150.82</v>
      </c>
      <c r="J1084" s="7">
        <v>11311.17</v>
      </c>
      <c r="K1084" s="6">
        <v>30</v>
      </c>
      <c r="L1084" t="s">
        <v>38</v>
      </c>
      <c r="M1084" s="8">
        <v>2262.2339999999999</v>
      </c>
      <c r="N1084" s="7">
        <v>11311.17</v>
      </c>
      <c r="O1084" t="s">
        <v>46</v>
      </c>
      <c r="P1084" t="s">
        <v>40</v>
      </c>
    </row>
    <row r="1085" spans="1:16" x14ac:dyDescent="0.25">
      <c r="A1085" s="5">
        <v>45666</v>
      </c>
      <c r="B1085" t="s">
        <v>67</v>
      </c>
      <c r="C1085" t="s">
        <v>68</v>
      </c>
      <c r="D1085" t="s">
        <v>69</v>
      </c>
      <c r="E1085" t="s">
        <v>204</v>
      </c>
      <c r="F1085" t="s">
        <v>97</v>
      </c>
      <c r="G1085" t="s">
        <v>1207</v>
      </c>
      <c r="H1085" s="6">
        <v>63</v>
      </c>
      <c r="I1085" s="7">
        <v>940.11</v>
      </c>
      <c r="J1085" s="7">
        <v>59226.75</v>
      </c>
      <c r="K1085" s="6">
        <v>30</v>
      </c>
      <c r="L1085" t="s">
        <v>38</v>
      </c>
      <c r="M1085" s="8">
        <v>11845.35</v>
      </c>
      <c r="N1085" s="7">
        <v>59226.75</v>
      </c>
      <c r="O1085" t="s">
        <v>46</v>
      </c>
      <c r="P1085" t="s">
        <v>40</v>
      </c>
    </row>
    <row r="1086" spans="1:16" x14ac:dyDescent="0.25">
      <c r="A1086" s="5">
        <v>46019</v>
      </c>
      <c r="B1086" t="s">
        <v>32</v>
      </c>
      <c r="C1086" t="s">
        <v>33</v>
      </c>
      <c r="D1086" t="s">
        <v>34</v>
      </c>
      <c r="E1086" t="s">
        <v>154</v>
      </c>
      <c r="F1086" t="s">
        <v>89</v>
      </c>
      <c r="G1086" t="s">
        <v>1208</v>
      </c>
      <c r="H1086" s="6">
        <v>76</v>
      </c>
      <c r="I1086" s="7">
        <v>222.08</v>
      </c>
      <c r="J1086" s="7">
        <v>16877.8</v>
      </c>
      <c r="K1086" s="6">
        <v>45</v>
      </c>
      <c r="L1086" t="s">
        <v>45</v>
      </c>
      <c r="M1086" s="8">
        <v>3375.56</v>
      </c>
      <c r="N1086" s="7">
        <v>16877.8</v>
      </c>
      <c r="O1086" t="s">
        <v>39</v>
      </c>
      <c r="P1086" t="s">
        <v>40</v>
      </c>
    </row>
    <row r="1087" spans="1:16" x14ac:dyDescent="0.25">
      <c r="A1087" s="5">
        <v>45722</v>
      </c>
      <c r="B1087" t="s">
        <v>80</v>
      </c>
      <c r="C1087" t="s">
        <v>81</v>
      </c>
      <c r="D1087" t="s">
        <v>64</v>
      </c>
      <c r="E1087" t="s">
        <v>129</v>
      </c>
      <c r="F1087" t="s">
        <v>108</v>
      </c>
      <c r="G1087" t="s">
        <v>1209</v>
      </c>
      <c r="H1087" s="6">
        <v>27</v>
      </c>
      <c r="I1087" s="7">
        <v>95.01</v>
      </c>
      <c r="J1087" s="7">
        <v>2565.34</v>
      </c>
      <c r="K1087" s="6">
        <v>30</v>
      </c>
      <c r="L1087" t="s">
        <v>52</v>
      </c>
      <c r="M1087" s="8">
        <v>513.06799999999998</v>
      </c>
      <c r="N1087" s="7">
        <v>2565.34</v>
      </c>
      <c r="O1087" t="s">
        <v>46</v>
      </c>
      <c r="P1087" t="s">
        <v>40</v>
      </c>
    </row>
    <row r="1088" spans="1:16" x14ac:dyDescent="0.25">
      <c r="A1088" s="5">
        <v>45780</v>
      </c>
      <c r="B1088" t="s">
        <v>110</v>
      </c>
      <c r="C1088" t="s">
        <v>111</v>
      </c>
      <c r="D1088" t="s">
        <v>58</v>
      </c>
      <c r="E1088" t="s">
        <v>139</v>
      </c>
      <c r="F1088" t="s">
        <v>108</v>
      </c>
      <c r="G1088" t="s">
        <v>1210</v>
      </c>
      <c r="H1088" s="6">
        <v>23</v>
      </c>
      <c r="I1088" s="7">
        <v>132.18</v>
      </c>
      <c r="J1088" s="7">
        <v>3040.08</v>
      </c>
      <c r="K1088" s="6">
        <v>60</v>
      </c>
      <c r="L1088" t="s">
        <v>52</v>
      </c>
      <c r="M1088" s="8">
        <v>608.01599999999996</v>
      </c>
      <c r="N1088" s="7">
        <v>3040.08</v>
      </c>
      <c r="O1088" t="s">
        <v>46</v>
      </c>
      <c r="P1088" t="s">
        <v>40</v>
      </c>
    </row>
    <row r="1089" spans="1:16" x14ac:dyDescent="0.25">
      <c r="A1089" s="5">
        <v>45913</v>
      </c>
      <c r="B1089" t="s">
        <v>73</v>
      </c>
      <c r="C1089" t="s">
        <v>74</v>
      </c>
      <c r="D1089" t="s">
        <v>69</v>
      </c>
      <c r="E1089" t="s">
        <v>124</v>
      </c>
      <c r="F1089" t="s">
        <v>89</v>
      </c>
      <c r="G1089" t="s">
        <v>1211</v>
      </c>
      <c r="H1089" s="6">
        <v>79</v>
      </c>
      <c r="I1089" s="7">
        <v>205.26</v>
      </c>
      <c r="J1089" s="7">
        <v>16215.76</v>
      </c>
      <c r="K1089" s="6">
        <v>30</v>
      </c>
      <c r="L1089" t="s">
        <v>52</v>
      </c>
      <c r="M1089" s="8">
        <v>3243.152</v>
      </c>
      <c r="N1089" s="7">
        <v>16215.76</v>
      </c>
      <c r="O1089" t="s">
        <v>46</v>
      </c>
      <c r="P1089" t="s">
        <v>40</v>
      </c>
    </row>
    <row r="1090" spans="1:16" x14ac:dyDescent="0.25">
      <c r="A1090" s="5">
        <v>45660</v>
      </c>
      <c r="B1090" t="s">
        <v>103</v>
      </c>
      <c r="C1090" t="s">
        <v>104</v>
      </c>
      <c r="D1090" t="s">
        <v>58</v>
      </c>
      <c r="E1090" t="s">
        <v>132</v>
      </c>
      <c r="F1090" t="s">
        <v>71</v>
      </c>
      <c r="G1090" t="s">
        <v>1212</v>
      </c>
      <c r="H1090" s="6">
        <v>72</v>
      </c>
      <c r="I1090" s="7">
        <v>82.39</v>
      </c>
      <c r="J1090" s="7">
        <v>5931.72</v>
      </c>
      <c r="K1090" s="6">
        <v>30</v>
      </c>
      <c r="L1090" t="s">
        <v>38</v>
      </c>
      <c r="M1090" s="8">
        <v>1186.3440000000001</v>
      </c>
      <c r="N1090" s="7">
        <v>5931.72</v>
      </c>
      <c r="O1090" t="s">
        <v>46</v>
      </c>
      <c r="P1090" t="s">
        <v>40</v>
      </c>
    </row>
    <row r="1091" spans="1:16" x14ac:dyDescent="0.25">
      <c r="A1091" s="5">
        <v>45843</v>
      </c>
      <c r="B1091" t="s">
        <v>94</v>
      </c>
      <c r="C1091" t="s">
        <v>95</v>
      </c>
      <c r="D1091" t="s">
        <v>34</v>
      </c>
      <c r="E1091" t="s">
        <v>43</v>
      </c>
      <c r="F1091" t="s">
        <v>36</v>
      </c>
      <c r="G1091" t="s">
        <v>1213</v>
      </c>
      <c r="H1091" s="6">
        <v>70</v>
      </c>
      <c r="I1091" s="7">
        <v>58.35</v>
      </c>
      <c r="J1091" s="7">
        <v>4084.24</v>
      </c>
      <c r="K1091" s="6">
        <v>60</v>
      </c>
      <c r="L1091" t="s">
        <v>38</v>
      </c>
      <c r="M1091" s="8">
        <v>816.84799999999996</v>
      </c>
      <c r="N1091" s="7">
        <v>4084.24</v>
      </c>
      <c r="O1091" t="s">
        <v>46</v>
      </c>
      <c r="P1091" t="s">
        <v>40</v>
      </c>
    </row>
    <row r="1092" spans="1:16" x14ac:dyDescent="0.25">
      <c r="A1092" s="5">
        <v>45685</v>
      </c>
      <c r="B1092" t="s">
        <v>100</v>
      </c>
      <c r="C1092" t="s">
        <v>101</v>
      </c>
      <c r="D1092" t="s">
        <v>69</v>
      </c>
      <c r="E1092" t="s">
        <v>65</v>
      </c>
      <c r="F1092" t="s">
        <v>54</v>
      </c>
      <c r="G1092" t="s">
        <v>1214</v>
      </c>
      <c r="H1092" s="6">
        <v>25</v>
      </c>
      <c r="I1092" s="7">
        <v>240.35</v>
      </c>
      <c r="J1092" s="7">
        <v>6008.65</v>
      </c>
      <c r="K1092" s="6">
        <v>30</v>
      </c>
      <c r="L1092" t="s">
        <v>38</v>
      </c>
      <c r="M1092" s="8">
        <v>1201.73</v>
      </c>
      <c r="N1092" s="7">
        <v>6008.65</v>
      </c>
      <c r="O1092" t="s">
        <v>46</v>
      </c>
      <c r="P1092" t="s">
        <v>40</v>
      </c>
    </row>
    <row r="1093" spans="1:16" x14ac:dyDescent="0.25">
      <c r="A1093" s="5">
        <v>45748</v>
      </c>
      <c r="B1093" t="s">
        <v>41</v>
      </c>
      <c r="C1093" t="s">
        <v>42</v>
      </c>
      <c r="D1093" t="s">
        <v>34</v>
      </c>
      <c r="E1093" t="s">
        <v>139</v>
      </c>
      <c r="F1093" t="s">
        <v>108</v>
      </c>
      <c r="G1093" t="s">
        <v>1215</v>
      </c>
      <c r="H1093" s="6">
        <v>21</v>
      </c>
      <c r="I1093" s="7">
        <v>73.48</v>
      </c>
      <c r="J1093" s="7">
        <v>1543.08</v>
      </c>
      <c r="K1093" s="6">
        <v>60</v>
      </c>
      <c r="L1093" t="s">
        <v>38</v>
      </c>
      <c r="M1093" s="8">
        <v>308.61599999999999</v>
      </c>
      <c r="N1093" s="7">
        <v>1543.08</v>
      </c>
      <c r="O1093" t="s">
        <v>46</v>
      </c>
      <c r="P1093" t="s">
        <v>40</v>
      </c>
    </row>
    <row r="1094" spans="1:16" x14ac:dyDescent="0.25">
      <c r="A1094" s="5">
        <v>45765</v>
      </c>
      <c r="B1094" t="s">
        <v>94</v>
      </c>
      <c r="C1094" t="s">
        <v>95</v>
      </c>
      <c r="D1094" t="s">
        <v>34</v>
      </c>
      <c r="E1094" t="s">
        <v>132</v>
      </c>
      <c r="F1094" t="s">
        <v>71</v>
      </c>
      <c r="G1094" t="s">
        <v>1216</v>
      </c>
      <c r="H1094" s="6">
        <v>56</v>
      </c>
      <c r="I1094" s="7">
        <v>141.75</v>
      </c>
      <c r="J1094" s="7">
        <v>7938.07</v>
      </c>
      <c r="K1094" s="6">
        <v>45</v>
      </c>
      <c r="L1094" t="s">
        <v>45</v>
      </c>
      <c r="M1094" s="8">
        <v>1587.614</v>
      </c>
      <c r="N1094" s="7">
        <v>7938.07</v>
      </c>
      <c r="O1094" t="s">
        <v>46</v>
      </c>
      <c r="P1094" t="s">
        <v>40</v>
      </c>
    </row>
    <row r="1095" spans="1:16" x14ac:dyDescent="0.25">
      <c r="A1095" s="5">
        <v>45711</v>
      </c>
      <c r="B1095" t="s">
        <v>201</v>
      </c>
      <c r="C1095" t="s">
        <v>202</v>
      </c>
      <c r="D1095" t="s">
        <v>64</v>
      </c>
      <c r="E1095" t="s">
        <v>107</v>
      </c>
      <c r="F1095" t="s">
        <v>108</v>
      </c>
      <c r="G1095" t="s">
        <v>1217</v>
      </c>
      <c r="H1095" s="6">
        <v>7</v>
      </c>
      <c r="I1095" s="7">
        <v>77.17</v>
      </c>
      <c r="J1095" s="7">
        <v>540.22</v>
      </c>
      <c r="K1095" s="6">
        <v>60</v>
      </c>
      <c r="L1095" t="s">
        <v>38</v>
      </c>
      <c r="M1095" s="8">
        <v>108.044</v>
      </c>
      <c r="N1095" s="7">
        <v>540.22</v>
      </c>
      <c r="O1095" t="s">
        <v>46</v>
      </c>
      <c r="P1095" t="s">
        <v>40</v>
      </c>
    </row>
    <row r="1096" spans="1:16" x14ac:dyDescent="0.25">
      <c r="A1096" s="5">
        <v>45921</v>
      </c>
      <c r="B1096" t="s">
        <v>62</v>
      </c>
      <c r="C1096" t="s">
        <v>63</v>
      </c>
      <c r="D1096" t="s">
        <v>64</v>
      </c>
      <c r="E1096" t="s">
        <v>210</v>
      </c>
      <c r="F1096" t="s">
        <v>50</v>
      </c>
      <c r="G1096" t="s">
        <v>1218</v>
      </c>
      <c r="H1096" s="6">
        <v>15</v>
      </c>
      <c r="I1096" s="7">
        <v>179.55</v>
      </c>
      <c r="J1096" s="7">
        <v>2693.22</v>
      </c>
      <c r="K1096" s="6">
        <v>30</v>
      </c>
      <c r="L1096" t="s">
        <v>38</v>
      </c>
      <c r="M1096" s="8">
        <v>538.64400000000001</v>
      </c>
      <c r="N1096" s="7">
        <v>2693.22</v>
      </c>
      <c r="O1096" t="s">
        <v>46</v>
      </c>
      <c r="P1096" t="s">
        <v>40</v>
      </c>
    </row>
    <row r="1097" spans="1:16" x14ac:dyDescent="0.25">
      <c r="A1097" s="5">
        <v>45954</v>
      </c>
      <c r="B1097" t="s">
        <v>201</v>
      </c>
      <c r="C1097" t="s">
        <v>202</v>
      </c>
      <c r="D1097" t="s">
        <v>64</v>
      </c>
      <c r="E1097" t="s">
        <v>129</v>
      </c>
      <c r="F1097" t="s">
        <v>108</v>
      </c>
      <c r="G1097" t="s">
        <v>1219</v>
      </c>
      <c r="H1097" s="6">
        <v>42</v>
      </c>
      <c r="I1097" s="7">
        <v>71.739999999999995</v>
      </c>
      <c r="J1097" s="7">
        <v>3013.22</v>
      </c>
      <c r="K1097" s="6">
        <v>45</v>
      </c>
      <c r="L1097" t="s">
        <v>38</v>
      </c>
      <c r="M1097" s="8">
        <v>602.64400000000001</v>
      </c>
      <c r="N1097" s="7">
        <v>3013.22</v>
      </c>
      <c r="O1097" t="s">
        <v>46</v>
      </c>
      <c r="P1097" t="s">
        <v>40</v>
      </c>
    </row>
    <row r="1098" spans="1:16" x14ac:dyDescent="0.25">
      <c r="A1098" s="5">
        <v>45714</v>
      </c>
      <c r="B1098" t="s">
        <v>113</v>
      </c>
      <c r="C1098" t="s">
        <v>114</v>
      </c>
      <c r="D1098" t="s">
        <v>69</v>
      </c>
      <c r="E1098" t="s">
        <v>1220</v>
      </c>
      <c r="F1098" t="s">
        <v>71</v>
      </c>
      <c r="G1098" t="s">
        <v>1221</v>
      </c>
      <c r="H1098" s="6">
        <v>42</v>
      </c>
      <c r="I1098" s="7">
        <v>99.2</v>
      </c>
      <c r="J1098" s="7">
        <v>4166.3500000000004</v>
      </c>
      <c r="K1098" s="6">
        <v>30</v>
      </c>
      <c r="L1098" t="s">
        <v>38</v>
      </c>
      <c r="M1098" s="8">
        <v>833.27</v>
      </c>
      <c r="N1098" s="7">
        <v>4166.3500000000004</v>
      </c>
      <c r="O1098" t="s">
        <v>39</v>
      </c>
      <c r="P1098" t="s">
        <v>40</v>
      </c>
    </row>
    <row r="1099" spans="1:16" x14ac:dyDescent="0.25">
      <c r="A1099" s="5">
        <v>45850</v>
      </c>
      <c r="B1099" t="s">
        <v>80</v>
      </c>
      <c r="C1099" t="s">
        <v>81</v>
      </c>
      <c r="D1099" t="s">
        <v>64</v>
      </c>
      <c r="E1099" t="s">
        <v>204</v>
      </c>
      <c r="F1099" t="s">
        <v>97</v>
      </c>
      <c r="G1099" t="s">
        <v>1222</v>
      </c>
      <c r="H1099" s="6">
        <v>29</v>
      </c>
      <c r="I1099" s="7">
        <v>99.96</v>
      </c>
      <c r="J1099" s="7">
        <v>2898.85</v>
      </c>
      <c r="K1099" s="6">
        <v>30</v>
      </c>
      <c r="L1099" t="s">
        <v>45</v>
      </c>
      <c r="M1099" s="8">
        <v>579.77</v>
      </c>
      <c r="N1099" s="7">
        <v>2898.85</v>
      </c>
      <c r="O1099" t="s">
        <v>46</v>
      </c>
      <c r="P1099" t="s">
        <v>40</v>
      </c>
    </row>
    <row r="1100" spans="1:16" x14ac:dyDescent="0.25">
      <c r="A1100" s="5">
        <v>45881</v>
      </c>
      <c r="B1100" t="s">
        <v>110</v>
      </c>
      <c r="C1100" t="s">
        <v>111</v>
      </c>
      <c r="D1100" t="s">
        <v>58</v>
      </c>
      <c r="E1100" t="s">
        <v>107</v>
      </c>
      <c r="F1100" t="s">
        <v>108</v>
      </c>
      <c r="G1100" t="s">
        <v>1223</v>
      </c>
      <c r="H1100" s="6">
        <v>19</v>
      </c>
      <c r="I1100" s="7">
        <v>124.15</v>
      </c>
      <c r="J1100" s="7">
        <v>2358.8000000000002</v>
      </c>
      <c r="K1100" s="6">
        <v>30</v>
      </c>
      <c r="L1100" t="s">
        <v>52</v>
      </c>
      <c r="M1100" s="8">
        <v>471.76</v>
      </c>
      <c r="N1100" s="7">
        <v>2358.8000000000002</v>
      </c>
      <c r="O1100" t="s">
        <v>46</v>
      </c>
      <c r="P1100" t="s">
        <v>40</v>
      </c>
    </row>
    <row r="1101" spans="1:16" x14ac:dyDescent="0.25">
      <c r="A1101" s="5">
        <v>45849</v>
      </c>
      <c r="B1101" t="s">
        <v>100</v>
      </c>
      <c r="C1101" t="s">
        <v>101</v>
      </c>
      <c r="D1101" t="s">
        <v>69</v>
      </c>
      <c r="E1101" t="s">
        <v>88</v>
      </c>
      <c r="F1101" t="s">
        <v>89</v>
      </c>
      <c r="G1101" t="s">
        <v>1224</v>
      </c>
      <c r="H1101" s="6">
        <v>18</v>
      </c>
      <c r="I1101" s="7">
        <v>217.79</v>
      </c>
      <c r="J1101" s="7">
        <v>3920.2</v>
      </c>
      <c r="K1101" s="6">
        <v>45</v>
      </c>
      <c r="L1101" t="s">
        <v>52</v>
      </c>
      <c r="M1101" s="8">
        <v>784.04</v>
      </c>
      <c r="N1101" s="7">
        <v>3920.2</v>
      </c>
      <c r="O1101" t="s">
        <v>46</v>
      </c>
      <c r="P1101" t="s">
        <v>40</v>
      </c>
    </row>
    <row r="1102" spans="1:16" x14ac:dyDescent="0.25">
      <c r="A1102" s="5">
        <v>45761</v>
      </c>
      <c r="B1102" t="s">
        <v>103</v>
      </c>
      <c r="C1102" t="s">
        <v>104</v>
      </c>
      <c r="D1102" t="s">
        <v>58</v>
      </c>
      <c r="E1102" t="s">
        <v>132</v>
      </c>
      <c r="F1102" t="s">
        <v>71</v>
      </c>
      <c r="G1102" t="s">
        <v>1225</v>
      </c>
      <c r="H1102" s="6">
        <v>43</v>
      </c>
      <c r="I1102" s="7">
        <v>164.48</v>
      </c>
      <c r="K1102" s="6">
        <v>30</v>
      </c>
      <c r="L1102" t="s">
        <v>38</v>
      </c>
      <c r="M1102" s="8">
        <v>0</v>
      </c>
      <c r="N1102" s="7">
        <v>0</v>
      </c>
      <c r="O1102" t="s">
        <v>46</v>
      </c>
      <c r="P1102" t="s">
        <v>1226</v>
      </c>
    </row>
    <row r="1103" spans="1:16" x14ac:dyDescent="0.25">
      <c r="A1103" s="5">
        <v>45727</v>
      </c>
      <c r="B1103" t="s">
        <v>32</v>
      </c>
      <c r="C1103" t="s">
        <v>33</v>
      </c>
      <c r="D1103" t="s">
        <v>34</v>
      </c>
      <c r="E1103" t="s">
        <v>210</v>
      </c>
      <c r="F1103" t="s">
        <v>50</v>
      </c>
      <c r="G1103" t="s">
        <v>1227</v>
      </c>
      <c r="H1103" s="6">
        <v>15</v>
      </c>
      <c r="I1103" s="7">
        <v>24.4</v>
      </c>
      <c r="J1103" s="7">
        <v>365.99</v>
      </c>
      <c r="K1103" s="6">
        <v>45</v>
      </c>
      <c r="L1103" t="s">
        <v>45</v>
      </c>
      <c r="M1103" s="8">
        <v>73.197999999999993</v>
      </c>
      <c r="N1103" s="7">
        <v>365.99</v>
      </c>
      <c r="O1103" t="s">
        <v>46</v>
      </c>
      <c r="P1103" t="s">
        <v>40</v>
      </c>
    </row>
    <row r="1104" spans="1:16" x14ac:dyDescent="0.25">
      <c r="A1104" s="5">
        <v>45770</v>
      </c>
      <c r="B1104" t="s">
        <v>56</v>
      </c>
      <c r="C1104" t="s">
        <v>57</v>
      </c>
      <c r="D1104" t="s">
        <v>58</v>
      </c>
      <c r="E1104" t="s">
        <v>88</v>
      </c>
      <c r="F1104" t="s">
        <v>89</v>
      </c>
      <c r="G1104" t="s">
        <v>1228</v>
      </c>
      <c r="H1104" s="6">
        <v>38</v>
      </c>
      <c r="I1104" s="7">
        <v>567.67999999999995</v>
      </c>
      <c r="J1104" s="7">
        <v>21571.95</v>
      </c>
      <c r="K1104" s="6">
        <v>60</v>
      </c>
      <c r="L1104" t="s">
        <v>38</v>
      </c>
      <c r="M1104" s="8">
        <v>4314.3900000000003</v>
      </c>
      <c r="N1104" s="7">
        <v>21571.95</v>
      </c>
      <c r="O1104" t="s">
        <v>46</v>
      </c>
      <c r="P1104" t="s">
        <v>40</v>
      </c>
    </row>
    <row r="1105" spans="1:16" x14ac:dyDescent="0.25">
      <c r="A1105" s="5">
        <v>45941</v>
      </c>
      <c r="B1105" t="s">
        <v>118</v>
      </c>
      <c r="C1105" t="s">
        <v>119</v>
      </c>
      <c r="D1105" t="s">
        <v>64</v>
      </c>
      <c r="E1105" t="s">
        <v>124</v>
      </c>
      <c r="F1105" t="s">
        <v>89</v>
      </c>
      <c r="G1105" t="s">
        <v>1229</v>
      </c>
      <c r="H1105" s="6">
        <v>30</v>
      </c>
      <c r="I1105" s="7">
        <v>166.7</v>
      </c>
      <c r="J1105" s="7">
        <v>5000.93</v>
      </c>
      <c r="K1105" s="6">
        <v>30</v>
      </c>
      <c r="L1105" t="s">
        <v>45</v>
      </c>
      <c r="M1105" s="8">
        <v>1000.186</v>
      </c>
      <c r="N1105" s="7">
        <v>5000.93</v>
      </c>
      <c r="O1105" t="s">
        <v>46</v>
      </c>
      <c r="P1105" t="s">
        <v>40</v>
      </c>
    </row>
    <row r="1106" spans="1:16" x14ac:dyDescent="0.25">
      <c r="A1106" s="5">
        <v>45960</v>
      </c>
      <c r="B1106" t="s">
        <v>80</v>
      </c>
      <c r="C1106" t="s">
        <v>81</v>
      </c>
      <c r="D1106" t="s">
        <v>64</v>
      </c>
      <c r="E1106" t="s">
        <v>107</v>
      </c>
      <c r="F1106" t="s">
        <v>108</v>
      </c>
      <c r="G1106" t="s">
        <v>1230</v>
      </c>
      <c r="H1106" s="6">
        <v>61</v>
      </c>
      <c r="I1106" s="7">
        <v>137.96</v>
      </c>
      <c r="J1106" s="7">
        <v>8415.77</v>
      </c>
      <c r="K1106" s="6">
        <v>45</v>
      </c>
      <c r="L1106" t="s">
        <v>45</v>
      </c>
      <c r="M1106" s="8">
        <v>1683.154</v>
      </c>
      <c r="N1106" s="7">
        <v>8415.77</v>
      </c>
      <c r="O1106" t="s">
        <v>46</v>
      </c>
      <c r="P1106" t="s">
        <v>40</v>
      </c>
    </row>
    <row r="1107" spans="1:16" x14ac:dyDescent="0.25">
      <c r="A1107" s="5">
        <v>45784</v>
      </c>
      <c r="B1107" t="s">
        <v>73</v>
      </c>
      <c r="C1107" t="s">
        <v>74</v>
      </c>
      <c r="D1107" t="s">
        <v>69</v>
      </c>
      <c r="E1107" t="s">
        <v>105</v>
      </c>
      <c r="F1107" t="s">
        <v>97</v>
      </c>
      <c r="G1107" t="s">
        <v>1231</v>
      </c>
      <c r="H1107" s="6">
        <v>32</v>
      </c>
      <c r="I1107" s="7">
        <v>169.33</v>
      </c>
      <c r="J1107" s="7">
        <v>5418.48</v>
      </c>
      <c r="K1107" s="6">
        <v>45</v>
      </c>
      <c r="L1107" t="s">
        <v>45</v>
      </c>
      <c r="M1107" s="8">
        <v>1083.6959999999999</v>
      </c>
      <c r="N1107" s="7">
        <v>5418.48</v>
      </c>
      <c r="O1107" t="s">
        <v>46</v>
      </c>
      <c r="P1107" t="s">
        <v>40</v>
      </c>
    </row>
    <row r="1108" spans="1:16" x14ac:dyDescent="0.25">
      <c r="A1108" s="5">
        <v>45734</v>
      </c>
      <c r="B1108" t="s">
        <v>143</v>
      </c>
      <c r="C1108" t="s">
        <v>144</v>
      </c>
      <c r="D1108" t="s">
        <v>69</v>
      </c>
      <c r="E1108" t="s">
        <v>53</v>
      </c>
      <c r="F1108" t="s">
        <v>54</v>
      </c>
      <c r="G1108" t="s">
        <v>1232</v>
      </c>
      <c r="H1108" s="6">
        <v>74</v>
      </c>
      <c r="I1108" s="7">
        <v>350.19</v>
      </c>
      <c r="J1108" s="7">
        <v>25914.34</v>
      </c>
      <c r="K1108" s="6">
        <v>30</v>
      </c>
      <c r="L1108" t="s">
        <v>45</v>
      </c>
      <c r="M1108" s="8">
        <v>5182.8680000000004</v>
      </c>
      <c r="N1108" s="7">
        <v>25914.34</v>
      </c>
      <c r="O1108" t="s">
        <v>46</v>
      </c>
      <c r="P1108" t="s">
        <v>40</v>
      </c>
    </row>
    <row r="1109" spans="1:16" x14ac:dyDescent="0.25">
      <c r="A1109" s="5">
        <v>45916</v>
      </c>
      <c r="B1109" t="s">
        <v>47</v>
      </c>
      <c r="C1109" t="s">
        <v>48</v>
      </c>
      <c r="D1109" t="s">
        <v>34</v>
      </c>
      <c r="E1109" t="s">
        <v>210</v>
      </c>
      <c r="F1109" t="s">
        <v>50</v>
      </c>
      <c r="G1109" t="s">
        <v>1233</v>
      </c>
      <c r="H1109" s="6">
        <v>5</v>
      </c>
      <c r="I1109" s="7">
        <v>67.23</v>
      </c>
      <c r="J1109" s="7">
        <v>336.15</v>
      </c>
      <c r="K1109" s="6">
        <v>45</v>
      </c>
      <c r="L1109" t="s">
        <v>52</v>
      </c>
      <c r="M1109" s="8">
        <v>67.23</v>
      </c>
      <c r="N1109" s="7">
        <v>336.15</v>
      </c>
      <c r="O1109" t="s">
        <v>46</v>
      </c>
      <c r="P1109" t="s">
        <v>40</v>
      </c>
    </row>
    <row r="1110" spans="1:16" x14ac:dyDescent="0.25">
      <c r="A1110" s="5">
        <v>45708</v>
      </c>
      <c r="B1110" t="s">
        <v>100</v>
      </c>
      <c r="C1110" t="s">
        <v>101</v>
      </c>
      <c r="D1110" t="s">
        <v>69</v>
      </c>
      <c r="E1110" t="s">
        <v>129</v>
      </c>
      <c r="F1110" t="s">
        <v>108</v>
      </c>
      <c r="G1110" t="s">
        <v>1234</v>
      </c>
      <c r="H1110" s="6">
        <v>58</v>
      </c>
      <c r="I1110" s="7">
        <v>53.22</v>
      </c>
      <c r="J1110" s="7">
        <v>3086.7</v>
      </c>
      <c r="K1110" s="6">
        <v>45</v>
      </c>
      <c r="L1110" t="s">
        <v>38</v>
      </c>
      <c r="M1110" s="8">
        <v>617.34</v>
      </c>
      <c r="N1110" s="7">
        <v>3086.7</v>
      </c>
      <c r="O1110" t="s">
        <v>46</v>
      </c>
      <c r="P1110" t="s">
        <v>40</v>
      </c>
    </row>
    <row r="1111" spans="1:16" x14ac:dyDescent="0.25">
      <c r="A1111" s="5">
        <v>45866</v>
      </c>
      <c r="B1111" t="s">
        <v>94</v>
      </c>
      <c r="C1111" t="s">
        <v>95</v>
      </c>
      <c r="D1111" t="s">
        <v>34</v>
      </c>
      <c r="E1111" t="s">
        <v>152</v>
      </c>
      <c r="F1111" t="s">
        <v>50</v>
      </c>
      <c r="G1111" t="s">
        <v>1235</v>
      </c>
      <c r="H1111" s="6">
        <v>28</v>
      </c>
      <c r="I1111" s="7">
        <v>343.85</v>
      </c>
      <c r="J1111" s="7">
        <v>9627.83</v>
      </c>
      <c r="K1111" s="6">
        <v>30</v>
      </c>
      <c r="L1111" t="s">
        <v>45</v>
      </c>
      <c r="M1111" s="8">
        <v>1925.566</v>
      </c>
      <c r="N1111" s="7">
        <v>9627.83</v>
      </c>
      <c r="O1111" t="s">
        <v>46</v>
      </c>
      <c r="P1111" t="s">
        <v>40</v>
      </c>
    </row>
    <row r="1112" spans="1:16" x14ac:dyDescent="0.25">
      <c r="A1112" s="5">
        <v>45704</v>
      </c>
      <c r="B1112" t="s">
        <v>113</v>
      </c>
      <c r="C1112" t="s">
        <v>114</v>
      </c>
      <c r="D1112" t="s">
        <v>69</v>
      </c>
      <c r="E1112" t="s">
        <v>53</v>
      </c>
      <c r="F1112" t="s">
        <v>54</v>
      </c>
      <c r="G1112" t="s">
        <v>1236</v>
      </c>
      <c r="H1112" s="6">
        <v>3</v>
      </c>
      <c r="I1112" s="7">
        <v>225.11</v>
      </c>
      <c r="J1112" s="7">
        <v>675.33</v>
      </c>
      <c r="K1112" s="6">
        <v>45</v>
      </c>
      <c r="L1112" t="s">
        <v>52</v>
      </c>
      <c r="M1112" s="8">
        <v>135.066</v>
      </c>
      <c r="N1112" s="7">
        <v>675.33</v>
      </c>
      <c r="O1112" t="s">
        <v>46</v>
      </c>
      <c r="P1112" t="s">
        <v>40</v>
      </c>
    </row>
    <row r="1113" spans="1:16" x14ac:dyDescent="0.25">
      <c r="A1113" s="5">
        <v>45893</v>
      </c>
      <c r="B1113" t="s">
        <v>143</v>
      </c>
      <c r="C1113" t="s">
        <v>144</v>
      </c>
      <c r="D1113" t="s">
        <v>69</v>
      </c>
      <c r="E1113" t="s">
        <v>124</v>
      </c>
      <c r="F1113" t="s">
        <v>89</v>
      </c>
      <c r="G1113" t="s">
        <v>1237</v>
      </c>
      <c r="H1113" s="6">
        <v>74</v>
      </c>
      <c r="I1113" s="7">
        <v>202.87</v>
      </c>
      <c r="J1113" s="7">
        <v>15012.07</v>
      </c>
      <c r="K1113" s="6">
        <v>60</v>
      </c>
      <c r="L1113" t="s">
        <v>52</v>
      </c>
      <c r="M1113" s="8">
        <v>3002.4140000000002</v>
      </c>
      <c r="N1113" s="7">
        <v>15012.07</v>
      </c>
      <c r="O1113" t="s">
        <v>46</v>
      </c>
      <c r="P1113" t="s">
        <v>40</v>
      </c>
    </row>
    <row r="1114" spans="1:16" x14ac:dyDescent="0.25">
      <c r="A1114" s="5">
        <v>45728</v>
      </c>
      <c r="B1114" t="s">
        <v>143</v>
      </c>
      <c r="C1114" t="s">
        <v>144</v>
      </c>
      <c r="D1114" t="s">
        <v>69</v>
      </c>
      <c r="E1114" t="s">
        <v>139</v>
      </c>
      <c r="F1114" t="s">
        <v>108</v>
      </c>
      <c r="G1114" t="s">
        <v>1238</v>
      </c>
      <c r="H1114" s="6">
        <v>52</v>
      </c>
      <c r="I1114" s="7">
        <v>121.03</v>
      </c>
      <c r="J1114" s="7">
        <v>6293.48</v>
      </c>
      <c r="K1114" s="6">
        <v>30</v>
      </c>
      <c r="L1114" t="s">
        <v>45</v>
      </c>
      <c r="M1114" s="8">
        <v>1258.6959999999999</v>
      </c>
      <c r="N1114" s="7">
        <v>6293.48</v>
      </c>
      <c r="O1114" t="s">
        <v>46</v>
      </c>
      <c r="P1114" t="s">
        <v>40</v>
      </c>
    </row>
    <row r="1115" spans="1:16" x14ac:dyDescent="0.25">
      <c r="A1115" s="5">
        <v>45982</v>
      </c>
      <c r="B1115" t="s">
        <v>100</v>
      </c>
      <c r="C1115" t="s">
        <v>101</v>
      </c>
      <c r="D1115" t="s">
        <v>69</v>
      </c>
      <c r="E1115" t="s">
        <v>129</v>
      </c>
      <c r="F1115" t="s">
        <v>108</v>
      </c>
      <c r="G1115" t="s">
        <v>1239</v>
      </c>
      <c r="H1115" s="6">
        <v>1</v>
      </c>
      <c r="I1115" s="7">
        <v>98.51</v>
      </c>
      <c r="J1115" s="7">
        <v>98.51</v>
      </c>
      <c r="K1115" s="6">
        <v>60</v>
      </c>
      <c r="L1115" t="s">
        <v>38</v>
      </c>
      <c r="M1115" s="8">
        <v>19.702000000000002</v>
      </c>
      <c r="N1115" s="7">
        <v>98.51</v>
      </c>
      <c r="O1115" t="s">
        <v>46</v>
      </c>
      <c r="P1115" t="s">
        <v>40</v>
      </c>
    </row>
    <row r="1116" spans="1:16" x14ac:dyDescent="0.25">
      <c r="A1116" s="5">
        <v>45674</v>
      </c>
      <c r="B1116" t="s">
        <v>110</v>
      </c>
      <c r="C1116" t="s">
        <v>111</v>
      </c>
      <c r="D1116" t="s">
        <v>58</v>
      </c>
      <c r="E1116" t="s">
        <v>70</v>
      </c>
      <c r="F1116" t="s">
        <v>71</v>
      </c>
      <c r="G1116" t="s">
        <v>1240</v>
      </c>
      <c r="H1116" s="6">
        <v>38</v>
      </c>
      <c r="I1116" s="7">
        <v>103.19</v>
      </c>
      <c r="J1116" s="7">
        <v>3921.36</v>
      </c>
      <c r="K1116" s="6">
        <v>45</v>
      </c>
      <c r="L1116" t="s">
        <v>45</v>
      </c>
      <c r="M1116" s="8">
        <v>784.27200000000005</v>
      </c>
      <c r="N1116" s="7">
        <v>3921.36</v>
      </c>
      <c r="O1116" t="s">
        <v>46</v>
      </c>
      <c r="P1116" t="s">
        <v>40</v>
      </c>
    </row>
    <row r="1117" spans="1:16" x14ac:dyDescent="0.25">
      <c r="A1117" s="5">
        <v>45699</v>
      </c>
      <c r="B1117" t="s">
        <v>91</v>
      </c>
      <c r="C1117" t="s">
        <v>92</v>
      </c>
      <c r="D1117" t="s">
        <v>64</v>
      </c>
      <c r="E1117" t="s">
        <v>53</v>
      </c>
      <c r="F1117" t="s">
        <v>54</v>
      </c>
      <c r="G1117" t="s">
        <v>1241</v>
      </c>
      <c r="H1117" s="6">
        <v>80</v>
      </c>
      <c r="I1117" s="7">
        <v>305.57</v>
      </c>
      <c r="J1117" s="7">
        <v>24445.86</v>
      </c>
      <c r="K1117" s="6">
        <v>45</v>
      </c>
      <c r="L1117" t="s">
        <v>52</v>
      </c>
      <c r="M1117" s="8">
        <v>4889.1719999999996</v>
      </c>
      <c r="N1117" s="7">
        <v>24445.86</v>
      </c>
      <c r="O1117" t="s">
        <v>46</v>
      </c>
      <c r="P1117" t="s">
        <v>40</v>
      </c>
    </row>
    <row r="1118" spans="1:16" x14ac:dyDescent="0.25">
      <c r="A1118" s="5">
        <v>45714</v>
      </c>
      <c r="B1118" t="s">
        <v>94</v>
      </c>
      <c r="C1118" t="s">
        <v>95</v>
      </c>
      <c r="D1118" t="s">
        <v>34</v>
      </c>
      <c r="E1118" t="s">
        <v>83</v>
      </c>
      <c r="F1118" t="s">
        <v>71</v>
      </c>
      <c r="G1118" t="s">
        <v>1242</v>
      </c>
      <c r="H1118" s="6">
        <v>50</v>
      </c>
      <c r="I1118" s="7">
        <v>356.29</v>
      </c>
      <c r="J1118" s="7">
        <v>17814.689999999999</v>
      </c>
      <c r="K1118" s="6">
        <v>45</v>
      </c>
      <c r="L1118" t="s">
        <v>45</v>
      </c>
      <c r="M1118" s="8">
        <v>3562.9380000000001</v>
      </c>
      <c r="N1118" s="7">
        <v>17814.689999999999</v>
      </c>
      <c r="O1118" t="s">
        <v>39</v>
      </c>
      <c r="P1118" t="s">
        <v>40</v>
      </c>
    </row>
    <row r="1119" spans="1:16" x14ac:dyDescent="0.25">
      <c r="A1119" s="5">
        <v>45845</v>
      </c>
      <c r="B1119" t="s">
        <v>56</v>
      </c>
      <c r="C1119" t="s">
        <v>57</v>
      </c>
      <c r="D1119" t="s">
        <v>58</v>
      </c>
      <c r="E1119" t="s">
        <v>210</v>
      </c>
      <c r="F1119" t="s">
        <v>50</v>
      </c>
      <c r="G1119" t="s">
        <v>1243</v>
      </c>
      <c r="H1119" s="6">
        <v>23</v>
      </c>
      <c r="I1119" s="7">
        <v>116.26</v>
      </c>
      <c r="J1119" s="7">
        <v>2673.91</v>
      </c>
      <c r="K1119" s="6">
        <v>60</v>
      </c>
      <c r="L1119" t="s">
        <v>52</v>
      </c>
      <c r="M1119" s="8">
        <v>534.78200000000004</v>
      </c>
      <c r="N1119" s="7">
        <v>2673.91</v>
      </c>
      <c r="O1119" t="s">
        <v>46</v>
      </c>
      <c r="P1119" t="s">
        <v>40</v>
      </c>
    </row>
    <row r="1120" spans="1:16" x14ac:dyDescent="0.25">
      <c r="A1120" s="5">
        <v>46021</v>
      </c>
      <c r="B1120" t="s">
        <v>32</v>
      </c>
      <c r="C1120" t="s">
        <v>33</v>
      </c>
      <c r="D1120" t="s">
        <v>34</v>
      </c>
      <c r="E1120" t="s">
        <v>43</v>
      </c>
      <c r="F1120" t="s">
        <v>36</v>
      </c>
      <c r="G1120" t="s">
        <v>1244</v>
      </c>
      <c r="H1120" s="6">
        <v>27</v>
      </c>
      <c r="I1120" s="7">
        <v>72.599999999999994</v>
      </c>
      <c r="J1120" s="7">
        <v>1960.25</v>
      </c>
      <c r="K1120" s="6">
        <v>30</v>
      </c>
      <c r="L1120" t="s">
        <v>45</v>
      </c>
      <c r="M1120" s="8">
        <v>392.05</v>
      </c>
      <c r="N1120" s="7">
        <v>1960.25</v>
      </c>
      <c r="O1120" t="s">
        <v>46</v>
      </c>
      <c r="P1120" t="s">
        <v>40</v>
      </c>
    </row>
    <row r="1121" spans="1:16" x14ac:dyDescent="0.25">
      <c r="A1121" s="5">
        <v>45902</v>
      </c>
      <c r="B1121" t="s">
        <v>121</v>
      </c>
      <c r="C1121" t="s">
        <v>122</v>
      </c>
      <c r="D1121" t="s">
        <v>34</v>
      </c>
      <c r="E1121" t="s">
        <v>43</v>
      </c>
      <c r="F1121" t="s">
        <v>36</v>
      </c>
      <c r="G1121" t="s">
        <v>1245</v>
      </c>
      <c r="H1121" s="6">
        <v>75</v>
      </c>
      <c r="I1121" s="7">
        <v>115.84</v>
      </c>
      <c r="J1121" s="7">
        <v>8688.32</v>
      </c>
      <c r="K1121" s="6">
        <v>60</v>
      </c>
      <c r="L1121" t="s">
        <v>38</v>
      </c>
      <c r="M1121" s="8">
        <v>1737.664</v>
      </c>
      <c r="N1121" s="7">
        <v>8688.32</v>
      </c>
      <c r="O1121" t="s">
        <v>46</v>
      </c>
      <c r="P1121" t="s">
        <v>40</v>
      </c>
    </row>
    <row r="1122" spans="1:16" x14ac:dyDescent="0.25">
      <c r="A1122" s="5">
        <v>45838</v>
      </c>
      <c r="B1122" t="s">
        <v>113</v>
      </c>
      <c r="C1122" t="s">
        <v>114</v>
      </c>
      <c r="D1122" t="s">
        <v>69</v>
      </c>
      <c r="E1122" t="s">
        <v>65</v>
      </c>
      <c r="F1122" t="s">
        <v>54</v>
      </c>
      <c r="G1122" t="s">
        <v>1246</v>
      </c>
      <c r="H1122" s="6">
        <v>35</v>
      </c>
      <c r="I1122" s="7">
        <v>459.21</v>
      </c>
      <c r="J1122" s="7">
        <v>16072.23</v>
      </c>
      <c r="K1122" s="6">
        <v>60</v>
      </c>
      <c r="L1122" t="s">
        <v>52</v>
      </c>
      <c r="M1122" s="8">
        <v>3214.4459999999999</v>
      </c>
      <c r="N1122" s="7">
        <v>16072.23</v>
      </c>
      <c r="O1122" t="s">
        <v>46</v>
      </c>
      <c r="P1122" t="s">
        <v>40</v>
      </c>
    </row>
    <row r="1123" spans="1:16" x14ac:dyDescent="0.25">
      <c r="A1123" s="5">
        <v>45690</v>
      </c>
      <c r="B1123" t="s">
        <v>143</v>
      </c>
      <c r="C1123" t="s">
        <v>144</v>
      </c>
      <c r="D1123" t="s">
        <v>69</v>
      </c>
      <c r="E1123" t="s">
        <v>59</v>
      </c>
      <c r="F1123" t="s">
        <v>60</v>
      </c>
      <c r="G1123" t="s">
        <v>1247</v>
      </c>
      <c r="H1123" s="6">
        <v>48</v>
      </c>
      <c r="I1123" s="7">
        <v>422.63</v>
      </c>
      <c r="J1123" s="7">
        <v>20286.18</v>
      </c>
      <c r="K1123" s="6">
        <v>45</v>
      </c>
      <c r="L1123" t="s">
        <v>45</v>
      </c>
      <c r="M1123" s="8">
        <v>4057.2359999999999</v>
      </c>
      <c r="N1123" s="7">
        <v>20286.18</v>
      </c>
      <c r="O1123" t="s">
        <v>39</v>
      </c>
      <c r="P1123" t="s">
        <v>40</v>
      </c>
    </row>
    <row r="1124" spans="1:16" x14ac:dyDescent="0.25">
      <c r="A1124" s="5">
        <v>46021</v>
      </c>
      <c r="B1124" t="s">
        <v>62</v>
      </c>
      <c r="C1124" t="s">
        <v>63</v>
      </c>
      <c r="D1124" t="s">
        <v>64</v>
      </c>
      <c r="E1124" t="s">
        <v>75</v>
      </c>
      <c r="F1124" t="s">
        <v>36</v>
      </c>
      <c r="G1124" t="s">
        <v>1248</v>
      </c>
      <c r="H1124" s="6">
        <v>69</v>
      </c>
      <c r="I1124" s="7">
        <v>92.36</v>
      </c>
      <c r="J1124" s="7">
        <v>6372.81</v>
      </c>
      <c r="K1124" s="6">
        <v>60</v>
      </c>
      <c r="L1124" t="s">
        <v>52</v>
      </c>
      <c r="M1124" s="8">
        <v>1274.5619999999999</v>
      </c>
      <c r="N1124" s="7">
        <v>6372.81</v>
      </c>
      <c r="O1124" t="s">
        <v>46</v>
      </c>
      <c r="P1124" t="s">
        <v>40</v>
      </c>
    </row>
    <row r="1125" spans="1:16" x14ac:dyDescent="0.25">
      <c r="A1125" s="5">
        <v>45846</v>
      </c>
      <c r="B1125" t="s">
        <v>121</v>
      </c>
      <c r="C1125" t="s">
        <v>122</v>
      </c>
      <c r="D1125" t="s">
        <v>34</v>
      </c>
      <c r="E1125" t="s">
        <v>129</v>
      </c>
      <c r="F1125" t="s">
        <v>108</v>
      </c>
      <c r="G1125" t="s">
        <v>1249</v>
      </c>
      <c r="H1125" s="6">
        <v>9</v>
      </c>
      <c r="I1125" s="7">
        <v>40</v>
      </c>
      <c r="J1125" s="7">
        <v>359.98</v>
      </c>
      <c r="K1125" s="6">
        <v>30</v>
      </c>
      <c r="L1125" t="s">
        <v>45</v>
      </c>
      <c r="M1125" s="8">
        <v>71.995999999999995</v>
      </c>
      <c r="N1125" s="7">
        <v>359.98</v>
      </c>
      <c r="O1125" t="s">
        <v>46</v>
      </c>
      <c r="P1125" t="s">
        <v>40</v>
      </c>
    </row>
    <row r="1126" spans="1:16" x14ac:dyDescent="0.25">
      <c r="A1126" s="5">
        <v>45749</v>
      </c>
      <c r="B1126" t="s">
        <v>32</v>
      </c>
      <c r="C1126" t="s">
        <v>33</v>
      </c>
      <c r="D1126" t="s">
        <v>34</v>
      </c>
      <c r="E1126" t="s">
        <v>75</v>
      </c>
      <c r="F1126" t="s">
        <v>36</v>
      </c>
      <c r="G1126" t="s">
        <v>1250</v>
      </c>
      <c r="H1126" s="6">
        <v>37</v>
      </c>
      <c r="I1126" s="7">
        <v>159.62</v>
      </c>
      <c r="J1126" s="7">
        <v>5905.81</v>
      </c>
      <c r="K1126" s="6">
        <v>30</v>
      </c>
      <c r="L1126" t="s">
        <v>38</v>
      </c>
      <c r="M1126" s="8">
        <v>1181.162</v>
      </c>
      <c r="N1126" s="7">
        <v>5905.81</v>
      </c>
      <c r="O1126" t="s">
        <v>46</v>
      </c>
      <c r="P1126" t="s">
        <v>40</v>
      </c>
    </row>
    <row r="1127" spans="1:16" x14ac:dyDescent="0.25">
      <c r="A1127" s="5">
        <v>46014</v>
      </c>
      <c r="B1127" t="s">
        <v>94</v>
      </c>
      <c r="C1127" t="s">
        <v>95</v>
      </c>
      <c r="D1127" t="s">
        <v>34</v>
      </c>
      <c r="E1127" t="s">
        <v>59</v>
      </c>
      <c r="F1127" t="s">
        <v>60</v>
      </c>
      <c r="G1127" t="s">
        <v>1251</v>
      </c>
      <c r="H1127" s="6">
        <v>19</v>
      </c>
      <c r="I1127" s="7">
        <v>117.11</v>
      </c>
      <c r="J1127" s="7">
        <v>2225.14</v>
      </c>
      <c r="K1127" s="6">
        <v>45</v>
      </c>
      <c r="L1127" t="s">
        <v>38</v>
      </c>
      <c r="M1127" s="8">
        <v>445.02800000000002</v>
      </c>
      <c r="N1127" s="7">
        <v>2225.14</v>
      </c>
      <c r="O1127" t="s">
        <v>39</v>
      </c>
      <c r="P1127" t="s">
        <v>40</v>
      </c>
    </row>
    <row r="1128" spans="1:16" x14ac:dyDescent="0.25">
      <c r="A1128" s="5">
        <v>45871</v>
      </c>
      <c r="B1128" t="s">
        <v>121</v>
      </c>
      <c r="C1128" t="s">
        <v>122</v>
      </c>
      <c r="D1128" t="s">
        <v>34</v>
      </c>
      <c r="E1128" t="s">
        <v>210</v>
      </c>
      <c r="F1128" t="s">
        <v>50</v>
      </c>
      <c r="G1128" t="s">
        <v>1252</v>
      </c>
      <c r="H1128" s="6">
        <v>70</v>
      </c>
      <c r="I1128" s="7">
        <v>141.72999999999999</v>
      </c>
      <c r="J1128" s="7">
        <v>9921.27</v>
      </c>
      <c r="K1128" s="6">
        <v>30</v>
      </c>
      <c r="L1128" t="s">
        <v>45</v>
      </c>
      <c r="M1128" s="8">
        <v>1984.2539999999999</v>
      </c>
      <c r="N1128" s="7">
        <v>9921.27</v>
      </c>
      <c r="O1128" t="s">
        <v>46</v>
      </c>
      <c r="P1128" t="s">
        <v>40</v>
      </c>
    </row>
    <row r="1129" spans="1:16" x14ac:dyDescent="0.25">
      <c r="A1129" s="5">
        <v>45988</v>
      </c>
      <c r="B1129" t="s">
        <v>41</v>
      </c>
      <c r="C1129" t="s">
        <v>42</v>
      </c>
      <c r="D1129" t="s">
        <v>34</v>
      </c>
      <c r="E1129" t="s">
        <v>96</v>
      </c>
      <c r="F1129" t="s">
        <v>97</v>
      </c>
      <c r="G1129" t="s">
        <v>1253</v>
      </c>
      <c r="H1129" s="6">
        <v>3</v>
      </c>
      <c r="I1129" s="7">
        <v>198.13</v>
      </c>
      <c r="J1129" s="7">
        <v>594.39</v>
      </c>
      <c r="K1129" s="6">
        <v>45</v>
      </c>
      <c r="L1129" t="s">
        <v>38</v>
      </c>
      <c r="M1129" s="8">
        <v>118.878</v>
      </c>
      <c r="N1129" s="7">
        <v>594.39</v>
      </c>
      <c r="O1129" t="s">
        <v>46</v>
      </c>
      <c r="P1129" t="s">
        <v>40</v>
      </c>
    </row>
    <row r="1130" spans="1:16" x14ac:dyDescent="0.25">
      <c r="A1130" s="5">
        <v>45924</v>
      </c>
      <c r="B1130" t="s">
        <v>80</v>
      </c>
      <c r="C1130" t="s">
        <v>81</v>
      </c>
      <c r="D1130" t="s">
        <v>64</v>
      </c>
      <c r="E1130" t="s">
        <v>49</v>
      </c>
      <c r="F1130" t="s">
        <v>50</v>
      </c>
      <c r="G1130" t="s">
        <v>1254</v>
      </c>
      <c r="H1130" s="6">
        <v>43</v>
      </c>
      <c r="I1130" s="7">
        <v>115.84</v>
      </c>
      <c r="J1130" s="7">
        <v>4981.1499999999996</v>
      </c>
      <c r="K1130" s="6">
        <v>45</v>
      </c>
      <c r="L1130" t="s">
        <v>52</v>
      </c>
      <c r="M1130" s="8">
        <v>996.23</v>
      </c>
      <c r="N1130" s="7">
        <v>4981.1499999999996</v>
      </c>
      <c r="O1130" t="s">
        <v>39</v>
      </c>
      <c r="P1130" t="s">
        <v>40</v>
      </c>
    </row>
    <row r="1131" spans="1:16" x14ac:dyDescent="0.25">
      <c r="A1131" s="5">
        <v>45961</v>
      </c>
      <c r="B1131" t="s">
        <v>62</v>
      </c>
      <c r="C1131" t="s">
        <v>63</v>
      </c>
      <c r="D1131" t="s">
        <v>64</v>
      </c>
      <c r="E1131" t="s">
        <v>132</v>
      </c>
      <c r="F1131" t="s">
        <v>71</v>
      </c>
      <c r="G1131" t="s">
        <v>1255</v>
      </c>
      <c r="H1131" s="6">
        <v>68</v>
      </c>
      <c r="I1131" s="7">
        <v>113.83</v>
      </c>
      <c r="J1131" s="7">
        <v>7740.36</v>
      </c>
      <c r="K1131" s="6">
        <v>60</v>
      </c>
      <c r="L1131" t="s">
        <v>45</v>
      </c>
      <c r="M1131" s="8">
        <v>1548.0719999999999</v>
      </c>
      <c r="N1131" s="7">
        <v>7740.36</v>
      </c>
      <c r="O1131" t="s">
        <v>46</v>
      </c>
      <c r="P1131" t="s">
        <v>40</v>
      </c>
    </row>
    <row r="1132" spans="1:16" x14ac:dyDescent="0.25">
      <c r="A1132" s="5">
        <v>45725</v>
      </c>
      <c r="B1132" t="s">
        <v>110</v>
      </c>
      <c r="C1132" t="s">
        <v>111</v>
      </c>
      <c r="D1132" t="s">
        <v>58</v>
      </c>
      <c r="E1132" t="s">
        <v>115</v>
      </c>
      <c r="F1132" t="s">
        <v>60</v>
      </c>
      <c r="G1132" t="s">
        <v>1256</v>
      </c>
      <c r="H1132" s="6">
        <v>40</v>
      </c>
      <c r="I1132" s="7">
        <v>262.52999999999997</v>
      </c>
      <c r="J1132" s="7">
        <v>10501.29</v>
      </c>
      <c r="K1132" s="6">
        <v>30</v>
      </c>
      <c r="L1132" t="s">
        <v>45</v>
      </c>
      <c r="M1132" s="8">
        <v>2100.2579999999998</v>
      </c>
      <c r="N1132" s="7">
        <v>10501.29</v>
      </c>
      <c r="O1132" t="s">
        <v>46</v>
      </c>
      <c r="P1132" t="s">
        <v>40</v>
      </c>
    </row>
    <row r="1133" spans="1:16" x14ac:dyDescent="0.25">
      <c r="A1133" s="5">
        <v>45805</v>
      </c>
      <c r="B1133" t="s">
        <v>113</v>
      </c>
      <c r="C1133" t="s">
        <v>114</v>
      </c>
      <c r="D1133" t="s">
        <v>69</v>
      </c>
      <c r="E1133" t="s">
        <v>139</v>
      </c>
      <c r="F1133" t="s">
        <v>108</v>
      </c>
      <c r="G1133" t="s">
        <v>1257</v>
      </c>
      <c r="H1133" s="6">
        <v>7</v>
      </c>
      <c r="I1133" s="7">
        <v>94.59</v>
      </c>
      <c r="J1133" s="7">
        <v>662.13</v>
      </c>
      <c r="K1133" s="6">
        <v>30</v>
      </c>
      <c r="L1133" t="s">
        <v>45</v>
      </c>
      <c r="M1133" s="8">
        <v>132.42599999999999</v>
      </c>
      <c r="N1133" s="7">
        <v>662.13</v>
      </c>
      <c r="O1133" t="s">
        <v>46</v>
      </c>
      <c r="P1133" t="s">
        <v>40</v>
      </c>
    </row>
    <row r="1134" spans="1:16" x14ac:dyDescent="0.25">
      <c r="A1134" s="5">
        <v>45974</v>
      </c>
      <c r="B1134" t="s">
        <v>201</v>
      </c>
      <c r="C1134" t="s">
        <v>202</v>
      </c>
      <c r="D1134" t="s">
        <v>64</v>
      </c>
      <c r="E1134" t="s">
        <v>107</v>
      </c>
      <c r="F1134" t="s">
        <v>108</v>
      </c>
      <c r="G1134" t="s">
        <v>1258</v>
      </c>
      <c r="H1134" s="6">
        <v>21</v>
      </c>
      <c r="I1134" s="7">
        <v>182.19</v>
      </c>
      <c r="J1134" s="7">
        <v>3825.91</v>
      </c>
      <c r="K1134" s="6">
        <v>60</v>
      </c>
      <c r="L1134" t="s">
        <v>52</v>
      </c>
      <c r="M1134" s="8">
        <v>765.18200000000002</v>
      </c>
      <c r="N1134" s="7">
        <v>3825.91</v>
      </c>
      <c r="O1134" t="s">
        <v>46</v>
      </c>
      <c r="P1134" t="s">
        <v>40</v>
      </c>
    </row>
    <row r="1135" spans="1:16" x14ac:dyDescent="0.25">
      <c r="A1135" s="5">
        <v>46020</v>
      </c>
      <c r="B1135" t="s">
        <v>32</v>
      </c>
      <c r="C1135" t="s">
        <v>33</v>
      </c>
      <c r="D1135" t="s">
        <v>34</v>
      </c>
      <c r="E1135" t="s">
        <v>154</v>
      </c>
      <c r="F1135" t="s">
        <v>89</v>
      </c>
      <c r="G1135" t="s">
        <v>1259</v>
      </c>
      <c r="H1135" s="6">
        <v>20</v>
      </c>
      <c r="I1135" s="7">
        <v>231</v>
      </c>
      <c r="J1135" s="7">
        <v>4619.92</v>
      </c>
      <c r="K1135" s="6">
        <v>30</v>
      </c>
      <c r="L1135" t="s">
        <v>38</v>
      </c>
      <c r="M1135" s="8">
        <v>923.98400000000004</v>
      </c>
      <c r="N1135" s="7">
        <v>4619.92</v>
      </c>
      <c r="O1135" t="s">
        <v>39</v>
      </c>
      <c r="P1135" t="s">
        <v>40</v>
      </c>
    </row>
    <row r="1136" spans="1:16" x14ac:dyDescent="0.25">
      <c r="A1136" s="5">
        <v>45952</v>
      </c>
      <c r="B1136" t="s">
        <v>73</v>
      </c>
      <c r="C1136" t="s">
        <v>74</v>
      </c>
      <c r="D1136" t="s">
        <v>69</v>
      </c>
      <c r="E1136" t="s">
        <v>210</v>
      </c>
      <c r="F1136" t="s">
        <v>50</v>
      </c>
      <c r="G1136" t="s">
        <v>1260</v>
      </c>
      <c r="H1136" s="6">
        <v>17</v>
      </c>
      <c r="I1136" s="7">
        <v>104.92</v>
      </c>
      <c r="J1136" s="7">
        <v>1783.65</v>
      </c>
      <c r="K1136" s="6">
        <v>45</v>
      </c>
      <c r="L1136" t="s">
        <v>45</v>
      </c>
      <c r="M1136" s="8">
        <v>356.73</v>
      </c>
      <c r="N1136" s="7">
        <v>1783.65</v>
      </c>
      <c r="O1136" t="s">
        <v>46</v>
      </c>
      <c r="P1136" t="s">
        <v>40</v>
      </c>
    </row>
    <row r="1137" spans="1:16" x14ac:dyDescent="0.25">
      <c r="A1137" s="5">
        <v>45945</v>
      </c>
      <c r="B1137" t="s">
        <v>94</v>
      </c>
      <c r="C1137" t="s">
        <v>95</v>
      </c>
      <c r="D1137" t="s">
        <v>34</v>
      </c>
      <c r="E1137" t="s">
        <v>154</v>
      </c>
      <c r="F1137" t="s">
        <v>89</v>
      </c>
      <c r="G1137" t="s">
        <v>1261</v>
      </c>
      <c r="H1137" s="6">
        <v>5</v>
      </c>
      <c r="I1137" s="7">
        <v>305.88</v>
      </c>
      <c r="J1137" s="7">
        <v>1529.42</v>
      </c>
      <c r="K1137" s="6">
        <v>60</v>
      </c>
      <c r="L1137" t="s">
        <v>45</v>
      </c>
      <c r="M1137" s="8">
        <v>305.88400000000001</v>
      </c>
      <c r="N1137" s="7">
        <v>1529.42</v>
      </c>
      <c r="O1137" t="s">
        <v>39</v>
      </c>
      <c r="P1137" t="s">
        <v>40</v>
      </c>
    </row>
    <row r="1138" spans="1:16" x14ac:dyDescent="0.25">
      <c r="A1138" s="5">
        <v>45887</v>
      </c>
      <c r="B1138" t="s">
        <v>47</v>
      </c>
      <c r="C1138" t="s">
        <v>48</v>
      </c>
      <c r="D1138" t="s">
        <v>34</v>
      </c>
      <c r="E1138" t="s">
        <v>88</v>
      </c>
      <c r="F1138" t="s">
        <v>89</v>
      </c>
      <c r="G1138" t="s">
        <v>1262</v>
      </c>
      <c r="H1138" s="6">
        <v>70</v>
      </c>
      <c r="I1138" s="7">
        <v>346.25</v>
      </c>
      <c r="J1138" s="7">
        <v>24237.61</v>
      </c>
      <c r="K1138" s="6">
        <v>30</v>
      </c>
      <c r="L1138" t="s">
        <v>52</v>
      </c>
      <c r="M1138" s="8">
        <v>4847.5219999999999</v>
      </c>
      <c r="N1138" s="7">
        <v>24237.61</v>
      </c>
      <c r="O1138" t="s">
        <v>46</v>
      </c>
      <c r="P1138" t="s">
        <v>40</v>
      </c>
    </row>
    <row r="1139" spans="1:16" x14ac:dyDescent="0.25">
      <c r="A1139" s="5">
        <v>45865</v>
      </c>
      <c r="B1139" t="s">
        <v>77</v>
      </c>
      <c r="C1139" t="s">
        <v>78</v>
      </c>
      <c r="D1139" t="s">
        <v>58</v>
      </c>
      <c r="E1139" t="s">
        <v>127</v>
      </c>
      <c r="F1139" t="s">
        <v>36</v>
      </c>
      <c r="G1139" t="s">
        <v>1263</v>
      </c>
      <c r="H1139" s="6">
        <v>64</v>
      </c>
      <c r="I1139" s="7">
        <v>33.090000000000003</v>
      </c>
      <c r="J1139" s="7">
        <v>2117.6999999999998</v>
      </c>
      <c r="K1139" s="6">
        <v>30</v>
      </c>
      <c r="L1139" t="s">
        <v>45</v>
      </c>
      <c r="M1139" s="8">
        <v>423.54</v>
      </c>
      <c r="N1139" s="7">
        <v>2117.6999999999998</v>
      </c>
      <c r="O1139" t="s">
        <v>39</v>
      </c>
      <c r="P1139" t="s">
        <v>40</v>
      </c>
    </row>
    <row r="1140" spans="1:16" x14ac:dyDescent="0.25">
      <c r="A1140" s="5">
        <v>45937</v>
      </c>
      <c r="B1140" t="s">
        <v>62</v>
      </c>
      <c r="C1140" t="s">
        <v>63</v>
      </c>
      <c r="D1140" t="s">
        <v>64</v>
      </c>
      <c r="E1140" t="s">
        <v>154</v>
      </c>
      <c r="F1140" t="s">
        <v>89</v>
      </c>
      <c r="G1140" t="s">
        <v>1264</v>
      </c>
      <c r="H1140" s="6">
        <v>65</v>
      </c>
      <c r="I1140" s="7">
        <v>250.02</v>
      </c>
      <c r="J1140" s="7">
        <v>16251.07</v>
      </c>
      <c r="K1140" s="6">
        <v>45</v>
      </c>
      <c r="L1140" t="s">
        <v>52</v>
      </c>
      <c r="M1140" s="8">
        <v>3250.2139999999999</v>
      </c>
      <c r="N1140" s="7">
        <v>16251.07</v>
      </c>
      <c r="O1140" t="s">
        <v>39</v>
      </c>
      <c r="P1140" t="s">
        <v>40</v>
      </c>
    </row>
    <row r="1141" spans="1:16" x14ac:dyDescent="0.25">
      <c r="A1141" s="5">
        <v>45806</v>
      </c>
      <c r="B1141" t="s">
        <v>41</v>
      </c>
      <c r="C1141" t="s">
        <v>42</v>
      </c>
      <c r="D1141" t="s">
        <v>34</v>
      </c>
      <c r="E1141" t="s">
        <v>149</v>
      </c>
      <c r="F1141" t="s">
        <v>60</v>
      </c>
      <c r="G1141" t="s">
        <v>1265</v>
      </c>
      <c r="H1141" s="6">
        <v>74</v>
      </c>
      <c r="I1141" s="7">
        <v>323.52</v>
      </c>
      <c r="J1141" s="7">
        <v>23940.76</v>
      </c>
      <c r="K1141" s="6">
        <v>60</v>
      </c>
      <c r="L1141" t="s">
        <v>38</v>
      </c>
      <c r="M1141" s="8">
        <v>4788.152</v>
      </c>
      <c r="N1141" s="7">
        <v>23940.76</v>
      </c>
      <c r="O1141" t="s">
        <v>46</v>
      </c>
      <c r="P1141" t="s">
        <v>40</v>
      </c>
    </row>
    <row r="1142" spans="1:16" x14ac:dyDescent="0.25">
      <c r="A1142" s="5">
        <v>46010</v>
      </c>
      <c r="B1142" t="s">
        <v>67</v>
      </c>
      <c r="C1142" t="s">
        <v>68</v>
      </c>
      <c r="D1142" t="s">
        <v>69</v>
      </c>
      <c r="E1142" t="s">
        <v>139</v>
      </c>
      <c r="F1142" t="s">
        <v>108</v>
      </c>
      <c r="G1142" t="s">
        <v>1266</v>
      </c>
      <c r="H1142" s="6">
        <v>15</v>
      </c>
      <c r="I1142" s="7">
        <v>63.68</v>
      </c>
      <c r="J1142" s="7">
        <v>955.16</v>
      </c>
      <c r="K1142" s="6">
        <v>60</v>
      </c>
      <c r="L1142" t="s">
        <v>45</v>
      </c>
      <c r="M1142" s="8">
        <v>191.03200000000001</v>
      </c>
      <c r="N1142" s="7">
        <v>955.16</v>
      </c>
      <c r="O1142" t="s">
        <v>46</v>
      </c>
      <c r="P1142" t="s">
        <v>40</v>
      </c>
    </row>
    <row r="1143" spans="1:16" x14ac:dyDescent="0.25">
      <c r="A1143" s="5">
        <v>45940</v>
      </c>
      <c r="B1143" t="s">
        <v>32</v>
      </c>
      <c r="C1143" t="s">
        <v>33</v>
      </c>
      <c r="D1143" t="s">
        <v>34</v>
      </c>
      <c r="E1143" t="s">
        <v>124</v>
      </c>
      <c r="F1143" t="s">
        <v>89</v>
      </c>
      <c r="G1143" t="s">
        <v>1267</v>
      </c>
      <c r="H1143" s="6">
        <v>15</v>
      </c>
      <c r="I1143" s="7">
        <v>383.6</v>
      </c>
      <c r="J1143" s="7">
        <v>5753.97</v>
      </c>
      <c r="K1143" s="6">
        <v>45</v>
      </c>
      <c r="L1143" t="s">
        <v>38</v>
      </c>
      <c r="M1143" s="8">
        <v>1150.7940000000001</v>
      </c>
      <c r="N1143" s="7">
        <v>5753.97</v>
      </c>
      <c r="O1143" t="s">
        <v>46</v>
      </c>
      <c r="P1143" t="s">
        <v>40</v>
      </c>
    </row>
    <row r="1144" spans="1:16" x14ac:dyDescent="0.25">
      <c r="A1144" s="5">
        <v>45840</v>
      </c>
      <c r="B1144" t="s">
        <v>56</v>
      </c>
      <c r="C1144" t="s">
        <v>57</v>
      </c>
      <c r="D1144" t="s">
        <v>58</v>
      </c>
      <c r="E1144" t="s">
        <v>65</v>
      </c>
      <c r="F1144" t="s">
        <v>54</v>
      </c>
      <c r="G1144" t="s">
        <v>1268</v>
      </c>
      <c r="H1144" s="6">
        <v>12</v>
      </c>
      <c r="I1144" s="7">
        <v>230.2</v>
      </c>
      <c r="J1144" s="7">
        <v>2762.35</v>
      </c>
      <c r="K1144" s="6">
        <v>45</v>
      </c>
      <c r="L1144" t="s">
        <v>38</v>
      </c>
      <c r="M1144" s="8">
        <v>552.47</v>
      </c>
      <c r="N1144" s="7">
        <v>2762.35</v>
      </c>
      <c r="O1144" t="s">
        <v>46</v>
      </c>
      <c r="P1144" t="s">
        <v>40</v>
      </c>
    </row>
    <row r="1145" spans="1:16" x14ac:dyDescent="0.25">
      <c r="A1145" s="5">
        <v>45927</v>
      </c>
      <c r="B1145" t="s">
        <v>110</v>
      </c>
      <c r="C1145" t="s">
        <v>111</v>
      </c>
      <c r="D1145" t="s">
        <v>58</v>
      </c>
      <c r="E1145" t="s">
        <v>53</v>
      </c>
      <c r="F1145" t="s">
        <v>54</v>
      </c>
      <c r="G1145" t="s">
        <v>1269</v>
      </c>
      <c r="H1145" s="6">
        <v>29</v>
      </c>
      <c r="I1145" s="7">
        <v>267.88</v>
      </c>
      <c r="J1145" s="7">
        <v>7768.43</v>
      </c>
      <c r="K1145" s="6">
        <v>45</v>
      </c>
      <c r="L1145" t="s">
        <v>38</v>
      </c>
      <c r="M1145" s="8">
        <v>1553.6859999999999</v>
      </c>
      <c r="N1145" s="7">
        <v>7768.43</v>
      </c>
      <c r="O1145" t="s">
        <v>46</v>
      </c>
      <c r="P1145" t="s">
        <v>40</v>
      </c>
    </row>
    <row r="1146" spans="1:16" x14ac:dyDescent="0.25">
      <c r="A1146" s="5">
        <v>45886</v>
      </c>
      <c r="B1146" t="s">
        <v>113</v>
      </c>
      <c r="C1146" t="s">
        <v>114</v>
      </c>
      <c r="D1146" t="s">
        <v>69</v>
      </c>
      <c r="E1146" t="s">
        <v>43</v>
      </c>
      <c r="F1146" t="s">
        <v>36</v>
      </c>
      <c r="G1146" t="s">
        <v>1270</v>
      </c>
      <c r="H1146" s="6">
        <v>12</v>
      </c>
      <c r="I1146" s="7">
        <v>59.1</v>
      </c>
      <c r="J1146" s="7">
        <v>709.18</v>
      </c>
      <c r="K1146" s="6">
        <v>60</v>
      </c>
      <c r="L1146" t="s">
        <v>45</v>
      </c>
      <c r="M1146" s="8">
        <v>141.83600000000001</v>
      </c>
      <c r="N1146" s="7">
        <v>709.18</v>
      </c>
      <c r="O1146" t="s">
        <v>46</v>
      </c>
      <c r="P1146" t="s">
        <v>40</v>
      </c>
    </row>
    <row r="1147" spans="1:16" x14ac:dyDescent="0.25">
      <c r="A1147" s="5">
        <v>45966</v>
      </c>
      <c r="B1147" t="s">
        <v>143</v>
      </c>
      <c r="C1147" t="s">
        <v>144</v>
      </c>
      <c r="D1147" t="s">
        <v>69</v>
      </c>
      <c r="E1147" t="s">
        <v>139</v>
      </c>
      <c r="F1147" t="s">
        <v>108</v>
      </c>
      <c r="G1147" t="s">
        <v>1271</v>
      </c>
      <c r="H1147" s="6">
        <v>78</v>
      </c>
      <c r="I1147" s="7">
        <v>75.650000000000006</v>
      </c>
      <c r="J1147" s="7">
        <v>5900.34</v>
      </c>
      <c r="K1147" s="6">
        <v>60</v>
      </c>
      <c r="L1147" t="s">
        <v>38</v>
      </c>
      <c r="M1147" s="8">
        <v>1180.068</v>
      </c>
      <c r="N1147" s="7">
        <v>5900.34</v>
      </c>
      <c r="O1147" t="s">
        <v>46</v>
      </c>
      <c r="P1147" t="s">
        <v>40</v>
      </c>
    </row>
    <row r="1148" spans="1:16" x14ac:dyDescent="0.25">
      <c r="A1148" s="5">
        <v>45733</v>
      </c>
      <c r="B1148" t="s">
        <v>32</v>
      </c>
      <c r="C1148" t="s">
        <v>33</v>
      </c>
      <c r="D1148" t="s">
        <v>34</v>
      </c>
      <c r="E1148" t="s">
        <v>132</v>
      </c>
      <c r="F1148" t="s">
        <v>71</v>
      </c>
      <c r="G1148" t="s">
        <v>1272</v>
      </c>
      <c r="H1148" s="6">
        <v>55</v>
      </c>
      <c r="I1148" s="7">
        <v>51.98</v>
      </c>
      <c r="J1148" s="7">
        <v>2859.09</v>
      </c>
      <c r="K1148" s="6">
        <v>45</v>
      </c>
      <c r="L1148" t="s">
        <v>45</v>
      </c>
      <c r="M1148" s="8">
        <v>571.81799999999998</v>
      </c>
      <c r="N1148" s="7">
        <v>2859.09</v>
      </c>
      <c r="O1148" t="s">
        <v>46</v>
      </c>
      <c r="P1148" t="s">
        <v>40</v>
      </c>
    </row>
    <row r="1149" spans="1:16" x14ac:dyDescent="0.25">
      <c r="A1149" s="5">
        <v>45834</v>
      </c>
      <c r="B1149" t="s">
        <v>103</v>
      </c>
      <c r="C1149" t="s">
        <v>104</v>
      </c>
      <c r="D1149" t="s">
        <v>58</v>
      </c>
      <c r="E1149" t="s">
        <v>210</v>
      </c>
      <c r="F1149" t="s">
        <v>50</v>
      </c>
      <c r="G1149" t="s">
        <v>1273</v>
      </c>
      <c r="H1149" s="6">
        <v>45</v>
      </c>
      <c r="I1149" s="7">
        <v>54.35</v>
      </c>
      <c r="J1149" s="7">
        <v>2445.8000000000002</v>
      </c>
      <c r="K1149" s="6">
        <v>45</v>
      </c>
      <c r="L1149" t="s">
        <v>45</v>
      </c>
      <c r="M1149" s="8">
        <v>489.16</v>
      </c>
      <c r="N1149" s="7">
        <v>2445.8000000000002</v>
      </c>
      <c r="O1149" t="s">
        <v>46</v>
      </c>
      <c r="P1149" t="s">
        <v>40</v>
      </c>
    </row>
    <row r="1150" spans="1:16" x14ac:dyDescent="0.25">
      <c r="A1150" s="5">
        <v>45885</v>
      </c>
      <c r="B1150" t="s">
        <v>77</v>
      </c>
      <c r="C1150" t="s">
        <v>78</v>
      </c>
      <c r="D1150" t="s">
        <v>58</v>
      </c>
      <c r="E1150" t="s">
        <v>127</v>
      </c>
      <c r="F1150" t="s">
        <v>36</v>
      </c>
      <c r="G1150" t="s">
        <v>1274</v>
      </c>
      <c r="H1150" s="6">
        <v>54</v>
      </c>
      <c r="I1150" s="7">
        <v>156.24</v>
      </c>
      <c r="J1150" s="7">
        <v>8436.7199999999993</v>
      </c>
      <c r="K1150" s="6">
        <v>45</v>
      </c>
      <c r="L1150" t="s">
        <v>45</v>
      </c>
      <c r="M1150" s="8">
        <v>1687.3440000000001</v>
      </c>
      <c r="N1150" s="7">
        <v>8436.7199999999993</v>
      </c>
      <c r="O1150" t="s">
        <v>39</v>
      </c>
      <c r="P1150" t="s">
        <v>40</v>
      </c>
    </row>
    <row r="1151" spans="1:16" x14ac:dyDescent="0.25">
      <c r="A1151" s="5">
        <v>45870</v>
      </c>
      <c r="B1151" t="s">
        <v>85</v>
      </c>
      <c r="C1151" t="s">
        <v>86</v>
      </c>
      <c r="D1151" t="s">
        <v>58</v>
      </c>
      <c r="E1151" t="s">
        <v>105</v>
      </c>
      <c r="F1151" t="s">
        <v>97</v>
      </c>
      <c r="G1151" t="s">
        <v>1275</v>
      </c>
      <c r="H1151" s="6">
        <v>18</v>
      </c>
      <c r="I1151" s="7">
        <v>188.28</v>
      </c>
      <c r="J1151" s="7">
        <v>3389.12</v>
      </c>
      <c r="K1151" s="6">
        <v>60</v>
      </c>
      <c r="L1151" t="s">
        <v>52</v>
      </c>
      <c r="M1151" s="8">
        <v>677.82399999999996</v>
      </c>
      <c r="N1151" s="7">
        <v>3389.12</v>
      </c>
      <c r="O1151" t="s">
        <v>46</v>
      </c>
      <c r="P1151" t="s">
        <v>40</v>
      </c>
    </row>
    <row r="1152" spans="1:16" x14ac:dyDescent="0.25">
      <c r="A1152" s="5">
        <v>45813</v>
      </c>
      <c r="B1152" t="s">
        <v>100</v>
      </c>
      <c r="C1152" t="s">
        <v>101</v>
      </c>
      <c r="D1152" t="s">
        <v>69</v>
      </c>
      <c r="E1152" t="s">
        <v>154</v>
      </c>
      <c r="F1152" t="s">
        <v>89</v>
      </c>
      <c r="G1152" t="s">
        <v>1276</v>
      </c>
      <c r="H1152" s="6">
        <v>61</v>
      </c>
      <c r="I1152" s="7">
        <v>104.34</v>
      </c>
      <c r="J1152" s="7">
        <v>6364.97</v>
      </c>
      <c r="K1152" s="6">
        <v>60</v>
      </c>
      <c r="L1152" t="s">
        <v>45</v>
      </c>
      <c r="M1152" s="8">
        <v>1272.9939999999999</v>
      </c>
      <c r="N1152" s="7">
        <v>6364.97</v>
      </c>
      <c r="O1152" t="s">
        <v>39</v>
      </c>
      <c r="P1152" t="s">
        <v>40</v>
      </c>
    </row>
    <row r="1153" spans="1:16" x14ac:dyDescent="0.25">
      <c r="A1153" s="5">
        <v>45661</v>
      </c>
      <c r="B1153" t="s">
        <v>85</v>
      </c>
      <c r="C1153" t="s">
        <v>86</v>
      </c>
      <c r="D1153" t="s">
        <v>58</v>
      </c>
      <c r="E1153" t="s">
        <v>204</v>
      </c>
      <c r="F1153" t="s">
        <v>97</v>
      </c>
      <c r="G1153" t="s">
        <v>1277</v>
      </c>
      <c r="H1153" s="6">
        <v>53</v>
      </c>
      <c r="I1153" s="7">
        <v>91.78</v>
      </c>
      <c r="J1153" s="7">
        <v>4864.45</v>
      </c>
      <c r="K1153" s="6">
        <v>60</v>
      </c>
      <c r="L1153" t="s">
        <v>45</v>
      </c>
      <c r="M1153" s="8">
        <v>972.89</v>
      </c>
      <c r="N1153" s="7">
        <v>4864.45</v>
      </c>
      <c r="O1153" t="s">
        <v>46</v>
      </c>
      <c r="P1153" t="s">
        <v>40</v>
      </c>
    </row>
    <row r="1154" spans="1:16" x14ac:dyDescent="0.25">
      <c r="A1154" s="5">
        <v>45894</v>
      </c>
      <c r="B1154" t="s">
        <v>62</v>
      </c>
      <c r="C1154" t="s">
        <v>63</v>
      </c>
      <c r="D1154" t="s">
        <v>64</v>
      </c>
      <c r="E1154" t="s">
        <v>124</v>
      </c>
      <c r="F1154" t="s">
        <v>89</v>
      </c>
      <c r="G1154" t="s">
        <v>1278</v>
      </c>
      <c r="H1154" s="6">
        <v>73</v>
      </c>
      <c r="I1154" s="7">
        <v>126.66</v>
      </c>
      <c r="J1154" s="7">
        <v>9246.3799999999992</v>
      </c>
      <c r="K1154" s="6">
        <v>30</v>
      </c>
      <c r="L1154" t="s">
        <v>38</v>
      </c>
      <c r="M1154" s="8">
        <v>1849.2760000000001</v>
      </c>
      <c r="N1154" s="7">
        <v>9246.3799999999992</v>
      </c>
      <c r="O1154" t="s">
        <v>46</v>
      </c>
      <c r="P1154" t="s">
        <v>40</v>
      </c>
    </row>
    <row r="1155" spans="1:16" x14ac:dyDescent="0.25">
      <c r="A1155" s="5">
        <v>45941</v>
      </c>
      <c r="B1155" t="s">
        <v>110</v>
      </c>
      <c r="C1155" t="s">
        <v>111</v>
      </c>
      <c r="D1155" t="s">
        <v>58</v>
      </c>
      <c r="E1155" t="s">
        <v>96</v>
      </c>
      <c r="F1155" t="s">
        <v>97</v>
      </c>
      <c r="G1155" t="s">
        <v>1279</v>
      </c>
      <c r="H1155" s="6">
        <v>63</v>
      </c>
      <c r="I1155" s="7">
        <v>144.91</v>
      </c>
      <c r="J1155" s="7">
        <v>9129.06</v>
      </c>
      <c r="K1155" s="6">
        <v>30</v>
      </c>
      <c r="L1155" t="s">
        <v>45</v>
      </c>
      <c r="M1155" s="8">
        <v>1825.8119999999999</v>
      </c>
      <c r="N1155" s="7">
        <v>9129.06</v>
      </c>
      <c r="O1155" t="s">
        <v>46</v>
      </c>
      <c r="P1155" t="s">
        <v>40</v>
      </c>
    </row>
    <row r="1156" spans="1:16" x14ac:dyDescent="0.25">
      <c r="A1156" s="5">
        <v>45944</v>
      </c>
      <c r="B1156" t="s">
        <v>91</v>
      </c>
      <c r="C1156" t="s">
        <v>92</v>
      </c>
      <c r="D1156" t="s">
        <v>64</v>
      </c>
      <c r="E1156" t="s">
        <v>149</v>
      </c>
      <c r="F1156" t="s">
        <v>60</v>
      </c>
      <c r="G1156" t="s">
        <v>1280</v>
      </c>
      <c r="H1156" s="6">
        <v>60</v>
      </c>
      <c r="I1156" s="7">
        <v>542.79999999999995</v>
      </c>
      <c r="J1156" s="7">
        <v>32567.84</v>
      </c>
      <c r="K1156" s="6">
        <v>30</v>
      </c>
      <c r="L1156" t="s">
        <v>38</v>
      </c>
      <c r="M1156" s="8">
        <v>6513.5680000000002</v>
      </c>
      <c r="N1156" s="7">
        <v>32567.84</v>
      </c>
      <c r="O1156" t="s">
        <v>46</v>
      </c>
      <c r="P1156" t="s">
        <v>40</v>
      </c>
    </row>
    <row r="1157" spans="1:16" x14ac:dyDescent="0.25">
      <c r="A1157" s="5">
        <v>45811</v>
      </c>
      <c r="B1157" t="s">
        <v>100</v>
      </c>
      <c r="C1157" t="s">
        <v>101</v>
      </c>
      <c r="D1157" t="s">
        <v>69</v>
      </c>
      <c r="E1157" t="s">
        <v>88</v>
      </c>
      <c r="F1157" t="s">
        <v>89</v>
      </c>
      <c r="G1157" t="s">
        <v>1281</v>
      </c>
      <c r="H1157" s="6">
        <v>61</v>
      </c>
      <c r="I1157" s="7">
        <v>313.67</v>
      </c>
      <c r="J1157" s="7">
        <v>19134.150000000001</v>
      </c>
      <c r="K1157" s="6">
        <v>30</v>
      </c>
      <c r="L1157" t="s">
        <v>52</v>
      </c>
      <c r="M1157" s="8">
        <v>3826.83</v>
      </c>
      <c r="N1157" s="7">
        <v>19134.150000000001</v>
      </c>
      <c r="O1157" t="s">
        <v>46</v>
      </c>
      <c r="P1157" t="s">
        <v>40</v>
      </c>
    </row>
    <row r="1158" spans="1:16" x14ac:dyDescent="0.25">
      <c r="A1158" s="5">
        <v>45749</v>
      </c>
      <c r="B1158" t="s">
        <v>32</v>
      </c>
      <c r="C1158" t="s">
        <v>33</v>
      </c>
      <c r="D1158" t="s">
        <v>34</v>
      </c>
      <c r="E1158" t="s">
        <v>149</v>
      </c>
      <c r="F1158" t="s">
        <v>60</v>
      </c>
      <c r="G1158" t="s">
        <v>1282</v>
      </c>
      <c r="H1158" s="6">
        <v>63</v>
      </c>
      <c r="I1158" s="7">
        <v>150.68</v>
      </c>
      <c r="J1158" s="7">
        <v>9492.7099999999991</v>
      </c>
      <c r="K1158" s="6">
        <v>60</v>
      </c>
      <c r="L1158" t="s">
        <v>52</v>
      </c>
      <c r="M1158" s="8">
        <v>1898.5419999999999</v>
      </c>
      <c r="N1158" s="7">
        <v>9492.7099999999991</v>
      </c>
      <c r="O1158" t="s">
        <v>46</v>
      </c>
      <c r="P1158" t="s">
        <v>40</v>
      </c>
    </row>
    <row r="1159" spans="1:16" x14ac:dyDescent="0.25">
      <c r="A1159" s="5">
        <v>45799</v>
      </c>
      <c r="B1159" t="s">
        <v>41</v>
      </c>
      <c r="C1159" t="s">
        <v>42</v>
      </c>
      <c r="D1159" t="s">
        <v>34</v>
      </c>
      <c r="E1159" t="s">
        <v>49</v>
      </c>
      <c r="F1159" t="s">
        <v>50</v>
      </c>
      <c r="G1159" t="s">
        <v>1283</v>
      </c>
      <c r="H1159" s="6">
        <v>64</v>
      </c>
      <c r="I1159" s="7">
        <v>414.19</v>
      </c>
      <c r="J1159" s="7">
        <v>26508.34</v>
      </c>
      <c r="K1159" s="6">
        <v>30</v>
      </c>
      <c r="L1159" t="s">
        <v>52</v>
      </c>
      <c r="M1159" s="8">
        <v>5301.6679999999997</v>
      </c>
      <c r="N1159" s="7">
        <v>26508.34</v>
      </c>
      <c r="O1159" t="s">
        <v>39</v>
      </c>
      <c r="P1159" t="s">
        <v>40</v>
      </c>
    </row>
    <row r="1160" spans="1:16" x14ac:dyDescent="0.25">
      <c r="A1160" s="5">
        <v>45904</v>
      </c>
      <c r="B1160" t="s">
        <v>56</v>
      </c>
      <c r="C1160" t="s">
        <v>57</v>
      </c>
      <c r="D1160" t="s">
        <v>58</v>
      </c>
      <c r="E1160" t="s">
        <v>70</v>
      </c>
      <c r="F1160" t="s">
        <v>71</v>
      </c>
      <c r="G1160" t="s">
        <v>1284</v>
      </c>
      <c r="H1160" s="6">
        <v>73</v>
      </c>
      <c r="I1160" s="7">
        <v>163.02000000000001</v>
      </c>
      <c r="J1160" s="7">
        <v>11900.16</v>
      </c>
      <c r="K1160" s="6">
        <v>45</v>
      </c>
      <c r="L1160" t="s">
        <v>45</v>
      </c>
      <c r="M1160" s="8">
        <v>2380.0320000000002</v>
      </c>
      <c r="N1160" s="7">
        <v>11900.16</v>
      </c>
      <c r="O1160" t="s">
        <v>46</v>
      </c>
      <c r="P1160" t="s">
        <v>40</v>
      </c>
    </row>
    <row r="1161" spans="1:16" x14ac:dyDescent="0.25">
      <c r="A1161" s="5">
        <v>45719</v>
      </c>
      <c r="B1161" t="s">
        <v>47</v>
      </c>
      <c r="C1161" t="s">
        <v>48</v>
      </c>
      <c r="D1161" t="s">
        <v>34</v>
      </c>
      <c r="E1161" t="s">
        <v>129</v>
      </c>
      <c r="F1161" t="s">
        <v>108</v>
      </c>
      <c r="G1161" t="s">
        <v>1285</v>
      </c>
      <c r="H1161" s="6">
        <v>48</v>
      </c>
      <c r="I1161" s="7">
        <v>62.73</v>
      </c>
      <c r="J1161" s="7">
        <v>3011.01</v>
      </c>
      <c r="K1161" s="6">
        <v>60</v>
      </c>
      <c r="L1161" t="s">
        <v>52</v>
      </c>
      <c r="M1161" s="8">
        <v>602.202</v>
      </c>
      <c r="N1161" s="7">
        <v>3011.01</v>
      </c>
      <c r="O1161" t="s">
        <v>46</v>
      </c>
      <c r="P1161" t="s">
        <v>40</v>
      </c>
    </row>
    <row r="1162" spans="1:16" x14ac:dyDescent="0.25">
      <c r="A1162" s="5">
        <v>45741</v>
      </c>
      <c r="B1162" t="s">
        <v>80</v>
      </c>
      <c r="C1162" t="s">
        <v>81</v>
      </c>
      <c r="D1162" t="s">
        <v>64</v>
      </c>
      <c r="E1162" t="s">
        <v>210</v>
      </c>
      <c r="F1162" t="s">
        <v>50</v>
      </c>
      <c r="G1162" t="s">
        <v>1286</v>
      </c>
      <c r="H1162" s="6">
        <v>75</v>
      </c>
      <c r="I1162" s="7">
        <v>30.35</v>
      </c>
      <c r="J1162" s="7">
        <v>2276.3000000000002</v>
      </c>
      <c r="K1162" s="6">
        <v>30</v>
      </c>
      <c r="L1162" t="s">
        <v>38</v>
      </c>
      <c r="M1162" s="8">
        <v>455.26</v>
      </c>
      <c r="N1162" s="7">
        <v>2276.3000000000002</v>
      </c>
      <c r="O1162" t="s">
        <v>46</v>
      </c>
      <c r="P1162" t="s">
        <v>40</v>
      </c>
    </row>
    <row r="1163" spans="1:16" x14ac:dyDescent="0.25">
      <c r="A1163" s="5">
        <v>45727</v>
      </c>
      <c r="B1163" t="s">
        <v>32</v>
      </c>
      <c r="C1163" t="s">
        <v>33</v>
      </c>
      <c r="D1163" t="s">
        <v>34</v>
      </c>
      <c r="E1163" t="s">
        <v>129</v>
      </c>
      <c r="F1163" t="s">
        <v>108</v>
      </c>
      <c r="G1163" t="s">
        <v>1287</v>
      </c>
      <c r="H1163" s="6">
        <v>46</v>
      </c>
      <c r="I1163" s="7">
        <v>264.41000000000003</v>
      </c>
      <c r="J1163" s="7">
        <v>12162.93</v>
      </c>
      <c r="K1163" s="6">
        <v>30</v>
      </c>
      <c r="L1163" t="s">
        <v>38</v>
      </c>
      <c r="M1163" s="8">
        <v>2432.5859999999998</v>
      </c>
      <c r="N1163" s="7">
        <v>12162.93</v>
      </c>
      <c r="O1163" t="s">
        <v>46</v>
      </c>
      <c r="P1163" t="s">
        <v>40</v>
      </c>
    </row>
    <row r="1164" spans="1:16" x14ac:dyDescent="0.25">
      <c r="A1164" s="5">
        <v>45983</v>
      </c>
      <c r="B1164" t="s">
        <v>100</v>
      </c>
      <c r="C1164" t="s">
        <v>101</v>
      </c>
      <c r="D1164" t="s">
        <v>69</v>
      </c>
      <c r="E1164" t="s">
        <v>132</v>
      </c>
      <c r="F1164" t="s">
        <v>71</v>
      </c>
      <c r="G1164" t="s">
        <v>1288</v>
      </c>
      <c r="H1164" s="6">
        <v>46</v>
      </c>
      <c r="I1164" s="7">
        <v>44.24</v>
      </c>
      <c r="J1164" s="7">
        <v>2035</v>
      </c>
      <c r="K1164" s="6">
        <v>30</v>
      </c>
      <c r="L1164" t="s">
        <v>45</v>
      </c>
      <c r="M1164" s="8">
        <v>407</v>
      </c>
      <c r="N1164" s="7">
        <v>2035</v>
      </c>
      <c r="O1164" t="s">
        <v>46</v>
      </c>
      <c r="P1164" t="s">
        <v>40</v>
      </c>
    </row>
    <row r="1165" spans="1:16" x14ac:dyDescent="0.25">
      <c r="A1165" s="5">
        <v>45757</v>
      </c>
      <c r="B1165" t="s">
        <v>91</v>
      </c>
      <c r="C1165" t="s">
        <v>92</v>
      </c>
      <c r="D1165" t="s">
        <v>64</v>
      </c>
      <c r="E1165" t="s">
        <v>43</v>
      </c>
      <c r="F1165" t="s">
        <v>36</v>
      </c>
      <c r="G1165" t="s">
        <v>1289</v>
      </c>
      <c r="H1165" s="6">
        <v>24</v>
      </c>
      <c r="I1165" s="7">
        <v>26.3</v>
      </c>
      <c r="J1165" s="7">
        <v>631.1</v>
      </c>
      <c r="K1165" s="6">
        <v>30</v>
      </c>
      <c r="L1165" t="s">
        <v>52</v>
      </c>
      <c r="M1165" s="8">
        <v>126.22</v>
      </c>
      <c r="N1165" s="7">
        <v>631.1</v>
      </c>
      <c r="O1165" t="s">
        <v>46</v>
      </c>
      <c r="P1165" t="s">
        <v>40</v>
      </c>
    </row>
    <row r="1166" spans="1:16" x14ac:dyDescent="0.25">
      <c r="A1166" s="5">
        <v>45823</v>
      </c>
      <c r="B1166" t="s">
        <v>56</v>
      </c>
      <c r="C1166" t="s">
        <v>57</v>
      </c>
      <c r="D1166" t="s">
        <v>58</v>
      </c>
      <c r="E1166" t="s">
        <v>124</v>
      </c>
      <c r="F1166" t="s">
        <v>89</v>
      </c>
      <c r="G1166" t="s">
        <v>1290</v>
      </c>
      <c r="H1166" s="6">
        <v>41</v>
      </c>
      <c r="I1166" s="7">
        <v>315.88</v>
      </c>
      <c r="J1166" s="7">
        <v>12951.19</v>
      </c>
      <c r="K1166" s="6">
        <v>60</v>
      </c>
      <c r="L1166" t="s">
        <v>45</v>
      </c>
      <c r="M1166" s="8">
        <v>2590.2379999999998</v>
      </c>
      <c r="N1166" s="7">
        <v>12951.19</v>
      </c>
      <c r="O1166" t="s">
        <v>46</v>
      </c>
      <c r="P1166" t="s">
        <v>40</v>
      </c>
    </row>
    <row r="1167" spans="1:16" x14ac:dyDescent="0.25">
      <c r="A1167" s="5">
        <v>45931</v>
      </c>
      <c r="B1167" t="s">
        <v>85</v>
      </c>
      <c r="C1167" t="s">
        <v>86</v>
      </c>
      <c r="D1167" t="s">
        <v>58</v>
      </c>
      <c r="E1167" t="s">
        <v>83</v>
      </c>
      <c r="F1167" t="s">
        <v>71</v>
      </c>
      <c r="G1167" t="s">
        <v>1291</v>
      </c>
      <c r="H1167" s="6">
        <v>75</v>
      </c>
      <c r="I1167" s="7">
        <v>363.49</v>
      </c>
      <c r="J1167" s="7">
        <v>27261.45</v>
      </c>
      <c r="K1167" s="6">
        <v>45</v>
      </c>
      <c r="L1167" t="s">
        <v>38</v>
      </c>
      <c r="M1167" s="8">
        <v>5452.29</v>
      </c>
      <c r="N1167" s="7">
        <v>27261.45</v>
      </c>
      <c r="O1167" t="s">
        <v>39</v>
      </c>
      <c r="P1167" t="s">
        <v>40</v>
      </c>
    </row>
    <row r="1168" spans="1:16" x14ac:dyDescent="0.25">
      <c r="A1168" s="5">
        <v>45802</v>
      </c>
      <c r="B1168" t="s">
        <v>118</v>
      </c>
      <c r="C1168" t="s">
        <v>119</v>
      </c>
      <c r="D1168" t="s">
        <v>64</v>
      </c>
      <c r="E1168" t="s">
        <v>124</v>
      </c>
      <c r="F1168" t="s">
        <v>89</v>
      </c>
      <c r="G1168" t="s">
        <v>1292</v>
      </c>
      <c r="H1168" s="6">
        <v>48</v>
      </c>
      <c r="I1168" s="7">
        <v>385.41</v>
      </c>
      <c r="J1168" s="7">
        <v>18499.669999999998</v>
      </c>
      <c r="K1168" s="6">
        <v>45</v>
      </c>
      <c r="L1168" t="s">
        <v>45</v>
      </c>
      <c r="M1168" s="8">
        <v>3699.9340000000002</v>
      </c>
      <c r="N1168" s="7">
        <v>18499.669999999998</v>
      </c>
      <c r="O1168" t="s">
        <v>46</v>
      </c>
      <c r="P1168" t="s">
        <v>40</v>
      </c>
    </row>
    <row r="1169" spans="1:16" x14ac:dyDescent="0.25">
      <c r="A1169" s="5">
        <v>45769</v>
      </c>
      <c r="B1169" t="s">
        <v>94</v>
      </c>
      <c r="C1169" t="s">
        <v>95</v>
      </c>
      <c r="D1169" t="s">
        <v>34</v>
      </c>
      <c r="E1169" t="s">
        <v>154</v>
      </c>
      <c r="F1169" t="s">
        <v>89</v>
      </c>
      <c r="G1169" t="s">
        <v>1293</v>
      </c>
      <c r="H1169" s="6">
        <v>20</v>
      </c>
      <c r="I1169" s="7">
        <v>245.45</v>
      </c>
      <c r="J1169" s="7">
        <v>4909.07</v>
      </c>
      <c r="K1169" s="6">
        <v>60</v>
      </c>
      <c r="L1169" t="s">
        <v>38</v>
      </c>
      <c r="M1169" s="8">
        <v>981.81399999999996</v>
      </c>
      <c r="N1169" s="7">
        <v>4909.07</v>
      </c>
      <c r="O1169" t="s">
        <v>39</v>
      </c>
      <c r="P1169" t="s">
        <v>40</v>
      </c>
    </row>
    <row r="1170" spans="1:16" x14ac:dyDescent="0.25">
      <c r="A1170" s="5">
        <v>45893</v>
      </c>
      <c r="B1170" t="s">
        <v>67</v>
      </c>
      <c r="C1170" t="s">
        <v>68</v>
      </c>
      <c r="D1170" t="s">
        <v>69</v>
      </c>
      <c r="E1170" t="s">
        <v>75</v>
      </c>
      <c r="F1170" t="s">
        <v>36</v>
      </c>
      <c r="G1170" t="s">
        <v>1294</v>
      </c>
      <c r="H1170" s="6">
        <v>10</v>
      </c>
      <c r="I1170" s="7">
        <v>90.15</v>
      </c>
      <c r="J1170" s="7">
        <v>901.52</v>
      </c>
      <c r="K1170" s="6">
        <v>30</v>
      </c>
      <c r="L1170" t="s">
        <v>38</v>
      </c>
      <c r="M1170" s="8">
        <v>180.304</v>
      </c>
      <c r="N1170" s="7">
        <v>901.52</v>
      </c>
      <c r="O1170" t="s">
        <v>46</v>
      </c>
      <c r="P1170" t="s">
        <v>40</v>
      </c>
    </row>
    <row r="1171" spans="1:16" x14ac:dyDescent="0.25">
      <c r="A1171" s="5">
        <v>45817</v>
      </c>
      <c r="B1171" t="s">
        <v>32</v>
      </c>
      <c r="C1171" t="s">
        <v>33</v>
      </c>
      <c r="D1171" t="s">
        <v>34</v>
      </c>
      <c r="E1171" t="s">
        <v>139</v>
      </c>
      <c r="F1171" t="s">
        <v>108</v>
      </c>
      <c r="G1171" t="s">
        <v>1295</v>
      </c>
      <c r="H1171" s="6">
        <v>47</v>
      </c>
      <c r="I1171" s="7">
        <v>119.93</v>
      </c>
      <c r="J1171" s="7">
        <v>5636.48</v>
      </c>
      <c r="K1171" s="6">
        <v>30</v>
      </c>
      <c r="L1171" t="s">
        <v>45</v>
      </c>
      <c r="M1171" s="8">
        <v>1127.296</v>
      </c>
      <c r="N1171" s="7">
        <v>5636.48</v>
      </c>
      <c r="O1171" t="s">
        <v>46</v>
      </c>
      <c r="P1171" t="s">
        <v>40</v>
      </c>
    </row>
    <row r="1172" spans="1:16" x14ac:dyDescent="0.25">
      <c r="A1172" s="5">
        <v>46021</v>
      </c>
      <c r="B1172" t="s">
        <v>91</v>
      </c>
      <c r="C1172" t="s">
        <v>92</v>
      </c>
      <c r="D1172" t="s">
        <v>64</v>
      </c>
      <c r="E1172" t="s">
        <v>83</v>
      </c>
      <c r="F1172" t="s">
        <v>71</v>
      </c>
      <c r="G1172" t="s">
        <v>1296</v>
      </c>
      <c r="H1172" s="6">
        <v>39</v>
      </c>
      <c r="I1172" s="7">
        <v>144.21</v>
      </c>
      <c r="J1172" s="7">
        <v>5624.29</v>
      </c>
      <c r="K1172" s="6">
        <v>30</v>
      </c>
      <c r="L1172" t="s">
        <v>52</v>
      </c>
      <c r="M1172" s="8">
        <v>1124.8579999999999</v>
      </c>
      <c r="N1172" s="7">
        <v>5624.29</v>
      </c>
      <c r="O1172" t="s">
        <v>39</v>
      </c>
      <c r="P1172" t="s">
        <v>40</v>
      </c>
    </row>
    <row r="1173" spans="1:16" x14ac:dyDescent="0.25">
      <c r="A1173" s="5">
        <v>46013</v>
      </c>
      <c r="B1173" t="s">
        <v>143</v>
      </c>
      <c r="C1173" t="s">
        <v>144</v>
      </c>
      <c r="D1173" t="s">
        <v>69</v>
      </c>
      <c r="E1173" t="s">
        <v>135</v>
      </c>
      <c r="F1173" t="s">
        <v>54</v>
      </c>
      <c r="G1173" t="s">
        <v>1297</v>
      </c>
      <c r="H1173" s="6">
        <v>19</v>
      </c>
      <c r="I1173" s="7">
        <v>291.81</v>
      </c>
      <c r="J1173" s="7">
        <v>5544.46</v>
      </c>
      <c r="K1173" s="6">
        <v>60</v>
      </c>
      <c r="L1173" t="s">
        <v>38</v>
      </c>
      <c r="M1173" s="8">
        <v>1108.8920000000001</v>
      </c>
      <c r="N1173" s="7">
        <v>5544.46</v>
      </c>
      <c r="O1173" t="s">
        <v>46</v>
      </c>
      <c r="P1173" t="s">
        <v>40</v>
      </c>
    </row>
    <row r="1174" spans="1:16" x14ac:dyDescent="0.25">
      <c r="A1174" s="5">
        <v>45724</v>
      </c>
      <c r="B1174" t="s">
        <v>77</v>
      </c>
      <c r="C1174" t="s">
        <v>78</v>
      </c>
      <c r="D1174" t="s">
        <v>58</v>
      </c>
      <c r="E1174" t="s">
        <v>154</v>
      </c>
      <c r="F1174" t="s">
        <v>89</v>
      </c>
      <c r="G1174" t="s">
        <v>1298</v>
      </c>
      <c r="H1174" s="6">
        <v>11</v>
      </c>
      <c r="I1174" s="7">
        <v>190.62</v>
      </c>
      <c r="J1174" s="7">
        <v>2096.79</v>
      </c>
      <c r="K1174" s="6">
        <v>45</v>
      </c>
      <c r="L1174" t="s">
        <v>52</v>
      </c>
      <c r="M1174" s="8">
        <v>419.358</v>
      </c>
      <c r="N1174" s="7">
        <v>2096.79</v>
      </c>
      <c r="O1174" t="s">
        <v>39</v>
      </c>
      <c r="P1174" t="s">
        <v>40</v>
      </c>
    </row>
    <row r="1175" spans="1:16" x14ac:dyDescent="0.25">
      <c r="A1175" s="5">
        <v>45905</v>
      </c>
      <c r="B1175" t="s">
        <v>62</v>
      </c>
      <c r="C1175" t="s">
        <v>63</v>
      </c>
      <c r="D1175" t="s">
        <v>64</v>
      </c>
      <c r="E1175" t="s">
        <v>127</v>
      </c>
      <c r="F1175" t="s">
        <v>36</v>
      </c>
      <c r="G1175" t="s">
        <v>1299</v>
      </c>
      <c r="H1175" s="6">
        <v>56</v>
      </c>
      <c r="I1175" s="7">
        <v>62.8</v>
      </c>
      <c r="J1175" s="7">
        <v>3516.82</v>
      </c>
      <c r="K1175" s="6">
        <v>30</v>
      </c>
      <c r="L1175" t="s">
        <v>38</v>
      </c>
      <c r="M1175" s="8">
        <v>703.36400000000003</v>
      </c>
      <c r="N1175" s="7">
        <v>3516.82</v>
      </c>
      <c r="O1175" t="s">
        <v>39</v>
      </c>
      <c r="P1175" t="s">
        <v>40</v>
      </c>
    </row>
    <row r="1176" spans="1:16" x14ac:dyDescent="0.25">
      <c r="A1176" s="5">
        <v>45920</v>
      </c>
      <c r="B1176" t="s">
        <v>143</v>
      </c>
      <c r="C1176" t="s">
        <v>144</v>
      </c>
      <c r="D1176" t="s">
        <v>69</v>
      </c>
      <c r="E1176" t="s">
        <v>152</v>
      </c>
      <c r="F1176" t="s">
        <v>50</v>
      </c>
      <c r="G1176" t="s">
        <v>1300</v>
      </c>
      <c r="H1176" s="6">
        <v>76</v>
      </c>
      <c r="I1176" s="7">
        <v>79.27</v>
      </c>
      <c r="J1176" s="7">
        <v>6024.23</v>
      </c>
      <c r="K1176" s="6">
        <v>30</v>
      </c>
      <c r="L1176" t="s">
        <v>45</v>
      </c>
      <c r="M1176" s="8">
        <v>1204.846</v>
      </c>
      <c r="N1176" s="7">
        <v>6024.23</v>
      </c>
      <c r="O1176" t="s">
        <v>46</v>
      </c>
      <c r="P1176" t="s">
        <v>40</v>
      </c>
    </row>
    <row r="1177" spans="1:16" x14ac:dyDescent="0.25">
      <c r="A1177" s="5">
        <v>45691</v>
      </c>
      <c r="B1177" t="s">
        <v>94</v>
      </c>
      <c r="C1177" t="s">
        <v>95</v>
      </c>
      <c r="D1177" t="s">
        <v>34</v>
      </c>
      <c r="E1177" t="s">
        <v>59</v>
      </c>
      <c r="F1177" t="s">
        <v>60</v>
      </c>
      <c r="G1177" t="s">
        <v>1301</v>
      </c>
      <c r="H1177" s="6">
        <v>39</v>
      </c>
      <c r="I1177" s="7">
        <v>188.53</v>
      </c>
      <c r="J1177" s="7">
        <v>7352.66</v>
      </c>
      <c r="K1177" s="6">
        <v>60</v>
      </c>
      <c r="L1177" t="s">
        <v>38</v>
      </c>
      <c r="M1177" s="8">
        <v>1470.5319999999999</v>
      </c>
      <c r="N1177" s="7">
        <v>7352.66</v>
      </c>
      <c r="O1177" t="s">
        <v>39</v>
      </c>
      <c r="P1177" t="s">
        <v>40</v>
      </c>
    </row>
    <row r="1178" spans="1:16" x14ac:dyDescent="0.25">
      <c r="A1178" s="5">
        <v>45966</v>
      </c>
      <c r="B1178" t="s">
        <v>94</v>
      </c>
      <c r="C1178" t="s">
        <v>95</v>
      </c>
      <c r="D1178" t="s">
        <v>34</v>
      </c>
      <c r="E1178" t="s">
        <v>127</v>
      </c>
      <c r="F1178" t="s">
        <v>36</v>
      </c>
      <c r="G1178" t="s">
        <v>1302</v>
      </c>
      <c r="H1178" s="6">
        <v>27</v>
      </c>
      <c r="I1178" s="7">
        <v>25.62</v>
      </c>
      <c r="J1178" s="7">
        <v>691.66</v>
      </c>
      <c r="K1178" s="6">
        <v>60</v>
      </c>
      <c r="L1178" t="s">
        <v>38</v>
      </c>
      <c r="M1178" s="8">
        <v>138.33199999999999</v>
      </c>
      <c r="N1178" s="7">
        <v>691.66</v>
      </c>
      <c r="O1178" t="s">
        <v>39</v>
      </c>
      <c r="P1178" t="s">
        <v>40</v>
      </c>
    </row>
    <row r="1179" spans="1:16" x14ac:dyDescent="0.25">
      <c r="A1179" s="5">
        <v>45704</v>
      </c>
      <c r="B1179" t="s">
        <v>32</v>
      </c>
      <c r="C1179" t="s">
        <v>33</v>
      </c>
      <c r="D1179" t="s">
        <v>34</v>
      </c>
      <c r="E1179" t="s">
        <v>83</v>
      </c>
      <c r="F1179" t="s">
        <v>71</v>
      </c>
      <c r="G1179" t="s">
        <v>1303</v>
      </c>
      <c r="H1179" s="6">
        <v>19</v>
      </c>
      <c r="I1179" s="7">
        <v>90</v>
      </c>
      <c r="J1179" s="7">
        <v>1709.97</v>
      </c>
      <c r="K1179" s="6">
        <v>60</v>
      </c>
      <c r="L1179" t="s">
        <v>45</v>
      </c>
      <c r="M1179" s="8">
        <v>341.99400000000003</v>
      </c>
      <c r="N1179" s="7">
        <v>1709.97</v>
      </c>
      <c r="O1179" t="s">
        <v>39</v>
      </c>
      <c r="P1179" t="s">
        <v>40</v>
      </c>
    </row>
    <row r="1180" spans="1:16" x14ac:dyDescent="0.25">
      <c r="A1180" s="5">
        <v>45740</v>
      </c>
      <c r="B1180" t="s">
        <v>103</v>
      </c>
      <c r="C1180" t="s">
        <v>104</v>
      </c>
      <c r="D1180" t="s">
        <v>58</v>
      </c>
      <c r="E1180" t="s">
        <v>132</v>
      </c>
      <c r="F1180" t="s">
        <v>71</v>
      </c>
      <c r="G1180" t="s">
        <v>1304</v>
      </c>
      <c r="H1180" s="6">
        <v>65</v>
      </c>
      <c r="I1180" s="7">
        <v>55.16</v>
      </c>
      <c r="J1180" s="7">
        <v>3585.09</v>
      </c>
      <c r="K1180" s="6">
        <v>60</v>
      </c>
      <c r="L1180" t="s">
        <v>52</v>
      </c>
      <c r="M1180" s="8">
        <v>717.01800000000003</v>
      </c>
      <c r="N1180" s="7">
        <v>3585.09</v>
      </c>
      <c r="O1180" t="s">
        <v>46</v>
      </c>
      <c r="P1180" t="s">
        <v>40</v>
      </c>
    </row>
    <row r="1181" spans="1:16" x14ac:dyDescent="0.25">
      <c r="A1181" s="5">
        <v>45954</v>
      </c>
      <c r="B1181" t="s">
        <v>32</v>
      </c>
      <c r="C1181" t="s">
        <v>33</v>
      </c>
      <c r="D1181" t="s">
        <v>34</v>
      </c>
      <c r="E1181" t="s">
        <v>127</v>
      </c>
      <c r="F1181" t="s">
        <v>36</v>
      </c>
      <c r="G1181" t="s">
        <v>1305</v>
      </c>
      <c r="H1181" s="6">
        <v>2</v>
      </c>
      <c r="I1181" s="7">
        <v>35.42</v>
      </c>
      <c r="J1181" s="7">
        <v>70.849999999999994</v>
      </c>
      <c r="K1181" s="6">
        <v>60</v>
      </c>
      <c r="L1181" t="s">
        <v>38</v>
      </c>
      <c r="M1181" s="8">
        <v>14.17</v>
      </c>
      <c r="N1181" s="7">
        <v>70.849999999999994</v>
      </c>
      <c r="O1181" t="s">
        <v>39</v>
      </c>
      <c r="P1181" t="s">
        <v>40</v>
      </c>
    </row>
    <row r="1182" spans="1:16" x14ac:dyDescent="0.25">
      <c r="A1182" s="5">
        <v>45745</v>
      </c>
      <c r="B1182" t="s">
        <v>201</v>
      </c>
      <c r="C1182" t="s">
        <v>202</v>
      </c>
      <c r="D1182" t="s">
        <v>64</v>
      </c>
      <c r="E1182" t="s">
        <v>65</v>
      </c>
      <c r="F1182" t="s">
        <v>54</v>
      </c>
      <c r="G1182" t="s">
        <v>1306</v>
      </c>
      <c r="H1182" s="6">
        <v>69</v>
      </c>
      <c r="I1182" s="7">
        <v>276</v>
      </c>
      <c r="J1182" s="7">
        <v>19044.03</v>
      </c>
      <c r="K1182" s="6">
        <v>30</v>
      </c>
      <c r="L1182" t="s">
        <v>52</v>
      </c>
      <c r="M1182" s="8">
        <v>3808.806</v>
      </c>
      <c r="N1182" s="7">
        <v>19044.03</v>
      </c>
      <c r="O1182" t="s">
        <v>46</v>
      </c>
      <c r="P1182" t="s">
        <v>40</v>
      </c>
    </row>
    <row r="1183" spans="1:16" x14ac:dyDescent="0.25">
      <c r="A1183" s="5">
        <v>46020</v>
      </c>
      <c r="B1183" t="s">
        <v>77</v>
      </c>
      <c r="C1183" t="s">
        <v>78</v>
      </c>
      <c r="D1183" t="s">
        <v>58</v>
      </c>
      <c r="E1183" t="s">
        <v>53</v>
      </c>
      <c r="F1183" t="s">
        <v>54</v>
      </c>
      <c r="G1183" t="s">
        <v>1307</v>
      </c>
      <c r="H1183" s="6">
        <v>61</v>
      </c>
      <c r="I1183" s="7">
        <v>537.57000000000005</v>
      </c>
      <c r="J1183" s="7">
        <v>32791.870000000003</v>
      </c>
      <c r="K1183" s="6">
        <v>45</v>
      </c>
      <c r="L1183" t="s">
        <v>52</v>
      </c>
      <c r="M1183" s="8">
        <v>6558.3739999999998</v>
      </c>
      <c r="N1183" s="7">
        <v>32791.870000000003</v>
      </c>
      <c r="O1183" t="s">
        <v>46</v>
      </c>
      <c r="P1183" t="s">
        <v>40</v>
      </c>
    </row>
    <row r="1184" spans="1:16" x14ac:dyDescent="0.25">
      <c r="A1184" s="5">
        <v>46002</v>
      </c>
      <c r="B1184" t="s">
        <v>110</v>
      </c>
      <c r="C1184" t="s">
        <v>111</v>
      </c>
      <c r="D1184" t="s">
        <v>58</v>
      </c>
      <c r="E1184" t="s">
        <v>88</v>
      </c>
      <c r="F1184" t="s">
        <v>89</v>
      </c>
      <c r="G1184" t="s">
        <v>1308</v>
      </c>
      <c r="H1184" s="6">
        <v>14</v>
      </c>
      <c r="I1184" s="7">
        <v>298.27999999999997</v>
      </c>
      <c r="J1184" s="7">
        <v>4175.91</v>
      </c>
      <c r="K1184" s="6">
        <v>30</v>
      </c>
      <c r="L1184" t="s">
        <v>45</v>
      </c>
      <c r="M1184" s="8">
        <v>835.18200000000002</v>
      </c>
      <c r="N1184" s="7">
        <v>4175.91</v>
      </c>
      <c r="O1184" t="s">
        <v>46</v>
      </c>
      <c r="P1184" t="s">
        <v>40</v>
      </c>
    </row>
    <row r="1185" spans="1:16" x14ac:dyDescent="0.25">
      <c r="A1185" s="5">
        <v>45921</v>
      </c>
      <c r="B1185" t="s">
        <v>32</v>
      </c>
      <c r="C1185" t="s">
        <v>33</v>
      </c>
      <c r="D1185" t="s">
        <v>34</v>
      </c>
      <c r="E1185" t="s">
        <v>204</v>
      </c>
      <c r="F1185" t="s">
        <v>97</v>
      </c>
      <c r="G1185" t="s">
        <v>1309</v>
      </c>
      <c r="H1185" s="6">
        <v>30</v>
      </c>
      <c r="I1185" s="7">
        <v>126.47</v>
      </c>
      <c r="J1185" s="7">
        <v>3794.11</v>
      </c>
      <c r="K1185" s="6">
        <v>45</v>
      </c>
      <c r="L1185" t="s">
        <v>38</v>
      </c>
      <c r="M1185" s="8">
        <v>758.822</v>
      </c>
      <c r="N1185" s="7">
        <v>3794.11</v>
      </c>
      <c r="O1185" t="s">
        <v>46</v>
      </c>
      <c r="P1185" t="s">
        <v>40</v>
      </c>
    </row>
    <row r="1186" spans="1:16" x14ac:dyDescent="0.25">
      <c r="A1186" s="5">
        <v>45896</v>
      </c>
      <c r="B1186" t="s">
        <v>41</v>
      </c>
      <c r="C1186" t="s">
        <v>42</v>
      </c>
      <c r="D1186" t="s">
        <v>34</v>
      </c>
      <c r="E1186" t="s">
        <v>83</v>
      </c>
      <c r="F1186" t="s">
        <v>71</v>
      </c>
      <c r="G1186" t="s">
        <v>1310</v>
      </c>
      <c r="H1186" s="6">
        <v>15</v>
      </c>
      <c r="I1186" s="7">
        <v>55.12</v>
      </c>
      <c r="J1186" s="7">
        <v>826.86</v>
      </c>
      <c r="K1186" s="6">
        <v>60</v>
      </c>
      <c r="L1186" t="s">
        <v>38</v>
      </c>
      <c r="M1186" s="8">
        <v>165.37200000000001</v>
      </c>
      <c r="N1186" s="7">
        <v>826.86</v>
      </c>
      <c r="O1186" t="s">
        <v>39</v>
      </c>
      <c r="P1186" t="s">
        <v>40</v>
      </c>
    </row>
    <row r="1187" spans="1:16" x14ac:dyDescent="0.25">
      <c r="A1187" s="5">
        <v>45805</v>
      </c>
      <c r="B1187" t="s">
        <v>113</v>
      </c>
      <c r="C1187" t="s">
        <v>114</v>
      </c>
      <c r="D1187" t="s">
        <v>69</v>
      </c>
      <c r="E1187" t="s">
        <v>70</v>
      </c>
      <c r="F1187" t="s">
        <v>71</v>
      </c>
      <c r="G1187" t="s">
        <v>1311</v>
      </c>
      <c r="H1187" s="6">
        <v>72</v>
      </c>
      <c r="I1187" s="7">
        <v>159.38</v>
      </c>
      <c r="J1187" s="7">
        <v>11475.47</v>
      </c>
      <c r="K1187" s="6">
        <v>60</v>
      </c>
      <c r="L1187" t="s">
        <v>38</v>
      </c>
      <c r="M1187" s="8">
        <v>2295.0940000000001</v>
      </c>
      <c r="N1187" s="7">
        <v>11475.47</v>
      </c>
      <c r="O1187" t="s">
        <v>46</v>
      </c>
      <c r="P1187" t="s">
        <v>40</v>
      </c>
    </row>
    <row r="1188" spans="1:16" x14ac:dyDescent="0.25">
      <c r="A1188" s="5">
        <v>45717</v>
      </c>
      <c r="B1188" t="s">
        <v>56</v>
      </c>
      <c r="C1188" t="s">
        <v>57</v>
      </c>
      <c r="D1188" t="s">
        <v>58</v>
      </c>
      <c r="E1188" t="s">
        <v>132</v>
      </c>
      <c r="F1188" t="s">
        <v>71</v>
      </c>
      <c r="G1188" t="s">
        <v>1312</v>
      </c>
      <c r="H1188" s="6">
        <v>50</v>
      </c>
      <c r="I1188" s="7">
        <v>55.34</v>
      </c>
      <c r="J1188" s="7">
        <v>2767.04</v>
      </c>
      <c r="K1188" s="6">
        <v>45</v>
      </c>
      <c r="L1188" t="s">
        <v>45</v>
      </c>
      <c r="M1188" s="8">
        <v>553.40800000000002</v>
      </c>
      <c r="N1188" s="7">
        <v>2767.04</v>
      </c>
      <c r="O1188" t="s">
        <v>46</v>
      </c>
      <c r="P1188" t="s">
        <v>40</v>
      </c>
    </row>
    <row r="1189" spans="1:16" x14ac:dyDescent="0.25">
      <c r="A1189" s="5">
        <v>45885</v>
      </c>
      <c r="B1189" t="s">
        <v>91</v>
      </c>
      <c r="C1189" t="s">
        <v>92</v>
      </c>
      <c r="D1189" t="s">
        <v>64</v>
      </c>
      <c r="E1189" t="s">
        <v>115</v>
      </c>
      <c r="F1189" t="s">
        <v>60</v>
      </c>
      <c r="G1189" t="s">
        <v>1313</v>
      </c>
      <c r="H1189" s="6">
        <v>29</v>
      </c>
      <c r="I1189" s="7">
        <v>194.43</v>
      </c>
      <c r="J1189" s="7">
        <v>5638.51</v>
      </c>
      <c r="K1189" s="6">
        <v>60</v>
      </c>
      <c r="L1189" t="s">
        <v>45</v>
      </c>
      <c r="M1189" s="8">
        <v>1127.702</v>
      </c>
      <c r="N1189" s="7">
        <v>5638.51</v>
      </c>
      <c r="O1189" t="s">
        <v>46</v>
      </c>
      <c r="P1189" t="s">
        <v>40</v>
      </c>
    </row>
    <row r="1190" spans="1:16" x14ac:dyDescent="0.25">
      <c r="A1190" s="5">
        <v>45693</v>
      </c>
      <c r="B1190" t="s">
        <v>121</v>
      </c>
      <c r="C1190" t="s">
        <v>122</v>
      </c>
      <c r="D1190" t="s">
        <v>34</v>
      </c>
      <c r="E1190" t="s">
        <v>204</v>
      </c>
      <c r="F1190" t="s">
        <v>97</v>
      </c>
      <c r="G1190" t="s">
        <v>1314</v>
      </c>
      <c r="H1190" s="6">
        <v>61</v>
      </c>
      <c r="I1190" s="7">
        <v>405.98</v>
      </c>
      <c r="J1190" s="7">
        <v>24764.959999999999</v>
      </c>
      <c r="K1190" s="6">
        <v>60</v>
      </c>
      <c r="L1190" t="s">
        <v>45</v>
      </c>
      <c r="M1190" s="8">
        <v>4952.9920000000002</v>
      </c>
      <c r="N1190" s="7">
        <v>24764.959999999999</v>
      </c>
      <c r="O1190" t="s">
        <v>46</v>
      </c>
      <c r="P1190" t="s">
        <v>40</v>
      </c>
    </row>
    <row r="1191" spans="1:16" x14ac:dyDescent="0.25">
      <c r="A1191" s="5">
        <v>45909</v>
      </c>
      <c r="B1191" t="s">
        <v>85</v>
      </c>
      <c r="C1191" t="s">
        <v>86</v>
      </c>
      <c r="D1191" t="s">
        <v>58</v>
      </c>
      <c r="E1191" t="s">
        <v>152</v>
      </c>
      <c r="F1191" t="s">
        <v>50</v>
      </c>
      <c r="G1191" t="s">
        <v>1315</v>
      </c>
      <c r="H1191" s="6">
        <v>14</v>
      </c>
      <c r="I1191" s="7">
        <v>70.45</v>
      </c>
      <c r="J1191" s="7">
        <v>986.3</v>
      </c>
      <c r="K1191" s="6">
        <v>45</v>
      </c>
      <c r="L1191" t="s">
        <v>45</v>
      </c>
      <c r="M1191" s="8">
        <v>197.26</v>
      </c>
      <c r="N1191" s="7">
        <v>986.3</v>
      </c>
      <c r="O1191" t="s">
        <v>46</v>
      </c>
      <c r="P1191" t="s">
        <v>40</v>
      </c>
    </row>
    <row r="1192" spans="1:16" x14ac:dyDescent="0.25">
      <c r="A1192" s="5">
        <v>45731</v>
      </c>
      <c r="B1192" t="s">
        <v>77</v>
      </c>
      <c r="C1192" t="s">
        <v>78</v>
      </c>
      <c r="D1192" t="s">
        <v>58</v>
      </c>
      <c r="E1192" t="s">
        <v>127</v>
      </c>
      <c r="F1192" t="s">
        <v>36</v>
      </c>
      <c r="G1192" t="s">
        <v>1316</v>
      </c>
      <c r="H1192" s="6">
        <v>51</v>
      </c>
      <c r="I1192" s="7">
        <v>68.88</v>
      </c>
      <c r="J1192" s="7">
        <v>3512.8</v>
      </c>
      <c r="K1192" s="6">
        <v>45</v>
      </c>
      <c r="L1192" t="s">
        <v>52</v>
      </c>
      <c r="M1192" s="8">
        <v>702.56</v>
      </c>
      <c r="N1192" s="7">
        <v>3512.8</v>
      </c>
      <c r="O1192" t="s">
        <v>39</v>
      </c>
      <c r="P1192" t="s">
        <v>40</v>
      </c>
    </row>
    <row r="1193" spans="1:16" x14ac:dyDescent="0.25">
      <c r="A1193" s="5">
        <v>45744</v>
      </c>
      <c r="B1193" t="s">
        <v>85</v>
      </c>
      <c r="C1193" t="s">
        <v>86</v>
      </c>
      <c r="D1193" t="s">
        <v>58</v>
      </c>
      <c r="E1193" t="s">
        <v>43</v>
      </c>
      <c r="F1193" t="s">
        <v>36</v>
      </c>
      <c r="G1193" t="s">
        <v>1317</v>
      </c>
      <c r="H1193" s="6">
        <v>9</v>
      </c>
      <c r="I1193" s="7">
        <v>31.21</v>
      </c>
      <c r="J1193" s="7">
        <v>280.87</v>
      </c>
      <c r="K1193" s="6">
        <v>45</v>
      </c>
      <c r="L1193" t="s">
        <v>38</v>
      </c>
      <c r="M1193" s="8">
        <v>56.173999999999999</v>
      </c>
      <c r="N1193" s="7">
        <v>280.87</v>
      </c>
      <c r="O1193" t="s">
        <v>46</v>
      </c>
      <c r="P1193" t="s">
        <v>40</v>
      </c>
    </row>
    <row r="1194" spans="1:16" x14ac:dyDescent="0.25">
      <c r="A1194" s="5">
        <v>45864</v>
      </c>
      <c r="B1194" t="s">
        <v>201</v>
      </c>
      <c r="C1194" t="s">
        <v>202</v>
      </c>
      <c r="D1194" t="s">
        <v>64</v>
      </c>
      <c r="E1194" t="s">
        <v>53</v>
      </c>
      <c r="F1194" t="s">
        <v>54</v>
      </c>
      <c r="G1194" t="s">
        <v>1318</v>
      </c>
      <c r="H1194" s="6">
        <v>16</v>
      </c>
      <c r="I1194" s="7">
        <v>179.6</v>
      </c>
      <c r="J1194" s="7">
        <v>2873.53</v>
      </c>
      <c r="K1194" s="6">
        <v>30</v>
      </c>
      <c r="L1194" t="s">
        <v>45</v>
      </c>
      <c r="M1194" s="8">
        <v>574.70600000000002</v>
      </c>
      <c r="N1194" s="7">
        <v>2873.53</v>
      </c>
      <c r="O1194" t="s">
        <v>46</v>
      </c>
      <c r="P1194" t="s">
        <v>40</v>
      </c>
    </row>
    <row r="1195" spans="1:16" x14ac:dyDescent="0.25">
      <c r="A1195" s="5">
        <v>45955</v>
      </c>
      <c r="B1195" t="s">
        <v>56</v>
      </c>
      <c r="C1195" t="s">
        <v>57</v>
      </c>
      <c r="D1195" t="s">
        <v>58</v>
      </c>
      <c r="E1195" t="s">
        <v>139</v>
      </c>
      <c r="F1195" t="s">
        <v>108</v>
      </c>
      <c r="G1195" t="s">
        <v>1319</v>
      </c>
      <c r="H1195" s="6">
        <v>76</v>
      </c>
      <c r="I1195" s="7">
        <v>89.42</v>
      </c>
      <c r="J1195" s="7">
        <v>6796.08</v>
      </c>
      <c r="K1195" s="6">
        <v>45</v>
      </c>
      <c r="L1195" t="s">
        <v>52</v>
      </c>
      <c r="M1195" s="8">
        <v>1359.2159999999999</v>
      </c>
      <c r="N1195" s="7">
        <v>6796.08</v>
      </c>
      <c r="O1195" t="s">
        <v>46</v>
      </c>
      <c r="P1195" t="s">
        <v>40</v>
      </c>
    </row>
    <row r="1196" spans="1:16" x14ac:dyDescent="0.25">
      <c r="A1196" s="5">
        <v>45999</v>
      </c>
      <c r="B1196" t="s">
        <v>41</v>
      </c>
      <c r="C1196" t="s">
        <v>42</v>
      </c>
      <c r="D1196" t="s">
        <v>34</v>
      </c>
      <c r="E1196" t="s">
        <v>132</v>
      </c>
      <c r="F1196" t="s">
        <v>71</v>
      </c>
      <c r="G1196" t="s">
        <v>1320</v>
      </c>
      <c r="H1196" s="6">
        <v>78</v>
      </c>
      <c r="I1196" s="7">
        <v>39.56</v>
      </c>
      <c r="J1196" s="7">
        <v>3085.41</v>
      </c>
      <c r="K1196" s="6">
        <v>45</v>
      </c>
      <c r="L1196" t="s">
        <v>45</v>
      </c>
      <c r="M1196" s="8">
        <v>617.08199999999999</v>
      </c>
      <c r="N1196" s="7">
        <v>3085.41</v>
      </c>
      <c r="O1196" t="s">
        <v>46</v>
      </c>
      <c r="P1196" t="s">
        <v>40</v>
      </c>
    </row>
    <row r="1197" spans="1:16" x14ac:dyDescent="0.25">
      <c r="A1197" s="5">
        <v>45890</v>
      </c>
      <c r="B1197" t="s">
        <v>100</v>
      </c>
      <c r="C1197" t="s">
        <v>101</v>
      </c>
      <c r="D1197" t="s">
        <v>69</v>
      </c>
      <c r="E1197" t="s">
        <v>59</v>
      </c>
      <c r="F1197" t="s">
        <v>60</v>
      </c>
      <c r="G1197" t="s">
        <v>1321</v>
      </c>
      <c r="H1197" s="6">
        <v>14</v>
      </c>
      <c r="I1197" s="7">
        <v>280.31</v>
      </c>
      <c r="J1197" s="7">
        <v>3924.31</v>
      </c>
      <c r="K1197" s="6">
        <v>30</v>
      </c>
      <c r="L1197" t="s">
        <v>45</v>
      </c>
      <c r="M1197" s="8">
        <v>784.86199999999997</v>
      </c>
      <c r="N1197" s="7">
        <v>3924.31</v>
      </c>
      <c r="O1197" t="s">
        <v>39</v>
      </c>
      <c r="P1197" t="s">
        <v>40</v>
      </c>
    </row>
    <row r="1198" spans="1:16" x14ac:dyDescent="0.25">
      <c r="A1198" s="5">
        <v>45979</v>
      </c>
      <c r="B1198" t="s">
        <v>77</v>
      </c>
      <c r="C1198" t="s">
        <v>78</v>
      </c>
      <c r="D1198" t="s">
        <v>58</v>
      </c>
      <c r="E1198" t="s">
        <v>107</v>
      </c>
      <c r="F1198" t="s">
        <v>108</v>
      </c>
      <c r="G1198" t="s">
        <v>1322</v>
      </c>
      <c r="H1198" s="6">
        <v>18</v>
      </c>
      <c r="I1198" s="7">
        <v>74.19</v>
      </c>
      <c r="J1198" s="7">
        <v>1335.5</v>
      </c>
      <c r="K1198" s="6">
        <v>30</v>
      </c>
      <c r="L1198" t="s">
        <v>38</v>
      </c>
      <c r="M1198" s="8">
        <v>267.10000000000002</v>
      </c>
      <c r="N1198" s="7">
        <v>1335.5</v>
      </c>
      <c r="O1198" t="s">
        <v>46</v>
      </c>
      <c r="P1198" t="s">
        <v>40</v>
      </c>
    </row>
    <row r="1199" spans="1:16" x14ac:dyDescent="0.25">
      <c r="A1199" s="5">
        <v>45913</v>
      </c>
      <c r="B1199" t="s">
        <v>143</v>
      </c>
      <c r="C1199" t="s">
        <v>144</v>
      </c>
      <c r="D1199" t="s">
        <v>69</v>
      </c>
      <c r="E1199" t="s">
        <v>49</v>
      </c>
      <c r="F1199" t="s">
        <v>50</v>
      </c>
      <c r="G1199" t="s">
        <v>1323</v>
      </c>
      <c r="H1199" s="6">
        <v>4</v>
      </c>
      <c r="I1199" s="7">
        <v>162.61000000000001</v>
      </c>
      <c r="J1199" s="7">
        <v>650.44000000000005</v>
      </c>
      <c r="K1199" s="6">
        <v>30</v>
      </c>
      <c r="L1199" t="s">
        <v>45</v>
      </c>
      <c r="M1199" s="8">
        <v>130.08799999999999</v>
      </c>
      <c r="N1199" s="7">
        <v>650.44000000000005</v>
      </c>
      <c r="O1199" t="s">
        <v>39</v>
      </c>
      <c r="P1199" t="s">
        <v>40</v>
      </c>
    </row>
    <row r="1200" spans="1:16" x14ac:dyDescent="0.25">
      <c r="A1200" s="5">
        <v>45813</v>
      </c>
      <c r="B1200" t="s">
        <v>85</v>
      </c>
      <c r="C1200" t="s">
        <v>86</v>
      </c>
      <c r="D1200" t="s">
        <v>58</v>
      </c>
      <c r="E1200" t="s">
        <v>83</v>
      </c>
      <c r="F1200" t="s">
        <v>71</v>
      </c>
      <c r="G1200" t="s">
        <v>1324</v>
      </c>
      <c r="H1200" s="6">
        <v>80</v>
      </c>
      <c r="I1200" s="7">
        <v>107.45</v>
      </c>
      <c r="J1200" s="7">
        <v>8596.0300000000007</v>
      </c>
      <c r="K1200" s="6">
        <v>60</v>
      </c>
      <c r="L1200" t="s">
        <v>38</v>
      </c>
      <c r="M1200" s="8">
        <v>1719.2059999999999</v>
      </c>
      <c r="N1200" s="7">
        <v>8596.0300000000007</v>
      </c>
      <c r="O1200" t="s">
        <v>39</v>
      </c>
      <c r="P1200" t="s">
        <v>40</v>
      </c>
    </row>
    <row r="1201" spans="1:16" x14ac:dyDescent="0.25">
      <c r="A1201" s="5">
        <v>45924</v>
      </c>
      <c r="B1201" t="s">
        <v>103</v>
      </c>
      <c r="C1201" t="s">
        <v>104</v>
      </c>
      <c r="D1201" t="s">
        <v>58</v>
      </c>
      <c r="E1201" t="s">
        <v>43</v>
      </c>
      <c r="F1201" t="s">
        <v>36</v>
      </c>
      <c r="G1201" t="s">
        <v>1325</v>
      </c>
      <c r="H1201" s="6">
        <v>64</v>
      </c>
      <c r="I1201" s="7">
        <v>137.63999999999999</v>
      </c>
      <c r="J1201" s="7">
        <v>8809.16</v>
      </c>
      <c r="K1201" s="6">
        <v>45</v>
      </c>
      <c r="L1201" t="s">
        <v>38</v>
      </c>
      <c r="M1201" s="8">
        <v>1761.8320000000001</v>
      </c>
      <c r="N1201" s="7">
        <v>8809.16</v>
      </c>
      <c r="O1201" t="s">
        <v>46</v>
      </c>
      <c r="P1201" t="s">
        <v>40</v>
      </c>
    </row>
    <row r="1202" spans="1:16" x14ac:dyDescent="0.25">
      <c r="A1202" s="5">
        <v>45916</v>
      </c>
      <c r="B1202" t="s">
        <v>67</v>
      </c>
      <c r="C1202" t="s">
        <v>68</v>
      </c>
      <c r="D1202" t="s">
        <v>69</v>
      </c>
      <c r="E1202" t="s">
        <v>139</v>
      </c>
      <c r="F1202" t="s">
        <v>108</v>
      </c>
      <c r="G1202" t="s">
        <v>1326</v>
      </c>
      <c r="H1202" s="6">
        <v>34</v>
      </c>
      <c r="I1202" s="7">
        <v>80.349999999999994</v>
      </c>
      <c r="J1202" s="7">
        <v>2731.82</v>
      </c>
      <c r="K1202" s="6">
        <v>60</v>
      </c>
      <c r="L1202" t="s">
        <v>45</v>
      </c>
      <c r="M1202" s="8">
        <v>546.36400000000003</v>
      </c>
      <c r="N1202" s="7">
        <v>2731.82</v>
      </c>
      <c r="O1202" t="s">
        <v>46</v>
      </c>
      <c r="P1202" t="s">
        <v>40</v>
      </c>
    </row>
    <row r="1203" spans="1:16" x14ac:dyDescent="0.25">
      <c r="A1203" s="5">
        <v>45878</v>
      </c>
      <c r="B1203" t="s">
        <v>94</v>
      </c>
      <c r="C1203" t="s">
        <v>95</v>
      </c>
      <c r="D1203" t="s">
        <v>34</v>
      </c>
      <c r="E1203" t="s">
        <v>49</v>
      </c>
      <c r="F1203" t="s">
        <v>50</v>
      </c>
      <c r="G1203" t="s">
        <v>1327</v>
      </c>
      <c r="H1203" s="6">
        <v>16</v>
      </c>
      <c r="I1203" s="7">
        <v>94.76</v>
      </c>
      <c r="J1203" s="7">
        <v>1516.12</v>
      </c>
      <c r="K1203" s="6">
        <v>45</v>
      </c>
      <c r="L1203" t="s">
        <v>45</v>
      </c>
      <c r="M1203" s="8">
        <v>303.22399999999999</v>
      </c>
      <c r="N1203" s="7">
        <v>1516.12</v>
      </c>
      <c r="O1203" t="s">
        <v>39</v>
      </c>
      <c r="P1203" t="s">
        <v>40</v>
      </c>
    </row>
    <row r="1204" spans="1:16" x14ac:dyDescent="0.25">
      <c r="A1204" s="5">
        <v>45893</v>
      </c>
      <c r="B1204" t="s">
        <v>77</v>
      </c>
      <c r="C1204" t="s">
        <v>78</v>
      </c>
      <c r="D1204" t="s">
        <v>58</v>
      </c>
      <c r="E1204" t="s">
        <v>96</v>
      </c>
      <c r="F1204" t="s">
        <v>97</v>
      </c>
      <c r="G1204" t="s">
        <v>1328</v>
      </c>
      <c r="H1204" s="6">
        <v>5</v>
      </c>
      <c r="I1204" s="7">
        <v>320.87</v>
      </c>
      <c r="J1204" s="7">
        <v>1604.37</v>
      </c>
      <c r="K1204" s="6">
        <v>30</v>
      </c>
      <c r="L1204" t="s">
        <v>38</v>
      </c>
      <c r="M1204" s="8">
        <v>320.87400000000002</v>
      </c>
      <c r="N1204" s="7">
        <v>1604.37</v>
      </c>
      <c r="O1204" t="s">
        <v>46</v>
      </c>
      <c r="P1204" t="s">
        <v>40</v>
      </c>
    </row>
    <row r="1205" spans="1:16" x14ac:dyDescent="0.25">
      <c r="A1205" s="5">
        <v>45742</v>
      </c>
      <c r="B1205" t="s">
        <v>67</v>
      </c>
      <c r="C1205" t="s">
        <v>68</v>
      </c>
      <c r="D1205" t="s">
        <v>69</v>
      </c>
      <c r="E1205" t="s">
        <v>115</v>
      </c>
      <c r="F1205" t="s">
        <v>60</v>
      </c>
      <c r="G1205" t="s">
        <v>1329</v>
      </c>
      <c r="H1205" s="6">
        <v>63</v>
      </c>
      <c r="I1205" s="7">
        <v>296.62</v>
      </c>
      <c r="J1205" s="7">
        <v>18686.87</v>
      </c>
      <c r="K1205" s="6">
        <v>45</v>
      </c>
      <c r="L1205" t="s">
        <v>38</v>
      </c>
      <c r="M1205" s="8">
        <v>3737.3739999999998</v>
      </c>
      <c r="N1205" s="7">
        <v>18686.87</v>
      </c>
      <c r="O1205" t="s">
        <v>46</v>
      </c>
      <c r="P1205" t="s">
        <v>40</v>
      </c>
    </row>
    <row r="1206" spans="1:16" x14ac:dyDescent="0.25">
      <c r="A1206" s="5">
        <v>45714</v>
      </c>
      <c r="B1206" t="s">
        <v>113</v>
      </c>
      <c r="C1206" t="s">
        <v>114</v>
      </c>
      <c r="D1206" t="s">
        <v>69</v>
      </c>
      <c r="E1206" t="s">
        <v>96</v>
      </c>
      <c r="F1206" t="s">
        <v>97</v>
      </c>
      <c r="G1206" t="s">
        <v>1330</v>
      </c>
      <c r="H1206" s="6">
        <v>73</v>
      </c>
      <c r="I1206" s="7">
        <v>308.17</v>
      </c>
      <c r="J1206" s="7">
        <v>22496.5</v>
      </c>
      <c r="K1206" s="6">
        <v>60</v>
      </c>
      <c r="L1206" t="s">
        <v>45</v>
      </c>
      <c r="M1206" s="8">
        <v>4499.3</v>
      </c>
      <c r="N1206" s="7">
        <v>22496.5</v>
      </c>
      <c r="O1206" t="s">
        <v>46</v>
      </c>
      <c r="P1206" t="s">
        <v>40</v>
      </c>
    </row>
    <row r="1207" spans="1:16" x14ac:dyDescent="0.25">
      <c r="A1207" s="5">
        <v>45945</v>
      </c>
      <c r="B1207" t="s">
        <v>143</v>
      </c>
      <c r="C1207" t="s">
        <v>144</v>
      </c>
      <c r="D1207" t="s">
        <v>69</v>
      </c>
      <c r="E1207" t="s">
        <v>139</v>
      </c>
      <c r="F1207" t="s">
        <v>108</v>
      </c>
      <c r="G1207" t="s">
        <v>1331</v>
      </c>
      <c r="H1207" s="6">
        <v>21</v>
      </c>
      <c r="I1207" s="7">
        <v>76.69</v>
      </c>
      <c r="J1207" s="7">
        <v>1610.56</v>
      </c>
      <c r="K1207" s="6">
        <v>60</v>
      </c>
      <c r="L1207" t="s">
        <v>38</v>
      </c>
      <c r="M1207" s="8">
        <v>322.11200000000002</v>
      </c>
      <c r="N1207" s="7">
        <v>1610.56</v>
      </c>
      <c r="O1207" t="s">
        <v>46</v>
      </c>
      <c r="P1207" t="s">
        <v>40</v>
      </c>
    </row>
    <row r="1208" spans="1:16" x14ac:dyDescent="0.25">
      <c r="A1208" s="5">
        <v>45960</v>
      </c>
      <c r="B1208" t="s">
        <v>67</v>
      </c>
      <c r="C1208" t="s">
        <v>68</v>
      </c>
      <c r="D1208" t="s">
        <v>69</v>
      </c>
      <c r="E1208" t="s">
        <v>149</v>
      </c>
      <c r="F1208" t="s">
        <v>60</v>
      </c>
      <c r="G1208" t="s">
        <v>1332</v>
      </c>
      <c r="H1208" s="6">
        <v>49</v>
      </c>
      <c r="I1208" s="7">
        <v>149.54</v>
      </c>
      <c r="J1208" s="7">
        <v>7327.23</v>
      </c>
      <c r="K1208" s="6">
        <v>60</v>
      </c>
      <c r="L1208" t="s">
        <v>52</v>
      </c>
      <c r="M1208" s="8">
        <v>1465.4459999999999</v>
      </c>
      <c r="N1208" s="7">
        <v>7327.23</v>
      </c>
      <c r="O1208" t="s">
        <v>46</v>
      </c>
      <c r="P1208" t="s">
        <v>40</v>
      </c>
    </row>
    <row r="1209" spans="1:16" x14ac:dyDescent="0.25">
      <c r="A1209" s="5">
        <v>45689</v>
      </c>
      <c r="B1209" t="s">
        <v>32</v>
      </c>
      <c r="C1209" t="s">
        <v>33</v>
      </c>
      <c r="D1209" t="s">
        <v>34</v>
      </c>
      <c r="E1209" t="s">
        <v>149</v>
      </c>
      <c r="F1209" t="s">
        <v>60</v>
      </c>
      <c r="G1209" t="s">
        <v>1333</v>
      </c>
      <c r="H1209" s="6">
        <v>4</v>
      </c>
      <c r="I1209" s="7">
        <v>152.79</v>
      </c>
      <c r="J1209" s="7">
        <v>611.14</v>
      </c>
      <c r="K1209" s="6">
        <v>60</v>
      </c>
      <c r="L1209" t="s">
        <v>38</v>
      </c>
      <c r="M1209" s="8">
        <v>122.22799999999999</v>
      </c>
      <c r="N1209" s="7">
        <v>611.14</v>
      </c>
      <c r="O1209" t="s">
        <v>46</v>
      </c>
      <c r="P1209" t="s">
        <v>40</v>
      </c>
    </row>
    <row r="1210" spans="1:16" x14ac:dyDescent="0.25">
      <c r="A1210" s="5">
        <v>45956</v>
      </c>
      <c r="B1210" t="s">
        <v>85</v>
      </c>
      <c r="C1210" t="s">
        <v>86</v>
      </c>
      <c r="D1210" t="s">
        <v>58</v>
      </c>
      <c r="E1210" t="s">
        <v>132</v>
      </c>
      <c r="F1210" t="s">
        <v>71</v>
      </c>
      <c r="G1210" t="s">
        <v>1334</v>
      </c>
      <c r="H1210" s="6">
        <v>4</v>
      </c>
      <c r="I1210" s="7">
        <v>43.92</v>
      </c>
      <c r="J1210" s="7">
        <v>175.69</v>
      </c>
      <c r="K1210" s="6">
        <v>60</v>
      </c>
      <c r="L1210" t="s">
        <v>45</v>
      </c>
      <c r="M1210" s="8">
        <v>35.137999999999998</v>
      </c>
      <c r="N1210" s="7">
        <v>175.69</v>
      </c>
      <c r="O1210" t="s">
        <v>46</v>
      </c>
      <c r="P1210" t="s">
        <v>40</v>
      </c>
    </row>
    <row r="1211" spans="1:16" x14ac:dyDescent="0.25">
      <c r="A1211" s="5">
        <v>45834</v>
      </c>
      <c r="B1211" t="s">
        <v>100</v>
      </c>
      <c r="C1211" t="s">
        <v>101</v>
      </c>
      <c r="D1211" t="s">
        <v>69</v>
      </c>
      <c r="E1211" t="s">
        <v>75</v>
      </c>
      <c r="F1211" t="s">
        <v>36</v>
      </c>
      <c r="G1211" t="s">
        <v>1335</v>
      </c>
      <c r="H1211" s="6">
        <v>46</v>
      </c>
      <c r="I1211" s="7">
        <v>170.15</v>
      </c>
      <c r="J1211" s="7">
        <v>7826.7</v>
      </c>
      <c r="K1211" s="6">
        <v>45</v>
      </c>
      <c r="L1211" t="s">
        <v>45</v>
      </c>
      <c r="M1211" s="8">
        <v>1565.34</v>
      </c>
      <c r="N1211" s="7">
        <v>7826.7</v>
      </c>
      <c r="O1211" t="s">
        <v>46</v>
      </c>
      <c r="P1211" t="s">
        <v>40</v>
      </c>
    </row>
    <row r="1212" spans="1:16" x14ac:dyDescent="0.25">
      <c r="A1212" s="5">
        <v>45778</v>
      </c>
      <c r="B1212" t="s">
        <v>91</v>
      </c>
      <c r="C1212" t="s">
        <v>92</v>
      </c>
      <c r="D1212" t="s">
        <v>64</v>
      </c>
      <c r="E1212" t="s">
        <v>135</v>
      </c>
      <c r="F1212" t="s">
        <v>54</v>
      </c>
      <c r="G1212" t="s">
        <v>1336</v>
      </c>
      <c r="H1212" s="6">
        <v>40</v>
      </c>
      <c r="I1212" s="7">
        <v>126.13</v>
      </c>
      <c r="J1212" s="7">
        <v>5045.32</v>
      </c>
      <c r="K1212" s="6">
        <v>60</v>
      </c>
      <c r="L1212" t="s">
        <v>38</v>
      </c>
      <c r="M1212" s="8">
        <v>1009.064</v>
      </c>
      <c r="N1212" s="7">
        <v>5045.32</v>
      </c>
      <c r="O1212" t="s">
        <v>46</v>
      </c>
      <c r="P1212" t="s">
        <v>40</v>
      </c>
    </row>
    <row r="1213" spans="1:16" x14ac:dyDescent="0.25">
      <c r="A1213" s="5">
        <v>45716</v>
      </c>
      <c r="B1213" t="s">
        <v>56</v>
      </c>
      <c r="C1213" t="s">
        <v>57</v>
      </c>
      <c r="D1213" t="s">
        <v>58</v>
      </c>
      <c r="E1213" t="s">
        <v>75</v>
      </c>
      <c r="F1213" t="s">
        <v>36</v>
      </c>
      <c r="G1213" t="s">
        <v>1337</v>
      </c>
      <c r="H1213" s="6">
        <v>44</v>
      </c>
      <c r="I1213" s="7">
        <v>44.4</v>
      </c>
      <c r="J1213" s="7">
        <v>1953.7</v>
      </c>
      <c r="K1213" s="6">
        <v>30</v>
      </c>
      <c r="L1213" t="s">
        <v>38</v>
      </c>
      <c r="M1213" s="8">
        <v>390.74</v>
      </c>
      <c r="N1213" s="7">
        <v>1953.7</v>
      </c>
      <c r="O1213" t="s">
        <v>46</v>
      </c>
      <c r="P1213" t="s">
        <v>40</v>
      </c>
    </row>
    <row r="1214" spans="1:16" x14ac:dyDescent="0.25">
      <c r="A1214" s="5">
        <v>45893</v>
      </c>
      <c r="B1214" t="s">
        <v>56</v>
      </c>
      <c r="C1214" t="s">
        <v>57</v>
      </c>
      <c r="D1214" t="s">
        <v>58</v>
      </c>
      <c r="E1214" t="s">
        <v>83</v>
      </c>
      <c r="F1214" t="s">
        <v>71</v>
      </c>
      <c r="G1214" t="s">
        <v>1338</v>
      </c>
      <c r="H1214" s="6">
        <v>55</v>
      </c>
      <c r="I1214" s="7">
        <v>63.99</v>
      </c>
      <c r="J1214" s="7">
        <v>3519.54</v>
      </c>
      <c r="K1214" s="6">
        <v>60</v>
      </c>
      <c r="L1214" t="s">
        <v>52</v>
      </c>
      <c r="M1214" s="8">
        <v>703.90800000000002</v>
      </c>
      <c r="N1214" s="7">
        <v>3519.54</v>
      </c>
      <c r="O1214" t="s">
        <v>39</v>
      </c>
      <c r="P1214" t="s">
        <v>40</v>
      </c>
    </row>
    <row r="1215" spans="1:16" x14ac:dyDescent="0.25">
      <c r="A1215" s="5">
        <v>46014</v>
      </c>
      <c r="B1215" t="s">
        <v>77</v>
      </c>
      <c r="C1215" t="s">
        <v>78</v>
      </c>
      <c r="D1215" t="s">
        <v>58</v>
      </c>
      <c r="E1215" t="s">
        <v>59</v>
      </c>
      <c r="F1215" t="s">
        <v>60</v>
      </c>
      <c r="G1215" t="s">
        <v>1339</v>
      </c>
      <c r="H1215" s="6">
        <v>61</v>
      </c>
      <c r="I1215" s="7">
        <v>359.9</v>
      </c>
      <c r="J1215" s="7">
        <v>21954.11</v>
      </c>
      <c r="K1215" s="6">
        <v>60</v>
      </c>
      <c r="L1215" t="s">
        <v>38</v>
      </c>
      <c r="M1215" s="8">
        <v>4390.8220000000001</v>
      </c>
      <c r="N1215" s="7">
        <v>21954.11</v>
      </c>
      <c r="O1215" t="s">
        <v>39</v>
      </c>
      <c r="P1215" t="s">
        <v>40</v>
      </c>
    </row>
    <row r="1216" spans="1:16" x14ac:dyDescent="0.25">
      <c r="A1216" s="5">
        <v>45857</v>
      </c>
      <c r="B1216" t="s">
        <v>91</v>
      </c>
      <c r="C1216" t="s">
        <v>92</v>
      </c>
      <c r="D1216" t="s">
        <v>64</v>
      </c>
      <c r="E1216" t="s">
        <v>105</v>
      </c>
      <c r="F1216" t="s">
        <v>97</v>
      </c>
      <c r="G1216" t="s">
        <v>1340</v>
      </c>
      <c r="H1216" s="6">
        <v>42</v>
      </c>
      <c r="I1216" s="7">
        <v>255.08</v>
      </c>
      <c r="J1216" s="7">
        <v>10713.18</v>
      </c>
      <c r="K1216" s="6">
        <v>60</v>
      </c>
      <c r="L1216" t="s">
        <v>38</v>
      </c>
      <c r="M1216" s="8">
        <v>2142.636</v>
      </c>
      <c r="N1216" s="7">
        <v>10713.18</v>
      </c>
      <c r="O1216" t="s">
        <v>46</v>
      </c>
      <c r="P1216" t="s">
        <v>40</v>
      </c>
    </row>
    <row r="1217" spans="1:16" x14ac:dyDescent="0.25">
      <c r="A1217" s="5">
        <v>46003</v>
      </c>
      <c r="B1217" t="s">
        <v>73</v>
      </c>
      <c r="C1217" t="s">
        <v>74</v>
      </c>
      <c r="D1217" t="s">
        <v>69</v>
      </c>
      <c r="E1217" t="s">
        <v>43</v>
      </c>
      <c r="F1217" t="s">
        <v>36</v>
      </c>
      <c r="G1217" t="s">
        <v>1341</v>
      </c>
      <c r="H1217" s="6">
        <v>27</v>
      </c>
      <c r="I1217" s="7">
        <v>129.11000000000001</v>
      </c>
      <c r="J1217" s="7">
        <v>3485.9</v>
      </c>
      <c r="K1217" s="6">
        <v>45</v>
      </c>
      <c r="L1217" t="s">
        <v>45</v>
      </c>
      <c r="M1217" s="8">
        <v>697.18</v>
      </c>
      <c r="N1217" s="7">
        <v>3485.9</v>
      </c>
      <c r="O1217" t="s">
        <v>46</v>
      </c>
      <c r="P1217" t="s">
        <v>40</v>
      </c>
    </row>
    <row r="1218" spans="1:16" x14ac:dyDescent="0.25">
      <c r="A1218" s="5">
        <v>45972</v>
      </c>
      <c r="B1218" t="s">
        <v>121</v>
      </c>
      <c r="C1218" t="s">
        <v>122</v>
      </c>
      <c r="D1218" t="s">
        <v>34</v>
      </c>
      <c r="E1218" t="s">
        <v>83</v>
      </c>
      <c r="F1218" t="s">
        <v>71</v>
      </c>
      <c r="G1218" t="s">
        <v>1342</v>
      </c>
      <c r="H1218" s="6">
        <v>39</v>
      </c>
      <c r="I1218" s="7">
        <v>65.59</v>
      </c>
      <c r="J1218" s="7">
        <v>2558.1</v>
      </c>
      <c r="K1218" s="6">
        <v>45</v>
      </c>
      <c r="L1218" t="s">
        <v>45</v>
      </c>
      <c r="M1218" s="8">
        <v>511.62</v>
      </c>
      <c r="N1218" s="7">
        <v>2558.1</v>
      </c>
      <c r="O1218" t="s">
        <v>39</v>
      </c>
      <c r="P1218" t="s">
        <v>40</v>
      </c>
    </row>
    <row r="1219" spans="1:16" x14ac:dyDescent="0.25">
      <c r="A1219" s="5">
        <v>45696</v>
      </c>
      <c r="B1219" t="s">
        <v>103</v>
      </c>
      <c r="C1219" t="s">
        <v>104</v>
      </c>
      <c r="D1219" t="s">
        <v>58</v>
      </c>
      <c r="E1219" t="s">
        <v>129</v>
      </c>
      <c r="F1219" t="s">
        <v>108</v>
      </c>
      <c r="G1219" t="s">
        <v>1343</v>
      </c>
      <c r="H1219" s="6">
        <v>69</v>
      </c>
      <c r="I1219" s="7">
        <v>87.44</v>
      </c>
      <c r="J1219" s="7">
        <v>6033.25</v>
      </c>
      <c r="K1219" s="6">
        <v>30</v>
      </c>
      <c r="L1219" t="s">
        <v>45</v>
      </c>
      <c r="M1219" s="8">
        <v>1206.6500000000001</v>
      </c>
      <c r="N1219" s="7">
        <v>6033.25</v>
      </c>
      <c r="O1219" t="s">
        <v>46</v>
      </c>
      <c r="P1219" t="s">
        <v>40</v>
      </c>
    </row>
    <row r="1220" spans="1:16" x14ac:dyDescent="0.25">
      <c r="A1220" s="5">
        <v>45951</v>
      </c>
      <c r="B1220" t="s">
        <v>62</v>
      </c>
      <c r="C1220" t="s">
        <v>63</v>
      </c>
      <c r="D1220" t="s">
        <v>64</v>
      </c>
      <c r="E1220" t="s">
        <v>210</v>
      </c>
      <c r="F1220" t="s">
        <v>50</v>
      </c>
      <c r="G1220" t="s">
        <v>1344</v>
      </c>
      <c r="H1220" s="6">
        <v>52</v>
      </c>
      <c r="I1220" s="7">
        <v>75.8</v>
      </c>
      <c r="J1220" s="7">
        <v>3941.41</v>
      </c>
      <c r="K1220" s="6">
        <v>30</v>
      </c>
      <c r="L1220" t="s">
        <v>52</v>
      </c>
      <c r="M1220" s="8">
        <v>788.28200000000004</v>
      </c>
      <c r="N1220" s="7">
        <v>3941.41</v>
      </c>
      <c r="O1220" t="s">
        <v>46</v>
      </c>
      <c r="P1220" t="s">
        <v>40</v>
      </c>
    </row>
    <row r="1221" spans="1:16" x14ac:dyDescent="0.25">
      <c r="A1221" s="5">
        <v>45954</v>
      </c>
      <c r="B1221" t="s">
        <v>41</v>
      </c>
      <c r="C1221" t="s">
        <v>42</v>
      </c>
      <c r="D1221" t="s">
        <v>34</v>
      </c>
      <c r="E1221" t="s">
        <v>43</v>
      </c>
      <c r="F1221" t="s">
        <v>36</v>
      </c>
      <c r="G1221" t="s">
        <v>1345</v>
      </c>
      <c r="H1221" s="6">
        <v>13</v>
      </c>
      <c r="I1221" s="7">
        <v>211.5</v>
      </c>
      <c r="J1221" s="7">
        <v>2749.48</v>
      </c>
      <c r="K1221" s="6">
        <v>60</v>
      </c>
      <c r="L1221" t="s">
        <v>45</v>
      </c>
      <c r="M1221" s="8">
        <v>549.89599999999996</v>
      </c>
      <c r="N1221" s="7">
        <v>2749.48</v>
      </c>
      <c r="O1221" t="s">
        <v>46</v>
      </c>
      <c r="P1221" t="s">
        <v>40</v>
      </c>
    </row>
    <row r="1222" spans="1:16" x14ac:dyDescent="0.25">
      <c r="A1222" s="5">
        <v>45929</v>
      </c>
      <c r="B1222" t="s">
        <v>94</v>
      </c>
      <c r="C1222" t="s">
        <v>95</v>
      </c>
      <c r="D1222" t="s">
        <v>34</v>
      </c>
      <c r="E1222" t="s">
        <v>43</v>
      </c>
      <c r="F1222" t="s">
        <v>36</v>
      </c>
      <c r="G1222" t="s">
        <v>1346</v>
      </c>
      <c r="H1222" s="6">
        <v>61</v>
      </c>
      <c r="I1222" s="7">
        <v>33.83</v>
      </c>
      <c r="J1222" s="7">
        <v>2063.34</v>
      </c>
      <c r="K1222" s="6">
        <v>45</v>
      </c>
      <c r="L1222" t="s">
        <v>38</v>
      </c>
      <c r="M1222" s="8">
        <v>412.66800000000001</v>
      </c>
      <c r="N1222" s="7">
        <v>2063.34</v>
      </c>
      <c r="O1222" t="s">
        <v>46</v>
      </c>
      <c r="P1222" t="s">
        <v>40</v>
      </c>
    </row>
    <row r="1223" spans="1:16" x14ac:dyDescent="0.25">
      <c r="A1223" s="5">
        <v>45812</v>
      </c>
      <c r="B1223" t="s">
        <v>73</v>
      </c>
      <c r="C1223" t="s">
        <v>74</v>
      </c>
      <c r="D1223" t="s">
        <v>69</v>
      </c>
      <c r="E1223" t="s">
        <v>43</v>
      </c>
      <c r="F1223" t="s">
        <v>36</v>
      </c>
      <c r="G1223" t="s">
        <v>1347</v>
      </c>
      <c r="H1223" s="6">
        <v>65</v>
      </c>
      <c r="I1223" s="7">
        <v>77.08</v>
      </c>
      <c r="J1223" s="7">
        <v>5009.92</v>
      </c>
      <c r="K1223" s="6">
        <v>45</v>
      </c>
      <c r="L1223" t="s">
        <v>45</v>
      </c>
      <c r="M1223" s="8">
        <v>1001.984</v>
      </c>
      <c r="N1223" s="7">
        <v>5009.92</v>
      </c>
      <c r="O1223" t="s">
        <v>46</v>
      </c>
      <c r="P1223" t="s">
        <v>40</v>
      </c>
    </row>
    <row r="1224" spans="1:16" x14ac:dyDescent="0.25">
      <c r="A1224" s="5">
        <v>45870</v>
      </c>
      <c r="B1224" t="s">
        <v>100</v>
      </c>
      <c r="C1224" t="s">
        <v>101</v>
      </c>
      <c r="D1224" t="s">
        <v>69</v>
      </c>
      <c r="E1224" t="s">
        <v>83</v>
      </c>
      <c r="F1224" t="s">
        <v>71</v>
      </c>
      <c r="G1224" t="s">
        <v>1348</v>
      </c>
      <c r="H1224" s="6">
        <v>52</v>
      </c>
      <c r="I1224" s="7">
        <v>134.62</v>
      </c>
      <c r="J1224" s="7">
        <v>7000.23</v>
      </c>
      <c r="K1224" s="6">
        <v>45</v>
      </c>
      <c r="L1224" t="s">
        <v>52</v>
      </c>
      <c r="M1224" s="8">
        <v>1400.046</v>
      </c>
      <c r="N1224" s="7">
        <v>7000.23</v>
      </c>
      <c r="O1224" t="s">
        <v>39</v>
      </c>
      <c r="P1224" t="s">
        <v>40</v>
      </c>
    </row>
    <row r="1225" spans="1:16" x14ac:dyDescent="0.25">
      <c r="A1225" s="5">
        <v>45938</v>
      </c>
      <c r="B1225" t="s">
        <v>32</v>
      </c>
      <c r="C1225" t="s">
        <v>33</v>
      </c>
      <c r="D1225" t="s">
        <v>34</v>
      </c>
      <c r="E1225" t="s">
        <v>129</v>
      </c>
      <c r="F1225" t="s">
        <v>108</v>
      </c>
      <c r="G1225" t="s">
        <v>1349</v>
      </c>
      <c r="H1225" s="6">
        <v>24</v>
      </c>
      <c r="I1225" s="7">
        <v>94.17</v>
      </c>
      <c r="J1225" s="7">
        <v>2260.0300000000002</v>
      </c>
      <c r="K1225" s="6">
        <v>30</v>
      </c>
      <c r="L1225" t="s">
        <v>52</v>
      </c>
      <c r="M1225" s="8">
        <v>452.00599999999997</v>
      </c>
      <c r="N1225" s="7">
        <v>2260.0300000000002</v>
      </c>
      <c r="O1225" t="s">
        <v>46</v>
      </c>
      <c r="P1225" t="s">
        <v>40</v>
      </c>
    </row>
    <row r="1226" spans="1:16" x14ac:dyDescent="0.25">
      <c r="A1226" s="5">
        <v>45913</v>
      </c>
      <c r="B1226" t="s">
        <v>94</v>
      </c>
      <c r="C1226" t="s">
        <v>95</v>
      </c>
      <c r="D1226" t="s">
        <v>34</v>
      </c>
      <c r="E1226" t="s">
        <v>124</v>
      </c>
      <c r="F1226" t="s">
        <v>89</v>
      </c>
      <c r="G1226" t="s">
        <v>1350</v>
      </c>
      <c r="H1226" s="6">
        <v>28</v>
      </c>
      <c r="I1226" s="7">
        <v>162.56</v>
      </c>
      <c r="J1226" s="7">
        <v>4551.6899999999996</v>
      </c>
      <c r="K1226" s="6">
        <v>60</v>
      </c>
      <c r="L1226" t="s">
        <v>52</v>
      </c>
      <c r="M1226" s="8">
        <v>910.33799999999997</v>
      </c>
      <c r="N1226" s="7">
        <v>4551.6899999999996</v>
      </c>
      <c r="O1226" t="s">
        <v>46</v>
      </c>
      <c r="P1226" t="s">
        <v>40</v>
      </c>
    </row>
    <row r="1227" spans="1:16" x14ac:dyDescent="0.25">
      <c r="A1227" s="5">
        <v>45930</v>
      </c>
      <c r="B1227" t="s">
        <v>85</v>
      </c>
      <c r="C1227" t="s">
        <v>86</v>
      </c>
      <c r="D1227" t="s">
        <v>58</v>
      </c>
      <c r="E1227" t="s">
        <v>115</v>
      </c>
      <c r="F1227" t="s">
        <v>60</v>
      </c>
      <c r="G1227" t="s">
        <v>1351</v>
      </c>
      <c r="H1227" s="6">
        <v>79</v>
      </c>
      <c r="I1227" s="7">
        <v>204.84</v>
      </c>
      <c r="J1227" s="7">
        <v>16182.31</v>
      </c>
      <c r="K1227" s="6">
        <v>45</v>
      </c>
      <c r="L1227" t="s">
        <v>52</v>
      </c>
      <c r="M1227" s="8">
        <v>3236.462</v>
      </c>
      <c r="N1227" s="7">
        <v>16182.31</v>
      </c>
      <c r="O1227" t="s">
        <v>46</v>
      </c>
      <c r="P1227" t="s">
        <v>40</v>
      </c>
    </row>
    <row r="1228" spans="1:16" x14ac:dyDescent="0.25">
      <c r="A1228" s="5">
        <v>45760</v>
      </c>
      <c r="B1228" t="s">
        <v>113</v>
      </c>
      <c r="C1228" t="s">
        <v>114</v>
      </c>
      <c r="D1228" t="s">
        <v>69</v>
      </c>
      <c r="E1228" t="s">
        <v>152</v>
      </c>
      <c r="F1228" t="s">
        <v>50</v>
      </c>
      <c r="G1228" t="s">
        <v>1352</v>
      </c>
      <c r="H1228" s="6">
        <v>47</v>
      </c>
      <c r="I1228" s="7">
        <v>122.93</v>
      </c>
      <c r="J1228" s="7">
        <v>5777.55</v>
      </c>
      <c r="K1228" s="6">
        <v>45</v>
      </c>
      <c r="L1228" t="s">
        <v>38</v>
      </c>
      <c r="M1228" s="8">
        <v>1155.51</v>
      </c>
      <c r="N1228" s="7">
        <v>5777.55</v>
      </c>
      <c r="O1228" t="s">
        <v>46</v>
      </c>
      <c r="P1228" t="s">
        <v>40</v>
      </c>
    </row>
    <row r="1229" spans="1:16" x14ac:dyDescent="0.25">
      <c r="A1229" s="5">
        <v>46008</v>
      </c>
      <c r="B1229" t="s">
        <v>32</v>
      </c>
      <c r="C1229" t="s">
        <v>33</v>
      </c>
      <c r="D1229" t="s">
        <v>34</v>
      </c>
      <c r="E1229" t="s">
        <v>124</v>
      </c>
      <c r="F1229" t="s">
        <v>89</v>
      </c>
      <c r="G1229" t="s">
        <v>1353</v>
      </c>
      <c r="H1229" s="6">
        <v>39</v>
      </c>
      <c r="I1229" s="7">
        <v>166.02</v>
      </c>
      <c r="J1229" s="7">
        <v>6474.76</v>
      </c>
      <c r="K1229" s="6">
        <v>45</v>
      </c>
      <c r="L1229" t="s">
        <v>45</v>
      </c>
      <c r="M1229" s="8">
        <v>1294.952</v>
      </c>
      <c r="N1229" s="7">
        <v>6474.76</v>
      </c>
      <c r="O1229" t="s">
        <v>46</v>
      </c>
      <c r="P1229" t="s">
        <v>40</v>
      </c>
    </row>
    <row r="1230" spans="1:16" x14ac:dyDescent="0.25">
      <c r="A1230" s="5">
        <v>45762</v>
      </c>
      <c r="B1230" t="s">
        <v>118</v>
      </c>
      <c r="C1230" t="s">
        <v>119</v>
      </c>
      <c r="D1230" t="s">
        <v>64</v>
      </c>
      <c r="E1230" t="s">
        <v>43</v>
      </c>
      <c r="F1230" t="s">
        <v>36</v>
      </c>
      <c r="G1230" t="s">
        <v>1354</v>
      </c>
      <c r="H1230" s="6">
        <v>53</v>
      </c>
      <c r="I1230" s="7">
        <v>110.45</v>
      </c>
      <c r="J1230" s="7">
        <v>5853.6</v>
      </c>
      <c r="K1230" s="6">
        <v>45</v>
      </c>
      <c r="L1230" t="s">
        <v>45</v>
      </c>
      <c r="M1230" s="8">
        <v>1170.72</v>
      </c>
      <c r="N1230" s="7">
        <v>5853.6</v>
      </c>
      <c r="O1230" t="s">
        <v>46</v>
      </c>
      <c r="P1230" t="s">
        <v>40</v>
      </c>
    </row>
    <row r="1231" spans="1:16" x14ac:dyDescent="0.25">
      <c r="A1231" s="5">
        <v>46009</v>
      </c>
      <c r="B1231" t="s">
        <v>100</v>
      </c>
      <c r="C1231" t="s">
        <v>101</v>
      </c>
      <c r="D1231" t="s">
        <v>69</v>
      </c>
      <c r="E1231" t="s">
        <v>88</v>
      </c>
      <c r="F1231" t="s">
        <v>89</v>
      </c>
      <c r="G1231" t="s">
        <v>1355</v>
      </c>
      <c r="H1231" s="6">
        <v>77</v>
      </c>
      <c r="I1231" s="7">
        <v>607.13</v>
      </c>
      <c r="J1231" s="7">
        <v>46749.08</v>
      </c>
      <c r="K1231" s="6">
        <v>30</v>
      </c>
      <c r="L1231" t="s">
        <v>45</v>
      </c>
      <c r="M1231" s="8">
        <v>9349.8160000000007</v>
      </c>
      <c r="N1231" s="7">
        <v>46749.08</v>
      </c>
      <c r="O1231" t="s">
        <v>46</v>
      </c>
      <c r="P1231" t="s">
        <v>40</v>
      </c>
    </row>
    <row r="1232" spans="1:16" x14ac:dyDescent="0.25">
      <c r="A1232" s="5">
        <v>45756</v>
      </c>
      <c r="B1232" t="s">
        <v>118</v>
      </c>
      <c r="C1232" t="s">
        <v>119</v>
      </c>
      <c r="D1232" t="s">
        <v>64</v>
      </c>
      <c r="E1232" t="s">
        <v>127</v>
      </c>
      <c r="F1232" t="s">
        <v>36</v>
      </c>
      <c r="G1232" t="s">
        <v>1356</v>
      </c>
      <c r="H1232" s="6">
        <v>4</v>
      </c>
      <c r="I1232" s="7">
        <v>47.84</v>
      </c>
      <c r="J1232" s="7">
        <v>191.34</v>
      </c>
      <c r="K1232" s="6">
        <v>30</v>
      </c>
      <c r="L1232" t="s">
        <v>45</v>
      </c>
      <c r="M1232" s="8">
        <v>38.268000000000001</v>
      </c>
      <c r="N1232" s="7">
        <v>191.34</v>
      </c>
      <c r="O1232" t="s">
        <v>39</v>
      </c>
      <c r="P1232" t="s">
        <v>40</v>
      </c>
    </row>
    <row r="1233" spans="1:16" x14ac:dyDescent="0.25">
      <c r="A1233" s="5">
        <v>45881</v>
      </c>
      <c r="B1233" t="s">
        <v>80</v>
      </c>
      <c r="C1233" t="s">
        <v>81</v>
      </c>
      <c r="D1233" t="s">
        <v>64</v>
      </c>
      <c r="E1233" t="s">
        <v>129</v>
      </c>
      <c r="F1233" t="s">
        <v>108</v>
      </c>
      <c r="G1233" t="s">
        <v>1357</v>
      </c>
      <c r="H1233" s="6">
        <v>55</v>
      </c>
      <c r="I1233" s="7">
        <v>35.31</v>
      </c>
      <c r="J1233" s="7">
        <v>1941.91</v>
      </c>
      <c r="K1233" s="6">
        <v>60</v>
      </c>
      <c r="L1233" t="s">
        <v>38</v>
      </c>
      <c r="M1233" s="8">
        <v>388.38200000000001</v>
      </c>
      <c r="N1233" s="7">
        <v>1941.91</v>
      </c>
      <c r="O1233" t="s">
        <v>46</v>
      </c>
      <c r="P1233" t="s">
        <v>40</v>
      </c>
    </row>
    <row r="1234" spans="1:16" x14ac:dyDescent="0.25">
      <c r="A1234" s="5">
        <v>45727</v>
      </c>
      <c r="B1234" t="s">
        <v>62</v>
      </c>
      <c r="C1234" t="s">
        <v>63</v>
      </c>
      <c r="D1234" t="s">
        <v>64</v>
      </c>
      <c r="E1234" t="s">
        <v>88</v>
      </c>
      <c r="F1234" t="s">
        <v>89</v>
      </c>
      <c r="G1234" t="s">
        <v>1358</v>
      </c>
      <c r="H1234" s="6">
        <v>4</v>
      </c>
      <c r="I1234" s="7">
        <v>171.47</v>
      </c>
      <c r="J1234" s="7">
        <v>685.88</v>
      </c>
      <c r="K1234" s="6">
        <v>45</v>
      </c>
      <c r="L1234" t="s">
        <v>45</v>
      </c>
      <c r="M1234" s="8">
        <v>137.17599999999999</v>
      </c>
      <c r="N1234" s="7">
        <v>685.88</v>
      </c>
      <c r="O1234" t="s">
        <v>46</v>
      </c>
      <c r="P1234" t="s">
        <v>40</v>
      </c>
    </row>
    <row r="1235" spans="1:16" x14ac:dyDescent="0.25">
      <c r="A1235" s="5">
        <v>45679</v>
      </c>
      <c r="B1235" t="s">
        <v>85</v>
      </c>
      <c r="C1235" t="s">
        <v>86</v>
      </c>
      <c r="D1235" t="s">
        <v>58</v>
      </c>
      <c r="E1235" t="s">
        <v>1359</v>
      </c>
      <c r="F1235" t="s">
        <v>89</v>
      </c>
      <c r="G1235" t="s">
        <v>1360</v>
      </c>
      <c r="H1235" s="6">
        <v>63</v>
      </c>
      <c r="I1235" s="7">
        <v>743.82</v>
      </c>
      <c r="J1235" s="7">
        <v>46860.56</v>
      </c>
      <c r="K1235" s="6">
        <v>30</v>
      </c>
      <c r="L1235" t="s">
        <v>38</v>
      </c>
      <c r="M1235" s="8">
        <v>9372.1119999999992</v>
      </c>
      <c r="N1235" s="7">
        <v>46860.56</v>
      </c>
      <c r="O1235" t="s">
        <v>46</v>
      </c>
      <c r="P1235" t="s">
        <v>40</v>
      </c>
    </row>
    <row r="1236" spans="1:16" x14ac:dyDescent="0.25">
      <c r="A1236" s="5">
        <v>45810</v>
      </c>
      <c r="B1236" t="s">
        <v>41</v>
      </c>
      <c r="C1236" t="s">
        <v>42</v>
      </c>
      <c r="D1236" t="s">
        <v>34</v>
      </c>
      <c r="E1236" t="s">
        <v>70</v>
      </c>
      <c r="F1236" t="s">
        <v>71</v>
      </c>
      <c r="G1236" t="s">
        <v>1361</v>
      </c>
      <c r="H1236" s="6">
        <v>9</v>
      </c>
      <c r="I1236" s="7">
        <v>61.06</v>
      </c>
      <c r="J1236" s="7">
        <v>549.54</v>
      </c>
      <c r="K1236" s="6">
        <v>45</v>
      </c>
      <c r="L1236" t="s">
        <v>45</v>
      </c>
      <c r="M1236" s="8">
        <v>109.908</v>
      </c>
      <c r="N1236" s="7">
        <v>549.54</v>
      </c>
      <c r="O1236" t="s">
        <v>46</v>
      </c>
      <c r="P1236" t="s">
        <v>40</v>
      </c>
    </row>
    <row r="1237" spans="1:16" x14ac:dyDescent="0.25">
      <c r="A1237" s="5">
        <v>45729</v>
      </c>
      <c r="B1237" t="s">
        <v>91</v>
      </c>
      <c r="C1237" t="s">
        <v>92</v>
      </c>
      <c r="D1237" t="s">
        <v>64</v>
      </c>
      <c r="E1237" t="s">
        <v>75</v>
      </c>
      <c r="F1237" t="s">
        <v>36</v>
      </c>
      <c r="G1237" t="s">
        <v>1362</v>
      </c>
      <c r="H1237" s="6">
        <v>31</v>
      </c>
      <c r="I1237" s="7">
        <v>160.12</v>
      </c>
      <c r="J1237" s="7">
        <v>4963.6099999999997</v>
      </c>
      <c r="K1237" s="6">
        <v>30</v>
      </c>
      <c r="L1237" t="s">
        <v>52</v>
      </c>
      <c r="M1237" s="8">
        <v>992.72199999999998</v>
      </c>
      <c r="N1237" s="7">
        <v>4963.6099999999997</v>
      </c>
      <c r="O1237" t="s">
        <v>46</v>
      </c>
      <c r="P1237" t="s">
        <v>40</v>
      </c>
    </row>
    <row r="1238" spans="1:16" x14ac:dyDescent="0.25">
      <c r="A1238" s="5">
        <v>45998</v>
      </c>
      <c r="B1238" t="s">
        <v>113</v>
      </c>
      <c r="C1238" t="s">
        <v>114</v>
      </c>
      <c r="D1238" t="s">
        <v>69</v>
      </c>
      <c r="E1238" t="s">
        <v>43</v>
      </c>
      <c r="F1238" t="s">
        <v>36</v>
      </c>
      <c r="G1238" t="s">
        <v>1363</v>
      </c>
      <c r="H1238" s="6">
        <v>75</v>
      </c>
      <c r="I1238" s="7">
        <v>163.55000000000001</v>
      </c>
      <c r="J1238" s="7">
        <v>12266.3</v>
      </c>
      <c r="K1238" s="6">
        <v>60</v>
      </c>
      <c r="L1238" t="s">
        <v>45</v>
      </c>
      <c r="M1238" s="8">
        <v>2453.2600000000002</v>
      </c>
      <c r="N1238" s="7">
        <v>12266.3</v>
      </c>
      <c r="O1238" t="s">
        <v>46</v>
      </c>
      <c r="P1238" t="s">
        <v>40</v>
      </c>
    </row>
    <row r="1239" spans="1:16" x14ac:dyDescent="0.25">
      <c r="A1239" s="5">
        <v>45965</v>
      </c>
      <c r="B1239" t="s">
        <v>80</v>
      </c>
      <c r="C1239" t="s">
        <v>81</v>
      </c>
      <c r="D1239" t="s">
        <v>64</v>
      </c>
      <c r="E1239" t="s">
        <v>127</v>
      </c>
      <c r="F1239" t="s">
        <v>36</v>
      </c>
      <c r="G1239" t="s">
        <v>1364</v>
      </c>
      <c r="H1239" s="6">
        <v>16</v>
      </c>
      <c r="I1239" s="7">
        <v>47.94</v>
      </c>
      <c r="J1239" s="7">
        <v>767.01</v>
      </c>
      <c r="K1239" s="6">
        <v>45</v>
      </c>
      <c r="L1239" t="s">
        <v>45</v>
      </c>
      <c r="M1239" s="8">
        <v>153.40199999999999</v>
      </c>
      <c r="N1239" s="7">
        <v>767.01</v>
      </c>
      <c r="O1239" t="s">
        <v>39</v>
      </c>
      <c r="P1239" t="s">
        <v>40</v>
      </c>
    </row>
    <row r="1240" spans="1:16" x14ac:dyDescent="0.25">
      <c r="A1240" s="5">
        <v>45778</v>
      </c>
      <c r="B1240" t="s">
        <v>67</v>
      </c>
      <c r="C1240" t="s">
        <v>68</v>
      </c>
      <c r="D1240" t="s">
        <v>69</v>
      </c>
      <c r="E1240" t="s">
        <v>105</v>
      </c>
      <c r="F1240" t="s">
        <v>97</v>
      </c>
      <c r="G1240" t="s">
        <v>1365</v>
      </c>
      <c r="H1240" s="6">
        <v>55</v>
      </c>
      <c r="I1240" s="7">
        <v>410.23</v>
      </c>
      <c r="J1240" s="7">
        <v>22562.77</v>
      </c>
      <c r="K1240" s="6">
        <v>30</v>
      </c>
      <c r="L1240" t="s">
        <v>38</v>
      </c>
      <c r="M1240" s="8">
        <v>4512.5540000000001</v>
      </c>
      <c r="N1240" s="7">
        <v>22562.77</v>
      </c>
      <c r="O1240" t="s">
        <v>46</v>
      </c>
      <c r="P1240" t="s">
        <v>40</v>
      </c>
    </row>
    <row r="1241" spans="1:16" x14ac:dyDescent="0.25">
      <c r="A1241" s="5">
        <v>45798</v>
      </c>
      <c r="B1241" t="s">
        <v>73</v>
      </c>
      <c r="C1241" t="s">
        <v>74</v>
      </c>
      <c r="D1241" t="s">
        <v>69</v>
      </c>
      <c r="E1241" t="s">
        <v>154</v>
      </c>
      <c r="F1241" t="s">
        <v>89</v>
      </c>
      <c r="G1241" t="s">
        <v>1366</v>
      </c>
      <c r="H1241" s="6">
        <v>57</v>
      </c>
      <c r="I1241" s="7">
        <v>440.79</v>
      </c>
      <c r="J1241" s="7">
        <v>25125.19</v>
      </c>
      <c r="K1241" s="6">
        <v>45</v>
      </c>
      <c r="L1241" t="s">
        <v>45</v>
      </c>
      <c r="M1241" s="8">
        <v>5025.0379999999996</v>
      </c>
      <c r="N1241" s="7">
        <v>25125.19</v>
      </c>
      <c r="O1241" t="s">
        <v>39</v>
      </c>
      <c r="P1241" t="s">
        <v>40</v>
      </c>
    </row>
    <row r="1242" spans="1:16" x14ac:dyDescent="0.25">
      <c r="A1242" s="5">
        <v>45931</v>
      </c>
      <c r="B1242" t="s">
        <v>113</v>
      </c>
      <c r="C1242" t="s">
        <v>114</v>
      </c>
      <c r="D1242" t="s">
        <v>69</v>
      </c>
      <c r="E1242" t="s">
        <v>210</v>
      </c>
      <c r="F1242" t="s">
        <v>50</v>
      </c>
      <c r="G1242" t="s">
        <v>1367</v>
      </c>
      <c r="H1242" s="6">
        <v>48</v>
      </c>
      <c r="I1242" s="7">
        <v>97.41</v>
      </c>
      <c r="J1242" s="7">
        <v>4675.88</v>
      </c>
      <c r="K1242" s="6">
        <v>60</v>
      </c>
      <c r="L1242" t="s">
        <v>38</v>
      </c>
      <c r="M1242" s="8">
        <v>935.17600000000004</v>
      </c>
      <c r="N1242" s="7">
        <v>4675.88</v>
      </c>
      <c r="O1242" t="s">
        <v>46</v>
      </c>
      <c r="P1242" t="s">
        <v>40</v>
      </c>
    </row>
    <row r="1243" spans="1:16" x14ac:dyDescent="0.25">
      <c r="A1243" s="5">
        <v>46007</v>
      </c>
      <c r="B1243" t="s">
        <v>47</v>
      </c>
      <c r="C1243" t="s">
        <v>48</v>
      </c>
      <c r="D1243" t="s">
        <v>34</v>
      </c>
      <c r="E1243" t="s">
        <v>96</v>
      </c>
      <c r="F1243" t="s">
        <v>97</v>
      </c>
      <c r="G1243" t="s">
        <v>1368</v>
      </c>
      <c r="H1243" s="6">
        <v>32</v>
      </c>
      <c r="I1243" s="7">
        <v>268.22000000000003</v>
      </c>
      <c r="J1243" s="7">
        <v>8583.09</v>
      </c>
      <c r="K1243" s="6">
        <v>45</v>
      </c>
      <c r="L1243" t="s">
        <v>38</v>
      </c>
      <c r="M1243" s="8">
        <v>1716.6179999999999</v>
      </c>
      <c r="N1243" s="7">
        <v>8583.09</v>
      </c>
      <c r="O1243" t="s">
        <v>46</v>
      </c>
      <c r="P1243" t="s">
        <v>40</v>
      </c>
    </row>
    <row r="1244" spans="1:16" x14ac:dyDescent="0.25">
      <c r="A1244" s="5">
        <v>45846</v>
      </c>
      <c r="B1244" t="s">
        <v>143</v>
      </c>
      <c r="C1244" t="s">
        <v>144</v>
      </c>
      <c r="D1244" t="s">
        <v>69</v>
      </c>
      <c r="E1244" t="s">
        <v>129</v>
      </c>
      <c r="F1244" t="s">
        <v>108</v>
      </c>
      <c r="G1244" t="s">
        <v>1369</v>
      </c>
      <c r="H1244" s="6">
        <v>40</v>
      </c>
      <c r="I1244" s="7">
        <v>54.47</v>
      </c>
      <c r="J1244" s="7">
        <v>2178.61</v>
      </c>
      <c r="K1244" s="6">
        <v>30</v>
      </c>
      <c r="L1244" t="s">
        <v>52</v>
      </c>
      <c r="M1244" s="8">
        <v>435.72199999999998</v>
      </c>
      <c r="N1244" s="7">
        <v>2178.61</v>
      </c>
      <c r="O1244" t="s">
        <v>46</v>
      </c>
      <c r="P1244" t="s">
        <v>40</v>
      </c>
    </row>
    <row r="1245" spans="1:16" x14ac:dyDescent="0.25">
      <c r="A1245" s="5">
        <v>45997</v>
      </c>
      <c r="B1245" t="s">
        <v>91</v>
      </c>
      <c r="C1245" t="s">
        <v>92</v>
      </c>
      <c r="D1245" t="s">
        <v>64</v>
      </c>
      <c r="E1245" t="s">
        <v>152</v>
      </c>
      <c r="F1245" t="s">
        <v>50</v>
      </c>
      <c r="G1245" t="s">
        <v>1370</v>
      </c>
      <c r="H1245" s="6">
        <v>7</v>
      </c>
      <c r="I1245" s="7">
        <v>68.67</v>
      </c>
      <c r="J1245" s="7">
        <v>480.72</v>
      </c>
      <c r="K1245" s="6">
        <v>60</v>
      </c>
      <c r="L1245" t="s">
        <v>52</v>
      </c>
      <c r="M1245" s="8">
        <v>96.144000000000005</v>
      </c>
      <c r="N1245" s="7">
        <v>480.72</v>
      </c>
      <c r="O1245" t="s">
        <v>46</v>
      </c>
      <c r="P1245" t="s">
        <v>40</v>
      </c>
    </row>
    <row r="1246" spans="1:16" x14ac:dyDescent="0.25">
      <c r="A1246" s="5">
        <v>45854</v>
      </c>
      <c r="B1246" t="s">
        <v>201</v>
      </c>
      <c r="C1246" t="s">
        <v>202</v>
      </c>
      <c r="D1246" t="s">
        <v>64</v>
      </c>
      <c r="E1246" t="s">
        <v>115</v>
      </c>
      <c r="F1246" t="s">
        <v>60</v>
      </c>
      <c r="G1246" t="s">
        <v>1371</v>
      </c>
      <c r="H1246" s="6">
        <v>40</v>
      </c>
      <c r="I1246" s="7">
        <v>153.93</v>
      </c>
      <c r="J1246" s="7">
        <v>6157.37</v>
      </c>
      <c r="K1246" s="6">
        <v>60</v>
      </c>
      <c r="L1246" t="s">
        <v>52</v>
      </c>
      <c r="M1246" s="8">
        <v>1231.4739999999999</v>
      </c>
      <c r="N1246" s="7">
        <v>6157.37</v>
      </c>
      <c r="O1246" t="s">
        <v>46</v>
      </c>
      <c r="P1246" t="s">
        <v>40</v>
      </c>
    </row>
    <row r="1247" spans="1:16" x14ac:dyDescent="0.25">
      <c r="A1247" s="5">
        <v>45779</v>
      </c>
      <c r="B1247" t="s">
        <v>77</v>
      </c>
      <c r="C1247" t="s">
        <v>78</v>
      </c>
      <c r="D1247" t="s">
        <v>58</v>
      </c>
      <c r="E1247" t="s">
        <v>43</v>
      </c>
      <c r="F1247" t="s">
        <v>36</v>
      </c>
      <c r="G1247" t="s">
        <v>1372</v>
      </c>
      <c r="H1247" s="6">
        <v>57</v>
      </c>
      <c r="I1247" s="7">
        <v>33.159999999999997</v>
      </c>
      <c r="J1247" s="7">
        <v>1889.89</v>
      </c>
      <c r="K1247" s="6">
        <v>45</v>
      </c>
      <c r="L1247" t="s">
        <v>38</v>
      </c>
      <c r="M1247" s="8">
        <v>377.97800000000001</v>
      </c>
      <c r="N1247" s="7">
        <v>1889.89</v>
      </c>
      <c r="O1247" t="s">
        <v>46</v>
      </c>
      <c r="P1247" t="s">
        <v>40</v>
      </c>
    </row>
    <row r="1248" spans="1:16" x14ac:dyDescent="0.25">
      <c r="A1248" s="5">
        <v>45704</v>
      </c>
      <c r="B1248" t="s">
        <v>113</v>
      </c>
      <c r="C1248" t="s">
        <v>114</v>
      </c>
      <c r="D1248" t="s">
        <v>69</v>
      </c>
      <c r="E1248" t="s">
        <v>149</v>
      </c>
      <c r="F1248" t="s">
        <v>60</v>
      </c>
      <c r="G1248" t="s">
        <v>1373</v>
      </c>
      <c r="H1248" s="6">
        <v>31</v>
      </c>
      <c r="I1248" s="7">
        <v>224.16</v>
      </c>
      <c r="J1248" s="7">
        <v>6949.05</v>
      </c>
      <c r="K1248" s="6">
        <v>45</v>
      </c>
      <c r="L1248" t="s">
        <v>38</v>
      </c>
      <c r="M1248" s="8">
        <v>1389.81</v>
      </c>
      <c r="N1248" s="7">
        <v>6949.05</v>
      </c>
      <c r="O1248" t="s">
        <v>46</v>
      </c>
      <c r="P1248" t="s">
        <v>40</v>
      </c>
    </row>
    <row r="1249" spans="1:16" x14ac:dyDescent="0.25">
      <c r="A1249" s="5">
        <v>45820</v>
      </c>
      <c r="B1249" t="s">
        <v>80</v>
      </c>
      <c r="C1249" t="s">
        <v>81</v>
      </c>
      <c r="D1249" t="s">
        <v>64</v>
      </c>
      <c r="E1249" t="s">
        <v>129</v>
      </c>
      <c r="F1249" t="s">
        <v>108</v>
      </c>
      <c r="G1249" t="s">
        <v>1374</v>
      </c>
      <c r="H1249" s="6">
        <v>53</v>
      </c>
      <c r="I1249" s="7">
        <v>49.11</v>
      </c>
      <c r="J1249" s="7">
        <v>2602.67</v>
      </c>
      <c r="K1249" s="6">
        <v>30</v>
      </c>
      <c r="L1249" t="s">
        <v>45</v>
      </c>
      <c r="M1249" s="8">
        <v>520.53399999999999</v>
      </c>
      <c r="N1249" s="7">
        <v>2602.67</v>
      </c>
      <c r="O1249" t="s">
        <v>46</v>
      </c>
      <c r="P1249" t="s">
        <v>40</v>
      </c>
    </row>
    <row r="1250" spans="1:16" x14ac:dyDescent="0.25">
      <c r="A1250" s="5">
        <v>45869</v>
      </c>
      <c r="B1250" t="s">
        <v>110</v>
      </c>
      <c r="C1250" t="s">
        <v>111</v>
      </c>
      <c r="D1250" t="s">
        <v>58</v>
      </c>
      <c r="E1250" t="s">
        <v>139</v>
      </c>
      <c r="F1250" t="s">
        <v>108</v>
      </c>
      <c r="G1250" t="s">
        <v>1375</v>
      </c>
      <c r="H1250" s="6">
        <v>43</v>
      </c>
      <c r="I1250" s="7">
        <v>85.29</v>
      </c>
      <c r="J1250" s="7">
        <v>3667.52</v>
      </c>
      <c r="K1250" s="6">
        <v>60</v>
      </c>
      <c r="L1250" t="s">
        <v>45</v>
      </c>
      <c r="M1250" s="8">
        <v>733.50400000000002</v>
      </c>
      <c r="N1250" s="7">
        <v>3667.52</v>
      </c>
      <c r="O1250" t="s">
        <v>46</v>
      </c>
      <c r="P1250" t="s">
        <v>40</v>
      </c>
    </row>
    <row r="1251" spans="1:16" x14ac:dyDescent="0.25">
      <c r="A1251" s="5">
        <v>45791</v>
      </c>
      <c r="B1251" t="s">
        <v>103</v>
      </c>
      <c r="C1251" t="s">
        <v>104</v>
      </c>
      <c r="D1251" t="s">
        <v>58</v>
      </c>
      <c r="E1251" t="s">
        <v>124</v>
      </c>
      <c r="F1251" t="s">
        <v>89</v>
      </c>
      <c r="G1251" t="s">
        <v>1376</v>
      </c>
      <c r="H1251" s="6">
        <v>65</v>
      </c>
      <c r="I1251" s="7">
        <v>76.489999999999995</v>
      </c>
      <c r="J1251" s="7">
        <v>4972.12</v>
      </c>
      <c r="K1251" s="6">
        <v>30</v>
      </c>
      <c r="L1251" t="s">
        <v>45</v>
      </c>
      <c r="M1251" s="8">
        <v>994.42399999999998</v>
      </c>
      <c r="N1251" s="7">
        <v>4972.12</v>
      </c>
      <c r="O1251" t="s">
        <v>46</v>
      </c>
      <c r="P1251" t="s">
        <v>40</v>
      </c>
    </row>
    <row r="1252" spans="1:16" x14ac:dyDescent="0.25">
      <c r="A1252" s="5">
        <v>46013</v>
      </c>
      <c r="B1252" t="s">
        <v>121</v>
      </c>
      <c r="C1252" t="s">
        <v>122</v>
      </c>
      <c r="D1252" t="s">
        <v>34</v>
      </c>
      <c r="E1252" t="s">
        <v>132</v>
      </c>
      <c r="F1252" t="s">
        <v>71</v>
      </c>
      <c r="G1252" t="s">
        <v>1377</v>
      </c>
      <c r="H1252" s="6">
        <v>4</v>
      </c>
      <c r="I1252" s="7">
        <v>113.96</v>
      </c>
      <c r="J1252" s="7">
        <v>455.85</v>
      </c>
      <c r="K1252" s="6">
        <v>30</v>
      </c>
      <c r="L1252" t="s">
        <v>52</v>
      </c>
      <c r="M1252" s="8">
        <v>91.17</v>
      </c>
      <c r="N1252" s="7">
        <v>455.85</v>
      </c>
      <c r="O1252" t="s">
        <v>46</v>
      </c>
      <c r="P1252" t="s">
        <v>40</v>
      </c>
    </row>
    <row r="1253" spans="1:16" x14ac:dyDescent="0.25">
      <c r="A1253" s="5">
        <v>45885</v>
      </c>
      <c r="B1253" t="s">
        <v>67</v>
      </c>
      <c r="C1253" t="s">
        <v>68</v>
      </c>
      <c r="D1253" t="s">
        <v>69</v>
      </c>
      <c r="E1253" t="s">
        <v>124</v>
      </c>
      <c r="F1253" t="s">
        <v>89</v>
      </c>
      <c r="G1253" t="s">
        <v>1378</v>
      </c>
      <c r="H1253" s="6">
        <v>18</v>
      </c>
      <c r="I1253" s="7">
        <v>284.69</v>
      </c>
      <c r="J1253" s="7">
        <v>5124.3999999999996</v>
      </c>
      <c r="K1253" s="6">
        <v>30</v>
      </c>
      <c r="L1253" t="s">
        <v>45</v>
      </c>
      <c r="M1253" s="8">
        <v>1024.8800000000001</v>
      </c>
      <c r="N1253" s="7">
        <v>5124.3999999999996</v>
      </c>
      <c r="O1253" t="s">
        <v>46</v>
      </c>
      <c r="P1253" t="s">
        <v>40</v>
      </c>
    </row>
    <row r="1254" spans="1:16" x14ac:dyDescent="0.25">
      <c r="A1254" s="5">
        <v>45952</v>
      </c>
      <c r="B1254" t="s">
        <v>77</v>
      </c>
      <c r="C1254" t="s">
        <v>78</v>
      </c>
      <c r="D1254" t="s">
        <v>58</v>
      </c>
      <c r="E1254" t="s">
        <v>149</v>
      </c>
      <c r="F1254" t="s">
        <v>60</v>
      </c>
      <c r="G1254" t="s">
        <v>1379</v>
      </c>
      <c r="H1254" s="6">
        <v>11</v>
      </c>
      <c r="I1254" s="7">
        <v>73.48</v>
      </c>
      <c r="J1254" s="7">
        <v>808.33</v>
      </c>
      <c r="K1254" s="6">
        <v>30</v>
      </c>
      <c r="L1254" t="s">
        <v>38</v>
      </c>
      <c r="M1254" s="8">
        <v>161.666</v>
      </c>
      <c r="N1254" s="7">
        <v>808.33</v>
      </c>
      <c r="O1254" t="s">
        <v>46</v>
      </c>
      <c r="P1254" t="s">
        <v>40</v>
      </c>
    </row>
    <row r="1255" spans="1:16" x14ac:dyDescent="0.25">
      <c r="A1255" s="5">
        <v>46009</v>
      </c>
      <c r="B1255" t="s">
        <v>91</v>
      </c>
      <c r="C1255" t="s">
        <v>92</v>
      </c>
      <c r="D1255" t="s">
        <v>64</v>
      </c>
      <c r="E1255" t="s">
        <v>124</v>
      </c>
      <c r="F1255" t="s">
        <v>89</v>
      </c>
      <c r="G1255" t="s">
        <v>1380</v>
      </c>
      <c r="H1255" s="6">
        <v>53</v>
      </c>
      <c r="I1255" s="7">
        <v>221.12</v>
      </c>
      <c r="J1255" s="7">
        <v>11719.15</v>
      </c>
      <c r="K1255" s="6">
        <v>45</v>
      </c>
      <c r="L1255" t="s">
        <v>45</v>
      </c>
      <c r="M1255" s="8">
        <v>2343.83</v>
      </c>
      <c r="N1255" s="7">
        <v>11719.15</v>
      </c>
      <c r="O1255" t="s">
        <v>46</v>
      </c>
      <c r="P1255" t="s">
        <v>40</v>
      </c>
    </row>
    <row r="1256" spans="1:16" x14ac:dyDescent="0.25">
      <c r="A1256" s="5">
        <v>45746</v>
      </c>
      <c r="B1256" t="s">
        <v>85</v>
      </c>
      <c r="C1256" t="s">
        <v>86</v>
      </c>
      <c r="D1256" t="s">
        <v>58</v>
      </c>
      <c r="E1256" t="s">
        <v>88</v>
      </c>
      <c r="F1256" t="s">
        <v>89</v>
      </c>
      <c r="G1256" t="s">
        <v>1381</v>
      </c>
      <c r="H1256" s="6">
        <v>76</v>
      </c>
      <c r="I1256" s="7">
        <v>353.6</v>
      </c>
      <c r="J1256" s="7">
        <v>26873.83</v>
      </c>
      <c r="K1256" s="6">
        <v>45</v>
      </c>
      <c r="L1256" t="s">
        <v>45</v>
      </c>
      <c r="M1256" s="8">
        <v>5374.7659999999996</v>
      </c>
      <c r="N1256" s="7">
        <v>26873.83</v>
      </c>
      <c r="O1256" t="s">
        <v>46</v>
      </c>
      <c r="P1256" t="s">
        <v>40</v>
      </c>
    </row>
    <row r="1257" spans="1:16" x14ac:dyDescent="0.25">
      <c r="A1257" s="5">
        <v>45846</v>
      </c>
      <c r="B1257" t="s">
        <v>85</v>
      </c>
      <c r="C1257" t="s">
        <v>86</v>
      </c>
      <c r="D1257" t="s">
        <v>58</v>
      </c>
      <c r="E1257" t="s">
        <v>75</v>
      </c>
      <c r="F1257" t="s">
        <v>36</v>
      </c>
      <c r="G1257" t="s">
        <v>1382</v>
      </c>
      <c r="H1257" s="6">
        <v>24</v>
      </c>
      <c r="I1257" s="7">
        <v>33.42</v>
      </c>
      <c r="J1257" s="7">
        <v>802.02</v>
      </c>
      <c r="K1257" s="6">
        <v>45</v>
      </c>
      <c r="L1257" t="s">
        <v>45</v>
      </c>
      <c r="M1257" s="8">
        <v>160.404</v>
      </c>
      <c r="N1257" s="7">
        <v>802.02</v>
      </c>
      <c r="O1257" t="s">
        <v>46</v>
      </c>
      <c r="P1257" t="s">
        <v>40</v>
      </c>
    </row>
    <row r="1258" spans="1:16" x14ac:dyDescent="0.25">
      <c r="A1258" s="5">
        <v>45669</v>
      </c>
      <c r="B1258" t="s">
        <v>56</v>
      </c>
      <c r="C1258" t="s">
        <v>57</v>
      </c>
      <c r="D1258" t="s">
        <v>58</v>
      </c>
      <c r="E1258" t="s">
        <v>135</v>
      </c>
      <c r="F1258" t="s">
        <v>54</v>
      </c>
      <c r="G1258" t="s">
        <v>1383</v>
      </c>
      <c r="H1258" s="6">
        <v>72</v>
      </c>
      <c r="I1258" s="7">
        <v>627.27</v>
      </c>
      <c r="J1258" s="7">
        <v>45163.38</v>
      </c>
      <c r="K1258" s="6">
        <v>60</v>
      </c>
      <c r="L1258" t="s">
        <v>52</v>
      </c>
      <c r="M1258" s="8">
        <v>9032.6759999999995</v>
      </c>
      <c r="N1258" s="7">
        <v>45163.38</v>
      </c>
      <c r="O1258" t="s">
        <v>46</v>
      </c>
      <c r="P1258" t="s">
        <v>40</v>
      </c>
    </row>
    <row r="1259" spans="1:16" x14ac:dyDescent="0.25">
      <c r="A1259" s="5">
        <v>45894</v>
      </c>
      <c r="B1259" t="s">
        <v>201</v>
      </c>
      <c r="C1259" t="s">
        <v>202</v>
      </c>
      <c r="D1259" t="s">
        <v>64</v>
      </c>
      <c r="E1259" t="s">
        <v>135</v>
      </c>
      <c r="F1259" t="s">
        <v>54</v>
      </c>
      <c r="G1259" t="s">
        <v>1384</v>
      </c>
      <c r="H1259" s="6">
        <v>26</v>
      </c>
      <c r="I1259" s="7">
        <v>314.79000000000002</v>
      </c>
      <c r="J1259" s="7">
        <v>8184.67</v>
      </c>
      <c r="K1259" s="6">
        <v>45</v>
      </c>
      <c r="L1259" t="s">
        <v>52</v>
      </c>
      <c r="M1259" s="8">
        <v>1636.934</v>
      </c>
      <c r="N1259" s="7">
        <v>8184.67</v>
      </c>
      <c r="O1259" t="s">
        <v>46</v>
      </c>
      <c r="P1259" t="s">
        <v>40</v>
      </c>
    </row>
    <row r="1260" spans="1:16" x14ac:dyDescent="0.25">
      <c r="A1260" s="5">
        <v>45974</v>
      </c>
      <c r="B1260" t="s">
        <v>121</v>
      </c>
      <c r="C1260" t="s">
        <v>122</v>
      </c>
      <c r="D1260" t="s">
        <v>34</v>
      </c>
      <c r="E1260" t="s">
        <v>210</v>
      </c>
      <c r="F1260" t="s">
        <v>50</v>
      </c>
      <c r="G1260" t="s">
        <v>1385</v>
      </c>
      <c r="H1260" s="6">
        <v>55</v>
      </c>
      <c r="I1260" s="7">
        <v>81.430000000000007</v>
      </c>
      <c r="J1260" s="7">
        <v>4478.6099999999997</v>
      </c>
      <c r="K1260" s="6">
        <v>60</v>
      </c>
      <c r="L1260" t="s">
        <v>45</v>
      </c>
      <c r="M1260" s="8">
        <v>895.72199999999998</v>
      </c>
      <c r="N1260" s="7">
        <v>4478.6099999999997</v>
      </c>
      <c r="O1260" t="s">
        <v>46</v>
      </c>
      <c r="P1260" t="s">
        <v>40</v>
      </c>
    </row>
    <row r="1261" spans="1:16" x14ac:dyDescent="0.25">
      <c r="A1261" s="5">
        <v>45745</v>
      </c>
      <c r="B1261" t="s">
        <v>41</v>
      </c>
      <c r="C1261" t="s">
        <v>42</v>
      </c>
      <c r="D1261" t="s">
        <v>34</v>
      </c>
      <c r="E1261" t="s">
        <v>75</v>
      </c>
      <c r="F1261" t="s">
        <v>36</v>
      </c>
      <c r="G1261" t="s">
        <v>1386</v>
      </c>
      <c r="H1261" s="6">
        <v>73</v>
      </c>
      <c r="I1261" s="7">
        <v>63.04</v>
      </c>
      <c r="J1261" s="7">
        <v>4601.67</v>
      </c>
      <c r="K1261" s="6">
        <v>30</v>
      </c>
      <c r="L1261" t="s">
        <v>38</v>
      </c>
      <c r="M1261" s="8">
        <v>920.33399999999995</v>
      </c>
      <c r="N1261" s="7">
        <v>4601.67</v>
      </c>
      <c r="O1261" t="s">
        <v>46</v>
      </c>
      <c r="P1261" t="s">
        <v>40</v>
      </c>
    </row>
    <row r="1262" spans="1:16" x14ac:dyDescent="0.25">
      <c r="A1262" s="5">
        <v>46002</v>
      </c>
      <c r="B1262" t="s">
        <v>62</v>
      </c>
      <c r="C1262" t="s">
        <v>63</v>
      </c>
      <c r="D1262" t="s">
        <v>64</v>
      </c>
      <c r="E1262" t="s">
        <v>96</v>
      </c>
      <c r="F1262" t="s">
        <v>97</v>
      </c>
      <c r="G1262" t="s">
        <v>1387</v>
      </c>
      <c r="H1262" s="6">
        <v>64</v>
      </c>
      <c r="I1262" s="7">
        <v>407.83</v>
      </c>
      <c r="J1262" s="7">
        <v>26101.43</v>
      </c>
      <c r="K1262" s="6">
        <v>30</v>
      </c>
      <c r="L1262" t="s">
        <v>38</v>
      </c>
      <c r="M1262" s="8">
        <v>5220.2860000000001</v>
      </c>
      <c r="N1262" s="7">
        <v>26101.43</v>
      </c>
      <c r="O1262" t="s">
        <v>46</v>
      </c>
      <c r="P1262" t="s">
        <v>40</v>
      </c>
    </row>
    <row r="1263" spans="1:16" x14ac:dyDescent="0.25">
      <c r="A1263" s="5">
        <v>45794</v>
      </c>
      <c r="B1263" t="s">
        <v>73</v>
      </c>
      <c r="C1263" t="s">
        <v>74</v>
      </c>
      <c r="D1263" t="s">
        <v>69</v>
      </c>
      <c r="E1263" t="s">
        <v>135</v>
      </c>
      <c r="F1263" t="s">
        <v>54</v>
      </c>
      <c r="G1263" t="s">
        <v>1388</v>
      </c>
      <c r="H1263" s="6">
        <v>37</v>
      </c>
      <c r="I1263" s="7">
        <v>260.67</v>
      </c>
      <c r="J1263" s="7">
        <v>9644.8700000000008</v>
      </c>
      <c r="K1263" s="6">
        <v>60</v>
      </c>
      <c r="L1263" t="s">
        <v>45</v>
      </c>
      <c r="M1263" s="8">
        <v>1928.9739999999999</v>
      </c>
      <c r="N1263" s="7">
        <v>9644.8700000000008</v>
      </c>
      <c r="O1263" t="s">
        <v>46</v>
      </c>
      <c r="P1263" t="s">
        <v>40</v>
      </c>
    </row>
    <row r="1264" spans="1:16" x14ac:dyDescent="0.25">
      <c r="A1264" s="5">
        <v>45763</v>
      </c>
      <c r="B1264" t="s">
        <v>118</v>
      </c>
      <c r="C1264" t="s">
        <v>119</v>
      </c>
      <c r="D1264" t="s">
        <v>64</v>
      </c>
      <c r="E1264" t="s">
        <v>88</v>
      </c>
      <c r="F1264" t="s">
        <v>89</v>
      </c>
      <c r="G1264" t="s">
        <v>1389</v>
      </c>
      <c r="H1264" s="6">
        <v>77</v>
      </c>
      <c r="I1264" s="7">
        <v>242.08</v>
      </c>
      <c r="J1264" s="7">
        <v>18640.240000000002</v>
      </c>
      <c r="K1264" s="6">
        <v>30</v>
      </c>
      <c r="L1264" t="s">
        <v>45</v>
      </c>
      <c r="M1264" s="8">
        <v>3728.0479999999998</v>
      </c>
      <c r="N1264" s="7">
        <v>18640.240000000002</v>
      </c>
      <c r="O1264" t="s">
        <v>46</v>
      </c>
      <c r="P1264" t="s">
        <v>40</v>
      </c>
    </row>
    <row r="1265" spans="1:16" x14ac:dyDescent="0.25">
      <c r="A1265" s="5">
        <v>45750</v>
      </c>
      <c r="B1265" t="s">
        <v>77</v>
      </c>
      <c r="C1265" t="s">
        <v>78</v>
      </c>
      <c r="D1265" t="s">
        <v>58</v>
      </c>
      <c r="E1265" t="s">
        <v>65</v>
      </c>
      <c r="F1265" t="s">
        <v>54</v>
      </c>
      <c r="G1265" t="s">
        <v>1390</v>
      </c>
      <c r="H1265" s="6">
        <v>53</v>
      </c>
      <c r="I1265" s="7">
        <v>150.66999999999999</v>
      </c>
      <c r="J1265" s="7">
        <v>7985.5</v>
      </c>
      <c r="K1265" s="6">
        <v>30</v>
      </c>
      <c r="L1265" t="s">
        <v>38</v>
      </c>
      <c r="M1265" s="8">
        <v>1597.1</v>
      </c>
      <c r="N1265" s="7">
        <v>7985.5</v>
      </c>
      <c r="O1265" t="s">
        <v>46</v>
      </c>
      <c r="P1265" t="s">
        <v>40</v>
      </c>
    </row>
    <row r="1266" spans="1:16" x14ac:dyDescent="0.25">
      <c r="A1266" s="5">
        <v>45974</v>
      </c>
      <c r="B1266" t="s">
        <v>143</v>
      </c>
      <c r="C1266" t="s">
        <v>144</v>
      </c>
      <c r="D1266" t="s">
        <v>69</v>
      </c>
      <c r="E1266" t="s">
        <v>59</v>
      </c>
      <c r="F1266" t="s">
        <v>60</v>
      </c>
      <c r="G1266" t="s">
        <v>1391</v>
      </c>
      <c r="H1266" s="6">
        <v>58</v>
      </c>
      <c r="I1266" s="7">
        <v>241.48</v>
      </c>
      <c r="J1266" s="7">
        <v>14005.69</v>
      </c>
      <c r="K1266" s="6">
        <v>30</v>
      </c>
      <c r="L1266" t="s">
        <v>45</v>
      </c>
      <c r="M1266" s="8">
        <v>2801.1379999999999</v>
      </c>
      <c r="N1266" s="7">
        <v>14005.69</v>
      </c>
      <c r="O1266" t="s">
        <v>39</v>
      </c>
      <c r="P1266" t="s">
        <v>40</v>
      </c>
    </row>
    <row r="1267" spans="1:16" x14ac:dyDescent="0.25">
      <c r="A1267" s="5">
        <v>45663</v>
      </c>
      <c r="B1267" t="s">
        <v>47</v>
      </c>
      <c r="C1267" t="s">
        <v>48</v>
      </c>
      <c r="D1267" t="s">
        <v>34</v>
      </c>
      <c r="E1267" t="s">
        <v>107</v>
      </c>
      <c r="F1267" t="s">
        <v>108</v>
      </c>
      <c r="G1267" t="s">
        <v>1392</v>
      </c>
      <c r="H1267" s="6">
        <v>61</v>
      </c>
      <c r="I1267" s="7">
        <v>34.47</v>
      </c>
      <c r="J1267" s="7">
        <v>2102.37</v>
      </c>
      <c r="K1267" s="6">
        <v>30</v>
      </c>
      <c r="L1267" t="s">
        <v>45</v>
      </c>
      <c r="M1267" s="8">
        <v>420.47399999999999</v>
      </c>
      <c r="N1267" s="7">
        <v>2102.37</v>
      </c>
      <c r="O1267" t="s">
        <v>46</v>
      </c>
      <c r="P1267" t="s">
        <v>40</v>
      </c>
    </row>
    <row r="1268" spans="1:16" x14ac:dyDescent="0.25">
      <c r="A1268" s="5">
        <v>45766</v>
      </c>
      <c r="B1268" t="s">
        <v>100</v>
      </c>
      <c r="C1268" t="s">
        <v>101</v>
      </c>
      <c r="D1268" t="s">
        <v>69</v>
      </c>
      <c r="E1268" t="s">
        <v>105</v>
      </c>
      <c r="F1268" t="s">
        <v>97</v>
      </c>
      <c r="G1268" t="s">
        <v>1393</v>
      </c>
      <c r="H1268" s="6">
        <v>50</v>
      </c>
      <c r="I1268" s="7">
        <v>282.2</v>
      </c>
      <c r="J1268" s="7">
        <v>14109.89</v>
      </c>
      <c r="K1268" s="6">
        <v>60</v>
      </c>
      <c r="L1268" t="s">
        <v>45</v>
      </c>
      <c r="M1268" s="8">
        <v>2821.9780000000001</v>
      </c>
      <c r="N1268" s="7">
        <v>14109.89</v>
      </c>
      <c r="O1268" t="s">
        <v>46</v>
      </c>
      <c r="P1268" t="s">
        <v>40</v>
      </c>
    </row>
    <row r="1269" spans="1:16" x14ac:dyDescent="0.25">
      <c r="A1269" s="5">
        <v>45706</v>
      </c>
      <c r="B1269" t="s">
        <v>80</v>
      </c>
      <c r="C1269" t="s">
        <v>81</v>
      </c>
      <c r="D1269" t="s">
        <v>64</v>
      </c>
      <c r="E1269" t="s">
        <v>59</v>
      </c>
      <c r="F1269" t="s">
        <v>60</v>
      </c>
      <c r="G1269" t="s">
        <v>1394</v>
      </c>
      <c r="H1269" s="6">
        <v>72</v>
      </c>
      <c r="I1269" s="7">
        <v>133.82</v>
      </c>
      <c r="J1269" s="7">
        <v>9634.8700000000008</v>
      </c>
      <c r="K1269" s="6">
        <v>30</v>
      </c>
      <c r="L1269" t="s">
        <v>38</v>
      </c>
      <c r="M1269" s="8">
        <v>1926.9739999999999</v>
      </c>
      <c r="N1269" s="7">
        <v>9634.8700000000008</v>
      </c>
      <c r="O1269" t="s">
        <v>39</v>
      </c>
      <c r="P1269" t="s">
        <v>40</v>
      </c>
    </row>
    <row r="1270" spans="1:16" x14ac:dyDescent="0.25">
      <c r="A1270" s="5">
        <v>45839</v>
      </c>
      <c r="B1270" t="s">
        <v>91</v>
      </c>
      <c r="C1270" t="s">
        <v>92</v>
      </c>
      <c r="D1270" t="s">
        <v>64</v>
      </c>
      <c r="E1270" t="s">
        <v>65</v>
      </c>
      <c r="F1270" t="s">
        <v>54</v>
      </c>
      <c r="G1270" t="s">
        <v>1395</v>
      </c>
      <c r="H1270" s="6">
        <v>78</v>
      </c>
      <c r="I1270" s="7">
        <v>166.82</v>
      </c>
      <c r="J1270" s="7">
        <v>13012.01</v>
      </c>
      <c r="K1270" s="6">
        <v>60</v>
      </c>
      <c r="L1270" t="s">
        <v>52</v>
      </c>
      <c r="M1270" s="8">
        <v>2602.402</v>
      </c>
      <c r="N1270" s="7">
        <v>13012.01</v>
      </c>
      <c r="O1270" t="s">
        <v>46</v>
      </c>
      <c r="P1270" t="s">
        <v>40</v>
      </c>
    </row>
    <row r="1271" spans="1:16" x14ac:dyDescent="0.25">
      <c r="A1271" s="5">
        <v>45787</v>
      </c>
      <c r="B1271" t="s">
        <v>103</v>
      </c>
      <c r="C1271" t="s">
        <v>104</v>
      </c>
      <c r="D1271" t="s">
        <v>58</v>
      </c>
      <c r="E1271" t="s">
        <v>49</v>
      </c>
      <c r="F1271" t="s">
        <v>50</v>
      </c>
      <c r="G1271" t="s">
        <v>1396</v>
      </c>
      <c r="H1271" s="6">
        <v>65</v>
      </c>
      <c r="I1271" s="7">
        <v>236.83</v>
      </c>
      <c r="J1271" s="7">
        <v>15393.96</v>
      </c>
      <c r="K1271" s="6">
        <v>60</v>
      </c>
      <c r="L1271" t="s">
        <v>45</v>
      </c>
      <c r="M1271" s="8">
        <v>3078.7919999999999</v>
      </c>
      <c r="N1271" s="7">
        <v>15393.96</v>
      </c>
      <c r="O1271" t="s">
        <v>39</v>
      </c>
      <c r="P1271" t="s">
        <v>40</v>
      </c>
    </row>
    <row r="1272" spans="1:16" x14ac:dyDescent="0.25">
      <c r="A1272" s="5">
        <v>45847</v>
      </c>
      <c r="B1272" t="s">
        <v>110</v>
      </c>
      <c r="C1272" t="s">
        <v>111</v>
      </c>
      <c r="D1272" t="s">
        <v>58</v>
      </c>
      <c r="E1272" t="s">
        <v>105</v>
      </c>
      <c r="F1272" t="s">
        <v>97</v>
      </c>
      <c r="G1272" t="s">
        <v>1397</v>
      </c>
      <c r="H1272" s="6">
        <v>17</v>
      </c>
      <c r="I1272" s="7">
        <v>546.76</v>
      </c>
      <c r="J1272" s="7">
        <v>9294.86</v>
      </c>
      <c r="K1272" s="6">
        <v>60</v>
      </c>
      <c r="L1272" t="s">
        <v>38</v>
      </c>
      <c r="M1272" s="8">
        <v>1858.972</v>
      </c>
      <c r="N1272" s="7">
        <v>9294.86</v>
      </c>
      <c r="O1272" t="s">
        <v>46</v>
      </c>
      <c r="P1272" t="s">
        <v>40</v>
      </c>
    </row>
    <row r="1273" spans="1:16" x14ac:dyDescent="0.25">
      <c r="A1273" s="5">
        <v>45744</v>
      </c>
      <c r="B1273" t="s">
        <v>103</v>
      </c>
      <c r="C1273" t="s">
        <v>104</v>
      </c>
      <c r="D1273" t="s">
        <v>58</v>
      </c>
      <c r="E1273" t="s">
        <v>88</v>
      </c>
      <c r="F1273" t="s">
        <v>89</v>
      </c>
      <c r="G1273" t="s">
        <v>1398</v>
      </c>
      <c r="H1273" s="6">
        <v>65</v>
      </c>
      <c r="I1273" s="7">
        <v>251.64</v>
      </c>
      <c r="J1273" s="7">
        <v>16356.33</v>
      </c>
      <c r="K1273" s="6">
        <v>45</v>
      </c>
      <c r="L1273" t="s">
        <v>45</v>
      </c>
      <c r="M1273" s="8">
        <v>3271.2660000000001</v>
      </c>
      <c r="N1273" s="7">
        <v>16356.33</v>
      </c>
      <c r="O1273" t="s">
        <v>46</v>
      </c>
      <c r="P1273" t="s">
        <v>40</v>
      </c>
    </row>
    <row r="1274" spans="1:16" x14ac:dyDescent="0.25">
      <c r="A1274" s="5">
        <v>45820</v>
      </c>
      <c r="B1274" t="s">
        <v>56</v>
      </c>
      <c r="C1274" t="s">
        <v>57</v>
      </c>
      <c r="D1274" t="s">
        <v>58</v>
      </c>
      <c r="E1274" t="s">
        <v>154</v>
      </c>
      <c r="F1274" t="s">
        <v>89</v>
      </c>
      <c r="G1274" t="s">
        <v>1399</v>
      </c>
      <c r="H1274" s="6">
        <v>68</v>
      </c>
      <c r="I1274" s="7">
        <v>98.71</v>
      </c>
      <c r="J1274" s="7">
        <v>6712.27</v>
      </c>
      <c r="K1274" s="6">
        <v>45</v>
      </c>
      <c r="L1274" t="s">
        <v>38</v>
      </c>
      <c r="M1274" s="8">
        <v>1342.454</v>
      </c>
      <c r="N1274" s="7">
        <v>6712.27</v>
      </c>
      <c r="O1274" t="s">
        <v>39</v>
      </c>
      <c r="P1274" t="s">
        <v>40</v>
      </c>
    </row>
    <row r="1275" spans="1:16" x14ac:dyDescent="0.25">
      <c r="A1275" s="5">
        <v>45680</v>
      </c>
      <c r="B1275" t="s">
        <v>41</v>
      </c>
      <c r="C1275" t="s">
        <v>42</v>
      </c>
      <c r="D1275" t="s">
        <v>34</v>
      </c>
      <c r="E1275" t="s">
        <v>75</v>
      </c>
      <c r="F1275" t="s">
        <v>36</v>
      </c>
      <c r="G1275" t="s">
        <v>1400</v>
      </c>
      <c r="H1275" s="6">
        <v>17</v>
      </c>
      <c r="I1275" s="7">
        <v>54.62</v>
      </c>
      <c r="J1275" s="7">
        <v>928.51</v>
      </c>
      <c r="K1275" s="6">
        <v>45</v>
      </c>
      <c r="L1275" t="s">
        <v>45</v>
      </c>
      <c r="M1275" s="8">
        <v>185.702</v>
      </c>
      <c r="N1275" s="7">
        <v>928.51</v>
      </c>
      <c r="O1275" t="s">
        <v>46</v>
      </c>
      <c r="P1275" t="s">
        <v>40</v>
      </c>
    </row>
    <row r="1276" spans="1:16" x14ac:dyDescent="0.25">
      <c r="A1276" s="5">
        <v>45802</v>
      </c>
      <c r="B1276" t="s">
        <v>73</v>
      </c>
      <c r="C1276" t="s">
        <v>74</v>
      </c>
      <c r="D1276" t="s">
        <v>69</v>
      </c>
      <c r="E1276" t="s">
        <v>132</v>
      </c>
      <c r="F1276" t="s">
        <v>71</v>
      </c>
      <c r="G1276" t="s">
        <v>1401</v>
      </c>
      <c r="H1276" s="6">
        <v>34</v>
      </c>
      <c r="I1276" s="7">
        <v>185.13</v>
      </c>
      <c r="J1276" s="7">
        <v>6294.56</v>
      </c>
      <c r="K1276" s="6">
        <v>60</v>
      </c>
      <c r="L1276" t="s">
        <v>45</v>
      </c>
      <c r="M1276" s="8">
        <v>1258.912</v>
      </c>
      <c r="N1276" s="7">
        <v>6294.56</v>
      </c>
      <c r="O1276" t="s">
        <v>46</v>
      </c>
      <c r="P1276" t="s">
        <v>40</v>
      </c>
    </row>
    <row r="1277" spans="1:16" x14ac:dyDescent="0.25">
      <c r="A1277" s="5">
        <v>45742</v>
      </c>
      <c r="B1277" t="s">
        <v>56</v>
      </c>
      <c r="C1277" t="s">
        <v>57</v>
      </c>
      <c r="D1277" t="s">
        <v>58</v>
      </c>
      <c r="E1277" t="s">
        <v>132</v>
      </c>
      <c r="F1277" t="s">
        <v>71</v>
      </c>
      <c r="G1277" t="s">
        <v>1402</v>
      </c>
      <c r="H1277" s="6">
        <v>41</v>
      </c>
      <c r="I1277" s="7">
        <v>102.7</v>
      </c>
      <c r="J1277" s="7">
        <v>4210.74</v>
      </c>
      <c r="K1277" s="6">
        <v>60</v>
      </c>
      <c r="L1277" t="s">
        <v>45</v>
      </c>
      <c r="M1277" s="8">
        <v>842.14800000000002</v>
      </c>
      <c r="N1277" s="7">
        <v>4210.74</v>
      </c>
      <c r="O1277" t="s">
        <v>46</v>
      </c>
      <c r="P1277" t="s">
        <v>40</v>
      </c>
    </row>
    <row r="1278" spans="1:16" x14ac:dyDescent="0.25">
      <c r="A1278" s="5">
        <v>45754</v>
      </c>
      <c r="B1278" t="s">
        <v>67</v>
      </c>
      <c r="C1278" t="s">
        <v>68</v>
      </c>
      <c r="D1278" t="s">
        <v>69</v>
      </c>
      <c r="E1278" t="s">
        <v>107</v>
      </c>
      <c r="F1278" t="s">
        <v>108</v>
      </c>
      <c r="G1278" t="s">
        <v>1403</v>
      </c>
      <c r="H1278" s="6">
        <v>20</v>
      </c>
      <c r="I1278" s="7">
        <v>268.57</v>
      </c>
      <c r="J1278" s="7">
        <v>5371.44</v>
      </c>
      <c r="K1278" s="6">
        <v>30</v>
      </c>
      <c r="L1278" t="s">
        <v>38</v>
      </c>
      <c r="M1278" s="8">
        <v>1074.288</v>
      </c>
      <c r="N1278" s="7">
        <v>5371.44</v>
      </c>
      <c r="O1278" t="s">
        <v>46</v>
      </c>
      <c r="P1278" t="s">
        <v>40</v>
      </c>
    </row>
    <row r="1279" spans="1:16" x14ac:dyDescent="0.25">
      <c r="A1279" s="5">
        <v>45791</v>
      </c>
      <c r="B1279" t="s">
        <v>41</v>
      </c>
      <c r="C1279" t="s">
        <v>42</v>
      </c>
      <c r="D1279" t="s">
        <v>34</v>
      </c>
      <c r="E1279" t="s">
        <v>210</v>
      </c>
      <c r="F1279" t="s">
        <v>50</v>
      </c>
      <c r="G1279" t="s">
        <v>1404</v>
      </c>
      <c r="H1279" s="6">
        <v>21</v>
      </c>
      <c r="I1279" s="7">
        <v>148.97999999999999</v>
      </c>
      <c r="J1279" s="7">
        <v>3128.59</v>
      </c>
      <c r="K1279" s="6">
        <v>60</v>
      </c>
      <c r="L1279" t="s">
        <v>45</v>
      </c>
      <c r="M1279" s="8">
        <v>625.71799999999996</v>
      </c>
      <c r="N1279" s="7">
        <v>3128.59</v>
      </c>
      <c r="O1279" t="s">
        <v>46</v>
      </c>
      <c r="P1279" t="s">
        <v>40</v>
      </c>
    </row>
    <row r="1280" spans="1:16" x14ac:dyDescent="0.25">
      <c r="A1280" s="5">
        <v>45678</v>
      </c>
      <c r="B1280" t="s">
        <v>110</v>
      </c>
      <c r="C1280" t="s">
        <v>111</v>
      </c>
      <c r="D1280" t="s">
        <v>58</v>
      </c>
      <c r="E1280" t="s">
        <v>75</v>
      </c>
      <c r="F1280" t="s">
        <v>36</v>
      </c>
      <c r="G1280" t="s">
        <v>1405</v>
      </c>
      <c r="H1280" s="6">
        <v>57</v>
      </c>
      <c r="I1280" s="7">
        <v>72.239999999999995</v>
      </c>
      <c r="J1280" s="7">
        <v>4117.76</v>
      </c>
      <c r="K1280" s="6">
        <v>45</v>
      </c>
      <c r="L1280" t="s">
        <v>52</v>
      </c>
      <c r="M1280" s="8">
        <v>823.55200000000002</v>
      </c>
      <c r="N1280" s="7">
        <v>4117.76</v>
      </c>
      <c r="O1280" t="s">
        <v>46</v>
      </c>
      <c r="P1280" t="s">
        <v>40</v>
      </c>
    </row>
    <row r="1281" spans="1:16" x14ac:dyDescent="0.25">
      <c r="A1281" s="5">
        <v>45910</v>
      </c>
      <c r="B1281" t="s">
        <v>67</v>
      </c>
      <c r="C1281" t="s">
        <v>68</v>
      </c>
      <c r="D1281" t="s">
        <v>69</v>
      </c>
      <c r="E1281" t="s">
        <v>139</v>
      </c>
      <c r="F1281" t="s">
        <v>108</v>
      </c>
      <c r="G1281" t="s">
        <v>1406</v>
      </c>
      <c r="H1281" s="6">
        <v>15</v>
      </c>
      <c r="I1281" s="7">
        <v>63.27</v>
      </c>
      <c r="J1281" s="7">
        <v>949.11</v>
      </c>
      <c r="K1281" s="6">
        <v>60</v>
      </c>
      <c r="L1281" t="s">
        <v>38</v>
      </c>
      <c r="M1281" s="8">
        <v>189.822</v>
      </c>
      <c r="N1281" s="7">
        <v>949.11</v>
      </c>
      <c r="O1281" t="s">
        <v>46</v>
      </c>
      <c r="P1281" t="s">
        <v>40</v>
      </c>
    </row>
    <row r="1282" spans="1:16" x14ac:dyDescent="0.25">
      <c r="A1282" s="5">
        <v>45762</v>
      </c>
      <c r="B1282" t="s">
        <v>113</v>
      </c>
      <c r="C1282" t="s">
        <v>114</v>
      </c>
      <c r="D1282" t="s">
        <v>69</v>
      </c>
      <c r="E1282" t="s">
        <v>83</v>
      </c>
      <c r="F1282" t="s">
        <v>71</v>
      </c>
      <c r="G1282" t="s">
        <v>1407</v>
      </c>
      <c r="H1282" s="6">
        <v>37</v>
      </c>
      <c r="I1282" s="7">
        <v>102.24</v>
      </c>
      <c r="J1282" s="7">
        <v>3782.89</v>
      </c>
      <c r="K1282" s="6">
        <v>30</v>
      </c>
      <c r="L1282" t="s">
        <v>38</v>
      </c>
      <c r="M1282" s="8">
        <v>756.57799999999997</v>
      </c>
      <c r="N1282" s="7">
        <v>3782.89</v>
      </c>
      <c r="O1282" t="s">
        <v>39</v>
      </c>
      <c r="P1282" t="s">
        <v>40</v>
      </c>
    </row>
    <row r="1283" spans="1:16" x14ac:dyDescent="0.25">
      <c r="A1283" s="5">
        <v>45997</v>
      </c>
      <c r="B1283" t="s">
        <v>110</v>
      </c>
      <c r="C1283" t="s">
        <v>111</v>
      </c>
      <c r="D1283" t="s">
        <v>58</v>
      </c>
      <c r="E1283" t="s">
        <v>115</v>
      </c>
      <c r="F1283" t="s">
        <v>60</v>
      </c>
      <c r="G1283" t="s">
        <v>1408</v>
      </c>
      <c r="H1283" s="6">
        <v>75</v>
      </c>
      <c r="I1283" s="7">
        <v>202.3</v>
      </c>
      <c r="J1283" s="7">
        <v>15172.76</v>
      </c>
      <c r="K1283" s="6">
        <v>30</v>
      </c>
      <c r="L1283" t="s">
        <v>52</v>
      </c>
      <c r="M1283" s="8">
        <v>3034.5520000000001</v>
      </c>
      <c r="N1283" s="7">
        <v>15172.76</v>
      </c>
      <c r="O1283" t="s">
        <v>46</v>
      </c>
      <c r="P1283" t="s">
        <v>40</v>
      </c>
    </row>
    <row r="1284" spans="1:16" x14ac:dyDescent="0.25">
      <c r="A1284" s="5">
        <v>45697</v>
      </c>
      <c r="B1284" t="s">
        <v>118</v>
      </c>
      <c r="C1284" t="s">
        <v>119</v>
      </c>
      <c r="D1284" t="s">
        <v>64</v>
      </c>
      <c r="E1284" t="s">
        <v>88</v>
      </c>
      <c r="F1284" t="s">
        <v>89</v>
      </c>
      <c r="G1284" t="s">
        <v>1409</v>
      </c>
      <c r="H1284" s="6">
        <v>32</v>
      </c>
      <c r="I1284" s="7">
        <v>265.70999999999998</v>
      </c>
      <c r="J1284" s="7">
        <v>8502.81</v>
      </c>
      <c r="K1284" s="6">
        <v>45</v>
      </c>
      <c r="L1284" t="s">
        <v>52</v>
      </c>
      <c r="M1284" s="8">
        <v>1700.5619999999999</v>
      </c>
      <c r="N1284" s="7">
        <v>8502.81</v>
      </c>
      <c r="O1284" t="s">
        <v>46</v>
      </c>
      <c r="P1284" t="s">
        <v>40</v>
      </c>
    </row>
    <row r="1285" spans="1:16" x14ac:dyDescent="0.25">
      <c r="A1285" s="5">
        <v>45803</v>
      </c>
      <c r="B1285" t="s">
        <v>201</v>
      </c>
      <c r="C1285" t="s">
        <v>202</v>
      </c>
      <c r="D1285" t="s">
        <v>64</v>
      </c>
      <c r="E1285" t="s">
        <v>83</v>
      </c>
      <c r="F1285" t="s">
        <v>71</v>
      </c>
      <c r="G1285" t="s">
        <v>1410</v>
      </c>
      <c r="H1285" s="6">
        <v>16</v>
      </c>
      <c r="I1285" s="7">
        <v>160.78</v>
      </c>
      <c r="J1285" s="7">
        <v>2572.5500000000002</v>
      </c>
      <c r="K1285" s="6">
        <v>45</v>
      </c>
      <c r="L1285" t="s">
        <v>45</v>
      </c>
      <c r="M1285" s="8">
        <v>514.51</v>
      </c>
      <c r="N1285" s="7">
        <v>2572.5500000000002</v>
      </c>
      <c r="O1285" t="s">
        <v>39</v>
      </c>
      <c r="P1285" t="s">
        <v>40</v>
      </c>
    </row>
    <row r="1286" spans="1:16" x14ac:dyDescent="0.25">
      <c r="A1286" s="5">
        <v>45736</v>
      </c>
      <c r="B1286" t="s">
        <v>62</v>
      </c>
      <c r="C1286" t="s">
        <v>63</v>
      </c>
      <c r="D1286" t="s">
        <v>64</v>
      </c>
      <c r="E1286" t="s">
        <v>75</v>
      </c>
      <c r="F1286" t="s">
        <v>36</v>
      </c>
      <c r="G1286" t="s">
        <v>1411</v>
      </c>
      <c r="H1286" s="6">
        <v>4</v>
      </c>
      <c r="I1286" s="7">
        <v>42.19</v>
      </c>
      <c r="J1286" s="7">
        <v>168.74</v>
      </c>
      <c r="K1286" s="6">
        <v>30</v>
      </c>
      <c r="L1286" t="s">
        <v>45</v>
      </c>
      <c r="M1286" s="8">
        <v>33.747999999999998</v>
      </c>
      <c r="N1286" s="7">
        <v>168.74</v>
      </c>
      <c r="O1286" t="s">
        <v>46</v>
      </c>
      <c r="P1286" t="s">
        <v>40</v>
      </c>
    </row>
    <row r="1287" spans="1:16" x14ac:dyDescent="0.25">
      <c r="A1287" s="5">
        <v>45979</v>
      </c>
      <c r="B1287" t="s">
        <v>41</v>
      </c>
      <c r="C1287" t="s">
        <v>42</v>
      </c>
      <c r="D1287" t="s">
        <v>34</v>
      </c>
      <c r="E1287" t="s">
        <v>139</v>
      </c>
      <c r="F1287" t="s">
        <v>108</v>
      </c>
      <c r="G1287" t="s">
        <v>1412</v>
      </c>
      <c r="H1287" s="6">
        <v>35</v>
      </c>
      <c r="I1287" s="7">
        <v>36.06</v>
      </c>
      <c r="J1287" s="7">
        <v>1262.26</v>
      </c>
      <c r="K1287" s="6">
        <v>60</v>
      </c>
      <c r="L1287" t="s">
        <v>52</v>
      </c>
      <c r="M1287" s="8">
        <v>252.452</v>
      </c>
      <c r="N1287" s="7">
        <v>1262.26</v>
      </c>
      <c r="O1287" t="s">
        <v>46</v>
      </c>
      <c r="P1287" t="s">
        <v>40</v>
      </c>
    </row>
    <row r="1288" spans="1:16" x14ac:dyDescent="0.25">
      <c r="A1288" s="5">
        <v>45993</v>
      </c>
      <c r="B1288" t="s">
        <v>47</v>
      </c>
      <c r="C1288" t="s">
        <v>48</v>
      </c>
      <c r="D1288" t="s">
        <v>34</v>
      </c>
      <c r="E1288" t="s">
        <v>83</v>
      </c>
      <c r="F1288" t="s">
        <v>71</v>
      </c>
      <c r="G1288" t="s">
        <v>1413</v>
      </c>
      <c r="H1288" s="6">
        <v>80</v>
      </c>
      <c r="I1288" s="7">
        <v>34.6</v>
      </c>
      <c r="J1288" s="7">
        <v>2768.31</v>
      </c>
      <c r="K1288" s="6">
        <v>45</v>
      </c>
      <c r="L1288" t="s">
        <v>45</v>
      </c>
      <c r="M1288" s="8">
        <v>553.66200000000003</v>
      </c>
      <c r="N1288" s="7">
        <v>2768.31</v>
      </c>
      <c r="O1288" t="s">
        <v>39</v>
      </c>
      <c r="P1288" t="s">
        <v>40</v>
      </c>
    </row>
    <row r="1289" spans="1:16" x14ac:dyDescent="0.25">
      <c r="A1289" s="5">
        <v>45682</v>
      </c>
      <c r="B1289" t="s">
        <v>85</v>
      </c>
      <c r="C1289" t="s">
        <v>86</v>
      </c>
      <c r="D1289" t="s">
        <v>58</v>
      </c>
      <c r="E1289" t="s">
        <v>154</v>
      </c>
      <c r="F1289" t="s">
        <v>89</v>
      </c>
      <c r="G1289" t="s">
        <v>1414</v>
      </c>
      <c r="H1289" s="6">
        <v>37</v>
      </c>
      <c r="I1289" s="7">
        <v>238.02</v>
      </c>
      <c r="J1289" s="7">
        <v>8806.7199999999993</v>
      </c>
      <c r="K1289" s="6">
        <v>45</v>
      </c>
      <c r="L1289" t="s">
        <v>38</v>
      </c>
      <c r="M1289" s="8">
        <v>1761.3440000000001</v>
      </c>
      <c r="N1289" s="7">
        <v>8806.7199999999993</v>
      </c>
      <c r="O1289" t="s">
        <v>39</v>
      </c>
      <c r="P1289" t="s">
        <v>40</v>
      </c>
    </row>
    <row r="1290" spans="1:16" x14ac:dyDescent="0.25">
      <c r="A1290" s="5">
        <v>45966</v>
      </c>
      <c r="B1290" t="s">
        <v>113</v>
      </c>
      <c r="C1290" t="s">
        <v>114</v>
      </c>
      <c r="D1290" t="s">
        <v>69</v>
      </c>
      <c r="E1290" t="s">
        <v>43</v>
      </c>
      <c r="F1290" t="s">
        <v>36</v>
      </c>
      <c r="G1290" t="s">
        <v>1415</v>
      </c>
      <c r="H1290" s="6">
        <v>49</v>
      </c>
      <c r="I1290" s="7">
        <v>35.43</v>
      </c>
      <c r="J1290" s="7">
        <v>1736.03</v>
      </c>
      <c r="K1290" s="6">
        <v>30</v>
      </c>
      <c r="L1290" t="s">
        <v>45</v>
      </c>
      <c r="M1290" s="8">
        <v>347.20600000000002</v>
      </c>
      <c r="N1290" s="7">
        <v>1736.03</v>
      </c>
      <c r="O1290" t="s">
        <v>46</v>
      </c>
      <c r="P1290" t="s">
        <v>40</v>
      </c>
    </row>
    <row r="1291" spans="1:16" x14ac:dyDescent="0.25">
      <c r="A1291" s="5">
        <v>45862</v>
      </c>
      <c r="B1291" t="s">
        <v>143</v>
      </c>
      <c r="C1291" t="s">
        <v>144</v>
      </c>
      <c r="D1291" t="s">
        <v>69</v>
      </c>
      <c r="E1291" t="s">
        <v>154</v>
      </c>
      <c r="F1291" t="s">
        <v>89</v>
      </c>
      <c r="G1291" t="s">
        <v>1416</v>
      </c>
      <c r="H1291" s="6">
        <v>12</v>
      </c>
      <c r="I1291" s="7">
        <v>55.08</v>
      </c>
      <c r="J1291" s="7">
        <v>661.01</v>
      </c>
      <c r="K1291" s="6">
        <v>30</v>
      </c>
      <c r="L1291" t="s">
        <v>38</v>
      </c>
      <c r="M1291" s="8">
        <v>132.202</v>
      </c>
      <c r="N1291" s="7">
        <v>661.01</v>
      </c>
      <c r="O1291" t="s">
        <v>39</v>
      </c>
      <c r="P1291" t="s">
        <v>40</v>
      </c>
    </row>
    <row r="1292" spans="1:16" x14ac:dyDescent="0.25">
      <c r="A1292" s="5">
        <v>45803</v>
      </c>
      <c r="B1292" t="s">
        <v>41</v>
      </c>
      <c r="C1292" t="s">
        <v>42</v>
      </c>
      <c r="D1292" t="s">
        <v>34</v>
      </c>
      <c r="E1292" t="s">
        <v>96</v>
      </c>
      <c r="F1292" t="s">
        <v>97</v>
      </c>
      <c r="G1292" t="s">
        <v>1417</v>
      </c>
      <c r="H1292" s="6">
        <v>20</v>
      </c>
      <c r="I1292" s="7">
        <v>371.48</v>
      </c>
      <c r="J1292" s="7">
        <v>7429.64</v>
      </c>
      <c r="K1292" s="6">
        <v>30</v>
      </c>
      <c r="L1292" t="s">
        <v>45</v>
      </c>
      <c r="M1292" s="8">
        <v>1485.9280000000001</v>
      </c>
      <c r="N1292" s="7">
        <v>7429.64</v>
      </c>
      <c r="O1292" t="s">
        <v>46</v>
      </c>
      <c r="P1292" t="s">
        <v>40</v>
      </c>
    </row>
    <row r="1293" spans="1:16" x14ac:dyDescent="0.25">
      <c r="A1293" s="5">
        <v>45816</v>
      </c>
      <c r="B1293" t="s">
        <v>100</v>
      </c>
      <c r="C1293" t="s">
        <v>101</v>
      </c>
      <c r="D1293" t="s">
        <v>69</v>
      </c>
      <c r="E1293" t="s">
        <v>105</v>
      </c>
      <c r="F1293" t="s">
        <v>97</v>
      </c>
      <c r="G1293" t="s">
        <v>1418</v>
      </c>
      <c r="H1293" s="6">
        <v>78</v>
      </c>
      <c r="I1293" s="7">
        <v>1181.96</v>
      </c>
      <c r="J1293" s="7">
        <v>92193.14</v>
      </c>
      <c r="K1293" s="6">
        <v>30</v>
      </c>
      <c r="L1293" t="s">
        <v>45</v>
      </c>
      <c r="M1293" s="8">
        <v>18438.628000000001</v>
      </c>
      <c r="N1293" s="7">
        <v>92193.14</v>
      </c>
      <c r="O1293" t="s">
        <v>46</v>
      </c>
      <c r="P1293" t="s">
        <v>40</v>
      </c>
    </row>
    <row r="1294" spans="1:16" x14ac:dyDescent="0.25">
      <c r="A1294" s="5">
        <v>45920</v>
      </c>
      <c r="B1294" t="s">
        <v>118</v>
      </c>
      <c r="C1294" t="s">
        <v>119</v>
      </c>
      <c r="D1294" t="s">
        <v>64</v>
      </c>
      <c r="E1294" t="s">
        <v>75</v>
      </c>
      <c r="F1294" t="s">
        <v>36</v>
      </c>
      <c r="G1294" t="s">
        <v>1419</v>
      </c>
      <c r="H1294" s="6">
        <v>26</v>
      </c>
      <c r="I1294" s="7">
        <v>64.78</v>
      </c>
      <c r="J1294" s="7">
        <v>1684.37</v>
      </c>
      <c r="K1294" s="6">
        <v>45</v>
      </c>
      <c r="L1294" t="s">
        <v>45</v>
      </c>
      <c r="M1294" s="8">
        <v>336.87400000000002</v>
      </c>
      <c r="N1294" s="7">
        <v>1684.37</v>
      </c>
      <c r="O1294" t="s">
        <v>46</v>
      </c>
      <c r="P1294" t="s">
        <v>40</v>
      </c>
    </row>
    <row r="1295" spans="1:16" x14ac:dyDescent="0.25">
      <c r="A1295" s="5">
        <v>45946</v>
      </c>
      <c r="B1295" t="s">
        <v>121</v>
      </c>
      <c r="C1295" t="s">
        <v>122</v>
      </c>
      <c r="D1295" t="s">
        <v>34</v>
      </c>
      <c r="E1295" t="s">
        <v>139</v>
      </c>
      <c r="F1295" t="s">
        <v>108</v>
      </c>
      <c r="G1295" t="s">
        <v>1420</v>
      </c>
      <c r="H1295" s="6">
        <v>77</v>
      </c>
      <c r="I1295" s="7">
        <v>118.94</v>
      </c>
      <c r="J1295" s="7">
        <v>9158.74</v>
      </c>
      <c r="K1295" s="6">
        <v>45</v>
      </c>
      <c r="L1295" t="s">
        <v>38</v>
      </c>
      <c r="M1295" s="8">
        <v>1831.748</v>
      </c>
      <c r="N1295" s="7">
        <v>9158.74</v>
      </c>
      <c r="O1295" t="s">
        <v>46</v>
      </c>
      <c r="P1295" t="s">
        <v>40</v>
      </c>
    </row>
    <row r="1296" spans="1:16" x14ac:dyDescent="0.25">
      <c r="A1296" s="5">
        <v>45972</v>
      </c>
      <c r="B1296" t="s">
        <v>201</v>
      </c>
      <c r="C1296" t="s">
        <v>202</v>
      </c>
      <c r="D1296" t="s">
        <v>64</v>
      </c>
      <c r="E1296" t="s">
        <v>96</v>
      </c>
      <c r="F1296" t="s">
        <v>97</v>
      </c>
      <c r="G1296" t="s">
        <v>1421</v>
      </c>
      <c r="H1296" s="6">
        <v>24</v>
      </c>
      <c r="I1296" s="7">
        <v>313.81</v>
      </c>
      <c r="J1296" s="7">
        <v>7531.45</v>
      </c>
      <c r="K1296" s="6">
        <v>45</v>
      </c>
      <c r="L1296" t="s">
        <v>52</v>
      </c>
      <c r="M1296" s="8">
        <v>1506.29</v>
      </c>
      <c r="N1296" s="7">
        <v>7531.45</v>
      </c>
      <c r="O1296" t="s">
        <v>46</v>
      </c>
      <c r="P1296" t="s">
        <v>40</v>
      </c>
    </row>
    <row r="1297" spans="1:16" x14ac:dyDescent="0.25">
      <c r="A1297" s="5">
        <v>45920</v>
      </c>
      <c r="B1297" t="s">
        <v>91</v>
      </c>
      <c r="C1297" t="s">
        <v>92</v>
      </c>
      <c r="D1297" t="s">
        <v>64</v>
      </c>
      <c r="E1297" t="s">
        <v>127</v>
      </c>
      <c r="F1297" t="s">
        <v>36</v>
      </c>
      <c r="G1297" t="s">
        <v>1422</v>
      </c>
      <c r="H1297" s="6">
        <v>44</v>
      </c>
      <c r="I1297" s="7">
        <v>61.56</v>
      </c>
      <c r="J1297" s="7">
        <v>2708.6</v>
      </c>
      <c r="K1297" s="6">
        <v>45</v>
      </c>
      <c r="L1297" t="s">
        <v>52</v>
      </c>
      <c r="M1297" s="8">
        <v>541.72</v>
      </c>
      <c r="N1297" s="7">
        <v>2708.6</v>
      </c>
      <c r="O1297" t="s">
        <v>39</v>
      </c>
      <c r="P1297" t="s">
        <v>40</v>
      </c>
    </row>
    <row r="1298" spans="1:16" x14ac:dyDescent="0.25">
      <c r="A1298" s="5">
        <v>45927</v>
      </c>
      <c r="B1298" t="s">
        <v>143</v>
      </c>
      <c r="C1298" t="s">
        <v>144</v>
      </c>
      <c r="D1298" t="s">
        <v>69</v>
      </c>
      <c r="E1298" t="s">
        <v>88</v>
      </c>
      <c r="F1298" t="s">
        <v>89</v>
      </c>
      <c r="G1298" t="s">
        <v>1423</v>
      </c>
      <c r="H1298" s="6">
        <v>68</v>
      </c>
      <c r="I1298" s="7">
        <v>298.39999999999998</v>
      </c>
      <c r="J1298" s="7">
        <v>20291.490000000002</v>
      </c>
      <c r="K1298" s="6">
        <v>30</v>
      </c>
      <c r="L1298" t="s">
        <v>45</v>
      </c>
      <c r="M1298" s="8">
        <v>4058.2979999999998</v>
      </c>
      <c r="N1298" s="7">
        <v>20291.490000000002</v>
      </c>
      <c r="O1298" t="s">
        <v>46</v>
      </c>
      <c r="P1298" t="s">
        <v>40</v>
      </c>
    </row>
    <row r="1299" spans="1:16" x14ac:dyDescent="0.25">
      <c r="A1299" s="5">
        <v>45902</v>
      </c>
      <c r="B1299" t="s">
        <v>91</v>
      </c>
      <c r="C1299" t="s">
        <v>92</v>
      </c>
      <c r="D1299" t="s">
        <v>64</v>
      </c>
      <c r="E1299" t="s">
        <v>204</v>
      </c>
      <c r="F1299" t="s">
        <v>97</v>
      </c>
      <c r="G1299" t="s">
        <v>1424</v>
      </c>
      <c r="H1299" s="6">
        <v>39</v>
      </c>
      <c r="I1299" s="7">
        <v>255.73</v>
      </c>
      <c r="J1299" s="7">
        <v>9973.56</v>
      </c>
      <c r="K1299" s="6">
        <v>30</v>
      </c>
      <c r="L1299" t="s">
        <v>38</v>
      </c>
      <c r="M1299" s="8">
        <v>1994.712</v>
      </c>
      <c r="N1299" s="7">
        <v>9973.56</v>
      </c>
      <c r="O1299" t="s">
        <v>46</v>
      </c>
      <c r="P1299" t="s">
        <v>40</v>
      </c>
    </row>
    <row r="1300" spans="1:16" x14ac:dyDescent="0.25">
      <c r="A1300" s="5">
        <v>45925</v>
      </c>
      <c r="B1300" t="s">
        <v>100</v>
      </c>
      <c r="C1300" t="s">
        <v>101</v>
      </c>
      <c r="D1300" t="s">
        <v>69</v>
      </c>
      <c r="E1300" t="s">
        <v>59</v>
      </c>
      <c r="F1300" t="s">
        <v>60</v>
      </c>
      <c r="G1300" t="s">
        <v>1425</v>
      </c>
      <c r="H1300" s="6">
        <v>55</v>
      </c>
      <c r="I1300" s="7">
        <v>254.85</v>
      </c>
      <c r="J1300" s="7">
        <v>14017</v>
      </c>
      <c r="K1300" s="6">
        <v>45</v>
      </c>
      <c r="L1300" t="s">
        <v>52</v>
      </c>
      <c r="M1300" s="8">
        <v>2803.4</v>
      </c>
      <c r="N1300" s="7">
        <v>14017</v>
      </c>
      <c r="O1300" t="s">
        <v>39</v>
      </c>
      <c r="P1300" t="s">
        <v>40</v>
      </c>
    </row>
    <row r="1301" spans="1:16" x14ac:dyDescent="0.25">
      <c r="A1301" s="5">
        <v>45920</v>
      </c>
      <c r="B1301" t="s">
        <v>143</v>
      </c>
      <c r="C1301" t="s">
        <v>144</v>
      </c>
      <c r="D1301" t="s">
        <v>69</v>
      </c>
      <c r="E1301" t="s">
        <v>127</v>
      </c>
      <c r="F1301" t="s">
        <v>36</v>
      </c>
      <c r="G1301" t="s">
        <v>1426</v>
      </c>
      <c r="H1301" s="6">
        <v>14</v>
      </c>
      <c r="I1301" s="7">
        <v>77.58</v>
      </c>
      <c r="J1301" s="7">
        <v>1086.1300000000001</v>
      </c>
      <c r="K1301" s="6">
        <v>60</v>
      </c>
      <c r="L1301" t="s">
        <v>45</v>
      </c>
      <c r="M1301" s="8">
        <v>217.226</v>
      </c>
      <c r="N1301" s="7">
        <v>1086.1300000000001</v>
      </c>
      <c r="O1301" t="s">
        <v>39</v>
      </c>
      <c r="P1301" t="s">
        <v>40</v>
      </c>
    </row>
    <row r="1302" spans="1:16" x14ac:dyDescent="0.25">
      <c r="A1302" s="5">
        <v>45996</v>
      </c>
      <c r="B1302" t="s">
        <v>62</v>
      </c>
      <c r="C1302" t="s">
        <v>63</v>
      </c>
      <c r="D1302" t="s">
        <v>64</v>
      </c>
      <c r="E1302" t="s">
        <v>75</v>
      </c>
      <c r="F1302" t="s">
        <v>36</v>
      </c>
      <c r="G1302" t="s">
        <v>1427</v>
      </c>
      <c r="H1302" s="6">
        <v>73</v>
      </c>
      <c r="I1302" s="7">
        <v>45.01</v>
      </c>
      <c r="J1302" s="7">
        <v>3285.9</v>
      </c>
      <c r="K1302" s="6">
        <v>45</v>
      </c>
      <c r="L1302" t="s">
        <v>45</v>
      </c>
      <c r="M1302" s="8">
        <v>657.18</v>
      </c>
      <c r="N1302" s="7">
        <v>3285.9</v>
      </c>
      <c r="O1302" t="s">
        <v>46</v>
      </c>
      <c r="P1302" t="s">
        <v>40</v>
      </c>
    </row>
    <row r="1303" spans="1:16" x14ac:dyDescent="0.25">
      <c r="A1303" s="5">
        <v>45666</v>
      </c>
      <c r="B1303" t="s">
        <v>32</v>
      </c>
      <c r="C1303" t="s">
        <v>33</v>
      </c>
      <c r="D1303" t="s">
        <v>34</v>
      </c>
      <c r="E1303" t="s">
        <v>43</v>
      </c>
      <c r="F1303" t="s">
        <v>36</v>
      </c>
      <c r="G1303" t="s">
        <v>1428</v>
      </c>
      <c r="H1303" s="6">
        <v>15</v>
      </c>
      <c r="I1303" s="7">
        <v>112.17</v>
      </c>
      <c r="J1303" s="7">
        <v>1682.54</v>
      </c>
      <c r="K1303" s="6">
        <v>60</v>
      </c>
      <c r="L1303" t="s">
        <v>52</v>
      </c>
      <c r="M1303" s="8">
        <v>336.50799999999998</v>
      </c>
      <c r="N1303" s="7">
        <v>1682.54</v>
      </c>
      <c r="O1303" t="s">
        <v>46</v>
      </c>
      <c r="P1303" t="s">
        <v>40</v>
      </c>
    </row>
    <row r="1304" spans="1:16" x14ac:dyDescent="0.25">
      <c r="A1304" s="5">
        <v>45859</v>
      </c>
      <c r="B1304" t="s">
        <v>110</v>
      </c>
      <c r="C1304" t="s">
        <v>111</v>
      </c>
      <c r="D1304" t="s">
        <v>58</v>
      </c>
      <c r="E1304" t="s">
        <v>154</v>
      </c>
      <c r="F1304" t="s">
        <v>89</v>
      </c>
      <c r="G1304" t="s">
        <v>1429</v>
      </c>
      <c r="H1304" s="6">
        <v>6</v>
      </c>
      <c r="I1304" s="7">
        <v>163.49</v>
      </c>
      <c r="J1304" s="7">
        <v>980.92</v>
      </c>
      <c r="K1304" s="6">
        <v>30</v>
      </c>
      <c r="L1304" t="s">
        <v>45</v>
      </c>
      <c r="M1304" s="8">
        <v>196.184</v>
      </c>
      <c r="N1304" s="7">
        <v>980.92</v>
      </c>
      <c r="O1304" t="s">
        <v>39</v>
      </c>
      <c r="P1304" t="s">
        <v>40</v>
      </c>
    </row>
    <row r="1305" spans="1:16" x14ac:dyDescent="0.25">
      <c r="A1305" s="5">
        <v>45958</v>
      </c>
      <c r="B1305" t="s">
        <v>121</v>
      </c>
      <c r="C1305" t="s">
        <v>122</v>
      </c>
      <c r="D1305" t="s">
        <v>34</v>
      </c>
      <c r="E1305" t="s">
        <v>149</v>
      </c>
      <c r="F1305" t="s">
        <v>60</v>
      </c>
      <c r="G1305" t="s">
        <v>1430</v>
      </c>
      <c r="H1305" s="6">
        <v>59</v>
      </c>
      <c r="I1305" s="7">
        <v>145.18</v>
      </c>
      <c r="J1305" s="7">
        <v>8565.56</v>
      </c>
      <c r="K1305" s="6">
        <v>60</v>
      </c>
      <c r="L1305" t="s">
        <v>45</v>
      </c>
      <c r="M1305" s="8">
        <v>1713.1120000000001</v>
      </c>
      <c r="N1305" s="7">
        <v>8565.56</v>
      </c>
      <c r="O1305" t="s">
        <v>46</v>
      </c>
      <c r="P1305" t="s">
        <v>40</v>
      </c>
    </row>
    <row r="1306" spans="1:16" x14ac:dyDescent="0.25">
      <c r="A1306" s="5">
        <v>45753</v>
      </c>
      <c r="B1306" t="s">
        <v>100</v>
      </c>
      <c r="C1306" t="s">
        <v>101</v>
      </c>
      <c r="D1306" t="s">
        <v>69</v>
      </c>
      <c r="E1306" t="s">
        <v>149</v>
      </c>
      <c r="F1306" t="s">
        <v>60</v>
      </c>
      <c r="G1306" t="s">
        <v>1431</v>
      </c>
      <c r="H1306" s="6">
        <v>28</v>
      </c>
      <c r="I1306" s="7">
        <v>295.51</v>
      </c>
      <c r="J1306" s="7">
        <v>8274.32</v>
      </c>
      <c r="K1306" s="6">
        <v>30</v>
      </c>
      <c r="L1306" t="s">
        <v>38</v>
      </c>
      <c r="M1306" s="8">
        <v>1654.864</v>
      </c>
      <c r="N1306" s="7">
        <v>8274.32</v>
      </c>
      <c r="O1306" t="s">
        <v>46</v>
      </c>
      <c r="P1306" t="s">
        <v>40</v>
      </c>
    </row>
    <row r="1307" spans="1:16" x14ac:dyDescent="0.25">
      <c r="A1307" s="5">
        <v>45712</v>
      </c>
      <c r="B1307" t="s">
        <v>103</v>
      </c>
      <c r="C1307" t="s">
        <v>104</v>
      </c>
      <c r="D1307" t="s">
        <v>58</v>
      </c>
      <c r="E1307" t="s">
        <v>115</v>
      </c>
      <c r="F1307" t="s">
        <v>60</v>
      </c>
      <c r="G1307" t="s">
        <v>1432</v>
      </c>
      <c r="H1307" s="6">
        <v>56</v>
      </c>
      <c r="I1307" s="7">
        <v>134.22</v>
      </c>
      <c r="J1307" s="7">
        <v>7516.24</v>
      </c>
      <c r="K1307" s="6">
        <v>60</v>
      </c>
      <c r="L1307" t="s">
        <v>38</v>
      </c>
      <c r="M1307" s="8">
        <v>1503.248</v>
      </c>
      <c r="N1307" s="7">
        <v>7516.24</v>
      </c>
      <c r="O1307" t="s">
        <v>46</v>
      </c>
      <c r="P1307" t="s">
        <v>40</v>
      </c>
    </row>
    <row r="1308" spans="1:16" x14ac:dyDescent="0.25">
      <c r="A1308" s="5">
        <v>45664</v>
      </c>
      <c r="B1308" t="s">
        <v>118</v>
      </c>
      <c r="C1308" t="s">
        <v>119</v>
      </c>
      <c r="D1308" t="s">
        <v>64</v>
      </c>
      <c r="E1308" t="s">
        <v>204</v>
      </c>
      <c r="F1308" t="s">
        <v>97</v>
      </c>
      <c r="G1308" t="s">
        <v>1433</v>
      </c>
      <c r="H1308" s="6">
        <v>22</v>
      </c>
      <c r="I1308" s="7">
        <v>304.69</v>
      </c>
      <c r="J1308" s="7">
        <v>6703.09</v>
      </c>
      <c r="K1308" s="6">
        <v>60</v>
      </c>
      <c r="L1308" t="s">
        <v>45</v>
      </c>
      <c r="M1308" s="8">
        <v>1340.6179999999999</v>
      </c>
      <c r="N1308" s="7">
        <v>6703.09</v>
      </c>
      <c r="O1308" t="s">
        <v>46</v>
      </c>
      <c r="P1308" t="s">
        <v>40</v>
      </c>
    </row>
    <row r="1309" spans="1:16" x14ac:dyDescent="0.25">
      <c r="A1309" s="5">
        <v>45966</v>
      </c>
      <c r="B1309" t="s">
        <v>62</v>
      </c>
      <c r="C1309" t="s">
        <v>63</v>
      </c>
      <c r="D1309" t="s">
        <v>64</v>
      </c>
      <c r="E1309" t="s">
        <v>105</v>
      </c>
      <c r="F1309" t="s">
        <v>97</v>
      </c>
      <c r="G1309" t="s">
        <v>1434</v>
      </c>
      <c r="H1309" s="6">
        <v>63</v>
      </c>
      <c r="I1309" s="7">
        <v>298.5</v>
      </c>
      <c r="J1309" s="7">
        <v>18805.45</v>
      </c>
      <c r="K1309" s="6">
        <v>45</v>
      </c>
      <c r="L1309" t="s">
        <v>52</v>
      </c>
      <c r="M1309" s="8">
        <v>3761.09</v>
      </c>
      <c r="N1309" s="7">
        <v>18805.45</v>
      </c>
      <c r="O1309" t="s">
        <v>46</v>
      </c>
      <c r="P1309" t="s">
        <v>40</v>
      </c>
    </row>
    <row r="1310" spans="1:16" x14ac:dyDescent="0.25">
      <c r="A1310" s="5">
        <v>46002</v>
      </c>
      <c r="B1310" t="s">
        <v>201</v>
      </c>
      <c r="C1310" t="s">
        <v>202</v>
      </c>
      <c r="D1310" t="s">
        <v>64</v>
      </c>
      <c r="E1310" t="s">
        <v>70</v>
      </c>
      <c r="F1310" t="s">
        <v>71</v>
      </c>
      <c r="G1310" t="s">
        <v>1435</v>
      </c>
      <c r="H1310" s="6">
        <v>51</v>
      </c>
      <c r="I1310" s="7">
        <v>172.62</v>
      </c>
      <c r="J1310" s="7">
        <v>8803.86</v>
      </c>
      <c r="K1310" s="6">
        <v>45</v>
      </c>
      <c r="L1310" t="s">
        <v>38</v>
      </c>
      <c r="M1310" s="8">
        <v>1760.7719999999999</v>
      </c>
      <c r="N1310" s="7">
        <v>8803.86</v>
      </c>
      <c r="O1310" t="s">
        <v>46</v>
      </c>
      <c r="P1310" t="s">
        <v>40</v>
      </c>
    </row>
    <row r="1311" spans="1:16" x14ac:dyDescent="0.25">
      <c r="A1311" s="5">
        <v>45755</v>
      </c>
      <c r="B1311" t="s">
        <v>143</v>
      </c>
      <c r="C1311" t="s">
        <v>144</v>
      </c>
      <c r="D1311" t="s">
        <v>69</v>
      </c>
      <c r="E1311" t="s">
        <v>154</v>
      </c>
      <c r="F1311" t="s">
        <v>89</v>
      </c>
      <c r="G1311" t="s">
        <v>1436</v>
      </c>
      <c r="H1311" s="6">
        <v>15</v>
      </c>
      <c r="I1311" s="7">
        <v>233.7</v>
      </c>
      <c r="J1311" s="7">
        <v>3505.51</v>
      </c>
      <c r="K1311" s="6">
        <v>30</v>
      </c>
      <c r="L1311" t="s">
        <v>52</v>
      </c>
      <c r="M1311" s="8">
        <v>701.10199999999998</v>
      </c>
      <c r="N1311" s="7">
        <v>3505.51</v>
      </c>
      <c r="O1311" t="s">
        <v>39</v>
      </c>
      <c r="P1311" t="s">
        <v>40</v>
      </c>
    </row>
    <row r="1312" spans="1:16" x14ac:dyDescent="0.25">
      <c r="A1312" s="5">
        <v>45904</v>
      </c>
      <c r="B1312" t="s">
        <v>118</v>
      </c>
      <c r="C1312" t="s">
        <v>119</v>
      </c>
      <c r="D1312" t="s">
        <v>64</v>
      </c>
      <c r="E1312" t="s">
        <v>49</v>
      </c>
      <c r="F1312" t="s">
        <v>50</v>
      </c>
      <c r="G1312" t="s">
        <v>1437</v>
      </c>
      <c r="H1312" s="6">
        <v>19</v>
      </c>
      <c r="I1312" s="7">
        <v>118.36</v>
      </c>
      <c r="J1312" s="7">
        <v>2248.83</v>
      </c>
      <c r="K1312" s="6">
        <v>60</v>
      </c>
      <c r="L1312" t="s">
        <v>38</v>
      </c>
      <c r="M1312" s="8">
        <v>449.76600000000002</v>
      </c>
      <c r="N1312" s="7">
        <v>2248.83</v>
      </c>
      <c r="O1312" t="s">
        <v>39</v>
      </c>
      <c r="P1312" t="s">
        <v>40</v>
      </c>
    </row>
    <row r="1313" spans="1:16" x14ac:dyDescent="0.25">
      <c r="A1313" s="5">
        <v>45812</v>
      </c>
      <c r="B1313" t="s">
        <v>77</v>
      </c>
      <c r="C1313" t="s">
        <v>78</v>
      </c>
      <c r="D1313" t="s">
        <v>58</v>
      </c>
      <c r="E1313" t="s">
        <v>135</v>
      </c>
      <c r="F1313" t="s">
        <v>54</v>
      </c>
      <c r="G1313" t="s">
        <v>1438</v>
      </c>
      <c r="H1313" s="6">
        <v>60</v>
      </c>
      <c r="I1313" s="7">
        <v>391.99</v>
      </c>
      <c r="J1313" s="7">
        <v>23519.31</v>
      </c>
      <c r="K1313" s="6">
        <v>30</v>
      </c>
      <c r="L1313" t="s">
        <v>45</v>
      </c>
      <c r="M1313" s="8">
        <v>4703.8620000000001</v>
      </c>
      <c r="N1313" s="7">
        <v>23519.31</v>
      </c>
      <c r="O1313" t="s">
        <v>46</v>
      </c>
      <c r="P1313" t="s">
        <v>40</v>
      </c>
    </row>
    <row r="1314" spans="1:16" x14ac:dyDescent="0.25">
      <c r="A1314" s="5">
        <v>45743</v>
      </c>
      <c r="B1314" t="s">
        <v>110</v>
      </c>
      <c r="C1314" t="s">
        <v>111</v>
      </c>
      <c r="D1314" t="s">
        <v>58</v>
      </c>
      <c r="E1314" t="s">
        <v>49</v>
      </c>
      <c r="F1314" t="s">
        <v>50</v>
      </c>
      <c r="G1314" t="s">
        <v>1439</v>
      </c>
      <c r="H1314" s="6">
        <v>20</v>
      </c>
      <c r="I1314" s="7">
        <v>257.77999999999997</v>
      </c>
      <c r="J1314" s="7">
        <v>5155.6000000000004</v>
      </c>
      <c r="K1314" s="6">
        <v>60</v>
      </c>
      <c r="L1314" t="s">
        <v>52</v>
      </c>
      <c r="M1314" s="8">
        <v>1031.1199999999999</v>
      </c>
      <c r="N1314" s="7">
        <v>5155.6000000000004</v>
      </c>
      <c r="O1314" t="s">
        <v>39</v>
      </c>
      <c r="P1314" t="s">
        <v>40</v>
      </c>
    </row>
    <row r="1315" spans="1:16" x14ac:dyDescent="0.25">
      <c r="A1315" s="5">
        <v>45668</v>
      </c>
      <c r="B1315" t="s">
        <v>73</v>
      </c>
      <c r="C1315" t="s">
        <v>74</v>
      </c>
      <c r="D1315" t="s">
        <v>69</v>
      </c>
      <c r="E1315" t="s">
        <v>139</v>
      </c>
      <c r="F1315" t="s">
        <v>108</v>
      </c>
      <c r="G1315" t="s">
        <v>1440</v>
      </c>
      <c r="H1315" s="6">
        <v>58</v>
      </c>
      <c r="I1315" s="7">
        <v>101.93</v>
      </c>
      <c r="J1315" s="7">
        <v>5911.93</v>
      </c>
      <c r="K1315" s="6">
        <v>60</v>
      </c>
      <c r="L1315" t="s">
        <v>38</v>
      </c>
      <c r="M1315" s="8">
        <v>1182.386</v>
      </c>
      <c r="N1315" s="7">
        <v>5911.93</v>
      </c>
      <c r="O1315" t="s">
        <v>46</v>
      </c>
      <c r="P1315" t="s">
        <v>40</v>
      </c>
    </row>
    <row r="1316" spans="1:16" x14ac:dyDescent="0.25">
      <c r="A1316" s="5">
        <v>45858</v>
      </c>
      <c r="B1316" t="s">
        <v>77</v>
      </c>
      <c r="C1316" t="s">
        <v>78</v>
      </c>
      <c r="D1316" t="s">
        <v>58</v>
      </c>
      <c r="E1316" t="s">
        <v>115</v>
      </c>
      <c r="F1316" t="s">
        <v>60</v>
      </c>
      <c r="G1316" t="s">
        <v>1441</v>
      </c>
      <c r="H1316" s="6">
        <v>7</v>
      </c>
      <c r="I1316" s="7">
        <v>221.26</v>
      </c>
      <c r="J1316" s="7">
        <v>1548.79</v>
      </c>
      <c r="K1316" s="6">
        <v>45</v>
      </c>
      <c r="L1316" t="s">
        <v>38</v>
      </c>
      <c r="M1316" s="8">
        <v>309.75799999999998</v>
      </c>
      <c r="N1316" s="7">
        <v>1548.79</v>
      </c>
      <c r="O1316" t="s">
        <v>46</v>
      </c>
      <c r="P1316" t="s">
        <v>40</v>
      </c>
    </row>
    <row r="1317" spans="1:16" x14ac:dyDescent="0.25">
      <c r="A1317" s="5">
        <v>45911</v>
      </c>
      <c r="B1317" t="s">
        <v>47</v>
      </c>
      <c r="C1317" t="s">
        <v>48</v>
      </c>
      <c r="D1317" t="s">
        <v>34</v>
      </c>
      <c r="E1317" t="s">
        <v>96</v>
      </c>
      <c r="F1317" t="s">
        <v>97</v>
      </c>
      <c r="G1317" t="s">
        <v>1442</v>
      </c>
      <c r="H1317" s="6">
        <v>75</v>
      </c>
      <c r="I1317" s="7">
        <v>145.81</v>
      </c>
      <c r="J1317" s="7">
        <v>10935.4</v>
      </c>
      <c r="K1317" s="6">
        <v>60</v>
      </c>
      <c r="L1317" t="s">
        <v>52</v>
      </c>
      <c r="M1317" s="8">
        <v>2187.08</v>
      </c>
      <c r="N1317" s="7">
        <v>10935.4</v>
      </c>
      <c r="O1317" t="s">
        <v>46</v>
      </c>
      <c r="P1317" t="s">
        <v>40</v>
      </c>
    </row>
    <row r="1318" spans="1:16" x14ac:dyDescent="0.25">
      <c r="A1318" s="5">
        <v>45907</v>
      </c>
      <c r="B1318" t="s">
        <v>94</v>
      </c>
      <c r="C1318" t="s">
        <v>95</v>
      </c>
      <c r="D1318" t="s">
        <v>34</v>
      </c>
      <c r="E1318" t="s">
        <v>59</v>
      </c>
      <c r="F1318" t="s">
        <v>60</v>
      </c>
      <c r="G1318" t="s">
        <v>1443</v>
      </c>
      <c r="H1318" s="6">
        <v>52</v>
      </c>
      <c r="I1318" s="7">
        <v>122.46</v>
      </c>
      <c r="J1318" s="7">
        <v>6368.11</v>
      </c>
      <c r="K1318" s="6">
        <v>45</v>
      </c>
      <c r="L1318" t="s">
        <v>52</v>
      </c>
      <c r="M1318" s="8">
        <v>1273.6220000000001</v>
      </c>
      <c r="N1318" s="7">
        <v>6368.11</v>
      </c>
      <c r="O1318" t="s">
        <v>39</v>
      </c>
      <c r="P1318" t="s">
        <v>40</v>
      </c>
    </row>
    <row r="1319" spans="1:16" x14ac:dyDescent="0.25">
      <c r="A1319" s="5">
        <v>45689</v>
      </c>
      <c r="B1319" t="s">
        <v>121</v>
      </c>
      <c r="C1319" t="s">
        <v>122</v>
      </c>
      <c r="D1319" t="s">
        <v>34</v>
      </c>
      <c r="E1319" t="s">
        <v>107</v>
      </c>
      <c r="F1319" t="s">
        <v>108</v>
      </c>
      <c r="G1319" t="s">
        <v>1444</v>
      </c>
      <c r="H1319" s="6">
        <v>68</v>
      </c>
      <c r="I1319" s="7">
        <v>63.41</v>
      </c>
      <c r="J1319" s="7">
        <v>4311.8500000000004</v>
      </c>
      <c r="K1319" s="6">
        <v>30</v>
      </c>
      <c r="L1319" t="s">
        <v>45</v>
      </c>
      <c r="M1319" s="8">
        <v>862.37</v>
      </c>
      <c r="N1319" s="7">
        <v>4311.8500000000004</v>
      </c>
      <c r="O1319" t="s">
        <v>46</v>
      </c>
      <c r="P1319" t="s">
        <v>40</v>
      </c>
    </row>
    <row r="1320" spans="1:16" x14ac:dyDescent="0.25">
      <c r="A1320" s="5">
        <v>45690</v>
      </c>
      <c r="B1320" t="s">
        <v>32</v>
      </c>
      <c r="C1320" t="s">
        <v>33</v>
      </c>
      <c r="D1320" t="s">
        <v>34</v>
      </c>
      <c r="E1320" t="s">
        <v>70</v>
      </c>
      <c r="F1320" t="s">
        <v>71</v>
      </c>
      <c r="G1320" t="s">
        <v>1445</v>
      </c>
      <c r="H1320" s="6">
        <v>35</v>
      </c>
      <c r="I1320" s="7">
        <v>67.94</v>
      </c>
      <c r="J1320" s="7">
        <v>2377.9499999999998</v>
      </c>
      <c r="K1320" s="6">
        <v>60</v>
      </c>
      <c r="L1320" t="s">
        <v>45</v>
      </c>
      <c r="M1320" s="8">
        <v>475.59</v>
      </c>
      <c r="N1320" s="7">
        <v>2377.9499999999998</v>
      </c>
      <c r="O1320" t="s">
        <v>46</v>
      </c>
      <c r="P1320" t="s">
        <v>40</v>
      </c>
    </row>
    <row r="1321" spans="1:16" x14ac:dyDescent="0.25">
      <c r="A1321" s="5">
        <v>45976</v>
      </c>
      <c r="B1321" t="s">
        <v>73</v>
      </c>
      <c r="C1321" t="s">
        <v>74</v>
      </c>
      <c r="D1321" t="s">
        <v>69</v>
      </c>
      <c r="E1321" t="s">
        <v>75</v>
      </c>
      <c r="F1321" t="s">
        <v>36</v>
      </c>
      <c r="G1321" t="s">
        <v>1446</v>
      </c>
      <c r="H1321" s="6">
        <v>45</v>
      </c>
      <c r="I1321" s="7">
        <v>58.65</v>
      </c>
      <c r="J1321" s="7">
        <v>2639.16</v>
      </c>
      <c r="K1321" s="6">
        <v>45</v>
      </c>
      <c r="L1321" t="s">
        <v>52</v>
      </c>
      <c r="M1321" s="8">
        <v>527.83199999999999</v>
      </c>
      <c r="N1321" s="7">
        <v>2639.16</v>
      </c>
      <c r="O1321" t="s">
        <v>46</v>
      </c>
      <c r="P1321" t="s">
        <v>40</v>
      </c>
    </row>
    <row r="1322" spans="1:16" x14ac:dyDescent="0.25">
      <c r="A1322" s="5">
        <v>45805</v>
      </c>
      <c r="B1322" t="s">
        <v>67</v>
      </c>
      <c r="C1322" t="s">
        <v>68</v>
      </c>
      <c r="D1322" t="s">
        <v>69</v>
      </c>
      <c r="E1322" t="s">
        <v>49</v>
      </c>
      <c r="F1322" t="s">
        <v>50</v>
      </c>
      <c r="G1322" t="s">
        <v>1447</v>
      </c>
      <c r="H1322" s="6">
        <v>25</v>
      </c>
      <c r="I1322" s="7">
        <v>123.8</v>
      </c>
      <c r="J1322" s="7">
        <v>3094.94</v>
      </c>
      <c r="K1322" s="6">
        <v>45</v>
      </c>
      <c r="L1322" t="s">
        <v>45</v>
      </c>
      <c r="M1322" s="8">
        <v>618.98800000000006</v>
      </c>
      <c r="N1322" s="7">
        <v>3094.94</v>
      </c>
      <c r="O1322" t="s">
        <v>39</v>
      </c>
      <c r="P1322" t="s">
        <v>40</v>
      </c>
    </row>
    <row r="1323" spans="1:16" x14ac:dyDescent="0.25">
      <c r="A1323" s="5">
        <v>45770</v>
      </c>
      <c r="B1323" t="s">
        <v>110</v>
      </c>
      <c r="C1323" t="s">
        <v>111</v>
      </c>
      <c r="D1323" t="s">
        <v>58</v>
      </c>
      <c r="E1323" t="s">
        <v>53</v>
      </c>
      <c r="F1323" t="s">
        <v>54</v>
      </c>
      <c r="G1323" t="s">
        <v>1448</v>
      </c>
      <c r="H1323" s="6">
        <v>76</v>
      </c>
      <c r="I1323" s="7">
        <v>334.55</v>
      </c>
      <c r="J1323" s="7">
        <v>25425.94</v>
      </c>
      <c r="K1323" s="6">
        <v>60</v>
      </c>
      <c r="L1323" t="s">
        <v>45</v>
      </c>
      <c r="M1323" s="8">
        <v>5085.1880000000001</v>
      </c>
      <c r="N1323" s="7">
        <v>25425.94</v>
      </c>
      <c r="O1323" t="s">
        <v>46</v>
      </c>
      <c r="P1323" t="s">
        <v>40</v>
      </c>
    </row>
    <row r="1324" spans="1:16" x14ac:dyDescent="0.25">
      <c r="A1324" s="5">
        <v>45808</v>
      </c>
      <c r="B1324" t="s">
        <v>143</v>
      </c>
      <c r="C1324" t="s">
        <v>144</v>
      </c>
      <c r="D1324" t="s">
        <v>69</v>
      </c>
      <c r="E1324" t="s">
        <v>107</v>
      </c>
      <c r="F1324" t="s">
        <v>108</v>
      </c>
      <c r="G1324" t="s">
        <v>1449</v>
      </c>
      <c r="H1324" s="6">
        <v>50</v>
      </c>
      <c r="I1324" s="7">
        <v>72.150000000000006</v>
      </c>
      <c r="J1324" s="7">
        <v>3607.38</v>
      </c>
      <c r="K1324" s="6">
        <v>45</v>
      </c>
      <c r="L1324" t="s">
        <v>52</v>
      </c>
      <c r="M1324" s="8">
        <v>721.476</v>
      </c>
      <c r="N1324" s="7">
        <v>3607.38</v>
      </c>
      <c r="O1324" t="s">
        <v>46</v>
      </c>
      <c r="P1324" t="s">
        <v>40</v>
      </c>
    </row>
    <row r="1325" spans="1:16" x14ac:dyDescent="0.25">
      <c r="A1325" s="5">
        <v>45740</v>
      </c>
      <c r="B1325" t="s">
        <v>85</v>
      </c>
      <c r="C1325" t="s">
        <v>86</v>
      </c>
      <c r="D1325" t="s">
        <v>58</v>
      </c>
      <c r="E1325" t="s">
        <v>132</v>
      </c>
      <c r="F1325" t="s">
        <v>71</v>
      </c>
      <c r="G1325" t="s">
        <v>1450</v>
      </c>
      <c r="H1325" s="6">
        <v>80</v>
      </c>
      <c r="I1325" s="7">
        <v>124.15</v>
      </c>
      <c r="J1325" s="7">
        <v>9931.6299999999992</v>
      </c>
      <c r="K1325" s="6">
        <v>30</v>
      </c>
      <c r="L1325" t="s">
        <v>45</v>
      </c>
      <c r="M1325" s="8">
        <v>1986.326</v>
      </c>
      <c r="N1325" s="7">
        <v>9931.6299999999992</v>
      </c>
      <c r="O1325" t="s">
        <v>46</v>
      </c>
      <c r="P1325" t="s">
        <v>40</v>
      </c>
    </row>
    <row r="1326" spans="1:16" x14ac:dyDescent="0.25">
      <c r="A1326" s="5">
        <v>45905</v>
      </c>
      <c r="B1326" t="s">
        <v>32</v>
      </c>
      <c r="C1326" t="s">
        <v>33</v>
      </c>
      <c r="D1326" t="s">
        <v>34</v>
      </c>
      <c r="E1326" t="s">
        <v>43</v>
      </c>
      <c r="F1326" t="s">
        <v>36</v>
      </c>
      <c r="G1326" t="s">
        <v>1451</v>
      </c>
      <c r="H1326" s="6">
        <v>17</v>
      </c>
      <c r="I1326" s="7">
        <v>67.349999999999994</v>
      </c>
      <c r="J1326" s="7">
        <v>1144.8900000000001</v>
      </c>
      <c r="K1326" s="6">
        <v>30</v>
      </c>
      <c r="L1326" t="s">
        <v>38</v>
      </c>
      <c r="M1326" s="8">
        <v>228.97800000000001</v>
      </c>
      <c r="N1326" s="7">
        <v>1144.8900000000001</v>
      </c>
      <c r="O1326" t="s">
        <v>46</v>
      </c>
      <c r="P1326" t="s">
        <v>40</v>
      </c>
    </row>
    <row r="1327" spans="1:16" x14ac:dyDescent="0.25">
      <c r="A1327" s="5">
        <v>45870</v>
      </c>
      <c r="B1327" t="s">
        <v>85</v>
      </c>
      <c r="C1327" t="s">
        <v>86</v>
      </c>
      <c r="D1327" t="s">
        <v>58</v>
      </c>
      <c r="E1327" t="s">
        <v>107</v>
      </c>
      <c r="F1327" t="s">
        <v>108</v>
      </c>
      <c r="G1327" t="s">
        <v>1452</v>
      </c>
      <c r="H1327" s="6">
        <v>64</v>
      </c>
      <c r="I1327" s="7">
        <v>25.3</v>
      </c>
      <c r="J1327" s="7">
        <v>1619.49</v>
      </c>
      <c r="K1327" s="6">
        <v>45</v>
      </c>
      <c r="L1327" t="s">
        <v>38</v>
      </c>
      <c r="M1327" s="8">
        <v>323.89800000000002</v>
      </c>
      <c r="N1327" s="7">
        <v>1619.49</v>
      </c>
      <c r="O1327" t="s">
        <v>46</v>
      </c>
      <c r="P1327" t="s">
        <v>40</v>
      </c>
    </row>
    <row r="1328" spans="1:16" x14ac:dyDescent="0.25">
      <c r="A1328" s="5">
        <v>45841</v>
      </c>
      <c r="B1328" t="s">
        <v>201</v>
      </c>
      <c r="C1328" t="s">
        <v>202</v>
      </c>
      <c r="D1328" t="s">
        <v>64</v>
      </c>
      <c r="E1328" t="s">
        <v>49</v>
      </c>
      <c r="F1328" t="s">
        <v>50</v>
      </c>
      <c r="G1328" t="s">
        <v>1453</v>
      </c>
      <c r="H1328" s="6">
        <v>34</v>
      </c>
      <c r="I1328" s="7">
        <v>71.58</v>
      </c>
      <c r="J1328" s="7">
        <v>2433.8200000000002</v>
      </c>
      <c r="K1328" s="6">
        <v>45</v>
      </c>
      <c r="L1328" t="s">
        <v>52</v>
      </c>
      <c r="M1328" s="8">
        <v>486.76400000000001</v>
      </c>
      <c r="N1328" s="7">
        <v>2433.8200000000002</v>
      </c>
      <c r="O1328" t="s">
        <v>39</v>
      </c>
      <c r="P1328" t="s">
        <v>40</v>
      </c>
    </row>
    <row r="1329" spans="1:16" x14ac:dyDescent="0.25">
      <c r="A1329" s="5">
        <v>45674</v>
      </c>
      <c r="B1329" t="s">
        <v>118</v>
      </c>
      <c r="C1329" t="s">
        <v>119</v>
      </c>
      <c r="D1329" t="s">
        <v>64</v>
      </c>
      <c r="E1329" t="s">
        <v>124</v>
      </c>
      <c r="F1329" t="s">
        <v>89</v>
      </c>
      <c r="G1329" t="s">
        <v>1454</v>
      </c>
      <c r="H1329" s="6">
        <v>9</v>
      </c>
      <c r="I1329" s="7">
        <v>166.29</v>
      </c>
      <c r="J1329" s="7">
        <v>1496.57</v>
      </c>
      <c r="K1329" s="6">
        <v>45</v>
      </c>
      <c r="L1329" t="s">
        <v>45</v>
      </c>
      <c r="M1329" s="8">
        <v>299.31400000000002</v>
      </c>
      <c r="N1329" s="7">
        <v>1496.57</v>
      </c>
      <c r="O1329" t="s">
        <v>46</v>
      </c>
      <c r="P1329" t="s">
        <v>40</v>
      </c>
    </row>
    <row r="1330" spans="1:16" x14ac:dyDescent="0.25">
      <c r="A1330" s="5">
        <v>45945</v>
      </c>
      <c r="B1330" t="s">
        <v>110</v>
      </c>
      <c r="C1330" t="s">
        <v>111</v>
      </c>
      <c r="D1330" t="s">
        <v>58</v>
      </c>
      <c r="E1330" t="s">
        <v>135</v>
      </c>
      <c r="F1330" t="s">
        <v>54</v>
      </c>
      <c r="G1330" t="s">
        <v>1455</v>
      </c>
      <c r="H1330" s="6">
        <v>29</v>
      </c>
      <c r="I1330" s="7">
        <v>128.53</v>
      </c>
      <c r="J1330" s="7">
        <v>3727.25</v>
      </c>
      <c r="K1330" s="6">
        <v>45</v>
      </c>
      <c r="L1330" t="s">
        <v>45</v>
      </c>
      <c r="M1330" s="8">
        <v>745.45</v>
      </c>
      <c r="N1330" s="7">
        <v>3727.25</v>
      </c>
      <c r="O1330" t="s">
        <v>46</v>
      </c>
      <c r="P1330" t="s">
        <v>40</v>
      </c>
    </row>
    <row r="1331" spans="1:16" x14ac:dyDescent="0.25">
      <c r="A1331" s="5">
        <v>45943</v>
      </c>
      <c r="B1331" t="s">
        <v>143</v>
      </c>
      <c r="C1331" t="s">
        <v>144</v>
      </c>
      <c r="D1331" t="s">
        <v>69</v>
      </c>
      <c r="E1331" t="s">
        <v>83</v>
      </c>
      <c r="F1331" t="s">
        <v>71</v>
      </c>
      <c r="G1331" t="s">
        <v>1456</v>
      </c>
      <c r="H1331" s="6">
        <v>35</v>
      </c>
      <c r="I1331" s="7">
        <v>132.13999999999999</v>
      </c>
      <c r="J1331" s="7">
        <v>4624.79</v>
      </c>
      <c r="K1331" s="6">
        <v>30</v>
      </c>
      <c r="L1331" t="s">
        <v>52</v>
      </c>
      <c r="M1331" s="8">
        <v>924.95799999999997</v>
      </c>
      <c r="N1331" s="7">
        <v>4624.79</v>
      </c>
      <c r="O1331" t="s">
        <v>39</v>
      </c>
      <c r="P1331" t="s">
        <v>40</v>
      </c>
    </row>
    <row r="1332" spans="1:16" x14ac:dyDescent="0.25">
      <c r="A1332" s="5">
        <v>45683</v>
      </c>
      <c r="B1332" t="s">
        <v>80</v>
      </c>
      <c r="C1332" t="s">
        <v>81</v>
      </c>
      <c r="D1332" t="s">
        <v>64</v>
      </c>
      <c r="E1332" t="s">
        <v>43</v>
      </c>
      <c r="F1332" t="s">
        <v>36</v>
      </c>
      <c r="G1332" t="s">
        <v>1457</v>
      </c>
      <c r="H1332" s="6">
        <v>57</v>
      </c>
      <c r="I1332" s="7">
        <v>150.85</v>
      </c>
      <c r="J1332" s="7">
        <v>8598.57</v>
      </c>
      <c r="K1332" s="6">
        <v>45</v>
      </c>
      <c r="L1332" t="s">
        <v>38</v>
      </c>
      <c r="M1332" s="8">
        <v>1719.7139999999999</v>
      </c>
      <c r="N1332" s="7">
        <v>8598.57</v>
      </c>
      <c r="O1332" t="s">
        <v>46</v>
      </c>
      <c r="P1332" t="s">
        <v>40</v>
      </c>
    </row>
    <row r="1333" spans="1:16" x14ac:dyDescent="0.25">
      <c r="A1333" s="5">
        <v>45679</v>
      </c>
      <c r="B1333" t="s">
        <v>62</v>
      </c>
      <c r="C1333" t="s">
        <v>63</v>
      </c>
      <c r="D1333" t="s">
        <v>64</v>
      </c>
      <c r="E1333" t="s">
        <v>43</v>
      </c>
      <c r="F1333" t="s">
        <v>36</v>
      </c>
      <c r="G1333" t="s">
        <v>1458</v>
      </c>
      <c r="H1333" s="6">
        <v>65</v>
      </c>
      <c r="I1333" s="7">
        <v>127.07</v>
      </c>
      <c r="J1333" s="7">
        <v>8259.2900000000009</v>
      </c>
      <c r="K1333" s="6">
        <v>30</v>
      </c>
      <c r="L1333" t="s">
        <v>38</v>
      </c>
      <c r="M1333" s="8">
        <v>1651.8579999999999</v>
      </c>
      <c r="N1333" s="7">
        <v>8259.2900000000009</v>
      </c>
      <c r="O1333" t="s">
        <v>46</v>
      </c>
      <c r="P1333" t="s">
        <v>40</v>
      </c>
    </row>
    <row r="1334" spans="1:16" x14ac:dyDescent="0.25">
      <c r="A1334" s="5">
        <v>45843</v>
      </c>
      <c r="B1334" t="s">
        <v>85</v>
      </c>
      <c r="C1334" t="s">
        <v>86</v>
      </c>
      <c r="D1334" t="s">
        <v>58</v>
      </c>
      <c r="E1334" t="s">
        <v>127</v>
      </c>
      <c r="F1334" t="s">
        <v>36</v>
      </c>
      <c r="G1334" t="s">
        <v>1459</v>
      </c>
      <c r="H1334" s="6">
        <v>21</v>
      </c>
      <c r="I1334" s="7">
        <v>57.8</v>
      </c>
      <c r="J1334" s="7">
        <v>1213.81</v>
      </c>
      <c r="K1334" s="6">
        <v>60</v>
      </c>
      <c r="L1334" t="s">
        <v>45</v>
      </c>
      <c r="M1334" s="8">
        <v>242.762</v>
      </c>
      <c r="N1334" s="7">
        <v>1213.81</v>
      </c>
      <c r="O1334" t="s">
        <v>39</v>
      </c>
      <c r="P1334" t="s">
        <v>40</v>
      </c>
    </row>
    <row r="1335" spans="1:16" x14ac:dyDescent="0.25">
      <c r="A1335" s="5">
        <v>45913</v>
      </c>
      <c r="B1335" t="s">
        <v>110</v>
      </c>
      <c r="C1335" t="s">
        <v>111</v>
      </c>
      <c r="D1335" t="s">
        <v>58</v>
      </c>
      <c r="E1335" t="s">
        <v>129</v>
      </c>
      <c r="F1335" t="s">
        <v>108</v>
      </c>
      <c r="G1335" t="s">
        <v>1460</v>
      </c>
      <c r="H1335" s="6">
        <v>13</v>
      </c>
      <c r="I1335" s="7">
        <v>170.27</v>
      </c>
      <c r="J1335" s="7">
        <v>2213.5100000000002</v>
      </c>
      <c r="K1335" s="6">
        <v>30</v>
      </c>
      <c r="L1335" t="s">
        <v>52</v>
      </c>
      <c r="M1335" s="8">
        <v>442.702</v>
      </c>
      <c r="N1335" s="7">
        <v>2213.5100000000002</v>
      </c>
      <c r="O1335" t="s">
        <v>46</v>
      </c>
      <c r="P1335" t="s">
        <v>40</v>
      </c>
    </row>
    <row r="1336" spans="1:16" x14ac:dyDescent="0.25">
      <c r="A1336" s="5">
        <v>45720</v>
      </c>
      <c r="B1336" t="s">
        <v>77</v>
      </c>
      <c r="C1336" t="s">
        <v>78</v>
      </c>
      <c r="D1336" t="s">
        <v>58</v>
      </c>
      <c r="E1336" t="s">
        <v>83</v>
      </c>
      <c r="F1336" t="s">
        <v>71</v>
      </c>
      <c r="G1336" t="s">
        <v>1461</v>
      </c>
      <c r="H1336" s="6">
        <v>26</v>
      </c>
      <c r="I1336" s="7">
        <v>103.09</v>
      </c>
      <c r="J1336" s="7">
        <v>2680.45</v>
      </c>
      <c r="K1336" s="6">
        <v>45</v>
      </c>
      <c r="L1336" t="s">
        <v>45</v>
      </c>
      <c r="M1336" s="8">
        <v>536.09</v>
      </c>
      <c r="N1336" s="7">
        <v>2680.45</v>
      </c>
      <c r="O1336" t="s">
        <v>39</v>
      </c>
      <c r="P1336" t="s">
        <v>40</v>
      </c>
    </row>
    <row r="1337" spans="1:16" x14ac:dyDescent="0.25">
      <c r="A1337" s="5">
        <v>45832</v>
      </c>
      <c r="B1337" t="s">
        <v>118</v>
      </c>
      <c r="C1337" t="s">
        <v>119</v>
      </c>
      <c r="D1337" t="s">
        <v>64</v>
      </c>
      <c r="E1337" t="s">
        <v>65</v>
      </c>
      <c r="F1337" t="s">
        <v>54</v>
      </c>
      <c r="G1337" t="s">
        <v>1462</v>
      </c>
      <c r="H1337" s="6">
        <v>37</v>
      </c>
      <c r="I1337" s="7">
        <v>207.69</v>
      </c>
      <c r="J1337" s="7">
        <v>7684.66</v>
      </c>
      <c r="K1337" s="6">
        <v>60</v>
      </c>
      <c r="L1337" t="s">
        <v>38</v>
      </c>
      <c r="M1337" s="8">
        <v>1536.932</v>
      </c>
      <c r="N1337" s="7">
        <v>7684.66</v>
      </c>
      <c r="O1337" t="s">
        <v>46</v>
      </c>
      <c r="P1337" t="s">
        <v>40</v>
      </c>
    </row>
    <row r="1338" spans="1:16" x14ac:dyDescent="0.25">
      <c r="A1338" s="5">
        <v>45870</v>
      </c>
      <c r="B1338" t="s">
        <v>94</v>
      </c>
      <c r="C1338" t="s">
        <v>95</v>
      </c>
      <c r="D1338" t="s">
        <v>34</v>
      </c>
      <c r="E1338" t="s">
        <v>149</v>
      </c>
      <c r="F1338" t="s">
        <v>60</v>
      </c>
      <c r="G1338" t="s">
        <v>1463</v>
      </c>
      <c r="H1338" s="6">
        <v>47</v>
      </c>
      <c r="I1338" s="7">
        <v>157</v>
      </c>
      <c r="J1338" s="7">
        <v>7379.08</v>
      </c>
      <c r="K1338" s="6">
        <v>60</v>
      </c>
      <c r="L1338" t="s">
        <v>52</v>
      </c>
      <c r="M1338" s="8">
        <v>1475.816</v>
      </c>
      <c r="N1338" s="7">
        <v>7379.08</v>
      </c>
      <c r="O1338" t="s">
        <v>46</v>
      </c>
      <c r="P1338" t="s">
        <v>40</v>
      </c>
    </row>
    <row r="1339" spans="1:16" x14ac:dyDescent="0.25">
      <c r="A1339" s="5">
        <v>45873</v>
      </c>
      <c r="B1339" t="s">
        <v>67</v>
      </c>
      <c r="C1339" t="s">
        <v>68</v>
      </c>
      <c r="D1339" t="s">
        <v>69</v>
      </c>
      <c r="E1339" t="s">
        <v>124</v>
      </c>
      <c r="F1339" t="s">
        <v>89</v>
      </c>
      <c r="G1339" t="s">
        <v>1464</v>
      </c>
      <c r="H1339" s="6">
        <v>30</v>
      </c>
      <c r="I1339" s="7">
        <v>152.41</v>
      </c>
      <c r="J1339" s="7">
        <v>4572.41</v>
      </c>
      <c r="K1339" s="6">
        <v>30</v>
      </c>
      <c r="L1339" t="s">
        <v>45</v>
      </c>
      <c r="M1339" s="8">
        <v>914.48199999999997</v>
      </c>
      <c r="N1339" s="7">
        <v>4572.41</v>
      </c>
      <c r="O1339" t="s">
        <v>46</v>
      </c>
      <c r="P1339" t="s">
        <v>40</v>
      </c>
    </row>
    <row r="1340" spans="1:16" x14ac:dyDescent="0.25">
      <c r="A1340" s="5">
        <v>45922</v>
      </c>
      <c r="B1340" t="s">
        <v>103</v>
      </c>
      <c r="C1340" t="s">
        <v>104</v>
      </c>
      <c r="D1340" t="s">
        <v>58</v>
      </c>
      <c r="E1340" t="s">
        <v>96</v>
      </c>
      <c r="F1340" t="s">
        <v>97</v>
      </c>
      <c r="G1340" t="s">
        <v>1465</v>
      </c>
      <c r="H1340" s="6">
        <v>47</v>
      </c>
      <c r="I1340" s="7">
        <v>242.33</v>
      </c>
      <c r="J1340" s="7">
        <v>11389.34</v>
      </c>
      <c r="K1340" s="6">
        <v>30</v>
      </c>
      <c r="L1340" t="s">
        <v>45</v>
      </c>
      <c r="M1340" s="8">
        <v>2277.8679999999999</v>
      </c>
      <c r="N1340" s="7">
        <v>11389.34</v>
      </c>
      <c r="O1340" t="s">
        <v>46</v>
      </c>
      <c r="P1340" t="s">
        <v>40</v>
      </c>
    </row>
    <row r="1341" spans="1:16" x14ac:dyDescent="0.25">
      <c r="A1341" s="5">
        <v>45922</v>
      </c>
      <c r="B1341" t="s">
        <v>41</v>
      </c>
      <c r="C1341" t="s">
        <v>42</v>
      </c>
      <c r="D1341" t="s">
        <v>34</v>
      </c>
      <c r="E1341" t="s">
        <v>152</v>
      </c>
      <c r="F1341" t="s">
        <v>50</v>
      </c>
      <c r="G1341" t="s">
        <v>1466</v>
      </c>
      <c r="H1341" s="6">
        <v>9</v>
      </c>
      <c r="I1341" s="7">
        <v>131.79</v>
      </c>
      <c r="J1341" s="7">
        <v>1186.1199999999999</v>
      </c>
      <c r="K1341" s="6">
        <v>30</v>
      </c>
      <c r="L1341" t="s">
        <v>45</v>
      </c>
      <c r="M1341" s="8">
        <v>237.22399999999999</v>
      </c>
      <c r="N1341" s="7">
        <v>1186.1199999999999</v>
      </c>
      <c r="O1341" t="s">
        <v>46</v>
      </c>
      <c r="P1341" t="s">
        <v>40</v>
      </c>
    </row>
    <row r="1342" spans="1:16" x14ac:dyDescent="0.25">
      <c r="A1342" s="5">
        <v>45880</v>
      </c>
      <c r="B1342" t="s">
        <v>91</v>
      </c>
      <c r="C1342" t="s">
        <v>92</v>
      </c>
      <c r="D1342" t="s">
        <v>64</v>
      </c>
      <c r="E1342" t="s">
        <v>204</v>
      </c>
      <c r="F1342" t="s">
        <v>97</v>
      </c>
      <c r="G1342" t="s">
        <v>1467</v>
      </c>
      <c r="H1342" s="6">
        <v>8</v>
      </c>
      <c r="I1342" s="7">
        <v>327.7</v>
      </c>
      <c r="J1342" s="7">
        <v>2621.6</v>
      </c>
      <c r="K1342" s="6">
        <v>45</v>
      </c>
      <c r="L1342" t="s">
        <v>38</v>
      </c>
      <c r="M1342" s="8">
        <v>524.32000000000005</v>
      </c>
      <c r="N1342" s="7">
        <v>2621.6</v>
      </c>
      <c r="O1342" t="s">
        <v>46</v>
      </c>
      <c r="P1342" t="s">
        <v>40</v>
      </c>
    </row>
    <row r="1343" spans="1:16" x14ac:dyDescent="0.25">
      <c r="A1343" s="5">
        <v>45687</v>
      </c>
      <c r="B1343" t="s">
        <v>113</v>
      </c>
      <c r="C1343" t="s">
        <v>114</v>
      </c>
      <c r="D1343" t="s">
        <v>69</v>
      </c>
      <c r="E1343" t="s">
        <v>124</v>
      </c>
      <c r="F1343" t="s">
        <v>89</v>
      </c>
      <c r="G1343" t="s">
        <v>1468</v>
      </c>
      <c r="H1343" s="6">
        <v>67</v>
      </c>
      <c r="I1343" s="7">
        <v>180.3</v>
      </c>
      <c r="J1343" s="7">
        <v>12080.22</v>
      </c>
      <c r="K1343" s="6">
        <v>45</v>
      </c>
      <c r="L1343" t="s">
        <v>45</v>
      </c>
      <c r="M1343" s="8">
        <v>2416.0439999999999</v>
      </c>
      <c r="N1343" s="7">
        <v>12080.22</v>
      </c>
      <c r="O1343" t="s">
        <v>46</v>
      </c>
      <c r="P1343" t="s">
        <v>40</v>
      </c>
    </row>
    <row r="1344" spans="1:16" x14ac:dyDescent="0.25">
      <c r="A1344" s="5">
        <v>45818</v>
      </c>
      <c r="B1344" t="s">
        <v>85</v>
      </c>
      <c r="C1344" t="s">
        <v>86</v>
      </c>
      <c r="D1344" t="s">
        <v>58</v>
      </c>
      <c r="E1344" t="s">
        <v>115</v>
      </c>
      <c r="F1344" t="s">
        <v>60</v>
      </c>
      <c r="G1344" t="s">
        <v>1469</v>
      </c>
      <c r="H1344" s="6">
        <v>45</v>
      </c>
      <c r="I1344" s="7">
        <v>279.76</v>
      </c>
      <c r="J1344" s="7">
        <v>12589.34</v>
      </c>
      <c r="K1344" s="6">
        <v>30</v>
      </c>
      <c r="L1344" t="s">
        <v>45</v>
      </c>
      <c r="M1344" s="8">
        <v>2517.8679999999999</v>
      </c>
      <c r="N1344" s="7">
        <v>12589.34</v>
      </c>
      <c r="O1344" t="s">
        <v>46</v>
      </c>
      <c r="P1344" t="s">
        <v>40</v>
      </c>
    </row>
    <row r="1345" spans="1:16" x14ac:dyDescent="0.25">
      <c r="A1345" s="5">
        <v>45864</v>
      </c>
      <c r="B1345" t="s">
        <v>80</v>
      </c>
      <c r="C1345" t="s">
        <v>81</v>
      </c>
      <c r="D1345" t="s">
        <v>64</v>
      </c>
      <c r="E1345" t="s">
        <v>124</v>
      </c>
      <c r="F1345" t="s">
        <v>89</v>
      </c>
      <c r="G1345" t="s">
        <v>1470</v>
      </c>
      <c r="H1345" s="6">
        <v>58</v>
      </c>
      <c r="I1345" s="7">
        <v>346.48</v>
      </c>
      <c r="J1345" s="7">
        <v>20095.580000000002</v>
      </c>
      <c r="K1345" s="6">
        <v>60</v>
      </c>
      <c r="L1345" t="s">
        <v>38</v>
      </c>
      <c r="M1345" s="8">
        <v>4019.116</v>
      </c>
      <c r="N1345" s="7">
        <v>20095.580000000002</v>
      </c>
      <c r="O1345" t="s">
        <v>46</v>
      </c>
      <c r="P1345" t="s">
        <v>40</v>
      </c>
    </row>
    <row r="1346" spans="1:16" x14ac:dyDescent="0.25">
      <c r="A1346" s="5">
        <v>45834</v>
      </c>
      <c r="B1346" t="s">
        <v>47</v>
      </c>
      <c r="C1346" t="s">
        <v>48</v>
      </c>
      <c r="D1346" t="s">
        <v>34</v>
      </c>
      <c r="E1346" t="s">
        <v>129</v>
      </c>
      <c r="F1346" t="s">
        <v>108</v>
      </c>
      <c r="G1346" t="s">
        <v>1471</v>
      </c>
      <c r="H1346" s="6">
        <v>52</v>
      </c>
      <c r="I1346" s="7">
        <v>126.44</v>
      </c>
      <c r="J1346" s="7">
        <v>6574.72</v>
      </c>
      <c r="K1346" s="6">
        <v>30</v>
      </c>
      <c r="L1346" t="s">
        <v>45</v>
      </c>
      <c r="M1346" s="8">
        <v>1314.944</v>
      </c>
      <c r="N1346" s="7">
        <v>6574.72</v>
      </c>
      <c r="O1346" t="s">
        <v>46</v>
      </c>
      <c r="P1346" t="s">
        <v>40</v>
      </c>
    </row>
    <row r="1347" spans="1:16" x14ac:dyDescent="0.25">
      <c r="A1347" s="5">
        <v>45829</v>
      </c>
      <c r="B1347" t="s">
        <v>143</v>
      </c>
      <c r="C1347" t="s">
        <v>144</v>
      </c>
      <c r="D1347" t="s">
        <v>69</v>
      </c>
      <c r="E1347" t="s">
        <v>152</v>
      </c>
      <c r="F1347" t="s">
        <v>50</v>
      </c>
      <c r="G1347" t="s">
        <v>1472</v>
      </c>
      <c r="H1347" s="6">
        <v>50</v>
      </c>
      <c r="I1347" s="7">
        <v>53.03</v>
      </c>
      <c r="J1347" s="7">
        <v>2651.34</v>
      </c>
      <c r="K1347" s="6">
        <v>60</v>
      </c>
      <c r="L1347" t="s">
        <v>52</v>
      </c>
      <c r="M1347" s="8">
        <v>530.26800000000003</v>
      </c>
      <c r="N1347" s="7">
        <v>2651.34</v>
      </c>
      <c r="O1347" t="s">
        <v>46</v>
      </c>
      <c r="P1347" t="s">
        <v>40</v>
      </c>
    </row>
    <row r="1348" spans="1:16" x14ac:dyDescent="0.25">
      <c r="A1348" s="5">
        <v>45934</v>
      </c>
      <c r="B1348" t="s">
        <v>103</v>
      </c>
      <c r="C1348" t="s">
        <v>104</v>
      </c>
      <c r="D1348" t="s">
        <v>58</v>
      </c>
      <c r="E1348" t="s">
        <v>124</v>
      </c>
      <c r="F1348" t="s">
        <v>89</v>
      </c>
      <c r="G1348" t="s">
        <v>1473</v>
      </c>
      <c r="H1348" s="6">
        <v>37</v>
      </c>
      <c r="I1348" s="7">
        <v>44.18</v>
      </c>
      <c r="J1348" s="7">
        <v>1634.71</v>
      </c>
      <c r="K1348" s="6">
        <v>30</v>
      </c>
      <c r="L1348" t="s">
        <v>38</v>
      </c>
      <c r="M1348" s="8">
        <v>326.94200000000001</v>
      </c>
      <c r="N1348" s="7">
        <v>1634.71</v>
      </c>
      <c r="O1348" t="s">
        <v>46</v>
      </c>
      <c r="P1348" t="s">
        <v>40</v>
      </c>
    </row>
    <row r="1349" spans="1:16" x14ac:dyDescent="0.25">
      <c r="A1349" s="5">
        <v>45832</v>
      </c>
      <c r="B1349" t="s">
        <v>77</v>
      </c>
      <c r="C1349" t="s">
        <v>78</v>
      </c>
      <c r="D1349" t="s">
        <v>58</v>
      </c>
      <c r="E1349" t="s">
        <v>115</v>
      </c>
      <c r="F1349" t="s">
        <v>60</v>
      </c>
      <c r="G1349" t="s">
        <v>1474</v>
      </c>
      <c r="H1349" s="6">
        <v>21</v>
      </c>
      <c r="I1349" s="7">
        <v>367.79</v>
      </c>
      <c r="J1349" s="7">
        <v>7723.52</v>
      </c>
      <c r="K1349" s="6">
        <v>30</v>
      </c>
      <c r="L1349" t="s">
        <v>38</v>
      </c>
      <c r="M1349" s="8">
        <v>1544.704</v>
      </c>
      <c r="N1349" s="7">
        <v>7723.52</v>
      </c>
      <c r="O1349" t="s">
        <v>46</v>
      </c>
      <c r="P1349" t="s">
        <v>40</v>
      </c>
    </row>
    <row r="1350" spans="1:16" x14ac:dyDescent="0.25">
      <c r="A1350" s="5">
        <v>45813</v>
      </c>
      <c r="B1350" t="s">
        <v>67</v>
      </c>
      <c r="C1350" t="s">
        <v>68</v>
      </c>
      <c r="D1350" t="s">
        <v>69</v>
      </c>
      <c r="E1350" t="s">
        <v>59</v>
      </c>
      <c r="F1350" t="s">
        <v>60</v>
      </c>
      <c r="G1350" t="s">
        <v>1475</v>
      </c>
      <c r="H1350" s="6">
        <v>55</v>
      </c>
      <c r="I1350" s="7">
        <v>103.74</v>
      </c>
      <c r="J1350" s="7">
        <v>5705.45</v>
      </c>
      <c r="K1350" s="6">
        <v>60</v>
      </c>
      <c r="L1350" t="s">
        <v>38</v>
      </c>
      <c r="M1350" s="8">
        <v>1141.0899999999999</v>
      </c>
      <c r="N1350" s="7">
        <v>5705.45</v>
      </c>
      <c r="O1350" t="s">
        <v>39</v>
      </c>
      <c r="P1350" t="s">
        <v>40</v>
      </c>
    </row>
    <row r="1351" spans="1:16" x14ac:dyDescent="0.25">
      <c r="A1351" s="5">
        <v>45790</v>
      </c>
      <c r="B1351" t="s">
        <v>67</v>
      </c>
      <c r="C1351" t="s">
        <v>68</v>
      </c>
      <c r="D1351" t="s">
        <v>69</v>
      </c>
      <c r="E1351" t="s">
        <v>210</v>
      </c>
      <c r="F1351" t="s">
        <v>50</v>
      </c>
      <c r="G1351" t="s">
        <v>1476</v>
      </c>
      <c r="H1351" s="6">
        <v>65</v>
      </c>
      <c r="I1351" s="7">
        <v>106.05</v>
      </c>
      <c r="J1351" s="7">
        <v>6892.97</v>
      </c>
      <c r="K1351" s="6">
        <v>45</v>
      </c>
      <c r="L1351" t="s">
        <v>38</v>
      </c>
      <c r="M1351" s="8">
        <v>1378.5940000000001</v>
      </c>
      <c r="N1351" s="7">
        <v>6892.97</v>
      </c>
      <c r="O1351" t="s">
        <v>46</v>
      </c>
      <c r="P1351" t="s">
        <v>40</v>
      </c>
    </row>
    <row r="1352" spans="1:16" x14ac:dyDescent="0.25">
      <c r="A1352" s="5">
        <v>45810</v>
      </c>
      <c r="B1352" t="s">
        <v>110</v>
      </c>
      <c r="C1352" t="s">
        <v>111</v>
      </c>
      <c r="D1352" t="s">
        <v>58</v>
      </c>
      <c r="E1352" t="s">
        <v>75</v>
      </c>
      <c r="F1352" t="s">
        <v>36</v>
      </c>
      <c r="G1352" t="s">
        <v>1477</v>
      </c>
      <c r="H1352" s="6">
        <v>74</v>
      </c>
      <c r="I1352" s="7">
        <v>34.15</v>
      </c>
      <c r="J1352" s="7">
        <v>2527.2600000000002</v>
      </c>
      <c r="K1352" s="6">
        <v>60</v>
      </c>
      <c r="L1352" t="s">
        <v>38</v>
      </c>
      <c r="M1352" s="8">
        <v>505.452</v>
      </c>
      <c r="N1352" s="7">
        <v>2527.2600000000002</v>
      </c>
      <c r="O1352" t="s">
        <v>46</v>
      </c>
      <c r="P1352" t="s">
        <v>40</v>
      </c>
    </row>
    <row r="1353" spans="1:16" x14ac:dyDescent="0.25">
      <c r="A1353" s="5">
        <v>45955</v>
      </c>
      <c r="B1353" t="s">
        <v>94</v>
      </c>
      <c r="C1353" t="s">
        <v>95</v>
      </c>
      <c r="D1353" t="s">
        <v>34</v>
      </c>
      <c r="E1353" t="s">
        <v>83</v>
      </c>
      <c r="F1353" t="s">
        <v>71</v>
      </c>
      <c r="G1353" t="s">
        <v>1478</v>
      </c>
      <c r="H1353" s="6">
        <v>73</v>
      </c>
      <c r="I1353" s="7">
        <v>35.26</v>
      </c>
      <c r="J1353" s="7">
        <v>2574.08</v>
      </c>
      <c r="K1353" s="6">
        <v>60</v>
      </c>
      <c r="L1353" t="s">
        <v>52</v>
      </c>
      <c r="M1353" s="8">
        <v>514.81600000000003</v>
      </c>
      <c r="N1353" s="7">
        <v>2574.08</v>
      </c>
      <c r="O1353" t="s">
        <v>39</v>
      </c>
      <c r="P1353" t="s">
        <v>40</v>
      </c>
    </row>
    <row r="1354" spans="1:16" x14ac:dyDescent="0.25">
      <c r="A1354" s="5">
        <v>45811</v>
      </c>
      <c r="B1354" t="s">
        <v>118</v>
      </c>
      <c r="C1354" t="s">
        <v>119</v>
      </c>
      <c r="D1354" t="s">
        <v>64</v>
      </c>
      <c r="E1354" t="s">
        <v>65</v>
      </c>
      <c r="F1354" t="s">
        <v>54</v>
      </c>
      <c r="G1354" t="s">
        <v>1479</v>
      </c>
      <c r="H1354" s="6">
        <v>37</v>
      </c>
      <c r="I1354" s="7">
        <v>336.72</v>
      </c>
      <c r="J1354" s="7">
        <v>12458.81</v>
      </c>
      <c r="K1354" s="6">
        <v>60</v>
      </c>
      <c r="L1354" t="s">
        <v>52</v>
      </c>
      <c r="M1354" s="8">
        <v>2491.7620000000002</v>
      </c>
      <c r="N1354" s="7">
        <v>12458.81</v>
      </c>
      <c r="O1354" t="s">
        <v>46</v>
      </c>
      <c r="P1354" t="s">
        <v>40</v>
      </c>
    </row>
    <row r="1355" spans="1:16" x14ac:dyDescent="0.25">
      <c r="A1355" s="5">
        <v>45851</v>
      </c>
      <c r="B1355" t="s">
        <v>118</v>
      </c>
      <c r="C1355" t="s">
        <v>119</v>
      </c>
      <c r="D1355" t="s">
        <v>64</v>
      </c>
      <c r="E1355" t="s">
        <v>124</v>
      </c>
      <c r="F1355" t="s">
        <v>89</v>
      </c>
      <c r="G1355" t="s">
        <v>1480</v>
      </c>
      <c r="H1355" s="6">
        <v>67</v>
      </c>
      <c r="I1355" s="7">
        <v>273.27999999999997</v>
      </c>
      <c r="J1355" s="7">
        <v>18309.669999999998</v>
      </c>
      <c r="K1355" s="6">
        <v>60</v>
      </c>
      <c r="L1355" t="s">
        <v>38</v>
      </c>
      <c r="M1355" s="8">
        <v>3661.9340000000002</v>
      </c>
      <c r="N1355" s="7">
        <v>18309.669999999998</v>
      </c>
      <c r="O1355" t="s">
        <v>46</v>
      </c>
      <c r="P1355" t="s">
        <v>40</v>
      </c>
    </row>
    <row r="1356" spans="1:16" x14ac:dyDescent="0.25">
      <c r="A1356" s="5">
        <v>45956</v>
      </c>
      <c r="B1356" t="s">
        <v>201</v>
      </c>
      <c r="C1356" t="s">
        <v>202</v>
      </c>
      <c r="D1356" t="s">
        <v>64</v>
      </c>
      <c r="E1356" t="s">
        <v>70</v>
      </c>
      <c r="F1356" t="s">
        <v>71</v>
      </c>
      <c r="G1356" t="s">
        <v>1481</v>
      </c>
      <c r="H1356" s="6">
        <v>25</v>
      </c>
      <c r="I1356" s="7">
        <v>69.19</v>
      </c>
      <c r="J1356" s="7">
        <v>1729.65</v>
      </c>
      <c r="K1356" s="6">
        <v>45</v>
      </c>
      <c r="L1356" t="s">
        <v>45</v>
      </c>
      <c r="M1356" s="8">
        <v>345.93</v>
      </c>
      <c r="N1356" s="7">
        <v>1729.65</v>
      </c>
      <c r="O1356" t="s">
        <v>46</v>
      </c>
      <c r="P1356" t="s">
        <v>40</v>
      </c>
    </row>
    <row r="1357" spans="1:16" x14ac:dyDescent="0.25">
      <c r="A1357" s="5">
        <v>45875</v>
      </c>
      <c r="B1357" t="s">
        <v>121</v>
      </c>
      <c r="C1357" t="s">
        <v>122</v>
      </c>
      <c r="D1357" t="s">
        <v>34</v>
      </c>
      <c r="E1357" t="s">
        <v>124</v>
      </c>
      <c r="F1357" t="s">
        <v>89</v>
      </c>
      <c r="G1357" t="s">
        <v>1482</v>
      </c>
      <c r="H1357" s="6">
        <v>53</v>
      </c>
      <c r="I1357" s="7">
        <v>43.29</v>
      </c>
      <c r="J1357" s="7">
        <v>2294.2800000000002</v>
      </c>
      <c r="K1357" s="6">
        <v>30</v>
      </c>
      <c r="L1357" t="s">
        <v>38</v>
      </c>
      <c r="M1357" s="8">
        <v>458.85599999999999</v>
      </c>
      <c r="N1357" s="7">
        <v>2294.2800000000002</v>
      </c>
      <c r="O1357" t="s">
        <v>46</v>
      </c>
      <c r="P1357" t="s">
        <v>40</v>
      </c>
    </row>
    <row r="1358" spans="1:16" x14ac:dyDescent="0.25">
      <c r="A1358" s="5">
        <v>45901</v>
      </c>
      <c r="B1358" t="s">
        <v>85</v>
      </c>
      <c r="C1358" t="s">
        <v>86</v>
      </c>
      <c r="D1358" t="s">
        <v>58</v>
      </c>
      <c r="E1358" t="s">
        <v>204</v>
      </c>
      <c r="F1358" t="s">
        <v>97</v>
      </c>
      <c r="G1358" t="s">
        <v>1483</v>
      </c>
      <c r="H1358" s="6">
        <v>28</v>
      </c>
      <c r="I1358" s="7">
        <v>222.15</v>
      </c>
      <c r="J1358" s="7">
        <v>6220.17</v>
      </c>
      <c r="K1358" s="6">
        <v>45</v>
      </c>
      <c r="L1358" t="s">
        <v>38</v>
      </c>
      <c r="M1358" s="8">
        <v>1244.0340000000001</v>
      </c>
      <c r="N1358" s="7">
        <v>6220.17</v>
      </c>
      <c r="O1358" t="s">
        <v>46</v>
      </c>
      <c r="P1358" t="s">
        <v>40</v>
      </c>
    </row>
    <row r="1359" spans="1:16" x14ac:dyDescent="0.25">
      <c r="A1359" s="5">
        <v>45944</v>
      </c>
      <c r="B1359" t="s">
        <v>94</v>
      </c>
      <c r="C1359" t="s">
        <v>95</v>
      </c>
      <c r="D1359" t="s">
        <v>34</v>
      </c>
      <c r="E1359" t="s">
        <v>105</v>
      </c>
      <c r="F1359" t="s">
        <v>97</v>
      </c>
      <c r="G1359" t="s">
        <v>1484</v>
      </c>
      <c r="H1359" s="6">
        <v>67</v>
      </c>
      <c r="I1359" s="7">
        <v>372.14</v>
      </c>
      <c r="J1359" s="7">
        <v>24933.49</v>
      </c>
      <c r="K1359" s="6">
        <v>45</v>
      </c>
      <c r="L1359" t="s">
        <v>45</v>
      </c>
      <c r="M1359" s="8">
        <v>4986.6980000000003</v>
      </c>
      <c r="N1359" s="7">
        <v>24933.49</v>
      </c>
      <c r="O1359" t="s">
        <v>46</v>
      </c>
      <c r="P1359" t="s">
        <v>40</v>
      </c>
    </row>
    <row r="1360" spans="1:16" x14ac:dyDescent="0.25">
      <c r="A1360" s="5">
        <v>45874</v>
      </c>
      <c r="B1360" t="s">
        <v>32</v>
      </c>
      <c r="C1360" t="s">
        <v>33</v>
      </c>
      <c r="D1360" t="s">
        <v>34</v>
      </c>
      <c r="E1360" t="s">
        <v>129</v>
      </c>
      <c r="F1360" t="s">
        <v>108</v>
      </c>
      <c r="G1360" t="s">
        <v>1485</v>
      </c>
      <c r="H1360" s="6">
        <v>57</v>
      </c>
      <c r="I1360" s="7">
        <v>33.25</v>
      </c>
      <c r="J1360" s="7">
        <v>1895.31</v>
      </c>
      <c r="K1360" s="6">
        <v>60</v>
      </c>
      <c r="L1360" t="s">
        <v>45</v>
      </c>
      <c r="M1360" s="8">
        <v>379.06200000000001</v>
      </c>
      <c r="N1360" s="7">
        <v>1895.31</v>
      </c>
      <c r="O1360" t="s">
        <v>46</v>
      </c>
      <c r="P1360" t="s">
        <v>40</v>
      </c>
    </row>
    <row r="1361" spans="1:16" x14ac:dyDescent="0.25">
      <c r="A1361" s="5">
        <v>45731</v>
      </c>
      <c r="B1361" t="s">
        <v>121</v>
      </c>
      <c r="C1361" t="s">
        <v>122</v>
      </c>
      <c r="D1361" t="s">
        <v>34</v>
      </c>
      <c r="E1361" t="s">
        <v>204</v>
      </c>
      <c r="F1361" t="s">
        <v>97</v>
      </c>
      <c r="G1361" t="s">
        <v>1486</v>
      </c>
      <c r="H1361" s="6">
        <v>65</v>
      </c>
      <c r="I1361" s="7">
        <v>331.83</v>
      </c>
      <c r="J1361" s="7">
        <v>21569.11</v>
      </c>
      <c r="K1361" s="6">
        <v>30</v>
      </c>
      <c r="L1361" t="s">
        <v>45</v>
      </c>
      <c r="M1361" s="8">
        <v>4313.8220000000001</v>
      </c>
      <c r="N1361" s="7">
        <v>21569.11</v>
      </c>
      <c r="O1361" t="s">
        <v>46</v>
      </c>
      <c r="P1361" t="s">
        <v>40</v>
      </c>
    </row>
    <row r="1362" spans="1:16" x14ac:dyDescent="0.25">
      <c r="A1362" s="5">
        <v>46018</v>
      </c>
      <c r="B1362" t="s">
        <v>41</v>
      </c>
      <c r="C1362" t="s">
        <v>42</v>
      </c>
      <c r="D1362" t="s">
        <v>34</v>
      </c>
      <c r="E1362" t="s">
        <v>107</v>
      </c>
      <c r="F1362" t="s">
        <v>108</v>
      </c>
      <c r="G1362" t="s">
        <v>1487</v>
      </c>
      <c r="H1362" s="6">
        <v>66</v>
      </c>
      <c r="I1362" s="7">
        <v>74.37</v>
      </c>
      <c r="J1362" s="7">
        <v>4908.49</v>
      </c>
      <c r="K1362" s="6">
        <v>60</v>
      </c>
      <c r="L1362" t="s">
        <v>38</v>
      </c>
      <c r="M1362" s="8">
        <v>981.69799999999998</v>
      </c>
      <c r="N1362" s="7">
        <v>4908.49</v>
      </c>
      <c r="O1362" t="s">
        <v>46</v>
      </c>
      <c r="P1362" t="s">
        <v>40</v>
      </c>
    </row>
    <row r="1363" spans="1:16" x14ac:dyDescent="0.25">
      <c r="A1363" s="5">
        <v>45900</v>
      </c>
      <c r="B1363" t="s">
        <v>118</v>
      </c>
      <c r="C1363" t="s">
        <v>119</v>
      </c>
      <c r="D1363" t="s">
        <v>64</v>
      </c>
      <c r="E1363" t="s">
        <v>65</v>
      </c>
      <c r="F1363" t="s">
        <v>54</v>
      </c>
      <c r="G1363" t="s">
        <v>1488</v>
      </c>
      <c r="H1363" s="6">
        <v>5</v>
      </c>
      <c r="I1363" s="7">
        <v>343.8</v>
      </c>
      <c r="J1363" s="7">
        <v>1719.02</v>
      </c>
      <c r="K1363" s="6">
        <v>60</v>
      </c>
      <c r="L1363" t="s">
        <v>38</v>
      </c>
      <c r="M1363" s="8">
        <v>343.80399999999997</v>
      </c>
      <c r="N1363" s="7">
        <v>1719.02</v>
      </c>
      <c r="O1363" t="s">
        <v>46</v>
      </c>
      <c r="P1363" t="s">
        <v>40</v>
      </c>
    </row>
    <row r="1364" spans="1:16" x14ac:dyDescent="0.25">
      <c r="A1364" s="5">
        <v>45966</v>
      </c>
      <c r="B1364" t="s">
        <v>110</v>
      </c>
      <c r="C1364" t="s">
        <v>111</v>
      </c>
      <c r="D1364" t="s">
        <v>58</v>
      </c>
      <c r="E1364" t="s">
        <v>83</v>
      </c>
      <c r="F1364" t="s">
        <v>71</v>
      </c>
      <c r="G1364" t="s">
        <v>1489</v>
      </c>
      <c r="H1364" s="6">
        <v>53</v>
      </c>
      <c r="I1364" s="7">
        <v>101.46</v>
      </c>
      <c r="J1364" s="7">
        <v>5377.28</v>
      </c>
      <c r="K1364" s="6">
        <v>30</v>
      </c>
      <c r="L1364" t="s">
        <v>38</v>
      </c>
      <c r="M1364" s="8">
        <v>1075.4559999999999</v>
      </c>
      <c r="N1364" s="7">
        <v>5377.28</v>
      </c>
      <c r="O1364" t="s">
        <v>39</v>
      </c>
      <c r="P1364" t="s">
        <v>40</v>
      </c>
    </row>
    <row r="1365" spans="1:16" x14ac:dyDescent="0.25">
      <c r="A1365" s="5">
        <v>45925</v>
      </c>
      <c r="B1365" t="s">
        <v>103</v>
      </c>
      <c r="C1365" t="s">
        <v>104</v>
      </c>
      <c r="D1365" t="s">
        <v>58</v>
      </c>
      <c r="E1365" t="s">
        <v>59</v>
      </c>
      <c r="F1365" t="s">
        <v>60</v>
      </c>
      <c r="G1365" t="s">
        <v>1490</v>
      </c>
      <c r="H1365" s="6">
        <v>20</v>
      </c>
      <c r="I1365" s="7">
        <v>128.82</v>
      </c>
      <c r="J1365" s="7">
        <v>2576.46</v>
      </c>
      <c r="K1365" s="6">
        <v>30</v>
      </c>
      <c r="L1365" t="s">
        <v>45</v>
      </c>
      <c r="M1365" s="8">
        <v>515.29200000000003</v>
      </c>
      <c r="N1365" s="7">
        <v>2576.46</v>
      </c>
      <c r="O1365" t="s">
        <v>39</v>
      </c>
      <c r="P1365" t="s">
        <v>40</v>
      </c>
    </row>
    <row r="1366" spans="1:16" x14ac:dyDescent="0.25">
      <c r="A1366" s="5">
        <v>45808</v>
      </c>
      <c r="B1366" t="s">
        <v>143</v>
      </c>
      <c r="C1366" t="s">
        <v>144</v>
      </c>
      <c r="D1366" t="s">
        <v>69</v>
      </c>
      <c r="E1366" t="s">
        <v>132</v>
      </c>
      <c r="F1366" t="s">
        <v>71</v>
      </c>
      <c r="G1366" t="s">
        <v>1491</v>
      </c>
      <c r="H1366" s="6">
        <v>63</v>
      </c>
      <c r="I1366" s="7">
        <v>183.46</v>
      </c>
      <c r="J1366" s="7">
        <v>11557.92</v>
      </c>
      <c r="K1366" s="6">
        <v>30</v>
      </c>
      <c r="L1366" t="s">
        <v>38</v>
      </c>
      <c r="M1366" s="8">
        <v>2311.5839999999998</v>
      </c>
      <c r="N1366" s="7">
        <v>11557.92</v>
      </c>
      <c r="O1366" t="s">
        <v>46</v>
      </c>
      <c r="P1366" t="s">
        <v>40</v>
      </c>
    </row>
    <row r="1367" spans="1:16" x14ac:dyDescent="0.25">
      <c r="A1367" s="5">
        <v>45814</v>
      </c>
      <c r="B1367" t="s">
        <v>77</v>
      </c>
      <c r="C1367" t="s">
        <v>78</v>
      </c>
      <c r="D1367" t="s">
        <v>58</v>
      </c>
      <c r="E1367" t="s">
        <v>204</v>
      </c>
      <c r="F1367" t="s">
        <v>97</v>
      </c>
      <c r="G1367" t="s">
        <v>1492</v>
      </c>
      <c r="H1367" s="6">
        <v>37</v>
      </c>
      <c r="I1367" s="7">
        <v>274.95</v>
      </c>
      <c r="J1367" s="7">
        <v>10173.17</v>
      </c>
      <c r="K1367" s="6">
        <v>30</v>
      </c>
      <c r="L1367" t="s">
        <v>38</v>
      </c>
      <c r="M1367" s="8">
        <v>2034.634</v>
      </c>
      <c r="N1367" s="7">
        <v>10173.17</v>
      </c>
      <c r="O1367" t="s">
        <v>46</v>
      </c>
      <c r="P1367" t="s">
        <v>40</v>
      </c>
    </row>
    <row r="1368" spans="1:16" x14ac:dyDescent="0.25">
      <c r="A1368" s="5">
        <v>45720</v>
      </c>
      <c r="B1368" t="s">
        <v>41</v>
      </c>
      <c r="C1368" t="s">
        <v>42</v>
      </c>
      <c r="D1368" t="s">
        <v>34</v>
      </c>
      <c r="E1368" t="s">
        <v>107</v>
      </c>
      <c r="F1368" t="s">
        <v>108</v>
      </c>
      <c r="G1368" t="s">
        <v>1493</v>
      </c>
      <c r="H1368" s="6">
        <v>71</v>
      </c>
      <c r="I1368" s="7">
        <v>73.88</v>
      </c>
      <c r="J1368" s="7">
        <v>5245.63</v>
      </c>
      <c r="K1368" s="6">
        <v>45</v>
      </c>
      <c r="L1368" t="s">
        <v>38</v>
      </c>
      <c r="M1368" s="8">
        <v>1049.126</v>
      </c>
      <c r="N1368" s="7">
        <v>5245.63</v>
      </c>
      <c r="O1368" t="s">
        <v>46</v>
      </c>
      <c r="P1368" t="s">
        <v>40</v>
      </c>
    </row>
    <row r="1369" spans="1:16" x14ac:dyDescent="0.25">
      <c r="A1369" s="5">
        <v>45951</v>
      </c>
      <c r="B1369" t="s">
        <v>62</v>
      </c>
      <c r="C1369" t="s">
        <v>63</v>
      </c>
      <c r="D1369" t="s">
        <v>64</v>
      </c>
      <c r="E1369" t="s">
        <v>96</v>
      </c>
      <c r="F1369" t="s">
        <v>97</v>
      </c>
      <c r="G1369" t="s">
        <v>1494</v>
      </c>
      <c r="H1369" s="6">
        <v>40</v>
      </c>
      <c r="I1369" s="7">
        <v>179.56</v>
      </c>
      <c r="J1369" s="7">
        <v>7182.23</v>
      </c>
      <c r="K1369" s="6">
        <v>60</v>
      </c>
      <c r="L1369" t="s">
        <v>45</v>
      </c>
      <c r="M1369" s="8">
        <v>1436.4459999999999</v>
      </c>
      <c r="N1369" s="7">
        <v>7182.23</v>
      </c>
      <c r="O1369" t="s">
        <v>46</v>
      </c>
      <c r="P1369" t="s">
        <v>40</v>
      </c>
    </row>
    <row r="1370" spans="1:16" x14ac:dyDescent="0.25">
      <c r="A1370" s="5">
        <v>45968</v>
      </c>
      <c r="B1370" t="s">
        <v>62</v>
      </c>
      <c r="C1370" t="s">
        <v>63</v>
      </c>
      <c r="D1370" t="s">
        <v>64</v>
      </c>
      <c r="E1370" t="s">
        <v>96</v>
      </c>
      <c r="F1370" t="s">
        <v>97</v>
      </c>
      <c r="G1370" t="s">
        <v>1495</v>
      </c>
      <c r="H1370" s="6">
        <v>17</v>
      </c>
      <c r="I1370" s="7">
        <v>235.09</v>
      </c>
      <c r="J1370" s="7">
        <v>3996.57</v>
      </c>
      <c r="K1370" s="6">
        <v>30</v>
      </c>
      <c r="L1370" t="s">
        <v>52</v>
      </c>
      <c r="M1370" s="8">
        <v>799.31399999999996</v>
      </c>
      <c r="N1370" s="7">
        <v>3996.57</v>
      </c>
      <c r="O1370" t="s">
        <v>46</v>
      </c>
      <c r="P1370" t="s">
        <v>40</v>
      </c>
    </row>
    <row r="1371" spans="1:16" x14ac:dyDescent="0.25">
      <c r="A1371" s="5">
        <v>45999</v>
      </c>
      <c r="B1371" t="s">
        <v>67</v>
      </c>
      <c r="C1371" t="s">
        <v>68</v>
      </c>
      <c r="D1371" t="s">
        <v>69</v>
      </c>
      <c r="E1371" t="s">
        <v>139</v>
      </c>
      <c r="F1371" t="s">
        <v>108</v>
      </c>
      <c r="G1371" t="s">
        <v>1496</v>
      </c>
      <c r="H1371" s="6">
        <v>58</v>
      </c>
      <c r="I1371" s="7">
        <v>46.1</v>
      </c>
      <c r="J1371" s="7">
        <v>2673.89</v>
      </c>
      <c r="K1371" s="6">
        <v>30</v>
      </c>
      <c r="L1371" t="s">
        <v>52</v>
      </c>
      <c r="M1371" s="8">
        <v>534.77800000000002</v>
      </c>
      <c r="N1371" s="7">
        <v>2673.89</v>
      </c>
      <c r="O1371" t="s">
        <v>46</v>
      </c>
      <c r="P1371" t="s">
        <v>40</v>
      </c>
    </row>
    <row r="1372" spans="1:16" x14ac:dyDescent="0.25">
      <c r="A1372" s="5">
        <v>45998</v>
      </c>
      <c r="B1372" t="s">
        <v>201</v>
      </c>
      <c r="C1372" t="s">
        <v>202</v>
      </c>
      <c r="D1372" t="s">
        <v>64</v>
      </c>
      <c r="E1372" t="s">
        <v>1497</v>
      </c>
      <c r="F1372" t="s">
        <v>36</v>
      </c>
      <c r="G1372" t="s">
        <v>1498</v>
      </c>
      <c r="H1372" s="6">
        <v>80</v>
      </c>
      <c r="I1372" s="7">
        <v>59.1</v>
      </c>
      <c r="J1372" s="7">
        <v>4728.17</v>
      </c>
      <c r="K1372" s="6">
        <v>45</v>
      </c>
      <c r="L1372" t="s">
        <v>45</v>
      </c>
      <c r="M1372" s="8">
        <v>945.63400000000001</v>
      </c>
      <c r="N1372" s="7">
        <v>4728.17</v>
      </c>
      <c r="O1372" t="s">
        <v>46</v>
      </c>
      <c r="P1372" t="s">
        <v>40</v>
      </c>
    </row>
    <row r="1373" spans="1:16" x14ac:dyDescent="0.25">
      <c r="A1373" s="5">
        <v>45934</v>
      </c>
      <c r="B1373" t="s">
        <v>67</v>
      </c>
      <c r="C1373" t="s">
        <v>68</v>
      </c>
      <c r="D1373" t="s">
        <v>69</v>
      </c>
      <c r="E1373" t="s">
        <v>96</v>
      </c>
      <c r="F1373" t="s">
        <v>97</v>
      </c>
      <c r="G1373" t="s">
        <v>1499</v>
      </c>
      <c r="H1373" s="6">
        <v>6</v>
      </c>
      <c r="I1373" s="7">
        <v>769.1</v>
      </c>
      <c r="J1373" s="7">
        <v>4614.6099999999997</v>
      </c>
      <c r="K1373" s="6">
        <v>60</v>
      </c>
      <c r="L1373" t="s">
        <v>45</v>
      </c>
      <c r="M1373" s="8">
        <v>922.92200000000003</v>
      </c>
      <c r="N1373" s="7">
        <v>4614.6099999999997</v>
      </c>
      <c r="O1373" t="s">
        <v>46</v>
      </c>
      <c r="P1373" t="s">
        <v>40</v>
      </c>
    </row>
    <row r="1374" spans="1:16" x14ac:dyDescent="0.25">
      <c r="A1374" s="5">
        <v>45703</v>
      </c>
      <c r="B1374" t="s">
        <v>121</v>
      </c>
      <c r="C1374" t="s">
        <v>122</v>
      </c>
      <c r="D1374" t="s">
        <v>34</v>
      </c>
      <c r="E1374" t="s">
        <v>115</v>
      </c>
      <c r="F1374" t="s">
        <v>60</v>
      </c>
      <c r="G1374" t="s">
        <v>1500</v>
      </c>
      <c r="H1374" s="6">
        <v>22</v>
      </c>
      <c r="I1374" s="7">
        <v>103.45</v>
      </c>
      <c r="J1374" s="7">
        <v>2275.89</v>
      </c>
      <c r="K1374" s="6">
        <v>60</v>
      </c>
      <c r="L1374" t="s">
        <v>38</v>
      </c>
      <c r="M1374" s="8">
        <v>455.178</v>
      </c>
      <c r="N1374" s="7">
        <v>2275.89</v>
      </c>
      <c r="O1374" t="s">
        <v>46</v>
      </c>
      <c r="P1374" t="s">
        <v>40</v>
      </c>
    </row>
    <row r="1375" spans="1:16" x14ac:dyDescent="0.25">
      <c r="A1375" s="5">
        <v>45988</v>
      </c>
      <c r="B1375" t="s">
        <v>62</v>
      </c>
      <c r="C1375" t="s">
        <v>63</v>
      </c>
      <c r="D1375" t="s">
        <v>64</v>
      </c>
      <c r="E1375" t="s">
        <v>115</v>
      </c>
      <c r="F1375" t="s">
        <v>60</v>
      </c>
      <c r="G1375" t="s">
        <v>1501</v>
      </c>
      <c r="H1375" s="6">
        <v>16</v>
      </c>
      <c r="I1375" s="7">
        <v>90.57</v>
      </c>
      <c r="J1375" s="7">
        <v>1449.19</v>
      </c>
      <c r="K1375" s="6">
        <v>60</v>
      </c>
      <c r="L1375" t="s">
        <v>52</v>
      </c>
      <c r="M1375" s="8">
        <v>289.83800000000002</v>
      </c>
      <c r="N1375" s="7">
        <v>1449.19</v>
      </c>
      <c r="O1375" t="s">
        <v>46</v>
      </c>
      <c r="P1375" t="s">
        <v>40</v>
      </c>
    </row>
    <row r="1376" spans="1:16" x14ac:dyDescent="0.25">
      <c r="A1376" s="5">
        <v>45935</v>
      </c>
      <c r="B1376" t="s">
        <v>100</v>
      </c>
      <c r="C1376" t="s">
        <v>101</v>
      </c>
      <c r="D1376" t="s">
        <v>69</v>
      </c>
      <c r="E1376" t="s">
        <v>53</v>
      </c>
      <c r="F1376" t="s">
        <v>54</v>
      </c>
      <c r="G1376" t="s">
        <v>1502</v>
      </c>
      <c r="H1376" s="6">
        <v>74</v>
      </c>
      <c r="I1376" s="7">
        <v>561.5</v>
      </c>
      <c r="J1376" s="7">
        <v>41550.699999999997</v>
      </c>
      <c r="K1376" s="6">
        <v>30</v>
      </c>
      <c r="L1376" t="s">
        <v>52</v>
      </c>
      <c r="M1376" s="8">
        <v>8310.14</v>
      </c>
      <c r="N1376" s="7">
        <v>41550.699999999997</v>
      </c>
      <c r="O1376" t="s">
        <v>46</v>
      </c>
      <c r="P1376" t="s">
        <v>40</v>
      </c>
    </row>
    <row r="1377" spans="1:16" x14ac:dyDescent="0.25">
      <c r="A1377" s="5">
        <v>45915</v>
      </c>
      <c r="B1377" t="s">
        <v>80</v>
      </c>
      <c r="C1377" t="s">
        <v>81</v>
      </c>
      <c r="D1377" t="s">
        <v>64</v>
      </c>
      <c r="E1377" t="s">
        <v>65</v>
      </c>
      <c r="F1377" t="s">
        <v>54</v>
      </c>
      <c r="G1377" t="s">
        <v>1503</v>
      </c>
      <c r="H1377" s="6">
        <v>3</v>
      </c>
      <c r="I1377" s="7">
        <v>222.81</v>
      </c>
      <c r="J1377" s="7">
        <v>668.44</v>
      </c>
      <c r="K1377" s="6">
        <v>30</v>
      </c>
      <c r="L1377" t="s">
        <v>52</v>
      </c>
      <c r="M1377" s="8">
        <v>133.68799999999999</v>
      </c>
      <c r="N1377" s="7">
        <v>668.44</v>
      </c>
      <c r="O1377" t="s">
        <v>46</v>
      </c>
      <c r="P1377" t="s">
        <v>40</v>
      </c>
    </row>
    <row r="1378" spans="1:16" x14ac:dyDescent="0.25">
      <c r="A1378" s="5">
        <v>45798</v>
      </c>
      <c r="B1378" t="s">
        <v>100</v>
      </c>
      <c r="C1378" t="s">
        <v>101</v>
      </c>
      <c r="D1378" t="s">
        <v>69</v>
      </c>
      <c r="E1378" t="s">
        <v>154</v>
      </c>
      <c r="F1378" t="s">
        <v>89</v>
      </c>
      <c r="G1378" t="s">
        <v>1504</v>
      </c>
      <c r="H1378" s="6">
        <v>27</v>
      </c>
      <c r="I1378" s="7">
        <v>124.58</v>
      </c>
      <c r="J1378" s="7">
        <v>3363.72</v>
      </c>
      <c r="K1378" s="6">
        <v>30</v>
      </c>
      <c r="L1378" t="s">
        <v>52</v>
      </c>
      <c r="M1378" s="8">
        <v>672.74400000000003</v>
      </c>
      <c r="N1378" s="7">
        <v>3363.72</v>
      </c>
      <c r="O1378" t="s">
        <v>39</v>
      </c>
      <c r="P1378" t="s">
        <v>40</v>
      </c>
    </row>
    <row r="1379" spans="1:16" x14ac:dyDescent="0.25">
      <c r="A1379" s="5">
        <v>45931</v>
      </c>
      <c r="B1379" t="s">
        <v>41</v>
      </c>
      <c r="C1379" t="s">
        <v>42</v>
      </c>
      <c r="D1379" t="s">
        <v>34</v>
      </c>
      <c r="E1379" t="s">
        <v>107</v>
      </c>
      <c r="F1379" t="s">
        <v>108</v>
      </c>
      <c r="G1379" t="s">
        <v>1505</v>
      </c>
      <c r="H1379" s="6">
        <v>78</v>
      </c>
      <c r="I1379" s="7">
        <v>132.88</v>
      </c>
      <c r="J1379" s="7">
        <v>10364.530000000001</v>
      </c>
      <c r="K1379" s="6">
        <v>45</v>
      </c>
      <c r="L1379" t="s">
        <v>45</v>
      </c>
      <c r="M1379" s="8">
        <v>2072.9059999999999</v>
      </c>
      <c r="N1379" s="7">
        <v>10364.530000000001</v>
      </c>
      <c r="O1379" t="s">
        <v>46</v>
      </c>
      <c r="P1379" t="s">
        <v>40</v>
      </c>
    </row>
    <row r="1380" spans="1:16" x14ac:dyDescent="0.25">
      <c r="A1380" s="5">
        <v>45669</v>
      </c>
      <c r="B1380" t="s">
        <v>77</v>
      </c>
      <c r="C1380" t="s">
        <v>78</v>
      </c>
      <c r="D1380" t="s">
        <v>58</v>
      </c>
      <c r="E1380" t="s">
        <v>210</v>
      </c>
      <c r="F1380" t="s">
        <v>50</v>
      </c>
      <c r="G1380" t="s">
        <v>1506</v>
      </c>
      <c r="H1380" s="6">
        <v>44</v>
      </c>
      <c r="I1380" s="7">
        <v>86</v>
      </c>
      <c r="J1380" s="7">
        <v>3784.21</v>
      </c>
      <c r="K1380" s="6">
        <v>45</v>
      </c>
      <c r="L1380" t="s">
        <v>38</v>
      </c>
      <c r="M1380" s="8">
        <v>756.84199999999998</v>
      </c>
      <c r="N1380" s="7">
        <v>3784.21</v>
      </c>
      <c r="O1380" t="s">
        <v>46</v>
      </c>
      <c r="P1380" t="s">
        <v>40</v>
      </c>
    </row>
    <row r="1381" spans="1:16" x14ac:dyDescent="0.25">
      <c r="A1381" s="5">
        <v>45820</v>
      </c>
      <c r="B1381" t="s">
        <v>113</v>
      </c>
      <c r="C1381" t="s">
        <v>114</v>
      </c>
      <c r="D1381" t="s">
        <v>69</v>
      </c>
      <c r="E1381" t="s">
        <v>152</v>
      </c>
      <c r="F1381" t="s">
        <v>50</v>
      </c>
      <c r="G1381" t="s">
        <v>1507</v>
      </c>
      <c r="H1381" s="6">
        <v>49</v>
      </c>
      <c r="I1381" s="7">
        <v>327.60000000000002</v>
      </c>
      <c r="J1381" s="7">
        <v>16052.46</v>
      </c>
      <c r="K1381" s="6">
        <v>45</v>
      </c>
      <c r="L1381" t="s">
        <v>38</v>
      </c>
      <c r="M1381" s="8">
        <v>3210.4920000000002</v>
      </c>
      <c r="N1381" s="7">
        <v>16052.46</v>
      </c>
      <c r="O1381" t="s">
        <v>46</v>
      </c>
      <c r="P1381" t="s">
        <v>40</v>
      </c>
    </row>
    <row r="1382" spans="1:16" x14ac:dyDescent="0.25">
      <c r="A1382" s="5">
        <v>45744</v>
      </c>
      <c r="B1382" t="s">
        <v>32</v>
      </c>
      <c r="C1382" t="s">
        <v>33</v>
      </c>
      <c r="D1382" t="s">
        <v>34</v>
      </c>
      <c r="E1382" t="s">
        <v>43</v>
      </c>
      <c r="F1382" t="s">
        <v>36</v>
      </c>
      <c r="G1382" t="s">
        <v>1508</v>
      </c>
      <c r="H1382" s="6">
        <v>37</v>
      </c>
      <c r="I1382" s="7">
        <v>94.37</v>
      </c>
      <c r="J1382" s="7">
        <v>3491.77</v>
      </c>
      <c r="K1382" s="6">
        <v>30</v>
      </c>
      <c r="L1382" t="s">
        <v>38</v>
      </c>
      <c r="M1382" s="8">
        <v>698.35400000000004</v>
      </c>
      <c r="N1382" s="7">
        <v>3491.77</v>
      </c>
      <c r="O1382" t="s">
        <v>46</v>
      </c>
      <c r="P1382" t="s">
        <v>40</v>
      </c>
    </row>
    <row r="1383" spans="1:16" x14ac:dyDescent="0.25">
      <c r="A1383" s="5">
        <v>45815</v>
      </c>
      <c r="B1383" t="s">
        <v>73</v>
      </c>
      <c r="C1383" t="s">
        <v>74</v>
      </c>
      <c r="D1383" t="s">
        <v>69</v>
      </c>
      <c r="E1383" t="s">
        <v>127</v>
      </c>
      <c r="F1383" t="s">
        <v>36</v>
      </c>
      <c r="G1383" t="s">
        <v>1509</v>
      </c>
      <c r="H1383" s="6">
        <v>53</v>
      </c>
      <c r="I1383" s="7">
        <v>49.7</v>
      </c>
      <c r="J1383" s="7">
        <v>2634.18</v>
      </c>
      <c r="K1383" s="6">
        <v>60</v>
      </c>
      <c r="L1383" t="s">
        <v>38</v>
      </c>
      <c r="M1383" s="8">
        <v>526.83600000000001</v>
      </c>
      <c r="N1383" s="7">
        <v>2634.18</v>
      </c>
      <c r="O1383" t="s">
        <v>39</v>
      </c>
      <c r="P1383" t="s">
        <v>40</v>
      </c>
    </row>
    <row r="1384" spans="1:16" x14ac:dyDescent="0.25">
      <c r="A1384" s="5">
        <v>45671</v>
      </c>
      <c r="B1384" t="s">
        <v>32</v>
      </c>
      <c r="C1384" t="s">
        <v>33</v>
      </c>
      <c r="D1384" t="s">
        <v>34</v>
      </c>
      <c r="E1384" t="s">
        <v>83</v>
      </c>
      <c r="F1384" t="s">
        <v>71</v>
      </c>
      <c r="G1384" t="s">
        <v>1510</v>
      </c>
      <c r="H1384" s="6">
        <v>8</v>
      </c>
      <c r="I1384" s="7">
        <v>311.19</v>
      </c>
      <c r="J1384" s="7">
        <v>2489.5</v>
      </c>
      <c r="K1384" s="6">
        <v>45</v>
      </c>
      <c r="L1384" t="s">
        <v>45</v>
      </c>
      <c r="M1384" s="8">
        <v>497.9</v>
      </c>
      <c r="N1384" s="7">
        <v>2489.5</v>
      </c>
      <c r="O1384" t="s">
        <v>39</v>
      </c>
      <c r="P1384" t="s">
        <v>40</v>
      </c>
    </row>
    <row r="1385" spans="1:16" x14ac:dyDescent="0.25">
      <c r="A1385" s="5">
        <v>45869</v>
      </c>
      <c r="B1385" t="s">
        <v>41</v>
      </c>
      <c r="C1385" t="s">
        <v>42</v>
      </c>
      <c r="D1385" t="s">
        <v>34</v>
      </c>
      <c r="E1385" t="s">
        <v>83</v>
      </c>
      <c r="F1385" t="s">
        <v>71</v>
      </c>
      <c r="G1385" t="s">
        <v>1511</v>
      </c>
      <c r="H1385" s="6">
        <v>42</v>
      </c>
      <c r="I1385" s="7">
        <v>68.08</v>
      </c>
      <c r="J1385" s="7">
        <v>2859.5</v>
      </c>
      <c r="K1385" s="6">
        <v>45</v>
      </c>
      <c r="L1385" t="s">
        <v>45</v>
      </c>
      <c r="M1385" s="8">
        <v>571.9</v>
      </c>
      <c r="N1385" s="7">
        <v>2859.5</v>
      </c>
      <c r="O1385" t="s">
        <v>39</v>
      </c>
      <c r="P1385" t="s">
        <v>40</v>
      </c>
    </row>
    <row r="1386" spans="1:16" x14ac:dyDescent="0.25">
      <c r="A1386" s="5">
        <v>45780</v>
      </c>
      <c r="B1386" t="s">
        <v>100</v>
      </c>
      <c r="C1386" t="s">
        <v>101</v>
      </c>
      <c r="D1386" t="s">
        <v>69</v>
      </c>
      <c r="E1386" t="s">
        <v>49</v>
      </c>
      <c r="F1386" t="s">
        <v>50</v>
      </c>
      <c r="G1386" t="s">
        <v>1512</v>
      </c>
      <c r="H1386" s="6">
        <v>77</v>
      </c>
      <c r="I1386" s="7">
        <v>180.48</v>
      </c>
      <c r="J1386" s="7">
        <v>13897.3</v>
      </c>
      <c r="K1386" s="6">
        <v>60</v>
      </c>
      <c r="L1386" t="s">
        <v>38</v>
      </c>
      <c r="M1386" s="8">
        <v>2779.46</v>
      </c>
      <c r="N1386" s="7">
        <v>13897.3</v>
      </c>
      <c r="O1386" t="s">
        <v>39</v>
      </c>
      <c r="P1386" t="s">
        <v>40</v>
      </c>
    </row>
    <row r="1387" spans="1:16" x14ac:dyDescent="0.25">
      <c r="A1387" s="5">
        <v>45795</v>
      </c>
      <c r="B1387" t="s">
        <v>113</v>
      </c>
      <c r="C1387" t="s">
        <v>114</v>
      </c>
      <c r="D1387" t="s">
        <v>69</v>
      </c>
      <c r="E1387" t="s">
        <v>204</v>
      </c>
      <c r="F1387" t="s">
        <v>97</v>
      </c>
      <c r="G1387" t="s">
        <v>1513</v>
      </c>
      <c r="H1387" s="6">
        <v>8</v>
      </c>
      <c r="I1387" s="7">
        <v>353.68</v>
      </c>
      <c r="J1387" s="7">
        <v>2829.44</v>
      </c>
      <c r="K1387" s="6">
        <v>45</v>
      </c>
      <c r="L1387" t="s">
        <v>45</v>
      </c>
      <c r="M1387" s="8">
        <v>565.88800000000003</v>
      </c>
      <c r="N1387" s="7">
        <v>2829.44</v>
      </c>
      <c r="O1387" t="s">
        <v>46</v>
      </c>
      <c r="P1387" t="s">
        <v>40</v>
      </c>
    </row>
    <row r="1388" spans="1:16" x14ac:dyDescent="0.25">
      <c r="A1388" s="5">
        <v>45905</v>
      </c>
      <c r="B1388" t="s">
        <v>47</v>
      </c>
      <c r="C1388" t="s">
        <v>48</v>
      </c>
      <c r="D1388" t="s">
        <v>34</v>
      </c>
      <c r="E1388" t="s">
        <v>204</v>
      </c>
      <c r="F1388" t="s">
        <v>97</v>
      </c>
      <c r="G1388" t="s">
        <v>1514</v>
      </c>
      <c r="H1388" s="6">
        <v>4</v>
      </c>
      <c r="I1388" s="7">
        <v>613.84</v>
      </c>
      <c r="J1388" s="7">
        <v>2455.37</v>
      </c>
      <c r="K1388" s="6">
        <v>45</v>
      </c>
      <c r="L1388" t="s">
        <v>52</v>
      </c>
      <c r="M1388" s="8">
        <v>491.07400000000001</v>
      </c>
      <c r="N1388" s="7">
        <v>2455.37</v>
      </c>
      <c r="O1388" t="s">
        <v>46</v>
      </c>
      <c r="P1388" t="s">
        <v>40</v>
      </c>
    </row>
    <row r="1389" spans="1:16" x14ac:dyDescent="0.25">
      <c r="A1389" s="5">
        <v>45941</v>
      </c>
      <c r="B1389" t="s">
        <v>143</v>
      </c>
      <c r="C1389" t="s">
        <v>144</v>
      </c>
      <c r="D1389" t="s">
        <v>69</v>
      </c>
      <c r="E1389" t="s">
        <v>210</v>
      </c>
      <c r="F1389" t="s">
        <v>50</v>
      </c>
      <c r="G1389" t="s">
        <v>1515</v>
      </c>
      <c r="H1389" s="6">
        <v>76</v>
      </c>
      <c r="I1389" s="7">
        <v>283.25</v>
      </c>
      <c r="J1389" s="7">
        <v>21526.85</v>
      </c>
      <c r="K1389" s="6">
        <v>60</v>
      </c>
      <c r="L1389" t="s">
        <v>38</v>
      </c>
      <c r="M1389" s="8">
        <v>4305.37</v>
      </c>
      <c r="N1389" s="7">
        <v>21526.85</v>
      </c>
      <c r="O1389" t="s">
        <v>46</v>
      </c>
      <c r="P1389" t="s">
        <v>40</v>
      </c>
    </row>
    <row r="1390" spans="1:16" x14ac:dyDescent="0.25">
      <c r="A1390" s="5">
        <v>45948</v>
      </c>
      <c r="B1390" t="s">
        <v>77</v>
      </c>
      <c r="C1390" t="s">
        <v>78</v>
      </c>
      <c r="D1390" t="s">
        <v>58</v>
      </c>
      <c r="E1390" t="s">
        <v>88</v>
      </c>
      <c r="F1390" t="s">
        <v>89</v>
      </c>
      <c r="G1390" t="s">
        <v>1516</v>
      </c>
      <c r="H1390" s="6">
        <v>53</v>
      </c>
      <c r="I1390" s="7">
        <v>183.2</v>
      </c>
      <c r="J1390" s="7">
        <v>9709.41</v>
      </c>
      <c r="K1390" s="6">
        <v>45</v>
      </c>
      <c r="L1390" t="s">
        <v>38</v>
      </c>
      <c r="M1390" s="8">
        <v>1941.8820000000001</v>
      </c>
      <c r="N1390" s="7">
        <v>9709.41</v>
      </c>
      <c r="O1390" t="s">
        <v>46</v>
      </c>
      <c r="P1390" t="s">
        <v>40</v>
      </c>
    </row>
    <row r="1391" spans="1:16" x14ac:dyDescent="0.25">
      <c r="A1391" s="5">
        <v>45849</v>
      </c>
      <c r="B1391" t="s">
        <v>80</v>
      </c>
      <c r="C1391" t="s">
        <v>81</v>
      </c>
      <c r="D1391" t="s">
        <v>64</v>
      </c>
      <c r="E1391" t="s">
        <v>135</v>
      </c>
      <c r="F1391" t="s">
        <v>54</v>
      </c>
      <c r="G1391" t="s">
        <v>1517</v>
      </c>
      <c r="H1391" s="6">
        <v>70</v>
      </c>
      <c r="I1391" s="7">
        <v>165.19</v>
      </c>
      <c r="J1391" s="7">
        <v>11563.12</v>
      </c>
      <c r="K1391" s="6">
        <v>30</v>
      </c>
      <c r="L1391" t="s">
        <v>38</v>
      </c>
      <c r="M1391" s="8">
        <v>2312.6239999999998</v>
      </c>
      <c r="N1391" s="7">
        <v>11563.12</v>
      </c>
      <c r="O1391" t="s">
        <v>46</v>
      </c>
      <c r="P1391" t="s">
        <v>40</v>
      </c>
    </row>
    <row r="1392" spans="1:16" x14ac:dyDescent="0.25">
      <c r="A1392" s="5">
        <v>45889</v>
      </c>
      <c r="B1392" t="s">
        <v>201</v>
      </c>
      <c r="C1392" t="s">
        <v>202</v>
      </c>
      <c r="D1392" t="s">
        <v>64</v>
      </c>
      <c r="E1392" t="s">
        <v>105</v>
      </c>
      <c r="F1392" t="s">
        <v>97</v>
      </c>
      <c r="G1392" t="s">
        <v>1518</v>
      </c>
      <c r="H1392" s="6">
        <v>6</v>
      </c>
      <c r="I1392" s="7">
        <v>386.36</v>
      </c>
      <c r="J1392" s="7">
        <v>2318.15</v>
      </c>
      <c r="K1392" s="6">
        <v>30</v>
      </c>
      <c r="L1392" t="s">
        <v>45</v>
      </c>
      <c r="M1392" s="8">
        <v>463.63</v>
      </c>
      <c r="N1392" s="7">
        <v>2318.15</v>
      </c>
      <c r="O1392" t="s">
        <v>46</v>
      </c>
      <c r="P1392" t="s">
        <v>40</v>
      </c>
    </row>
    <row r="1393" spans="1:16" x14ac:dyDescent="0.25">
      <c r="A1393" s="5">
        <v>45743</v>
      </c>
      <c r="B1393" t="s">
        <v>94</v>
      </c>
      <c r="C1393" t="s">
        <v>95</v>
      </c>
      <c r="D1393" t="s">
        <v>34</v>
      </c>
      <c r="E1393" t="s">
        <v>115</v>
      </c>
      <c r="F1393" t="s">
        <v>60</v>
      </c>
      <c r="G1393" t="s">
        <v>1519</v>
      </c>
      <c r="H1393" s="6">
        <v>1</v>
      </c>
      <c r="I1393" s="7">
        <v>151.55000000000001</v>
      </c>
      <c r="J1393" s="7">
        <v>151.55000000000001</v>
      </c>
      <c r="K1393" s="6">
        <v>30</v>
      </c>
      <c r="L1393" t="s">
        <v>45</v>
      </c>
      <c r="M1393" s="8">
        <v>30.31</v>
      </c>
      <c r="N1393" s="7">
        <v>151.55000000000001</v>
      </c>
      <c r="O1393" t="s">
        <v>46</v>
      </c>
      <c r="P1393" t="s">
        <v>40</v>
      </c>
    </row>
    <row r="1394" spans="1:16" x14ac:dyDescent="0.25">
      <c r="A1394" s="5">
        <v>45852</v>
      </c>
      <c r="B1394" t="s">
        <v>110</v>
      </c>
      <c r="C1394" t="s">
        <v>111</v>
      </c>
      <c r="D1394" t="s">
        <v>58</v>
      </c>
      <c r="E1394" t="s">
        <v>115</v>
      </c>
      <c r="F1394" t="s">
        <v>60</v>
      </c>
      <c r="G1394" t="s">
        <v>1520</v>
      </c>
      <c r="H1394" s="6">
        <v>45</v>
      </c>
      <c r="I1394" s="7">
        <v>665.8</v>
      </c>
      <c r="J1394" s="7">
        <v>29961.040000000001</v>
      </c>
      <c r="K1394" s="6">
        <v>60</v>
      </c>
      <c r="L1394" t="s">
        <v>38</v>
      </c>
      <c r="M1394" s="8">
        <v>5992.2079999999996</v>
      </c>
      <c r="N1394" s="7">
        <v>29961.040000000001</v>
      </c>
      <c r="O1394" t="s">
        <v>46</v>
      </c>
      <c r="P1394" t="s">
        <v>40</v>
      </c>
    </row>
    <row r="1395" spans="1:16" x14ac:dyDescent="0.25">
      <c r="A1395" s="5">
        <v>45740</v>
      </c>
      <c r="B1395" t="s">
        <v>121</v>
      </c>
      <c r="C1395" t="s">
        <v>122</v>
      </c>
      <c r="D1395" t="s">
        <v>34</v>
      </c>
      <c r="E1395" t="s">
        <v>59</v>
      </c>
      <c r="F1395" t="s">
        <v>60</v>
      </c>
      <c r="G1395" t="s">
        <v>1521</v>
      </c>
      <c r="H1395" s="6">
        <v>69</v>
      </c>
      <c r="I1395" s="7">
        <v>237.16</v>
      </c>
      <c r="J1395" s="7">
        <v>16363.83</v>
      </c>
      <c r="K1395" s="6">
        <v>60</v>
      </c>
      <c r="L1395" t="s">
        <v>38</v>
      </c>
      <c r="M1395" s="8">
        <v>3272.7660000000001</v>
      </c>
      <c r="N1395" s="7">
        <v>16363.83</v>
      </c>
      <c r="O1395" t="s">
        <v>39</v>
      </c>
      <c r="P1395" t="s">
        <v>40</v>
      </c>
    </row>
    <row r="1396" spans="1:16" x14ac:dyDescent="0.25">
      <c r="A1396" s="5">
        <v>46015</v>
      </c>
      <c r="B1396" t="s">
        <v>100</v>
      </c>
      <c r="C1396" t="s">
        <v>101</v>
      </c>
      <c r="D1396" t="s">
        <v>69</v>
      </c>
      <c r="E1396" t="s">
        <v>75</v>
      </c>
      <c r="F1396" t="s">
        <v>36</v>
      </c>
      <c r="G1396" t="s">
        <v>1522</v>
      </c>
      <c r="H1396" s="6">
        <v>16</v>
      </c>
      <c r="I1396" s="7">
        <v>53.17</v>
      </c>
      <c r="J1396" s="7">
        <v>850.69</v>
      </c>
      <c r="K1396" s="6">
        <v>30</v>
      </c>
      <c r="L1396" t="s">
        <v>52</v>
      </c>
      <c r="M1396" s="8">
        <v>170.13800000000001</v>
      </c>
      <c r="N1396" s="7">
        <v>850.69</v>
      </c>
      <c r="O1396" t="s">
        <v>46</v>
      </c>
      <c r="P1396" t="s">
        <v>40</v>
      </c>
    </row>
    <row r="1397" spans="1:16" x14ac:dyDescent="0.25">
      <c r="A1397" s="5">
        <v>45765</v>
      </c>
      <c r="B1397" t="s">
        <v>77</v>
      </c>
      <c r="C1397" t="s">
        <v>78</v>
      </c>
      <c r="D1397" t="s">
        <v>58</v>
      </c>
      <c r="E1397" t="s">
        <v>149</v>
      </c>
      <c r="F1397" t="s">
        <v>60</v>
      </c>
      <c r="G1397" t="s">
        <v>1523</v>
      </c>
      <c r="H1397" s="6">
        <v>79</v>
      </c>
      <c r="I1397" s="7">
        <v>243.52</v>
      </c>
      <c r="J1397" s="7">
        <v>19238.13</v>
      </c>
      <c r="K1397" s="6">
        <v>60</v>
      </c>
      <c r="L1397" t="s">
        <v>45</v>
      </c>
      <c r="M1397" s="8">
        <v>3847.6260000000002</v>
      </c>
      <c r="N1397" s="7">
        <v>19238.13</v>
      </c>
      <c r="O1397" t="s">
        <v>46</v>
      </c>
      <c r="P1397" t="s">
        <v>40</v>
      </c>
    </row>
    <row r="1398" spans="1:16" x14ac:dyDescent="0.25">
      <c r="A1398" s="5">
        <v>45791</v>
      </c>
      <c r="B1398" t="s">
        <v>56</v>
      </c>
      <c r="C1398" t="s">
        <v>57</v>
      </c>
      <c r="D1398" t="s">
        <v>58</v>
      </c>
      <c r="E1398" t="s">
        <v>70</v>
      </c>
      <c r="F1398" t="s">
        <v>71</v>
      </c>
      <c r="G1398" t="s">
        <v>1524</v>
      </c>
      <c r="H1398" s="6">
        <v>58</v>
      </c>
      <c r="I1398" s="7">
        <v>45.28</v>
      </c>
      <c r="J1398" s="7">
        <v>2626.48</v>
      </c>
      <c r="K1398" s="6">
        <v>45</v>
      </c>
      <c r="L1398" t="s">
        <v>38</v>
      </c>
      <c r="M1398" s="8">
        <v>525.29600000000005</v>
      </c>
      <c r="N1398" s="7">
        <v>2626.48</v>
      </c>
      <c r="O1398" t="s">
        <v>46</v>
      </c>
      <c r="P1398" t="s">
        <v>40</v>
      </c>
    </row>
    <row r="1399" spans="1:16" x14ac:dyDescent="0.25">
      <c r="A1399" s="5">
        <v>45765</v>
      </c>
      <c r="B1399" t="s">
        <v>85</v>
      </c>
      <c r="C1399" t="s">
        <v>86</v>
      </c>
      <c r="D1399" t="s">
        <v>58</v>
      </c>
      <c r="E1399" t="s">
        <v>132</v>
      </c>
      <c r="F1399" t="s">
        <v>71</v>
      </c>
      <c r="G1399" t="s">
        <v>1525</v>
      </c>
      <c r="H1399" s="6">
        <v>59</v>
      </c>
      <c r="I1399" s="7">
        <v>55.67</v>
      </c>
      <c r="J1399" s="7">
        <v>3284.69</v>
      </c>
      <c r="K1399" s="6">
        <v>60</v>
      </c>
      <c r="L1399" t="s">
        <v>45</v>
      </c>
      <c r="M1399" s="8">
        <v>656.93799999999999</v>
      </c>
      <c r="N1399" s="7">
        <v>3284.69</v>
      </c>
      <c r="O1399" t="s">
        <v>46</v>
      </c>
      <c r="P1399" t="s">
        <v>40</v>
      </c>
    </row>
    <row r="1400" spans="1:16" x14ac:dyDescent="0.25">
      <c r="A1400" s="5">
        <v>45659</v>
      </c>
      <c r="B1400" t="s">
        <v>41</v>
      </c>
      <c r="C1400" t="s">
        <v>42</v>
      </c>
      <c r="D1400" t="s">
        <v>34</v>
      </c>
      <c r="E1400" t="s">
        <v>124</v>
      </c>
      <c r="F1400" t="s">
        <v>89</v>
      </c>
      <c r="G1400" t="s">
        <v>1526</v>
      </c>
      <c r="H1400" s="6">
        <v>78</v>
      </c>
      <c r="I1400" s="7">
        <v>348.34</v>
      </c>
      <c r="J1400" s="7">
        <v>27170.67</v>
      </c>
      <c r="K1400" s="6">
        <v>45</v>
      </c>
      <c r="L1400" t="s">
        <v>38</v>
      </c>
      <c r="M1400" s="8">
        <v>5434.134</v>
      </c>
      <c r="N1400" s="7">
        <v>27170.67</v>
      </c>
      <c r="O1400" t="s">
        <v>46</v>
      </c>
      <c r="P1400" t="s">
        <v>40</v>
      </c>
    </row>
    <row r="1401" spans="1:16" x14ac:dyDescent="0.25">
      <c r="A1401" s="5">
        <v>45942</v>
      </c>
      <c r="B1401" t="s">
        <v>67</v>
      </c>
      <c r="C1401" t="s">
        <v>68</v>
      </c>
      <c r="D1401" t="s">
        <v>69</v>
      </c>
      <c r="E1401" t="s">
        <v>88</v>
      </c>
      <c r="F1401" t="s">
        <v>89</v>
      </c>
      <c r="G1401" t="s">
        <v>1527</v>
      </c>
      <c r="H1401" s="6">
        <v>63</v>
      </c>
      <c r="I1401" s="7">
        <v>125.42</v>
      </c>
      <c r="J1401" s="7">
        <v>7901.44</v>
      </c>
      <c r="K1401" s="6">
        <v>45</v>
      </c>
      <c r="L1401" t="s">
        <v>52</v>
      </c>
      <c r="M1401" s="8">
        <v>1580.288</v>
      </c>
      <c r="N1401" s="7">
        <v>7901.44</v>
      </c>
      <c r="O1401" t="s">
        <v>46</v>
      </c>
      <c r="P1401" t="s">
        <v>40</v>
      </c>
    </row>
    <row r="1402" spans="1:16" x14ac:dyDescent="0.25">
      <c r="A1402" s="5">
        <v>45673</v>
      </c>
      <c r="B1402" t="s">
        <v>100</v>
      </c>
      <c r="C1402" t="s">
        <v>101</v>
      </c>
      <c r="D1402" t="s">
        <v>69</v>
      </c>
      <c r="E1402" t="s">
        <v>43</v>
      </c>
      <c r="F1402" t="s">
        <v>36</v>
      </c>
      <c r="G1402" t="s">
        <v>1528</v>
      </c>
      <c r="H1402" s="6">
        <v>57</v>
      </c>
      <c r="I1402" s="7">
        <v>36.549999999999997</v>
      </c>
      <c r="J1402" s="7">
        <v>2083.15</v>
      </c>
      <c r="K1402" s="6">
        <v>60</v>
      </c>
      <c r="L1402" t="s">
        <v>38</v>
      </c>
      <c r="M1402" s="8">
        <v>416.63</v>
      </c>
      <c r="N1402" s="7">
        <v>2083.15</v>
      </c>
      <c r="O1402" t="s">
        <v>46</v>
      </c>
      <c r="P1402" t="s">
        <v>40</v>
      </c>
    </row>
    <row r="1403" spans="1:16" x14ac:dyDescent="0.25">
      <c r="A1403" s="5">
        <v>45841</v>
      </c>
      <c r="B1403" t="s">
        <v>73</v>
      </c>
      <c r="C1403" t="s">
        <v>74</v>
      </c>
      <c r="D1403" t="s">
        <v>69</v>
      </c>
      <c r="E1403" t="s">
        <v>105</v>
      </c>
      <c r="F1403" t="s">
        <v>97</v>
      </c>
      <c r="G1403" t="s">
        <v>1529</v>
      </c>
      <c r="H1403" s="6">
        <v>50</v>
      </c>
      <c r="I1403" s="7">
        <v>403</v>
      </c>
      <c r="J1403" s="7">
        <v>20150.099999999999</v>
      </c>
      <c r="K1403" s="6">
        <v>30</v>
      </c>
      <c r="L1403" t="s">
        <v>52</v>
      </c>
      <c r="M1403" s="8">
        <v>4030.02</v>
      </c>
      <c r="N1403" s="7">
        <v>20150.099999999999</v>
      </c>
      <c r="O1403" t="s">
        <v>46</v>
      </c>
      <c r="P1403" t="s">
        <v>40</v>
      </c>
    </row>
    <row r="1404" spans="1:16" x14ac:dyDescent="0.25">
      <c r="A1404" s="5">
        <v>45847</v>
      </c>
      <c r="B1404" t="s">
        <v>100</v>
      </c>
      <c r="C1404" t="s">
        <v>101</v>
      </c>
      <c r="D1404" t="s">
        <v>69</v>
      </c>
      <c r="E1404" t="s">
        <v>75</v>
      </c>
      <c r="F1404" t="s">
        <v>36</v>
      </c>
      <c r="G1404" t="s">
        <v>1530</v>
      </c>
      <c r="H1404" s="6">
        <v>25</v>
      </c>
      <c r="I1404" s="7">
        <v>124.78</v>
      </c>
      <c r="J1404" s="7">
        <v>3119.41</v>
      </c>
      <c r="K1404" s="6">
        <v>45</v>
      </c>
      <c r="L1404" t="s">
        <v>38</v>
      </c>
      <c r="M1404" s="8">
        <v>623.88199999999995</v>
      </c>
      <c r="N1404" s="7">
        <v>3119.41</v>
      </c>
      <c r="O1404" t="s">
        <v>46</v>
      </c>
      <c r="P1404" t="s">
        <v>40</v>
      </c>
    </row>
    <row r="1405" spans="1:16" x14ac:dyDescent="0.25">
      <c r="A1405" s="5">
        <v>46006</v>
      </c>
      <c r="B1405" t="s">
        <v>100</v>
      </c>
      <c r="C1405" t="s">
        <v>101</v>
      </c>
      <c r="D1405" t="s">
        <v>69</v>
      </c>
      <c r="E1405" t="s">
        <v>210</v>
      </c>
      <c r="F1405" t="s">
        <v>50</v>
      </c>
      <c r="G1405" t="s">
        <v>1531</v>
      </c>
      <c r="H1405" s="6">
        <v>46</v>
      </c>
      <c r="I1405" s="7">
        <v>178.2</v>
      </c>
      <c r="J1405" s="7">
        <v>8197.2800000000007</v>
      </c>
      <c r="K1405" s="6">
        <v>30</v>
      </c>
      <c r="L1405" t="s">
        <v>38</v>
      </c>
      <c r="M1405" s="8">
        <v>1639.4559999999999</v>
      </c>
      <c r="N1405" s="7">
        <v>8197.2800000000007</v>
      </c>
      <c r="O1405" t="s">
        <v>46</v>
      </c>
      <c r="P1405" t="s">
        <v>40</v>
      </c>
    </row>
    <row r="1406" spans="1:16" x14ac:dyDescent="0.25">
      <c r="A1406" s="5">
        <v>45771</v>
      </c>
      <c r="B1406" t="s">
        <v>80</v>
      </c>
      <c r="C1406" t="s">
        <v>81</v>
      </c>
      <c r="D1406" t="s">
        <v>64</v>
      </c>
      <c r="E1406" t="s">
        <v>115</v>
      </c>
      <c r="F1406" t="s">
        <v>60</v>
      </c>
      <c r="G1406" t="s">
        <v>1532</v>
      </c>
      <c r="H1406" s="6">
        <v>30</v>
      </c>
      <c r="I1406" s="7">
        <v>380.49</v>
      </c>
      <c r="J1406" s="7">
        <v>11414.63</v>
      </c>
      <c r="K1406" s="6">
        <v>45</v>
      </c>
      <c r="L1406" t="s">
        <v>45</v>
      </c>
      <c r="M1406" s="8">
        <v>2282.9259999999999</v>
      </c>
      <c r="N1406" s="7">
        <v>11414.63</v>
      </c>
      <c r="O1406" t="s">
        <v>46</v>
      </c>
      <c r="P1406" t="s">
        <v>40</v>
      </c>
    </row>
    <row r="1407" spans="1:16" x14ac:dyDescent="0.25">
      <c r="A1407" s="5">
        <v>46018</v>
      </c>
      <c r="B1407" t="s">
        <v>77</v>
      </c>
      <c r="C1407" t="s">
        <v>78</v>
      </c>
      <c r="D1407" t="s">
        <v>58</v>
      </c>
      <c r="E1407" t="s">
        <v>149</v>
      </c>
      <c r="F1407" t="s">
        <v>60</v>
      </c>
      <c r="G1407" t="s">
        <v>1533</v>
      </c>
      <c r="H1407" s="6">
        <v>78</v>
      </c>
      <c r="I1407" s="7">
        <v>145.1</v>
      </c>
      <c r="J1407" s="7">
        <v>11317.43</v>
      </c>
      <c r="K1407" s="6">
        <v>30</v>
      </c>
      <c r="L1407" t="s">
        <v>38</v>
      </c>
      <c r="M1407" s="8">
        <v>2263.4859999999999</v>
      </c>
      <c r="N1407" s="7">
        <v>11317.43</v>
      </c>
      <c r="O1407" t="s">
        <v>46</v>
      </c>
      <c r="P1407" t="s">
        <v>40</v>
      </c>
    </row>
    <row r="1408" spans="1:16" x14ac:dyDescent="0.25">
      <c r="A1408" s="5">
        <v>45800</v>
      </c>
      <c r="B1408" t="s">
        <v>67</v>
      </c>
      <c r="C1408" t="s">
        <v>68</v>
      </c>
      <c r="D1408" t="s">
        <v>69</v>
      </c>
      <c r="E1408" t="s">
        <v>204</v>
      </c>
      <c r="F1408" t="s">
        <v>97</v>
      </c>
      <c r="G1408" t="s">
        <v>1534</v>
      </c>
      <c r="H1408" s="6">
        <v>73</v>
      </c>
      <c r="I1408" s="7">
        <v>137.25</v>
      </c>
      <c r="J1408" s="7">
        <v>10019.07</v>
      </c>
      <c r="K1408" s="6">
        <v>60</v>
      </c>
      <c r="L1408" t="s">
        <v>45</v>
      </c>
      <c r="M1408" s="8">
        <v>2003.8140000000001</v>
      </c>
      <c r="N1408" s="7">
        <v>10019.07</v>
      </c>
      <c r="O1408" t="s">
        <v>46</v>
      </c>
      <c r="P1408" t="s">
        <v>40</v>
      </c>
    </row>
    <row r="1409" spans="1:16" x14ac:dyDescent="0.25">
      <c r="A1409" s="5">
        <v>45947</v>
      </c>
      <c r="B1409" t="s">
        <v>73</v>
      </c>
      <c r="C1409" t="s">
        <v>74</v>
      </c>
      <c r="D1409" t="s">
        <v>69</v>
      </c>
      <c r="E1409" t="s">
        <v>53</v>
      </c>
      <c r="F1409" t="s">
        <v>54</v>
      </c>
      <c r="G1409" t="s">
        <v>1535</v>
      </c>
      <c r="H1409" s="6">
        <v>78</v>
      </c>
      <c r="I1409" s="7">
        <v>570.89</v>
      </c>
      <c r="J1409" s="7">
        <v>44529.33</v>
      </c>
      <c r="K1409" s="6">
        <v>60</v>
      </c>
      <c r="L1409" t="s">
        <v>38</v>
      </c>
      <c r="M1409" s="8">
        <v>8905.866</v>
      </c>
      <c r="N1409" s="7">
        <v>44529.33</v>
      </c>
      <c r="O1409" t="s">
        <v>46</v>
      </c>
      <c r="P1409" t="s">
        <v>40</v>
      </c>
    </row>
    <row r="1410" spans="1:16" x14ac:dyDescent="0.25">
      <c r="A1410" s="5">
        <v>45691</v>
      </c>
      <c r="B1410" t="s">
        <v>67</v>
      </c>
      <c r="C1410" t="s">
        <v>68</v>
      </c>
      <c r="D1410" t="s">
        <v>69</v>
      </c>
      <c r="E1410" t="s">
        <v>124</v>
      </c>
      <c r="F1410" t="s">
        <v>89</v>
      </c>
      <c r="G1410" t="s">
        <v>1536</v>
      </c>
      <c r="H1410" s="6">
        <v>17</v>
      </c>
      <c r="I1410" s="7">
        <v>150.72999999999999</v>
      </c>
      <c r="J1410" s="7">
        <v>2562.39</v>
      </c>
      <c r="K1410" s="6">
        <v>45</v>
      </c>
      <c r="L1410" t="s">
        <v>52</v>
      </c>
      <c r="M1410" s="8">
        <v>512.47799999999995</v>
      </c>
      <c r="N1410" s="7">
        <v>2562.39</v>
      </c>
      <c r="O1410" t="s">
        <v>46</v>
      </c>
      <c r="P1410" t="s">
        <v>40</v>
      </c>
    </row>
    <row r="1411" spans="1:16" x14ac:dyDescent="0.25">
      <c r="A1411" s="5">
        <v>46005</v>
      </c>
      <c r="B1411" t="s">
        <v>77</v>
      </c>
      <c r="C1411" t="s">
        <v>78</v>
      </c>
      <c r="D1411" t="s">
        <v>58</v>
      </c>
      <c r="E1411" t="s">
        <v>59</v>
      </c>
      <c r="F1411" t="s">
        <v>60</v>
      </c>
      <c r="G1411" t="s">
        <v>1537</v>
      </c>
      <c r="H1411" s="6">
        <v>3</v>
      </c>
      <c r="I1411" s="7">
        <v>191.65</v>
      </c>
      <c r="J1411" s="7">
        <v>574.95000000000005</v>
      </c>
      <c r="K1411" s="6">
        <v>60</v>
      </c>
      <c r="L1411" t="s">
        <v>52</v>
      </c>
      <c r="M1411" s="8">
        <v>114.99</v>
      </c>
      <c r="N1411" s="7">
        <v>574.95000000000005</v>
      </c>
      <c r="O1411" t="s">
        <v>39</v>
      </c>
      <c r="P1411" t="s">
        <v>40</v>
      </c>
    </row>
    <row r="1412" spans="1:16" x14ac:dyDescent="0.25">
      <c r="A1412" s="5">
        <v>45944</v>
      </c>
      <c r="B1412" t="s">
        <v>103</v>
      </c>
      <c r="C1412" t="s">
        <v>104</v>
      </c>
      <c r="D1412" t="s">
        <v>58</v>
      </c>
      <c r="E1412" t="s">
        <v>115</v>
      </c>
      <c r="F1412" t="s">
        <v>60</v>
      </c>
      <c r="G1412" t="s">
        <v>1538</v>
      </c>
      <c r="H1412" s="6">
        <v>59</v>
      </c>
      <c r="I1412" s="7">
        <v>456.75</v>
      </c>
      <c r="J1412" s="7">
        <v>26948.2</v>
      </c>
      <c r="K1412" s="6">
        <v>30</v>
      </c>
      <c r="L1412" t="s">
        <v>45</v>
      </c>
      <c r="M1412" s="8">
        <v>5389.64</v>
      </c>
      <c r="N1412" s="7">
        <v>26948.2</v>
      </c>
      <c r="O1412" t="s">
        <v>46</v>
      </c>
      <c r="P1412" t="s">
        <v>40</v>
      </c>
    </row>
    <row r="1413" spans="1:16" x14ac:dyDescent="0.25">
      <c r="A1413" s="5">
        <v>45879</v>
      </c>
      <c r="B1413" t="s">
        <v>47</v>
      </c>
      <c r="C1413" t="s">
        <v>48</v>
      </c>
      <c r="D1413" t="s">
        <v>34</v>
      </c>
      <c r="E1413" t="s">
        <v>210</v>
      </c>
      <c r="F1413" t="s">
        <v>50</v>
      </c>
      <c r="G1413" t="s">
        <v>1539</v>
      </c>
      <c r="H1413" s="6">
        <v>53</v>
      </c>
      <c r="I1413" s="7">
        <v>162.94999999999999</v>
      </c>
      <c r="J1413" s="7">
        <v>8636.1299999999992</v>
      </c>
      <c r="K1413" s="6">
        <v>45</v>
      </c>
      <c r="L1413" t="s">
        <v>38</v>
      </c>
      <c r="M1413" s="8">
        <v>1727.2260000000001</v>
      </c>
      <c r="N1413" s="7">
        <v>8636.1299999999992</v>
      </c>
      <c r="O1413" t="s">
        <v>46</v>
      </c>
      <c r="P1413" t="s">
        <v>40</v>
      </c>
    </row>
    <row r="1414" spans="1:16" x14ac:dyDescent="0.25">
      <c r="A1414" s="5">
        <v>45843</v>
      </c>
      <c r="B1414" t="s">
        <v>85</v>
      </c>
      <c r="C1414" t="s">
        <v>86</v>
      </c>
      <c r="D1414" t="s">
        <v>58</v>
      </c>
      <c r="E1414" t="s">
        <v>139</v>
      </c>
      <c r="F1414" t="s">
        <v>108</v>
      </c>
      <c r="G1414" t="s">
        <v>1540</v>
      </c>
      <c r="H1414" s="6">
        <v>67</v>
      </c>
      <c r="I1414" s="7">
        <v>96.37</v>
      </c>
      <c r="J1414" s="7">
        <v>6456.99</v>
      </c>
      <c r="K1414" s="6">
        <v>30</v>
      </c>
      <c r="L1414" t="s">
        <v>52</v>
      </c>
      <c r="M1414" s="8">
        <v>1291.3979999999999</v>
      </c>
      <c r="N1414" s="7">
        <v>6456.99</v>
      </c>
      <c r="O1414" t="s">
        <v>46</v>
      </c>
      <c r="P1414" t="s">
        <v>40</v>
      </c>
    </row>
    <row r="1415" spans="1:16" x14ac:dyDescent="0.25">
      <c r="A1415" s="5">
        <v>45873</v>
      </c>
      <c r="B1415" t="s">
        <v>103</v>
      </c>
      <c r="C1415" t="s">
        <v>104</v>
      </c>
      <c r="D1415" t="s">
        <v>58</v>
      </c>
      <c r="E1415" t="s">
        <v>210</v>
      </c>
      <c r="F1415" t="s">
        <v>50</v>
      </c>
      <c r="G1415" t="s">
        <v>1541</v>
      </c>
      <c r="H1415" s="6">
        <v>69</v>
      </c>
      <c r="I1415" s="7">
        <v>394.75</v>
      </c>
      <c r="J1415" s="7">
        <v>27237.49</v>
      </c>
      <c r="K1415" s="6">
        <v>45</v>
      </c>
      <c r="L1415" t="s">
        <v>45</v>
      </c>
      <c r="M1415" s="8">
        <v>5447.4979999999996</v>
      </c>
      <c r="N1415" s="7">
        <v>27237.49</v>
      </c>
      <c r="O1415" t="s">
        <v>46</v>
      </c>
      <c r="P1415" t="s">
        <v>40</v>
      </c>
    </row>
    <row r="1416" spans="1:16" x14ac:dyDescent="0.25">
      <c r="A1416" s="5">
        <v>45829</v>
      </c>
      <c r="B1416" t="s">
        <v>103</v>
      </c>
      <c r="C1416" t="s">
        <v>104</v>
      </c>
      <c r="D1416" t="s">
        <v>58</v>
      </c>
      <c r="E1416" t="s">
        <v>204</v>
      </c>
      <c r="F1416" t="s">
        <v>97</v>
      </c>
      <c r="G1416" t="s">
        <v>1542</v>
      </c>
      <c r="H1416" s="6">
        <v>11</v>
      </c>
      <c r="I1416" s="7">
        <v>210.58</v>
      </c>
      <c r="J1416" s="7">
        <v>2316.34</v>
      </c>
      <c r="K1416" s="6">
        <v>60</v>
      </c>
      <c r="L1416" t="s">
        <v>38</v>
      </c>
      <c r="M1416" s="8">
        <v>463.26799999999997</v>
      </c>
      <c r="N1416" s="7">
        <v>2316.34</v>
      </c>
      <c r="O1416" t="s">
        <v>46</v>
      </c>
      <c r="P1416" t="s">
        <v>40</v>
      </c>
    </row>
    <row r="1417" spans="1:16" x14ac:dyDescent="0.25">
      <c r="A1417" s="5">
        <v>45874</v>
      </c>
      <c r="B1417" t="s">
        <v>67</v>
      </c>
      <c r="C1417" t="s">
        <v>68</v>
      </c>
      <c r="D1417" t="s">
        <v>69</v>
      </c>
      <c r="E1417" t="s">
        <v>53</v>
      </c>
      <c r="F1417" t="s">
        <v>54</v>
      </c>
      <c r="G1417" t="s">
        <v>1543</v>
      </c>
      <c r="H1417" s="6">
        <v>10</v>
      </c>
      <c r="I1417" s="7">
        <v>416.45</v>
      </c>
      <c r="J1417" s="7">
        <v>4164.53</v>
      </c>
      <c r="K1417" s="6">
        <v>30</v>
      </c>
      <c r="L1417" t="s">
        <v>38</v>
      </c>
      <c r="M1417" s="8">
        <v>832.90599999999995</v>
      </c>
      <c r="N1417" s="7">
        <v>4164.53</v>
      </c>
      <c r="O1417" t="s">
        <v>46</v>
      </c>
      <c r="P1417" t="s">
        <v>40</v>
      </c>
    </row>
    <row r="1418" spans="1:16" x14ac:dyDescent="0.25">
      <c r="A1418" s="5">
        <v>45690</v>
      </c>
      <c r="B1418" t="s">
        <v>113</v>
      </c>
      <c r="C1418" t="s">
        <v>114</v>
      </c>
      <c r="D1418" t="s">
        <v>69</v>
      </c>
      <c r="E1418" t="s">
        <v>132</v>
      </c>
      <c r="F1418" t="s">
        <v>71</v>
      </c>
      <c r="G1418" t="s">
        <v>1544</v>
      </c>
      <c r="H1418" s="6">
        <v>13</v>
      </c>
      <c r="I1418" s="7">
        <v>98.03</v>
      </c>
      <c r="J1418" s="7">
        <v>1274.3399999999999</v>
      </c>
      <c r="K1418" s="6">
        <v>30</v>
      </c>
      <c r="L1418" t="s">
        <v>45</v>
      </c>
      <c r="M1418" s="8">
        <v>254.86799999999999</v>
      </c>
      <c r="N1418" s="7">
        <v>1274.3399999999999</v>
      </c>
      <c r="O1418" t="s">
        <v>46</v>
      </c>
      <c r="P1418" t="s">
        <v>40</v>
      </c>
    </row>
    <row r="1419" spans="1:16" x14ac:dyDescent="0.25">
      <c r="A1419" s="5">
        <v>45978</v>
      </c>
      <c r="B1419" t="s">
        <v>80</v>
      </c>
      <c r="C1419" t="s">
        <v>81</v>
      </c>
      <c r="D1419" t="s">
        <v>64</v>
      </c>
      <c r="E1419" t="s">
        <v>152</v>
      </c>
      <c r="F1419" t="s">
        <v>50</v>
      </c>
      <c r="G1419" t="s">
        <v>1545</v>
      </c>
      <c r="H1419" s="6">
        <v>43</v>
      </c>
      <c r="I1419" s="7">
        <v>139.1</v>
      </c>
      <c r="J1419" s="7">
        <v>5981.45</v>
      </c>
      <c r="K1419" s="6">
        <v>45</v>
      </c>
      <c r="L1419" t="s">
        <v>38</v>
      </c>
      <c r="M1419" s="8">
        <v>1196.29</v>
      </c>
      <c r="N1419" s="7">
        <v>5981.45</v>
      </c>
      <c r="O1419" t="s">
        <v>46</v>
      </c>
      <c r="P1419" t="s">
        <v>40</v>
      </c>
    </row>
    <row r="1420" spans="1:16" x14ac:dyDescent="0.25">
      <c r="A1420" s="5">
        <v>45832</v>
      </c>
      <c r="B1420" t="s">
        <v>143</v>
      </c>
      <c r="C1420" t="s">
        <v>144</v>
      </c>
      <c r="D1420" t="s">
        <v>69</v>
      </c>
      <c r="E1420" t="s">
        <v>107</v>
      </c>
      <c r="F1420" t="s">
        <v>108</v>
      </c>
      <c r="G1420" t="s">
        <v>1546</v>
      </c>
      <c r="H1420" s="6">
        <v>7</v>
      </c>
      <c r="I1420" s="7">
        <v>173.84</v>
      </c>
      <c r="J1420" s="7">
        <v>1216.8900000000001</v>
      </c>
      <c r="K1420" s="6">
        <v>45</v>
      </c>
      <c r="L1420" t="s">
        <v>52</v>
      </c>
      <c r="M1420" s="8">
        <v>243.37799999999999</v>
      </c>
      <c r="N1420" s="7">
        <v>1216.8900000000001</v>
      </c>
      <c r="O1420" t="s">
        <v>46</v>
      </c>
      <c r="P1420" t="s">
        <v>40</v>
      </c>
    </row>
    <row r="1421" spans="1:16" x14ac:dyDescent="0.25">
      <c r="A1421" s="5">
        <v>45975</v>
      </c>
      <c r="B1421" t="s">
        <v>85</v>
      </c>
      <c r="C1421" t="s">
        <v>86</v>
      </c>
      <c r="D1421" t="s">
        <v>58</v>
      </c>
      <c r="E1421" t="s">
        <v>43</v>
      </c>
      <c r="F1421" t="s">
        <v>36</v>
      </c>
      <c r="G1421" t="s">
        <v>1547</v>
      </c>
      <c r="H1421" s="6">
        <v>57</v>
      </c>
      <c r="I1421" s="7">
        <v>85.94</v>
      </c>
      <c r="J1421" s="7">
        <v>4898.8100000000004</v>
      </c>
      <c r="K1421" s="6">
        <v>30</v>
      </c>
      <c r="L1421" t="s">
        <v>52</v>
      </c>
      <c r="M1421" s="8">
        <v>979.76199999999994</v>
      </c>
      <c r="N1421" s="7">
        <v>4898.8100000000004</v>
      </c>
      <c r="O1421" t="s">
        <v>46</v>
      </c>
      <c r="P1421" t="s">
        <v>40</v>
      </c>
    </row>
    <row r="1422" spans="1:16" x14ac:dyDescent="0.25">
      <c r="A1422" s="5">
        <v>45689</v>
      </c>
      <c r="B1422" t="s">
        <v>121</v>
      </c>
      <c r="C1422" t="s">
        <v>122</v>
      </c>
      <c r="D1422" t="s">
        <v>34</v>
      </c>
      <c r="E1422" t="s">
        <v>127</v>
      </c>
      <c r="F1422" t="s">
        <v>36</v>
      </c>
      <c r="G1422" t="s">
        <v>1548</v>
      </c>
      <c r="H1422" s="6">
        <v>5</v>
      </c>
      <c r="I1422" s="7">
        <v>87.4</v>
      </c>
      <c r="J1422" s="7">
        <v>436.98</v>
      </c>
      <c r="K1422" s="6">
        <v>45</v>
      </c>
      <c r="L1422" t="s">
        <v>45</v>
      </c>
      <c r="M1422" s="8">
        <v>87.396000000000001</v>
      </c>
      <c r="N1422" s="7">
        <v>436.98</v>
      </c>
      <c r="O1422" t="s">
        <v>39</v>
      </c>
      <c r="P1422" t="s">
        <v>40</v>
      </c>
    </row>
    <row r="1423" spans="1:16" x14ac:dyDescent="0.25">
      <c r="A1423" s="5">
        <v>45689</v>
      </c>
      <c r="B1423" t="s">
        <v>56</v>
      </c>
      <c r="C1423" t="s">
        <v>57</v>
      </c>
      <c r="D1423" t="s">
        <v>58</v>
      </c>
      <c r="E1423" t="s">
        <v>127</v>
      </c>
      <c r="F1423" t="s">
        <v>36</v>
      </c>
      <c r="G1423" t="s">
        <v>1549</v>
      </c>
      <c r="H1423" s="6">
        <v>57</v>
      </c>
      <c r="I1423" s="7">
        <v>117.25</v>
      </c>
      <c r="J1423" s="7">
        <v>6682.97</v>
      </c>
      <c r="K1423" s="6">
        <v>30</v>
      </c>
      <c r="L1423" t="s">
        <v>45</v>
      </c>
      <c r="M1423" s="8">
        <v>1336.5940000000001</v>
      </c>
      <c r="N1423" s="7">
        <v>6682.97</v>
      </c>
      <c r="O1423" t="s">
        <v>39</v>
      </c>
      <c r="P1423" t="s">
        <v>40</v>
      </c>
    </row>
    <row r="1424" spans="1:16" x14ac:dyDescent="0.25">
      <c r="A1424" s="5">
        <v>45710</v>
      </c>
      <c r="B1424" t="s">
        <v>67</v>
      </c>
      <c r="C1424" t="s">
        <v>68</v>
      </c>
      <c r="D1424" t="s">
        <v>69</v>
      </c>
      <c r="E1424" t="s">
        <v>204</v>
      </c>
      <c r="F1424" t="s">
        <v>97</v>
      </c>
      <c r="G1424" t="s">
        <v>1550</v>
      </c>
      <c r="H1424" s="6">
        <v>8</v>
      </c>
      <c r="I1424" s="7">
        <v>245.44</v>
      </c>
      <c r="J1424" s="7">
        <v>1963.53</v>
      </c>
      <c r="K1424" s="6">
        <v>60</v>
      </c>
      <c r="L1424" t="s">
        <v>38</v>
      </c>
      <c r="M1424" s="8">
        <v>392.70600000000002</v>
      </c>
      <c r="N1424" s="7">
        <v>1963.53</v>
      </c>
      <c r="O1424" t="s">
        <v>46</v>
      </c>
      <c r="P1424" t="s">
        <v>40</v>
      </c>
    </row>
    <row r="1425" spans="1:16" x14ac:dyDescent="0.25">
      <c r="A1425" s="5">
        <v>45707</v>
      </c>
      <c r="B1425" t="s">
        <v>56</v>
      </c>
      <c r="C1425" t="s">
        <v>57</v>
      </c>
      <c r="D1425" t="s">
        <v>58</v>
      </c>
      <c r="E1425" t="s">
        <v>96</v>
      </c>
      <c r="F1425" t="s">
        <v>97</v>
      </c>
      <c r="G1425" t="s">
        <v>1551</v>
      </c>
      <c r="H1425" s="6">
        <v>80</v>
      </c>
      <c r="I1425" s="7">
        <v>189.09</v>
      </c>
      <c r="J1425" s="7">
        <v>15127.11</v>
      </c>
      <c r="K1425" s="6">
        <v>45</v>
      </c>
      <c r="L1425" t="s">
        <v>38</v>
      </c>
      <c r="M1425" s="8">
        <v>3025.422</v>
      </c>
      <c r="N1425" s="7">
        <v>15127.11</v>
      </c>
      <c r="O1425" t="s">
        <v>46</v>
      </c>
      <c r="P1425" t="s">
        <v>40</v>
      </c>
    </row>
    <row r="1426" spans="1:16" x14ac:dyDescent="0.25">
      <c r="A1426" s="5">
        <v>45854</v>
      </c>
      <c r="B1426" t="s">
        <v>41</v>
      </c>
      <c r="C1426" t="s">
        <v>42</v>
      </c>
      <c r="D1426" t="s">
        <v>34</v>
      </c>
      <c r="E1426" t="s">
        <v>210</v>
      </c>
      <c r="F1426" t="s">
        <v>50</v>
      </c>
      <c r="G1426" t="s">
        <v>1552</v>
      </c>
      <c r="H1426" s="6">
        <v>60</v>
      </c>
      <c r="I1426" s="7">
        <v>67.55</v>
      </c>
      <c r="J1426" s="7">
        <v>4052.91</v>
      </c>
      <c r="K1426" s="6">
        <v>45</v>
      </c>
      <c r="L1426" t="s">
        <v>52</v>
      </c>
      <c r="M1426" s="8">
        <v>810.58199999999999</v>
      </c>
      <c r="N1426" s="7">
        <v>4052.91</v>
      </c>
      <c r="O1426" t="s">
        <v>46</v>
      </c>
      <c r="P1426" t="s">
        <v>40</v>
      </c>
    </row>
    <row r="1427" spans="1:16" x14ac:dyDescent="0.25">
      <c r="A1427" s="5">
        <v>45991</v>
      </c>
      <c r="B1427" t="s">
        <v>103</v>
      </c>
      <c r="C1427" t="s">
        <v>104</v>
      </c>
      <c r="D1427" t="s">
        <v>58</v>
      </c>
      <c r="E1427" t="s">
        <v>75</v>
      </c>
      <c r="F1427" t="s">
        <v>36</v>
      </c>
      <c r="G1427" t="s">
        <v>1553</v>
      </c>
      <c r="H1427" s="6">
        <v>4</v>
      </c>
      <c r="I1427" s="7">
        <v>22.04</v>
      </c>
      <c r="J1427" s="7">
        <v>88.16</v>
      </c>
      <c r="K1427" s="6">
        <v>45</v>
      </c>
      <c r="L1427" t="s">
        <v>52</v>
      </c>
      <c r="M1427" s="8">
        <v>17.632000000000001</v>
      </c>
      <c r="N1427" s="7">
        <v>88.16</v>
      </c>
      <c r="O1427" t="s">
        <v>46</v>
      </c>
      <c r="P1427" t="s">
        <v>40</v>
      </c>
    </row>
    <row r="1428" spans="1:16" x14ac:dyDescent="0.25">
      <c r="A1428" s="5">
        <v>45710</v>
      </c>
      <c r="B1428" t="s">
        <v>113</v>
      </c>
      <c r="C1428" t="s">
        <v>114</v>
      </c>
      <c r="D1428" t="s">
        <v>69</v>
      </c>
      <c r="E1428" t="s">
        <v>135</v>
      </c>
      <c r="F1428" t="s">
        <v>54</v>
      </c>
      <c r="G1428" t="s">
        <v>1554</v>
      </c>
      <c r="H1428" s="6">
        <v>2</v>
      </c>
      <c r="I1428" s="7">
        <v>774.62</v>
      </c>
      <c r="J1428" s="7">
        <v>1549.24</v>
      </c>
      <c r="K1428" s="6">
        <v>60</v>
      </c>
      <c r="L1428" t="s">
        <v>52</v>
      </c>
      <c r="M1428" s="8">
        <v>309.84800000000001</v>
      </c>
      <c r="N1428" s="7">
        <v>1549.24</v>
      </c>
      <c r="O1428" t="s">
        <v>46</v>
      </c>
      <c r="P1428" t="s">
        <v>40</v>
      </c>
    </row>
    <row r="1429" spans="1:16" x14ac:dyDescent="0.25">
      <c r="A1429" s="5">
        <v>45722</v>
      </c>
      <c r="B1429" t="s">
        <v>118</v>
      </c>
      <c r="C1429" t="s">
        <v>119</v>
      </c>
      <c r="D1429" t="s">
        <v>64</v>
      </c>
      <c r="E1429" t="s">
        <v>53</v>
      </c>
      <c r="F1429" t="s">
        <v>54</v>
      </c>
      <c r="G1429" t="s">
        <v>1555</v>
      </c>
      <c r="H1429" s="6">
        <v>66</v>
      </c>
      <c r="I1429" s="7">
        <v>136.28</v>
      </c>
      <c r="J1429" s="7">
        <v>8994.34</v>
      </c>
      <c r="K1429" s="6">
        <v>45</v>
      </c>
      <c r="L1429" t="s">
        <v>45</v>
      </c>
      <c r="M1429" s="8">
        <v>1798.8679999999999</v>
      </c>
      <c r="N1429" s="7">
        <v>8994.34</v>
      </c>
      <c r="O1429" t="s">
        <v>46</v>
      </c>
      <c r="P1429" t="s">
        <v>40</v>
      </c>
    </row>
    <row r="1430" spans="1:16" x14ac:dyDescent="0.25">
      <c r="A1430" s="5">
        <v>45975</v>
      </c>
      <c r="B1430" t="s">
        <v>121</v>
      </c>
      <c r="C1430" t="s">
        <v>122</v>
      </c>
      <c r="D1430" t="s">
        <v>34</v>
      </c>
      <c r="E1430" t="s">
        <v>129</v>
      </c>
      <c r="F1430" t="s">
        <v>108</v>
      </c>
      <c r="G1430" t="s">
        <v>1556</v>
      </c>
      <c r="H1430" s="6">
        <v>57</v>
      </c>
      <c r="I1430" s="7">
        <v>66.41</v>
      </c>
      <c r="J1430" s="7">
        <v>3785.18</v>
      </c>
      <c r="K1430" s="6">
        <v>30</v>
      </c>
      <c r="L1430" t="s">
        <v>38</v>
      </c>
      <c r="M1430" s="8">
        <v>757.03599999999994</v>
      </c>
      <c r="N1430" s="7">
        <v>3785.18</v>
      </c>
      <c r="O1430" t="s">
        <v>46</v>
      </c>
      <c r="P1430" t="s">
        <v>40</v>
      </c>
    </row>
    <row r="1431" spans="1:16" x14ac:dyDescent="0.25">
      <c r="A1431" s="5">
        <v>45723</v>
      </c>
      <c r="B1431" t="s">
        <v>110</v>
      </c>
      <c r="C1431" t="s">
        <v>111</v>
      </c>
      <c r="D1431" t="s">
        <v>58</v>
      </c>
      <c r="E1431" t="s">
        <v>49</v>
      </c>
      <c r="F1431" t="s">
        <v>50</v>
      </c>
      <c r="G1431" t="s">
        <v>1557</v>
      </c>
      <c r="H1431" s="6">
        <v>40</v>
      </c>
      <c r="I1431" s="7">
        <v>103.05</v>
      </c>
      <c r="J1431" s="7">
        <v>4122.12</v>
      </c>
      <c r="K1431" s="6">
        <v>60</v>
      </c>
      <c r="L1431" t="s">
        <v>45</v>
      </c>
      <c r="M1431" s="8">
        <v>824.42399999999998</v>
      </c>
      <c r="N1431" s="7">
        <v>4122.12</v>
      </c>
      <c r="O1431" t="s">
        <v>39</v>
      </c>
      <c r="P1431" t="s">
        <v>40</v>
      </c>
    </row>
    <row r="1432" spans="1:16" x14ac:dyDescent="0.25">
      <c r="A1432" s="5">
        <v>45956</v>
      </c>
      <c r="B1432" t="s">
        <v>100</v>
      </c>
      <c r="C1432" t="s">
        <v>101</v>
      </c>
      <c r="D1432" t="s">
        <v>69</v>
      </c>
      <c r="E1432" t="s">
        <v>132</v>
      </c>
      <c r="F1432" t="s">
        <v>71</v>
      </c>
      <c r="G1432" t="s">
        <v>1558</v>
      </c>
      <c r="H1432" s="6">
        <v>70</v>
      </c>
      <c r="I1432" s="7">
        <v>112.5</v>
      </c>
      <c r="J1432" s="7">
        <v>7874.98</v>
      </c>
      <c r="K1432" s="6">
        <v>30</v>
      </c>
      <c r="L1432" t="s">
        <v>38</v>
      </c>
      <c r="M1432" s="8">
        <v>1574.9960000000001</v>
      </c>
      <c r="N1432" s="7">
        <v>7874.98</v>
      </c>
      <c r="O1432" t="s">
        <v>46</v>
      </c>
      <c r="P1432" t="s">
        <v>40</v>
      </c>
    </row>
    <row r="1433" spans="1:16" x14ac:dyDescent="0.25">
      <c r="A1433" s="5">
        <v>45833</v>
      </c>
      <c r="B1433" t="s">
        <v>94</v>
      </c>
      <c r="C1433" t="s">
        <v>95</v>
      </c>
      <c r="D1433" t="s">
        <v>34</v>
      </c>
      <c r="E1433" t="s">
        <v>115</v>
      </c>
      <c r="F1433" t="s">
        <v>60</v>
      </c>
      <c r="G1433" t="s">
        <v>1559</v>
      </c>
      <c r="H1433" s="6">
        <v>38</v>
      </c>
      <c r="I1433" s="7">
        <v>344.57</v>
      </c>
      <c r="J1433" s="7">
        <v>13093.47</v>
      </c>
      <c r="K1433" s="6">
        <v>45</v>
      </c>
      <c r="L1433" t="s">
        <v>38</v>
      </c>
      <c r="M1433" s="8">
        <v>2618.694</v>
      </c>
      <c r="N1433" s="7">
        <v>13093.47</v>
      </c>
      <c r="O1433" t="s">
        <v>46</v>
      </c>
      <c r="P1433" t="s">
        <v>40</v>
      </c>
    </row>
    <row r="1434" spans="1:16" x14ac:dyDescent="0.25">
      <c r="A1434" s="5">
        <v>45779</v>
      </c>
      <c r="B1434" t="s">
        <v>56</v>
      </c>
      <c r="C1434" t="s">
        <v>57</v>
      </c>
      <c r="D1434" t="s">
        <v>58</v>
      </c>
      <c r="E1434" t="s">
        <v>154</v>
      </c>
      <c r="F1434" t="s">
        <v>89</v>
      </c>
      <c r="G1434" t="s">
        <v>1560</v>
      </c>
      <c r="H1434" s="6">
        <v>65</v>
      </c>
      <c r="I1434" s="7">
        <v>288.94</v>
      </c>
      <c r="J1434" s="7">
        <v>18781.07</v>
      </c>
      <c r="K1434" s="6">
        <v>60</v>
      </c>
      <c r="L1434" t="s">
        <v>38</v>
      </c>
      <c r="M1434" s="8">
        <v>3756.2139999999999</v>
      </c>
      <c r="N1434" s="7">
        <v>18781.07</v>
      </c>
      <c r="O1434" t="s">
        <v>39</v>
      </c>
      <c r="P1434" t="s">
        <v>40</v>
      </c>
    </row>
    <row r="1435" spans="1:16" x14ac:dyDescent="0.25">
      <c r="A1435" s="5">
        <v>45760</v>
      </c>
      <c r="B1435" t="s">
        <v>143</v>
      </c>
      <c r="C1435" t="s">
        <v>144</v>
      </c>
      <c r="D1435" t="s">
        <v>69</v>
      </c>
      <c r="E1435" t="s">
        <v>83</v>
      </c>
      <c r="F1435" t="s">
        <v>71</v>
      </c>
      <c r="G1435" t="s">
        <v>1561</v>
      </c>
      <c r="H1435" s="6">
        <v>26</v>
      </c>
      <c r="I1435" s="7">
        <v>68.94</v>
      </c>
      <c r="J1435" s="7">
        <v>1792.35</v>
      </c>
      <c r="K1435" s="6">
        <v>30</v>
      </c>
      <c r="L1435" t="s">
        <v>45</v>
      </c>
      <c r="M1435" s="8">
        <v>358.47</v>
      </c>
      <c r="N1435" s="7">
        <v>1792.35</v>
      </c>
      <c r="O1435" t="s">
        <v>39</v>
      </c>
      <c r="P1435" t="s">
        <v>40</v>
      </c>
    </row>
    <row r="1436" spans="1:16" x14ac:dyDescent="0.25">
      <c r="A1436" s="5">
        <v>46012</v>
      </c>
      <c r="B1436" t="s">
        <v>62</v>
      </c>
      <c r="C1436" t="s">
        <v>63</v>
      </c>
      <c r="D1436" t="s">
        <v>64</v>
      </c>
      <c r="E1436" t="s">
        <v>129</v>
      </c>
      <c r="F1436" t="s">
        <v>108</v>
      </c>
      <c r="G1436" t="s">
        <v>1562</v>
      </c>
      <c r="H1436" s="6">
        <v>60</v>
      </c>
      <c r="I1436" s="7">
        <v>68.41</v>
      </c>
      <c r="J1436" s="7">
        <v>4104.8100000000004</v>
      </c>
      <c r="K1436" s="6">
        <v>60</v>
      </c>
      <c r="L1436" t="s">
        <v>52</v>
      </c>
      <c r="M1436" s="8">
        <v>820.96199999999999</v>
      </c>
      <c r="N1436" s="7">
        <v>4104.8100000000004</v>
      </c>
      <c r="O1436" t="s">
        <v>46</v>
      </c>
      <c r="P1436" t="s">
        <v>40</v>
      </c>
    </row>
    <row r="1437" spans="1:16" x14ac:dyDescent="0.25">
      <c r="A1437" s="5">
        <v>45811</v>
      </c>
      <c r="B1437" t="s">
        <v>32</v>
      </c>
      <c r="C1437" t="s">
        <v>33</v>
      </c>
      <c r="D1437" t="s">
        <v>34</v>
      </c>
      <c r="E1437" t="s">
        <v>70</v>
      </c>
      <c r="F1437" t="s">
        <v>71</v>
      </c>
      <c r="G1437" t="s">
        <v>1563</v>
      </c>
      <c r="H1437" s="6">
        <v>54</v>
      </c>
      <c r="I1437" s="7">
        <v>110.97</v>
      </c>
      <c r="J1437" s="7">
        <v>5992.6</v>
      </c>
      <c r="K1437" s="6">
        <v>45</v>
      </c>
      <c r="L1437" t="s">
        <v>38</v>
      </c>
      <c r="M1437" s="8">
        <v>1198.52</v>
      </c>
      <c r="N1437" s="7">
        <v>5992.6</v>
      </c>
      <c r="O1437" t="s">
        <v>46</v>
      </c>
      <c r="P1437" t="s">
        <v>40</v>
      </c>
    </row>
    <row r="1438" spans="1:16" x14ac:dyDescent="0.25">
      <c r="A1438" s="5">
        <v>45911</v>
      </c>
      <c r="B1438" t="s">
        <v>47</v>
      </c>
      <c r="C1438" t="s">
        <v>48</v>
      </c>
      <c r="D1438" t="s">
        <v>34</v>
      </c>
      <c r="E1438" t="s">
        <v>107</v>
      </c>
      <c r="F1438" t="s">
        <v>108</v>
      </c>
      <c r="G1438" t="s">
        <v>1564</v>
      </c>
      <c r="H1438" s="6">
        <v>29</v>
      </c>
      <c r="I1438" s="7">
        <v>65.41</v>
      </c>
      <c r="J1438" s="7">
        <v>1896.95</v>
      </c>
      <c r="K1438" s="6">
        <v>30</v>
      </c>
      <c r="L1438" t="s">
        <v>52</v>
      </c>
      <c r="M1438" s="8">
        <v>379.39</v>
      </c>
      <c r="N1438" s="7">
        <v>1896.95</v>
      </c>
      <c r="O1438" t="s">
        <v>46</v>
      </c>
      <c r="P1438" t="s">
        <v>40</v>
      </c>
    </row>
    <row r="1439" spans="1:16" x14ac:dyDescent="0.25">
      <c r="A1439" s="5">
        <v>45977</v>
      </c>
      <c r="B1439" t="s">
        <v>77</v>
      </c>
      <c r="C1439" t="s">
        <v>78</v>
      </c>
      <c r="D1439" t="s">
        <v>58</v>
      </c>
      <c r="E1439" t="s">
        <v>65</v>
      </c>
      <c r="F1439" t="s">
        <v>54</v>
      </c>
      <c r="G1439" t="s">
        <v>1565</v>
      </c>
      <c r="H1439" s="6">
        <v>28</v>
      </c>
      <c r="I1439" s="7">
        <v>605.16</v>
      </c>
      <c r="J1439" s="7">
        <v>16944.62</v>
      </c>
      <c r="K1439" s="6">
        <v>30</v>
      </c>
      <c r="L1439" t="s">
        <v>45</v>
      </c>
      <c r="M1439" s="8">
        <v>3388.924</v>
      </c>
      <c r="N1439" s="7">
        <v>16944.62</v>
      </c>
      <c r="O1439" t="s">
        <v>46</v>
      </c>
      <c r="P1439" t="s">
        <v>40</v>
      </c>
    </row>
    <row r="1440" spans="1:16" x14ac:dyDescent="0.25">
      <c r="A1440" s="5">
        <v>45850</v>
      </c>
      <c r="B1440" t="s">
        <v>94</v>
      </c>
      <c r="C1440" t="s">
        <v>95</v>
      </c>
      <c r="D1440" t="s">
        <v>34</v>
      </c>
      <c r="E1440" t="s">
        <v>70</v>
      </c>
      <c r="F1440" t="s">
        <v>71</v>
      </c>
      <c r="G1440" t="s">
        <v>1566</v>
      </c>
      <c r="H1440" s="6">
        <v>27</v>
      </c>
      <c r="I1440" s="7">
        <v>124.45</v>
      </c>
      <c r="J1440" s="7">
        <v>3360.18</v>
      </c>
      <c r="K1440" s="6">
        <v>45</v>
      </c>
      <c r="L1440" t="s">
        <v>38</v>
      </c>
      <c r="M1440" s="8">
        <v>672.03599999999994</v>
      </c>
      <c r="N1440" s="7">
        <v>3360.18</v>
      </c>
      <c r="O1440" t="s">
        <v>46</v>
      </c>
      <c r="P1440" t="s">
        <v>40</v>
      </c>
    </row>
    <row r="1441" spans="1:16" x14ac:dyDescent="0.25">
      <c r="A1441" s="5">
        <v>45695</v>
      </c>
      <c r="B1441" t="s">
        <v>91</v>
      </c>
      <c r="C1441" t="s">
        <v>92</v>
      </c>
      <c r="D1441" t="s">
        <v>64</v>
      </c>
      <c r="E1441" t="s">
        <v>83</v>
      </c>
      <c r="F1441" t="s">
        <v>71</v>
      </c>
      <c r="G1441" t="s">
        <v>1567</v>
      </c>
      <c r="H1441" s="6">
        <v>46</v>
      </c>
      <c r="I1441" s="7">
        <v>142.32</v>
      </c>
      <c r="J1441" s="7">
        <v>6546.6</v>
      </c>
      <c r="K1441" s="6">
        <v>30</v>
      </c>
      <c r="L1441" t="s">
        <v>52</v>
      </c>
      <c r="M1441" s="8">
        <v>1309.32</v>
      </c>
      <c r="N1441" s="7">
        <v>6546.6</v>
      </c>
      <c r="O1441" t="s">
        <v>39</v>
      </c>
      <c r="P1441" t="s">
        <v>40</v>
      </c>
    </row>
    <row r="1442" spans="1:16" x14ac:dyDescent="0.25">
      <c r="A1442" s="5">
        <v>45883</v>
      </c>
      <c r="B1442" t="s">
        <v>91</v>
      </c>
      <c r="C1442" t="s">
        <v>92</v>
      </c>
      <c r="D1442" t="s">
        <v>64</v>
      </c>
      <c r="E1442" t="s">
        <v>88</v>
      </c>
      <c r="F1442" t="s">
        <v>89</v>
      </c>
      <c r="G1442" t="s">
        <v>1568</v>
      </c>
      <c r="H1442" s="6">
        <v>25</v>
      </c>
      <c r="I1442" s="7">
        <v>259.18</v>
      </c>
      <c r="J1442" s="7">
        <v>6479.62</v>
      </c>
      <c r="K1442" s="6">
        <v>60</v>
      </c>
      <c r="L1442" t="s">
        <v>52</v>
      </c>
      <c r="M1442" s="8">
        <v>1295.924</v>
      </c>
      <c r="N1442" s="7">
        <v>6479.62</v>
      </c>
      <c r="O1442" t="s">
        <v>46</v>
      </c>
      <c r="P1442" t="s">
        <v>40</v>
      </c>
    </row>
    <row r="1443" spans="1:16" x14ac:dyDescent="0.25">
      <c r="A1443" s="5">
        <v>45759</v>
      </c>
      <c r="B1443" t="s">
        <v>56</v>
      </c>
      <c r="C1443" t="s">
        <v>57</v>
      </c>
      <c r="D1443" t="s">
        <v>58</v>
      </c>
      <c r="E1443" t="s">
        <v>49</v>
      </c>
      <c r="F1443" t="s">
        <v>50</v>
      </c>
      <c r="G1443" t="s">
        <v>1569</v>
      </c>
      <c r="H1443" s="6">
        <v>26</v>
      </c>
      <c r="I1443" s="7">
        <v>228.81</v>
      </c>
      <c r="J1443" s="7">
        <v>5949.12</v>
      </c>
      <c r="K1443" s="6">
        <v>45</v>
      </c>
      <c r="L1443" t="s">
        <v>38</v>
      </c>
      <c r="M1443" s="8">
        <v>1189.8240000000001</v>
      </c>
      <c r="N1443" s="7">
        <v>5949.12</v>
      </c>
      <c r="O1443" t="s">
        <v>39</v>
      </c>
      <c r="P1443" t="s">
        <v>40</v>
      </c>
    </row>
    <row r="1444" spans="1:16" x14ac:dyDescent="0.25">
      <c r="A1444" s="5">
        <v>45747</v>
      </c>
      <c r="B1444" t="s">
        <v>100</v>
      </c>
      <c r="C1444" t="s">
        <v>101</v>
      </c>
      <c r="D1444" t="s">
        <v>69</v>
      </c>
      <c r="E1444" t="s">
        <v>115</v>
      </c>
      <c r="F1444" t="s">
        <v>60</v>
      </c>
      <c r="G1444" t="s">
        <v>1570</v>
      </c>
      <c r="H1444" s="6">
        <v>44</v>
      </c>
      <c r="I1444" s="7">
        <v>243.03</v>
      </c>
      <c r="J1444" s="7">
        <v>10693.37</v>
      </c>
      <c r="K1444" s="6">
        <v>60</v>
      </c>
      <c r="L1444" t="s">
        <v>38</v>
      </c>
      <c r="M1444" s="8">
        <v>2138.674</v>
      </c>
      <c r="N1444" s="7">
        <v>10693.37</v>
      </c>
      <c r="O1444" t="s">
        <v>46</v>
      </c>
      <c r="P1444" t="s">
        <v>40</v>
      </c>
    </row>
    <row r="1445" spans="1:16" x14ac:dyDescent="0.25">
      <c r="A1445" s="5">
        <v>45748</v>
      </c>
      <c r="B1445" t="s">
        <v>32</v>
      </c>
      <c r="C1445" t="s">
        <v>33</v>
      </c>
      <c r="D1445" t="s">
        <v>34</v>
      </c>
      <c r="E1445" t="s">
        <v>135</v>
      </c>
      <c r="F1445" t="s">
        <v>54</v>
      </c>
      <c r="G1445" t="s">
        <v>1571</v>
      </c>
      <c r="H1445" s="6">
        <v>34</v>
      </c>
      <c r="I1445" s="7">
        <v>122.51</v>
      </c>
      <c r="J1445" s="7">
        <v>4165.38</v>
      </c>
      <c r="K1445" s="6">
        <v>30</v>
      </c>
      <c r="L1445" t="s">
        <v>38</v>
      </c>
      <c r="M1445" s="8">
        <v>833.07600000000002</v>
      </c>
      <c r="N1445" s="7">
        <v>4165.38</v>
      </c>
      <c r="O1445" t="s">
        <v>46</v>
      </c>
      <c r="P1445" t="s">
        <v>40</v>
      </c>
    </row>
    <row r="1446" spans="1:16" x14ac:dyDescent="0.25">
      <c r="A1446" s="5">
        <v>45993</v>
      </c>
      <c r="B1446" t="s">
        <v>113</v>
      </c>
      <c r="C1446" t="s">
        <v>114</v>
      </c>
      <c r="D1446" t="s">
        <v>69</v>
      </c>
      <c r="E1446" t="s">
        <v>88</v>
      </c>
      <c r="F1446" t="s">
        <v>89</v>
      </c>
      <c r="G1446" t="s">
        <v>1572</v>
      </c>
      <c r="H1446" s="6">
        <v>15</v>
      </c>
      <c r="I1446" s="7">
        <v>224.26</v>
      </c>
      <c r="J1446" s="7">
        <v>3363.83</v>
      </c>
      <c r="K1446" s="6">
        <v>45</v>
      </c>
      <c r="L1446" t="s">
        <v>38</v>
      </c>
      <c r="M1446" s="8">
        <v>672.76599999999996</v>
      </c>
      <c r="N1446" s="7">
        <v>3363.83</v>
      </c>
      <c r="O1446" t="s">
        <v>46</v>
      </c>
      <c r="P1446" t="s">
        <v>40</v>
      </c>
    </row>
    <row r="1447" spans="1:16" x14ac:dyDescent="0.25">
      <c r="A1447" s="5">
        <v>45847</v>
      </c>
      <c r="B1447" t="s">
        <v>103</v>
      </c>
      <c r="C1447" t="s">
        <v>104</v>
      </c>
      <c r="D1447" t="s">
        <v>58</v>
      </c>
      <c r="E1447" t="s">
        <v>107</v>
      </c>
      <c r="F1447" t="s">
        <v>108</v>
      </c>
      <c r="G1447" t="s">
        <v>1573</v>
      </c>
      <c r="H1447" s="6">
        <v>48</v>
      </c>
      <c r="I1447" s="7">
        <v>52.42</v>
      </c>
      <c r="J1447" s="7">
        <v>2516.04</v>
      </c>
      <c r="K1447" s="6">
        <v>60</v>
      </c>
      <c r="L1447" t="s">
        <v>38</v>
      </c>
      <c r="M1447" s="8">
        <v>503.20800000000003</v>
      </c>
      <c r="N1447" s="7">
        <v>2516.04</v>
      </c>
      <c r="O1447" t="s">
        <v>46</v>
      </c>
      <c r="P1447" t="s">
        <v>40</v>
      </c>
    </row>
    <row r="1448" spans="1:16" x14ac:dyDescent="0.25">
      <c r="A1448" s="5">
        <v>45691</v>
      </c>
      <c r="B1448" t="s">
        <v>100</v>
      </c>
      <c r="C1448" t="s">
        <v>101</v>
      </c>
      <c r="D1448" t="s">
        <v>69</v>
      </c>
      <c r="E1448" t="s">
        <v>105</v>
      </c>
      <c r="F1448" t="s">
        <v>97</v>
      </c>
      <c r="G1448" t="s">
        <v>1574</v>
      </c>
      <c r="H1448" s="6">
        <v>16</v>
      </c>
      <c r="I1448" s="7">
        <v>224.31</v>
      </c>
      <c r="J1448" s="7">
        <v>3589.01</v>
      </c>
      <c r="K1448" s="6">
        <v>30</v>
      </c>
      <c r="L1448" t="s">
        <v>38</v>
      </c>
      <c r="M1448" s="8">
        <v>717.80200000000002</v>
      </c>
      <c r="N1448" s="7">
        <v>3589.01</v>
      </c>
      <c r="O1448" t="s">
        <v>46</v>
      </c>
      <c r="P1448" t="s">
        <v>40</v>
      </c>
    </row>
    <row r="1449" spans="1:16" x14ac:dyDescent="0.25">
      <c r="A1449" s="5">
        <v>45851</v>
      </c>
      <c r="B1449" t="s">
        <v>103</v>
      </c>
      <c r="C1449" t="s">
        <v>104</v>
      </c>
      <c r="D1449" t="s">
        <v>58</v>
      </c>
      <c r="E1449" t="s">
        <v>53</v>
      </c>
      <c r="F1449" t="s">
        <v>54</v>
      </c>
      <c r="G1449" t="s">
        <v>1575</v>
      </c>
      <c r="H1449" s="6">
        <v>48</v>
      </c>
      <c r="I1449" s="7">
        <v>345.14</v>
      </c>
      <c r="J1449" s="7">
        <v>16566.900000000001</v>
      </c>
      <c r="K1449" s="6">
        <v>45</v>
      </c>
      <c r="L1449" t="s">
        <v>52</v>
      </c>
      <c r="M1449" s="8">
        <v>3313.38</v>
      </c>
      <c r="N1449" s="7">
        <v>16566.900000000001</v>
      </c>
      <c r="O1449" t="s">
        <v>46</v>
      </c>
      <c r="P1449" t="s">
        <v>40</v>
      </c>
    </row>
    <row r="1450" spans="1:16" x14ac:dyDescent="0.25">
      <c r="A1450" s="5">
        <v>45973</v>
      </c>
      <c r="B1450" t="s">
        <v>41</v>
      </c>
      <c r="C1450" t="s">
        <v>42</v>
      </c>
      <c r="D1450" t="s">
        <v>34</v>
      </c>
      <c r="E1450" t="s">
        <v>135</v>
      </c>
      <c r="F1450" t="s">
        <v>54</v>
      </c>
      <c r="G1450" t="s">
        <v>1576</v>
      </c>
      <c r="H1450" s="6">
        <v>76</v>
      </c>
      <c r="I1450" s="7">
        <v>493.99</v>
      </c>
      <c r="J1450" s="7">
        <v>37543.29</v>
      </c>
      <c r="K1450" s="6">
        <v>30</v>
      </c>
      <c r="L1450" t="s">
        <v>52</v>
      </c>
      <c r="M1450" s="8">
        <v>7508.6580000000004</v>
      </c>
      <c r="N1450" s="7">
        <v>37543.29</v>
      </c>
      <c r="O1450" t="s">
        <v>46</v>
      </c>
      <c r="P1450" t="s">
        <v>40</v>
      </c>
    </row>
    <row r="1451" spans="1:16" x14ac:dyDescent="0.25">
      <c r="A1451" s="5">
        <v>45784</v>
      </c>
      <c r="B1451" t="s">
        <v>77</v>
      </c>
      <c r="C1451" t="s">
        <v>78</v>
      </c>
      <c r="D1451" t="s">
        <v>58</v>
      </c>
      <c r="E1451" t="s">
        <v>88</v>
      </c>
      <c r="F1451" t="s">
        <v>89</v>
      </c>
      <c r="G1451" t="s">
        <v>1577</v>
      </c>
      <c r="H1451" s="6">
        <v>7</v>
      </c>
      <c r="I1451" s="7">
        <v>182.12</v>
      </c>
      <c r="J1451" s="7">
        <v>1274.83</v>
      </c>
      <c r="K1451" s="6">
        <v>60</v>
      </c>
      <c r="L1451" t="s">
        <v>45</v>
      </c>
      <c r="M1451" s="8">
        <v>254.96600000000001</v>
      </c>
      <c r="N1451" s="7">
        <v>1274.83</v>
      </c>
      <c r="O1451" t="s">
        <v>46</v>
      </c>
      <c r="P1451" t="s">
        <v>40</v>
      </c>
    </row>
    <row r="1452" spans="1:16" x14ac:dyDescent="0.25">
      <c r="A1452" s="5">
        <v>45699</v>
      </c>
      <c r="B1452" t="s">
        <v>91</v>
      </c>
      <c r="C1452" t="s">
        <v>92</v>
      </c>
      <c r="D1452" t="s">
        <v>64</v>
      </c>
      <c r="E1452" t="s">
        <v>107</v>
      </c>
      <c r="F1452" t="s">
        <v>108</v>
      </c>
      <c r="G1452" t="s">
        <v>1578</v>
      </c>
      <c r="H1452" s="6">
        <v>61</v>
      </c>
      <c r="I1452" s="7">
        <v>88.89</v>
      </c>
      <c r="J1452" s="7">
        <v>5422</v>
      </c>
      <c r="K1452" s="6">
        <v>60</v>
      </c>
      <c r="L1452" t="s">
        <v>52</v>
      </c>
      <c r="M1452" s="8">
        <v>1084.4000000000001</v>
      </c>
      <c r="N1452" s="7">
        <v>5422</v>
      </c>
      <c r="O1452" t="s">
        <v>46</v>
      </c>
      <c r="P1452" t="s">
        <v>40</v>
      </c>
    </row>
    <row r="1453" spans="1:16" x14ac:dyDescent="0.25">
      <c r="A1453" s="5">
        <v>45856</v>
      </c>
      <c r="B1453" t="s">
        <v>103</v>
      </c>
      <c r="C1453" t="s">
        <v>104</v>
      </c>
      <c r="D1453" t="s">
        <v>58</v>
      </c>
      <c r="E1453" t="s">
        <v>124</v>
      </c>
      <c r="F1453" t="s">
        <v>89</v>
      </c>
      <c r="G1453" t="s">
        <v>1579</v>
      </c>
      <c r="H1453" s="6">
        <v>66</v>
      </c>
      <c r="I1453" s="7">
        <v>459.06</v>
      </c>
      <c r="J1453" s="7">
        <v>30297.78</v>
      </c>
      <c r="K1453" s="6">
        <v>45</v>
      </c>
      <c r="L1453" t="s">
        <v>45</v>
      </c>
      <c r="M1453" s="8">
        <v>6059.5559999999996</v>
      </c>
      <c r="N1453" s="7">
        <v>30297.78</v>
      </c>
      <c r="O1453" t="s">
        <v>46</v>
      </c>
      <c r="P1453" t="s">
        <v>40</v>
      </c>
    </row>
    <row r="1454" spans="1:16" x14ac:dyDescent="0.25">
      <c r="A1454" s="5">
        <v>45822</v>
      </c>
      <c r="B1454" t="s">
        <v>77</v>
      </c>
      <c r="C1454" t="s">
        <v>78</v>
      </c>
      <c r="D1454" t="s">
        <v>58</v>
      </c>
      <c r="E1454" t="s">
        <v>107</v>
      </c>
      <c r="F1454" t="s">
        <v>108</v>
      </c>
      <c r="G1454" t="s">
        <v>1580</v>
      </c>
      <c r="H1454" s="6">
        <v>48</v>
      </c>
      <c r="I1454" s="7">
        <v>85.62</v>
      </c>
      <c r="J1454" s="7">
        <v>4109.6899999999996</v>
      </c>
      <c r="K1454" s="6">
        <v>60</v>
      </c>
      <c r="L1454" t="s">
        <v>52</v>
      </c>
      <c r="M1454" s="8">
        <v>821.93799999999999</v>
      </c>
      <c r="N1454" s="7">
        <v>4109.6899999999996</v>
      </c>
      <c r="O1454" t="s">
        <v>46</v>
      </c>
      <c r="P1454" t="s">
        <v>40</v>
      </c>
    </row>
    <row r="1455" spans="1:16" x14ac:dyDescent="0.25">
      <c r="A1455" s="5">
        <v>45795</v>
      </c>
      <c r="B1455" t="s">
        <v>113</v>
      </c>
      <c r="C1455" t="s">
        <v>114</v>
      </c>
      <c r="D1455" t="s">
        <v>69</v>
      </c>
      <c r="E1455" t="s">
        <v>139</v>
      </c>
      <c r="F1455" t="s">
        <v>108</v>
      </c>
      <c r="G1455" t="s">
        <v>1581</v>
      </c>
      <c r="H1455" s="6">
        <v>75</v>
      </c>
      <c r="I1455" s="7">
        <v>313.69</v>
      </c>
      <c r="J1455" s="7">
        <v>23526.95</v>
      </c>
      <c r="K1455" s="6">
        <v>45</v>
      </c>
      <c r="L1455" t="s">
        <v>52</v>
      </c>
      <c r="M1455" s="8">
        <v>4705.3900000000003</v>
      </c>
      <c r="N1455" s="7">
        <v>23526.95</v>
      </c>
      <c r="O1455" t="s">
        <v>46</v>
      </c>
      <c r="P1455" t="s">
        <v>40</v>
      </c>
    </row>
    <row r="1456" spans="1:16" x14ac:dyDescent="0.25">
      <c r="A1456" s="5">
        <v>45770</v>
      </c>
      <c r="B1456" t="s">
        <v>143</v>
      </c>
      <c r="C1456" t="s">
        <v>144</v>
      </c>
      <c r="D1456" t="s">
        <v>69</v>
      </c>
      <c r="E1456" t="s">
        <v>49</v>
      </c>
      <c r="F1456" t="s">
        <v>50</v>
      </c>
      <c r="G1456" t="s">
        <v>1582</v>
      </c>
      <c r="H1456" s="6">
        <v>26</v>
      </c>
      <c r="I1456" s="7">
        <v>163.78</v>
      </c>
      <c r="J1456" s="7">
        <v>4258.2700000000004</v>
      </c>
      <c r="K1456" s="6">
        <v>45</v>
      </c>
      <c r="L1456" t="s">
        <v>38</v>
      </c>
      <c r="M1456" s="8">
        <v>851.654</v>
      </c>
      <c r="N1456" s="7">
        <v>4258.2700000000004</v>
      </c>
      <c r="O1456" t="s">
        <v>39</v>
      </c>
      <c r="P1456" t="s">
        <v>40</v>
      </c>
    </row>
    <row r="1457" spans="1:16" x14ac:dyDescent="0.25">
      <c r="A1457" s="5">
        <v>45875</v>
      </c>
      <c r="B1457" t="s">
        <v>201</v>
      </c>
      <c r="C1457" t="s">
        <v>202</v>
      </c>
      <c r="D1457" t="s">
        <v>64</v>
      </c>
      <c r="E1457" t="s">
        <v>65</v>
      </c>
      <c r="F1457" t="s">
        <v>54</v>
      </c>
      <c r="G1457" t="s">
        <v>1583</v>
      </c>
      <c r="H1457" s="6">
        <v>49</v>
      </c>
      <c r="I1457" s="7">
        <v>94.92</v>
      </c>
      <c r="J1457" s="7">
        <v>4651.1099999999997</v>
      </c>
      <c r="K1457" s="6">
        <v>60</v>
      </c>
      <c r="L1457" t="s">
        <v>38</v>
      </c>
      <c r="M1457" s="8">
        <v>930.22199999999998</v>
      </c>
      <c r="N1457" s="7">
        <v>4651.1099999999997</v>
      </c>
      <c r="O1457" t="s">
        <v>46</v>
      </c>
      <c r="P1457" t="s">
        <v>40</v>
      </c>
    </row>
    <row r="1458" spans="1:16" x14ac:dyDescent="0.25">
      <c r="A1458" s="5">
        <v>45701</v>
      </c>
      <c r="B1458" t="s">
        <v>85</v>
      </c>
      <c r="C1458" t="s">
        <v>86</v>
      </c>
      <c r="D1458" t="s">
        <v>58</v>
      </c>
      <c r="E1458" t="s">
        <v>115</v>
      </c>
      <c r="F1458" t="s">
        <v>60</v>
      </c>
      <c r="G1458" t="s">
        <v>1584</v>
      </c>
      <c r="H1458" s="6">
        <v>18</v>
      </c>
      <c r="I1458" s="7">
        <v>332.94</v>
      </c>
      <c r="J1458" s="7">
        <v>5992.94</v>
      </c>
      <c r="K1458" s="6">
        <v>30</v>
      </c>
      <c r="L1458" t="s">
        <v>45</v>
      </c>
      <c r="M1458" s="8">
        <v>1198.588</v>
      </c>
      <c r="N1458" s="7">
        <v>5992.94</v>
      </c>
      <c r="O1458" t="s">
        <v>46</v>
      </c>
      <c r="P1458" t="s">
        <v>40</v>
      </c>
    </row>
    <row r="1459" spans="1:16" x14ac:dyDescent="0.25">
      <c r="A1459" s="5">
        <v>45956</v>
      </c>
      <c r="B1459" t="s">
        <v>94</v>
      </c>
      <c r="C1459" t="s">
        <v>95</v>
      </c>
      <c r="D1459" t="s">
        <v>34</v>
      </c>
      <c r="E1459" t="s">
        <v>83</v>
      </c>
      <c r="F1459" t="s">
        <v>71</v>
      </c>
      <c r="G1459" t="s">
        <v>1585</v>
      </c>
      <c r="H1459" s="6">
        <v>6</v>
      </c>
      <c r="I1459" s="7">
        <v>117.16</v>
      </c>
      <c r="J1459" s="7">
        <v>702.94</v>
      </c>
      <c r="K1459" s="6">
        <v>45</v>
      </c>
      <c r="L1459" t="s">
        <v>52</v>
      </c>
      <c r="M1459" s="8">
        <v>140.58799999999999</v>
      </c>
      <c r="N1459" s="7">
        <v>702.94</v>
      </c>
      <c r="O1459" t="s">
        <v>39</v>
      </c>
      <c r="P1459" t="s">
        <v>40</v>
      </c>
    </row>
    <row r="1460" spans="1:16" x14ac:dyDescent="0.25">
      <c r="A1460" s="5">
        <v>45888</v>
      </c>
      <c r="B1460" t="s">
        <v>67</v>
      </c>
      <c r="C1460" t="s">
        <v>68</v>
      </c>
      <c r="D1460" t="s">
        <v>69</v>
      </c>
      <c r="E1460" t="s">
        <v>132</v>
      </c>
      <c r="F1460" t="s">
        <v>71</v>
      </c>
      <c r="G1460" t="s">
        <v>1586</v>
      </c>
      <c r="H1460" s="6">
        <v>60</v>
      </c>
      <c r="I1460" s="7">
        <v>193.11</v>
      </c>
      <c r="J1460" s="7">
        <v>11586.38</v>
      </c>
      <c r="K1460" s="6">
        <v>45</v>
      </c>
      <c r="L1460" t="s">
        <v>45</v>
      </c>
      <c r="M1460" s="8">
        <v>2317.2759999999998</v>
      </c>
      <c r="N1460" s="7">
        <v>11586.38</v>
      </c>
      <c r="O1460" t="s">
        <v>46</v>
      </c>
      <c r="P1460" t="s">
        <v>40</v>
      </c>
    </row>
    <row r="1461" spans="1:16" x14ac:dyDescent="0.25">
      <c r="A1461" s="5">
        <v>45797</v>
      </c>
      <c r="B1461" t="s">
        <v>47</v>
      </c>
      <c r="C1461" t="s">
        <v>48</v>
      </c>
      <c r="D1461" t="s">
        <v>34</v>
      </c>
      <c r="E1461" t="s">
        <v>139</v>
      </c>
      <c r="F1461" t="s">
        <v>108</v>
      </c>
      <c r="G1461" t="s">
        <v>1587</v>
      </c>
      <c r="H1461" s="6">
        <v>49</v>
      </c>
      <c r="I1461" s="7">
        <v>108.61</v>
      </c>
      <c r="J1461" s="7">
        <v>5321.75</v>
      </c>
      <c r="K1461" s="6">
        <v>30</v>
      </c>
      <c r="L1461" t="s">
        <v>38</v>
      </c>
      <c r="M1461" s="8">
        <v>1064.3499999999999</v>
      </c>
      <c r="N1461" s="7">
        <v>5321.75</v>
      </c>
      <c r="O1461" t="s">
        <v>46</v>
      </c>
      <c r="P1461" t="s">
        <v>40</v>
      </c>
    </row>
    <row r="1462" spans="1:16" x14ac:dyDescent="0.25">
      <c r="A1462" s="5">
        <v>45988</v>
      </c>
      <c r="B1462" t="s">
        <v>77</v>
      </c>
      <c r="C1462" t="s">
        <v>78</v>
      </c>
      <c r="D1462" t="s">
        <v>58</v>
      </c>
      <c r="E1462" t="s">
        <v>65</v>
      </c>
      <c r="F1462" t="s">
        <v>54</v>
      </c>
      <c r="G1462" t="s">
        <v>1588</v>
      </c>
      <c r="H1462" s="6">
        <v>10</v>
      </c>
      <c r="I1462" s="7">
        <v>231.67</v>
      </c>
      <c r="J1462" s="7">
        <v>2316.69</v>
      </c>
      <c r="K1462" s="6">
        <v>45</v>
      </c>
      <c r="L1462" t="s">
        <v>38</v>
      </c>
      <c r="M1462" s="8">
        <v>463.33800000000002</v>
      </c>
      <c r="N1462" s="7">
        <v>2316.69</v>
      </c>
      <c r="O1462" t="s">
        <v>46</v>
      </c>
      <c r="P1462" t="s">
        <v>40</v>
      </c>
    </row>
    <row r="1463" spans="1:16" x14ac:dyDescent="0.25">
      <c r="A1463" s="5">
        <v>45774</v>
      </c>
      <c r="B1463" t="s">
        <v>77</v>
      </c>
      <c r="C1463" t="s">
        <v>78</v>
      </c>
      <c r="D1463" t="s">
        <v>58</v>
      </c>
      <c r="E1463" t="s">
        <v>75</v>
      </c>
      <c r="F1463" t="s">
        <v>36</v>
      </c>
      <c r="G1463" t="s">
        <v>1589</v>
      </c>
      <c r="H1463" s="6">
        <v>13</v>
      </c>
      <c r="I1463" s="7">
        <v>33.15</v>
      </c>
      <c r="J1463" s="7">
        <v>430.94</v>
      </c>
      <c r="K1463" s="6">
        <v>30</v>
      </c>
      <c r="L1463" t="s">
        <v>38</v>
      </c>
      <c r="M1463" s="8">
        <v>86.188000000000002</v>
      </c>
      <c r="N1463" s="7">
        <v>430.94</v>
      </c>
      <c r="O1463" t="s">
        <v>46</v>
      </c>
      <c r="P1463" t="s">
        <v>40</v>
      </c>
    </row>
    <row r="1464" spans="1:16" x14ac:dyDescent="0.25">
      <c r="A1464" s="5">
        <v>45760</v>
      </c>
      <c r="B1464" t="s">
        <v>77</v>
      </c>
      <c r="C1464" t="s">
        <v>78</v>
      </c>
      <c r="D1464" t="s">
        <v>58</v>
      </c>
      <c r="E1464" t="s">
        <v>152</v>
      </c>
      <c r="F1464" t="s">
        <v>50</v>
      </c>
      <c r="G1464" t="s">
        <v>1590</v>
      </c>
      <c r="H1464" s="6">
        <v>43</v>
      </c>
      <c r="I1464" s="7">
        <v>106.97</v>
      </c>
      <c r="J1464" s="7">
        <v>4599.62</v>
      </c>
      <c r="K1464" s="6">
        <v>30</v>
      </c>
      <c r="L1464" t="s">
        <v>52</v>
      </c>
      <c r="M1464" s="8">
        <v>919.92399999999998</v>
      </c>
      <c r="N1464" s="7">
        <v>4599.62</v>
      </c>
      <c r="O1464" t="s">
        <v>46</v>
      </c>
      <c r="P1464" t="s">
        <v>40</v>
      </c>
    </row>
    <row r="1465" spans="1:16" x14ac:dyDescent="0.25">
      <c r="A1465" s="5">
        <v>46007</v>
      </c>
      <c r="B1465" t="s">
        <v>94</v>
      </c>
      <c r="C1465" t="s">
        <v>95</v>
      </c>
      <c r="D1465" t="s">
        <v>34</v>
      </c>
      <c r="E1465" t="s">
        <v>149</v>
      </c>
      <c r="F1465" t="s">
        <v>60</v>
      </c>
      <c r="G1465" t="s">
        <v>1591</v>
      </c>
      <c r="H1465" s="6">
        <v>36</v>
      </c>
      <c r="I1465" s="7">
        <v>137.81</v>
      </c>
      <c r="J1465" s="7">
        <v>4960.99</v>
      </c>
      <c r="K1465" s="6">
        <v>30</v>
      </c>
      <c r="L1465" t="s">
        <v>52</v>
      </c>
      <c r="M1465" s="8">
        <v>992.19799999999998</v>
      </c>
      <c r="N1465" s="7">
        <v>4960.99</v>
      </c>
      <c r="O1465" t="s">
        <v>46</v>
      </c>
      <c r="P1465" t="s">
        <v>40</v>
      </c>
    </row>
    <row r="1466" spans="1:16" x14ac:dyDescent="0.25">
      <c r="A1466" s="5">
        <v>45936</v>
      </c>
      <c r="B1466" t="s">
        <v>94</v>
      </c>
      <c r="C1466" t="s">
        <v>95</v>
      </c>
      <c r="D1466" t="s">
        <v>34</v>
      </c>
      <c r="E1466" t="s">
        <v>124</v>
      </c>
      <c r="F1466" t="s">
        <v>89</v>
      </c>
      <c r="G1466" t="s">
        <v>1592</v>
      </c>
      <c r="H1466" s="6">
        <v>34</v>
      </c>
      <c r="I1466" s="7">
        <v>130.80000000000001</v>
      </c>
      <c r="J1466" s="7">
        <v>4447.2</v>
      </c>
      <c r="K1466" s="6">
        <v>30</v>
      </c>
      <c r="L1466" t="s">
        <v>45</v>
      </c>
      <c r="M1466" s="8">
        <v>889.44</v>
      </c>
      <c r="N1466" s="7">
        <v>4447.2</v>
      </c>
      <c r="O1466" t="s">
        <v>46</v>
      </c>
      <c r="P1466" t="s">
        <v>40</v>
      </c>
    </row>
    <row r="1467" spans="1:16" x14ac:dyDescent="0.25">
      <c r="A1467" s="5">
        <v>45865</v>
      </c>
      <c r="B1467" t="s">
        <v>91</v>
      </c>
      <c r="C1467" t="s">
        <v>92</v>
      </c>
      <c r="D1467" t="s">
        <v>64</v>
      </c>
      <c r="E1467" t="s">
        <v>132</v>
      </c>
      <c r="F1467" t="s">
        <v>71</v>
      </c>
      <c r="G1467" t="s">
        <v>1593</v>
      </c>
      <c r="H1467" s="6">
        <v>75</v>
      </c>
      <c r="I1467" s="7">
        <v>131.31</v>
      </c>
      <c r="J1467" s="7">
        <v>9848.59</v>
      </c>
      <c r="K1467" s="6">
        <v>60</v>
      </c>
      <c r="L1467" t="s">
        <v>38</v>
      </c>
      <c r="M1467" s="8">
        <v>1969.7180000000001</v>
      </c>
      <c r="N1467" s="7">
        <v>9848.59</v>
      </c>
      <c r="O1467" t="s">
        <v>46</v>
      </c>
      <c r="P1467" t="s">
        <v>40</v>
      </c>
    </row>
    <row r="1468" spans="1:16" x14ac:dyDescent="0.25">
      <c r="A1468" s="5">
        <v>45774</v>
      </c>
      <c r="B1468" t="s">
        <v>41</v>
      </c>
      <c r="C1468" t="s">
        <v>42</v>
      </c>
      <c r="D1468" t="s">
        <v>34</v>
      </c>
      <c r="E1468" t="s">
        <v>88</v>
      </c>
      <c r="F1468" t="s">
        <v>89</v>
      </c>
      <c r="G1468" t="s">
        <v>1594</v>
      </c>
      <c r="H1468" s="6">
        <v>30</v>
      </c>
      <c r="I1468" s="7">
        <v>450.97</v>
      </c>
      <c r="J1468" s="7">
        <v>13529.15</v>
      </c>
      <c r="K1468" s="6">
        <v>60</v>
      </c>
      <c r="L1468" t="s">
        <v>52</v>
      </c>
      <c r="M1468" s="8">
        <v>2705.83</v>
      </c>
      <c r="N1468" s="7">
        <v>13529.15</v>
      </c>
      <c r="O1468" t="s">
        <v>46</v>
      </c>
      <c r="P1468" t="s">
        <v>40</v>
      </c>
    </row>
    <row r="1469" spans="1:16" x14ac:dyDescent="0.25">
      <c r="A1469" s="5">
        <v>45922</v>
      </c>
      <c r="B1469" t="s">
        <v>110</v>
      </c>
      <c r="C1469" t="s">
        <v>111</v>
      </c>
      <c r="D1469" t="s">
        <v>58</v>
      </c>
      <c r="E1469" t="s">
        <v>107</v>
      </c>
      <c r="F1469" t="s">
        <v>108</v>
      </c>
      <c r="G1469" t="s">
        <v>1595</v>
      </c>
      <c r="H1469" s="6">
        <v>76</v>
      </c>
      <c r="I1469" s="7">
        <v>93.18</v>
      </c>
      <c r="J1469" s="7">
        <v>7081.85</v>
      </c>
      <c r="K1469" s="6">
        <v>60</v>
      </c>
      <c r="L1469" t="s">
        <v>45</v>
      </c>
      <c r="M1469" s="8">
        <v>1416.37</v>
      </c>
      <c r="N1469" s="7">
        <v>7081.85</v>
      </c>
      <c r="O1469" t="s">
        <v>46</v>
      </c>
      <c r="P1469" t="s">
        <v>40</v>
      </c>
    </row>
    <row r="1470" spans="1:16" x14ac:dyDescent="0.25">
      <c r="A1470" s="5">
        <v>45701</v>
      </c>
      <c r="B1470" t="s">
        <v>77</v>
      </c>
      <c r="C1470" t="s">
        <v>78</v>
      </c>
      <c r="D1470" t="s">
        <v>58</v>
      </c>
      <c r="E1470" t="s">
        <v>139</v>
      </c>
      <c r="F1470" t="s">
        <v>108</v>
      </c>
      <c r="G1470" t="s">
        <v>1596</v>
      </c>
      <c r="H1470" s="6">
        <v>41</v>
      </c>
      <c r="I1470" s="7">
        <v>38.85</v>
      </c>
      <c r="J1470" s="7">
        <v>1592.92</v>
      </c>
      <c r="K1470" s="6">
        <v>30</v>
      </c>
      <c r="L1470" t="s">
        <v>45</v>
      </c>
      <c r="M1470" s="8">
        <v>318.584</v>
      </c>
      <c r="N1470" s="7">
        <v>1592.92</v>
      </c>
      <c r="O1470" t="s">
        <v>46</v>
      </c>
      <c r="P1470" t="s">
        <v>40</v>
      </c>
    </row>
    <row r="1471" spans="1:16" x14ac:dyDescent="0.25">
      <c r="A1471" s="5">
        <v>45882</v>
      </c>
      <c r="B1471" t="s">
        <v>110</v>
      </c>
      <c r="C1471" t="s">
        <v>111</v>
      </c>
      <c r="D1471" t="s">
        <v>58</v>
      </c>
      <c r="E1471" t="s">
        <v>204</v>
      </c>
      <c r="F1471" t="s">
        <v>97</v>
      </c>
      <c r="G1471" t="s">
        <v>1597</v>
      </c>
      <c r="H1471" s="6">
        <v>58</v>
      </c>
      <c r="I1471" s="7">
        <v>383.11</v>
      </c>
      <c r="J1471" s="7">
        <v>22220.2</v>
      </c>
      <c r="K1471" s="6">
        <v>60</v>
      </c>
      <c r="L1471" t="s">
        <v>38</v>
      </c>
      <c r="M1471" s="8">
        <v>4444.04</v>
      </c>
      <c r="N1471" s="7">
        <v>22220.2</v>
      </c>
      <c r="O1471" t="s">
        <v>46</v>
      </c>
      <c r="P1471" t="s">
        <v>40</v>
      </c>
    </row>
    <row r="1472" spans="1:16" x14ac:dyDescent="0.25">
      <c r="A1472" s="5">
        <v>45723</v>
      </c>
      <c r="B1472" t="s">
        <v>201</v>
      </c>
      <c r="C1472" t="s">
        <v>202</v>
      </c>
      <c r="D1472" t="s">
        <v>64</v>
      </c>
      <c r="E1472" t="s">
        <v>124</v>
      </c>
      <c r="F1472" t="s">
        <v>89</v>
      </c>
      <c r="G1472" t="s">
        <v>1598</v>
      </c>
      <c r="H1472" s="6">
        <v>40</v>
      </c>
      <c r="I1472" s="7">
        <v>347.62</v>
      </c>
      <c r="J1472" s="7">
        <v>13904.72</v>
      </c>
      <c r="K1472" s="6">
        <v>60</v>
      </c>
      <c r="L1472" t="s">
        <v>38</v>
      </c>
      <c r="M1472" s="8">
        <v>2780.944</v>
      </c>
      <c r="N1472" s="7">
        <v>13904.72</v>
      </c>
      <c r="O1472" t="s">
        <v>46</v>
      </c>
      <c r="P1472" t="s">
        <v>40</v>
      </c>
    </row>
    <row r="1473" spans="1:16" x14ac:dyDescent="0.25">
      <c r="A1473" s="5">
        <v>45773</v>
      </c>
      <c r="B1473" t="s">
        <v>118</v>
      </c>
      <c r="C1473" t="s">
        <v>119</v>
      </c>
      <c r="D1473" t="s">
        <v>64</v>
      </c>
      <c r="E1473" t="s">
        <v>132</v>
      </c>
      <c r="F1473" t="s">
        <v>71</v>
      </c>
      <c r="G1473" t="s">
        <v>1599</v>
      </c>
      <c r="H1473" s="6">
        <v>54</v>
      </c>
      <c r="I1473" s="7">
        <v>67.930000000000007</v>
      </c>
      <c r="J1473" s="7">
        <v>3668.29</v>
      </c>
      <c r="K1473" s="6">
        <v>45</v>
      </c>
      <c r="L1473" t="s">
        <v>52</v>
      </c>
      <c r="M1473" s="8">
        <v>733.65800000000002</v>
      </c>
      <c r="N1473" s="7">
        <v>3668.29</v>
      </c>
      <c r="O1473" t="s">
        <v>46</v>
      </c>
      <c r="P1473" t="s">
        <v>40</v>
      </c>
    </row>
    <row r="1474" spans="1:16" x14ac:dyDescent="0.25">
      <c r="A1474" s="5">
        <v>45933</v>
      </c>
      <c r="B1474" t="s">
        <v>56</v>
      </c>
      <c r="C1474" t="s">
        <v>57</v>
      </c>
      <c r="D1474" t="s">
        <v>58</v>
      </c>
      <c r="E1474" t="s">
        <v>105</v>
      </c>
      <c r="F1474" t="s">
        <v>97</v>
      </c>
      <c r="G1474" t="s">
        <v>1600</v>
      </c>
      <c r="H1474" s="6">
        <v>39</v>
      </c>
      <c r="I1474" s="7">
        <v>278.68</v>
      </c>
      <c r="J1474" s="7">
        <v>10868.62</v>
      </c>
      <c r="K1474" s="6">
        <v>45</v>
      </c>
      <c r="L1474" t="s">
        <v>52</v>
      </c>
      <c r="M1474" s="8">
        <v>2173.7240000000002</v>
      </c>
      <c r="N1474" s="7">
        <v>10868.62</v>
      </c>
      <c r="O1474" t="s">
        <v>46</v>
      </c>
      <c r="P1474" t="s">
        <v>40</v>
      </c>
    </row>
    <row r="1475" spans="1:16" x14ac:dyDescent="0.25">
      <c r="A1475" s="5">
        <v>45736</v>
      </c>
      <c r="B1475" t="s">
        <v>32</v>
      </c>
      <c r="C1475" t="s">
        <v>33</v>
      </c>
      <c r="D1475" t="s">
        <v>34</v>
      </c>
      <c r="E1475" t="s">
        <v>49</v>
      </c>
      <c r="F1475" t="s">
        <v>50</v>
      </c>
      <c r="G1475" t="s">
        <v>1601</v>
      </c>
      <c r="H1475" s="6">
        <v>43</v>
      </c>
      <c r="I1475" s="7">
        <v>120.97</v>
      </c>
      <c r="J1475" s="7">
        <v>5201.8500000000004</v>
      </c>
      <c r="K1475" s="6">
        <v>60</v>
      </c>
      <c r="L1475" t="s">
        <v>52</v>
      </c>
      <c r="M1475" s="8">
        <v>1040.3699999999999</v>
      </c>
      <c r="N1475" s="7">
        <v>5201.8500000000004</v>
      </c>
      <c r="O1475" t="s">
        <v>39</v>
      </c>
      <c r="P1475" t="s">
        <v>40</v>
      </c>
    </row>
    <row r="1476" spans="1:16" x14ac:dyDescent="0.25">
      <c r="A1476" s="5">
        <v>45762</v>
      </c>
      <c r="B1476" t="s">
        <v>77</v>
      </c>
      <c r="C1476" t="s">
        <v>78</v>
      </c>
      <c r="D1476" t="s">
        <v>58</v>
      </c>
      <c r="E1476" t="s">
        <v>96</v>
      </c>
      <c r="F1476" t="s">
        <v>97</v>
      </c>
      <c r="G1476" t="s">
        <v>1602</v>
      </c>
      <c r="H1476" s="6">
        <v>51</v>
      </c>
      <c r="I1476" s="7">
        <v>194.82</v>
      </c>
      <c r="J1476" s="7">
        <v>9935.94</v>
      </c>
      <c r="K1476" s="6">
        <v>30</v>
      </c>
      <c r="L1476" t="s">
        <v>52</v>
      </c>
      <c r="M1476" s="8">
        <v>1987.1880000000001</v>
      </c>
      <c r="N1476" s="7">
        <v>9935.94</v>
      </c>
      <c r="O1476" t="s">
        <v>46</v>
      </c>
      <c r="P1476" t="s">
        <v>40</v>
      </c>
    </row>
    <row r="1477" spans="1:16" x14ac:dyDescent="0.25">
      <c r="A1477" s="5">
        <v>45713</v>
      </c>
      <c r="B1477" t="s">
        <v>62</v>
      </c>
      <c r="C1477" t="s">
        <v>63</v>
      </c>
      <c r="D1477" t="s">
        <v>64</v>
      </c>
      <c r="E1477" t="s">
        <v>65</v>
      </c>
      <c r="F1477" t="s">
        <v>54</v>
      </c>
      <c r="G1477" t="s">
        <v>1603</v>
      </c>
      <c r="H1477" s="6">
        <v>43</v>
      </c>
      <c r="I1477" s="7">
        <v>357.1</v>
      </c>
      <c r="J1477" s="7">
        <v>15355.29</v>
      </c>
      <c r="K1477" s="6">
        <v>60</v>
      </c>
      <c r="L1477" t="s">
        <v>45</v>
      </c>
      <c r="M1477" s="8">
        <v>3071.058</v>
      </c>
      <c r="N1477" s="7">
        <v>15355.29</v>
      </c>
      <c r="O1477" t="s">
        <v>46</v>
      </c>
      <c r="P1477" t="s">
        <v>40</v>
      </c>
    </row>
    <row r="1478" spans="1:16" x14ac:dyDescent="0.25">
      <c r="A1478" s="5">
        <v>45745</v>
      </c>
      <c r="B1478" t="s">
        <v>73</v>
      </c>
      <c r="C1478" t="s">
        <v>74</v>
      </c>
      <c r="D1478" t="s">
        <v>69</v>
      </c>
      <c r="E1478" t="s">
        <v>59</v>
      </c>
      <c r="F1478" t="s">
        <v>60</v>
      </c>
      <c r="G1478" t="s">
        <v>1604</v>
      </c>
      <c r="H1478" s="6">
        <v>14</v>
      </c>
      <c r="I1478" s="7">
        <v>205.84</v>
      </c>
      <c r="J1478" s="7">
        <v>2881.78</v>
      </c>
      <c r="K1478" s="6">
        <v>60</v>
      </c>
      <c r="L1478" t="s">
        <v>52</v>
      </c>
      <c r="M1478" s="8">
        <v>576.35599999999999</v>
      </c>
      <c r="N1478" s="7">
        <v>2881.78</v>
      </c>
      <c r="O1478" t="s">
        <v>39</v>
      </c>
      <c r="P1478" t="s">
        <v>40</v>
      </c>
    </row>
    <row r="1479" spans="1:16" x14ac:dyDescent="0.25">
      <c r="A1479" s="5">
        <v>45966</v>
      </c>
      <c r="B1479" t="s">
        <v>62</v>
      </c>
      <c r="C1479" t="s">
        <v>63</v>
      </c>
      <c r="D1479" t="s">
        <v>64</v>
      </c>
      <c r="E1479" t="s">
        <v>152</v>
      </c>
      <c r="F1479" t="s">
        <v>50</v>
      </c>
      <c r="G1479" t="s">
        <v>1605</v>
      </c>
      <c r="H1479" s="6">
        <v>63</v>
      </c>
      <c r="I1479" s="7">
        <v>151.13999999999999</v>
      </c>
      <c r="J1479" s="7">
        <v>9522.09</v>
      </c>
      <c r="K1479" s="6">
        <v>30</v>
      </c>
      <c r="L1479" t="s">
        <v>38</v>
      </c>
      <c r="M1479" s="8">
        <v>1904.4179999999999</v>
      </c>
      <c r="N1479" s="7">
        <v>9522.09</v>
      </c>
      <c r="O1479" t="s">
        <v>46</v>
      </c>
      <c r="P1479" t="s">
        <v>40</v>
      </c>
    </row>
    <row r="1480" spans="1:16" x14ac:dyDescent="0.25">
      <c r="A1480" s="5">
        <v>45803</v>
      </c>
      <c r="B1480" t="s">
        <v>85</v>
      </c>
      <c r="C1480" t="s">
        <v>86</v>
      </c>
      <c r="D1480" t="s">
        <v>58</v>
      </c>
      <c r="E1480" t="s">
        <v>75</v>
      </c>
      <c r="F1480" t="s">
        <v>36</v>
      </c>
      <c r="G1480" t="s">
        <v>1606</v>
      </c>
      <c r="H1480" s="6">
        <v>27</v>
      </c>
      <c r="I1480" s="7">
        <v>39.9</v>
      </c>
      <c r="J1480" s="7">
        <v>1077.18</v>
      </c>
      <c r="K1480" s="6">
        <v>30</v>
      </c>
      <c r="L1480" t="s">
        <v>45</v>
      </c>
      <c r="M1480" s="8">
        <v>215.43600000000001</v>
      </c>
      <c r="N1480" s="7">
        <v>1077.18</v>
      </c>
      <c r="O1480" t="s">
        <v>46</v>
      </c>
      <c r="P1480" t="s">
        <v>40</v>
      </c>
    </row>
    <row r="1481" spans="1:16" x14ac:dyDescent="0.25">
      <c r="A1481" s="5">
        <v>45687</v>
      </c>
      <c r="B1481" t="s">
        <v>62</v>
      </c>
      <c r="C1481" t="s">
        <v>63</v>
      </c>
      <c r="D1481" t="s">
        <v>64</v>
      </c>
      <c r="E1481" t="s">
        <v>75</v>
      </c>
      <c r="F1481" t="s">
        <v>36</v>
      </c>
      <c r="G1481" t="s">
        <v>1607</v>
      </c>
      <c r="H1481" s="6">
        <v>48</v>
      </c>
      <c r="I1481" s="7">
        <v>51.1</v>
      </c>
      <c r="J1481" s="7">
        <v>2452.8000000000002</v>
      </c>
      <c r="K1481" s="6">
        <v>60</v>
      </c>
      <c r="L1481" t="s">
        <v>38</v>
      </c>
      <c r="M1481" s="8">
        <v>490.56</v>
      </c>
      <c r="N1481" s="7">
        <v>2452.8000000000002</v>
      </c>
      <c r="O1481" t="s">
        <v>46</v>
      </c>
      <c r="P1481" t="s">
        <v>40</v>
      </c>
    </row>
    <row r="1482" spans="1:16" x14ac:dyDescent="0.25">
      <c r="A1482" s="5">
        <v>45858</v>
      </c>
      <c r="B1482" t="s">
        <v>94</v>
      </c>
      <c r="C1482" t="s">
        <v>95</v>
      </c>
      <c r="D1482" t="s">
        <v>34</v>
      </c>
      <c r="E1482" t="s">
        <v>132</v>
      </c>
      <c r="F1482" t="s">
        <v>71</v>
      </c>
      <c r="G1482" t="s">
        <v>1608</v>
      </c>
      <c r="H1482" s="6">
        <v>21</v>
      </c>
      <c r="I1482" s="7">
        <v>141.34</v>
      </c>
      <c r="J1482" s="7">
        <v>2968.19</v>
      </c>
      <c r="K1482" s="6">
        <v>30</v>
      </c>
      <c r="L1482" t="s">
        <v>38</v>
      </c>
      <c r="M1482" s="8">
        <v>593.63800000000003</v>
      </c>
      <c r="N1482" s="7">
        <v>2968.19</v>
      </c>
      <c r="O1482" t="s">
        <v>46</v>
      </c>
      <c r="P1482" t="s">
        <v>40</v>
      </c>
    </row>
    <row r="1483" spans="1:16" x14ac:dyDescent="0.25">
      <c r="A1483" s="5">
        <v>45693</v>
      </c>
      <c r="B1483" t="s">
        <v>91</v>
      </c>
      <c r="C1483" t="s">
        <v>92</v>
      </c>
      <c r="D1483" t="s">
        <v>64</v>
      </c>
      <c r="E1483" t="s">
        <v>96</v>
      </c>
      <c r="F1483" t="s">
        <v>97</v>
      </c>
      <c r="G1483" t="s">
        <v>1609</v>
      </c>
      <c r="H1483" s="6">
        <v>50</v>
      </c>
      <c r="I1483" s="7">
        <v>244.38</v>
      </c>
      <c r="J1483" s="7">
        <v>12219</v>
      </c>
      <c r="K1483" s="6">
        <v>30</v>
      </c>
      <c r="L1483" t="s">
        <v>38</v>
      </c>
      <c r="M1483" s="8">
        <v>2443.8000000000002</v>
      </c>
      <c r="N1483" s="7">
        <v>12219</v>
      </c>
      <c r="O1483" t="s">
        <v>46</v>
      </c>
      <c r="P1483" t="s">
        <v>40</v>
      </c>
    </row>
    <row r="1484" spans="1:16" x14ac:dyDescent="0.25">
      <c r="A1484" s="5">
        <v>46021</v>
      </c>
      <c r="B1484" t="s">
        <v>91</v>
      </c>
      <c r="C1484" t="s">
        <v>92</v>
      </c>
      <c r="D1484" t="s">
        <v>64</v>
      </c>
      <c r="E1484" t="s">
        <v>149</v>
      </c>
      <c r="F1484" t="s">
        <v>60</v>
      </c>
      <c r="G1484" t="s">
        <v>1610</v>
      </c>
      <c r="H1484" s="6">
        <v>61</v>
      </c>
      <c r="I1484" s="7">
        <v>568.76</v>
      </c>
      <c r="J1484" s="7">
        <v>34694.33</v>
      </c>
      <c r="K1484" s="6">
        <v>30</v>
      </c>
      <c r="L1484" t="s">
        <v>52</v>
      </c>
      <c r="M1484" s="8">
        <v>6938.866</v>
      </c>
      <c r="N1484" s="7">
        <v>34694.33</v>
      </c>
      <c r="O1484" t="s">
        <v>46</v>
      </c>
      <c r="P1484" t="s">
        <v>40</v>
      </c>
    </row>
    <row r="1485" spans="1:16" x14ac:dyDescent="0.25">
      <c r="A1485" s="5">
        <v>45761</v>
      </c>
      <c r="B1485" t="s">
        <v>201</v>
      </c>
      <c r="C1485" t="s">
        <v>202</v>
      </c>
      <c r="D1485" t="s">
        <v>64</v>
      </c>
      <c r="E1485" t="s">
        <v>115</v>
      </c>
      <c r="F1485" t="s">
        <v>60</v>
      </c>
      <c r="G1485" t="s">
        <v>1611</v>
      </c>
      <c r="H1485" s="6">
        <v>65</v>
      </c>
      <c r="I1485" s="7">
        <v>176.59</v>
      </c>
      <c r="J1485" s="7">
        <v>11478.32</v>
      </c>
      <c r="K1485" s="6">
        <v>60</v>
      </c>
      <c r="L1485" t="s">
        <v>52</v>
      </c>
      <c r="M1485" s="8">
        <v>2295.6640000000002</v>
      </c>
      <c r="N1485" s="7">
        <v>11478.32</v>
      </c>
      <c r="O1485" t="s">
        <v>46</v>
      </c>
      <c r="P1485" t="s">
        <v>40</v>
      </c>
    </row>
    <row r="1486" spans="1:16" x14ac:dyDescent="0.25">
      <c r="A1486" s="5">
        <v>45661</v>
      </c>
      <c r="B1486" t="s">
        <v>47</v>
      </c>
      <c r="C1486" t="s">
        <v>48</v>
      </c>
      <c r="D1486" t="s">
        <v>34</v>
      </c>
      <c r="E1486" t="s">
        <v>59</v>
      </c>
      <c r="F1486" t="s">
        <v>60</v>
      </c>
      <c r="G1486" t="s">
        <v>1612</v>
      </c>
      <c r="H1486" s="6">
        <v>19</v>
      </c>
      <c r="I1486" s="7">
        <v>248.94</v>
      </c>
      <c r="J1486" s="7">
        <v>4729.82</v>
      </c>
      <c r="K1486" s="6">
        <v>45</v>
      </c>
      <c r="L1486" t="s">
        <v>38</v>
      </c>
      <c r="M1486" s="8">
        <v>945.96400000000006</v>
      </c>
      <c r="N1486" s="7">
        <v>4729.82</v>
      </c>
      <c r="O1486" t="s">
        <v>39</v>
      </c>
      <c r="P1486" t="s">
        <v>40</v>
      </c>
    </row>
    <row r="1487" spans="1:16" x14ac:dyDescent="0.25">
      <c r="A1487" s="5">
        <v>45826</v>
      </c>
      <c r="B1487" t="s">
        <v>47</v>
      </c>
      <c r="C1487" t="s">
        <v>48</v>
      </c>
      <c r="D1487" t="s">
        <v>34</v>
      </c>
      <c r="E1487" t="s">
        <v>53</v>
      </c>
      <c r="F1487" t="s">
        <v>54</v>
      </c>
      <c r="G1487" t="s">
        <v>1613</v>
      </c>
      <c r="H1487" s="6">
        <v>73</v>
      </c>
      <c r="I1487" s="7">
        <v>417.54</v>
      </c>
      <c r="J1487" s="7">
        <v>30480.59</v>
      </c>
      <c r="K1487" s="6">
        <v>45</v>
      </c>
      <c r="L1487" t="s">
        <v>45</v>
      </c>
      <c r="M1487" s="8">
        <v>6096.1180000000004</v>
      </c>
      <c r="N1487" s="7">
        <v>30480.59</v>
      </c>
      <c r="O1487" t="s">
        <v>46</v>
      </c>
      <c r="P1487" t="s">
        <v>40</v>
      </c>
    </row>
    <row r="1488" spans="1:16" x14ac:dyDescent="0.25">
      <c r="A1488" s="5">
        <v>45704</v>
      </c>
      <c r="B1488" t="s">
        <v>62</v>
      </c>
      <c r="C1488" t="s">
        <v>63</v>
      </c>
      <c r="D1488" t="s">
        <v>64</v>
      </c>
      <c r="E1488" t="s">
        <v>152</v>
      </c>
      <c r="F1488" t="s">
        <v>50</v>
      </c>
      <c r="G1488" t="s">
        <v>1614</v>
      </c>
      <c r="H1488" s="6">
        <v>37</v>
      </c>
      <c r="I1488" s="7">
        <v>55</v>
      </c>
      <c r="J1488" s="7">
        <v>2035.12</v>
      </c>
      <c r="K1488" s="6">
        <v>60</v>
      </c>
      <c r="L1488" t="s">
        <v>45</v>
      </c>
      <c r="M1488" s="8">
        <v>407.024</v>
      </c>
      <c r="N1488" s="7">
        <v>2035.12</v>
      </c>
      <c r="O1488" t="s">
        <v>46</v>
      </c>
      <c r="P1488" t="s">
        <v>40</v>
      </c>
    </row>
    <row r="1489" spans="1:16" x14ac:dyDescent="0.25">
      <c r="A1489" s="5">
        <v>45971</v>
      </c>
      <c r="B1489" t="s">
        <v>100</v>
      </c>
      <c r="C1489" t="s">
        <v>101</v>
      </c>
      <c r="D1489" t="s">
        <v>69</v>
      </c>
      <c r="E1489" t="s">
        <v>149</v>
      </c>
      <c r="F1489" t="s">
        <v>60</v>
      </c>
      <c r="G1489" t="s">
        <v>1615</v>
      </c>
      <c r="H1489" s="6">
        <v>23</v>
      </c>
      <c r="I1489" s="7">
        <v>83.53</v>
      </c>
      <c r="J1489" s="7">
        <v>1921.15</v>
      </c>
      <c r="K1489" s="6">
        <v>45</v>
      </c>
      <c r="L1489" t="s">
        <v>38</v>
      </c>
      <c r="M1489" s="8">
        <v>384.23</v>
      </c>
      <c r="N1489" s="7">
        <v>1921.15</v>
      </c>
      <c r="O1489" t="s">
        <v>46</v>
      </c>
      <c r="P1489" t="s">
        <v>40</v>
      </c>
    </row>
    <row r="1490" spans="1:16" x14ac:dyDescent="0.25">
      <c r="A1490" s="5">
        <v>45854</v>
      </c>
      <c r="B1490" t="s">
        <v>201</v>
      </c>
      <c r="C1490" t="s">
        <v>202</v>
      </c>
      <c r="D1490" t="s">
        <v>64</v>
      </c>
      <c r="E1490" t="s">
        <v>96</v>
      </c>
      <c r="F1490" t="s">
        <v>97</v>
      </c>
      <c r="G1490" t="s">
        <v>1616</v>
      </c>
      <c r="H1490" s="6">
        <v>24</v>
      </c>
      <c r="I1490" s="7">
        <v>129.63</v>
      </c>
      <c r="J1490" s="7">
        <v>3111.08</v>
      </c>
      <c r="K1490" s="6">
        <v>60</v>
      </c>
      <c r="L1490" t="s">
        <v>52</v>
      </c>
      <c r="M1490" s="8">
        <v>622.21600000000001</v>
      </c>
      <c r="N1490" s="7">
        <v>3111.08</v>
      </c>
      <c r="O1490" t="s">
        <v>46</v>
      </c>
      <c r="P1490" t="s">
        <v>40</v>
      </c>
    </row>
    <row r="1491" spans="1:16" x14ac:dyDescent="0.25">
      <c r="A1491" s="5">
        <v>45680</v>
      </c>
      <c r="B1491" t="s">
        <v>41</v>
      </c>
      <c r="C1491" t="s">
        <v>42</v>
      </c>
      <c r="D1491" t="s">
        <v>34</v>
      </c>
      <c r="E1491" t="s">
        <v>105</v>
      </c>
      <c r="F1491" t="s">
        <v>97</v>
      </c>
      <c r="G1491" t="s">
        <v>1617</v>
      </c>
      <c r="H1491" s="6">
        <v>31</v>
      </c>
      <c r="I1491" s="7">
        <v>600.76</v>
      </c>
      <c r="J1491" s="7">
        <v>18623.71</v>
      </c>
      <c r="K1491" s="6">
        <v>30</v>
      </c>
      <c r="L1491" t="s">
        <v>45</v>
      </c>
      <c r="M1491" s="8">
        <v>3724.7420000000002</v>
      </c>
      <c r="N1491" s="7">
        <v>18623.71</v>
      </c>
      <c r="O1491" t="s">
        <v>46</v>
      </c>
      <c r="P1491" t="s">
        <v>40</v>
      </c>
    </row>
    <row r="1492" spans="1:16" x14ac:dyDescent="0.25">
      <c r="A1492" s="5">
        <v>45692</v>
      </c>
      <c r="B1492" t="s">
        <v>201</v>
      </c>
      <c r="C1492" t="s">
        <v>202</v>
      </c>
      <c r="D1492" t="s">
        <v>64</v>
      </c>
      <c r="E1492" t="s">
        <v>115</v>
      </c>
      <c r="F1492" t="s">
        <v>60</v>
      </c>
      <c r="G1492" t="s">
        <v>1618</v>
      </c>
      <c r="H1492" s="6">
        <v>28</v>
      </c>
      <c r="I1492" s="7">
        <v>162.41</v>
      </c>
      <c r="J1492" s="7">
        <v>4547.3999999999996</v>
      </c>
      <c r="K1492" s="6">
        <v>45</v>
      </c>
      <c r="L1492" t="s">
        <v>45</v>
      </c>
      <c r="M1492" s="8">
        <v>909.48</v>
      </c>
      <c r="N1492" s="7">
        <v>4547.3999999999996</v>
      </c>
      <c r="O1492" t="s">
        <v>46</v>
      </c>
      <c r="P1492" t="s">
        <v>40</v>
      </c>
    </row>
    <row r="1493" spans="1:16" x14ac:dyDescent="0.25">
      <c r="A1493" s="5">
        <v>45697</v>
      </c>
      <c r="B1493" t="s">
        <v>103</v>
      </c>
      <c r="C1493" t="s">
        <v>104</v>
      </c>
      <c r="D1493" t="s">
        <v>58</v>
      </c>
      <c r="E1493" t="s">
        <v>75</v>
      </c>
      <c r="F1493" t="s">
        <v>36</v>
      </c>
      <c r="G1493" t="s">
        <v>1619</v>
      </c>
      <c r="H1493" s="6">
        <v>14</v>
      </c>
      <c r="I1493" s="7">
        <v>265.44</v>
      </c>
      <c r="J1493" s="7">
        <v>3716.19</v>
      </c>
      <c r="K1493" s="6">
        <v>60</v>
      </c>
      <c r="L1493" t="s">
        <v>45</v>
      </c>
      <c r="M1493" s="8">
        <v>743.23800000000006</v>
      </c>
      <c r="N1493" s="7">
        <v>3716.19</v>
      </c>
      <c r="O1493" t="s">
        <v>46</v>
      </c>
      <c r="P1493" t="s">
        <v>40</v>
      </c>
    </row>
    <row r="1494" spans="1:16" x14ac:dyDescent="0.25">
      <c r="A1494" s="5">
        <v>45787</v>
      </c>
      <c r="B1494" t="s">
        <v>41</v>
      </c>
      <c r="C1494" t="s">
        <v>42</v>
      </c>
      <c r="D1494" t="s">
        <v>34</v>
      </c>
      <c r="E1494" t="s">
        <v>107</v>
      </c>
      <c r="F1494" t="s">
        <v>108</v>
      </c>
      <c r="G1494" t="s">
        <v>1620</v>
      </c>
      <c r="H1494" s="6">
        <v>27</v>
      </c>
      <c r="I1494" s="7">
        <v>54.99</v>
      </c>
      <c r="J1494" s="7">
        <v>1484.73</v>
      </c>
      <c r="K1494" s="6">
        <v>60</v>
      </c>
      <c r="L1494" t="s">
        <v>38</v>
      </c>
      <c r="M1494" s="8">
        <v>296.94600000000003</v>
      </c>
      <c r="N1494" s="7">
        <v>1484.73</v>
      </c>
      <c r="O1494" t="s">
        <v>46</v>
      </c>
      <c r="P1494" t="s">
        <v>40</v>
      </c>
    </row>
    <row r="1495" spans="1:16" x14ac:dyDescent="0.25">
      <c r="A1495" s="5">
        <v>45985</v>
      </c>
      <c r="B1495" t="s">
        <v>113</v>
      </c>
      <c r="C1495" t="s">
        <v>114</v>
      </c>
      <c r="D1495" t="s">
        <v>69</v>
      </c>
      <c r="E1495" t="s">
        <v>49</v>
      </c>
      <c r="F1495" t="s">
        <v>50</v>
      </c>
      <c r="G1495" t="s">
        <v>1621</v>
      </c>
      <c r="H1495" s="6">
        <v>60</v>
      </c>
      <c r="I1495" s="7">
        <v>132.82</v>
      </c>
      <c r="J1495" s="7">
        <v>7969.2</v>
      </c>
      <c r="K1495" s="6">
        <v>45</v>
      </c>
      <c r="L1495" t="s">
        <v>45</v>
      </c>
      <c r="M1495" s="8">
        <v>1593.84</v>
      </c>
      <c r="N1495" s="7">
        <v>7969.2</v>
      </c>
      <c r="O1495" t="s">
        <v>39</v>
      </c>
      <c r="P1495" t="s">
        <v>40</v>
      </c>
    </row>
    <row r="1496" spans="1:16" x14ac:dyDescent="0.25">
      <c r="A1496" s="5">
        <v>45861</v>
      </c>
      <c r="B1496" t="s">
        <v>103</v>
      </c>
      <c r="C1496" t="s">
        <v>104</v>
      </c>
      <c r="D1496" t="s">
        <v>58</v>
      </c>
      <c r="E1496" t="s">
        <v>204</v>
      </c>
      <c r="F1496" t="s">
        <v>97</v>
      </c>
      <c r="G1496" t="s">
        <v>1622</v>
      </c>
      <c r="H1496" s="6">
        <v>5</v>
      </c>
      <c r="I1496" s="7">
        <v>700.6</v>
      </c>
      <c r="J1496" s="7">
        <v>3503.02</v>
      </c>
      <c r="K1496" s="6">
        <v>30</v>
      </c>
      <c r="L1496" t="s">
        <v>45</v>
      </c>
      <c r="M1496" s="8">
        <v>700.60400000000004</v>
      </c>
      <c r="N1496" s="7">
        <v>3503.02</v>
      </c>
      <c r="O1496" t="s">
        <v>46</v>
      </c>
      <c r="P1496" t="s">
        <v>40</v>
      </c>
    </row>
    <row r="1497" spans="1:16" x14ac:dyDescent="0.25">
      <c r="A1497" s="5">
        <v>46001</v>
      </c>
      <c r="B1497" t="s">
        <v>91</v>
      </c>
      <c r="C1497" t="s">
        <v>92</v>
      </c>
      <c r="D1497" t="s">
        <v>64</v>
      </c>
      <c r="E1497" t="s">
        <v>88</v>
      </c>
      <c r="F1497" t="s">
        <v>89</v>
      </c>
      <c r="G1497" t="s">
        <v>1623</v>
      </c>
      <c r="H1497" s="6">
        <v>60</v>
      </c>
      <c r="I1497" s="7">
        <v>542.57000000000005</v>
      </c>
      <c r="J1497" s="7">
        <v>32553.9</v>
      </c>
      <c r="K1497" s="6">
        <v>45</v>
      </c>
      <c r="L1497" t="s">
        <v>45</v>
      </c>
      <c r="M1497" s="8">
        <v>6510.78</v>
      </c>
      <c r="N1497" s="7">
        <v>32553.9</v>
      </c>
      <c r="O1497" t="s">
        <v>46</v>
      </c>
      <c r="P1497" t="s">
        <v>40</v>
      </c>
    </row>
    <row r="1498" spans="1:16" x14ac:dyDescent="0.25">
      <c r="A1498" s="5">
        <v>45994</v>
      </c>
      <c r="B1498" t="s">
        <v>100</v>
      </c>
      <c r="C1498" t="s">
        <v>101</v>
      </c>
      <c r="D1498" t="s">
        <v>69</v>
      </c>
      <c r="E1498" t="s">
        <v>43</v>
      </c>
      <c r="F1498" t="s">
        <v>36</v>
      </c>
      <c r="G1498" t="s">
        <v>1624</v>
      </c>
      <c r="H1498" s="6">
        <v>32</v>
      </c>
      <c r="I1498" s="7">
        <v>201.99</v>
      </c>
      <c r="J1498" s="7">
        <v>6463.65</v>
      </c>
      <c r="K1498" s="6">
        <v>60</v>
      </c>
      <c r="L1498" t="s">
        <v>45</v>
      </c>
      <c r="M1498" s="8">
        <v>1292.73</v>
      </c>
      <c r="N1498" s="7">
        <v>6463.65</v>
      </c>
      <c r="O1498" t="s">
        <v>46</v>
      </c>
      <c r="P1498" t="s">
        <v>40</v>
      </c>
    </row>
    <row r="1499" spans="1:16" x14ac:dyDescent="0.25">
      <c r="A1499" s="5">
        <v>45740</v>
      </c>
      <c r="B1499" t="s">
        <v>62</v>
      </c>
      <c r="C1499" t="s">
        <v>63</v>
      </c>
      <c r="D1499" t="s">
        <v>64</v>
      </c>
      <c r="E1499" t="s">
        <v>139</v>
      </c>
      <c r="F1499" t="s">
        <v>108</v>
      </c>
      <c r="G1499" t="s">
        <v>1625</v>
      </c>
      <c r="H1499" s="6">
        <v>22</v>
      </c>
      <c r="I1499" s="7">
        <v>145.78</v>
      </c>
      <c r="J1499" s="7">
        <v>3207.13</v>
      </c>
      <c r="K1499" s="6">
        <v>30</v>
      </c>
      <c r="L1499" t="s">
        <v>52</v>
      </c>
      <c r="M1499" s="8">
        <v>641.42600000000004</v>
      </c>
      <c r="N1499" s="7">
        <v>3207.13</v>
      </c>
      <c r="O1499" t="s">
        <v>46</v>
      </c>
      <c r="P1499" t="s">
        <v>40</v>
      </c>
    </row>
    <row r="1500" spans="1:16" x14ac:dyDescent="0.25">
      <c r="A1500" s="5">
        <v>45721</v>
      </c>
      <c r="B1500" t="s">
        <v>121</v>
      </c>
      <c r="C1500" t="s">
        <v>122</v>
      </c>
      <c r="D1500" t="s">
        <v>34</v>
      </c>
      <c r="E1500" t="s">
        <v>88</v>
      </c>
      <c r="F1500" t="s">
        <v>89</v>
      </c>
      <c r="G1500" t="s">
        <v>1626</v>
      </c>
      <c r="H1500" s="6">
        <v>69</v>
      </c>
      <c r="I1500" s="7">
        <v>316.14</v>
      </c>
      <c r="J1500" s="7">
        <v>21813.79</v>
      </c>
      <c r="K1500" s="6">
        <v>60</v>
      </c>
      <c r="L1500" t="s">
        <v>45</v>
      </c>
      <c r="M1500" s="8">
        <v>4362.7579999999998</v>
      </c>
      <c r="N1500" s="7">
        <v>21813.79</v>
      </c>
      <c r="O1500" t="s">
        <v>46</v>
      </c>
      <c r="P1500" t="s">
        <v>40</v>
      </c>
    </row>
    <row r="1501" spans="1:16" x14ac:dyDescent="0.25">
      <c r="A1501" s="5">
        <v>45663</v>
      </c>
      <c r="B1501" t="s">
        <v>73</v>
      </c>
      <c r="C1501" t="s">
        <v>74</v>
      </c>
      <c r="D1501" t="s">
        <v>69</v>
      </c>
      <c r="E1501" t="s">
        <v>43</v>
      </c>
      <c r="F1501" t="s">
        <v>36</v>
      </c>
      <c r="G1501" t="s">
        <v>1627</v>
      </c>
      <c r="H1501" s="6">
        <v>35</v>
      </c>
      <c r="I1501" s="7">
        <v>90.04</v>
      </c>
      <c r="J1501" s="7">
        <v>3151.47</v>
      </c>
      <c r="K1501" s="6">
        <v>30</v>
      </c>
      <c r="L1501" t="s">
        <v>45</v>
      </c>
      <c r="M1501" s="8">
        <v>630.29399999999998</v>
      </c>
      <c r="N1501" s="7">
        <v>3151.47</v>
      </c>
      <c r="O1501" t="s">
        <v>46</v>
      </c>
      <c r="P1501" t="s">
        <v>40</v>
      </c>
    </row>
    <row r="1502" spans="1:16" x14ac:dyDescent="0.25">
      <c r="A1502" s="5">
        <v>45675</v>
      </c>
      <c r="B1502" t="s">
        <v>94</v>
      </c>
      <c r="C1502" t="s">
        <v>95</v>
      </c>
      <c r="D1502" t="s">
        <v>34</v>
      </c>
      <c r="E1502" t="s">
        <v>154</v>
      </c>
      <c r="F1502" t="s">
        <v>89</v>
      </c>
      <c r="G1502" t="s">
        <v>1628</v>
      </c>
      <c r="H1502" s="6">
        <v>69</v>
      </c>
      <c r="I1502" s="7">
        <v>276.18</v>
      </c>
      <c r="J1502" s="7">
        <v>19056.47</v>
      </c>
      <c r="K1502" s="6">
        <v>30</v>
      </c>
      <c r="L1502" t="s">
        <v>45</v>
      </c>
      <c r="M1502" s="8">
        <v>3811.2939999999999</v>
      </c>
      <c r="N1502" s="7">
        <v>19056.47</v>
      </c>
      <c r="O1502" t="s">
        <v>39</v>
      </c>
      <c r="P1502" t="s">
        <v>40</v>
      </c>
    </row>
    <row r="1503" spans="1:16" x14ac:dyDescent="0.25">
      <c r="A1503" s="5">
        <v>45925</v>
      </c>
      <c r="B1503" t="s">
        <v>47</v>
      </c>
      <c r="C1503" t="s">
        <v>48</v>
      </c>
      <c r="D1503" t="s">
        <v>34</v>
      </c>
      <c r="E1503" t="s">
        <v>152</v>
      </c>
      <c r="F1503" t="s">
        <v>50</v>
      </c>
      <c r="G1503" t="s">
        <v>1629</v>
      </c>
      <c r="H1503" s="6">
        <v>14</v>
      </c>
      <c r="I1503" s="7">
        <v>88.62</v>
      </c>
      <c r="J1503" s="7">
        <v>1240.6600000000001</v>
      </c>
      <c r="K1503" s="6">
        <v>45</v>
      </c>
      <c r="L1503" t="s">
        <v>52</v>
      </c>
      <c r="M1503" s="8">
        <v>248.13200000000001</v>
      </c>
      <c r="N1503" s="7">
        <v>1240.6600000000001</v>
      </c>
      <c r="O1503" t="s">
        <v>46</v>
      </c>
      <c r="P1503" t="s">
        <v>40</v>
      </c>
    </row>
    <row r="1504" spans="1:16" x14ac:dyDescent="0.25">
      <c r="A1504" s="5">
        <v>45964</v>
      </c>
      <c r="B1504" t="s">
        <v>85</v>
      </c>
      <c r="C1504" t="s">
        <v>86</v>
      </c>
      <c r="D1504" t="s">
        <v>58</v>
      </c>
      <c r="E1504" t="s">
        <v>107</v>
      </c>
      <c r="F1504" t="s">
        <v>108</v>
      </c>
      <c r="G1504" t="s">
        <v>1630</v>
      </c>
      <c r="H1504" s="6">
        <v>1</v>
      </c>
      <c r="I1504" s="7">
        <v>47.82</v>
      </c>
      <c r="J1504" s="7">
        <v>47.82</v>
      </c>
      <c r="K1504" s="6">
        <v>30</v>
      </c>
      <c r="L1504" t="s">
        <v>45</v>
      </c>
      <c r="M1504" s="8">
        <v>9.5640000000000001</v>
      </c>
      <c r="N1504" s="7">
        <v>47.82</v>
      </c>
      <c r="O1504" t="s">
        <v>46</v>
      </c>
      <c r="P1504" t="s">
        <v>40</v>
      </c>
    </row>
    <row r="1505" spans="1:16" x14ac:dyDescent="0.25">
      <c r="A1505" s="5">
        <v>45780</v>
      </c>
      <c r="B1505" t="s">
        <v>91</v>
      </c>
      <c r="C1505" t="s">
        <v>92</v>
      </c>
      <c r="D1505" t="s">
        <v>64</v>
      </c>
      <c r="E1505" t="s">
        <v>65</v>
      </c>
      <c r="F1505" t="s">
        <v>54</v>
      </c>
      <c r="G1505" t="s">
        <v>1631</v>
      </c>
      <c r="H1505" s="6">
        <v>26</v>
      </c>
      <c r="I1505" s="7">
        <v>249.54</v>
      </c>
      <c r="J1505" s="7">
        <v>6487.95</v>
      </c>
      <c r="K1505" s="6">
        <v>30</v>
      </c>
      <c r="L1505" t="s">
        <v>38</v>
      </c>
      <c r="M1505" s="8">
        <v>1297.5899999999999</v>
      </c>
      <c r="N1505" s="7">
        <v>6487.95</v>
      </c>
      <c r="O1505" t="s">
        <v>46</v>
      </c>
      <c r="P1505" t="s">
        <v>40</v>
      </c>
    </row>
    <row r="1506" spans="1:16" x14ac:dyDescent="0.25">
      <c r="A1506" s="5">
        <v>45830</v>
      </c>
      <c r="B1506" t="s">
        <v>110</v>
      </c>
      <c r="C1506" t="s">
        <v>111</v>
      </c>
      <c r="D1506" t="s">
        <v>58</v>
      </c>
      <c r="E1506" t="s">
        <v>49</v>
      </c>
      <c r="F1506" t="s">
        <v>50</v>
      </c>
      <c r="G1506" t="s">
        <v>1632</v>
      </c>
      <c r="H1506" s="6">
        <v>25</v>
      </c>
      <c r="I1506" s="7">
        <v>109.28</v>
      </c>
      <c r="J1506" s="7">
        <v>2731.94</v>
      </c>
      <c r="K1506" s="6">
        <v>60</v>
      </c>
      <c r="L1506" t="s">
        <v>52</v>
      </c>
      <c r="M1506" s="8">
        <v>546.38800000000003</v>
      </c>
      <c r="N1506" s="7">
        <v>2731.94</v>
      </c>
      <c r="O1506" t="s">
        <v>39</v>
      </c>
      <c r="P1506" t="s">
        <v>40</v>
      </c>
    </row>
    <row r="1507" spans="1:16" x14ac:dyDescent="0.25">
      <c r="A1507" s="5">
        <v>45998</v>
      </c>
      <c r="B1507" t="s">
        <v>73</v>
      </c>
      <c r="C1507" t="s">
        <v>74</v>
      </c>
      <c r="D1507" t="s">
        <v>69</v>
      </c>
      <c r="E1507" t="s">
        <v>135</v>
      </c>
      <c r="F1507" t="s">
        <v>54</v>
      </c>
      <c r="G1507" t="s">
        <v>1633</v>
      </c>
      <c r="H1507" s="6">
        <v>22</v>
      </c>
      <c r="I1507" s="7">
        <v>194.84</v>
      </c>
      <c r="J1507" s="7">
        <v>4286.51</v>
      </c>
      <c r="K1507" s="6">
        <v>60</v>
      </c>
      <c r="L1507" t="s">
        <v>38</v>
      </c>
      <c r="M1507" s="8">
        <v>857.30200000000002</v>
      </c>
      <c r="N1507" s="7">
        <v>4286.51</v>
      </c>
      <c r="O1507" t="s">
        <v>46</v>
      </c>
      <c r="P1507" t="s">
        <v>40</v>
      </c>
    </row>
    <row r="1508" spans="1:16" x14ac:dyDescent="0.25">
      <c r="A1508" s="5">
        <v>45713</v>
      </c>
      <c r="B1508" t="s">
        <v>73</v>
      </c>
      <c r="C1508" t="s">
        <v>74</v>
      </c>
      <c r="D1508" t="s">
        <v>69</v>
      </c>
      <c r="E1508" t="s">
        <v>105</v>
      </c>
      <c r="F1508" t="s">
        <v>97</v>
      </c>
      <c r="G1508" t="s">
        <v>1634</v>
      </c>
      <c r="H1508" s="6">
        <v>42</v>
      </c>
      <c r="I1508" s="7">
        <v>440.01</v>
      </c>
      <c r="J1508" s="7">
        <v>18480.39</v>
      </c>
      <c r="K1508" s="6">
        <v>45</v>
      </c>
      <c r="L1508" t="s">
        <v>52</v>
      </c>
      <c r="M1508" s="8">
        <v>3696.078</v>
      </c>
      <c r="N1508" s="7">
        <v>18480.39</v>
      </c>
      <c r="O1508" t="s">
        <v>46</v>
      </c>
      <c r="P1508" t="s">
        <v>40</v>
      </c>
    </row>
    <row r="1509" spans="1:16" x14ac:dyDescent="0.25">
      <c r="A1509" s="5">
        <v>45764</v>
      </c>
      <c r="B1509" t="s">
        <v>62</v>
      </c>
      <c r="C1509" t="s">
        <v>63</v>
      </c>
      <c r="D1509" t="s">
        <v>64</v>
      </c>
      <c r="E1509" t="s">
        <v>1635</v>
      </c>
      <c r="F1509" t="s">
        <v>54</v>
      </c>
      <c r="G1509" t="s">
        <v>1636</v>
      </c>
      <c r="H1509" s="6">
        <v>70</v>
      </c>
      <c r="I1509" s="7">
        <v>422.79</v>
      </c>
      <c r="J1509" s="7">
        <v>29595.39</v>
      </c>
      <c r="K1509" s="6">
        <v>45</v>
      </c>
      <c r="L1509" t="s">
        <v>45</v>
      </c>
      <c r="M1509" s="8">
        <v>5919.0780000000004</v>
      </c>
      <c r="N1509" s="7">
        <v>29595.39</v>
      </c>
      <c r="O1509" t="s">
        <v>46</v>
      </c>
      <c r="P1509" t="s">
        <v>40</v>
      </c>
    </row>
    <row r="1510" spans="1:16" x14ac:dyDescent="0.25">
      <c r="A1510" s="5">
        <v>45712</v>
      </c>
      <c r="B1510" t="s">
        <v>100</v>
      </c>
      <c r="C1510" t="s">
        <v>101</v>
      </c>
      <c r="D1510" t="s">
        <v>69</v>
      </c>
      <c r="E1510" t="s">
        <v>135</v>
      </c>
      <c r="F1510" t="s">
        <v>54</v>
      </c>
      <c r="G1510" t="s">
        <v>1637</v>
      </c>
      <c r="H1510" s="6">
        <v>46</v>
      </c>
      <c r="I1510" s="7">
        <v>262.45999999999998</v>
      </c>
      <c r="J1510" s="7">
        <v>12072.99</v>
      </c>
      <c r="K1510" s="6">
        <v>45</v>
      </c>
      <c r="L1510" t="s">
        <v>38</v>
      </c>
      <c r="M1510" s="8">
        <v>2414.598</v>
      </c>
      <c r="N1510" s="7">
        <v>12072.99</v>
      </c>
      <c r="O1510" t="s">
        <v>46</v>
      </c>
      <c r="P1510" t="s">
        <v>40</v>
      </c>
    </row>
    <row r="1511" spans="1:16" x14ac:dyDescent="0.25">
      <c r="A1511" s="5">
        <v>45819</v>
      </c>
      <c r="B1511" t="s">
        <v>32</v>
      </c>
      <c r="C1511" t="s">
        <v>33</v>
      </c>
      <c r="D1511" t="s">
        <v>34</v>
      </c>
      <c r="E1511" t="s">
        <v>105</v>
      </c>
      <c r="F1511" t="s">
        <v>97</v>
      </c>
      <c r="G1511" t="s">
        <v>1638</v>
      </c>
      <c r="H1511" s="6">
        <v>2</v>
      </c>
      <c r="I1511" s="7">
        <v>676.16</v>
      </c>
      <c r="J1511" s="7">
        <v>1352.31</v>
      </c>
      <c r="K1511" s="6">
        <v>45</v>
      </c>
      <c r="L1511" t="s">
        <v>38</v>
      </c>
      <c r="M1511" s="8">
        <v>270.46199999999999</v>
      </c>
      <c r="N1511" s="7">
        <v>1352.31</v>
      </c>
      <c r="O1511" t="s">
        <v>46</v>
      </c>
      <c r="P1511" t="s">
        <v>40</v>
      </c>
    </row>
    <row r="1512" spans="1:16" x14ac:dyDescent="0.25">
      <c r="A1512" s="5">
        <v>45994</v>
      </c>
      <c r="B1512" t="s">
        <v>56</v>
      </c>
      <c r="C1512" t="s">
        <v>57</v>
      </c>
      <c r="D1512" t="s">
        <v>58</v>
      </c>
      <c r="E1512" t="s">
        <v>135</v>
      </c>
      <c r="F1512" t="s">
        <v>54</v>
      </c>
      <c r="G1512" t="s">
        <v>1639</v>
      </c>
      <c r="H1512" s="6">
        <v>36</v>
      </c>
      <c r="I1512" s="7">
        <v>133.41999999999999</v>
      </c>
      <c r="J1512" s="7">
        <v>4803.26</v>
      </c>
      <c r="K1512" s="6">
        <v>60</v>
      </c>
      <c r="L1512" t="s">
        <v>52</v>
      </c>
      <c r="M1512" s="8">
        <v>960.65200000000004</v>
      </c>
      <c r="N1512" s="7">
        <v>4803.26</v>
      </c>
      <c r="O1512" t="s">
        <v>46</v>
      </c>
      <c r="P1512" t="s">
        <v>40</v>
      </c>
    </row>
    <row r="1513" spans="1:16" x14ac:dyDescent="0.25">
      <c r="A1513" s="5">
        <v>45769</v>
      </c>
      <c r="B1513" t="s">
        <v>118</v>
      </c>
      <c r="C1513" t="s">
        <v>119</v>
      </c>
      <c r="D1513" t="s">
        <v>64</v>
      </c>
      <c r="E1513" t="s">
        <v>49</v>
      </c>
      <c r="F1513" t="s">
        <v>50</v>
      </c>
      <c r="G1513" t="s">
        <v>1640</v>
      </c>
      <c r="H1513" s="6">
        <v>53</v>
      </c>
      <c r="I1513" s="7">
        <v>107.88</v>
      </c>
      <c r="J1513" s="7">
        <v>5717.41</v>
      </c>
      <c r="K1513" s="6">
        <v>45</v>
      </c>
      <c r="L1513" t="s">
        <v>52</v>
      </c>
      <c r="M1513" s="8">
        <v>1143.482</v>
      </c>
      <c r="N1513" s="7">
        <v>5717.41</v>
      </c>
      <c r="O1513" t="s">
        <v>39</v>
      </c>
      <c r="P1513" t="s">
        <v>40</v>
      </c>
    </row>
    <row r="1514" spans="1:16" x14ac:dyDescent="0.25">
      <c r="A1514" s="5">
        <v>45932</v>
      </c>
      <c r="B1514" t="s">
        <v>62</v>
      </c>
      <c r="C1514" t="s">
        <v>63</v>
      </c>
      <c r="D1514" t="s">
        <v>64</v>
      </c>
      <c r="E1514" t="s">
        <v>43</v>
      </c>
      <c r="F1514" t="s">
        <v>36</v>
      </c>
      <c r="G1514" t="s">
        <v>1641</v>
      </c>
      <c r="H1514" s="6">
        <v>73</v>
      </c>
      <c r="I1514" s="7">
        <v>43.82</v>
      </c>
      <c r="J1514" s="7">
        <v>3199</v>
      </c>
      <c r="K1514" s="6">
        <v>30</v>
      </c>
      <c r="L1514" t="s">
        <v>45</v>
      </c>
      <c r="M1514" s="8">
        <v>639.79999999999995</v>
      </c>
      <c r="N1514" s="7">
        <v>3199</v>
      </c>
      <c r="O1514" t="s">
        <v>46</v>
      </c>
      <c r="P1514" t="s">
        <v>40</v>
      </c>
    </row>
    <row r="1515" spans="1:16" x14ac:dyDescent="0.25">
      <c r="A1515" s="5">
        <v>46014</v>
      </c>
      <c r="B1515" t="s">
        <v>91</v>
      </c>
      <c r="C1515" t="s">
        <v>92</v>
      </c>
      <c r="D1515" t="s">
        <v>64</v>
      </c>
      <c r="E1515" t="s">
        <v>70</v>
      </c>
      <c r="F1515" t="s">
        <v>71</v>
      </c>
      <c r="G1515" t="s">
        <v>1642</v>
      </c>
      <c r="H1515" s="6">
        <v>50</v>
      </c>
      <c r="I1515" s="7">
        <v>34.03</v>
      </c>
      <c r="J1515" s="7">
        <v>1701.57</v>
      </c>
      <c r="K1515" s="6">
        <v>60</v>
      </c>
      <c r="L1515" t="s">
        <v>52</v>
      </c>
      <c r="M1515" s="8">
        <v>340.31400000000002</v>
      </c>
      <c r="N1515" s="7">
        <v>1701.57</v>
      </c>
      <c r="O1515" t="s">
        <v>46</v>
      </c>
      <c r="P1515" t="s">
        <v>40</v>
      </c>
    </row>
    <row r="1516" spans="1:16" x14ac:dyDescent="0.25">
      <c r="A1516" s="5">
        <v>45983</v>
      </c>
      <c r="B1516" t="s">
        <v>41</v>
      </c>
      <c r="C1516" t="s">
        <v>42</v>
      </c>
      <c r="D1516" t="s">
        <v>34</v>
      </c>
      <c r="E1516" t="s">
        <v>83</v>
      </c>
      <c r="F1516" t="s">
        <v>71</v>
      </c>
      <c r="G1516" t="s">
        <v>1643</v>
      </c>
      <c r="H1516" s="6">
        <v>41</v>
      </c>
      <c r="I1516" s="7">
        <v>90.78</v>
      </c>
      <c r="J1516" s="7">
        <v>3721.84</v>
      </c>
      <c r="K1516" s="6">
        <v>60</v>
      </c>
      <c r="L1516" t="s">
        <v>45</v>
      </c>
      <c r="M1516" s="8">
        <v>744.36800000000005</v>
      </c>
      <c r="N1516" s="7">
        <v>3721.84</v>
      </c>
      <c r="O1516" t="s">
        <v>39</v>
      </c>
      <c r="P1516" t="s">
        <v>40</v>
      </c>
    </row>
    <row r="1517" spans="1:16" x14ac:dyDescent="0.25">
      <c r="A1517" s="5">
        <v>45969</v>
      </c>
      <c r="B1517" t="s">
        <v>118</v>
      </c>
      <c r="C1517" t="s">
        <v>119</v>
      </c>
      <c r="D1517" t="s">
        <v>64</v>
      </c>
      <c r="E1517" t="s">
        <v>83</v>
      </c>
      <c r="F1517" t="s">
        <v>71</v>
      </c>
      <c r="G1517" t="s">
        <v>1644</v>
      </c>
      <c r="H1517" s="6">
        <v>75</v>
      </c>
      <c r="I1517" s="7">
        <v>88.85</v>
      </c>
      <c r="J1517" s="7">
        <v>6663.52</v>
      </c>
      <c r="K1517" s="6">
        <v>45</v>
      </c>
      <c r="L1517" t="s">
        <v>45</v>
      </c>
      <c r="M1517" s="8">
        <v>1332.704</v>
      </c>
      <c r="N1517" s="7">
        <v>6663.52</v>
      </c>
      <c r="O1517" t="s">
        <v>39</v>
      </c>
      <c r="P1517" t="s">
        <v>40</v>
      </c>
    </row>
    <row r="1518" spans="1:16" x14ac:dyDescent="0.25">
      <c r="A1518" s="5">
        <v>45958</v>
      </c>
      <c r="B1518" t="s">
        <v>67</v>
      </c>
      <c r="C1518" t="s">
        <v>68</v>
      </c>
      <c r="D1518" t="s">
        <v>69</v>
      </c>
      <c r="E1518" t="s">
        <v>53</v>
      </c>
      <c r="F1518" t="s">
        <v>54</v>
      </c>
      <c r="G1518" t="s">
        <v>1645</v>
      </c>
      <c r="H1518" s="6">
        <v>2</v>
      </c>
      <c r="I1518" s="7">
        <v>574.71</v>
      </c>
      <c r="J1518" s="7">
        <v>1149.4100000000001</v>
      </c>
      <c r="K1518" s="6">
        <v>30</v>
      </c>
      <c r="L1518" t="s">
        <v>38</v>
      </c>
      <c r="M1518" s="8">
        <v>229.88200000000001</v>
      </c>
      <c r="N1518" s="7">
        <v>1149.4100000000001</v>
      </c>
      <c r="O1518" t="s">
        <v>46</v>
      </c>
      <c r="P1518" t="s">
        <v>40</v>
      </c>
    </row>
    <row r="1519" spans="1:16" x14ac:dyDescent="0.25">
      <c r="A1519" s="5">
        <v>45779</v>
      </c>
      <c r="B1519" t="s">
        <v>85</v>
      </c>
      <c r="C1519" t="s">
        <v>86</v>
      </c>
      <c r="D1519" t="s">
        <v>58</v>
      </c>
      <c r="E1519" t="s">
        <v>75</v>
      </c>
      <c r="F1519" t="s">
        <v>36</v>
      </c>
      <c r="G1519" t="s">
        <v>1646</v>
      </c>
      <c r="H1519" s="6">
        <v>55</v>
      </c>
      <c r="I1519" s="7">
        <v>91.96</v>
      </c>
      <c r="J1519" s="7">
        <v>5057.7</v>
      </c>
      <c r="K1519" s="6">
        <v>30</v>
      </c>
      <c r="L1519" t="s">
        <v>52</v>
      </c>
      <c r="M1519" s="8">
        <v>1011.54</v>
      </c>
      <c r="N1519" s="7">
        <v>5057.7</v>
      </c>
      <c r="O1519" t="s">
        <v>46</v>
      </c>
      <c r="P1519" t="s">
        <v>40</v>
      </c>
    </row>
    <row r="1520" spans="1:16" x14ac:dyDescent="0.25">
      <c r="A1520" s="5">
        <v>45849</v>
      </c>
      <c r="B1520" t="s">
        <v>118</v>
      </c>
      <c r="C1520" t="s">
        <v>119</v>
      </c>
      <c r="D1520" t="s">
        <v>64</v>
      </c>
      <c r="E1520" t="s">
        <v>49</v>
      </c>
      <c r="F1520" t="s">
        <v>50</v>
      </c>
      <c r="G1520" t="s">
        <v>1647</v>
      </c>
      <c r="H1520" s="6">
        <v>64</v>
      </c>
      <c r="I1520" s="7">
        <v>68.319999999999993</v>
      </c>
      <c r="J1520" s="7">
        <v>4372.42</v>
      </c>
      <c r="K1520" s="6">
        <v>45</v>
      </c>
      <c r="L1520" t="s">
        <v>38</v>
      </c>
      <c r="M1520" s="8">
        <v>874.48400000000004</v>
      </c>
      <c r="N1520" s="7">
        <v>4372.42</v>
      </c>
      <c r="O1520" t="s">
        <v>39</v>
      </c>
      <c r="P1520" t="s">
        <v>40</v>
      </c>
    </row>
    <row r="1521" spans="1:16" x14ac:dyDescent="0.25">
      <c r="A1521" s="5">
        <v>45986</v>
      </c>
      <c r="B1521" t="s">
        <v>143</v>
      </c>
      <c r="C1521" t="s">
        <v>144</v>
      </c>
      <c r="D1521" t="s">
        <v>69</v>
      </c>
      <c r="E1521" t="s">
        <v>204</v>
      </c>
      <c r="F1521" t="s">
        <v>97</v>
      </c>
      <c r="G1521" t="s">
        <v>1648</v>
      </c>
      <c r="H1521" s="6">
        <v>5</v>
      </c>
      <c r="I1521" s="7">
        <v>831.75</v>
      </c>
      <c r="J1521" s="7">
        <v>4158.76</v>
      </c>
      <c r="K1521" s="6">
        <v>30</v>
      </c>
      <c r="L1521" t="s">
        <v>52</v>
      </c>
      <c r="M1521" s="8">
        <v>831.75199999999995</v>
      </c>
      <c r="N1521" s="7">
        <v>4158.76</v>
      </c>
      <c r="O1521" t="s">
        <v>46</v>
      </c>
      <c r="P1521" t="s">
        <v>40</v>
      </c>
    </row>
    <row r="1522" spans="1:16" x14ac:dyDescent="0.25">
      <c r="A1522" s="5">
        <v>45826</v>
      </c>
      <c r="B1522" t="s">
        <v>47</v>
      </c>
      <c r="C1522" t="s">
        <v>48</v>
      </c>
      <c r="D1522" t="s">
        <v>34</v>
      </c>
      <c r="E1522" t="s">
        <v>129</v>
      </c>
      <c r="F1522" t="s">
        <v>108</v>
      </c>
      <c r="G1522" t="s">
        <v>1649</v>
      </c>
      <c r="H1522" s="6">
        <v>18</v>
      </c>
      <c r="I1522" s="7">
        <v>146.80000000000001</v>
      </c>
      <c r="J1522" s="7">
        <v>2642.36</v>
      </c>
      <c r="K1522" s="6">
        <v>45</v>
      </c>
      <c r="L1522" t="s">
        <v>45</v>
      </c>
      <c r="M1522" s="8">
        <v>528.47199999999998</v>
      </c>
      <c r="N1522" s="7">
        <v>2642.36</v>
      </c>
      <c r="O1522" t="s">
        <v>46</v>
      </c>
      <c r="P1522" t="s">
        <v>40</v>
      </c>
    </row>
    <row r="1523" spans="1:16" x14ac:dyDescent="0.25">
      <c r="A1523" s="5">
        <v>45870</v>
      </c>
      <c r="B1523" t="s">
        <v>118</v>
      </c>
      <c r="C1523" t="s">
        <v>119</v>
      </c>
      <c r="D1523" t="s">
        <v>64</v>
      </c>
      <c r="E1523" t="s">
        <v>152</v>
      </c>
      <c r="F1523" t="s">
        <v>50</v>
      </c>
      <c r="G1523" t="s">
        <v>1650</v>
      </c>
      <c r="H1523" s="6">
        <v>37</v>
      </c>
      <c r="I1523" s="7">
        <v>165.28</v>
      </c>
      <c r="J1523" s="7">
        <v>6115.39</v>
      </c>
      <c r="K1523" s="6">
        <v>30</v>
      </c>
      <c r="L1523" t="s">
        <v>38</v>
      </c>
      <c r="M1523" s="8">
        <v>1223.078</v>
      </c>
      <c r="N1523" s="7">
        <v>6115.39</v>
      </c>
      <c r="O1523" t="s">
        <v>46</v>
      </c>
      <c r="P1523" t="s">
        <v>40</v>
      </c>
    </row>
    <row r="1524" spans="1:16" x14ac:dyDescent="0.25">
      <c r="A1524" s="5">
        <v>45782</v>
      </c>
      <c r="B1524" t="s">
        <v>77</v>
      </c>
      <c r="C1524" t="s">
        <v>78</v>
      </c>
      <c r="D1524" t="s">
        <v>58</v>
      </c>
      <c r="E1524" t="s">
        <v>132</v>
      </c>
      <c r="F1524" t="s">
        <v>71</v>
      </c>
      <c r="G1524" t="s">
        <v>1651</v>
      </c>
      <c r="H1524" s="6">
        <v>27</v>
      </c>
      <c r="I1524" s="7">
        <v>83.87</v>
      </c>
      <c r="J1524" s="7">
        <v>2264.59</v>
      </c>
      <c r="K1524" s="6">
        <v>60</v>
      </c>
      <c r="L1524" t="s">
        <v>38</v>
      </c>
      <c r="M1524" s="8">
        <v>452.91800000000001</v>
      </c>
      <c r="N1524" s="7">
        <v>2264.59</v>
      </c>
      <c r="O1524" t="s">
        <v>46</v>
      </c>
      <c r="P1524" t="s">
        <v>40</v>
      </c>
    </row>
    <row r="1525" spans="1:16" x14ac:dyDescent="0.25">
      <c r="A1525" s="5">
        <v>46014</v>
      </c>
      <c r="B1525" t="s">
        <v>121</v>
      </c>
      <c r="C1525" t="s">
        <v>122</v>
      </c>
      <c r="D1525" t="s">
        <v>34</v>
      </c>
      <c r="E1525" t="s">
        <v>53</v>
      </c>
      <c r="F1525" t="s">
        <v>54</v>
      </c>
      <c r="G1525" t="s">
        <v>1652</v>
      </c>
      <c r="H1525" s="6">
        <v>29</v>
      </c>
      <c r="I1525" s="7">
        <v>147.49</v>
      </c>
      <c r="J1525" s="7">
        <v>4277.25</v>
      </c>
      <c r="K1525" s="6">
        <v>60</v>
      </c>
      <c r="L1525" t="s">
        <v>45</v>
      </c>
      <c r="M1525" s="8">
        <v>855.45</v>
      </c>
      <c r="N1525" s="7">
        <v>4277.25</v>
      </c>
      <c r="O1525" t="s">
        <v>46</v>
      </c>
      <c r="P1525" t="s">
        <v>40</v>
      </c>
    </row>
    <row r="1526" spans="1:16" x14ac:dyDescent="0.25">
      <c r="A1526" s="5">
        <v>45884</v>
      </c>
      <c r="B1526" t="s">
        <v>121</v>
      </c>
      <c r="C1526" t="s">
        <v>122</v>
      </c>
      <c r="D1526" t="s">
        <v>34</v>
      </c>
      <c r="E1526" t="s">
        <v>83</v>
      </c>
      <c r="F1526" t="s">
        <v>71</v>
      </c>
      <c r="G1526" t="s">
        <v>1653</v>
      </c>
      <c r="H1526" s="6">
        <v>1</v>
      </c>
      <c r="I1526" s="7">
        <v>77.41</v>
      </c>
      <c r="J1526" s="7">
        <v>77.41</v>
      </c>
      <c r="K1526" s="6">
        <v>30</v>
      </c>
      <c r="L1526" t="s">
        <v>45</v>
      </c>
      <c r="M1526" s="8">
        <v>15.481999999999999</v>
      </c>
      <c r="N1526" s="7">
        <v>77.41</v>
      </c>
      <c r="O1526" t="s">
        <v>39</v>
      </c>
      <c r="P1526" t="s">
        <v>40</v>
      </c>
    </row>
    <row r="1527" spans="1:16" x14ac:dyDescent="0.25">
      <c r="A1527" s="5">
        <v>45982</v>
      </c>
      <c r="B1527" t="s">
        <v>67</v>
      </c>
      <c r="C1527" t="s">
        <v>68</v>
      </c>
      <c r="D1527" t="s">
        <v>69</v>
      </c>
      <c r="E1527" t="s">
        <v>135</v>
      </c>
      <c r="F1527" t="s">
        <v>54</v>
      </c>
      <c r="G1527" t="s">
        <v>1654</v>
      </c>
      <c r="H1527" s="6">
        <v>19</v>
      </c>
      <c r="I1527" s="7">
        <v>454.99</v>
      </c>
      <c r="J1527" s="7">
        <v>8644.7900000000009</v>
      </c>
      <c r="K1527" s="6">
        <v>30</v>
      </c>
      <c r="L1527" t="s">
        <v>38</v>
      </c>
      <c r="M1527" s="8">
        <v>1728.9580000000001</v>
      </c>
      <c r="N1527" s="7">
        <v>8644.7900000000009</v>
      </c>
      <c r="O1527" t="s">
        <v>46</v>
      </c>
      <c r="P1527" t="s">
        <v>40</v>
      </c>
    </row>
    <row r="1528" spans="1:16" x14ac:dyDescent="0.25">
      <c r="A1528" s="5">
        <v>45939</v>
      </c>
      <c r="B1528" t="s">
        <v>121</v>
      </c>
      <c r="C1528" t="s">
        <v>122</v>
      </c>
      <c r="D1528" t="s">
        <v>34</v>
      </c>
      <c r="E1528" t="s">
        <v>124</v>
      </c>
      <c r="F1528" t="s">
        <v>89</v>
      </c>
      <c r="G1528" t="s">
        <v>1655</v>
      </c>
      <c r="H1528" s="6">
        <v>27</v>
      </c>
      <c r="I1528" s="7">
        <v>507.49</v>
      </c>
      <c r="J1528" s="7">
        <v>13702.26</v>
      </c>
      <c r="K1528" s="6">
        <v>30</v>
      </c>
      <c r="L1528" t="s">
        <v>52</v>
      </c>
      <c r="M1528" s="8">
        <v>2740.4520000000002</v>
      </c>
      <c r="N1528" s="7">
        <v>13702.26</v>
      </c>
      <c r="O1528" t="s">
        <v>46</v>
      </c>
      <c r="P1528" t="s">
        <v>40</v>
      </c>
    </row>
    <row r="1529" spans="1:16" x14ac:dyDescent="0.25">
      <c r="A1529" s="5">
        <v>45897</v>
      </c>
      <c r="B1529" t="s">
        <v>32</v>
      </c>
      <c r="C1529" t="s">
        <v>33</v>
      </c>
      <c r="D1529" t="s">
        <v>34</v>
      </c>
      <c r="E1529" t="s">
        <v>105</v>
      </c>
      <c r="F1529" t="s">
        <v>97</v>
      </c>
      <c r="G1529" t="s">
        <v>1656</v>
      </c>
      <c r="H1529" s="6">
        <v>40</v>
      </c>
      <c r="I1529" s="7">
        <v>701.04</v>
      </c>
      <c r="J1529" s="7">
        <v>28041.64</v>
      </c>
      <c r="K1529" s="6">
        <v>30</v>
      </c>
      <c r="L1529" t="s">
        <v>52</v>
      </c>
      <c r="M1529" s="8">
        <v>5608.3280000000004</v>
      </c>
      <c r="N1529" s="7">
        <v>28041.64</v>
      </c>
      <c r="O1529" t="s">
        <v>46</v>
      </c>
      <c r="P1529" t="s">
        <v>40</v>
      </c>
    </row>
    <row r="1530" spans="1:16" x14ac:dyDescent="0.25">
      <c r="A1530" s="5">
        <v>45748</v>
      </c>
      <c r="B1530" t="s">
        <v>100</v>
      </c>
      <c r="C1530" t="s">
        <v>101</v>
      </c>
      <c r="D1530" t="s">
        <v>69</v>
      </c>
      <c r="E1530" t="s">
        <v>65</v>
      </c>
      <c r="F1530" t="s">
        <v>54</v>
      </c>
      <c r="G1530" t="s">
        <v>1657</v>
      </c>
      <c r="H1530" s="6">
        <v>78</v>
      </c>
      <c r="I1530" s="7">
        <v>191.06</v>
      </c>
      <c r="J1530" s="7">
        <v>14902.77</v>
      </c>
      <c r="K1530" s="6">
        <v>30</v>
      </c>
      <c r="L1530" t="s">
        <v>45</v>
      </c>
      <c r="M1530" s="8">
        <v>2980.5540000000001</v>
      </c>
      <c r="N1530" s="7">
        <v>14902.77</v>
      </c>
      <c r="O1530" t="s">
        <v>46</v>
      </c>
      <c r="P1530" t="s">
        <v>40</v>
      </c>
    </row>
    <row r="1531" spans="1:16" x14ac:dyDescent="0.25">
      <c r="A1531" s="5">
        <v>45761</v>
      </c>
      <c r="B1531" t="s">
        <v>47</v>
      </c>
      <c r="C1531" t="s">
        <v>48</v>
      </c>
      <c r="D1531" t="s">
        <v>34</v>
      </c>
      <c r="E1531" t="s">
        <v>129</v>
      </c>
      <c r="F1531" t="s">
        <v>108</v>
      </c>
      <c r="G1531" t="s">
        <v>1658</v>
      </c>
      <c r="H1531" s="6">
        <v>35</v>
      </c>
      <c r="I1531" s="7">
        <v>40.520000000000003</v>
      </c>
      <c r="J1531" s="7">
        <v>1418.06</v>
      </c>
      <c r="K1531" s="6">
        <v>45</v>
      </c>
      <c r="L1531" t="s">
        <v>38</v>
      </c>
      <c r="M1531" s="8">
        <v>283.61200000000002</v>
      </c>
      <c r="N1531" s="7">
        <v>1418.06</v>
      </c>
      <c r="O1531" t="s">
        <v>46</v>
      </c>
      <c r="P1531" t="s">
        <v>40</v>
      </c>
    </row>
    <row r="1532" spans="1:16" x14ac:dyDescent="0.25">
      <c r="A1532" s="5">
        <v>45743</v>
      </c>
      <c r="B1532" t="s">
        <v>41</v>
      </c>
      <c r="C1532" t="s">
        <v>42</v>
      </c>
      <c r="D1532" t="s">
        <v>34</v>
      </c>
      <c r="E1532" t="s">
        <v>96</v>
      </c>
      <c r="F1532" t="s">
        <v>97</v>
      </c>
      <c r="G1532" t="s">
        <v>1659</v>
      </c>
      <c r="H1532" s="6">
        <v>61</v>
      </c>
      <c r="I1532" s="7">
        <v>324.17</v>
      </c>
      <c r="J1532" s="7">
        <v>19774.41</v>
      </c>
      <c r="K1532" s="6">
        <v>45</v>
      </c>
      <c r="L1532" t="s">
        <v>45</v>
      </c>
      <c r="M1532" s="8">
        <v>3954.8820000000001</v>
      </c>
      <c r="N1532" s="7">
        <v>19774.41</v>
      </c>
      <c r="O1532" t="s">
        <v>46</v>
      </c>
      <c r="P1532" t="s">
        <v>40</v>
      </c>
    </row>
    <row r="1533" spans="1:16" x14ac:dyDescent="0.25">
      <c r="A1533" s="5">
        <v>45904</v>
      </c>
      <c r="B1533" t="s">
        <v>103</v>
      </c>
      <c r="C1533" t="s">
        <v>104</v>
      </c>
      <c r="D1533" t="s">
        <v>58</v>
      </c>
      <c r="E1533" t="s">
        <v>204</v>
      </c>
      <c r="F1533" t="s">
        <v>97</v>
      </c>
      <c r="G1533" t="s">
        <v>1660</v>
      </c>
      <c r="H1533" s="6">
        <v>3</v>
      </c>
      <c r="I1533" s="7">
        <v>113.42</v>
      </c>
      <c r="J1533" s="7">
        <v>340.27</v>
      </c>
      <c r="K1533" s="6">
        <v>45</v>
      </c>
      <c r="L1533" t="s">
        <v>45</v>
      </c>
      <c r="M1533" s="8">
        <v>68.054000000000002</v>
      </c>
      <c r="N1533" s="7">
        <v>340.27</v>
      </c>
      <c r="O1533" t="s">
        <v>46</v>
      </c>
      <c r="P1533" t="s">
        <v>40</v>
      </c>
    </row>
    <row r="1534" spans="1:16" x14ac:dyDescent="0.25">
      <c r="A1534" s="5">
        <v>45933</v>
      </c>
      <c r="B1534" t="s">
        <v>110</v>
      </c>
      <c r="C1534" t="s">
        <v>111</v>
      </c>
      <c r="D1534" t="s">
        <v>58</v>
      </c>
      <c r="E1534" t="s">
        <v>115</v>
      </c>
      <c r="F1534" t="s">
        <v>60</v>
      </c>
      <c r="G1534" t="s">
        <v>1661</v>
      </c>
      <c r="H1534" s="6">
        <v>20</v>
      </c>
      <c r="I1534" s="7">
        <v>262.79000000000002</v>
      </c>
      <c r="J1534" s="7">
        <v>5255.88</v>
      </c>
      <c r="K1534" s="6">
        <v>60</v>
      </c>
      <c r="L1534" t="s">
        <v>52</v>
      </c>
      <c r="M1534" s="8">
        <v>1051.1759999999999</v>
      </c>
      <c r="N1534" s="7">
        <v>5255.88</v>
      </c>
      <c r="O1534" t="s">
        <v>46</v>
      </c>
      <c r="P1534" t="s">
        <v>40</v>
      </c>
    </row>
    <row r="1535" spans="1:16" x14ac:dyDescent="0.25">
      <c r="A1535" s="5">
        <v>45895</v>
      </c>
      <c r="B1535" t="s">
        <v>77</v>
      </c>
      <c r="C1535" t="s">
        <v>78</v>
      </c>
      <c r="D1535" t="s">
        <v>58</v>
      </c>
      <c r="E1535" t="s">
        <v>149</v>
      </c>
      <c r="F1535" t="s">
        <v>60</v>
      </c>
      <c r="G1535" t="s">
        <v>1662</v>
      </c>
      <c r="H1535" s="6">
        <v>40</v>
      </c>
      <c r="I1535" s="7">
        <v>202.85</v>
      </c>
      <c r="J1535" s="7">
        <v>8113.83</v>
      </c>
      <c r="K1535" s="6">
        <v>45</v>
      </c>
      <c r="L1535" t="s">
        <v>45</v>
      </c>
      <c r="M1535" s="8">
        <v>1622.7660000000001</v>
      </c>
      <c r="N1535" s="7">
        <v>8113.83</v>
      </c>
      <c r="O1535" t="s">
        <v>46</v>
      </c>
      <c r="P1535" t="s">
        <v>40</v>
      </c>
    </row>
    <row r="1536" spans="1:16" x14ac:dyDescent="0.25">
      <c r="A1536" s="5">
        <v>45828</v>
      </c>
      <c r="B1536" t="s">
        <v>80</v>
      </c>
      <c r="C1536" t="s">
        <v>81</v>
      </c>
      <c r="D1536" t="s">
        <v>64</v>
      </c>
      <c r="E1536" t="s">
        <v>107</v>
      </c>
      <c r="F1536" t="s">
        <v>108</v>
      </c>
      <c r="G1536" t="s">
        <v>1663</v>
      </c>
      <c r="H1536" s="6">
        <v>18</v>
      </c>
      <c r="I1536" s="7">
        <v>58.04</v>
      </c>
      <c r="J1536" s="7">
        <v>1044.76</v>
      </c>
      <c r="K1536" s="6">
        <v>60</v>
      </c>
      <c r="L1536" t="s">
        <v>45</v>
      </c>
      <c r="M1536" s="8">
        <v>208.952</v>
      </c>
      <c r="N1536" s="7">
        <v>1044.76</v>
      </c>
      <c r="O1536" t="s">
        <v>46</v>
      </c>
      <c r="P1536" t="s">
        <v>40</v>
      </c>
    </row>
    <row r="1537" spans="1:16" x14ac:dyDescent="0.25">
      <c r="A1537" s="5">
        <v>45660</v>
      </c>
      <c r="B1537" t="s">
        <v>73</v>
      </c>
      <c r="C1537" t="s">
        <v>74</v>
      </c>
      <c r="D1537" t="s">
        <v>69</v>
      </c>
      <c r="E1537" t="s">
        <v>154</v>
      </c>
      <c r="F1537" t="s">
        <v>89</v>
      </c>
      <c r="G1537" t="s">
        <v>1664</v>
      </c>
      <c r="H1537" s="6">
        <v>2</v>
      </c>
      <c r="I1537" s="7">
        <v>74.88</v>
      </c>
      <c r="J1537" s="7">
        <v>149.76</v>
      </c>
      <c r="K1537" s="6">
        <v>60</v>
      </c>
      <c r="L1537" t="s">
        <v>52</v>
      </c>
      <c r="M1537" s="8">
        <v>29.952000000000002</v>
      </c>
      <c r="N1537" s="7">
        <v>149.76</v>
      </c>
      <c r="O1537" t="s">
        <v>39</v>
      </c>
      <c r="P1537" t="s">
        <v>40</v>
      </c>
    </row>
    <row r="1538" spans="1:16" x14ac:dyDescent="0.25">
      <c r="A1538" s="5">
        <v>45865</v>
      </c>
      <c r="B1538" t="s">
        <v>91</v>
      </c>
      <c r="C1538" t="s">
        <v>92</v>
      </c>
      <c r="D1538" t="s">
        <v>64</v>
      </c>
      <c r="E1538" t="s">
        <v>132</v>
      </c>
      <c r="F1538" t="s">
        <v>71</v>
      </c>
      <c r="G1538" t="s">
        <v>1665</v>
      </c>
      <c r="H1538" s="6">
        <v>54</v>
      </c>
      <c r="I1538" s="7">
        <v>126.01</v>
      </c>
      <c r="J1538" s="7">
        <v>6804.51</v>
      </c>
      <c r="K1538" s="6">
        <v>45</v>
      </c>
      <c r="L1538" t="s">
        <v>52</v>
      </c>
      <c r="M1538" s="8">
        <v>1360.902</v>
      </c>
      <c r="N1538" s="7">
        <v>6804.51</v>
      </c>
      <c r="O1538" t="s">
        <v>46</v>
      </c>
      <c r="P1538" t="s">
        <v>40</v>
      </c>
    </row>
    <row r="1539" spans="1:16" x14ac:dyDescent="0.25">
      <c r="A1539" s="5">
        <v>45815</v>
      </c>
      <c r="B1539" t="s">
        <v>143</v>
      </c>
      <c r="C1539" t="s">
        <v>144</v>
      </c>
      <c r="D1539" t="s">
        <v>69</v>
      </c>
      <c r="E1539" t="s">
        <v>96</v>
      </c>
      <c r="F1539" t="s">
        <v>97</v>
      </c>
      <c r="G1539" t="s">
        <v>1666</v>
      </c>
      <c r="H1539" s="6">
        <v>76</v>
      </c>
      <c r="I1539" s="7">
        <v>223.81</v>
      </c>
      <c r="J1539" s="7">
        <v>17009.55</v>
      </c>
      <c r="K1539" s="6">
        <v>30</v>
      </c>
      <c r="L1539" t="s">
        <v>45</v>
      </c>
      <c r="M1539" s="8">
        <v>3401.91</v>
      </c>
      <c r="N1539" s="7">
        <v>17009.55</v>
      </c>
      <c r="O1539" t="s">
        <v>46</v>
      </c>
      <c r="P1539" t="s">
        <v>40</v>
      </c>
    </row>
    <row r="1540" spans="1:16" x14ac:dyDescent="0.25">
      <c r="A1540" s="5">
        <v>45947</v>
      </c>
      <c r="B1540" t="s">
        <v>91</v>
      </c>
      <c r="C1540" t="s">
        <v>92</v>
      </c>
      <c r="D1540" t="s">
        <v>64</v>
      </c>
      <c r="E1540" t="s">
        <v>75</v>
      </c>
      <c r="F1540" t="s">
        <v>36</v>
      </c>
      <c r="G1540" t="s">
        <v>1667</v>
      </c>
      <c r="H1540" s="6">
        <v>21</v>
      </c>
      <c r="I1540" s="7">
        <v>34.159999999999997</v>
      </c>
      <c r="J1540" s="7">
        <v>717.27</v>
      </c>
      <c r="K1540" s="6">
        <v>30</v>
      </c>
      <c r="L1540" t="s">
        <v>45</v>
      </c>
      <c r="M1540" s="8">
        <v>143.45400000000001</v>
      </c>
      <c r="N1540" s="7">
        <v>717.27</v>
      </c>
      <c r="O1540" t="s">
        <v>46</v>
      </c>
      <c r="P1540" t="s">
        <v>40</v>
      </c>
    </row>
    <row r="1541" spans="1:16" x14ac:dyDescent="0.25">
      <c r="A1541" s="5">
        <v>46021</v>
      </c>
      <c r="B1541" t="s">
        <v>77</v>
      </c>
      <c r="C1541" t="s">
        <v>78</v>
      </c>
      <c r="D1541" t="s">
        <v>58</v>
      </c>
      <c r="E1541" t="s">
        <v>70</v>
      </c>
      <c r="F1541" t="s">
        <v>71</v>
      </c>
      <c r="G1541" t="s">
        <v>1668</v>
      </c>
      <c r="H1541" s="6">
        <v>63</v>
      </c>
      <c r="I1541" s="7">
        <v>19.57</v>
      </c>
      <c r="J1541" s="7">
        <v>1233.08</v>
      </c>
      <c r="K1541" s="6">
        <v>60</v>
      </c>
      <c r="L1541" t="s">
        <v>52</v>
      </c>
      <c r="M1541" s="8">
        <v>246.61600000000001</v>
      </c>
      <c r="N1541" s="7">
        <v>1233.08</v>
      </c>
      <c r="O1541" t="s">
        <v>46</v>
      </c>
      <c r="P1541" t="s">
        <v>40</v>
      </c>
    </row>
    <row r="1542" spans="1:16" x14ac:dyDescent="0.25">
      <c r="A1542" s="5">
        <v>45855</v>
      </c>
      <c r="B1542" t="s">
        <v>113</v>
      </c>
      <c r="C1542" t="s">
        <v>114</v>
      </c>
      <c r="D1542" t="s">
        <v>69</v>
      </c>
      <c r="E1542" t="s">
        <v>152</v>
      </c>
      <c r="F1542" t="s">
        <v>50</v>
      </c>
      <c r="G1542" t="s">
        <v>1669</v>
      </c>
      <c r="H1542" s="6">
        <v>55</v>
      </c>
      <c r="I1542" s="7">
        <v>118.2</v>
      </c>
      <c r="J1542" s="7">
        <v>6500.87</v>
      </c>
      <c r="K1542" s="6">
        <v>60</v>
      </c>
      <c r="L1542" t="s">
        <v>38</v>
      </c>
      <c r="M1542" s="8">
        <v>1300.174</v>
      </c>
      <c r="N1542" s="7">
        <v>6500.87</v>
      </c>
      <c r="O1542" t="s">
        <v>46</v>
      </c>
      <c r="P1542" t="s">
        <v>40</v>
      </c>
    </row>
    <row r="1543" spans="1:16" x14ac:dyDescent="0.25">
      <c r="A1543" s="5">
        <v>45843</v>
      </c>
      <c r="B1543" t="s">
        <v>113</v>
      </c>
      <c r="C1543" t="s">
        <v>114</v>
      </c>
      <c r="D1543" t="s">
        <v>69</v>
      </c>
      <c r="E1543" t="s">
        <v>107</v>
      </c>
      <c r="F1543" t="s">
        <v>108</v>
      </c>
      <c r="G1543" t="s">
        <v>1670</v>
      </c>
      <c r="H1543" s="6">
        <v>4</v>
      </c>
      <c r="I1543" s="7">
        <v>198.79</v>
      </c>
      <c r="J1543" s="7">
        <v>795.14</v>
      </c>
      <c r="K1543" s="6">
        <v>60</v>
      </c>
      <c r="L1543" t="s">
        <v>52</v>
      </c>
      <c r="M1543" s="8">
        <v>159.02799999999999</v>
      </c>
      <c r="N1543" s="7">
        <v>795.14</v>
      </c>
      <c r="O1543" t="s">
        <v>46</v>
      </c>
      <c r="P1543" t="s">
        <v>40</v>
      </c>
    </row>
    <row r="1544" spans="1:16" x14ac:dyDescent="0.25">
      <c r="A1544" s="5">
        <v>45967</v>
      </c>
      <c r="B1544" t="s">
        <v>56</v>
      </c>
      <c r="C1544" t="s">
        <v>57</v>
      </c>
      <c r="D1544" t="s">
        <v>58</v>
      </c>
      <c r="E1544" t="s">
        <v>88</v>
      </c>
      <c r="F1544" t="s">
        <v>89</v>
      </c>
      <c r="G1544" t="s">
        <v>1671</v>
      </c>
      <c r="H1544" s="6">
        <v>59</v>
      </c>
      <c r="I1544" s="7">
        <v>448.83</v>
      </c>
      <c r="J1544" s="7">
        <v>26481.11</v>
      </c>
      <c r="K1544" s="6">
        <v>60</v>
      </c>
      <c r="L1544" t="s">
        <v>38</v>
      </c>
      <c r="M1544" s="8">
        <v>5296.2219999999998</v>
      </c>
      <c r="N1544" s="7">
        <v>26481.11</v>
      </c>
      <c r="O1544" t="s">
        <v>46</v>
      </c>
      <c r="P1544" t="s">
        <v>40</v>
      </c>
    </row>
    <row r="1545" spans="1:16" x14ac:dyDescent="0.25">
      <c r="A1545" s="5">
        <v>45954</v>
      </c>
      <c r="B1545" t="s">
        <v>47</v>
      </c>
      <c r="C1545" t="s">
        <v>48</v>
      </c>
      <c r="D1545" t="s">
        <v>34</v>
      </c>
      <c r="E1545" t="s">
        <v>53</v>
      </c>
      <c r="F1545" t="s">
        <v>54</v>
      </c>
      <c r="G1545" t="s">
        <v>1672</v>
      </c>
      <c r="H1545" s="6">
        <v>21</v>
      </c>
      <c r="I1545" s="7">
        <v>194.43</v>
      </c>
      <c r="J1545" s="7">
        <v>4082.97</v>
      </c>
      <c r="K1545" s="6">
        <v>30</v>
      </c>
      <c r="L1545" t="s">
        <v>38</v>
      </c>
      <c r="M1545" s="8">
        <v>816.59400000000005</v>
      </c>
      <c r="N1545" s="7">
        <v>4082.97</v>
      </c>
      <c r="O1545" t="s">
        <v>46</v>
      </c>
      <c r="P1545" t="s">
        <v>40</v>
      </c>
    </row>
    <row r="1546" spans="1:16" x14ac:dyDescent="0.25">
      <c r="A1546" s="5">
        <v>46019</v>
      </c>
      <c r="B1546" t="s">
        <v>47</v>
      </c>
      <c r="C1546" t="s">
        <v>48</v>
      </c>
      <c r="D1546" t="s">
        <v>34</v>
      </c>
      <c r="E1546" t="s">
        <v>96</v>
      </c>
      <c r="F1546" t="s">
        <v>97</v>
      </c>
      <c r="G1546" t="s">
        <v>1673</v>
      </c>
      <c r="H1546" s="6">
        <v>76</v>
      </c>
      <c r="I1546" s="7">
        <v>215.41</v>
      </c>
      <c r="J1546" s="7">
        <v>16371.53</v>
      </c>
      <c r="K1546" s="6">
        <v>30</v>
      </c>
      <c r="L1546" t="s">
        <v>52</v>
      </c>
      <c r="M1546" s="8">
        <v>3274.306</v>
      </c>
      <c r="N1546" s="7">
        <v>16371.53</v>
      </c>
      <c r="O1546" t="s">
        <v>46</v>
      </c>
      <c r="P1546" t="s">
        <v>40</v>
      </c>
    </row>
    <row r="1547" spans="1:16" x14ac:dyDescent="0.25">
      <c r="A1547" s="5">
        <v>45876</v>
      </c>
      <c r="B1547" t="s">
        <v>113</v>
      </c>
      <c r="C1547" t="s">
        <v>114</v>
      </c>
      <c r="D1547" t="s">
        <v>69</v>
      </c>
      <c r="E1547" t="s">
        <v>204</v>
      </c>
      <c r="F1547" t="s">
        <v>97</v>
      </c>
      <c r="G1547" t="s">
        <v>1674</v>
      </c>
      <c r="H1547" s="6">
        <v>33</v>
      </c>
      <c r="I1547" s="7">
        <v>388.23</v>
      </c>
      <c r="J1547" s="7">
        <v>12811.72</v>
      </c>
      <c r="K1547" s="6">
        <v>60</v>
      </c>
      <c r="L1547" t="s">
        <v>45</v>
      </c>
      <c r="M1547" s="8">
        <v>2562.3440000000001</v>
      </c>
      <c r="N1547" s="7">
        <v>12811.72</v>
      </c>
      <c r="O1547" t="s">
        <v>46</v>
      </c>
      <c r="P1547" t="s">
        <v>40</v>
      </c>
    </row>
    <row r="1548" spans="1:16" x14ac:dyDescent="0.25">
      <c r="A1548" s="5">
        <v>45815</v>
      </c>
      <c r="B1548" t="s">
        <v>143</v>
      </c>
      <c r="C1548" t="s">
        <v>144</v>
      </c>
      <c r="D1548" t="s">
        <v>69</v>
      </c>
      <c r="E1548" t="s">
        <v>105</v>
      </c>
      <c r="F1548" t="s">
        <v>97</v>
      </c>
      <c r="G1548" t="s">
        <v>1675</v>
      </c>
      <c r="H1548" s="6">
        <v>53</v>
      </c>
      <c r="I1548" s="7">
        <v>173.24</v>
      </c>
      <c r="J1548" s="7">
        <v>9181.65</v>
      </c>
      <c r="K1548" s="6">
        <v>60</v>
      </c>
      <c r="L1548" t="s">
        <v>38</v>
      </c>
      <c r="M1548" s="8">
        <v>1836.33</v>
      </c>
      <c r="N1548" s="7">
        <v>9181.65</v>
      </c>
      <c r="O1548" t="s">
        <v>46</v>
      </c>
      <c r="P1548" t="s">
        <v>40</v>
      </c>
    </row>
    <row r="1549" spans="1:16" x14ac:dyDescent="0.25">
      <c r="A1549" s="5">
        <v>45795</v>
      </c>
      <c r="B1549" t="s">
        <v>121</v>
      </c>
      <c r="C1549" t="s">
        <v>122</v>
      </c>
      <c r="D1549" t="s">
        <v>34</v>
      </c>
      <c r="E1549" t="s">
        <v>83</v>
      </c>
      <c r="F1549" t="s">
        <v>71</v>
      </c>
      <c r="G1549" t="s">
        <v>1676</v>
      </c>
      <c r="H1549" s="6">
        <v>27</v>
      </c>
      <c r="I1549" s="7">
        <v>112.15</v>
      </c>
      <c r="J1549" s="7">
        <v>3028.13</v>
      </c>
      <c r="K1549" s="6">
        <v>60</v>
      </c>
      <c r="L1549" t="s">
        <v>45</v>
      </c>
      <c r="M1549" s="8">
        <v>605.62599999999998</v>
      </c>
      <c r="N1549" s="7">
        <v>3028.13</v>
      </c>
      <c r="O1549" t="s">
        <v>39</v>
      </c>
      <c r="P1549" t="s">
        <v>40</v>
      </c>
    </row>
    <row r="1550" spans="1:16" x14ac:dyDescent="0.25">
      <c r="A1550" s="5">
        <v>45744</v>
      </c>
      <c r="B1550" t="s">
        <v>121</v>
      </c>
      <c r="C1550" t="s">
        <v>122</v>
      </c>
      <c r="D1550" t="s">
        <v>34</v>
      </c>
      <c r="E1550" t="s">
        <v>59</v>
      </c>
      <c r="F1550" t="s">
        <v>60</v>
      </c>
      <c r="G1550" t="s">
        <v>1677</v>
      </c>
      <c r="H1550" s="6">
        <v>63</v>
      </c>
      <c r="I1550" s="7">
        <v>335.28</v>
      </c>
      <c r="J1550" s="7">
        <v>21122.76</v>
      </c>
      <c r="K1550" s="6">
        <v>30</v>
      </c>
      <c r="L1550" t="s">
        <v>38</v>
      </c>
      <c r="M1550" s="8">
        <v>4224.5519999999997</v>
      </c>
      <c r="N1550" s="7">
        <v>21122.76</v>
      </c>
      <c r="O1550" t="s">
        <v>39</v>
      </c>
      <c r="P1550" t="s">
        <v>40</v>
      </c>
    </row>
    <row r="1551" spans="1:16" x14ac:dyDescent="0.25">
      <c r="A1551" s="5">
        <v>45871</v>
      </c>
      <c r="B1551" t="s">
        <v>73</v>
      </c>
      <c r="C1551" t="s">
        <v>74</v>
      </c>
      <c r="D1551" t="s">
        <v>69</v>
      </c>
      <c r="E1551" t="s">
        <v>105</v>
      </c>
      <c r="F1551" t="s">
        <v>97</v>
      </c>
      <c r="G1551" t="s">
        <v>1678</v>
      </c>
      <c r="H1551" s="6">
        <v>37</v>
      </c>
      <c r="I1551" s="7">
        <v>589.1</v>
      </c>
      <c r="J1551" s="7">
        <v>21796.7</v>
      </c>
      <c r="K1551" s="6">
        <v>60</v>
      </c>
      <c r="L1551" t="s">
        <v>45</v>
      </c>
      <c r="M1551" s="8">
        <v>4359.34</v>
      </c>
      <c r="N1551" s="7">
        <v>21796.7</v>
      </c>
      <c r="O1551" t="s">
        <v>46</v>
      </c>
      <c r="P1551" t="s">
        <v>40</v>
      </c>
    </row>
    <row r="1552" spans="1:16" x14ac:dyDescent="0.25">
      <c r="A1552" s="5">
        <v>45753</v>
      </c>
      <c r="B1552" t="s">
        <v>47</v>
      </c>
      <c r="C1552" t="s">
        <v>48</v>
      </c>
      <c r="D1552" t="s">
        <v>34</v>
      </c>
      <c r="E1552" t="s">
        <v>88</v>
      </c>
      <c r="F1552" t="s">
        <v>89</v>
      </c>
      <c r="G1552" t="s">
        <v>1679</v>
      </c>
      <c r="H1552" s="6">
        <v>18</v>
      </c>
      <c r="I1552" s="7">
        <v>170.35</v>
      </c>
      <c r="J1552" s="7">
        <v>3066.35</v>
      </c>
      <c r="K1552" s="6">
        <v>30</v>
      </c>
      <c r="L1552" t="s">
        <v>45</v>
      </c>
      <c r="M1552" s="8">
        <v>613.27</v>
      </c>
      <c r="N1552" s="7">
        <v>3066.35</v>
      </c>
      <c r="O1552" t="s">
        <v>46</v>
      </c>
      <c r="P1552" t="s">
        <v>40</v>
      </c>
    </row>
    <row r="1553" spans="1:16" x14ac:dyDescent="0.25">
      <c r="A1553" s="5">
        <v>45948</v>
      </c>
      <c r="B1553" t="s">
        <v>41</v>
      </c>
      <c r="C1553" t="s">
        <v>42</v>
      </c>
      <c r="D1553" t="s">
        <v>34</v>
      </c>
      <c r="E1553" t="s">
        <v>75</v>
      </c>
      <c r="F1553" t="s">
        <v>36</v>
      </c>
      <c r="G1553" t="s">
        <v>1680</v>
      </c>
      <c r="H1553" s="6">
        <v>28</v>
      </c>
      <c r="I1553" s="7">
        <v>58.11</v>
      </c>
      <c r="J1553" s="7">
        <v>1627.13</v>
      </c>
      <c r="K1553" s="6">
        <v>30</v>
      </c>
      <c r="L1553" t="s">
        <v>38</v>
      </c>
      <c r="M1553" s="8">
        <v>325.42599999999999</v>
      </c>
      <c r="N1553" s="7">
        <v>1627.13</v>
      </c>
      <c r="O1553" t="s">
        <v>46</v>
      </c>
      <c r="P1553" t="s">
        <v>40</v>
      </c>
    </row>
    <row r="1554" spans="1:16" x14ac:dyDescent="0.25">
      <c r="A1554" s="5">
        <v>45790</v>
      </c>
      <c r="B1554" t="s">
        <v>94</v>
      </c>
      <c r="C1554" t="s">
        <v>95</v>
      </c>
      <c r="D1554" t="s">
        <v>34</v>
      </c>
      <c r="E1554" t="s">
        <v>154</v>
      </c>
      <c r="F1554" t="s">
        <v>89</v>
      </c>
      <c r="G1554" t="s">
        <v>1681</v>
      </c>
      <c r="H1554" s="6">
        <v>53</v>
      </c>
      <c r="I1554" s="7">
        <v>111.06</v>
      </c>
      <c r="J1554" s="7">
        <v>5886.16</v>
      </c>
      <c r="K1554" s="6">
        <v>45</v>
      </c>
      <c r="L1554" t="s">
        <v>52</v>
      </c>
      <c r="M1554" s="8">
        <v>1177.232</v>
      </c>
      <c r="N1554" s="7">
        <v>5886.16</v>
      </c>
      <c r="O1554" t="s">
        <v>39</v>
      </c>
      <c r="P1554" t="s">
        <v>40</v>
      </c>
    </row>
    <row r="1555" spans="1:16" x14ac:dyDescent="0.25">
      <c r="A1555" s="5">
        <v>45743</v>
      </c>
      <c r="B1555" t="s">
        <v>80</v>
      </c>
      <c r="C1555" t="s">
        <v>81</v>
      </c>
      <c r="D1555" t="s">
        <v>64</v>
      </c>
      <c r="E1555" t="s">
        <v>43</v>
      </c>
      <c r="F1555" t="s">
        <v>36</v>
      </c>
      <c r="G1555" t="s">
        <v>1682</v>
      </c>
      <c r="H1555" s="6">
        <v>11</v>
      </c>
      <c r="I1555" s="7">
        <v>41.25</v>
      </c>
      <c r="J1555" s="7">
        <v>453.73</v>
      </c>
      <c r="K1555" s="6">
        <v>45</v>
      </c>
      <c r="L1555" t="s">
        <v>38</v>
      </c>
      <c r="M1555" s="8">
        <v>90.745999999999995</v>
      </c>
      <c r="N1555" s="7">
        <v>453.73</v>
      </c>
      <c r="O1555" t="s">
        <v>46</v>
      </c>
      <c r="P1555" t="s">
        <v>40</v>
      </c>
    </row>
    <row r="1556" spans="1:16" x14ac:dyDescent="0.25">
      <c r="A1556" s="5">
        <v>45690</v>
      </c>
      <c r="B1556" t="s">
        <v>100</v>
      </c>
      <c r="C1556" t="s">
        <v>101</v>
      </c>
      <c r="D1556" t="s">
        <v>69</v>
      </c>
      <c r="E1556" t="s">
        <v>75</v>
      </c>
      <c r="F1556" t="s">
        <v>36</v>
      </c>
      <c r="G1556" t="s">
        <v>1683</v>
      </c>
      <c r="H1556" s="6">
        <v>44</v>
      </c>
      <c r="I1556" s="7">
        <v>57.39</v>
      </c>
      <c r="J1556" s="7">
        <v>2525.04</v>
      </c>
      <c r="K1556" s="6">
        <v>30</v>
      </c>
      <c r="L1556" t="s">
        <v>52</v>
      </c>
      <c r="M1556" s="8">
        <v>505.00799999999998</v>
      </c>
      <c r="N1556" s="7">
        <v>2525.04</v>
      </c>
      <c r="O1556" t="s">
        <v>46</v>
      </c>
      <c r="P1556" t="s">
        <v>40</v>
      </c>
    </row>
    <row r="1557" spans="1:16" x14ac:dyDescent="0.25">
      <c r="A1557" s="5">
        <v>46002</v>
      </c>
      <c r="B1557" t="s">
        <v>67</v>
      </c>
      <c r="C1557" t="s">
        <v>68</v>
      </c>
      <c r="D1557" t="s">
        <v>69</v>
      </c>
      <c r="E1557" t="s">
        <v>139</v>
      </c>
      <c r="F1557" t="s">
        <v>108</v>
      </c>
      <c r="G1557" t="s">
        <v>1684</v>
      </c>
      <c r="H1557" s="6">
        <v>13</v>
      </c>
      <c r="I1557" s="7">
        <v>91.79</v>
      </c>
      <c r="J1557" s="7">
        <v>1193.31</v>
      </c>
      <c r="K1557" s="6">
        <v>30</v>
      </c>
      <c r="L1557" t="s">
        <v>38</v>
      </c>
      <c r="M1557" s="8">
        <v>238.66200000000001</v>
      </c>
      <c r="N1557" s="7">
        <v>1193.31</v>
      </c>
      <c r="O1557" t="s">
        <v>46</v>
      </c>
      <c r="P1557" t="s">
        <v>40</v>
      </c>
    </row>
    <row r="1558" spans="1:16" x14ac:dyDescent="0.25">
      <c r="A1558" s="5">
        <v>45956</v>
      </c>
      <c r="B1558" t="s">
        <v>80</v>
      </c>
      <c r="C1558" t="s">
        <v>81</v>
      </c>
      <c r="D1558" t="s">
        <v>64</v>
      </c>
      <c r="E1558" t="s">
        <v>152</v>
      </c>
      <c r="F1558" t="s">
        <v>50</v>
      </c>
      <c r="G1558" t="s">
        <v>1685</v>
      </c>
      <c r="H1558" s="6">
        <v>6</v>
      </c>
      <c r="I1558" s="7">
        <v>198.34</v>
      </c>
      <c r="J1558" s="7">
        <v>1190.02</v>
      </c>
      <c r="K1558" s="6">
        <v>30</v>
      </c>
      <c r="L1558" t="s">
        <v>38</v>
      </c>
      <c r="M1558" s="8">
        <v>238.00399999999999</v>
      </c>
      <c r="N1558" s="7">
        <v>1190.02</v>
      </c>
      <c r="O1558" t="s">
        <v>46</v>
      </c>
      <c r="P1558" t="s">
        <v>40</v>
      </c>
    </row>
    <row r="1559" spans="1:16" x14ac:dyDescent="0.25">
      <c r="A1559" s="5">
        <v>45966</v>
      </c>
      <c r="B1559" t="s">
        <v>103</v>
      </c>
      <c r="C1559" t="s">
        <v>104</v>
      </c>
      <c r="D1559" t="s">
        <v>58</v>
      </c>
      <c r="E1559" t="s">
        <v>210</v>
      </c>
      <c r="F1559" t="s">
        <v>50</v>
      </c>
      <c r="G1559" t="s">
        <v>1686</v>
      </c>
      <c r="H1559" s="6">
        <v>67</v>
      </c>
      <c r="I1559" s="7">
        <v>77.150000000000006</v>
      </c>
      <c r="J1559" s="7">
        <v>5169.01</v>
      </c>
      <c r="K1559" s="6">
        <v>45</v>
      </c>
      <c r="L1559" t="s">
        <v>45</v>
      </c>
      <c r="M1559" s="8">
        <v>1033.8019999999999</v>
      </c>
      <c r="N1559" s="7">
        <v>5169.01</v>
      </c>
      <c r="O1559" t="s">
        <v>46</v>
      </c>
      <c r="P1559" t="s">
        <v>40</v>
      </c>
    </row>
    <row r="1560" spans="1:16" x14ac:dyDescent="0.25">
      <c r="A1560" s="5">
        <v>45877</v>
      </c>
      <c r="B1560" t="s">
        <v>41</v>
      </c>
      <c r="C1560" t="s">
        <v>42</v>
      </c>
      <c r="D1560" t="s">
        <v>34</v>
      </c>
      <c r="E1560" t="s">
        <v>70</v>
      </c>
      <c r="F1560" t="s">
        <v>71</v>
      </c>
      <c r="G1560" t="s">
        <v>1687</v>
      </c>
      <c r="H1560" s="6">
        <v>44</v>
      </c>
      <c r="I1560" s="7">
        <v>215.91</v>
      </c>
      <c r="J1560" s="7">
        <v>9499.98</v>
      </c>
      <c r="K1560" s="6">
        <v>45</v>
      </c>
      <c r="L1560" t="s">
        <v>52</v>
      </c>
      <c r="M1560" s="8">
        <v>1899.9960000000001</v>
      </c>
      <c r="N1560" s="7">
        <v>9499.98</v>
      </c>
      <c r="O1560" t="s">
        <v>46</v>
      </c>
      <c r="P1560" t="s">
        <v>40</v>
      </c>
    </row>
    <row r="1561" spans="1:16" x14ac:dyDescent="0.25">
      <c r="A1561" s="5">
        <v>45842</v>
      </c>
      <c r="B1561" t="s">
        <v>100</v>
      </c>
      <c r="C1561" t="s">
        <v>101</v>
      </c>
      <c r="D1561" t="s">
        <v>69</v>
      </c>
      <c r="E1561" t="s">
        <v>83</v>
      </c>
      <c r="F1561" t="s">
        <v>71</v>
      </c>
      <c r="G1561" t="s">
        <v>1688</v>
      </c>
      <c r="H1561" s="6">
        <v>52</v>
      </c>
      <c r="I1561" s="7">
        <v>81.84</v>
      </c>
      <c r="J1561" s="7">
        <v>4255.6499999999996</v>
      </c>
      <c r="K1561" s="6">
        <v>45</v>
      </c>
      <c r="L1561" t="s">
        <v>52</v>
      </c>
      <c r="M1561" s="8">
        <v>851.13</v>
      </c>
      <c r="N1561" s="7">
        <v>4255.6499999999996</v>
      </c>
      <c r="O1561" t="s">
        <v>39</v>
      </c>
      <c r="P1561" t="s">
        <v>40</v>
      </c>
    </row>
    <row r="1562" spans="1:16" x14ac:dyDescent="0.25">
      <c r="A1562" s="5">
        <v>45709</v>
      </c>
      <c r="B1562" t="s">
        <v>67</v>
      </c>
      <c r="C1562" t="s">
        <v>68</v>
      </c>
      <c r="D1562" t="s">
        <v>69</v>
      </c>
      <c r="E1562" t="s">
        <v>132</v>
      </c>
      <c r="F1562" t="s">
        <v>71</v>
      </c>
      <c r="G1562" t="s">
        <v>1689</v>
      </c>
      <c r="H1562" s="6">
        <v>1</v>
      </c>
      <c r="I1562" s="7">
        <v>93.89</v>
      </c>
      <c r="J1562" s="7">
        <v>93.89</v>
      </c>
      <c r="K1562" s="6">
        <v>45</v>
      </c>
      <c r="L1562" t="s">
        <v>52</v>
      </c>
      <c r="M1562" s="8">
        <v>18.777999999999999</v>
      </c>
      <c r="N1562" s="7">
        <v>93.89</v>
      </c>
      <c r="O1562" t="s">
        <v>46</v>
      </c>
      <c r="P1562" t="s">
        <v>40</v>
      </c>
    </row>
    <row r="1563" spans="1:16" x14ac:dyDescent="0.25">
      <c r="A1563" s="5">
        <v>45966</v>
      </c>
      <c r="B1563" t="s">
        <v>91</v>
      </c>
      <c r="C1563" t="s">
        <v>92</v>
      </c>
      <c r="D1563" t="s">
        <v>64</v>
      </c>
      <c r="E1563" t="s">
        <v>154</v>
      </c>
      <c r="F1563" t="s">
        <v>89</v>
      </c>
      <c r="G1563" t="s">
        <v>1690</v>
      </c>
      <c r="H1563" s="6">
        <v>16</v>
      </c>
      <c r="I1563" s="7">
        <v>119.34</v>
      </c>
      <c r="J1563" s="7">
        <v>1909.47</v>
      </c>
      <c r="K1563" s="6">
        <v>60</v>
      </c>
      <c r="L1563" t="s">
        <v>45</v>
      </c>
      <c r="M1563" s="8">
        <v>381.89400000000001</v>
      </c>
      <c r="N1563" s="7">
        <v>1909.47</v>
      </c>
      <c r="O1563" t="s">
        <v>39</v>
      </c>
      <c r="P1563" t="s">
        <v>40</v>
      </c>
    </row>
    <row r="1564" spans="1:16" x14ac:dyDescent="0.25">
      <c r="A1564" s="5">
        <v>45889</v>
      </c>
      <c r="B1564" t="s">
        <v>47</v>
      </c>
      <c r="C1564" t="s">
        <v>48</v>
      </c>
      <c r="D1564" t="s">
        <v>34</v>
      </c>
      <c r="E1564" t="s">
        <v>65</v>
      </c>
      <c r="F1564" t="s">
        <v>54</v>
      </c>
      <c r="G1564" t="s">
        <v>1691</v>
      </c>
      <c r="H1564" s="6">
        <v>80</v>
      </c>
      <c r="I1564" s="7">
        <v>65.900000000000006</v>
      </c>
      <c r="J1564" s="7">
        <v>5271.95</v>
      </c>
      <c r="K1564" s="6">
        <v>60</v>
      </c>
      <c r="L1564" t="s">
        <v>52</v>
      </c>
      <c r="M1564" s="8">
        <v>1054.3900000000001</v>
      </c>
      <c r="N1564" s="7">
        <v>5271.95</v>
      </c>
      <c r="O1564" t="s">
        <v>46</v>
      </c>
      <c r="P1564" t="s">
        <v>40</v>
      </c>
    </row>
    <row r="1565" spans="1:16" x14ac:dyDescent="0.25">
      <c r="A1565" s="5">
        <v>45754</v>
      </c>
      <c r="B1565" t="s">
        <v>94</v>
      </c>
      <c r="C1565" t="s">
        <v>95</v>
      </c>
      <c r="D1565" t="s">
        <v>34</v>
      </c>
      <c r="E1565" t="s">
        <v>105</v>
      </c>
      <c r="F1565" t="s">
        <v>97</v>
      </c>
      <c r="G1565" t="s">
        <v>1692</v>
      </c>
      <c r="H1565" s="6">
        <v>1</v>
      </c>
      <c r="I1565" s="7">
        <v>487.85</v>
      </c>
      <c r="J1565" s="7">
        <v>487.85</v>
      </c>
      <c r="K1565" s="6">
        <v>60</v>
      </c>
      <c r="L1565" t="s">
        <v>45</v>
      </c>
      <c r="M1565" s="8">
        <v>97.57</v>
      </c>
      <c r="N1565" s="7">
        <v>487.85</v>
      </c>
      <c r="O1565" t="s">
        <v>46</v>
      </c>
      <c r="P1565" t="s">
        <v>40</v>
      </c>
    </row>
    <row r="1566" spans="1:16" x14ac:dyDescent="0.25">
      <c r="A1566" s="5">
        <v>45824</v>
      </c>
      <c r="B1566" t="s">
        <v>73</v>
      </c>
      <c r="C1566" t="s">
        <v>74</v>
      </c>
      <c r="D1566" t="s">
        <v>69</v>
      </c>
      <c r="E1566" t="s">
        <v>83</v>
      </c>
      <c r="F1566" t="s">
        <v>71</v>
      </c>
      <c r="G1566" t="s">
        <v>1693</v>
      </c>
      <c r="H1566" s="6">
        <v>57</v>
      </c>
      <c r="I1566" s="7">
        <v>142.47</v>
      </c>
      <c r="J1566" s="7">
        <v>8120.87</v>
      </c>
      <c r="K1566" s="6">
        <v>30</v>
      </c>
      <c r="L1566" t="s">
        <v>52</v>
      </c>
      <c r="M1566" s="8">
        <v>1624.174</v>
      </c>
      <c r="N1566" s="7">
        <v>8120.87</v>
      </c>
      <c r="O1566" t="s">
        <v>39</v>
      </c>
      <c r="P1566" t="s">
        <v>40</v>
      </c>
    </row>
    <row r="1567" spans="1:16" x14ac:dyDescent="0.25">
      <c r="A1567" s="5">
        <v>45971</v>
      </c>
      <c r="B1567" t="s">
        <v>143</v>
      </c>
      <c r="C1567" t="s">
        <v>144</v>
      </c>
      <c r="D1567" t="s">
        <v>69</v>
      </c>
      <c r="E1567" t="s">
        <v>105</v>
      </c>
      <c r="F1567" t="s">
        <v>97</v>
      </c>
      <c r="G1567" t="s">
        <v>1694</v>
      </c>
      <c r="H1567" s="6">
        <v>11</v>
      </c>
      <c r="I1567" s="7">
        <v>256.99</v>
      </c>
      <c r="J1567" s="7">
        <v>2826.93</v>
      </c>
      <c r="K1567" s="6">
        <v>45</v>
      </c>
      <c r="L1567" t="s">
        <v>45</v>
      </c>
      <c r="M1567" s="8">
        <v>565.38599999999997</v>
      </c>
      <c r="N1567" s="7">
        <v>2826.93</v>
      </c>
      <c r="O1567" t="s">
        <v>46</v>
      </c>
      <c r="P1567" t="s">
        <v>40</v>
      </c>
    </row>
    <row r="1568" spans="1:16" x14ac:dyDescent="0.25">
      <c r="A1568" s="5">
        <v>45855</v>
      </c>
      <c r="B1568" t="s">
        <v>91</v>
      </c>
      <c r="C1568" t="s">
        <v>92</v>
      </c>
      <c r="D1568" t="s">
        <v>64</v>
      </c>
      <c r="E1568" t="s">
        <v>43</v>
      </c>
      <c r="F1568" t="s">
        <v>36</v>
      </c>
      <c r="G1568" t="s">
        <v>1695</v>
      </c>
      <c r="H1568" s="6">
        <v>38</v>
      </c>
      <c r="I1568" s="7">
        <v>67.44</v>
      </c>
      <c r="J1568" s="7">
        <v>2562.6999999999998</v>
      </c>
      <c r="K1568" s="6">
        <v>60</v>
      </c>
      <c r="L1568" t="s">
        <v>38</v>
      </c>
      <c r="M1568" s="8">
        <v>512.54</v>
      </c>
      <c r="N1568" s="7">
        <v>2562.6999999999998</v>
      </c>
      <c r="O1568" t="s">
        <v>46</v>
      </c>
      <c r="P1568" t="s">
        <v>40</v>
      </c>
    </row>
    <row r="1569" spans="1:16" x14ac:dyDescent="0.25">
      <c r="A1569" s="5">
        <v>45950</v>
      </c>
      <c r="B1569" t="s">
        <v>121</v>
      </c>
      <c r="C1569" t="s">
        <v>122</v>
      </c>
      <c r="D1569" t="s">
        <v>34</v>
      </c>
      <c r="E1569" t="s">
        <v>124</v>
      </c>
      <c r="F1569" t="s">
        <v>89</v>
      </c>
      <c r="G1569" t="s">
        <v>1696</v>
      </c>
      <c r="H1569" s="6">
        <v>65</v>
      </c>
      <c r="I1569" s="7">
        <v>239.06</v>
      </c>
      <c r="J1569" s="7">
        <v>15539.04</v>
      </c>
      <c r="K1569" s="6">
        <v>30</v>
      </c>
      <c r="L1569" t="s">
        <v>38</v>
      </c>
      <c r="M1569" s="8">
        <v>3107.808</v>
      </c>
      <c r="N1569" s="7">
        <v>15539.04</v>
      </c>
      <c r="O1569" t="s">
        <v>46</v>
      </c>
      <c r="P1569" t="s">
        <v>40</v>
      </c>
    </row>
    <row r="1570" spans="1:16" x14ac:dyDescent="0.25">
      <c r="A1570" s="5">
        <v>46002</v>
      </c>
      <c r="B1570" t="s">
        <v>77</v>
      </c>
      <c r="C1570" t="s">
        <v>78</v>
      </c>
      <c r="D1570" t="s">
        <v>58</v>
      </c>
      <c r="E1570" t="s">
        <v>75</v>
      </c>
      <c r="F1570" t="s">
        <v>36</v>
      </c>
      <c r="G1570" t="s">
        <v>1697</v>
      </c>
      <c r="H1570" s="6">
        <v>71</v>
      </c>
      <c r="I1570" s="7">
        <v>27.52</v>
      </c>
      <c r="J1570" s="7">
        <v>1954.06</v>
      </c>
      <c r="K1570" s="6">
        <v>45</v>
      </c>
      <c r="L1570" t="s">
        <v>38</v>
      </c>
      <c r="M1570" s="8">
        <v>390.81200000000001</v>
      </c>
      <c r="N1570" s="7">
        <v>1954.06</v>
      </c>
      <c r="O1570" t="s">
        <v>46</v>
      </c>
      <c r="P1570" t="s">
        <v>40</v>
      </c>
    </row>
    <row r="1571" spans="1:16" x14ac:dyDescent="0.25">
      <c r="A1571" s="5">
        <v>45997</v>
      </c>
      <c r="B1571" t="s">
        <v>85</v>
      </c>
      <c r="C1571" t="s">
        <v>86</v>
      </c>
      <c r="D1571" t="s">
        <v>58</v>
      </c>
      <c r="E1571" t="s">
        <v>75</v>
      </c>
      <c r="F1571" t="s">
        <v>36</v>
      </c>
      <c r="G1571" t="s">
        <v>1698</v>
      </c>
      <c r="H1571" s="6">
        <v>70</v>
      </c>
      <c r="I1571" s="7">
        <v>48.59</v>
      </c>
      <c r="J1571" s="7">
        <v>3401.27</v>
      </c>
      <c r="K1571" s="6">
        <v>30</v>
      </c>
      <c r="L1571" t="s">
        <v>38</v>
      </c>
      <c r="M1571" s="8">
        <v>680.25400000000002</v>
      </c>
      <c r="N1571" s="7">
        <v>3401.27</v>
      </c>
      <c r="O1571" t="s">
        <v>46</v>
      </c>
      <c r="P1571" t="s">
        <v>40</v>
      </c>
    </row>
    <row r="1572" spans="1:16" x14ac:dyDescent="0.25">
      <c r="A1572" s="5">
        <v>46016</v>
      </c>
      <c r="B1572" t="s">
        <v>103</v>
      </c>
      <c r="C1572" t="s">
        <v>104</v>
      </c>
      <c r="D1572" t="s">
        <v>58</v>
      </c>
      <c r="E1572" t="s">
        <v>124</v>
      </c>
      <c r="F1572" t="s">
        <v>89</v>
      </c>
      <c r="G1572" t="s">
        <v>1699</v>
      </c>
      <c r="H1572" s="6">
        <v>12</v>
      </c>
      <c r="I1572" s="7">
        <v>278.61</v>
      </c>
      <c r="J1572" s="7">
        <v>3343.28</v>
      </c>
      <c r="K1572" s="6">
        <v>30</v>
      </c>
      <c r="L1572" t="s">
        <v>45</v>
      </c>
      <c r="M1572" s="8">
        <v>668.65599999999995</v>
      </c>
      <c r="N1572" s="7">
        <v>3343.28</v>
      </c>
      <c r="O1572" t="s">
        <v>46</v>
      </c>
      <c r="P1572" t="s">
        <v>40</v>
      </c>
    </row>
    <row r="1573" spans="1:16" x14ac:dyDescent="0.25">
      <c r="A1573" s="5">
        <v>45825</v>
      </c>
      <c r="B1573" t="s">
        <v>41</v>
      </c>
      <c r="C1573" t="s">
        <v>42</v>
      </c>
      <c r="D1573" t="s">
        <v>34</v>
      </c>
      <c r="E1573" t="s">
        <v>49</v>
      </c>
      <c r="F1573" t="s">
        <v>50</v>
      </c>
      <c r="G1573" t="s">
        <v>1700</v>
      </c>
      <c r="H1573" s="6">
        <v>50</v>
      </c>
      <c r="I1573" s="7">
        <v>60.2</v>
      </c>
      <c r="J1573" s="7">
        <v>3009.88</v>
      </c>
      <c r="K1573" s="6">
        <v>45</v>
      </c>
      <c r="L1573" t="s">
        <v>38</v>
      </c>
      <c r="M1573" s="8">
        <v>601.976</v>
      </c>
      <c r="N1573" s="7">
        <v>3009.88</v>
      </c>
      <c r="O1573" t="s">
        <v>39</v>
      </c>
      <c r="P1573" t="s">
        <v>40</v>
      </c>
    </row>
    <row r="1574" spans="1:16" x14ac:dyDescent="0.25">
      <c r="A1574" s="5">
        <v>45901</v>
      </c>
      <c r="B1574" t="s">
        <v>85</v>
      </c>
      <c r="C1574" t="s">
        <v>86</v>
      </c>
      <c r="D1574" t="s">
        <v>58</v>
      </c>
      <c r="E1574" t="s">
        <v>115</v>
      </c>
      <c r="F1574" t="s">
        <v>60</v>
      </c>
      <c r="G1574" t="s">
        <v>1701</v>
      </c>
      <c r="H1574" s="6">
        <v>16</v>
      </c>
      <c r="I1574" s="7">
        <v>258.55</v>
      </c>
      <c r="J1574" s="7">
        <v>4136.78</v>
      </c>
      <c r="K1574" s="6">
        <v>60</v>
      </c>
      <c r="L1574" t="s">
        <v>38</v>
      </c>
      <c r="M1574" s="8">
        <v>827.35599999999999</v>
      </c>
      <c r="N1574" s="7">
        <v>4136.78</v>
      </c>
      <c r="O1574" t="s">
        <v>46</v>
      </c>
      <c r="P1574" t="s">
        <v>40</v>
      </c>
    </row>
    <row r="1575" spans="1:16" x14ac:dyDescent="0.25">
      <c r="A1575" s="5">
        <v>46012</v>
      </c>
      <c r="B1575" t="s">
        <v>85</v>
      </c>
      <c r="C1575" t="s">
        <v>86</v>
      </c>
      <c r="D1575" t="s">
        <v>58</v>
      </c>
      <c r="E1575" t="s">
        <v>107</v>
      </c>
      <c r="F1575" t="s">
        <v>108</v>
      </c>
      <c r="G1575" t="s">
        <v>1702</v>
      </c>
      <c r="H1575" s="6">
        <v>43</v>
      </c>
      <c r="I1575" s="7">
        <v>35.57</v>
      </c>
      <c r="J1575" s="7">
        <v>1529.3</v>
      </c>
      <c r="K1575" s="6">
        <v>30</v>
      </c>
      <c r="L1575" t="s">
        <v>52</v>
      </c>
      <c r="M1575" s="8">
        <v>305.86</v>
      </c>
      <c r="N1575" s="7">
        <v>1529.3</v>
      </c>
      <c r="O1575" t="s">
        <v>46</v>
      </c>
      <c r="P1575" t="s">
        <v>40</v>
      </c>
    </row>
    <row r="1576" spans="1:16" x14ac:dyDescent="0.25">
      <c r="A1576" s="5">
        <v>45833</v>
      </c>
      <c r="B1576" t="s">
        <v>85</v>
      </c>
      <c r="C1576" t="s">
        <v>86</v>
      </c>
      <c r="D1576" t="s">
        <v>58</v>
      </c>
      <c r="E1576" t="s">
        <v>43</v>
      </c>
      <c r="F1576" t="s">
        <v>36</v>
      </c>
      <c r="G1576" t="s">
        <v>1703</v>
      </c>
      <c r="H1576" s="6">
        <v>49</v>
      </c>
      <c r="I1576" s="7">
        <v>84.01</v>
      </c>
      <c r="J1576" s="7">
        <v>4116.4399999999996</v>
      </c>
      <c r="K1576" s="6">
        <v>60</v>
      </c>
      <c r="L1576" t="s">
        <v>52</v>
      </c>
      <c r="M1576" s="8">
        <v>823.28800000000001</v>
      </c>
      <c r="N1576" s="7">
        <v>4116.4399999999996</v>
      </c>
      <c r="O1576" t="s">
        <v>46</v>
      </c>
      <c r="P1576" t="s">
        <v>40</v>
      </c>
    </row>
    <row r="1577" spans="1:16" x14ac:dyDescent="0.25">
      <c r="A1577" s="5">
        <v>45986</v>
      </c>
      <c r="B1577" t="s">
        <v>62</v>
      </c>
      <c r="C1577" t="s">
        <v>63</v>
      </c>
      <c r="D1577" t="s">
        <v>64</v>
      </c>
      <c r="E1577" t="s">
        <v>105</v>
      </c>
      <c r="F1577" t="s">
        <v>97</v>
      </c>
      <c r="G1577" t="s">
        <v>1704</v>
      </c>
      <c r="H1577" s="6">
        <v>72</v>
      </c>
      <c r="I1577" s="7">
        <v>294.18</v>
      </c>
      <c r="J1577" s="7">
        <v>21180.7</v>
      </c>
      <c r="K1577" s="6">
        <v>45</v>
      </c>
      <c r="L1577" t="s">
        <v>38</v>
      </c>
      <c r="M1577" s="8">
        <v>4236.1400000000003</v>
      </c>
      <c r="N1577" s="7">
        <v>21180.7</v>
      </c>
      <c r="O1577" t="s">
        <v>46</v>
      </c>
      <c r="P1577" t="s">
        <v>40</v>
      </c>
    </row>
    <row r="1578" spans="1:16" x14ac:dyDescent="0.25">
      <c r="A1578" s="5">
        <v>45806</v>
      </c>
      <c r="B1578" t="s">
        <v>103</v>
      </c>
      <c r="C1578" t="s">
        <v>104</v>
      </c>
      <c r="D1578" t="s">
        <v>58</v>
      </c>
      <c r="E1578" t="s">
        <v>59</v>
      </c>
      <c r="F1578" t="s">
        <v>60</v>
      </c>
      <c r="G1578" t="s">
        <v>1705</v>
      </c>
      <c r="H1578" s="6">
        <v>12</v>
      </c>
      <c r="I1578" s="7">
        <v>90.5</v>
      </c>
      <c r="J1578" s="7">
        <v>1085.95</v>
      </c>
      <c r="K1578" s="6">
        <v>30</v>
      </c>
      <c r="L1578" t="s">
        <v>38</v>
      </c>
      <c r="M1578" s="8">
        <v>217.19</v>
      </c>
      <c r="N1578" s="7">
        <v>1085.95</v>
      </c>
      <c r="O1578" t="s">
        <v>39</v>
      </c>
      <c r="P1578" t="s">
        <v>40</v>
      </c>
    </row>
    <row r="1579" spans="1:16" x14ac:dyDescent="0.25">
      <c r="A1579" s="5">
        <v>45717</v>
      </c>
      <c r="B1579" t="s">
        <v>56</v>
      </c>
      <c r="C1579" t="s">
        <v>57</v>
      </c>
      <c r="D1579" t="s">
        <v>58</v>
      </c>
      <c r="E1579" t="s">
        <v>53</v>
      </c>
      <c r="F1579" t="s">
        <v>54</v>
      </c>
      <c r="G1579" t="s">
        <v>1706</v>
      </c>
      <c r="H1579" s="6">
        <v>74</v>
      </c>
      <c r="I1579" s="7">
        <v>474.41</v>
      </c>
      <c r="J1579" s="7">
        <v>35106.19</v>
      </c>
      <c r="K1579" s="6">
        <v>45</v>
      </c>
      <c r="L1579" t="s">
        <v>38</v>
      </c>
      <c r="M1579" s="8">
        <v>7021.2380000000003</v>
      </c>
      <c r="N1579" s="7">
        <v>35106.19</v>
      </c>
      <c r="O1579" t="s">
        <v>46</v>
      </c>
      <c r="P1579" t="s">
        <v>40</v>
      </c>
    </row>
    <row r="1580" spans="1:16" x14ac:dyDescent="0.25">
      <c r="A1580" s="5">
        <v>45658</v>
      </c>
      <c r="B1580" t="s">
        <v>113</v>
      </c>
      <c r="C1580" t="s">
        <v>114</v>
      </c>
      <c r="D1580" t="s">
        <v>69</v>
      </c>
      <c r="E1580" t="s">
        <v>105</v>
      </c>
      <c r="F1580" t="s">
        <v>97</v>
      </c>
      <c r="G1580" t="s">
        <v>1707</v>
      </c>
      <c r="H1580" s="6">
        <v>40</v>
      </c>
      <c r="I1580" s="7">
        <v>200.29</v>
      </c>
      <c r="J1580" s="7">
        <v>8011.53</v>
      </c>
      <c r="K1580" s="6">
        <v>30</v>
      </c>
      <c r="L1580" t="s">
        <v>52</v>
      </c>
      <c r="M1580" s="8">
        <v>1602.306</v>
      </c>
      <c r="N1580" s="7">
        <v>8011.53</v>
      </c>
      <c r="O1580" t="s">
        <v>46</v>
      </c>
      <c r="P1580" t="s">
        <v>40</v>
      </c>
    </row>
    <row r="1581" spans="1:16" x14ac:dyDescent="0.25">
      <c r="A1581" s="5">
        <v>45874</v>
      </c>
      <c r="B1581" t="s">
        <v>41</v>
      </c>
      <c r="C1581" t="s">
        <v>42</v>
      </c>
      <c r="D1581" t="s">
        <v>34</v>
      </c>
      <c r="E1581" t="s">
        <v>65</v>
      </c>
      <c r="F1581" t="s">
        <v>54</v>
      </c>
      <c r="G1581" t="s">
        <v>1708</v>
      </c>
      <c r="H1581" s="6">
        <v>41</v>
      </c>
      <c r="I1581" s="7">
        <v>160.1</v>
      </c>
      <c r="J1581" s="7">
        <v>6564.25</v>
      </c>
      <c r="K1581" s="6">
        <v>45</v>
      </c>
      <c r="L1581" t="s">
        <v>52</v>
      </c>
      <c r="M1581" s="8">
        <v>1312.85</v>
      </c>
      <c r="N1581" s="7">
        <v>6564.25</v>
      </c>
      <c r="O1581" t="s">
        <v>46</v>
      </c>
      <c r="P1581" t="s">
        <v>40</v>
      </c>
    </row>
    <row r="1582" spans="1:16" x14ac:dyDescent="0.25">
      <c r="A1582" s="5">
        <v>45860</v>
      </c>
      <c r="B1582" t="s">
        <v>118</v>
      </c>
      <c r="C1582" t="s">
        <v>119</v>
      </c>
      <c r="D1582" t="s">
        <v>64</v>
      </c>
      <c r="E1582" t="s">
        <v>135</v>
      </c>
      <c r="F1582" t="s">
        <v>54</v>
      </c>
      <c r="G1582" t="s">
        <v>1709</v>
      </c>
      <c r="H1582" s="6">
        <v>2</v>
      </c>
      <c r="I1582" s="7">
        <v>279.16000000000003</v>
      </c>
      <c r="J1582" s="7">
        <v>558.30999999999995</v>
      </c>
      <c r="K1582" s="6">
        <v>60</v>
      </c>
      <c r="L1582" t="s">
        <v>45</v>
      </c>
      <c r="M1582" s="8">
        <v>111.66200000000001</v>
      </c>
      <c r="N1582" s="7">
        <v>558.30999999999995</v>
      </c>
      <c r="O1582" t="s">
        <v>46</v>
      </c>
      <c r="P1582" t="s">
        <v>40</v>
      </c>
    </row>
    <row r="1583" spans="1:16" x14ac:dyDescent="0.25">
      <c r="A1583" s="5">
        <v>45770</v>
      </c>
      <c r="B1583" t="s">
        <v>103</v>
      </c>
      <c r="C1583" t="s">
        <v>104</v>
      </c>
      <c r="D1583" t="s">
        <v>58</v>
      </c>
      <c r="E1583" t="s">
        <v>88</v>
      </c>
      <c r="F1583" t="s">
        <v>89</v>
      </c>
      <c r="G1583" t="s">
        <v>1710</v>
      </c>
      <c r="H1583" s="6">
        <v>64</v>
      </c>
      <c r="I1583" s="7">
        <v>338.56</v>
      </c>
      <c r="J1583" s="7">
        <v>21667.97</v>
      </c>
      <c r="K1583" s="6">
        <v>60</v>
      </c>
      <c r="L1583" t="s">
        <v>45</v>
      </c>
      <c r="M1583" s="8">
        <v>4333.5940000000001</v>
      </c>
      <c r="N1583" s="7">
        <v>21667.97</v>
      </c>
      <c r="O1583" t="s">
        <v>46</v>
      </c>
      <c r="P1583" t="s">
        <v>40</v>
      </c>
    </row>
    <row r="1584" spans="1:16" x14ac:dyDescent="0.25">
      <c r="A1584" s="5">
        <v>45998</v>
      </c>
      <c r="B1584" t="s">
        <v>80</v>
      </c>
      <c r="C1584" t="s">
        <v>81</v>
      </c>
      <c r="D1584" t="s">
        <v>64</v>
      </c>
      <c r="E1584" t="s">
        <v>59</v>
      </c>
      <c r="F1584" t="s">
        <v>60</v>
      </c>
      <c r="G1584" t="s">
        <v>1711</v>
      </c>
      <c r="H1584" s="6">
        <v>5</v>
      </c>
      <c r="I1584" s="7">
        <v>125.83</v>
      </c>
      <c r="J1584" s="7">
        <v>629.15</v>
      </c>
      <c r="K1584" s="6">
        <v>60</v>
      </c>
      <c r="L1584" t="s">
        <v>45</v>
      </c>
      <c r="M1584" s="8">
        <v>125.83</v>
      </c>
      <c r="N1584" s="7">
        <v>629.15</v>
      </c>
      <c r="O1584" t="s">
        <v>39</v>
      </c>
      <c r="P1584" t="s">
        <v>40</v>
      </c>
    </row>
    <row r="1585" spans="1:16" x14ac:dyDescent="0.25">
      <c r="A1585" s="5">
        <v>46019</v>
      </c>
      <c r="B1585" t="s">
        <v>94</v>
      </c>
      <c r="C1585" t="s">
        <v>95</v>
      </c>
      <c r="D1585" t="s">
        <v>34</v>
      </c>
      <c r="E1585" t="s">
        <v>75</v>
      </c>
      <c r="F1585" t="s">
        <v>36</v>
      </c>
      <c r="G1585" t="s">
        <v>1712</v>
      </c>
      <c r="H1585" s="6">
        <v>74</v>
      </c>
      <c r="I1585" s="7">
        <v>67.239999999999995</v>
      </c>
      <c r="J1585" s="7">
        <v>4975.97</v>
      </c>
      <c r="K1585" s="6">
        <v>45</v>
      </c>
      <c r="L1585" t="s">
        <v>52</v>
      </c>
      <c r="M1585" s="8">
        <v>995.19399999999996</v>
      </c>
      <c r="N1585" s="7">
        <v>4975.97</v>
      </c>
      <c r="O1585" t="s">
        <v>46</v>
      </c>
      <c r="P1585" t="s">
        <v>40</v>
      </c>
    </row>
    <row r="1586" spans="1:16" x14ac:dyDescent="0.25">
      <c r="A1586" s="5">
        <v>46018</v>
      </c>
      <c r="B1586" t="s">
        <v>103</v>
      </c>
      <c r="C1586" t="s">
        <v>104</v>
      </c>
      <c r="D1586" t="s">
        <v>58</v>
      </c>
      <c r="E1586" t="s">
        <v>139</v>
      </c>
      <c r="F1586" t="s">
        <v>108</v>
      </c>
      <c r="G1586" t="s">
        <v>1713</v>
      </c>
      <c r="H1586" s="6">
        <v>49</v>
      </c>
      <c r="I1586" s="7">
        <v>94.95</v>
      </c>
      <c r="J1586" s="7">
        <v>4652.49</v>
      </c>
      <c r="K1586" s="6">
        <v>30</v>
      </c>
      <c r="L1586" t="s">
        <v>45</v>
      </c>
      <c r="M1586" s="8">
        <v>930.49800000000005</v>
      </c>
      <c r="N1586" s="7">
        <v>4652.49</v>
      </c>
      <c r="O1586" t="s">
        <v>46</v>
      </c>
      <c r="P1586" t="s">
        <v>40</v>
      </c>
    </row>
    <row r="1587" spans="1:16" x14ac:dyDescent="0.25">
      <c r="A1587" s="5">
        <v>45773</v>
      </c>
      <c r="B1587" t="s">
        <v>85</v>
      </c>
      <c r="C1587" t="s">
        <v>86</v>
      </c>
      <c r="D1587" t="s">
        <v>58</v>
      </c>
      <c r="E1587" t="s">
        <v>53</v>
      </c>
      <c r="F1587" t="s">
        <v>54</v>
      </c>
      <c r="G1587" t="s">
        <v>1714</v>
      </c>
      <c r="H1587" s="6">
        <v>7</v>
      </c>
      <c r="I1587" s="7">
        <v>366.01</v>
      </c>
      <c r="J1587" s="7">
        <v>2562.09</v>
      </c>
      <c r="K1587" s="6">
        <v>30</v>
      </c>
      <c r="L1587" t="s">
        <v>45</v>
      </c>
      <c r="M1587" s="8">
        <v>512.41800000000001</v>
      </c>
      <c r="N1587" s="7">
        <v>2562.09</v>
      </c>
      <c r="O1587" t="s">
        <v>46</v>
      </c>
      <c r="P1587" t="s">
        <v>40</v>
      </c>
    </row>
    <row r="1588" spans="1:16" x14ac:dyDescent="0.25">
      <c r="A1588" s="5">
        <v>45995</v>
      </c>
      <c r="B1588" t="s">
        <v>103</v>
      </c>
      <c r="C1588" t="s">
        <v>104</v>
      </c>
      <c r="D1588" t="s">
        <v>58</v>
      </c>
      <c r="E1588" t="s">
        <v>96</v>
      </c>
      <c r="F1588" t="s">
        <v>97</v>
      </c>
      <c r="G1588" t="s">
        <v>1715</v>
      </c>
      <c r="H1588" s="6">
        <v>21</v>
      </c>
      <c r="I1588" s="7">
        <v>330.57</v>
      </c>
      <c r="J1588" s="7">
        <v>6942.02</v>
      </c>
      <c r="K1588" s="6">
        <v>30</v>
      </c>
      <c r="L1588" t="s">
        <v>52</v>
      </c>
      <c r="M1588" s="8">
        <v>1388.404</v>
      </c>
      <c r="N1588" s="7">
        <v>6942.02</v>
      </c>
      <c r="O1588" t="s">
        <v>46</v>
      </c>
      <c r="P1588" t="s">
        <v>40</v>
      </c>
    </row>
    <row r="1589" spans="1:16" x14ac:dyDescent="0.25">
      <c r="A1589" s="5">
        <v>46005</v>
      </c>
      <c r="B1589" t="s">
        <v>103</v>
      </c>
      <c r="C1589" t="s">
        <v>104</v>
      </c>
      <c r="D1589" t="s">
        <v>58</v>
      </c>
      <c r="E1589" t="s">
        <v>132</v>
      </c>
      <c r="F1589" t="s">
        <v>71</v>
      </c>
      <c r="G1589" t="s">
        <v>1716</v>
      </c>
      <c r="H1589" s="6">
        <v>61</v>
      </c>
      <c r="I1589" s="7">
        <v>77.63</v>
      </c>
      <c r="J1589" s="7">
        <v>4735.7</v>
      </c>
      <c r="K1589" s="6">
        <v>45</v>
      </c>
      <c r="L1589" t="s">
        <v>45</v>
      </c>
      <c r="M1589" s="8">
        <v>947.14</v>
      </c>
      <c r="N1589" s="7">
        <v>4735.7</v>
      </c>
      <c r="O1589" t="s">
        <v>46</v>
      </c>
      <c r="P1589" t="s">
        <v>40</v>
      </c>
    </row>
    <row r="1590" spans="1:16" x14ac:dyDescent="0.25">
      <c r="A1590" s="5">
        <v>45802</v>
      </c>
      <c r="B1590" t="s">
        <v>118</v>
      </c>
      <c r="C1590" t="s">
        <v>119</v>
      </c>
      <c r="D1590" t="s">
        <v>64</v>
      </c>
      <c r="E1590" t="s">
        <v>43</v>
      </c>
      <c r="F1590" t="s">
        <v>36</v>
      </c>
      <c r="G1590" t="s">
        <v>1717</v>
      </c>
      <c r="H1590" s="6">
        <v>37</v>
      </c>
      <c r="I1590" s="7">
        <v>41.23</v>
      </c>
      <c r="J1590" s="7">
        <v>1525.58</v>
      </c>
      <c r="K1590" s="6">
        <v>60</v>
      </c>
      <c r="L1590" t="s">
        <v>38</v>
      </c>
      <c r="M1590" s="8">
        <v>305.11599999999999</v>
      </c>
      <c r="N1590" s="7">
        <v>1525.58</v>
      </c>
      <c r="O1590" t="s">
        <v>46</v>
      </c>
      <c r="P1590" t="s">
        <v>40</v>
      </c>
    </row>
    <row r="1591" spans="1:16" x14ac:dyDescent="0.25">
      <c r="A1591" s="5">
        <v>45725</v>
      </c>
      <c r="B1591" t="s">
        <v>56</v>
      </c>
      <c r="C1591" t="s">
        <v>57</v>
      </c>
      <c r="D1591" t="s">
        <v>58</v>
      </c>
      <c r="E1591" t="s">
        <v>204</v>
      </c>
      <c r="F1591" t="s">
        <v>97</v>
      </c>
      <c r="G1591" t="s">
        <v>1718</v>
      </c>
      <c r="H1591" s="6">
        <v>42</v>
      </c>
      <c r="I1591" s="7">
        <v>314.56</v>
      </c>
      <c r="J1591" s="7">
        <v>13211.35</v>
      </c>
      <c r="K1591" s="6">
        <v>60</v>
      </c>
      <c r="L1591" t="s">
        <v>38</v>
      </c>
      <c r="M1591" s="8">
        <v>2642.27</v>
      </c>
      <c r="N1591" s="7">
        <v>13211.35</v>
      </c>
      <c r="O1591" t="s">
        <v>46</v>
      </c>
      <c r="P1591" t="s">
        <v>40</v>
      </c>
    </row>
    <row r="1592" spans="1:16" x14ac:dyDescent="0.25">
      <c r="A1592" s="5">
        <v>45993</v>
      </c>
      <c r="B1592" t="s">
        <v>67</v>
      </c>
      <c r="C1592" t="s">
        <v>68</v>
      </c>
      <c r="D1592" t="s">
        <v>69</v>
      </c>
      <c r="E1592" t="s">
        <v>149</v>
      </c>
      <c r="F1592" t="s">
        <v>60</v>
      </c>
      <c r="G1592" t="s">
        <v>1719</v>
      </c>
      <c r="H1592" s="6">
        <v>21</v>
      </c>
      <c r="I1592" s="7">
        <v>121.99</v>
      </c>
      <c r="J1592" s="7">
        <v>2561.8200000000002</v>
      </c>
      <c r="K1592" s="6">
        <v>60</v>
      </c>
      <c r="L1592" t="s">
        <v>38</v>
      </c>
      <c r="M1592" s="8">
        <v>512.36400000000003</v>
      </c>
      <c r="N1592" s="7">
        <v>2561.8200000000002</v>
      </c>
      <c r="O1592" t="s">
        <v>46</v>
      </c>
      <c r="P1592" t="s">
        <v>40</v>
      </c>
    </row>
    <row r="1593" spans="1:16" x14ac:dyDescent="0.25">
      <c r="A1593" s="5">
        <v>45732</v>
      </c>
      <c r="B1593" t="s">
        <v>47</v>
      </c>
      <c r="C1593" t="s">
        <v>48</v>
      </c>
      <c r="D1593" t="s">
        <v>34</v>
      </c>
      <c r="E1593" t="s">
        <v>139</v>
      </c>
      <c r="F1593" t="s">
        <v>108</v>
      </c>
      <c r="G1593" t="s">
        <v>1720</v>
      </c>
      <c r="H1593" s="6">
        <v>27</v>
      </c>
      <c r="I1593" s="7">
        <v>15.04</v>
      </c>
      <c r="J1593" s="7">
        <v>406.09</v>
      </c>
      <c r="K1593" s="6">
        <v>30</v>
      </c>
      <c r="L1593" t="s">
        <v>52</v>
      </c>
      <c r="M1593" s="8">
        <v>81.218000000000004</v>
      </c>
      <c r="N1593" s="7">
        <v>406.09</v>
      </c>
      <c r="O1593" t="s">
        <v>46</v>
      </c>
      <c r="P1593" t="s">
        <v>40</v>
      </c>
    </row>
    <row r="1594" spans="1:16" x14ac:dyDescent="0.25">
      <c r="A1594" s="5">
        <v>45952</v>
      </c>
      <c r="B1594" t="s">
        <v>94</v>
      </c>
      <c r="C1594" t="s">
        <v>95</v>
      </c>
      <c r="D1594" t="s">
        <v>34</v>
      </c>
      <c r="E1594" t="s">
        <v>210</v>
      </c>
      <c r="F1594" t="s">
        <v>50</v>
      </c>
      <c r="G1594" t="s">
        <v>1721</v>
      </c>
      <c r="H1594" s="6">
        <v>14</v>
      </c>
      <c r="I1594" s="7">
        <v>152.57</v>
      </c>
      <c r="J1594" s="7">
        <v>2135.9299999999998</v>
      </c>
      <c r="K1594" s="6">
        <v>60</v>
      </c>
      <c r="L1594" t="s">
        <v>38</v>
      </c>
      <c r="M1594" s="8">
        <v>427.18599999999998</v>
      </c>
      <c r="N1594" s="7">
        <v>2135.9299999999998</v>
      </c>
      <c r="O1594" t="s">
        <v>46</v>
      </c>
      <c r="P1594" t="s">
        <v>40</v>
      </c>
    </row>
    <row r="1595" spans="1:16" x14ac:dyDescent="0.25">
      <c r="A1595" s="5">
        <v>45744</v>
      </c>
      <c r="B1595" t="s">
        <v>201</v>
      </c>
      <c r="C1595" t="s">
        <v>202</v>
      </c>
      <c r="D1595" t="s">
        <v>64</v>
      </c>
      <c r="E1595" t="s">
        <v>105</v>
      </c>
      <c r="F1595" t="s">
        <v>97</v>
      </c>
      <c r="G1595" t="s">
        <v>1722</v>
      </c>
      <c r="H1595" s="6">
        <v>8</v>
      </c>
      <c r="I1595" s="7">
        <v>493.22</v>
      </c>
      <c r="J1595" s="7">
        <v>3945.73</v>
      </c>
      <c r="K1595" s="6">
        <v>30</v>
      </c>
      <c r="L1595" t="s">
        <v>45</v>
      </c>
      <c r="M1595" s="8">
        <v>789.14599999999996</v>
      </c>
      <c r="N1595" s="7">
        <v>3945.73</v>
      </c>
      <c r="O1595" t="s">
        <v>46</v>
      </c>
      <c r="P1595" t="s">
        <v>40</v>
      </c>
    </row>
    <row r="1596" spans="1:16" x14ac:dyDescent="0.25">
      <c r="A1596" s="5">
        <v>45718</v>
      </c>
      <c r="B1596" t="s">
        <v>91</v>
      </c>
      <c r="C1596" t="s">
        <v>92</v>
      </c>
      <c r="D1596" t="s">
        <v>64</v>
      </c>
      <c r="E1596" t="s">
        <v>154</v>
      </c>
      <c r="F1596" t="s">
        <v>89</v>
      </c>
      <c r="G1596" t="s">
        <v>1723</v>
      </c>
      <c r="H1596" s="6">
        <v>66</v>
      </c>
      <c r="I1596" s="7">
        <v>49.07</v>
      </c>
      <c r="J1596" s="7">
        <v>3238.93</v>
      </c>
      <c r="K1596" s="6">
        <v>60</v>
      </c>
      <c r="L1596" t="s">
        <v>45</v>
      </c>
      <c r="M1596" s="8">
        <v>647.78599999999994</v>
      </c>
      <c r="N1596" s="7">
        <v>3238.93</v>
      </c>
      <c r="O1596" t="s">
        <v>39</v>
      </c>
      <c r="P1596" t="s">
        <v>40</v>
      </c>
    </row>
    <row r="1597" spans="1:16" x14ac:dyDescent="0.25">
      <c r="A1597" s="5">
        <v>45979</v>
      </c>
      <c r="B1597" t="s">
        <v>32</v>
      </c>
      <c r="C1597" t="s">
        <v>33</v>
      </c>
      <c r="D1597" t="s">
        <v>34</v>
      </c>
      <c r="E1597" t="s">
        <v>204</v>
      </c>
      <c r="F1597" t="s">
        <v>97</v>
      </c>
      <c r="G1597" t="s">
        <v>1724</v>
      </c>
      <c r="H1597" s="6">
        <v>52</v>
      </c>
      <c r="I1597" s="7">
        <v>172.16</v>
      </c>
      <c r="J1597" s="7">
        <v>8952.3799999999992</v>
      </c>
      <c r="K1597" s="6">
        <v>30</v>
      </c>
      <c r="L1597" t="s">
        <v>38</v>
      </c>
      <c r="M1597" s="8">
        <v>1790.4760000000001</v>
      </c>
      <c r="N1597" s="7">
        <v>8952.3799999999992</v>
      </c>
      <c r="O1597" t="s">
        <v>46</v>
      </c>
      <c r="P1597" t="s">
        <v>40</v>
      </c>
    </row>
    <row r="1598" spans="1:16" x14ac:dyDescent="0.25">
      <c r="A1598" s="5">
        <v>45908</v>
      </c>
      <c r="B1598" t="s">
        <v>32</v>
      </c>
      <c r="C1598" t="s">
        <v>33</v>
      </c>
      <c r="D1598" t="s">
        <v>34</v>
      </c>
      <c r="E1598" t="s">
        <v>65</v>
      </c>
      <c r="F1598" t="s">
        <v>54</v>
      </c>
      <c r="G1598" t="s">
        <v>1725</v>
      </c>
      <c r="H1598" s="6">
        <v>39</v>
      </c>
      <c r="I1598" s="7">
        <v>351.42</v>
      </c>
      <c r="J1598" s="7">
        <v>13705.57</v>
      </c>
      <c r="K1598" s="6">
        <v>60</v>
      </c>
      <c r="L1598" t="s">
        <v>52</v>
      </c>
      <c r="M1598" s="8">
        <v>2741.114</v>
      </c>
      <c r="N1598" s="7">
        <v>13705.57</v>
      </c>
      <c r="O1598" t="s">
        <v>46</v>
      </c>
      <c r="P1598" t="s">
        <v>40</v>
      </c>
    </row>
    <row r="1599" spans="1:16" x14ac:dyDescent="0.25">
      <c r="A1599" s="5">
        <v>46001</v>
      </c>
      <c r="B1599" t="s">
        <v>41</v>
      </c>
      <c r="C1599" t="s">
        <v>42</v>
      </c>
      <c r="D1599" t="s">
        <v>34</v>
      </c>
      <c r="E1599" t="s">
        <v>105</v>
      </c>
      <c r="F1599" t="s">
        <v>97</v>
      </c>
      <c r="G1599" t="s">
        <v>1726</v>
      </c>
      <c r="H1599" s="6">
        <v>12</v>
      </c>
      <c r="I1599" s="7">
        <v>930.2</v>
      </c>
      <c r="J1599" s="7">
        <v>11162.46</v>
      </c>
      <c r="K1599" s="6">
        <v>45</v>
      </c>
      <c r="L1599" t="s">
        <v>52</v>
      </c>
      <c r="M1599" s="8">
        <v>2232.4920000000002</v>
      </c>
      <c r="N1599" s="7">
        <v>11162.46</v>
      </c>
      <c r="O1599" t="s">
        <v>46</v>
      </c>
      <c r="P1599" t="s">
        <v>40</v>
      </c>
    </row>
    <row r="1600" spans="1:16" x14ac:dyDescent="0.25">
      <c r="A1600" s="5">
        <v>45992</v>
      </c>
      <c r="B1600" t="s">
        <v>62</v>
      </c>
      <c r="C1600" t="s">
        <v>63</v>
      </c>
      <c r="D1600" t="s">
        <v>64</v>
      </c>
      <c r="E1600" t="s">
        <v>115</v>
      </c>
      <c r="F1600" t="s">
        <v>60</v>
      </c>
      <c r="G1600" t="s">
        <v>1727</v>
      </c>
      <c r="H1600" s="6">
        <v>57</v>
      </c>
      <c r="I1600" s="7">
        <v>222.53</v>
      </c>
      <c r="J1600" s="7">
        <v>12684.24</v>
      </c>
      <c r="K1600" s="6">
        <v>45</v>
      </c>
      <c r="L1600" t="s">
        <v>38</v>
      </c>
      <c r="M1600" s="8">
        <v>2536.848</v>
      </c>
      <c r="N1600" s="7">
        <v>12684.24</v>
      </c>
      <c r="O1600" t="s">
        <v>46</v>
      </c>
      <c r="P1600" t="s">
        <v>40</v>
      </c>
    </row>
    <row r="1601" spans="1:16" x14ac:dyDescent="0.25">
      <c r="A1601" s="5">
        <v>45720</v>
      </c>
      <c r="B1601" t="s">
        <v>32</v>
      </c>
      <c r="C1601" t="s">
        <v>33</v>
      </c>
      <c r="D1601" t="s">
        <v>34</v>
      </c>
      <c r="E1601" t="s">
        <v>127</v>
      </c>
      <c r="F1601" t="s">
        <v>36</v>
      </c>
      <c r="G1601" t="s">
        <v>1728</v>
      </c>
      <c r="H1601" s="6">
        <v>63</v>
      </c>
      <c r="I1601" s="7">
        <v>43.55</v>
      </c>
      <c r="J1601" s="7">
        <v>2743.86</v>
      </c>
      <c r="K1601" s="6">
        <v>60</v>
      </c>
      <c r="L1601" t="s">
        <v>52</v>
      </c>
      <c r="M1601" s="8">
        <v>548.77200000000005</v>
      </c>
      <c r="N1601" s="7">
        <v>2743.86</v>
      </c>
      <c r="O1601" t="s">
        <v>39</v>
      </c>
      <c r="P1601" t="s">
        <v>40</v>
      </c>
    </row>
    <row r="1602" spans="1:16" x14ac:dyDescent="0.25">
      <c r="A1602" s="5">
        <v>45958</v>
      </c>
      <c r="B1602" t="s">
        <v>56</v>
      </c>
      <c r="C1602" t="s">
        <v>57</v>
      </c>
      <c r="D1602" t="s">
        <v>58</v>
      </c>
      <c r="E1602" t="s">
        <v>135</v>
      </c>
      <c r="F1602" t="s">
        <v>54</v>
      </c>
      <c r="G1602" t="s">
        <v>1729</v>
      </c>
      <c r="H1602" s="6">
        <v>74</v>
      </c>
      <c r="I1602" s="7">
        <v>226.08</v>
      </c>
      <c r="J1602" s="7">
        <v>16729.57</v>
      </c>
      <c r="K1602" s="6">
        <v>60</v>
      </c>
      <c r="L1602" t="s">
        <v>45</v>
      </c>
      <c r="M1602" s="8">
        <v>3345.9140000000002</v>
      </c>
      <c r="N1602" s="7">
        <v>16729.57</v>
      </c>
      <c r="O1602" t="s">
        <v>46</v>
      </c>
      <c r="P1602" t="s">
        <v>40</v>
      </c>
    </row>
    <row r="1603" spans="1:16" x14ac:dyDescent="0.25">
      <c r="A1603" s="5">
        <v>45750</v>
      </c>
      <c r="B1603" t="s">
        <v>91</v>
      </c>
      <c r="C1603" t="s">
        <v>92</v>
      </c>
      <c r="D1603" t="s">
        <v>64</v>
      </c>
      <c r="E1603" t="s">
        <v>43</v>
      </c>
      <c r="F1603" t="s">
        <v>36</v>
      </c>
      <c r="G1603" t="s">
        <v>1730</v>
      </c>
      <c r="H1603" s="6">
        <v>50</v>
      </c>
      <c r="I1603" s="7">
        <v>138.46</v>
      </c>
      <c r="J1603" s="7">
        <v>6922.92</v>
      </c>
      <c r="K1603" s="6">
        <v>45</v>
      </c>
      <c r="L1603" t="s">
        <v>52</v>
      </c>
      <c r="M1603" s="8">
        <v>1384.5840000000001</v>
      </c>
      <c r="N1603" s="7">
        <v>6922.92</v>
      </c>
      <c r="O1603" t="s">
        <v>46</v>
      </c>
      <c r="P1603" t="s">
        <v>40</v>
      </c>
    </row>
    <row r="1604" spans="1:16" x14ac:dyDescent="0.25">
      <c r="A1604" s="5">
        <v>45950</v>
      </c>
      <c r="B1604" t="s">
        <v>32</v>
      </c>
      <c r="C1604" t="s">
        <v>33</v>
      </c>
      <c r="D1604" t="s">
        <v>34</v>
      </c>
      <c r="E1604" t="s">
        <v>96</v>
      </c>
      <c r="F1604" t="s">
        <v>97</v>
      </c>
      <c r="G1604" t="s">
        <v>1731</v>
      </c>
      <c r="H1604" s="6">
        <v>17</v>
      </c>
      <c r="I1604" s="7">
        <v>210.29</v>
      </c>
      <c r="J1604" s="7">
        <v>3574.98</v>
      </c>
      <c r="K1604" s="6">
        <v>30</v>
      </c>
      <c r="L1604" t="s">
        <v>45</v>
      </c>
      <c r="M1604" s="8">
        <v>714.99599999999998</v>
      </c>
      <c r="N1604" s="7">
        <v>3574.98</v>
      </c>
      <c r="O1604" t="s">
        <v>46</v>
      </c>
      <c r="P1604" t="s">
        <v>40</v>
      </c>
    </row>
    <row r="1605" spans="1:16" x14ac:dyDescent="0.25">
      <c r="A1605" s="5">
        <v>46016</v>
      </c>
      <c r="B1605" t="s">
        <v>41</v>
      </c>
      <c r="C1605" t="s">
        <v>42</v>
      </c>
      <c r="D1605" t="s">
        <v>34</v>
      </c>
      <c r="E1605" t="s">
        <v>88</v>
      </c>
      <c r="F1605" t="s">
        <v>89</v>
      </c>
      <c r="G1605" t="s">
        <v>1732</v>
      </c>
      <c r="H1605" s="6">
        <v>3</v>
      </c>
      <c r="I1605" s="7">
        <v>115.98</v>
      </c>
      <c r="J1605" s="7">
        <v>347.93</v>
      </c>
      <c r="K1605" s="6">
        <v>45</v>
      </c>
      <c r="L1605" t="s">
        <v>52</v>
      </c>
      <c r="M1605" s="8">
        <v>69.585999999999999</v>
      </c>
      <c r="N1605" s="7">
        <v>347.93</v>
      </c>
      <c r="O1605" t="s">
        <v>46</v>
      </c>
      <c r="P1605" t="s">
        <v>40</v>
      </c>
    </row>
    <row r="1606" spans="1:16" x14ac:dyDescent="0.25">
      <c r="A1606" s="5">
        <v>45923</v>
      </c>
      <c r="B1606" t="s">
        <v>47</v>
      </c>
      <c r="C1606" t="s">
        <v>48</v>
      </c>
      <c r="D1606" t="s">
        <v>34</v>
      </c>
      <c r="E1606" t="s">
        <v>107</v>
      </c>
      <c r="F1606" t="s">
        <v>108</v>
      </c>
      <c r="G1606" t="s">
        <v>1733</v>
      </c>
      <c r="H1606" s="6">
        <v>75</v>
      </c>
      <c r="I1606" s="7">
        <v>57.51</v>
      </c>
      <c r="J1606" s="7">
        <v>4313.34</v>
      </c>
      <c r="K1606" s="6">
        <v>60</v>
      </c>
      <c r="L1606" t="s">
        <v>52</v>
      </c>
      <c r="M1606" s="8">
        <v>862.66800000000001</v>
      </c>
      <c r="N1606" s="7">
        <v>4313.34</v>
      </c>
      <c r="O1606" t="s">
        <v>46</v>
      </c>
      <c r="P1606" t="s">
        <v>40</v>
      </c>
    </row>
    <row r="1607" spans="1:16" x14ac:dyDescent="0.25">
      <c r="A1607" s="5">
        <v>45995</v>
      </c>
      <c r="B1607" t="s">
        <v>56</v>
      </c>
      <c r="C1607" t="s">
        <v>57</v>
      </c>
      <c r="D1607" t="s">
        <v>58</v>
      </c>
      <c r="E1607" t="s">
        <v>127</v>
      </c>
      <c r="F1607" t="s">
        <v>36</v>
      </c>
      <c r="G1607" t="s">
        <v>1734</v>
      </c>
      <c r="H1607" s="6">
        <v>16</v>
      </c>
      <c r="I1607" s="7">
        <v>38.479999999999997</v>
      </c>
      <c r="J1607" s="7">
        <v>615.63</v>
      </c>
      <c r="K1607" s="6">
        <v>30</v>
      </c>
      <c r="L1607" t="s">
        <v>52</v>
      </c>
      <c r="M1607" s="8">
        <v>123.126</v>
      </c>
      <c r="N1607" s="7">
        <v>615.63</v>
      </c>
      <c r="O1607" t="s">
        <v>39</v>
      </c>
      <c r="P1607" t="s">
        <v>40</v>
      </c>
    </row>
    <row r="1608" spans="1:16" x14ac:dyDescent="0.25">
      <c r="A1608" s="5">
        <v>45942</v>
      </c>
      <c r="B1608" t="s">
        <v>201</v>
      </c>
      <c r="C1608" t="s">
        <v>202</v>
      </c>
      <c r="D1608" t="s">
        <v>64</v>
      </c>
      <c r="E1608" t="s">
        <v>154</v>
      </c>
      <c r="F1608" t="s">
        <v>89</v>
      </c>
      <c r="G1608" t="s">
        <v>1735</v>
      </c>
      <c r="H1608" s="6">
        <v>58</v>
      </c>
      <c r="I1608" s="7">
        <v>192.56</v>
      </c>
      <c r="J1608" s="7">
        <v>11168.68</v>
      </c>
      <c r="K1608" s="6">
        <v>45</v>
      </c>
      <c r="L1608" t="s">
        <v>38</v>
      </c>
      <c r="M1608" s="8">
        <v>2233.7359999999999</v>
      </c>
      <c r="N1608" s="7">
        <v>11168.68</v>
      </c>
      <c r="O1608" t="s">
        <v>39</v>
      </c>
      <c r="P1608" t="s">
        <v>40</v>
      </c>
    </row>
    <row r="1609" spans="1:16" x14ac:dyDescent="0.25">
      <c r="A1609" s="5">
        <v>45763</v>
      </c>
      <c r="B1609" t="s">
        <v>85</v>
      </c>
      <c r="C1609" t="s">
        <v>86</v>
      </c>
      <c r="D1609" t="s">
        <v>58</v>
      </c>
      <c r="E1609" t="s">
        <v>124</v>
      </c>
      <c r="F1609" t="s">
        <v>89</v>
      </c>
      <c r="G1609" t="s">
        <v>1736</v>
      </c>
      <c r="H1609" s="6">
        <v>21</v>
      </c>
      <c r="I1609" s="7">
        <v>439.89</v>
      </c>
      <c r="J1609" s="7">
        <v>9237.74</v>
      </c>
      <c r="K1609" s="6">
        <v>30</v>
      </c>
      <c r="L1609" t="s">
        <v>52</v>
      </c>
      <c r="M1609" s="8">
        <v>1847.548</v>
      </c>
      <c r="N1609" s="7">
        <v>9237.74</v>
      </c>
      <c r="O1609" t="s">
        <v>46</v>
      </c>
      <c r="P1609" t="s">
        <v>40</v>
      </c>
    </row>
    <row r="1610" spans="1:16" x14ac:dyDescent="0.25">
      <c r="A1610" s="5">
        <v>45721</v>
      </c>
      <c r="B1610" t="s">
        <v>201</v>
      </c>
      <c r="C1610" t="s">
        <v>202</v>
      </c>
      <c r="D1610" t="s">
        <v>64</v>
      </c>
      <c r="E1610" t="s">
        <v>49</v>
      </c>
      <c r="F1610" t="s">
        <v>50</v>
      </c>
      <c r="G1610" t="s">
        <v>1737</v>
      </c>
      <c r="H1610" s="6">
        <v>65</v>
      </c>
      <c r="I1610" s="7">
        <v>143.34</v>
      </c>
      <c r="J1610" s="7">
        <v>9316.7800000000007</v>
      </c>
      <c r="K1610" s="6">
        <v>45</v>
      </c>
      <c r="L1610" t="s">
        <v>45</v>
      </c>
      <c r="M1610" s="8">
        <v>1863.356</v>
      </c>
      <c r="N1610" s="7">
        <v>9316.7800000000007</v>
      </c>
      <c r="O1610" t="s">
        <v>39</v>
      </c>
      <c r="P1610" t="s">
        <v>40</v>
      </c>
    </row>
    <row r="1611" spans="1:16" x14ac:dyDescent="0.25">
      <c r="A1611" s="5">
        <v>45994</v>
      </c>
      <c r="B1611" t="s">
        <v>85</v>
      </c>
      <c r="C1611" t="s">
        <v>86</v>
      </c>
      <c r="D1611" t="s">
        <v>58</v>
      </c>
      <c r="E1611" t="s">
        <v>88</v>
      </c>
      <c r="F1611" t="s">
        <v>89</v>
      </c>
      <c r="G1611" t="s">
        <v>1738</v>
      </c>
      <c r="H1611" s="6">
        <v>1</v>
      </c>
      <c r="I1611" s="7">
        <v>156.66999999999999</v>
      </c>
      <c r="J1611" s="7">
        <v>156.66999999999999</v>
      </c>
      <c r="K1611" s="6">
        <v>30</v>
      </c>
      <c r="L1611" t="s">
        <v>45</v>
      </c>
      <c r="M1611" s="8">
        <v>31.334</v>
      </c>
      <c r="N1611" s="7">
        <v>156.66999999999999</v>
      </c>
      <c r="O1611" t="s">
        <v>46</v>
      </c>
      <c r="P1611" t="s">
        <v>40</v>
      </c>
    </row>
    <row r="1612" spans="1:16" x14ac:dyDescent="0.25">
      <c r="A1612" s="5">
        <v>45931</v>
      </c>
      <c r="B1612" t="s">
        <v>94</v>
      </c>
      <c r="C1612" t="s">
        <v>95</v>
      </c>
      <c r="D1612" t="s">
        <v>34</v>
      </c>
      <c r="E1612" t="s">
        <v>115</v>
      </c>
      <c r="F1612" t="s">
        <v>60</v>
      </c>
      <c r="G1612" t="s">
        <v>1739</v>
      </c>
      <c r="H1612" s="6">
        <v>57</v>
      </c>
      <c r="I1612" s="7">
        <v>187.38</v>
      </c>
      <c r="J1612" s="7">
        <v>10680.58</v>
      </c>
      <c r="K1612" s="6">
        <v>30</v>
      </c>
      <c r="L1612" t="s">
        <v>52</v>
      </c>
      <c r="M1612" s="8">
        <v>2136.116</v>
      </c>
      <c r="N1612" s="7">
        <v>10680.58</v>
      </c>
      <c r="O1612" t="s">
        <v>46</v>
      </c>
      <c r="P1612" t="s">
        <v>40</v>
      </c>
    </row>
    <row r="1613" spans="1:16" x14ac:dyDescent="0.25">
      <c r="A1613" s="5">
        <v>45838</v>
      </c>
      <c r="B1613" t="s">
        <v>113</v>
      </c>
      <c r="C1613" t="s">
        <v>114</v>
      </c>
      <c r="D1613" t="s">
        <v>69</v>
      </c>
      <c r="E1613" t="s">
        <v>70</v>
      </c>
      <c r="F1613" t="s">
        <v>71</v>
      </c>
      <c r="G1613" t="s">
        <v>1740</v>
      </c>
      <c r="H1613" s="6">
        <v>78</v>
      </c>
      <c r="I1613" s="7">
        <v>40.21</v>
      </c>
      <c r="J1613" s="7">
        <v>3136.4</v>
      </c>
      <c r="K1613" s="6">
        <v>60</v>
      </c>
      <c r="L1613" t="s">
        <v>52</v>
      </c>
      <c r="M1613" s="8">
        <v>627.28</v>
      </c>
      <c r="N1613" s="7">
        <v>3136.4</v>
      </c>
      <c r="O1613" t="s">
        <v>46</v>
      </c>
      <c r="P1613" t="s">
        <v>40</v>
      </c>
    </row>
    <row r="1614" spans="1:16" x14ac:dyDescent="0.25">
      <c r="A1614" s="5">
        <v>45680</v>
      </c>
      <c r="B1614" t="s">
        <v>41</v>
      </c>
      <c r="C1614" t="s">
        <v>42</v>
      </c>
      <c r="D1614" t="s">
        <v>34</v>
      </c>
      <c r="E1614" t="s">
        <v>43</v>
      </c>
      <c r="F1614" t="s">
        <v>36</v>
      </c>
      <c r="G1614" t="s">
        <v>1741</v>
      </c>
      <c r="H1614" s="6">
        <v>31</v>
      </c>
      <c r="I1614" s="7">
        <v>105.65</v>
      </c>
      <c r="J1614" s="7">
        <v>3275.04</v>
      </c>
      <c r="K1614" s="6">
        <v>30</v>
      </c>
      <c r="L1614" t="s">
        <v>38</v>
      </c>
      <c r="M1614" s="8">
        <v>655.00800000000004</v>
      </c>
      <c r="N1614" s="7">
        <v>3275.04</v>
      </c>
      <c r="O1614" t="s">
        <v>46</v>
      </c>
      <c r="P1614" t="s">
        <v>40</v>
      </c>
    </row>
    <row r="1615" spans="1:16" x14ac:dyDescent="0.25">
      <c r="A1615" s="5">
        <v>45726</v>
      </c>
      <c r="B1615" t="s">
        <v>118</v>
      </c>
      <c r="C1615" t="s">
        <v>119</v>
      </c>
      <c r="D1615" t="s">
        <v>64</v>
      </c>
      <c r="E1615" t="s">
        <v>59</v>
      </c>
      <c r="F1615" t="s">
        <v>60</v>
      </c>
      <c r="G1615" t="s">
        <v>1742</v>
      </c>
      <c r="H1615" s="6">
        <v>78</v>
      </c>
      <c r="I1615" s="7">
        <v>210.78</v>
      </c>
      <c r="J1615" s="7">
        <v>16440.88</v>
      </c>
      <c r="K1615" s="6">
        <v>60</v>
      </c>
      <c r="L1615" t="s">
        <v>38</v>
      </c>
      <c r="M1615" s="8">
        <v>3288.1759999999999</v>
      </c>
      <c r="N1615" s="7">
        <v>16440.88</v>
      </c>
      <c r="O1615" t="s">
        <v>39</v>
      </c>
      <c r="P1615" t="s">
        <v>40</v>
      </c>
    </row>
    <row r="1616" spans="1:16" x14ac:dyDescent="0.25">
      <c r="A1616" s="5">
        <v>45723</v>
      </c>
      <c r="B1616" t="s">
        <v>73</v>
      </c>
      <c r="C1616" t="s">
        <v>74</v>
      </c>
      <c r="D1616" t="s">
        <v>69</v>
      </c>
      <c r="E1616" t="s">
        <v>132</v>
      </c>
      <c r="F1616" t="s">
        <v>71</v>
      </c>
      <c r="G1616" t="s">
        <v>1743</v>
      </c>
      <c r="H1616" s="6">
        <v>80</v>
      </c>
      <c r="I1616" s="7">
        <v>86.02</v>
      </c>
      <c r="J1616" s="7">
        <v>6881.83</v>
      </c>
      <c r="K1616" s="6">
        <v>45</v>
      </c>
      <c r="L1616" t="s">
        <v>38</v>
      </c>
      <c r="M1616" s="8">
        <v>1376.366</v>
      </c>
      <c r="N1616" s="7">
        <v>6881.83</v>
      </c>
      <c r="O1616" t="s">
        <v>46</v>
      </c>
      <c r="P1616" t="s">
        <v>40</v>
      </c>
    </row>
    <row r="1617" spans="1:16" x14ac:dyDescent="0.25">
      <c r="A1617" s="5">
        <v>45853</v>
      </c>
      <c r="B1617" t="s">
        <v>67</v>
      </c>
      <c r="C1617" t="s">
        <v>68</v>
      </c>
      <c r="D1617" t="s">
        <v>69</v>
      </c>
      <c r="E1617" t="s">
        <v>149</v>
      </c>
      <c r="F1617" t="s">
        <v>60</v>
      </c>
      <c r="G1617" t="s">
        <v>1744</v>
      </c>
      <c r="H1617" s="6">
        <v>21</v>
      </c>
      <c r="I1617" s="7">
        <v>1273.9000000000001</v>
      </c>
      <c r="J1617" s="7">
        <v>26751.86</v>
      </c>
      <c r="K1617" s="6">
        <v>45</v>
      </c>
      <c r="L1617" t="s">
        <v>45</v>
      </c>
      <c r="M1617" s="8">
        <v>5350.3720000000003</v>
      </c>
      <c r="N1617" s="7">
        <v>26751.86</v>
      </c>
      <c r="O1617" t="s">
        <v>46</v>
      </c>
      <c r="P1617" t="s">
        <v>40</v>
      </c>
    </row>
    <row r="1618" spans="1:16" x14ac:dyDescent="0.25">
      <c r="A1618" s="5">
        <v>45875</v>
      </c>
      <c r="B1618" t="s">
        <v>201</v>
      </c>
      <c r="C1618" t="s">
        <v>202</v>
      </c>
      <c r="D1618" t="s">
        <v>64</v>
      </c>
      <c r="E1618" t="s">
        <v>115</v>
      </c>
      <c r="F1618" t="s">
        <v>60</v>
      </c>
      <c r="G1618" t="s">
        <v>1745</v>
      </c>
      <c r="H1618" s="6">
        <v>19</v>
      </c>
      <c r="I1618" s="7">
        <v>259.29000000000002</v>
      </c>
      <c r="J1618" s="7">
        <v>4926.4799999999996</v>
      </c>
      <c r="K1618" s="6">
        <v>60</v>
      </c>
      <c r="L1618" t="s">
        <v>38</v>
      </c>
      <c r="M1618" s="8">
        <v>985.29600000000005</v>
      </c>
      <c r="N1618" s="7">
        <v>4926.4799999999996</v>
      </c>
      <c r="O1618" t="s">
        <v>46</v>
      </c>
      <c r="P1618" t="s">
        <v>40</v>
      </c>
    </row>
    <row r="1619" spans="1:16" x14ac:dyDescent="0.25">
      <c r="A1619" s="5">
        <v>46014</v>
      </c>
      <c r="B1619" t="s">
        <v>91</v>
      </c>
      <c r="C1619" t="s">
        <v>92</v>
      </c>
      <c r="D1619" t="s">
        <v>64</v>
      </c>
      <c r="E1619" t="s">
        <v>115</v>
      </c>
      <c r="F1619" t="s">
        <v>60</v>
      </c>
      <c r="G1619" t="s">
        <v>1746</v>
      </c>
      <c r="H1619" s="6">
        <v>25</v>
      </c>
      <c r="I1619" s="7">
        <v>145.5</v>
      </c>
      <c r="J1619" s="7">
        <v>3637.38</v>
      </c>
      <c r="K1619" s="6">
        <v>60</v>
      </c>
      <c r="L1619" t="s">
        <v>45</v>
      </c>
      <c r="M1619" s="8">
        <v>727.476</v>
      </c>
      <c r="N1619" s="7">
        <v>3637.38</v>
      </c>
      <c r="O1619" t="s">
        <v>46</v>
      </c>
      <c r="P1619" t="s">
        <v>40</v>
      </c>
    </row>
    <row r="1620" spans="1:16" x14ac:dyDescent="0.25">
      <c r="A1620" s="5">
        <v>45736</v>
      </c>
      <c r="B1620" t="s">
        <v>143</v>
      </c>
      <c r="C1620" t="s">
        <v>144</v>
      </c>
      <c r="D1620" t="s">
        <v>69</v>
      </c>
      <c r="E1620" t="s">
        <v>88</v>
      </c>
      <c r="F1620" t="s">
        <v>89</v>
      </c>
      <c r="G1620" t="s">
        <v>1747</v>
      </c>
      <c r="H1620" s="6">
        <v>41</v>
      </c>
      <c r="I1620" s="7">
        <v>142.37</v>
      </c>
      <c r="J1620" s="7">
        <v>5837.35</v>
      </c>
      <c r="K1620" s="6">
        <v>45</v>
      </c>
      <c r="L1620" t="s">
        <v>45</v>
      </c>
      <c r="M1620" s="8">
        <v>1167.47</v>
      </c>
      <c r="N1620" s="7">
        <v>5837.35</v>
      </c>
      <c r="O1620" t="s">
        <v>46</v>
      </c>
      <c r="P1620" t="s">
        <v>40</v>
      </c>
    </row>
    <row r="1621" spans="1:16" x14ac:dyDescent="0.25">
      <c r="A1621" s="5">
        <v>45796</v>
      </c>
      <c r="B1621" t="s">
        <v>121</v>
      </c>
      <c r="C1621" t="s">
        <v>122</v>
      </c>
      <c r="D1621" t="s">
        <v>34</v>
      </c>
      <c r="E1621" t="s">
        <v>135</v>
      </c>
      <c r="F1621" t="s">
        <v>54</v>
      </c>
      <c r="G1621" t="s">
        <v>1748</v>
      </c>
      <c r="H1621" s="6">
        <v>16</v>
      </c>
      <c r="I1621" s="7">
        <v>470.18</v>
      </c>
      <c r="J1621" s="7">
        <v>7522.81</v>
      </c>
      <c r="K1621" s="6">
        <v>60</v>
      </c>
      <c r="L1621" t="s">
        <v>38</v>
      </c>
      <c r="M1621" s="8">
        <v>1504.5619999999999</v>
      </c>
      <c r="N1621" s="7">
        <v>7522.81</v>
      </c>
      <c r="O1621" t="s">
        <v>46</v>
      </c>
      <c r="P1621" t="s">
        <v>40</v>
      </c>
    </row>
    <row r="1622" spans="1:16" x14ac:dyDescent="0.25">
      <c r="A1622" s="5">
        <v>45826</v>
      </c>
      <c r="B1622" t="s">
        <v>85</v>
      </c>
      <c r="C1622" t="s">
        <v>86</v>
      </c>
      <c r="D1622" t="s">
        <v>58</v>
      </c>
      <c r="E1622" t="s">
        <v>204</v>
      </c>
      <c r="F1622" t="s">
        <v>97</v>
      </c>
      <c r="G1622" t="s">
        <v>1749</v>
      </c>
      <c r="H1622" s="6">
        <v>12</v>
      </c>
      <c r="I1622" s="7">
        <v>319.27999999999997</v>
      </c>
      <c r="J1622" s="7">
        <v>3831.41</v>
      </c>
      <c r="K1622" s="6">
        <v>45</v>
      </c>
      <c r="L1622" t="s">
        <v>45</v>
      </c>
      <c r="M1622" s="8">
        <v>766.28200000000004</v>
      </c>
      <c r="N1622" s="7">
        <v>3831.41</v>
      </c>
      <c r="O1622" t="s">
        <v>46</v>
      </c>
      <c r="P1622" t="s">
        <v>40</v>
      </c>
    </row>
    <row r="1623" spans="1:16" x14ac:dyDescent="0.25">
      <c r="A1623" s="5">
        <v>45798</v>
      </c>
      <c r="B1623" t="s">
        <v>143</v>
      </c>
      <c r="C1623" t="s">
        <v>144</v>
      </c>
      <c r="D1623" t="s">
        <v>69</v>
      </c>
      <c r="E1623" t="s">
        <v>154</v>
      </c>
      <c r="F1623" t="s">
        <v>89</v>
      </c>
      <c r="G1623" t="s">
        <v>1750</v>
      </c>
      <c r="H1623" s="6">
        <v>2</v>
      </c>
      <c r="I1623" s="7">
        <v>81.61</v>
      </c>
      <c r="J1623" s="7">
        <v>163.21</v>
      </c>
      <c r="K1623" s="6">
        <v>30</v>
      </c>
      <c r="L1623" t="s">
        <v>45</v>
      </c>
      <c r="M1623" s="8">
        <v>32.642000000000003</v>
      </c>
      <c r="N1623" s="7">
        <v>163.21</v>
      </c>
      <c r="O1623" t="s">
        <v>39</v>
      </c>
      <c r="P1623" t="s">
        <v>40</v>
      </c>
    </row>
    <row r="1624" spans="1:16" x14ac:dyDescent="0.25">
      <c r="A1624" s="5">
        <v>45721</v>
      </c>
      <c r="B1624" t="s">
        <v>77</v>
      </c>
      <c r="C1624" t="s">
        <v>78</v>
      </c>
      <c r="D1624" t="s">
        <v>58</v>
      </c>
      <c r="E1624" t="s">
        <v>204</v>
      </c>
      <c r="F1624" t="s">
        <v>97</v>
      </c>
      <c r="G1624" t="s">
        <v>1751</v>
      </c>
      <c r="H1624" s="6">
        <v>23</v>
      </c>
      <c r="I1624" s="7">
        <v>497.38</v>
      </c>
      <c r="J1624" s="7">
        <v>11439.79</v>
      </c>
      <c r="K1624" s="6">
        <v>60</v>
      </c>
      <c r="L1624" t="s">
        <v>52</v>
      </c>
      <c r="M1624" s="8">
        <v>2287.9580000000001</v>
      </c>
      <c r="N1624" s="7">
        <v>11439.79</v>
      </c>
      <c r="O1624" t="s">
        <v>46</v>
      </c>
      <c r="P1624" t="s">
        <v>40</v>
      </c>
    </row>
    <row r="1625" spans="1:16" x14ac:dyDescent="0.25">
      <c r="A1625" s="5">
        <v>45928</v>
      </c>
      <c r="B1625" t="s">
        <v>32</v>
      </c>
      <c r="C1625" t="s">
        <v>33</v>
      </c>
      <c r="D1625" t="s">
        <v>34</v>
      </c>
      <c r="E1625" t="s">
        <v>107</v>
      </c>
      <c r="F1625" t="s">
        <v>108</v>
      </c>
      <c r="G1625" t="s">
        <v>1752</v>
      </c>
      <c r="H1625" s="6">
        <v>45</v>
      </c>
      <c r="I1625" s="7">
        <v>51.94</v>
      </c>
      <c r="J1625" s="7">
        <v>2337.11</v>
      </c>
      <c r="K1625" s="6">
        <v>60</v>
      </c>
      <c r="L1625" t="s">
        <v>52</v>
      </c>
      <c r="M1625" s="8">
        <v>467.42200000000003</v>
      </c>
      <c r="N1625" s="7">
        <v>2337.11</v>
      </c>
      <c r="O1625" t="s">
        <v>46</v>
      </c>
      <c r="P1625" t="s">
        <v>40</v>
      </c>
    </row>
    <row r="1626" spans="1:16" x14ac:dyDescent="0.25">
      <c r="A1626" s="5">
        <v>45708</v>
      </c>
      <c r="B1626" t="s">
        <v>32</v>
      </c>
      <c r="C1626" t="s">
        <v>33</v>
      </c>
      <c r="D1626" t="s">
        <v>34</v>
      </c>
      <c r="E1626" t="s">
        <v>115</v>
      </c>
      <c r="F1626" t="s">
        <v>60</v>
      </c>
      <c r="G1626" t="s">
        <v>1753</v>
      </c>
      <c r="H1626" s="6">
        <v>7</v>
      </c>
      <c r="I1626" s="7">
        <v>616.42999999999995</v>
      </c>
      <c r="J1626" s="7">
        <v>4315</v>
      </c>
      <c r="K1626" s="6">
        <v>30</v>
      </c>
      <c r="L1626" t="s">
        <v>45</v>
      </c>
      <c r="M1626" s="8">
        <v>863</v>
      </c>
      <c r="N1626" s="7">
        <v>4315</v>
      </c>
      <c r="O1626" t="s">
        <v>46</v>
      </c>
      <c r="P1626" t="s">
        <v>40</v>
      </c>
    </row>
    <row r="1627" spans="1:16" x14ac:dyDescent="0.25">
      <c r="A1627" s="5">
        <v>45834</v>
      </c>
      <c r="B1627" t="s">
        <v>100</v>
      </c>
      <c r="C1627" t="s">
        <v>101</v>
      </c>
      <c r="D1627" t="s">
        <v>69</v>
      </c>
      <c r="E1627" t="s">
        <v>204</v>
      </c>
      <c r="F1627" t="s">
        <v>97</v>
      </c>
      <c r="G1627" t="s">
        <v>1754</v>
      </c>
      <c r="H1627" s="6">
        <v>69</v>
      </c>
      <c r="I1627" s="7">
        <v>543.38</v>
      </c>
      <c r="J1627" s="7">
        <v>37493.22</v>
      </c>
      <c r="K1627" s="6">
        <v>60</v>
      </c>
      <c r="L1627" t="s">
        <v>52</v>
      </c>
      <c r="M1627" s="8">
        <v>7498.6440000000002</v>
      </c>
      <c r="N1627" s="7">
        <v>37493.22</v>
      </c>
      <c r="O1627" t="s">
        <v>46</v>
      </c>
      <c r="P1627" t="s">
        <v>40</v>
      </c>
    </row>
    <row r="1628" spans="1:16" x14ac:dyDescent="0.25">
      <c r="A1628" s="5">
        <v>45723</v>
      </c>
      <c r="B1628" t="s">
        <v>113</v>
      </c>
      <c r="C1628" t="s">
        <v>114</v>
      </c>
      <c r="D1628" t="s">
        <v>69</v>
      </c>
      <c r="E1628" t="s">
        <v>129</v>
      </c>
      <c r="F1628" t="s">
        <v>108</v>
      </c>
      <c r="G1628" t="s">
        <v>1755</v>
      </c>
      <c r="H1628" s="6">
        <v>34</v>
      </c>
      <c r="I1628" s="7">
        <v>58.64</v>
      </c>
      <c r="J1628" s="7">
        <v>1993.85</v>
      </c>
      <c r="K1628" s="6">
        <v>30</v>
      </c>
      <c r="L1628" t="s">
        <v>52</v>
      </c>
      <c r="M1628" s="8">
        <v>398.77</v>
      </c>
      <c r="N1628" s="7">
        <v>1993.85</v>
      </c>
      <c r="O1628" t="s">
        <v>46</v>
      </c>
      <c r="P1628" t="s">
        <v>40</v>
      </c>
    </row>
    <row r="1629" spans="1:16" x14ac:dyDescent="0.25">
      <c r="A1629" s="5">
        <v>45722</v>
      </c>
      <c r="B1629" t="s">
        <v>143</v>
      </c>
      <c r="C1629" t="s">
        <v>144</v>
      </c>
      <c r="D1629" t="s">
        <v>69</v>
      </c>
      <c r="E1629" t="s">
        <v>124</v>
      </c>
      <c r="F1629" t="s">
        <v>89</v>
      </c>
      <c r="G1629" t="s">
        <v>1756</v>
      </c>
      <c r="H1629" s="6">
        <v>19</v>
      </c>
      <c r="I1629" s="7">
        <v>364.13</v>
      </c>
      <c r="J1629" s="7">
        <v>6918.5</v>
      </c>
      <c r="K1629" s="6">
        <v>45</v>
      </c>
      <c r="L1629" t="s">
        <v>52</v>
      </c>
      <c r="M1629" s="8">
        <v>1383.7</v>
      </c>
      <c r="N1629" s="7">
        <v>6918.5</v>
      </c>
      <c r="O1629" t="s">
        <v>46</v>
      </c>
      <c r="P1629" t="s">
        <v>40</v>
      </c>
    </row>
    <row r="1630" spans="1:16" x14ac:dyDescent="0.25">
      <c r="A1630" s="5">
        <v>45985</v>
      </c>
      <c r="B1630" t="s">
        <v>32</v>
      </c>
      <c r="C1630" t="s">
        <v>33</v>
      </c>
      <c r="D1630" t="s">
        <v>34</v>
      </c>
      <c r="E1630" t="s">
        <v>59</v>
      </c>
      <c r="F1630" t="s">
        <v>60</v>
      </c>
      <c r="G1630" t="s">
        <v>1757</v>
      </c>
      <c r="H1630" s="6">
        <v>48</v>
      </c>
      <c r="I1630" s="7">
        <v>228.37</v>
      </c>
      <c r="J1630" s="7">
        <v>10961.55</v>
      </c>
      <c r="K1630" s="6">
        <v>60</v>
      </c>
      <c r="L1630" t="s">
        <v>38</v>
      </c>
      <c r="M1630" s="8">
        <v>2192.31</v>
      </c>
      <c r="N1630" s="7">
        <v>10961.55</v>
      </c>
      <c r="O1630" t="s">
        <v>39</v>
      </c>
      <c r="P1630" t="s">
        <v>40</v>
      </c>
    </row>
    <row r="1631" spans="1:16" x14ac:dyDescent="0.25">
      <c r="A1631" s="5">
        <v>45892</v>
      </c>
      <c r="B1631" t="s">
        <v>121</v>
      </c>
      <c r="C1631" t="s">
        <v>122</v>
      </c>
      <c r="D1631" t="s">
        <v>34</v>
      </c>
      <c r="E1631" t="s">
        <v>105</v>
      </c>
      <c r="F1631" t="s">
        <v>97</v>
      </c>
      <c r="G1631" t="s">
        <v>1758</v>
      </c>
      <c r="H1631" s="6">
        <v>24</v>
      </c>
      <c r="I1631" s="7">
        <v>479.53</v>
      </c>
      <c r="J1631" s="7">
        <v>11508.74</v>
      </c>
      <c r="K1631" s="6">
        <v>45</v>
      </c>
      <c r="L1631" t="s">
        <v>45</v>
      </c>
      <c r="M1631" s="8">
        <v>2301.748</v>
      </c>
      <c r="N1631" s="7">
        <v>11508.74</v>
      </c>
      <c r="O1631" t="s">
        <v>46</v>
      </c>
      <c r="P1631" t="s">
        <v>40</v>
      </c>
    </row>
    <row r="1632" spans="1:16" x14ac:dyDescent="0.25">
      <c r="A1632" s="5">
        <v>45877</v>
      </c>
      <c r="B1632" t="s">
        <v>201</v>
      </c>
      <c r="C1632" t="s">
        <v>202</v>
      </c>
      <c r="D1632" t="s">
        <v>64</v>
      </c>
      <c r="E1632" t="s">
        <v>149</v>
      </c>
      <c r="F1632" t="s">
        <v>60</v>
      </c>
      <c r="G1632" t="s">
        <v>1759</v>
      </c>
      <c r="H1632" s="6">
        <v>67</v>
      </c>
      <c r="I1632" s="7">
        <v>287.20999999999998</v>
      </c>
      <c r="J1632" s="7">
        <v>19243.400000000001</v>
      </c>
      <c r="K1632" s="6">
        <v>60</v>
      </c>
      <c r="L1632" t="s">
        <v>38</v>
      </c>
      <c r="M1632" s="8">
        <v>3848.68</v>
      </c>
      <c r="N1632" s="7">
        <v>19243.400000000001</v>
      </c>
      <c r="O1632" t="s">
        <v>46</v>
      </c>
      <c r="P1632" t="s">
        <v>40</v>
      </c>
    </row>
    <row r="1633" spans="1:16" x14ac:dyDescent="0.25">
      <c r="A1633" s="5">
        <v>45866</v>
      </c>
      <c r="B1633" t="s">
        <v>121</v>
      </c>
      <c r="C1633" t="s">
        <v>122</v>
      </c>
      <c r="D1633" t="s">
        <v>34</v>
      </c>
      <c r="E1633" t="s">
        <v>75</v>
      </c>
      <c r="F1633" t="s">
        <v>36</v>
      </c>
      <c r="G1633" t="s">
        <v>1760</v>
      </c>
      <c r="H1633" s="6">
        <v>41</v>
      </c>
      <c r="I1633" s="7">
        <v>40.81</v>
      </c>
      <c r="J1633" s="7">
        <v>1673.15</v>
      </c>
      <c r="K1633" s="6">
        <v>30</v>
      </c>
      <c r="L1633" t="s">
        <v>52</v>
      </c>
      <c r="M1633" s="8">
        <v>334.63</v>
      </c>
      <c r="N1633" s="7">
        <v>1673.15</v>
      </c>
      <c r="O1633" t="s">
        <v>46</v>
      </c>
      <c r="P1633" t="s">
        <v>40</v>
      </c>
    </row>
    <row r="1634" spans="1:16" x14ac:dyDescent="0.25">
      <c r="A1634" s="5">
        <v>45780</v>
      </c>
      <c r="B1634" t="s">
        <v>201</v>
      </c>
      <c r="C1634" t="s">
        <v>202</v>
      </c>
      <c r="D1634" t="s">
        <v>64</v>
      </c>
      <c r="E1634" t="s">
        <v>43</v>
      </c>
      <c r="F1634" t="s">
        <v>36</v>
      </c>
      <c r="G1634" t="s">
        <v>1761</v>
      </c>
      <c r="H1634" s="6">
        <v>12</v>
      </c>
      <c r="I1634" s="7">
        <v>45.62</v>
      </c>
      <c r="J1634" s="7">
        <v>547.49</v>
      </c>
      <c r="K1634" s="6">
        <v>30</v>
      </c>
      <c r="L1634" t="s">
        <v>52</v>
      </c>
      <c r="M1634" s="8">
        <v>109.498</v>
      </c>
      <c r="N1634" s="7">
        <v>547.49</v>
      </c>
      <c r="O1634" t="s">
        <v>46</v>
      </c>
      <c r="P1634" t="s">
        <v>40</v>
      </c>
    </row>
    <row r="1635" spans="1:16" x14ac:dyDescent="0.25">
      <c r="A1635" s="5">
        <v>45804</v>
      </c>
      <c r="B1635" t="s">
        <v>62</v>
      </c>
      <c r="C1635" t="s">
        <v>63</v>
      </c>
      <c r="D1635" t="s">
        <v>64</v>
      </c>
      <c r="E1635" t="s">
        <v>43</v>
      </c>
      <c r="F1635" t="s">
        <v>36</v>
      </c>
      <c r="G1635" t="s">
        <v>1762</v>
      </c>
      <c r="H1635" s="6">
        <v>71</v>
      </c>
      <c r="I1635" s="7">
        <v>114.53</v>
      </c>
      <c r="J1635" s="7">
        <v>8131.87</v>
      </c>
      <c r="K1635" s="6">
        <v>45</v>
      </c>
      <c r="L1635" t="s">
        <v>38</v>
      </c>
      <c r="M1635" s="8">
        <v>1626.374</v>
      </c>
      <c r="N1635" s="7">
        <v>8131.87</v>
      </c>
      <c r="O1635" t="s">
        <v>46</v>
      </c>
      <c r="P1635" t="s">
        <v>40</v>
      </c>
    </row>
    <row r="1636" spans="1:16" x14ac:dyDescent="0.25">
      <c r="A1636" s="5">
        <v>45912</v>
      </c>
      <c r="B1636" t="s">
        <v>100</v>
      </c>
      <c r="C1636" t="s">
        <v>101</v>
      </c>
      <c r="D1636" t="s">
        <v>69</v>
      </c>
      <c r="E1636" t="s">
        <v>88</v>
      </c>
      <c r="F1636" t="s">
        <v>89</v>
      </c>
      <c r="G1636" t="s">
        <v>1763</v>
      </c>
      <c r="H1636" s="6">
        <v>66</v>
      </c>
      <c r="I1636" s="7">
        <v>149.72999999999999</v>
      </c>
      <c r="J1636" s="7">
        <v>9882.15</v>
      </c>
      <c r="K1636" s="6">
        <v>60</v>
      </c>
      <c r="L1636" t="s">
        <v>52</v>
      </c>
      <c r="M1636" s="8">
        <v>1976.43</v>
      </c>
      <c r="N1636" s="7">
        <v>9882.15</v>
      </c>
      <c r="O1636" t="s">
        <v>46</v>
      </c>
      <c r="P1636" t="s">
        <v>40</v>
      </c>
    </row>
    <row r="1637" spans="1:16" x14ac:dyDescent="0.25">
      <c r="A1637" s="5">
        <v>45665</v>
      </c>
      <c r="B1637" t="s">
        <v>121</v>
      </c>
      <c r="C1637" t="s">
        <v>122</v>
      </c>
      <c r="D1637" t="s">
        <v>34</v>
      </c>
      <c r="E1637" t="s">
        <v>75</v>
      </c>
      <c r="F1637" t="s">
        <v>36</v>
      </c>
      <c r="G1637" t="s">
        <v>1764</v>
      </c>
      <c r="H1637" s="6">
        <v>79</v>
      </c>
      <c r="I1637" s="7">
        <v>52.06</v>
      </c>
      <c r="J1637" s="7">
        <v>4112.67</v>
      </c>
      <c r="K1637" s="6">
        <v>30</v>
      </c>
      <c r="L1637" t="s">
        <v>52</v>
      </c>
      <c r="M1637" s="8">
        <v>822.53399999999999</v>
      </c>
      <c r="N1637" s="7">
        <v>4112.67</v>
      </c>
      <c r="O1637" t="s">
        <v>46</v>
      </c>
      <c r="P1637" t="s">
        <v>40</v>
      </c>
    </row>
    <row r="1638" spans="1:16" x14ac:dyDescent="0.25">
      <c r="A1638" s="5">
        <v>45931</v>
      </c>
      <c r="B1638" t="s">
        <v>47</v>
      </c>
      <c r="C1638" t="s">
        <v>48</v>
      </c>
      <c r="D1638" t="s">
        <v>34</v>
      </c>
      <c r="E1638" t="s">
        <v>105</v>
      </c>
      <c r="F1638" t="s">
        <v>97</v>
      </c>
      <c r="G1638" t="s">
        <v>1765</v>
      </c>
      <c r="H1638" s="6">
        <v>45</v>
      </c>
      <c r="I1638" s="7">
        <v>177.41</v>
      </c>
      <c r="J1638" s="7">
        <v>7983.46</v>
      </c>
      <c r="K1638" s="6">
        <v>30</v>
      </c>
      <c r="L1638" t="s">
        <v>52</v>
      </c>
      <c r="M1638" s="8">
        <v>1596.692</v>
      </c>
      <c r="N1638" s="7">
        <v>7983.46</v>
      </c>
      <c r="O1638" t="s">
        <v>46</v>
      </c>
      <c r="P1638" t="s">
        <v>40</v>
      </c>
    </row>
    <row r="1639" spans="1:16" x14ac:dyDescent="0.25">
      <c r="A1639" s="5">
        <v>45887</v>
      </c>
      <c r="B1639" t="s">
        <v>143</v>
      </c>
      <c r="C1639" t="s">
        <v>144</v>
      </c>
      <c r="D1639" t="s">
        <v>69</v>
      </c>
      <c r="E1639" t="s">
        <v>152</v>
      </c>
      <c r="F1639" t="s">
        <v>50</v>
      </c>
      <c r="G1639" t="s">
        <v>1766</v>
      </c>
      <c r="H1639" s="6">
        <v>22</v>
      </c>
      <c r="I1639" s="7">
        <v>151.47999999999999</v>
      </c>
      <c r="J1639" s="7">
        <v>3332.62</v>
      </c>
      <c r="K1639" s="6">
        <v>60</v>
      </c>
      <c r="L1639" t="s">
        <v>52</v>
      </c>
      <c r="M1639" s="8">
        <v>666.524</v>
      </c>
      <c r="N1639" s="7">
        <v>3332.62</v>
      </c>
      <c r="O1639" t="s">
        <v>46</v>
      </c>
      <c r="P1639" t="s">
        <v>40</v>
      </c>
    </row>
    <row r="1640" spans="1:16" x14ac:dyDescent="0.25">
      <c r="A1640" s="5">
        <v>45845</v>
      </c>
      <c r="B1640" t="s">
        <v>103</v>
      </c>
      <c r="C1640" t="s">
        <v>104</v>
      </c>
      <c r="D1640" t="s">
        <v>58</v>
      </c>
      <c r="E1640" t="s">
        <v>154</v>
      </c>
      <c r="F1640" t="s">
        <v>89</v>
      </c>
      <c r="G1640" t="s">
        <v>1767</v>
      </c>
      <c r="H1640" s="6">
        <v>18</v>
      </c>
      <c r="I1640" s="7">
        <v>559.66999999999996</v>
      </c>
      <c r="J1640" s="7">
        <v>10074.040000000001</v>
      </c>
      <c r="K1640" s="6">
        <v>60</v>
      </c>
      <c r="L1640" t="s">
        <v>45</v>
      </c>
      <c r="M1640" s="8">
        <v>2014.808</v>
      </c>
      <c r="N1640" s="7">
        <v>10074.040000000001</v>
      </c>
      <c r="O1640" t="s">
        <v>39</v>
      </c>
      <c r="P1640" t="s">
        <v>40</v>
      </c>
    </row>
    <row r="1641" spans="1:16" x14ac:dyDescent="0.25">
      <c r="A1641" s="5">
        <v>45852</v>
      </c>
      <c r="B1641" t="s">
        <v>32</v>
      </c>
      <c r="C1641" t="s">
        <v>33</v>
      </c>
      <c r="D1641" t="s">
        <v>34</v>
      </c>
      <c r="E1641" t="s">
        <v>96</v>
      </c>
      <c r="F1641" t="s">
        <v>97</v>
      </c>
      <c r="G1641" t="s">
        <v>1768</v>
      </c>
      <c r="H1641" s="6">
        <v>22</v>
      </c>
      <c r="I1641" s="7">
        <v>166.77</v>
      </c>
      <c r="J1641" s="7">
        <v>3669.03</v>
      </c>
      <c r="K1641" s="6">
        <v>45</v>
      </c>
      <c r="L1641" t="s">
        <v>38</v>
      </c>
      <c r="M1641" s="8">
        <v>733.80600000000004</v>
      </c>
      <c r="N1641" s="7">
        <v>3669.03</v>
      </c>
      <c r="O1641" t="s">
        <v>46</v>
      </c>
      <c r="P1641" t="s">
        <v>40</v>
      </c>
    </row>
    <row r="1642" spans="1:16" x14ac:dyDescent="0.25">
      <c r="A1642" s="5">
        <v>45718</v>
      </c>
      <c r="B1642" t="s">
        <v>94</v>
      </c>
      <c r="C1642" t="s">
        <v>95</v>
      </c>
      <c r="D1642" t="s">
        <v>34</v>
      </c>
      <c r="E1642" t="s">
        <v>53</v>
      </c>
      <c r="F1642" t="s">
        <v>54</v>
      </c>
      <c r="G1642" t="s">
        <v>1769</v>
      </c>
      <c r="H1642" s="6">
        <v>38</v>
      </c>
      <c r="I1642" s="7">
        <v>253.35</v>
      </c>
      <c r="J1642" s="7">
        <v>9627.39</v>
      </c>
      <c r="K1642" s="6">
        <v>45</v>
      </c>
      <c r="L1642" t="s">
        <v>45</v>
      </c>
      <c r="M1642" s="8">
        <v>1925.4780000000001</v>
      </c>
      <c r="N1642" s="7">
        <v>9627.39</v>
      </c>
      <c r="O1642" t="s">
        <v>46</v>
      </c>
      <c r="P1642" t="s">
        <v>40</v>
      </c>
    </row>
    <row r="1643" spans="1:16" x14ac:dyDescent="0.25">
      <c r="A1643" s="5">
        <v>45659</v>
      </c>
      <c r="B1643" t="s">
        <v>85</v>
      </c>
      <c r="C1643" t="s">
        <v>86</v>
      </c>
      <c r="D1643" t="s">
        <v>58</v>
      </c>
      <c r="E1643" t="s">
        <v>59</v>
      </c>
      <c r="F1643" t="s">
        <v>60</v>
      </c>
      <c r="G1643" t="s">
        <v>1770</v>
      </c>
      <c r="H1643" s="6">
        <v>73</v>
      </c>
      <c r="I1643" s="7">
        <v>478.35</v>
      </c>
      <c r="J1643" s="7">
        <v>34919.769999999997</v>
      </c>
      <c r="K1643" s="6">
        <v>45</v>
      </c>
      <c r="L1643" t="s">
        <v>38</v>
      </c>
      <c r="M1643" s="8">
        <v>6983.9539999999997</v>
      </c>
      <c r="N1643" s="7">
        <v>34919.769999999997</v>
      </c>
      <c r="O1643" t="s">
        <v>39</v>
      </c>
      <c r="P1643" t="s">
        <v>40</v>
      </c>
    </row>
    <row r="1644" spans="1:16" x14ac:dyDescent="0.25">
      <c r="A1644" s="5">
        <v>45974</v>
      </c>
      <c r="B1644" t="s">
        <v>91</v>
      </c>
      <c r="C1644" t="s">
        <v>92</v>
      </c>
      <c r="D1644" t="s">
        <v>64</v>
      </c>
      <c r="E1644" t="s">
        <v>210</v>
      </c>
      <c r="F1644" t="s">
        <v>50</v>
      </c>
      <c r="G1644" t="s">
        <v>1771</v>
      </c>
      <c r="H1644" s="6">
        <v>63</v>
      </c>
      <c r="I1644" s="7">
        <v>114.86</v>
      </c>
      <c r="J1644" s="7">
        <v>7236</v>
      </c>
      <c r="K1644" s="6">
        <v>30</v>
      </c>
      <c r="L1644" t="s">
        <v>45</v>
      </c>
      <c r="M1644" s="8">
        <v>1447.2</v>
      </c>
      <c r="N1644" s="7">
        <v>7236</v>
      </c>
      <c r="O1644" t="s">
        <v>46</v>
      </c>
      <c r="P1644" t="s">
        <v>40</v>
      </c>
    </row>
    <row r="1645" spans="1:16" x14ac:dyDescent="0.25">
      <c r="A1645" s="5">
        <v>45810</v>
      </c>
      <c r="B1645" t="s">
        <v>118</v>
      </c>
      <c r="C1645" t="s">
        <v>119</v>
      </c>
      <c r="D1645" t="s">
        <v>64</v>
      </c>
      <c r="E1645" t="s">
        <v>139</v>
      </c>
      <c r="F1645" t="s">
        <v>108</v>
      </c>
      <c r="G1645" t="s">
        <v>1772</v>
      </c>
      <c r="H1645" s="6">
        <v>46</v>
      </c>
      <c r="I1645" s="7">
        <v>96.19</v>
      </c>
      <c r="J1645" s="7">
        <v>4424.59</v>
      </c>
      <c r="K1645" s="6">
        <v>30</v>
      </c>
      <c r="L1645" t="s">
        <v>38</v>
      </c>
      <c r="M1645" s="8">
        <v>884.91800000000001</v>
      </c>
      <c r="N1645" s="7">
        <v>4424.59</v>
      </c>
      <c r="O1645" t="s">
        <v>46</v>
      </c>
      <c r="P1645" t="s">
        <v>40</v>
      </c>
    </row>
    <row r="1646" spans="1:16" x14ac:dyDescent="0.25">
      <c r="A1646" s="5">
        <v>45839</v>
      </c>
      <c r="B1646" t="s">
        <v>47</v>
      </c>
      <c r="C1646" t="s">
        <v>48</v>
      </c>
      <c r="D1646" t="s">
        <v>34</v>
      </c>
      <c r="E1646" t="s">
        <v>944</v>
      </c>
      <c r="F1646" t="s">
        <v>89</v>
      </c>
      <c r="G1646" t="s">
        <v>1773</v>
      </c>
      <c r="H1646" s="6">
        <v>2</v>
      </c>
      <c r="I1646" s="7">
        <v>100.35</v>
      </c>
      <c r="J1646" s="7">
        <v>200.7</v>
      </c>
      <c r="K1646" s="6">
        <v>30</v>
      </c>
      <c r="L1646" t="s">
        <v>45</v>
      </c>
      <c r="M1646" s="8">
        <v>40.14</v>
      </c>
      <c r="N1646" s="7">
        <v>200.7</v>
      </c>
      <c r="O1646" t="s">
        <v>46</v>
      </c>
      <c r="P1646" t="s">
        <v>40</v>
      </c>
    </row>
    <row r="1647" spans="1:16" x14ac:dyDescent="0.25">
      <c r="A1647" s="5">
        <v>45928</v>
      </c>
      <c r="B1647" t="s">
        <v>85</v>
      </c>
      <c r="C1647" t="s">
        <v>86</v>
      </c>
      <c r="D1647" t="s">
        <v>58</v>
      </c>
      <c r="E1647" t="s">
        <v>135</v>
      </c>
      <c r="F1647" t="s">
        <v>54</v>
      </c>
      <c r="G1647" t="s">
        <v>1774</v>
      </c>
      <c r="H1647" s="6">
        <v>66</v>
      </c>
      <c r="I1647" s="7">
        <v>316.41000000000003</v>
      </c>
      <c r="J1647" s="7">
        <v>20882.87</v>
      </c>
      <c r="K1647" s="6">
        <v>30</v>
      </c>
      <c r="L1647" t="s">
        <v>45</v>
      </c>
      <c r="M1647" s="8">
        <v>4176.5739999999996</v>
      </c>
      <c r="N1647" s="7">
        <v>20882.87</v>
      </c>
      <c r="O1647" t="s">
        <v>46</v>
      </c>
      <c r="P1647" t="s">
        <v>40</v>
      </c>
    </row>
    <row r="1648" spans="1:16" x14ac:dyDescent="0.25">
      <c r="A1648" s="5">
        <v>45737</v>
      </c>
      <c r="B1648" t="s">
        <v>85</v>
      </c>
      <c r="C1648" t="s">
        <v>86</v>
      </c>
      <c r="D1648" t="s">
        <v>58</v>
      </c>
      <c r="E1648" t="s">
        <v>107</v>
      </c>
      <c r="F1648" t="s">
        <v>108</v>
      </c>
      <c r="G1648" t="s">
        <v>1775</v>
      </c>
      <c r="H1648" s="6">
        <v>33</v>
      </c>
      <c r="I1648" s="7">
        <v>67.66</v>
      </c>
      <c r="J1648" s="7">
        <v>2232.92</v>
      </c>
      <c r="K1648" s="6">
        <v>30</v>
      </c>
      <c r="L1648" t="s">
        <v>45</v>
      </c>
      <c r="M1648" s="8">
        <v>446.584</v>
      </c>
      <c r="N1648" s="7">
        <v>2232.92</v>
      </c>
      <c r="O1648" t="s">
        <v>46</v>
      </c>
      <c r="P1648" t="s">
        <v>40</v>
      </c>
    </row>
    <row r="1649" spans="1:16" x14ac:dyDescent="0.25">
      <c r="A1649" s="5">
        <v>45844</v>
      </c>
      <c r="B1649" t="s">
        <v>118</v>
      </c>
      <c r="C1649" t="s">
        <v>119</v>
      </c>
      <c r="D1649" t="s">
        <v>64</v>
      </c>
      <c r="E1649" t="s">
        <v>132</v>
      </c>
      <c r="F1649" t="s">
        <v>71</v>
      </c>
      <c r="G1649" t="s">
        <v>1776</v>
      </c>
      <c r="H1649" s="6">
        <v>55</v>
      </c>
      <c r="I1649" s="7">
        <v>163.37</v>
      </c>
      <c r="J1649" s="7">
        <v>8985.4500000000007</v>
      </c>
      <c r="K1649" s="6">
        <v>30</v>
      </c>
      <c r="L1649" t="s">
        <v>52</v>
      </c>
      <c r="M1649" s="8">
        <v>1797.09</v>
      </c>
      <c r="N1649" s="7">
        <v>8985.4500000000007</v>
      </c>
      <c r="O1649" t="s">
        <v>46</v>
      </c>
      <c r="P1649" t="s">
        <v>40</v>
      </c>
    </row>
    <row r="1650" spans="1:16" x14ac:dyDescent="0.25">
      <c r="A1650" s="5">
        <v>45994</v>
      </c>
      <c r="B1650" t="s">
        <v>85</v>
      </c>
      <c r="C1650" t="s">
        <v>86</v>
      </c>
      <c r="D1650" t="s">
        <v>58</v>
      </c>
      <c r="E1650" t="s">
        <v>75</v>
      </c>
      <c r="F1650" t="s">
        <v>36</v>
      </c>
      <c r="G1650" t="s">
        <v>1777</v>
      </c>
      <c r="H1650" s="6">
        <v>57</v>
      </c>
      <c r="I1650" s="7">
        <v>124.89</v>
      </c>
      <c r="J1650" s="7">
        <v>7118.85</v>
      </c>
      <c r="K1650" s="6">
        <v>30</v>
      </c>
      <c r="L1650" t="s">
        <v>38</v>
      </c>
      <c r="M1650" s="8">
        <v>1423.77</v>
      </c>
      <c r="N1650" s="7">
        <v>7118.85</v>
      </c>
      <c r="O1650" t="s">
        <v>46</v>
      </c>
      <c r="P1650" t="s">
        <v>40</v>
      </c>
    </row>
    <row r="1651" spans="1:16" x14ac:dyDescent="0.25">
      <c r="A1651" s="5">
        <v>45841</v>
      </c>
      <c r="B1651" t="s">
        <v>56</v>
      </c>
      <c r="C1651" t="s">
        <v>57</v>
      </c>
      <c r="D1651" t="s">
        <v>58</v>
      </c>
      <c r="E1651" t="s">
        <v>204</v>
      </c>
      <c r="F1651" t="s">
        <v>97</v>
      </c>
      <c r="G1651" t="s">
        <v>1778</v>
      </c>
      <c r="H1651" s="6">
        <v>26</v>
      </c>
      <c r="I1651" s="7">
        <v>1246.43</v>
      </c>
      <c r="J1651" s="7">
        <v>32407.3</v>
      </c>
      <c r="K1651" s="6">
        <v>30</v>
      </c>
      <c r="L1651" t="s">
        <v>38</v>
      </c>
      <c r="M1651" s="8">
        <v>6481.46</v>
      </c>
      <c r="N1651" s="7">
        <v>32407.3</v>
      </c>
      <c r="O1651" t="s">
        <v>46</v>
      </c>
      <c r="P1651" t="s">
        <v>40</v>
      </c>
    </row>
    <row r="1652" spans="1:16" x14ac:dyDescent="0.25">
      <c r="A1652" s="5">
        <v>45860</v>
      </c>
      <c r="B1652" t="s">
        <v>56</v>
      </c>
      <c r="C1652" t="s">
        <v>57</v>
      </c>
      <c r="D1652" t="s">
        <v>58</v>
      </c>
      <c r="E1652" t="s">
        <v>49</v>
      </c>
      <c r="F1652" t="s">
        <v>50</v>
      </c>
      <c r="G1652" t="s">
        <v>1779</v>
      </c>
      <c r="H1652" s="6">
        <v>54</v>
      </c>
      <c r="I1652" s="7">
        <v>165.06</v>
      </c>
      <c r="J1652" s="7">
        <v>8913.07</v>
      </c>
      <c r="K1652" s="6">
        <v>60</v>
      </c>
      <c r="L1652" t="s">
        <v>45</v>
      </c>
      <c r="M1652" s="8">
        <v>1782.614</v>
      </c>
      <c r="N1652" s="7">
        <v>8913.07</v>
      </c>
      <c r="O1652" t="s">
        <v>39</v>
      </c>
      <c r="P1652" t="s">
        <v>40</v>
      </c>
    </row>
    <row r="1653" spans="1:16" x14ac:dyDescent="0.25">
      <c r="A1653" s="5">
        <v>45759</v>
      </c>
      <c r="B1653" t="s">
        <v>201</v>
      </c>
      <c r="C1653" t="s">
        <v>202</v>
      </c>
      <c r="D1653" t="s">
        <v>64</v>
      </c>
      <c r="E1653" t="s">
        <v>124</v>
      </c>
      <c r="F1653" t="s">
        <v>89</v>
      </c>
      <c r="G1653" t="s">
        <v>1780</v>
      </c>
      <c r="H1653" s="6">
        <v>62</v>
      </c>
      <c r="I1653" s="7">
        <v>215.32</v>
      </c>
      <c r="J1653" s="7">
        <v>13350.1</v>
      </c>
      <c r="K1653" s="6">
        <v>60</v>
      </c>
      <c r="L1653" t="s">
        <v>45</v>
      </c>
      <c r="M1653" s="8">
        <v>2670.02</v>
      </c>
      <c r="N1653" s="7">
        <v>13350.1</v>
      </c>
      <c r="O1653" t="s">
        <v>46</v>
      </c>
      <c r="P1653" t="s">
        <v>40</v>
      </c>
    </row>
    <row r="1654" spans="1:16" x14ac:dyDescent="0.25">
      <c r="A1654" s="5">
        <v>45939</v>
      </c>
      <c r="B1654" t="s">
        <v>121</v>
      </c>
      <c r="C1654" t="s">
        <v>122</v>
      </c>
      <c r="D1654" t="s">
        <v>34</v>
      </c>
      <c r="E1654" t="s">
        <v>96</v>
      </c>
      <c r="F1654" t="s">
        <v>97</v>
      </c>
      <c r="G1654" t="s">
        <v>1781</v>
      </c>
      <c r="H1654" s="6">
        <v>64</v>
      </c>
      <c r="I1654" s="7">
        <v>333.85</v>
      </c>
      <c r="J1654" s="7">
        <v>21366.44</v>
      </c>
      <c r="K1654" s="6">
        <v>60</v>
      </c>
      <c r="L1654" t="s">
        <v>52</v>
      </c>
      <c r="M1654" s="8">
        <v>4273.2879999999996</v>
      </c>
      <c r="N1654" s="7">
        <v>21366.44</v>
      </c>
      <c r="O1654" t="s">
        <v>46</v>
      </c>
      <c r="P1654" t="s">
        <v>40</v>
      </c>
    </row>
    <row r="1655" spans="1:16" x14ac:dyDescent="0.25">
      <c r="A1655" s="5">
        <v>45914</v>
      </c>
      <c r="B1655" t="s">
        <v>80</v>
      </c>
      <c r="C1655" t="s">
        <v>81</v>
      </c>
      <c r="D1655" t="s">
        <v>64</v>
      </c>
      <c r="E1655" t="s">
        <v>132</v>
      </c>
      <c r="F1655" t="s">
        <v>71</v>
      </c>
      <c r="G1655" t="s">
        <v>1782</v>
      </c>
      <c r="H1655" s="6">
        <v>50</v>
      </c>
      <c r="I1655" s="7">
        <v>78.23</v>
      </c>
      <c r="J1655" s="7">
        <v>3911.43</v>
      </c>
      <c r="K1655" s="6">
        <v>30</v>
      </c>
      <c r="L1655" t="s">
        <v>38</v>
      </c>
      <c r="M1655" s="8">
        <v>782.28599999999994</v>
      </c>
      <c r="N1655" s="7">
        <v>3911.43</v>
      </c>
      <c r="O1655" t="s">
        <v>46</v>
      </c>
      <c r="P1655" t="s">
        <v>40</v>
      </c>
    </row>
    <row r="1656" spans="1:16" x14ac:dyDescent="0.25">
      <c r="A1656" s="5">
        <v>45737</v>
      </c>
      <c r="B1656" t="s">
        <v>201</v>
      </c>
      <c r="C1656" t="s">
        <v>202</v>
      </c>
      <c r="D1656" t="s">
        <v>64</v>
      </c>
      <c r="E1656" t="s">
        <v>49</v>
      </c>
      <c r="F1656" t="s">
        <v>50</v>
      </c>
      <c r="G1656" t="s">
        <v>1783</v>
      </c>
      <c r="H1656" s="6">
        <v>45</v>
      </c>
      <c r="I1656" s="7">
        <v>144.55000000000001</v>
      </c>
      <c r="J1656" s="7">
        <v>6504.96</v>
      </c>
      <c r="K1656" s="6">
        <v>60</v>
      </c>
      <c r="L1656" t="s">
        <v>38</v>
      </c>
      <c r="M1656" s="8">
        <v>1300.992</v>
      </c>
      <c r="N1656" s="7">
        <v>6504.96</v>
      </c>
      <c r="O1656" t="s">
        <v>39</v>
      </c>
      <c r="P1656" t="s">
        <v>40</v>
      </c>
    </row>
    <row r="1657" spans="1:16" x14ac:dyDescent="0.25">
      <c r="A1657" s="5">
        <v>46005</v>
      </c>
      <c r="B1657" t="s">
        <v>62</v>
      </c>
      <c r="C1657" t="s">
        <v>63</v>
      </c>
      <c r="D1657" t="s">
        <v>64</v>
      </c>
      <c r="E1657" t="s">
        <v>135</v>
      </c>
      <c r="F1657" t="s">
        <v>54</v>
      </c>
      <c r="G1657" t="s">
        <v>1784</v>
      </c>
      <c r="H1657" s="6">
        <v>44</v>
      </c>
      <c r="I1657" s="7">
        <v>212.51</v>
      </c>
      <c r="J1657" s="7">
        <v>9350.4500000000007</v>
      </c>
      <c r="K1657" s="6">
        <v>45</v>
      </c>
      <c r="L1657" t="s">
        <v>52</v>
      </c>
      <c r="M1657" s="8">
        <v>1870.09</v>
      </c>
      <c r="N1657" s="7">
        <v>9350.4500000000007</v>
      </c>
      <c r="O1657" t="s">
        <v>46</v>
      </c>
      <c r="P1657" t="s">
        <v>40</v>
      </c>
    </row>
    <row r="1658" spans="1:16" x14ac:dyDescent="0.25">
      <c r="A1658" s="5">
        <v>45903</v>
      </c>
      <c r="B1658" t="s">
        <v>47</v>
      </c>
      <c r="C1658" t="s">
        <v>48</v>
      </c>
      <c r="D1658" t="s">
        <v>34</v>
      </c>
      <c r="E1658" t="s">
        <v>210</v>
      </c>
      <c r="F1658" t="s">
        <v>50</v>
      </c>
      <c r="G1658" t="s">
        <v>1785</v>
      </c>
      <c r="H1658" s="6">
        <v>38</v>
      </c>
      <c r="I1658" s="7">
        <v>131.65</v>
      </c>
      <c r="J1658" s="7">
        <v>5002.6899999999996</v>
      </c>
      <c r="K1658" s="6">
        <v>45</v>
      </c>
      <c r="L1658" t="s">
        <v>45</v>
      </c>
      <c r="M1658" s="8">
        <v>1000.538</v>
      </c>
      <c r="N1658" s="7">
        <v>5002.6899999999996</v>
      </c>
      <c r="O1658" t="s">
        <v>46</v>
      </c>
      <c r="P1658" t="s">
        <v>40</v>
      </c>
    </row>
    <row r="1659" spans="1:16" x14ac:dyDescent="0.25">
      <c r="A1659" s="5">
        <v>45974</v>
      </c>
      <c r="B1659" t="s">
        <v>201</v>
      </c>
      <c r="C1659" t="s">
        <v>202</v>
      </c>
      <c r="D1659" t="s">
        <v>64</v>
      </c>
      <c r="E1659" t="s">
        <v>204</v>
      </c>
      <c r="F1659" t="s">
        <v>97</v>
      </c>
      <c r="G1659" t="s">
        <v>1786</v>
      </c>
      <c r="H1659" s="6">
        <v>20</v>
      </c>
      <c r="I1659" s="7">
        <v>619.22</v>
      </c>
      <c r="J1659" s="7">
        <v>12384.41</v>
      </c>
      <c r="K1659" s="6">
        <v>60</v>
      </c>
      <c r="L1659" t="s">
        <v>52</v>
      </c>
      <c r="M1659" s="8">
        <v>2476.8820000000001</v>
      </c>
      <c r="N1659" s="7">
        <v>12384.41</v>
      </c>
      <c r="O1659" t="s">
        <v>46</v>
      </c>
      <c r="P1659" t="s">
        <v>40</v>
      </c>
    </row>
    <row r="1660" spans="1:16" x14ac:dyDescent="0.25">
      <c r="A1660" s="5">
        <v>45716</v>
      </c>
      <c r="B1660" t="s">
        <v>103</v>
      </c>
      <c r="C1660" t="s">
        <v>104</v>
      </c>
      <c r="D1660" t="s">
        <v>58</v>
      </c>
      <c r="E1660" t="s">
        <v>65</v>
      </c>
      <c r="F1660" t="s">
        <v>54</v>
      </c>
      <c r="G1660" t="s">
        <v>1787</v>
      </c>
      <c r="H1660" s="6">
        <v>34</v>
      </c>
      <c r="I1660" s="7">
        <v>143.72</v>
      </c>
      <c r="J1660" s="7">
        <v>4886.46</v>
      </c>
      <c r="K1660" s="6">
        <v>60</v>
      </c>
      <c r="L1660" t="s">
        <v>38</v>
      </c>
      <c r="M1660" s="8">
        <v>977.29200000000003</v>
      </c>
      <c r="N1660" s="7">
        <v>4886.46</v>
      </c>
      <c r="O1660" t="s">
        <v>46</v>
      </c>
      <c r="P1660" t="s">
        <v>40</v>
      </c>
    </row>
    <row r="1661" spans="1:16" x14ac:dyDescent="0.25">
      <c r="A1661" s="5">
        <v>45900</v>
      </c>
      <c r="B1661" t="s">
        <v>118</v>
      </c>
      <c r="C1661" t="s">
        <v>119</v>
      </c>
      <c r="D1661" t="s">
        <v>64</v>
      </c>
      <c r="E1661" t="s">
        <v>204</v>
      </c>
      <c r="F1661" t="s">
        <v>97</v>
      </c>
      <c r="G1661" t="s">
        <v>1788</v>
      </c>
      <c r="H1661" s="6">
        <v>14</v>
      </c>
      <c r="I1661" s="7">
        <v>561.55999999999995</v>
      </c>
      <c r="J1661" s="7">
        <v>7861.82</v>
      </c>
      <c r="K1661" s="6">
        <v>60</v>
      </c>
      <c r="L1661" t="s">
        <v>52</v>
      </c>
      <c r="M1661" s="8">
        <v>1572.364</v>
      </c>
      <c r="N1661" s="7">
        <v>7861.82</v>
      </c>
      <c r="O1661" t="s">
        <v>46</v>
      </c>
      <c r="P1661" t="s">
        <v>40</v>
      </c>
    </row>
    <row r="1662" spans="1:16" x14ac:dyDescent="0.25">
      <c r="A1662" s="5">
        <v>45960</v>
      </c>
      <c r="B1662" t="s">
        <v>41</v>
      </c>
      <c r="C1662" t="s">
        <v>42</v>
      </c>
      <c r="D1662" t="s">
        <v>34</v>
      </c>
      <c r="E1662" t="s">
        <v>154</v>
      </c>
      <c r="F1662" t="s">
        <v>89</v>
      </c>
      <c r="G1662" t="s">
        <v>1789</v>
      </c>
      <c r="H1662" s="6">
        <v>20</v>
      </c>
      <c r="I1662" s="7">
        <v>371.43</v>
      </c>
      <c r="J1662" s="7">
        <v>7428.67</v>
      </c>
      <c r="K1662" s="6">
        <v>30</v>
      </c>
      <c r="L1662" t="s">
        <v>38</v>
      </c>
      <c r="M1662" s="8">
        <v>1485.7339999999999</v>
      </c>
      <c r="N1662" s="7">
        <v>7428.67</v>
      </c>
      <c r="O1662" t="s">
        <v>39</v>
      </c>
      <c r="P1662" t="s">
        <v>40</v>
      </c>
    </row>
    <row r="1663" spans="1:16" x14ac:dyDescent="0.25">
      <c r="A1663" s="5">
        <v>45798</v>
      </c>
      <c r="B1663" t="s">
        <v>110</v>
      </c>
      <c r="C1663" t="s">
        <v>111</v>
      </c>
      <c r="D1663" t="s">
        <v>58</v>
      </c>
      <c r="E1663" t="s">
        <v>204</v>
      </c>
      <c r="F1663" t="s">
        <v>97</v>
      </c>
      <c r="G1663" t="s">
        <v>1790</v>
      </c>
      <c r="H1663" s="6">
        <v>25</v>
      </c>
      <c r="I1663" s="7">
        <v>281.14</v>
      </c>
      <c r="J1663" s="7">
        <v>7028.44</v>
      </c>
      <c r="K1663" s="6">
        <v>30</v>
      </c>
      <c r="L1663" t="s">
        <v>45</v>
      </c>
      <c r="M1663" s="8">
        <v>1405.6880000000001</v>
      </c>
      <c r="N1663" s="7">
        <v>7028.44</v>
      </c>
      <c r="O1663" t="s">
        <v>46</v>
      </c>
      <c r="P1663" t="s">
        <v>40</v>
      </c>
    </row>
    <row r="1664" spans="1:16" x14ac:dyDescent="0.25">
      <c r="A1664" s="5">
        <v>45684</v>
      </c>
      <c r="B1664" t="s">
        <v>91</v>
      </c>
      <c r="C1664" t="s">
        <v>92</v>
      </c>
      <c r="D1664" t="s">
        <v>64</v>
      </c>
      <c r="E1664" t="s">
        <v>135</v>
      </c>
      <c r="F1664" t="s">
        <v>54</v>
      </c>
      <c r="G1664" t="s">
        <v>1791</v>
      </c>
      <c r="H1664" s="6">
        <v>49</v>
      </c>
      <c r="I1664" s="7">
        <v>77.819999999999993</v>
      </c>
      <c r="J1664" s="7">
        <v>3813.34</v>
      </c>
      <c r="K1664" s="6">
        <v>45</v>
      </c>
      <c r="L1664" t="s">
        <v>52</v>
      </c>
      <c r="M1664" s="8">
        <v>762.66800000000001</v>
      </c>
      <c r="N1664" s="7">
        <v>3813.34</v>
      </c>
      <c r="O1664" t="s">
        <v>46</v>
      </c>
      <c r="P1664" t="s">
        <v>40</v>
      </c>
    </row>
    <row r="1665" spans="1:16" x14ac:dyDescent="0.25">
      <c r="A1665" s="5">
        <v>45830</v>
      </c>
      <c r="B1665" t="s">
        <v>62</v>
      </c>
      <c r="C1665" t="s">
        <v>63</v>
      </c>
      <c r="D1665" t="s">
        <v>64</v>
      </c>
      <c r="E1665" t="s">
        <v>135</v>
      </c>
      <c r="F1665" t="s">
        <v>54</v>
      </c>
      <c r="G1665" t="s">
        <v>1792</v>
      </c>
      <c r="H1665" s="6">
        <v>55</v>
      </c>
      <c r="I1665" s="7">
        <v>178.96</v>
      </c>
      <c r="J1665" s="7">
        <v>9842.77</v>
      </c>
      <c r="K1665" s="6">
        <v>45</v>
      </c>
      <c r="L1665" t="s">
        <v>38</v>
      </c>
      <c r="M1665" s="8">
        <v>1968.5540000000001</v>
      </c>
      <c r="N1665" s="7">
        <v>9842.77</v>
      </c>
      <c r="O1665" t="s">
        <v>46</v>
      </c>
      <c r="P1665" t="s">
        <v>40</v>
      </c>
    </row>
    <row r="1666" spans="1:16" x14ac:dyDescent="0.25">
      <c r="A1666" s="5">
        <v>45684</v>
      </c>
      <c r="B1666" t="s">
        <v>67</v>
      </c>
      <c r="C1666" t="s">
        <v>68</v>
      </c>
      <c r="D1666" t="s">
        <v>69</v>
      </c>
      <c r="E1666" t="s">
        <v>105</v>
      </c>
      <c r="F1666" t="s">
        <v>97</v>
      </c>
      <c r="G1666" t="s">
        <v>1793</v>
      </c>
      <c r="H1666" s="6">
        <v>39</v>
      </c>
      <c r="I1666" s="7">
        <v>612.24</v>
      </c>
      <c r="J1666" s="7">
        <v>23877.48</v>
      </c>
      <c r="K1666" s="6">
        <v>30</v>
      </c>
      <c r="L1666" t="s">
        <v>45</v>
      </c>
      <c r="M1666" s="8">
        <v>4775.4960000000001</v>
      </c>
      <c r="N1666" s="7">
        <v>23877.48</v>
      </c>
      <c r="O1666" t="s">
        <v>46</v>
      </c>
      <c r="P1666" t="s">
        <v>40</v>
      </c>
    </row>
    <row r="1667" spans="1:16" x14ac:dyDescent="0.25">
      <c r="A1667" s="5">
        <v>46022</v>
      </c>
      <c r="B1667" t="s">
        <v>121</v>
      </c>
      <c r="C1667" t="s">
        <v>122</v>
      </c>
      <c r="D1667" t="s">
        <v>34</v>
      </c>
      <c r="E1667" t="s">
        <v>149</v>
      </c>
      <c r="F1667" t="s">
        <v>60</v>
      </c>
      <c r="G1667" t="s">
        <v>1794</v>
      </c>
      <c r="H1667" s="6">
        <v>54</v>
      </c>
      <c r="I1667" s="7">
        <v>217.25</v>
      </c>
      <c r="J1667" s="7">
        <v>11731.52</v>
      </c>
      <c r="K1667" s="6">
        <v>30</v>
      </c>
      <c r="L1667" t="s">
        <v>45</v>
      </c>
      <c r="M1667" s="8">
        <v>2346.3040000000001</v>
      </c>
      <c r="N1667" s="7">
        <v>11731.52</v>
      </c>
      <c r="O1667" t="s">
        <v>46</v>
      </c>
      <c r="P1667" t="s">
        <v>40</v>
      </c>
    </row>
    <row r="1668" spans="1:16" x14ac:dyDescent="0.25">
      <c r="A1668" s="5">
        <v>45658</v>
      </c>
      <c r="B1668" t="s">
        <v>94</v>
      </c>
      <c r="C1668" t="s">
        <v>95</v>
      </c>
      <c r="D1668" t="s">
        <v>34</v>
      </c>
      <c r="E1668" t="s">
        <v>154</v>
      </c>
      <c r="F1668" t="s">
        <v>89</v>
      </c>
      <c r="G1668" t="s">
        <v>1795</v>
      </c>
      <c r="H1668" s="6">
        <v>7</v>
      </c>
      <c r="I1668" s="7">
        <v>103.89</v>
      </c>
      <c r="J1668" s="7">
        <v>727.24</v>
      </c>
      <c r="K1668" s="6">
        <v>60</v>
      </c>
      <c r="L1668" t="s">
        <v>52</v>
      </c>
      <c r="M1668" s="8">
        <v>145.44800000000001</v>
      </c>
      <c r="N1668" s="7">
        <v>727.24</v>
      </c>
      <c r="O1668" t="s">
        <v>39</v>
      </c>
      <c r="P1668" t="s">
        <v>40</v>
      </c>
    </row>
    <row r="1669" spans="1:16" x14ac:dyDescent="0.25">
      <c r="A1669" s="5">
        <v>45899</v>
      </c>
      <c r="B1669" t="s">
        <v>94</v>
      </c>
      <c r="C1669" t="s">
        <v>95</v>
      </c>
      <c r="D1669" t="s">
        <v>34</v>
      </c>
      <c r="E1669" t="s">
        <v>65</v>
      </c>
      <c r="F1669" t="s">
        <v>54</v>
      </c>
      <c r="G1669" t="s">
        <v>1796</v>
      </c>
      <c r="H1669" s="6">
        <v>36</v>
      </c>
      <c r="I1669" s="7">
        <v>189.39</v>
      </c>
      <c r="J1669" s="7">
        <v>6818.22</v>
      </c>
      <c r="K1669" s="6">
        <v>60</v>
      </c>
      <c r="L1669" t="s">
        <v>38</v>
      </c>
      <c r="M1669" s="8">
        <v>1363.644</v>
      </c>
      <c r="N1669" s="7">
        <v>6818.22</v>
      </c>
      <c r="O1669" t="s">
        <v>46</v>
      </c>
      <c r="P1669" t="s">
        <v>40</v>
      </c>
    </row>
    <row r="1670" spans="1:16" x14ac:dyDescent="0.25">
      <c r="A1670" s="5">
        <v>45909</v>
      </c>
      <c r="B1670" t="s">
        <v>113</v>
      </c>
      <c r="C1670" t="s">
        <v>114</v>
      </c>
      <c r="D1670" t="s">
        <v>69</v>
      </c>
      <c r="E1670" t="s">
        <v>88</v>
      </c>
      <c r="F1670" t="s">
        <v>89</v>
      </c>
      <c r="G1670" t="s">
        <v>1797</v>
      </c>
      <c r="H1670" s="6">
        <v>47</v>
      </c>
      <c r="I1670" s="7">
        <v>285.8</v>
      </c>
      <c r="J1670" s="7">
        <v>13432.68</v>
      </c>
      <c r="K1670" s="6">
        <v>45</v>
      </c>
      <c r="L1670" t="s">
        <v>45</v>
      </c>
      <c r="M1670" s="8">
        <v>2686.5360000000001</v>
      </c>
      <c r="N1670" s="7">
        <v>13432.68</v>
      </c>
      <c r="O1670" t="s">
        <v>46</v>
      </c>
      <c r="P1670" t="s">
        <v>40</v>
      </c>
    </row>
    <row r="1671" spans="1:16" x14ac:dyDescent="0.25">
      <c r="A1671" s="5">
        <v>45664</v>
      </c>
      <c r="B1671" t="s">
        <v>67</v>
      </c>
      <c r="C1671" t="s">
        <v>68</v>
      </c>
      <c r="D1671" t="s">
        <v>69</v>
      </c>
      <c r="E1671" t="s">
        <v>43</v>
      </c>
      <c r="F1671" t="s">
        <v>36</v>
      </c>
      <c r="G1671" t="s">
        <v>1798</v>
      </c>
      <c r="H1671" s="6">
        <v>71</v>
      </c>
      <c r="I1671" s="7">
        <v>87.8</v>
      </c>
      <c r="J1671" s="7">
        <v>6233.98</v>
      </c>
      <c r="K1671" s="6">
        <v>30</v>
      </c>
      <c r="L1671" t="s">
        <v>45</v>
      </c>
      <c r="M1671" s="8">
        <v>1246.796</v>
      </c>
      <c r="N1671" s="7">
        <v>6233.98</v>
      </c>
      <c r="O1671" t="s">
        <v>46</v>
      </c>
      <c r="P1671" t="s">
        <v>40</v>
      </c>
    </row>
    <row r="1672" spans="1:16" x14ac:dyDescent="0.25">
      <c r="A1672" s="5">
        <v>45959</v>
      </c>
      <c r="B1672" t="s">
        <v>41</v>
      </c>
      <c r="C1672" t="s">
        <v>42</v>
      </c>
      <c r="D1672" t="s">
        <v>34</v>
      </c>
      <c r="E1672" t="s">
        <v>70</v>
      </c>
      <c r="F1672" t="s">
        <v>71</v>
      </c>
      <c r="G1672" t="s">
        <v>1799</v>
      </c>
      <c r="H1672" s="6">
        <v>68</v>
      </c>
      <c r="I1672" s="7">
        <v>83.3</v>
      </c>
      <c r="J1672" s="7">
        <v>5664.49</v>
      </c>
      <c r="K1672" s="6">
        <v>60</v>
      </c>
      <c r="L1672" t="s">
        <v>45</v>
      </c>
      <c r="M1672" s="8">
        <v>1132.8979999999999</v>
      </c>
      <c r="N1672" s="7">
        <v>5664.49</v>
      </c>
      <c r="O1672" t="s">
        <v>46</v>
      </c>
      <c r="P1672" t="s">
        <v>40</v>
      </c>
    </row>
    <row r="1673" spans="1:16" x14ac:dyDescent="0.25">
      <c r="A1673" s="5">
        <v>45957</v>
      </c>
      <c r="B1673" t="s">
        <v>56</v>
      </c>
      <c r="C1673" t="s">
        <v>57</v>
      </c>
      <c r="D1673" t="s">
        <v>58</v>
      </c>
      <c r="E1673" t="s">
        <v>59</v>
      </c>
      <c r="F1673" t="s">
        <v>60</v>
      </c>
      <c r="G1673" t="s">
        <v>1800</v>
      </c>
      <c r="H1673" s="6">
        <v>50</v>
      </c>
      <c r="I1673" s="7">
        <v>179.81</v>
      </c>
      <c r="J1673" s="7">
        <v>8990.26</v>
      </c>
      <c r="K1673" s="6">
        <v>30</v>
      </c>
      <c r="L1673" t="s">
        <v>38</v>
      </c>
      <c r="M1673" s="8">
        <v>1798.0519999999999</v>
      </c>
      <c r="N1673" s="7">
        <v>8990.26</v>
      </c>
      <c r="O1673" t="s">
        <v>39</v>
      </c>
      <c r="P1673" t="s">
        <v>40</v>
      </c>
    </row>
    <row r="1674" spans="1:16" x14ac:dyDescent="0.25">
      <c r="A1674" s="5">
        <v>45958</v>
      </c>
      <c r="B1674" t="s">
        <v>67</v>
      </c>
      <c r="C1674" t="s">
        <v>68</v>
      </c>
      <c r="D1674" t="s">
        <v>69</v>
      </c>
      <c r="E1674" t="s">
        <v>127</v>
      </c>
      <c r="F1674" t="s">
        <v>36</v>
      </c>
      <c r="G1674" t="s">
        <v>1801</v>
      </c>
      <c r="H1674" s="6">
        <v>25</v>
      </c>
      <c r="I1674" s="7">
        <v>52.4</v>
      </c>
      <c r="J1674" s="7">
        <v>1310.02</v>
      </c>
      <c r="K1674" s="6">
        <v>30</v>
      </c>
      <c r="L1674" t="s">
        <v>52</v>
      </c>
      <c r="M1674" s="8">
        <v>262.00400000000002</v>
      </c>
      <c r="N1674" s="7">
        <v>1310.02</v>
      </c>
      <c r="O1674" t="s">
        <v>39</v>
      </c>
      <c r="P1674" t="s">
        <v>40</v>
      </c>
    </row>
    <row r="1675" spans="1:16" x14ac:dyDescent="0.25">
      <c r="A1675" s="5">
        <v>45937</v>
      </c>
      <c r="B1675" t="s">
        <v>110</v>
      </c>
      <c r="C1675" t="s">
        <v>111</v>
      </c>
      <c r="D1675" t="s">
        <v>58</v>
      </c>
      <c r="E1675" t="s">
        <v>127</v>
      </c>
      <c r="F1675" t="s">
        <v>36</v>
      </c>
      <c r="G1675" t="s">
        <v>1802</v>
      </c>
      <c r="H1675" s="6">
        <v>80</v>
      </c>
      <c r="I1675" s="7">
        <v>39.14</v>
      </c>
      <c r="J1675" s="7">
        <v>3130.94</v>
      </c>
      <c r="K1675" s="6">
        <v>45</v>
      </c>
      <c r="L1675" t="s">
        <v>45</v>
      </c>
      <c r="M1675" s="8">
        <v>626.18799999999999</v>
      </c>
      <c r="N1675" s="7">
        <v>3130.94</v>
      </c>
      <c r="O1675" t="s">
        <v>39</v>
      </c>
      <c r="P1675" t="s">
        <v>40</v>
      </c>
    </row>
    <row r="1676" spans="1:16" x14ac:dyDescent="0.25">
      <c r="A1676" s="5">
        <v>45931</v>
      </c>
      <c r="B1676" t="s">
        <v>80</v>
      </c>
      <c r="C1676" t="s">
        <v>81</v>
      </c>
      <c r="D1676" t="s">
        <v>64</v>
      </c>
      <c r="E1676" t="s">
        <v>107</v>
      </c>
      <c r="F1676" t="s">
        <v>108</v>
      </c>
      <c r="G1676" t="s">
        <v>1803</v>
      </c>
      <c r="H1676" s="6">
        <v>20</v>
      </c>
      <c r="I1676" s="7">
        <v>182.35</v>
      </c>
      <c r="J1676" s="7">
        <v>3647.06</v>
      </c>
      <c r="K1676" s="6">
        <v>30</v>
      </c>
      <c r="L1676" t="s">
        <v>38</v>
      </c>
      <c r="M1676" s="8">
        <v>729.41200000000003</v>
      </c>
      <c r="N1676" s="7">
        <v>3647.06</v>
      </c>
      <c r="O1676" t="s">
        <v>46</v>
      </c>
      <c r="P1676" t="s">
        <v>40</v>
      </c>
    </row>
    <row r="1677" spans="1:16" x14ac:dyDescent="0.25">
      <c r="A1677" s="5">
        <v>46022</v>
      </c>
      <c r="B1677" t="s">
        <v>201</v>
      </c>
      <c r="C1677" t="s">
        <v>202</v>
      </c>
      <c r="D1677" t="s">
        <v>64</v>
      </c>
      <c r="E1677" t="s">
        <v>105</v>
      </c>
      <c r="F1677" t="s">
        <v>97</v>
      </c>
      <c r="G1677" t="s">
        <v>1804</v>
      </c>
      <c r="H1677" s="6">
        <v>33</v>
      </c>
      <c r="I1677" s="7">
        <v>251.26</v>
      </c>
      <c r="J1677" s="7">
        <v>8291.73</v>
      </c>
      <c r="K1677" s="6">
        <v>60</v>
      </c>
      <c r="L1677" t="s">
        <v>45</v>
      </c>
      <c r="M1677" s="8">
        <v>1658.346</v>
      </c>
      <c r="N1677" s="7">
        <v>8291.73</v>
      </c>
      <c r="O1677" t="s">
        <v>46</v>
      </c>
      <c r="P1677" t="s">
        <v>40</v>
      </c>
    </row>
    <row r="1678" spans="1:16" x14ac:dyDescent="0.25">
      <c r="A1678" s="5">
        <v>45718</v>
      </c>
      <c r="B1678" t="s">
        <v>103</v>
      </c>
      <c r="C1678" t="s">
        <v>104</v>
      </c>
      <c r="D1678" t="s">
        <v>58</v>
      </c>
      <c r="E1678" t="s">
        <v>129</v>
      </c>
      <c r="F1678" t="s">
        <v>108</v>
      </c>
      <c r="G1678" t="s">
        <v>1805</v>
      </c>
      <c r="H1678" s="6">
        <v>56</v>
      </c>
      <c r="I1678" s="7">
        <v>146.49</v>
      </c>
      <c r="J1678" s="7">
        <v>8203.18</v>
      </c>
      <c r="K1678" s="6">
        <v>30</v>
      </c>
      <c r="L1678" t="s">
        <v>45</v>
      </c>
      <c r="M1678" s="8">
        <v>1640.636</v>
      </c>
      <c r="N1678" s="7">
        <v>8203.18</v>
      </c>
      <c r="O1678" t="s">
        <v>46</v>
      </c>
      <c r="P1678" t="s">
        <v>40</v>
      </c>
    </row>
    <row r="1679" spans="1:16" x14ac:dyDescent="0.25">
      <c r="A1679" s="5">
        <v>45964</v>
      </c>
      <c r="B1679" t="s">
        <v>47</v>
      </c>
      <c r="C1679" t="s">
        <v>48</v>
      </c>
      <c r="D1679" t="s">
        <v>34</v>
      </c>
      <c r="E1679" t="s">
        <v>49</v>
      </c>
      <c r="F1679" t="s">
        <v>50</v>
      </c>
      <c r="G1679" t="s">
        <v>1806</v>
      </c>
      <c r="H1679" s="6">
        <v>36</v>
      </c>
      <c r="I1679" s="7">
        <v>277.05</v>
      </c>
      <c r="J1679" s="7">
        <v>9973.98</v>
      </c>
      <c r="K1679" s="6">
        <v>60</v>
      </c>
      <c r="L1679" t="s">
        <v>38</v>
      </c>
      <c r="M1679" s="8">
        <v>1994.796</v>
      </c>
      <c r="N1679" s="7">
        <v>9973.98</v>
      </c>
      <c r="O1679" t="s">
        <v>39</v>
      </c>
      <c r="P1679" t="s">
        <v>40</v>
      </c>
    </row>
    <row r="1680" spans="1:16" x14ac:dyDescent="0.25">
      <c r="A1680" s="5">
        <v>45689</v>
      </c>
      <c r="B1680" t="s">
        <v>85</v>
      </c>
      <c r="C1680" t="s">
        <v>86</v>
      </c>
      <c r="D1680" t="s">
        <v>58</v>
      </c>
      <c r="E1680" t="s">
        <v>152</v>
      </c>
      <c r="F1680" t="s">
        <v>50</v>
      </c>
      <c r="G1680" t="s">
        <v>1807</v>
      </c>
      <c r="H1680" s="6">
        <v>25</v>
      </c>
      <c r="I1680" s="7">
        <v>207.8</v>
      </c>
      <c r="J1680" s="7">
        <v>5194.93</v>
      </c>
      <c r="K1680" s="6">
        <v>60</v>
      </c>
      <c r="L1680" t="s">
        <v>45</v>
      </c>
      <c r="M1680" s="8">
        <v>1038.9860000000001</v>
      </c>
      <c r="N1680" s="7">
        <v>5194.93</v>
      </c>
      <c r="O1680" t="s">
        <v>46</v>
      </c>
      <c r="P1680" t="s">
        <v>40</v>
      </c>
    </row>
    <row r="1681" spans="1:16" x14ac:dyDescent="0.25">
      <c r="A1681" s="5">
        <v>45882</v>
      </c>
      <c r="B1681" t="s">
        <v>118</v>
      </c>
      <c r="C1681" t="s">
        <v>119</v>
      </c>
      <c r="D1681" t="s">
        <v>64</v>
      </c>
      <c r="E1681" t="s">
        <v>127</v>
      </c>
      <c r="F1681" t="s">
        <v>36</v>
      </c>
      <c r="G1681" t="s">
        <v>1808</v>
      </c>
      <c r="H1681" s="6">
        <v>66</v>
      </c>
      <c r="I1681" s="7">
        <v>51.26</v>
      </c>
      <c r="J1681" s="7">
        <v>3383.45</v>
      </c>
      <c r="K1681" s="6">
        <v>45</v>
      </c>
      <c r="L1681" t="s">
        <v>52</v>
      </c>
      <c r="M1681" s="8">
        <v>676.69</v>
      </c>
      <c r="N1681" s="7">
        <v>3383.45</v>
      </c>
      <c r="O1681" t="s">
        <v>39</v>
      </c>
      <c r="P1681" t="s">
        <v>40</v>
      </c>
    </row>
    <row r="1682" spans="1:16" x14ac:dyDescent="0.25">
      <c r="A1682" s="5">
        <v>45797</v>
      </c>
      <c r="B1682" t="s">
        <v>73</v>
      </c>
      <c r="C1682" t="s">
        <v>74</v>
      </c>
      <c r="D1682" t="s">
        <v>69</v>
      </c>
      <c r="E1682" t="s">
        <v>105</v>
      </c>
      <c r="F1682" t="s">
        <v>97</v>
      </c>
      <c r="G1682" t="s">
        <v>1809</v>
      </c>
      <c r="H1682" s="6">
        <v>27</v>
      </c>
      <c r="I1682" s="7">
        <v>374.59</v>
      </c>
      <c r="J1682" s="7">
        <v>10113.950000000001</v>
      </c>
      <c r="K1682" s="6">
        <v>30</v>
      </c>
      <c r="L1682" t="s">
        <v>38</v>
      </c>
      <c r="M1682" s="8">
        <v>2022.79</v>
      </c>
      <c r="N1682" s="7">
        <v>10113.950000000001</v>
      </c>
      <c r="O1682" t="s">
        <v>46</v>
      </c>
      <c r="P1682" t="s">
        <v>40</v>
      </c>
    </row>
    <row r="1683" spans="1:16" x14ac:dyDescent="0.25">
      <c r="A1683" s="5">
        <v>46014</v>
      </c>
      <c r="B1683" t="s">
        <v>67</v>
      </c>
      <c r="C1683" t="s">
        <v>68</v>
      </c>
      <c r="D1683" t="s">
        <v>69</v>
      </c>
      <c r="E1683" t="s">
        <v>53</v>
      </c>
      <c r="F1683" t="s">
        <v>54</v>
      </c>
      <c r="G1683" t="s">
        <v>1810</v>
      </c>
      <c r="H1683" s="6">
        <v>2</v>
      </c>
      <c r="I1683" s="7">
        <v>246.7</v>
      </c>
      <c r="J1683" s="7">
        <v>493.39</v>
      </c>
      <c r="K1683" s="6">
        <v>60</v>
      </c>
      <c r="L1683" t="s">
        <v>45</v>
      </c>
      <c r="M1683" s="8">
        <v>98.677999999999997</v>
      </c>
      <c r="N1683" s="7">
        <v>493.39</v>
      </c>
      <c r="O1683" t="s">
        <v>46</v>
      </c>
      <c r="P1683" t="s">
        <v>40</v>
      </c>
    </row>
    <row r="1684" spans="1:16" x14ac:dyDescent="0.25">
      <c r="A1684" s="5">
        <v>45770</v>
      </c>
      <c r="B1684" t="s">
        <v>67</v>
      </c>
      <c r="C1684" t="s">
        <v>68</v>
      </c>
      <c r="D1684" t="s">
        <v>69</v>
      </c>
      <c r="E1684" t="s">
        <v>149</v>
      </c>
      <c r="F1684" t="s">
        <v>60</v>
      </c>
      <c r="G1684" t="s">
        <v>1811</v>
      </c>
      <c r="H1684" s="6">
        <v>38</v>
      </c>
      <c r="I1684" s="7">
        <v>133.83000000000001</v>
      </c>
      <c r="J1684" s="7">
        <v>5085.6499999999996</v>
      </c>
      <c r="K1684" s="6">
        <v>60</v>
      </c>
      <c r="L1684" t="s">
        <v>45</v>
      </c>
      <c r="M1684" s="8">
        <v>1017.13</v>
      </c>
      <c r="N1684" s="7">
        <v>5085.6499999999996</v>
      </c>
      <c r="O1684" t="s">
        <v>46</v>
      </c>
      <c r="P1684" t="s">
        <v>40</v>
      </c>
    </row>
    <row r="1685" spans="1:16" x14ac:dyDescent="0.25">
      <c r="A1685" s="5">
        <v>45772</v>
      </c>
      <c r="B1685" t="s">
        <v>73</v>
      </c>
      <c r="C1685" t="s">
        <v>74</v>
      </c>
      <c r="D1685" t="s">
        <v>69</v>
      </c>
      <c r="E1685" t="s">
        <v>127</v>
      </c>
      <c r="F1685" t="s">
        <v>36</v>
      </c>
      <c r="G1685" t="s">
        <v>1812</v>
      </c>
      <c r="H1685" s="6">
        <v>6</v>
      </c>
      <c r="I1685" s="7">
        <v>77.69</v>
      </c>
      <c r="J1685" s="7">
        <v>466.17</v>
      </c>
      <c r="K1685" s="6">
        <v>60</v>
      </c>
      <c r="L1685" t="s">
        <v>38</v>
      </c>
      <c r="M1685" s="8">
        <v>93.233999999999995</v>
      </c>
      <c r="N1685" s="7">
        <v>466.17</v>
      </c>
      <c r="O1685" t="s">
        <v>39</v>
      </c>
      <c r="P1685" t="s">
        <v>40</v>
      </c>
    </row>
    <row r="1686" spans="1:16" x14ac:dyDescent="0.25">
      <c r="A1686" s="5">
        <v>45733</v>
      </c>
      <c r="B1686" t="s">
        <v>56</v>
      </c>
      <c r="C1686" t="s">
        <v>57</v>
      </c>
      <c r="D1686" t="s">
        <v>58</v>
      </c>
      <c r="E1686" t="s">
        <v>152</v>
      </c>
      <c r="F1686" t="s">
        <v>50</v>
      </c>
      <c r="G1686" t="s">
        <v>1813</v>
      </c>
      <c r="H1686" s="6">
        <v>36</v>
      </c>
      <c r="I1686" s="7">
        <v>62.74</v>
      </c>
      <c r="J1686" s="7">
        <v>2258.69</v>
      </c>
      <c r="K1686" s="6">
        <v>30</v>
      </c>
      <c r="L1686" t="s">
        <v>45</v>
      </c>
      <c r="M1686" s="8">
        <v>451.738</v>
      </c>
      <c r="N1686" s="7">
        <v>2258.69</v>
      </c>
      <c r="O1686" t="s">
        <v>46</v>
      </c>
      <c r="P1686" t="s">
        <v>40</v>
      </c>
    </row>
    <row r="1687" spans="1:16" x14ac:dyDescent="0.25">
      <c r="A1687" s="5">
        <v>45931</v>
      </c>
      <c r="B1687" t="s">
        <v>73</v>
      </c>
      <c r="C1687" t="s">
        <v>74</v>
      </c>
      <c r="D1687" t="s">
        <v>69</v>
      </c>
      <c r="E1687" t="s">
        <v>135</v>
      </c>
      <c r="F1687" t="s">
        <v>54</v>
      </c>
      <c r="G1687" t="s">
        <v>1814</v>
      </c>
      <c r="H1687" s="6">
        <v>15</v>
      </c>
      <c r="I1687" s="7">
        <v>480.43</v>
      </c>
      <c r="J1687" s="7">
        <v>7206.47</v>
      </c>
      <c r="K1687" s="6">
        <v>30</v>
      </c>
      <c r="L1687" t="s">
        <v>52</v>
      </c>
      <c r="M1687" s="8">
        <v>1441.2940000000001</v>
      </c>
      <c r="N1687" s="7">
        <v>7206.47</v>
      </c>
      <c r="O1687" t="s">
        <v>46</v>
      </c>
      <c r="P1687" t="s">
        <v>40</v>
      </c>
    </row>
    <row r="1688" spans="1:16" x14ac:dyDescent="0.25">
      <c r="A1688" s="5">
        <v>45700</v>
      </c>
      <c r="B1688" t="s">
        <v>41</v>
      </c>
      <c r="C1688" t="s">
        <v>42</v>
      </c>
      <c r="D1688" t="s">
        <v>34</v>
      </c>
      <c r="E1688" t="s">
        <v>132</v>
      </c>
      <c r="F1688" t="s">
        <v>71</v>
      </c>
      <c r="G1688" t="s">
        <v>1815</v>
      </c>
      <c r="H1688" s="6">
        <v>71</v>
      </c>
      <c r="I1688" s="7">
        <v>73.58</v>
      </c>
      <c r="J1688" s="7">
        <v>5223.99</v>
      </c>
      <c r="K1688" s="6">
        <v>45</v>
      </c>
      <c r="L1688" t="s">
        <v>52</v>
      </c>
      <c r="M1688" s="8">
        <v>1044.798</v>
      </c>
      <c r="N1688" s="7">
        <v>5223.99</v>
      </c>
      <c r="O1688" t="s">
        <v>46</v>
      </c>
      <c r="P1688" t="s">
        <v>40</v>
      </c>
    </row>
    <row r="1689" spans="1:16" x14ac:dyDescent="0.25">
      <c r="A1689" s="5">
        <v>45808</v>
      </c>
      <c r="B1689" t="s">
        <v>41</v>
      </c>
      <c r="C1689" t="s">
        <v>42</v>
      </c>
      <c r="D1689" t="s">
        <v>34</v>
      </c>
      <c r="E1689" t="s">
        <v>105</v>
      </c>
      <c r="F1689" t="s">
        <v>97</v>
      </c>
      <c r="G1689" t="s">
        <v>1816</v>
      </c>
      <c r="H1689" s="6">
        <v>42</v>
      </c>
      <c r="I1689" s="7">
        <v>335.1</v>
      </c>
      <c r="J1689" s="7">
        <v>14074.08</v>
      </c>
      <c r="K1689" s="6">
        <v>30</v>
      </c>
      <c r="L1689" t="s">
        <v>52</v>
      </c>
      <c r="M1689" s="8">
        <v>2814.8159999999998</v>
      </c>
      <c r="N1689" s="7">
        <v>14074.08</v>
      </c>
      <c r="O1689" t="s">
        <v>46</v>
      </c>
      <c r="P1689" t="s">
        <v>40</v>
      </c>
    </row>
    <row r="1690" spans="1:16" x14ac:dyDescent="0.25">
      <c r="A1690" s="5">
        <v>45801</v>
      </c>
      <c r="B1690" t="s">
        <v>77</v>
      </c>
      <c r="C1690" t="s">
        <v>78</v>
      </c>
      <c r="D1690" t="s">
        <v>58</v>
      </c>
      <c r="E1690" t="s">
        <v>83</v>
      </c>
      <c r="F1690" t="s">
        <v>71</v>
      </c>
      <c r="G1690" t="s">
        <v>1817</v>
      </c>
      <c r="H1690" s="6">
        <v>23</v>
      </c>
      <c r="I1690" s="7">
        <v>111.02</v>
      </c>
      <c r="J1690" s="7">
        <v>2553.4</v>
      </c>
      <c r="K1690" s="6">
        <v>45</v>
      </c>
      <c r="L1690" t="s">
        <v>38</v>
      </c>
      <c r="M1690" s="8">
        <v>510.68</v>
      </c>
      <c r="N1690" s="7">
        <v>2553.4</v>
      </c>
      <c r="O1690" t="s">
        <v>39</v>
      </c>
      <c r="P1690" t="s">
        <v>40</v>
      </c>
    </row>
    <row r="1691" spans="1:16" x14ac:dyDescent="0.25">
      <c r="A1691" s="5">
        <v>46010</v>
      </c>
      <c r="B1691" t="s">
        <v>143</v>
      </c>
      <c r="C1691" t="s">
        <v>144</v>
      </c>
      <c r="D1691" t="s">
        <v>69</v>
      </c>
      <c r="E1691" t="s">
        <v>43</v>
      </c>
      <c r="F1691" t="s">
        <v>36</v>
      </c>
      <c r="G1691" t="s">
        <v>1818</v>
      </c>
      <c r="H1691" s="6">
        <v>49</v>
      </c>
      <c r="I1691" s="7">
        <v>56.37</v>
      </c>
      <c r="J1691" s="7">
        <v>2762.27</v>
      </c>
      <c r="K1691" s="6">
        <v>60</v>
      </c>
      <c r="L1691" t="s">
        <v>45</v>
      </c>
      <c r="M1691" s="8">
        <v>552.45399999999995</v>
      </c>
      <c r="N1691" s="7">
        <v>2762.27</v>
      </c>
      <c r="O1691" t="s">
        <v>46</v>
      </c>
      <c r="P1691" t="s">
        <v>40</v>
      </c>
    </row>
    <row r="1692" spans="1:16" x14ac:dyDescent="0.25">
      <c r="A1692" s="5">
        <v>45770</v>
      </c>
      <c r="B1692" t="s">
        <v>77</v>
      </c>
      <c r="C1692" t="s">
        <v>78</v>
      </c>
      <c r="D1692" t="s">
        <v>58</v>
      </c>
      <c r="E1692" t="s">
        <v>65</v>
      </c>
      <c r="F1692" t="s">
        <v>54</v>
      </c>
      <c r="G1692" t="s">
        <v>1819</v>
      </c>
      <c r="H1692" s="6">
        <v>42</v>
      </c>
      <c r="I1692" s="7">
        <v>345.21</v>
      </c>
      <c r="J1692" s="7">
        <v>14498.67</v>
      </c>
      <c r="K1692" s="6">
        <v>45</v>
      </c>
      <c r="L1692" t="s">
        <v>38</v>
      </c>
      <c r="M1692" s="8">
        <v>2899.7339999999999</v>
      </c>
      <c r="N1692" s="7">
        <v>14498.67</v>
      </c>
      <c r="O1692" t="s">
        <v>46</v>
      </c>
      <c r="P1692" t="s">
        <v>40</v>
      </c>
    </row>
    <row r="1693" spans="1:16" x14ac:dyDescent="0.25">
      <c r="A1693" s="5">
        <v>45886</v>
      </c>
      <c r="B1693" t="s">
        <v>62</v>
      </c>
      <c r="C1693" t="s">
        <v>63</v>
      </c>
      <c r="D1693" t="s">
        <v>64</v>
      </c>
      <c r="E1693" t="s">
        <v>204</v>
      </c>
      <c r="F1693" t="s">
        <v>97</v>
      </c>
      <c r="G1693" t="s">
        <v>1820</v>
      </c>
      <c r="H1693" s="6">
        <v>30</v>
      </c>
      <c r="I1693" s="7">
        <v>231.04</v>
      </c>
      <c r="J1693" s="7">
        <v>6931.16</v>
      </c>
      <c r="K1693" s="6">
        <v>60</v>
      </c>
      <c r="L1693" t="s">
        <v>52</v>
      </c>
      <c r="M1693" s="8">
        <v>1386.232</v>
      </c>
      <c r="N1693" s="7">
        <v>6931.16</v>
      </c>
      <c r="O1693" t="s">
        <v>46</v>
      </c>
      <c r="P1693" t="s">
        <v>40</v>
      </c>
    </row>
    <row r="1694" spans="1:16" x14ac:dyDescent="0.25">
      <c r="A1694" s="5">
        <v>45903</v>
      </c>
      <c r="B1694" t="s">
        <v>32</v>
      </c>
      <c r="C1694" t="s">
        <v>33</v>
      </c>
      <c r="D1694" t="s">
        <v>34</v>
      </c>
      <c r="E1694" t="s">
        <v>83</v>
      </c>
      <c r="F1694" t="s">
        <v>71</v>
      </c>
      <c r="G1694" t="s">
        <v>1821</v>
      </c>
      <c r="H1694" s="6">
        <v>12</v>
      </c>
      <c r="I1694" s="7">
        <v>153.41</v>
      </c>
      <c r="J1694" s="7">
        <v>1840.88</v>
      </c>
      <c r="K1694" s="6">
        <v>45</v>
      </c>
      <c r="L1694" t="s">
        <v>38</v>
      </c>
      <c r="M1694" s="8">
        <v>368.17599999999999</v>
      </c>
      <c r="N1694" s="7">
        <v>1840.88</v>
      </c>
      <c r="O1694" t="s">
        <v>39</v>
      </c>
      <c r="P1694" t="s">
        <v>40</v>
      </c>
    </row>
    <row r="1695" spans="1:16" x14ac:dyDescent="0.25">
      <c r="A1695" s="5">
        <v>45754</v>
      </c>
      <c r="B1695" t="s">
        <v>118</v>
      </c>
      <c r="C1695" t="s">
        <v>119</v>
      </c>
      <c r="D1695" t="s">
        <v>64</v>
      </c>
      <c r="E1695" t="s">
        <v>154</v>
      </c>
      <c r="F1695" t="s">
        <v>89</v>
      </c>
      <c r="G1695" t="s">
        <v>1822</v>
      </c>
      <c r="H1695" s="6">
        <v>73</v>
      </c>
      <c r="I1695" s="7">
        <v>85.86</v>
      </c>
      <c r="J1695" s="7">
        <v>6267.47</v>
      </c>
      <c r="K1695" s="6">
        <v>45</v>
      </c>
      <c r="L1695" t="s">
        <v>52</v>
      </c>
      <c r="M1695" s="8">
        <v>1253.4939999999999</v>
      </c>
      <c r="N1695" s="7">
        <v>6267.47</v>
      </c>
      <c r="O1695" t="s">
        <v>39</v>
      </c>
      <c r="P1695" t="s">
        <v>40</v>
      </c>
    </row>
    <row r="1696" spans="1:16" x14ac:dyDescent="0.25">
      <c r="A1696" s="5">
        <v>45816</v>
      </c>
      <c r="B1696" t="s">
        <v>91</v>
      </c>
      <c r="C1696" t="s">
        <v>92</v>
      </c>
      <c r="D1696" t="s">
        <v>64</v>
      </c>
      <c r="E1696" t="s">
        <v>59</v>
      </c>
      <c r="F1696" t="s">
        <v>60</v>
      </c>
      <c r="G1696" t="s">
        <v>1823</v>
      </c>
      <c r="H1696" s="6">
        <v>21</v>
      </c>
      <c r="I1696" s="7">
        <v>235.84</v>
      </c>
      <c r="J1696" s="7">
        <v>4952.55</v>
      </c>
      <c r="K1696" s="6">
        <v>30</v>
      </c>
      <c r="L1696" t="s">
        <v>45</v>
      </c>
      <c r="M1696" s="8">
        <v>990.51</v>
      </c>
      <c r="N1696" s="7">
        <v>4952.55</v>
      </c>
      <c r="O1696" t="s">
        <v>39</v>
      </c>
      <c r="P1696" t="s">
        <v>40</v>
      </c>
    </row>
    <row r="1697" spans="1:16" x14ac:dyDescent="0.25">
      <c r="A1697" s="5">
        <v>45731</v>
      </c>
      <c r="B1697" t="s">
        <v>56</v>
      </c>
      <c r="C1697" t="s">
        <v>57</v>
      </c>
      <c r="D1697" t="s">
        <v>58</v>
      </c>
      <c r="E1697" t="s">
        <v>135</v>
      </c>
      <c r="F1697" t="s">
        <v>54</v>
      </c>
      <c r="G1697" t="s">
        <v>1824</v>
      </c>
      <c r="H1697" s="6">
        <v>10</v>
      </c>
      <c r="I1697" s="7">
        <v>726.23</v>
      </c>
      <c r="J1697" s="7">
        <v>7262.34</v>
      </c>
      <c r="K1697" s="6">
        <v>45</v>
      </c>
      <c r="L1697" t="s">
        <v>38</v>
      </c>
      <c r="M1697" s="8">
        <v>1452.4680000000001</v>
      </c>
      <c r="N1697" s="7">
        <v>7262.34</v>
      </c>
      <c r="O1697" t="s">
        <v>46</v>
      </c>
      <c r="P1697" t="s">
        <v>40</v>
      </c>
    </row>
    <row r="1698" spans="1:16" x14ac:dyDescent="0.25">
      <c r="A1698" s="5">
        <v>45927</v>
      </c>
      <c r="B1698" t="s">
        <v>80</v>
      </c>
      <c r="C1698" t="s">
        <v>81</v>
      </c>
      <c r="D1698" t="s">
        <v>64</v>
      </c>
      <c r="E1698" t="s">
        <v>204</v>
      </c>
      <c r="F1698" t="s">
        <v>97</v>
      </c>
      <c r="G1698" t="s">
        <v>1825</v>
      </c>
      <c r="H1698" s="6">
        <v>18</v>
      </c>
      <c r="I1698" s="7">
        <v>173.05</v>
      </c>
      <c r="J1698" s="7">
        <v>3114.96</v>
      </c>
      <c r="K1698" s="6">
        <v>60</v>
      </c>
      <c r="L1698" t="s">
        <v>38</v>
      </c>
      <c r="M1698" s="8">
        <v>622.99199999999996</v>
      </c>
      <c r="N1698" s="7">
        <v>3114.96</v>
      </c>
      <c r="O1698" t="s">
        <v>46</v>
      </c>
      <c r="P1698" t="s">
        <v>40</v>
      </c>
    </row>
    <row r="1699" spans="1:16" x14ac:dyDescent="0.25">
      <c r="A1699" s="5">
        <v>45854</v>
      </c>
      <c r="B1699" t="s">
        <v>73</v>
      </c>
      <c r="C1699" t="s">
        <v>74</v>
      </c>
      <c r="D1699" t="s">
        <v>69</v>
      </c>
      <c r="E1699" t="s">
        <v>75</v>
      </c>
      <c r="F1699" t="s">
        <v>36</v>
      </c>
      <c r="G1699" t="s">
        <v>1826</v>
      </c>
      <c r="H1699" s="6">
        <v>3</v>
      </c>
      <c r="I1699" s="7">
        <v>44.77</v>
      </c>
      <c r="J1699" s="7">
        <v>134.32</v>
      </c>
      <c r="K1699" s="6">
        <v>30</v>
      </c>
      <c r="L1699" t="s">
        <v>38</v>
      </c>
      <c r="M1699" s="8">
        <v>26.864000000000001</v>
      </c>
      <c r="N1699" s="7">
        <v>134.32</v>
      </c>
      <c r="O1699" t="s">
        <v>46</v>
      </c>
      <c r="P1699" t="s">
        <v>40</v>
      </c>
    </row>
    <row r="1700" spans="1:16" x14ac:dyDescent="0.25">
      <c r="A1700" s="5">
        <v>45785</v>
      </c>
      <c r="B1700" t="s">
        <v>56</v>
      </c>
      <c r="C1700" t="s">
        <v>57</v>
      </c>
      <c r="D1700" t="s">
        <v>58</v>
      </c>
      <c r="E1700" t="s">
        <v>49</v>
      </c>
      <c r="F1700" t="s">
        <v>50</v>
      </c>
      <c r="G1700" t="s">
        <v>1827</v>
      </c>
      <c r="H1700" s="6">
        <v>11</v>
      </c>
      <c r="I1700" s="7">
        <v>159.19999999999999</v>
      </c>
      <c r="J1700" s="7">
        <v>1751.16</v>
      </c>
      <c r="K1700" s="6">
        <v>45</v>
      </c>
      <c r="L1700" t="s">
        <v>38</v>
      </c>
      <c r="M1700" s="8">
        <v>350.23200000000003</v>
      </c>
      <c r="N1700" s="7">
        <v>1751.16</v>
      </c>
      <c r="O1700" t="s">
        <v>39</v>
      </c>
      <c r="P1700" t="s">
        <v>40</v>
      </c>
    </row>
    <row r="1701" spans="1:16" x14ac:dyDescent="0.25">
      <c r="A1701" s="5">
        <v>45712</v>
      </c>
      <c r="B1701" t="s">
        <v>118</v>
      </c>
      <c r="C1701" t="s">
        <v>119</v>
      </c>
      <c r="D1701" t="s">
        <v>64</v>
      </c>
      <c r="E1701" t="s">
        <v>49</v>
      </c>
      <c r="F1701" t="s">
        <v>50</v>
      </c>
      <c r="G1701" t="s">
        <v>1828</v>
      </c>
      <c r="H1701" s="6">
        <v>70</v>
      </c>
      <c r="I1701" s="7">
        <v>132.46</v>
      </c>
      <c r="J1701" s="7">
        <v>9272.02</v>
      </c>
      <c r="K1701" s="6">
        <v>60</v>
      </c>
      <c r="L1701" t="s">
        <v>45</v>
      </c>
      <c r="M1701" s="8">
        <v>1854.404</v>
      </c>
      <c r="N1701" s="7">
        <v>9272.02</v>
      </c>
      <c r="O1701" t="s">
        <v>39</v>
      </c>
      <c r="P1701" t="s">
        <v>40</v>
      </c>
    </row>
    <row r="1702" spans="1:16" x14ac:dyDescent="0.25">
      <c r="A1702" s="5">
        <v>45729</v>
      </c>
      <c r="B1702" t="s">
        <v>143</v>
      </c>
      <c r="C1702" t="s">
        <v>144</v>
      </c>
      <c r="D1702" t="s">
        <v>69</v>
      </c>
      <c r="E1702" t="s">
        <v>127</v>
      </c>
      <c r="F1702" t="s">
        <v>36</v>
      </c>
      <c r="G1702" t="s">
        <v>1829</v>
      </c>
      <c r="H1702" s="6">
        <v>62</v>
      </c>
      <c r="I1702" s="7">
        <v>78.83</v>
      </c>
      <c r="J1702" s="7">
        <v>4887.17</v>
      </c>
      <c r="K1702" s="6">
        <v>60</v>
      </c>
      <c r="L1702" t="s">
        <v>45</v>
      </c>
      <c r="M1702" s="8">
        <v>977.43399999999997</v>
      </c>
      <c r="N1702" s="7">
        <v>4887.17</v>
      </c>
      <c r="O1702" t="s">
        <v>39</v>
      </c>
      <c r="P1702" t="s">
        <v>40</v>
      </c>
    </row>
    <row r="1703" spans="1:16" x14ac:dyDescent="0.25">
      <c r="A1703" s="5">
        <v>45903</v>
      </c>
      <c r="B1703" t="s">
        <v>73</v>
      </c>
      <c r="C1703" t="s">
        <v>74</v>
      </c>
      <c r="D1703" t="s">
        <v>69</v>
      </c>
      <c r="E1703" t="s">
        <v>149</v>
      </c>
      <c r="F1703" t="s">
        <v>60</v>
      </c>
      <c r="G1703" t="s">
        <v>1830</v>
      </c>
      <c r="H1703" s="6">
        <v>20</v>
      </c>
      <c r="I1703" s="7">
        <v>287.92</v>
      </c>
      <c r="J1703" s="7">
        <v>5758.39</v>
      </c>
      <c r="K1703" s="6">
        <v>30</v>
      </c>
      <c r="L1703" t="s">
        <v>38</v>
      </c>
      <c r="M1703" s="8">
        <v>1151.6780000000001</v>
      </c>
      <c r="N1703" s="7">
        <v>5758.39</v>
      </c>
      <c r="O1703" t="s">
        <v>46</v>
      </c>
      <c r="P1703" t="s">
        <v>40</v>
      </c>
    </row>
    <row r="1704" spans="1:16" x14ac:dyDescent="0.25">
      <c r="A1704" s="5">
        <v>45936</v>
      </c>
      <c r="B1704" t="s">
        <v>77</v>
      </c>
      <c r="C1704" t="s">
        <v>78</v>
      </c>
      <c r="D1704" t="s">
        <v>58</v>
      </c>
      <c r="E1704" t="s">
        <v>115</v>
      </c>
      <c r="F1704" t="s">
        <v>60</v>
      </c>
      <c r="G1704" t="s">
        <v>1831</v>
      </c>
      <c r="H1704" s="6">
        <v>16</v>
      </c>
      <c r="I1704" s="7">
        <v>311.91000000000003</v>
      </c>
      <c r="J1704" s="7">
        <v>4990.6099999999997</v>
      </c>
      <c r="K1704" s="6">
        <v>30</v>
      </c>
      <c r="L1704" t="s">
        <v>38</v>
      </c>
      <c r="M1704" s="8">
        <v>998.12199999999996</v>
      </c>
      <c r="N1704" s="7">
        <v>4990.6099999999997</v>
      </c>
      <c r="O1704" t="s">
        <v>46</v>
      </c>
      <c r="P1704" t="s">
        <v>40</v>
      </c>
    </row>
    <row r="1705" spans="1:16" x14ac:dyDescent="0.25">
      <c r="A1705" s="5">
        <v>45919</v>
      </c>
      <c r="B1705" t="s">
        <v>41</v>
      </c>
      <c r="C1705" t="s">
        <v>42</v>
      </c>
      <c r="D1705" t="s">
        <v>34</v>
      </c>
      <c r="E1705" t="s">
        <v>59</v>
      </c>
      <c r="F1705" t="s">
        <v>60</v>
      </c>
      <c r="G1705" t="s">
        <v>1832</v>
      </c>
      <c r="H1705" s="6">
        <v>54</v>
      </c>
      <c r="I1705" s="7">
        <v>405.03</v>
      </c>
      <c r="J1705" s="7">
        <v>21871.65</v>
      </c>
      <c r="K1705" s="6">
        <v>30</v>
      </c>
      <c r="L1705" t="s">
        <v>38</v>
      </c>
      <c r="M1705" s="8">
        <v>4374.33</v>
      </c>
      <c r="N1705" s="7">
        <v>21871.65</v>
      </c>
      <c r="O1705" t="s">
        <v>39</v>
      </c>
      <c r="P1705" t="s">
        <v>40</v>
      </c>
    </row>
    <row r="1706" spans="1:16" x14ac:dyDescent="0.25">
      <c r="A1706" s="5">
        <v>45876</v>
      </c>
      <c r="B1706" t="s">
        <v>103</v>
      </c>
      <c r="C1706" t="s">
        <v>104</v>
      </c>
      <c r="D1706" t="s">
        <v>58</v>
      </c>
      <c r="E1706" t="s">
        <v>49</v>
      </c>
      <c r="F1706" t="s">
        <v>50</v>
      </c>
      <c r="G1706" t="s">
        <v>1833</v>
      </c>
      <c r="H1706" s="6">
        <v>50</v>
      </c>
      <c r="I1706" s="7">
        <v>150.34</v>
      </c>
      <c r="J1706" s="7">
        <v>7516.94</v>
      </c>
      <c r="K1706" s="6">
        <v>30</v>
      </c>
      <c r="L1706" t="s">
        <v>45</v>
      </c>
      <c r="M1706" s="8">
        <v>1503.3879999999999</v>
      </c>
      <c r="N1706" s="7">
        <v>7516.94</v>
      </c>
      <c r="O1706" t="s">
        <v>39</v>
      </c>
      <c r="P1706" t="s">
        <v>40</v>
      </c>
    </row>
    <row r="1707" spans="1:16" x14ac:dyDescent="0.25">
      <c r="A1707" s="5">
        <v>46008</v>
      </c>
      <c r="B1707" t="s">
        <v>91</v>
      </c>
      <c r="C1707" t="s">
        <v>92</v>
      </c>
      <c r="D1707" t="s">
        <v>64</v>
      </c>
      <c r="E1707" t="s">
        <v>59</v>
      </c>
      <c r="F1707" t="s">
        <v>60</v>
      </c>
      <c r="G1707" t="s">
        <v>1834</v>
      </c>
      <c r="H1707" s="6">
        <v>50</v>
      </c>
      <c r="I1707" s="7">
        <v>192.66</v>
      </c>
      <c r="J1707" s="7">
        <v>9633.09</v>
      </c>
      <c r="K1707" s="6">
        <v>60</v>
      </c>
      <c r="L1707" t="s">
        <v>52</v>
      </c>
      <c r="M1707" s="8">
        <v>1926.6179999999999</v>
      </c>
      <c r="N1707" s="7">
        <v>9633.09</v>
      </c>
      <c r="O1707" t="s">
        <v>39</v>
      </c>
      <c r="P1707" t="s">
        <v>40</v>
      </c>
    </row>
    <row r="1708" spans="1:16" x14ac:dyDescent="0.25">
      <c r="A1708" s="5">
        <v>45714</v>
      </c>
      <c r="B1708" t="s">
        <v>91</v>
      </c>
      <c r="C1708" t="s">
        <v>92</v>
      </c>
      <c r="D1708" t="s">
        <v>64</v>
      </c>
      <c r="E1708" t="s">
        <v>107</v>
      </c>
      <c r="F1708" t="s">
        <v>108</v>
      </c>
      <c r="G1708" t="s">
        <v>1835</v>
      </c>
      <c r="H1708" s="6">
        <v>29</v>
      </c>
      <c r="I1708" s="7">
        <v>108.57</v>
      </c>
      <c r="J1708" s="7">
        <v>3148.56</v>
      </c>
      <c r="K1708" s="6">
        <v>30</v>
      </c>
      <c r="L1708" t="s">
        <v>45</v>
      </c>
      <c r="M1708" s="8">
        <v>629.71199999999999</v>
      </c>
      <c r="N1708" s="7">
        <v>3148.56</v>
      </c>
      <c r="O1708" t="s">
        <v>46</v>
      </c>
      <c r="P1708" t="s">
        <v>40</v>
      </c>
    </row>
    <row r="1709" spans="1:16" x14ac:dyDescent="0.25">
      <c r="A1709" s="5">
        <v>45828</v>
      </c>
      <c r="B1709" t="s">
        <v>77</v>
      </c>
      <c r="C1709" t="s">
        <v>78</v>
      </c>
      <c r="D1709" t="s">
        <v>58</v>
      </c>
      <c r="E1709" t="s">
        <v>43</v>
      </c>
      <c r="F1709" t="s">
        <v>36</v>
      </c>
      <c r="G1709" t="s">
        <v>1836</v>
      </c>
      <c r="H1709" s="6">
        <v>16</v>
      </c>
      <c r="I1709" s="7">
        <v>184.81</v>
      </c>
      <c r="J1709" s="7">
        <v>2956.94</v>
      </c>
      <c r="K1709" s="6">
        <v>45</v>
      </c>
      <c r="L1709" t="s">
        <v>38</v>
      </c>
      <c r="M1709" s="8">
        <v>591.38800000000003</v>
      </c>
      <c r="N1709" s="7">
        <v>2956.94</v>
      </c>
      <c r="O1709" t="s">
        <v>46</v>
      </c>
      <c r="P1709" t="s">
        <v>40</v>
      </c>
    </row>
    <row r="1710" spans="1:16" x14ac:dyDescent="0.25">
      <c r="A1710" s="5">
        <v>45877</v>
      </c>
      <c r="B1710" t="s">
        <v>113</v>
      </c>
      <c r="C1710" t="s">
        <v>114</v>
      </c>
      <c r="D1710" t="s">
        <v>69</v>
      </c>
      <c r="E1710" t="s">
        <v>154</v>
      </c>
      <c r="F1710" t="s">
        <v>89</v>
      </c>
      <c r="G1710" t="s">
        <v>1837</v>
      </c>
      <c r="H1710" s="6">
        <v>68</v>
      </c>
      <c r="I1710" s="7">
        <v>167.34</v>
      </c>
      <c r="J1710" s="7">
        <v>11378.9</v>
      </c>
      <c r="K1710" s="6">
        <v>45</v>
      </c>
      <c r="L1710" t="s">
        <v>52</v>
      </c>
      <c r="M1710" s="8">
        <v>2275.7800000000002</v>
      </c>
      <c r="N1710" s="7">
        <v>11378.9</v>
      </c>
      <c r="O1710" t="s">
        <v>39</v>
      </c>
      <c r="P1710" t="s">
        <v>40</v>
      </c>
    </row>
    <row r="1711" spans="1:16" x14ac:dyDescent="0.25">
      <c r="A1711" s="5">
        <v>45999</v>
      </c>
      <c r="B1711" t="s">
        <v>100</v>
      </c>
      <c r="C1711" t="s">
        <v>101</v>
      </c>
      <c r="D1711" t="s">
        <v>69</v>
      </c>
      <c r="E1711" t="s">
        <v>204</v>
      </c>
      <c r="F1711" t="s">
        <v>97</v>
      </c>
      <c r="G1711" t="s">
        <v>1838</v>
      </c>
      <c r="H1711" s="6">
        <v>39</v>
      </c>
      <c r="I1711" s="7">
        <v>175.53</v>
      </c>
      <c r="J1711" s="7">
        <v>6845.54</v>
      </c>
      <c r="K1711" s="6">
        <v>60</v>
      </c>
      <c r="L1711" t="s">
        <v>45</v>
      </c>
      <c r="M1711" s="8">
        <v>1369.1079999999999</v>
      </c>
      <c r="N1711" s="7">
        <v>6845.54</v>
      </c>
      <c r="O1711" t="s">
        <v>46</v>
      </c>
      <c r="P1711" t="s">
        <v>40</v>
      </c>
    </row>
    <row r="1712" spans="1:16" x14ac:dyDescent="0.25">
      <c r="A1712" s="5">
        <v>45913</v>
      </c>
      <c r="B1712" t="s">
        <v>47</v>
      </c>
      <c r="C1712" t="s">
        <v>48</v>
      </c>
      <c r="D1712" t="s">
        <v>34</v>
      </c>
      <c r="E1712" t="s">
        <v>75</v>
      </c>
      <c r="F1712" t="s">
        <v>36</v>
      </c>
      <c r="G1712" t="s">
        <v>1839</v>
      </c>
      <c r="H1712" s="6">
        <v>48</v>
      </c>
      <c r="I1712" s="7">
        <v>119.5</v>
      </c>
      <c r="J1712" s="7">
        <v>5735.8</v>
      </c>
      <c r="K1712" s="6">
        <v>45</v>
      </c>
      <c r="L1712" t="s">
        <v>52</v>
      </c>
      <c r="M1712" s="8">
        <v>1147.1600000000001</v>
      </c>
      <c r="N1712" s="7">
        <v>5735.8</v>
      </c>
      <c r="O1712" t="s">
        <v>46</v>
      </c>
      <c r="P1712" t="s">
        <v>40</v>
      </c>
    </row>
    <row r="1713" spans="1:16" x14ac:dyDescent="0.25">
      <c r="A1713" s="5">
        <v>45993</v>
      </c>
      <c r="B1713" t="s">
        <v>121</v>
      </c>
      <c r="C1713" t="s">
        <v>122</v>
      </c>
      <c r="D1713" t="s">
        <v>34</v>
      </c>
      <c r="E1713" t="s">
        <v>49</v>
      </c>
      <c r="F1713" t="s">
        <v>50</v>
      </c>
      <c r="G1713" t="s">
        <v>1840</v>
      </c>
      <c r="H1713" s="6">
        <v>19</v>
      </c>
      <c r="I1713" s="7">
        <v>112.31</v>
      </c>
      <c r="J1713" s="7">
        <v>2133.9299999999998</v>
      </c>
      <c r="K1713" s="6">
        <v>45</v>
      </c>
      <c r="L1713" t="s">
        <v>38</v>
      </c>
      <c r="M1713" s="8">
        <v>426.786</v>
      </c>
      <c r="N1713" s="7">
        <v>2133.9299999999998</v>
      </c>
      <c r="O1713" t="s">
        <v>39</v>
      </c>
      <c r="P1713" t="s">
        <v>40</v>
      </c>
    </row>
    <row r="1714" spans="1:16" x14ac:dyDescent="0.25">
      <c r="A1714" s="5">
        <v>45902</v>
      </c>
      <c r="B1714" t="s">
        <v>100</v>
      </c>
      <c r="C1714" t="s">
        <v>101</v>
      </c>
      <c r="D1714" t="s">
        <v>69</v>
      </c>
      <c r="E1714" t="s">
        <v>129</v>
      </c>
      <c r="F1714" t="s">
        <v>108</v>
      </c>
      <c r="G1714" t="s">
        <v>1841</v>
      </c>
      <c r="H1714" s="6">
        <v>9</v>
      </c>
      <c r="I1714" s="7">
        <v>22.7</v>
      </c>
      <c r="J1714" s="7">
        <v>204.33</v>
      </c>
      <c r="K1714" s="6">
        <v>30</v>
      </c>
      <c r="L1714" t="s">
        <v>52</v>
      </c>
      <c r="M1714" s="8">
        <v>40.866</v>
      </c>
      <c r="N1714" s="7">
        <v>204.33</v>
      </c>
      <c r="O1714" t="s">
        <v>46</v>
      </c>
      <c r="P1714" t="s">
        <v>40</v>
      </c>
    </row>
    <row r="1715" spans="1:16" x14ac:dyDescent="0.25">
      <c r="A1715" s="5">
        <v>45704</v>
      </c>
      <c r="B1715" t="s">
        <v>113</v>
      </c>
      <c r="C1715" t="s">
        <v>114</v>
      </c>
      <c r="D1715" t="s">
        <v>69</v>
      </c>
      <c r="E1715" t="s">
        <v>59</v>
      </c>
      <c r="F1715" t="s">
        <v>60</v>
      </c>
      <c r="G1715" t="s">
        <v>1842</v>
      </c>
      <c r="H1715" s="6">
        <v>42</v>
      </c>
      <c r="I1715" s="7">
        <v>350.62</v>
      </c>
      <c r="J1715" s="7">
        <v>14726.14</v>
      </c>
      <c r="K1715" s="6">
        <v>30</v>
      </c>
      <c r="L1715" t="s">
        <v>38</v>
      </c>
      <c r="M1715" s="8">
        <v>2945.2280000000001</v>
      </c>
      <c r="N1715" s="7">
        <v>14726.14</v>
      </c>
      <c r="O1715" t="s">
        <v>39</v>
      </c>
      <c r="P1715" t="s">
        <v>40</v>
      </c>
    </row>
    <row r="1716" spans="1:16" x14ac:dyDescent="0.25">
      <c r="A1716" s="5">
        <v>45911</v>
      </c>
      <c r="B1716" t="s">
        <v>201</v>
      </c>
      <c r="C1716" t="s">
        <v>202</v>
      </c>
      <c r="D1716" t="s">
        <v>64</v>
      </c>
      <c r="E1716" t="s">
        <v>132</v>
      </c>
      <c r="F1716" t="s">
        <v>71</v>
      </c>
      <c r="G1716" t="s">
        <v>1843</v>
      </c>
      <c r="H1716" s="6">
        <v>55</v>
      </c>
      <c r="I1716" s="7">
        <v>70.77</v>
      </c>
      <c r="J1716" s="7">
        <v>3892.39</v>
      </c>
      <c r="K1716" s="6">
        <v>45</v>
      </c>
      <c r="L1716" t="s">
        <v>52</v>
      </c>
      <c r="M1716" s="8">
        <v>778.47799999999995</v>
      </c>
      <c r="N1716" s="7">
        <v>3892.39</v>
      </c>
      <c r="O1716" t="s">
        <v>46</v>
      </c>
      <c r="P1716" t="s">
        <v>40</v>
      </c>
    </row>
    <row r="1717" spans="1:16" x14ac:dyDescent="0.25">
      <c r="A1717" s="5">
        <v>45992</v>
      </c>
      <c r="B1717" t="s">
        <v>143</v>
      </c>
      <c r="C1717" t="s">
        <v>144</v>
      </c>
      <c r="D1717" t="s">
        <v>69</v>
      </c>
      <c r="E1717" t="s">
        <v>83</v>
      </c>
      <c r="F1717" t="s">
        <v>71</v>
      </c>
      <c r="G1717" t="s">
        <v>1844</v>
      </c>
      <c r="H1717" s="6">
        <v>32</v>
      </c>
      <c r="I1717" s="7">
        <v>90.39</v>
      </c>
      <c r="J1717" s="7">
        <v>2892.34</v>
      </c>
      <c r="K1717" s="6">
        <v>45</v>
      </c>
      <c r="L1717" t="s">
        <v>45</v>
      </c>
      <c r="M1717" s="8">
        <v>578.46799999999996</v>
      </c>
      <c r="N1717" s="7">
        <v>2892.34</v>
      </c>
      <c r="O1717" t="s">
        <v>39</v>
      </c>
      <c r="P1717" t="s">
        <v>40</v>
      </c>
    </row>
    <row r="1718" spans="1:16" x14ac:dyDescent="0.25">
      <c r="A1718" s="5">
        <v>45931</v>
      </c>
      <c r="B1718" t="s">
        <v>62</v>
      </c>
      <c r="C1718" t="s">
        <v>63</v>
      </c>
      <c r="D1718" t="s">
        <v>64</v>
      </c>
      <c r="E1718" t="s">
        <v>129</v>
      </c>
      <c r="F1718" t="s">
        <v>108</v>
      </c>
      <c r="G1718" t="s">
        <v>1845</v>
      </c>
      <c r="H1718" s="6">
        <v>64</v>
      </c>
      <c r="I1718" s="7">
        <v>90.02</v>
      </c>
      <c r="J1718" s="7">
        <v>5761.54</v>
      </c>
      <c r="K1718" s="6">
        <v>60</v>
      </c>
      <c r="L1718" t="s">
        <v>52</v>
      </c>
      <c r="M1718" s="8">
        <v>1152.308</v>
      </c>
      <c r="N1718" s="7">
        <v>5761.54</v>
      </c>
      <c r="O1718" t="s">
        <v>46</v>
      </c>
      <c r="P1718" t="s">
        <v>40</v>
      </c>
    </row>
    <row r="1719" spans="1:16" x14ac:dyDescent="0.25">
      <c r="A1719" s="5">
        <v>45955</v>
      </c>
      <c r="B1719" t="s">
        <v>121</v>
      </c>
      <c r="C1719" t="s">
        <v>122</v>
      </c>
      <c r="D1719" t="s">
        <v>34</v>
      </c>
      <c r="E1719" t="s">
        <v>204</v>
      </c>
      <c r="F1719" t="s">
        <v>97</v>
      </c>
      <c r="G1719" t="s">
        <v>1846</v>
      </c>
      <c r="H1719" s="6">
        <v>54</v>
      </c>
      <c r="I1719" s="7">
        <v>333.14</v>
      </c>
      <c r="J1719" s="7">
        <v>17989.46</v>
      </c>
      <c r="K1719" s="6">
        <v>60</v>
      </c>
      <c r="L1719" t="s">
        <v>52</v>
      </c>
      <c r="M1719" s="8">
        <v>3597.8919999999998</v>
      </c>
      <c r="N1719" s="7">
        <v>17989.46</v>
      </c>
      <c r="O1719" t="s">
        <v>46</v>
      </c>
      <c r="P1719" t="s">
        <v>40</v>
      </c>
    </row>
    <row r="1720" spans="1:16" x14ac:dyDescent="0.25">
      <c r="A1720" s="5">
        <v>45702</v>
      </c>
      <c r="B1720" t="s">
        <v>80</v>
      </c>
      <c r="C1720" t="s">
        <v>81</v>
      </c>
      <c r="D1720" t="s">
        <v>64</v>
      </c>
      <c r="E1720" t="s">
        <v>53</v>
      </c>
      <c r="F1720" t="s">
        <v>54</v>
      </c>
      <c r="G1720" t="s">
        <v>1847</v>
      </c>
      <c r="H1720" s="6">
        <v>31</v>
      </c>
      <c r="I1720" s="7">
        <v>369.32</v>
      </c>
      <c r="J1720" s="7">
        <v>11448.87</v>
      </c>
      <c r="K1720" s="6">
        <v>45</v>
      </c>
      <c r="L1720" t="s">
        <v>38</v>
      </c>
      <c r="M1720" s="8">
        <v>2289.7739999999999</v>
      </c>
      <c r="N1720" s="7">
        <v>11448.87</v>
      </c>
      <c r="O1720" t="s">
        <v>46</v>
      </c>
      <c r="P1720" t="s">
        <v>40</v>
      </c>
    </row>
    <row r="1721" spans="1:16" x14ac:dyDescent="0.25">
      <c r="A1721" s="5">
        <v>45943</v>
      </c>
      <c r="B1721" t="s">
        <v>77</v>
      </c>
      <c r="C1721" t="s">
        <v>78</v>
      </c>
      <c r="D1721" t="s">
        <v>58</v>
      </c>
      <c r="E1721" t="s">
        <v>210</v>
      </c>
      <c r="F1721" t="s">
        <v>50</v>
      </c>
      <c r="G1721" t="s">
        <v>1848</v>
      </c>
      <c r="H1721" s="6">
        <v>61</v>
      </c>
      <c r="I1721" s="7">
        <v>94.44</v>
      </c>
      <c r="J1721" s="7">
        <v>5760.89</v>
      </c>
      <c r="K1721" s="6">
        <v>30</v>
      </c>
      <c r="L1721" t="s">
        <v>38</v>
      </c>
      <c r="M1721" s="8">
        <v>1152.1780000000001</v>
      </c>
      <c r="N1721" s="7">
        <v>5760.89</v>
      </c>
      <c r="O1721" t="s">
        <v>46</v>
      </c>
      <c r="P1721" t="s">
        <v>40</v>
      </c>
    </row>
    <row r="1722" spans="1:16" x14ac:dyDescent="0.25">
      <c r="A1722" s="5">
        <v>45729</v>
      </c>
      <c r="B1722" t="s">
        <v>113</v>
      </c>
      <c r="C1722" t="s">
        <v>114</v>
      </c>
      <c r="D1722" t="s">
        <v>69</v>
      </c>
      <c r="E1722" t="s">
        <v>132</v>
      </c>
      <c r="F1722" t="s">
        <v>71</v>
      </c>
      <c r="G1722" t="s">
        <v>1849</v>
      </c>
      <c r="H1722" s="6">
        <v>38</v>
      </c>
      <c r="I1722" s="7">
        <v>125.98</v>
      </c>
      <c r="J1722" s="7">
        <v>4787.0600000000004</v>
      </c>
      <c r="K1722" s="6">
        <v>45</v>
      </c>
      <c r="L1722" t="s">
        <v>38</v>
      </c>
      <c r="M1722" s="8">
        <v>957.41200000000003</v>
      </c>
      <c r="N1722" s="7">
        <v>4787.0600000000004</v>
      </c>
      <c r="O1722" t="s">
        <v>46</v>
      </c>
      <c r="P1722" t="s">
        <v>40</v>
      </c>
    </row>
    <row r="1723" spans="1:16" x14ac:dyDescent="0.25">
      <c r="A1723" s="5">
        <v>45765</v>
      </c>
      <c r="B1723" t="s">
        <v>201</v>
      </c>
      <c r="C1723" t="s">
        <v>202</v>
      </c>
      <c r="D1723" t="s">
        <v>64</v>
      </c>
      <c r="E1723" t="s">
        <v>204</v>
      </c>
      <c r="F1723" t="s">
        <v>97</v>
      </c>
      <c r="G1723" t="s">
        <v>1850</v>
      </c>
      <c r="H1723" s="6">
        <v>29</v>
      </c>
      <c r="I1723" s="7">
        <v>260.08999999999997</v>
      </c>
      <c r="J1723" s="7">
        <v>7542.64</v>
      </c>
      <c r="K1723" s="6">
        <v>30</v>
      </c>
      <c r="L1723" t="s">
        <v>52</v>
      </c>
      <c r="M1723" s="8">
        <v>1508.528</v>
      </c>
      <c r="N1723" s="7">
        <v>7542.64</v>
      </c>
      <c r="O1723" t="s">
        <v>46</v>
      </c>
      <c r="P1723" t="s">
        <v>40</v>
      </c>
    </row>
    <row r="1724" spans="1:16" x14ac:dyDescent="0.25">
      <c r="A1724" s="5">
        <v>46018</v>
      </c>
      <c r="B1724" t="s">
        <v>100</v>
      </c>
      <c r="C1724" t="s">
        <v>101</v>
      </c>
      <c r="D1724" t="s">
        <v>69</v>
      </c>
      <c r="E1724" t="s">
        <v>43</v>
      </c>
      <c r="F1724" t="s">
        <v>36</v>
      </c>
      <c r="G1724" t="s">
        <v>1851</v>
      </c>
      <c r="H1724" s="6">
        <v>19</v>
      </c>
      <c r="I1724" s="7">
        <v>97.59</v>
      </c>
      <c r="J1724" s="7">
        <v>1854.13</v>
      </c>
      <c r="K1724" s="6">
        <v>45</v>
      </c>
      <c r="L1724" t="s">
        <v>52</v>
      </c>
      <c r="M1724" s="8">
        <v>370.82600000000002</v>
      </c>
      <c r="N1724" s="7">
        <v>1854.13</v>
      </c>
      <c r="O1724" t="s">
        <v>46</v>
      </c>
      <c r="P1724" t="s">
        <v>40</v>
      </c>
    </row>
    <row r="1725" spans="1:16" x14ac:dyDescent="0.25">
      <c r="A1725" s="5">
        <v>45685</v>
      </c>
      <c r="B1725" t="s">
        <v>77</v>
      </c>
      <c r="C1725" t="s">
        <v>78</v>
      </c>
      <c r="D1725" t="s">
        <v>58</v>
      </c>
      <c r="E1725" t="s">
        <v>96</v>
      </c>
      <c r="F1725" t="s">
        <v>97</v>
      </c>
      <c r="G1725" t="s">
        <v>1852</v>
      </c>
      <c r="H1725" s="6">
        <v>14</v>
      </c>
      <c r="I1725" s="7">
        <v>420.83</v>
      </c>
      <c r="J1725" s="7">
        <v>5891.65</v>
      </c>
      <c r="K1725" s="6">
        <v>60</v>
      </c>
      <c r="L1725" t="s">
        <v>52</v>
      </c>
      <c r="M1725" s="8">
        <v>1178.33</v>
      </c>
      <c r="N1725" s="7">
        <v>5891.65</v>
      </c>
      <c r="O1725" t="s">
        <v>46</v>
      </c>
      <c r="P1725" t="s">
        <v>40</v>
      </c>
    </row>
    <row r="1726" spans="1:16" x14ac:dyDescent="0.25">
      <c r="A1726" s="5">
        <v>45738</v>
      </c>
      <c r="B1726" t="s">
        <v>77</v>
      </c>
      <c r="C1726" t="s">
        <v>78</v>
      </c>
      <c r="D1726" t="s">
        <v>58</v>
      </c>
      <c r="E1726" t="s">
        <v>129</v>
      </c>
      <c r="F1726" t="s">
        <v>108</v>
      </c>
      <c r="G1726" t="s">
        <v>1853</v>
      </c>
      <c r="H1726" s="6">
        <v>4</v>
      </c>
      <c r="I1726" s="7">
        <v>44.84</v>
      </c>
      <c r="J1726" s="7">
        <v>179.34</v>
      </c>
      <c r="K1726" s="6">
        <v>30</v>
      </c>
      <c r="L1726" t="s">
        <v>45</v>
      </c>
      <c r="M1726" s="8">
        <v>35.868000000000002</v>
      </c>
      <c r="N1726" s="7">
        <v>179.34</v>
      </c>
      <c r="O1726" t="s">
        <v>46</v>
      </c>
      <c r="P1726" t="s">
        <v>40</v>
      </c>
    </row>
    <row r="1727" spans="1:16" x14ac:dyDescent="0.25">
      <c r="A1727" s="5">
        <v>45697</v>
      </c>
      <c r="B1727" t="s">
        <v>77</v>
      </c>
      <c r="C1727" t="s">
        <v>78</v>
      </c>
      <c r="D1727" t="s">
        <v>58</v>
      </c>
      <c r="E1727" t="s">
        <v>127</v>
      </c>
      <c r="F1727" t="s">
        <v>36</v>
      </c>
      <c r="G1727" t="s">
        <v>1854</v>
      </c>
      <c r="H1727" s="6">
        <v>2</v>
      </c>
      <c r="I1727" s="7">
        <v>118.12</v>
      </c>
      <c r="J1727" s="7">
        <v>236.23</v>
      </c>
      <c r="K1727" s="6">
        <v>60</v>
      </c>
      <c r="L1727" t="s">
        <v>45</v>
      </c>
      <c r="M1727" s="8">
        <v>47.246000000000002</v>
      </c>
      <c r="N1727" s="7">
        <v>236.23</v>
      </c>
      <c r="O1727" t="s">
        <v>39</v>
      </c>
      <c r="P1727" t="s">
        <v>40</v>
      </c>
    </row>
    <row r="1728" spans="1:16" x14ac:dyDescent="0.25">
      <c r="A1728" s="5">
        <v>45729</v>
      </c>
      <c r="B1728" t="s">
        <v>113</v>
      </c>
      <c r="C1728" t="s">
        <v>114</v>
      </c>
      <c r="D1728" t="s">
        <v>69</v>
      </c>
      <c r="E1728" t="s">
        <v>88</v>
      </c>
      <c r="F1728" t="s">
        <v>89</v>
      </c>
      <c r="G1728" t="s">
        <v>1855</v>
      </c>
      <c r="H1728" s="6">
        <v>68</v>
      </c>
      <c r="I1728" s="7">
        <v>134.05000000000001</v>
      </c>
      <c r="J1728" s="7">
        <v>9115.07</v>
      </c>
      <c r="K1728" s="6">
        <v>60</v>
      </c>
      <c r="L1728" t="s">
        <v>45</v>
      </c>
      <c r="M1728" s="8">
        <v>1823.0139999999999</v>
      </c>
      <c r="N1728" s="7">
        <v>9115.07</v>
      </c>
      <c r="O1728" t="s">
        <v>46</v>
      </c>
      <c r="P1728" t="s">
        <v>40</v>
      </c>
    </row>
    <row r="1729" spans="1:16" x14ac:dyDescent="0.25">
      <c r="A1729" s="5">
        <v>45830</v>
      </c>
      <c r="B1729" t="s">
        <v>73</v>
      </c>
      <c r="C1729" t="s">
        <v>74</v>
      </c>
      <c r="D1729" t="s">
        <v>69</v>
      </c>
      <c r="E1729" t="s">
        <v>105</v>
      </c>
      <c r="F1729" t="s">
        <v>97</v>
      </c>
      <c r="G1729" t="s">
        <v>1856</v>
      </c>
      <c r="H1729" s="6">
        <v>57</v>
      </c>
      <c r="I1729" s="7">
        <v>467.88</v>
      </c>
      <c r="J1729" s="7">
        <v>26669.22</v>
      </c>
      <c r="K1729" s="6">
        <v>60</v>
      </c>
      <c r="L1729" t="s">
        <v>52</v>
      </c>
      <c r="M1729" s="8">
        <v>5333.8440000000001</v>
      </c>
      <c r="N1729" s="7">
        <v>26669.22</v>
      </c>
      <c r="O1729" t="s">
        <v>46</v>
      </c>
      <c r="P1729" t="s">
        <v>40</v>
      </c>
    </row>
    <row r="1730" spans="1:16" x14ac:dyDescent="0.25">
      <c r="A1730" s="5">
        <v>45737</v>
      </c>
      <c r="B1730" t="s">
        <v>118</v>
      </c>
      <c r="C1730" t="s">
        <v>119</v>
      </c>
      <c r="D1730" t="s">
        <v>64</v>
      </c>
      <c r="E1730" t="s">
        <v>59</v>
      </c>
      <c r="F1730" t="s">
        <v>60</v>
      </c>
      <c r="G1730" t="s">
        <v>1857</v>
      </c>
      <c r="H1730" s="6">
        <v>8</v>
      </c>
      <c r="I1730" s="7">
        <v>269.25</v>
      </c>
      <c r="J1730" s="7">
        <v>2153.9899999999998</v>
      </c>
      <c r="K1730" s="6">
        <v>60</v>
      </c>
      <c r="L1730" t="s">
        <v>38</v>
      </c>
      <c r="M1730" s="8">
        <v>430.798</v>
      </c>
      <c r="N1730" s="7">
        <v>2153.9899999999998</v>
      </c>
      <c r="O1730" t="s">
        <v>39</v>
      </c>
      <c r="P1730" t="s">
        <v>40</v>
      </c>
    </row>
    <row r="1731" spans="1:16" x14ac:dyDescent="0.25">
      <c r="A1731" s="5">
        <v>45740</v>
      </c>
      <c r="B1731" t="s">
        <v>121</v>
      </c>
      <c r="C1731" t="s">
        <v>122</v>
      </c>
      <c r="D1731" t="s">
        <v>34</v>
      </c>
      <c r="E1731" t="s">
        <v>124</v>
      </c>
      <c r="F1731" t="s">
        <v>89</v>
      </c>
      <c r="G1731" t="s">
        <v>1858</v>
      </c>
      <c r="H1731" s="6">
        <v>2</v>
      </c>
      <c r="I1731" s="7">
        <v>494.7</v>
      </c>
      <c r="J1731" s="7">
        <v>989.41</v>
      </c>
      <c r="K1731" s="6">
        <v>45</v>
      </c>
      <c r="L1731" t="s">
        <v>45</v>
      </c>
      <c r="M1731" s="8">
        <v>197.88200000000001</v>
      </c>
      <c r="N1731" s="7">
        <v>989.41</v>
      </c>
      <c r="O1731" t="s">
        <v>46</v>
      </c>
      <c r="P1731" t="s">
        <v>40</v>
      </c>
    </row>
    <row r="1732" spans="1:16" x14ac:dyDescent="0.25">
      <c r="A1732" s="5">
        <v>46022</v>
      </c>
      <c r="B1732" t="s">
        <v>67</v>
      </c>
      <c r="C1732" t="s">
        <v>68</v>
      </c>
      <c r="D1732" t="s">
        <v>69</v>
      </c>
      <c r="E1732" t="s">
        <v>129</v>
      </c>
      <c r="F1732" t="s">
        <v>108</v>
      </c>
      <c r="G1732" t="s">
        <v>1859</v>
      </c>
      <c r="H1732" s="6">
        <v>34</v>
      </c>
      <c r="I1732" s="7">
        <v>66.33</v>
      </c>
      <c r="J1732" s="7">
        <v>2255.08</v>
      </c>
      <c r="K1732" s="6">
        <v>60</v>
      </c>
      <c r="L1732" t="s">
        <v>52</v>
      </c>
      <c r="M1732" s="8">
        <v>451.01600000000002</v>
      </c>
      <c r="N1732" s="7">
        <v>2255.08</v>
      </c>
      <c r="O1732" t="s">
        <v>46</v>
      </c>
      <c r="P1732" t="s">
        <v>40</v>
      </c>
    </row>
    <row r="1733" spans="1:16" x14ac:dyDescent="0.25">
      <c r="A1733" s="5">
        <v>45738</v>
      </c>
      <c r="B1733" t="s">
        <v>85</v>
      </c>
      <c r="C1733" t="s">
        <v>86</v>
      </c>
      <c r="D1733" t="s">
        <v>58</v>
      </c>
      <c r="E1733" t="s">
        <v>65</v>
      </c>
      <c r="F1733" t="s">
        <v>54</v>
      </c>
      <c r="G1733" t="s">
        <v>1860</v>
      </c>
      <c r="H1733" s="6">
        <v>35</v>
      </c>
      <c r="I1733" s="7">
        <v>206.3</v>
      </c>
      <c r="J1733" s="7">
        <v>7220.54</v>
      </c>
      <c r="K1733" s="6">
        <v>30</v>
      </c>
      <c r="L1733" t="s">
        <v>52</v>
      </c>
      <c r="M1733" s="8">
        <v>1444.1079999999999</v>
      </c>
      <c r="N1733" s="7">
        <v>7220.54</v>
      </c>
      <c r="O1733" t="s">
        <v>46</v>
      </c>
      <c r="P1733" t="s">
        <v>40</v>
      </c>
    </row>
    <row r="1734" spans="1:16" x14ac:dyDescent="0.25">
      <c r="A1734" s="5">
        <v>45766</v>
      </c>
      <c r="B1734" t="s">
        <v>201</v>
      </c>
      <c r="C1734" t="s">
        <v>202</v>
      </c>
      <c r="D1734" t="s">
        <v>64</v>
      </c>
      <c r="E1734" t="s">
        <v>124</v>
      </c>
      <c r="F1734" t="s">
        <v>89</v>
      </c>
      <c r="G1734" t="s">
        <v>1861</v>
      </c>
      <c r="H1734" s="6">
        <v>52</v>
      </c>
      <c r="I1734" s="7">
        <v>178.09</v>
      </c>
      <c r="J1734" s="7">
        <v>9260.56</v>
      </c>
      <c r="K1734" s="6">
        <v>60</v>
      </c>
      <c r="L1734" t="s">
        <v>38</v>
      </c>
      <c r="M1734" s="8">
        <v>1852.1120000000001</v>
      </c>
      <c r="N1734" s="7">
        <v>9260.56</v>
      </c>
      <c r="O1734" t="s">
        <v>46</v>
      </c>
      <c r="P1734" t="s">
        <v>40</v>
      </c>
    </row>
    <row r="1735" spans="1:16" x14ac:dyDescent="0.25">
      <c r="A1735" s="5">
        <v>45944</v>
      </c>
      <c r="B1735" t="s">
        <v>73</v>
      </c>
      <c r="C1735" t="s">
        <v>74</v>
      </c>
      <c r="D1735" t="s">
        <v>69</v>
      </c>
      <c r="E1735" t="s">
        <v>204</v>
      </c>
      <c r="F1735" t="s">
        <v>97</v>
      </c>
      <c r="G1735" t="s">
        <v>1862</v>
      </c>
      <c r="H1735" s="6">
        <v>78</v>
      </c>
      <c r="I1735" s="7">
        <v>253.92</v>
      </c>
      <c r="J1735" s="7">
        <v>19806.04</v>
      </c>
      <c r="K1735" s="6">
        <v>30</v>
      </c>
      <c r="L1735" t="s">
        <v>52</v>
      </c>
      <c r="M1735" s="8">
        <v>3961.2080000000001</v>
      </c>
      <c r="N1735" s="7">
        <v>19806.04</v>
      </c>
      <c r="O1735" t="s">
        <v>46</v>
      </c>
      <c r="P1735" t="s">
        <v>40</v>
      </c>
    </row>
    <row r="1736" spans="1:16" x14ac:dyDescent="0.25">
      <c r="A1736" s="5">
        <v>45992</v>
      </c>
      <c r="B1736" t="s">
        <v>41</v>
      </c>
      <c r="C1736" t="s">
        <v>42</v>
      </c>
      <c r="D1736" t="s">
        <v>34</v>
      </c>
      <c r="E1736" t="s">
        <v>139</v>
      </c>
      <c r="F1736" t="s">
        <v>108</v>
      </c>
      <c r="G1736" t="s">
        <v>1863</v>
      </c>
      <c r="H1736" s="6">
        <v>52</v>
      </c>
      <c r="I1736" s="7">
        <v>116.45</v>
      </c>
      <c r="J1736" s="7">
        <v>6055.36</v>
      </c>
      <c r="K1736" s="6">
        <v>45</v>
      </c>
      <c r="L1736" t="s">
        <v>38</v>
      </c>
      <c r="M1736" s="8">
        <v>1211.0719999999999</v>
      </c>
      <c r="N1736" s="7">
        <v>6055.36</v>
      </c>
      <c r="O1736" t="s">
        <v>46</v>
      </c>
      <c r="P1736" t="s">
        <v>40</v>
      </c>
    </row>
    <row r="1737" spans="1:16" x14ac:dyDescent="0.25">
      <c r="A1737" s="5">
        <v>45875</v>
      </c>
      <c r="B1737" t="s">
        <v>94</v>
      </c>
      <c r="C1737" t="s">
        <v>95</v>
      </c>
      <c r="D1737" t="s">
        <v>34</v>
      </c>
      <c r="E1737" t="s">
        <v>70</v>
      </c>
      <c r="F1737" t="s">
        <v>71</v>
      </c>
      <c r="G1737" t="s">
        <v>1864</v>
      </c>
      <c r="H1737" s="6">
        <v>25</v>
      </c>
      <c r="I1737" s="7">
        <v>39.049999999999997</v>
      </c>
      <c r="J1737" s="7">
        <v>976.31</v>
      </c>
      <c r="K1737" s="6">
        <v>45</v>
      </c>
      <c r="L1737" t="s">
        <v>38</v>
      </c>
      <c r="M1737" s="8">
        <v>195.262</v>
      </c>
      <c r="N1737" s="7">
        <v>976.31</v>
      </c>
      <c r="O1737" t="s">
        <v>46</v>
      </c>
      <c r="P1737" t="s">
        <v>40</v>
      </c>
    </row>
    <row r="1738" spans="1:16" x14ac:dyDescent="0.25">
      <c r="A1738" s="5">
        <v>45966</v>
      </c>
      <c r="B1738" t="s">
        <v>201</v>
      </c>
      <c r="C1738" t="s">
        <v>202</v>
      </c>
      <c r="D1738" t="s">
        <v>64</v>
      </c>
      <c r="E1738" t="s">
        <v>75</v>
      </c>
      <c r="F1738" t="s">
        <v>36</v>
      </c>
      <c r="G1738" t="s">
        <v>1865</v>
      </c>
      <c r="H1738" s="6">
        <v>43</v>
      </c>
      <c r="I1738" s="7">
        <v>36.409999999999997</v>
      </c>
      <c r="J1738" s="7">
        <v>1565.66</v>
      </c>
      <c r="K1738" s="6">
        <v>30</v>
      </c>
      <c r="L1738" t="s">
        <v>38</v>
      </c>
      <c r="M1738" s="8">
        <v>313.13200000000001</v>
      </c>
      <c r="N1738" s="7">
        <v>1565.66</v>
      </c>
      <c r="O1738" t="s">
        <v>46</v>
      </c>
      <c r="P1738" t="s">
        <v>40</v>
      </c>
    </row>
    <row r="1739" spans="1:16" x14ac:dyDescent="0.25">
      <c r="A1739" s="5">
        <v>45712</v>
      </c>
      <c r="B1739" t="s">
        <v>103</v>
      </c>
      <c r="C1739" t="s">
        <v>104</v>
      </c>
      <c r="D1739" t="s">
        <v>58</v>
      </c>
      <c r="E1739" t="s">
        <v>124</v>
      </c>
      <c r="F1739" t="s">
        <v>89</v>
      </c>
      <c r="G1739" t="s">
        <v>1866</v>
      </c>
      <c r="H1739" s="6">
        <v>9</v>
      </c>
      <c r="I1739" s="7">
        <v>100.05</v>
      </c>
      <c r="J1739" s="7">
        <v>900.45</v>
      </c>
      <c r="K1739" s="6">
        <v>30</v>
      </c>
      <c r="L1739" t="s">
        <v>52</v>
      </c>
      <c r="M1739" s="8">
        <v>180.09</v>
      </c>
      <c r="N1739" s="7">
        <v>900.45</v>
      </c>
      <c r="O1739" t="s">
        <v>46</v>
      </c>
      <c r="P1739" t="s">
        <v>40</v>
      </c>
    </row>
    <row r="1740" spans="1:16" x14ac:dyDescent="0.25">
      <c r="A1740" s="5">
        <v>45940</v>
      </c>
      <c r="B1740" t="s">
        <v>100</v>
      </c>
      <c r="C1740" t="s">
        <v>101</v>
      </c>
      <c r="D1740" t="s">
        <v>69</v>
      </c>
      <c r="E1740" t="s">
        <v>59</v>
      </c>
      <c r="F1740" t="s">
        <v>60</v>
      </c>
      <c r="G1740" t="s">
        <v>1867</v>
      </c>
      <c r="H1740" s="6">
        <v>26</v>
      </c>
      <c r="I1740" s="7">
        <v>371.04</v>
      </c>
      <c r="J1740" s="7">
        <v>9646.91</v>
      </c>
      <c r="K1740" s="6">
        <v>60</v>
      </c>
      <c r="L1740" t="s">
        <v>38</v>
      </c>
      <c r="M1740" s="8">
        <v>1929.3820000000001</v>
      </c>
      <c r="N1740" s="7">
        <v>9646.91</v>
      </c>
      <c r="O1740" t="s">
        <v>39</v>
      </c>
      <c r="P1740" t="s">
        <v>40</v>
      </c>
    </row>
    <row r="1741" spans="1:16" x14ac:dyDescent="0.25">
      <c r="A1741" s="5">
        <v>45949</v>
      </c>
      <c r="B1741" t="s">
        <v>80</v>
      </c>
      <c r="C1741" t="s">
        <v>81</v>
      </c>
      <c r="D1741" t="s">
        <v>64</v>
      </c>
      <c r="E1741" t="s">
        <v>59</v>
      </c>
      <c r="F1741" t="s">
        <v>60</v>
      </c>
      <c r="G1741" t="s">
        <v>1868</v>
      </c>
      <c r="H1741" s="6">
        <v>73</v>
      </c>
      <c r="I1741" s="7">
        <v>563.66999999999996</v>
      </c>
      <c r="J1741" s="7">
        <v>41147.74</v>
      </c>
      <c r="K1741" s="6">
        <v>30</v>
      </c>
      <c r="L1741" t="s">
        <v>52</v>
      </c>
      <c r="M1741" s="8">
        <v>8229.5480000000007</v>
      </c>
      <c r="N1741" s="7">
        <v>41147.74</v>
      </c>
      <c r="O1741" t="s">
        <v>39</v>
      </c>
      <c r="P1741" t="s">
        <v>40</v>
      </c>
    </row>
    <row r="1742" spans="1:16" x14ac:dyDescent="0.25">
      <c r="A1742" s="5">
        <v>45819</v>
      </c>
      <c r="B1742" t="s">
        <v>121</v>
      </c>
      <c r="C1742" t="s">
        <v>122</v>
      </c>
      <c r="D1742" t="s">
        <v>34</v>
      </c>
      <c r="E1742" t="s">
        <v>49</v>
      </c>
      <c r="F1742" t="s">
        <v>50</v>
      </c>
      <c r="G1742" t="s">
        <v>1869</v>
      </c>
      <c r="H1742" s="6">
        <v>12</v>
      </c>
      <c r="I1742" s="7">
        <v>113.3</v>
      </c>
      <c r="J1742" s="7">
        <v>1359.61</v>
      </c>
      <c r="K1742" s="6">
        <v>45</v>
      </c>
      <c r="L1742" t="s">
        <v>38</v>
      </c>
      <c r="M1742" s="8">
        <v>271.92200000000003</v>
      </c>
      <c r="N1742" s="7">
        <v>1359.61</v>
      </c>
      <c r="O1742" t="s">
        <v>39</v>
      </c>
      <c r="P1742" t="s">
        <v>40</v>
      </c>
    </row>
    <row r="1743" spans="1:16" x14ac:dyDescent="0.25">
      <c r="A1743" s="5">
        <v>45914</v>
      </c>
      <c r="B1743" t="s">
        <v>143</v>
      </c>
      <c r="C1743" t="s">
        <v>144</v>
      </c>
      <c r="D1743" t="s">
        <v>69</v>
      </c>
      <c r="E1743" t="s">
        <v>149</v>
      </c>
      <c r="F1743" t="s">
        <v>60</v>
      </c>
      <c r="G1743" t="s">
        <v>1870</v>
      </c>
      <c r="H1743" s="6">
        <v>25</v>
      </c>
      <c r="I1743" s="7">
        <v>200.49</v>
      </c>
      <c r="J1743" s="7">
        <v>5012.3100000000004</v>
      </c>
      <c r="K1743" s="6">
        <v>45</v>
      </c>
      <c r="L1743" t="s">
        <v>45</v>
      </c>
      <c r="M1743" s="8">
        <v>1002.462</v>
      </c>
      <c r="N1743" s="7">
        <v>5012.3100000000004</v>
      </c>
      <c r="O1743" t="s">
        <v>46</v>
      </c>
      <c r="P1743" t="s">
        <v>40</v>
      </c>
    </row>
    <row r="1744" spans="1:16" x14ac:dyDescent="0.25">
      <c r="A1744" s="5">
        <v>46017</v>
      </c>
      <c r="B1744" t="s">
        <v>100</v>
      </c>
      <c r="C1744" t="s">
        <v>101</v>
      </c>
      <c r="D1744" t="s">
        <v>69</v>
      </c>
      <c r="E1744" t="s">
        <v>83</v>
      </c>
      <c r="F1744" t="s">
        <v>71</v>
      </c>
      <c r="G1744" t="s">
        <v>1871</v>
      </c>
      <c r="H1744" s="6">
        <v>13</v>
      </c>
      <c r="I1744" s="7">
        <v>98.73</v>
      </c>
      <c r="J1744" s="7">
        <v>1283.51</v>
      </c>
      <c r="K1744" s="6">
        <v>45</v>
      </c>
      <c r="L1744" t="s">
        <v>45</v>
      </c>
      <c r="M1744" s="8">
        <v>256.702</v>
      </c>
      <c r="N1744" s="7">
        <v>1283.51</v>
      </c>
      <c r="O1744" t="s">
        <v>39</v>
      </c>
      <c r="P1744" t="s">
        <v>40</v>
      </c>
    </row>
    <row r="1745" spans="1:16" x14ac:dyDescent="0.25">
      <c r="A1745" s="5">
        <v>45734</v>
      </c>
      <c r="B1745" t="s">
        <v>201</v>
      </c>
      <c r="C1745" t="s">
        <v>202</v>
      </c>
      <c r="D1745" t="s">
        <v>64</v>
      </c>
      <c r="E1745" t="s">
        <v>43</v>
      </c>
      <c r="F1745" t="s">
        <v>36</v>
      </c>
      <c r="G1745" t="s">
        <v>1872</v>
      </c>
      <c r="H1745" s="6">
        <v>4</v>
      </c>
      <c r="I1745" s="7">
        <v>123.15</v>
      </c>
      <c r="J1745" s="7">
        <v>492.61</v>
      </c>
      <c r="K1745" s="6">
        <v>60</v>
      </c>
      <c r="L1745" t="s">
        <v>45</v>
      </c>
      <c r="M1745" s="8">
        <v>98.522000000000006</v>
      </c>
      <c r="N1745" s="7">
        <v>492.61</v>
      </c>
      <c r="O1745" t="s">
        <v>46</v>
      </c>
      <c r="P1745" t="s">
        <v>40</v>
      </c>
    </row>
    <row r="1746" spans="1:16" x14ac:dyDescent="0.25">
      <c r="A1746" s="5">
        <v>45740</v>
      </c>
      <c r="B1746" t="s">
        <v>41</v>
      </c>
      <c r="C1746" t="s">
        <v>42</v>
      </c>
      <c r="D1746" t="s">
        <v>34</v>
      </c>
      <c r="E1746" t="s">
        <v>210</v>
      </c>
      <c r="F1746" t="s">
        <v>50</v>
      </c>
      <c r="G1746" t="s">
        <v>1873</v>
      </c>
      <c r="H1746" s="6">
        <v>20</v>
      </c>
      <c r="I1746" s="7">
        <v>72.06</v>
      </c>
      <c r="J1746" s="7">
        <v>1441.13</v>
      </c>
      <c r="K1746" s="6">
        <v>60</v>
      </c>
      <c r="L1746" t="s">
        <v>45</v>
      </c>
      <c r="M1746" s="8">
        <v>288.226</v>
      </c>
      <c r="N1746" s="7">
        <v>1441.13</v>
      </c>
      <c r="O1746" t="s">
        <v>46</v>
      </c>
      <c r="P1746" t="s">
        <v>40</v>
      </c>
    </row>
    <row r="1747" spans="1:16" x14ac:dyDescent="0.25">
      <c r="A1747" s="5">
        <v>45776</v>
      </c>
      <c r="B1747" t="s">
        <v>201</v>
      </c>
      <c r="C1747" t="s">
        <v>202</v>
      </c>
      <c r="D1747" t="s">
        <v>64</v>
      </c>
      <c r="E1747" t="s">
        <v>43</v>
      </c>
      <c r="F1747" t="s">
        <v>36</v>
      </c>
      <c r="G1747" t="s">
        <v>1874</v>
      </c>
      <c r="H1747" s="6">
        <v>28</v>
      </c>
      <c r="I1747" s="7">
        <v>74.11</v>
      </c>
      <c r="J1747" s="7">
        <v>2074.9499999999998</v>
      </c>
      <c r="K1747" s="6">
        <v>60</v>
      </c>
      <c r="L1747" t="s">
        <v>52</v>
      </c>
      <c r="M1747" s="8">
        <v>414.99</v>
      </c>
      <c r="N1747" s="7">
        <v>2074.9499999999998</v>
      </c>
      <c r="O1747" t="s">
        <v>46</v>
      </c>
      <c r="P1747" t="s">
        <v>40</v>
      </c>
    </row>
    <row r="1748" spans="1:16" x14ac:dyDescent="0.25">
      <c r="A1748" s="5">
        <v>45922</v>
      </c>
      <c r="B1748" t="s">
        <v>201</v>
      </c>
      <c r="C1748" t="s">
        <v>202</v>
      </c>
      <c r="D1748" t="s">
        <v>64</v>
      </c>
      <c r="E1748" t="s">
        <v>124</v>
      </c>
      <c r="F1748" t="s">
        <v>89</v>
      </c>
      <c r="G1748" t="s">
        <v>1875</v>
      </c>
      <c r="H1748" s="6">
        <v>78</v>
      </c>
      <c r="I1748" s="7">
        <v>307.76</v>
      </c>
      <c r="J1748" s="7">
        <v>24005.17</v>
      </c>
      <c r="K1748" s="6">
        <v>60</v>
      </c>
      <c r="L1748" t="s">
        <v>52</v>
      </c>
      <c r="M1748" s="8">
        <v>4801.0339999999997</v>
      </c>
      <c r="N1748" s="7">
        <v>24005.17</v>
      </c>
      <c r="O1748" t="s">
        <v>46</v>
      </c>
      <c r="P1748" t="s">
        <v>40</v>
      </c>
    </row>
    <row r="1749" spans="1:16" x14ac:dyDescent="0.25">
      <c r="A1749" s="5">
        <v>45831</v>
      </c>
      <c r="B1749" t="s">
        <v>91</v>
      </c>
      <c r="C1749" t="s">
        <v>92</v>
      </c>
      <c r="D1749" t="s">
        <v>64</v>
      </c>
      <c r="E1749" t="s">
        <v>107</v>
      </c>
      <c r="F1749" t="s">
        <v>108</v>
      </c>
      <c r="G1749" t="s">
        <v>1876</v>
      </c>
      <c r="H1749" s="6">
        <v>38</v>
      </c>
      <c r="I1749" s="7">
        <v>98.8</v>
      </c>
      <c r="J1749" s="7">
        <v>3754.37</v>
      </c>
      <c r="K1749" s="6">
        <v>45</v>
      </c>
      <c r="L1749" t="s">
        <v>52</v>
      </c>
      <c r="M1749" s="8">
        <v>750.87400000000002</v>
      </c>
      <c r="N1749" s="7">
        <v>3754.37</v>
      </c>
      <c r="O1749" t="s">
        <v>46</v>
      </c>
      <c r="P1749" t="s">
        <v>40</v>
      </c>
    </row>
    <row r="1750" spans="1:16" x14ac:dyDescent="0.25">
      <c r="A1750" s="5">
        <v>46007</v>
      </c>
      <c r="B1750" t="s">
        <v>113</v>
      </c>
      <c r="C1750" t="s">
        <v>114</v>
      </c>
      <c r="D1750" t="s">
        <v>69</v>
      </c>
      <c r="E1750" t="s">
        <v>152</v>
      </c>
      <c r="F1750" t="s">
        <v>50</v>
      </c>
      <c r="G1750" t="s">
        <v>1877</v>
      </c>
      <c r="H1750" s="6">
        <v>50</v>
      </c>
      <c r="I1750" s="7">
        <v>133.19</v>
      </c>
      <c r="J1750" s="7">
        <v>6659.4</v>
      </c>
      <c r="K1750" s="6">
        <v>30</v>
      </c>
      <c r="L1750" t="s">
        <v>38</v>
      </c>
      <c r="M1750" s="8">
        <v>1331.88</v>
      </c>
      <c r="N1750" s="7">
        <v>6659.4</v>
      </c>
      <c r="O1750" t="s">
        <v>46</v>
      </c>
      <c r="P1750" t="s">
        <v>40</v>
      </c>
    </row>
    <row r="1751" spans="1:16" x14ac:dyDescent="0.25">
      <c r="A1751" s="5">
        <v>45948</v>
      </c>
      <c r="B1751" t="s">
        <v>91</v>
      </c>
      <c r="C1751" t="s">
        <v>92</v>
      </c>
      <c r="D1751" t="s">
        <v>64</v>
      </c>
      <c r="E1751" t="s">
        <v>127</v>
      </c>
      <c r="F1751" t="s">
        <v>36</v>
      </c>
      <c r="G1751" t="s">
        <v>1878</v>
      </c>
      <c r="H1751" s="6">
        <v>64</v>
      </c>
      <c r="I1751" s="7">
        <v>112.73</v>
      </c>
      <c r="J1751" s="7">
        <v>7214.48</v>
      </c>
      <c r="K1751" s="6">
        <v>30</v>
      </c>
      <c r="L1751" t="s">
        <v>38</v>
      </c>
      <c r="M1751" s="8">
        <v>1442.896</v>
      </c>
      <c r="N1751" s="7">
        <v>7214.48</v>
      </c>
      <c r="O1751" t="s">
        <v>39</v>
      </c>
      <c r="P1751" t="s">
        <v>40</v>
      </c>
    </row>
    <row r="1752" spans="1:16" x14ac:dyDescent="0.25">
      <c r="A1752" s="5">
        <v>45702</v>
      </c>
      <c r="B1752" t="s">
        <v>73</v>
      </c>
      <c r="C1752" t="s">
        <v>74</v>
      </c>
      <c r="D1752" t="s">
        <v>69</v>
      </c>
      <c r="E1752" t="s">
        <v>115</v>
      </c>
      <c r="F1752" t="s">
        <v>60</v>
      </c>
      <c r="G1752" t="s">
        <v>1879</v>
      </c>
      <c r="H1752" s="6">
        <v>64</v>
      </c>
      <c r="I1752" s="7">
        <v>49.74</v>
      </c>
      <c r="J1752" s="7">
        <v>3183.49</v>
      </c>
      <c r="K1752" s="6">
        <v>30</v>
      </c>
      <c r="L1752" t="s">
        <v>45</v>
      </c>
      <c r="M1752" s="8">
        <v>636.69799999999998</v>
      </c>
      <c r="N1752" s="7">
        <v>3183.49</v>
      </c>
      <c r="O1752" t="s">
        <v>46</v>
      </c>
      <c r="P1752" t="s">
        <v>40</v>
      </c>
    </row>
    <row r="1753" spans="1:16" x14ac:dyDescent="0.25">
      <c r="A1753" s="5">
        <v>45740</v>
      </c>
      <c r="B1753" t="s">
        <v>201</v>
      </c>
      <c r="C1753" t="s">
        <v>202</v>
      </c>
      <c r="D1753" t="s">
        <v>64</v>
      </c>
      <c r="E1753" t="s">
        <v>88</v>
      </c>
      <c r="F1753" t="s">
        <v>89</v>
      </c>
      <c r="G1753" t="s">
        <v>1880</v>
      </c>
      <c r="H1753" s="6">
        <v>9</v>
      </c>
      <c r="I1753" s="7">
        <v>261.33</v>
      </c>
      <c r="J1753" s="7">
        <v>2351.98</v>
      </c>
      <c r="K1753" s="6">
        <v>45</v>
      </c>
      <c r="L1753" t="s">
        <v>52</v>
      </c>
      <c r="M1753" s="8">
        <v>470.39600000000002</v>
      </c>
      <c r="N1753" s="7">
        <v>2351.98</v>
      </c>
      <c r="O1753" t="s">
        <v>46</v>
      </c>
      <c r="P1753" t="s">
        <v>40</v>
      </c>
    </row>
    <row r="1754" spans="1:16" x14ac:dyDescent="0.25">
      <c r="A1754" s="5">
        <v>45694</v>
      </c>
      <c r="B1754" t="s">
        <v>67</v>
      </c>
      <c r="C1754" t="s">
        <v>68</v>
      </c>
      <c r="D1754" t="s">
        <v>69</v>
      </c>
      <c r="E1754" t="s">
        <v>83</v>
      </c>
      <c r="F1754" t="s">
        <v>71</v>
      </c>
      <c r="G1754" t="s">
        <v>1881</v>
      </c>
      <c r="H1754" s="6">
        <v>23</v>
      </c>
      <c r="I1754" s="7">
        <v>66.3</v>
      </c>
      <c r="J1754" s="7">
        <v>1524.82</v>
      </c>
      <c r="K1754" s="6">
        <v>60</v>
      </c>
      <c r="L1754" t="s">
        <v>45</v>
      </c>
      <c r="M1754" s="8">
        <v>304.964</v>
      </c>
      <c r="N1754" s="7">
        <v>1524.82</v>
      </c>
      <c r="O1754" t="s">
        <v>39</v>
      </c>
      <c r="P1754" t="s">
        <v>40</v>
      </c>
    </row>
    <row r="1755" spans="1:16" x14ac:dyDescent="0.25">
      <c r="A1755" s="5">
        <v>45884</v>
      </c>
      <c r="B1755" t="s">
        <v>94</v>
      </c>
      <c r="C1755" t="s">
        <v>95</v>
      </c>
      <c r="D1755" t="s">
        <v>34</v>
      </c>
      <c r="E1755" t="s">
        <v>139</v>
      </c>
      <c r="F1755" t="s">
        <v>108</v>
      </c>
      <c r="G1755" t="s">
        <v>1882</v>
      </c>
      <c r="H1755" s="6">
        <v>18</v>
      </c>
      <c r="I1755" s="7">
        <v>27.4</v>
      </c>
      <c r="J1755" s="7">
        <v>493.25</v>
      </c>
      <c r="K1755" s="6">
        <v>30</v>
      </c>
      <c r="L1755" t="s">
        <v>52</v>
      </c>
      <c r="M1755" s="8">
        <v>98.65</v>
      </c>
      <c r="N1755" s="7">
        <v>493.25</v>
      </c>
      <c r="O1755" t="s">
        <v>46</v>
      </c>
      <c r="P1755" t="s">
        <v>40</v>
      </c>
    </row>
    <row r="1756" spans="1:16" x14ac:dyDescent="0.25">
      <c r="A1756" s="5">
        <v>45804</v>
      </c>
      <c r="B1756" t="s">
        <v>62</v>
      </c>
      <c r="C1756" t="s">
        <v>63</v>
      </c>
      <c r="D1756" t="s">
        <v>64</v>
      </c>
      <c r="E1756" t="s">
        <v>210</v>
      </c>
      <c r="F1756" t="s">
        <v>50</v>
      </c>
      <c r="G1756" t="s">
        <v>1883</v>
      </c>
      <c r="H1756" s="6">
        <v>52</v>
      </c>
      <c r="I1756" s="7">
        <v>158.96</v>
      </c>
      <c r="J1756" s="7">
        <v>8265.92</v>
      </c>
      <c r="K1756" s="6">
        <v>45</v>
      </c>
      <c r="L1756" t="s">
        <v>52</v>
      </c>
      <c r="M1756" s="8">
        <v>1653.184</v>
      </c>
      <c r="N1756" s="7">
        <v>8265.92</v>
      </c>
      <c r="O1756" t="s">
        <v>46</v>
      </c>
      <c r="P1756" t="s">
        <v>40</v>
      </c>
    </row>
    <row r="1757" spans="1:16" x14ac:dyDescent="0.25">
      <c r="A1757" s="5">
        <v>45845</v>
      </c>
      <c r="B1757" t="s">
        <v>80</v>
      </c>
      <c r="C1757" t="s">
        <v>81</v>
      </c>
      <c r="D1757" t="s">
        <v>64</v>
      </c>
      <c r="E1757" t="s">
        <v>88</v>
      </c>
      <c r="F1757" t="s">
        <v>89</v>
      </c>
      <c r="G1757" t="s">
        <v>1884</v>
      </c>
      <c r="H1757" s="6">
        <v>66</v>
      </c>
      <c r="I1757" s="7">
        <v>383.17</v>
      </c>
      <c r="J1757" s="7">
        <v>25288.97</v>
      </c>
      <c r="K1757" s="6">
        <v>60</v>
      </c>
      <c r="L1757" t="s">
        <v>45</v>
      </c>
      <c r="M1757" s="8">
        <v>5057.7939999999999</v>
      </c>
      <c r="N1757" s="7">
        <v>25288.97</v>
      </c>
      <c r="O1757" t="s">
        <v>46</v>
      </c>
      <c r="P1757" t="s">
        <v>40</v>
      </c>
    </row>
    <row r="1758" spans="1:16" x14ac:dyDescent="0.25">
      <c r="A1758" s="5">
        <v>45869</v>
      </c>
      <c r="B1758" t="s">
        <v>32</v>
      </c>
      <c r="C1758" t="s">
        <v>33</v>
      </c>
      <c r="D1758" t="s">
        <v>34</v>
      </c>
      <c r="E1758" t="s">
        <v>43</v>
      </c>
      <c r="F1758" t="s">
        <v>36</v>
      </c>
      <c r="G1758" t="s">
        <v>1885</v>
      </c>
      <c r="H1758" s="6">
        <v>65</v>
      </c>
      <c r="I1758" s="7">
        <v>60.27</v>
      </c>
      <c r="J1758" s="7">
        <v>3917.38</v>
      </c>
      <c r="K1758" s="6">
        <v>45</v>
      </c>
      <c r="L1758" t="s">
        <v>45</v>
      </c>
      <c r="M1758" s="8">
        <v>783.476</v>
      </c>
      <c r="N1758" s="7">
        <v>3917.38</v>
      </c>
      <c r="O1758" t="s">
        <v>46</v>
      </c>
      <c r="P1758" t="s">
        <v>40</v>
      </c>
    </row>
    <row r="1759" spans="1:16" x14ac:dyDescent="0.25">
      <c r="A1759" s="5">
        <v>45987</v>
      </c>
      <c r="B1759" t="s">
        <v>85</v>
      </c>
      <c r="C1759" t="s">
        <v>86</v>
      </c>
      <c r="D1759" t="s">
        <v>58</v>
      </c>
      <c r="E1759" t="s">
        <v>152</v>
      </c>
      <c r="F1759" t="s">
        <v>50</v>
      </c>
      <c r="G1759" t="s">
        <v>1886</v>
      </c>
      <c r="H1759" s="6">
        <v>8</v>
      </c>
      <c r="I1759" s="7">
        <v>202.67</v>
      </c>
      <c r="J1759" s="7">
        <v>1621.35</v>
      </c>
      <c r="K1759" s="6">
        <v>60</v>
      </c>
      <c r="L1759" t="s">
        <v>38</v>
      </c>
      <c r="M1759" s="8">
        <v>324.27</v>
      </c>
      <c r="N1759" s="7">
        <v>1621.35</v>
      </c>
      <c r="O1759" t="s">
        <v>46</v>
      </c>
      <c r="P1759" t="s">
        <v>40</v>
      </c>
    </row>
    <row r="1760" spans="1:16" x14ac:dyDescent="0.25">
      <c r="A1760" s="5">
        <v>45711</v>
      </c>
      <c r="B1760" t="s">
        <v>62</v>
      </c>
      <c r="C1760" t="s">
        <v>63</v>
      </c>
      <c r="D1760" t="s">
        <v>64</v>
      </c>
      <c r="E1760" t="s">
        <v>49</v>
      </c>
      <c r="F1760" t="s">
        <v>50</v>
      </c>
      <c r="G1760" t="s">
        <v>1887</v>
      </c>
      <c r="H1760" s="6">
        <v>38</v>
      </c>
      <c r="I1760" s="7">
        <v>291.27</v>
      </c>
      <c r="J1760" s="7">
        <v>11068.19</v>
      </c>
      <c r="K1760" s="6">
        <v>45</v>
      </c>
      <c r="L1760" t="s">
        <v>38</v>
      </c>
      <c r="M1760" s="8">
        <v>2213.6379999999999</v>
      </c>
      <c r="N1760" s="7">
        <v>11068.19</v>
      </c>
      <c r="O1760" t="s">
        <v>39</v>
      </c>
      <c r="P1760" t="s">
        <v>40</v>
      </c>
    </row>
    <row r="1761" spans="1:16" x14ac:dyDescent="0.25">
      <c r="A1761" s="5">
        <v>45772</v>
      </c>
      <c r="B1761" t="s">
        <v>47</v>
      </c>
      <c r="C1761" t="s">
        <v>48</v>
      </c>
      <c r="D1761" t="s">
        <v>34</v>
      </c>
      <c r="E1761" t="s">
        <v>204</v>
      </c>
      <c r="F1761" t="s">
        <v>97</v>
      </c>
      <c r="G1761" t="s">
        <v>1888</v>
      </c>
      <c r="H1761" s="6">
        <v>50</v>
      </c>
      <c r="I1761" s="7">
        <v>618.30999999999995</v>
      </c>
      <c r="J1761" s="7">
        <v>30915.360000000001</v>
      </c>
      <c r="K1761" s="6">
        <v>45</v>
      </c>
      <c r="L1761" t="s">
        <v>52</v>
      </c>
      <c r="M1761" s="8">
        <v>6183.0720000000001</v>
      </c>
      <c r="N1761" s="7">
        <v>30915.360000000001</v>
      </c>
      <c r="O1761" t="s">
        <v>46</v>
      </c>
      <c r="P1761" t="s">
        <v>40</v>
      </c>
    </row>
    <row r="1762" spans="1:16" x14ac:dyDescent="0.25">
      <c r="A1762" s="5">
        <v>45897</v>
      </c>
      <c r="B1762" t="s">
        <v>118</v>
      </c>
      <c r="C1762" t="s">
        <v>119</v>
      </c>
      <c r="D1762" t="s">
        <v>64</v>
      </c>
      <c r="E1762" t="s">
        <v>132</v>
      </c>
      <c r="F1762" t="s">
        <v>71</v>
      </c>
      <c r="G1762" t="s">
        <v>1889</v>
      </c>
      <c r="H1762" s="6">
        <v>69</v>
      </c>
      <c r="I1762" s="7">
        <v>234.13</v>
      </c>
      <c r="J1762" s="7">
        <v>16154.66</v>
      </c>
      <c r="K1762" s="6">
        <v>45</v>
      </c>
      <c r="L1762" t="s">
        <v>38</v>
      </c>
      <c r="M1762" s="8">
        <v>3230.9319999999998</v>
      </c>
      <c r="N1762" s="7">
        <v>16154.66</v>
      </c>
      <c r="O1762" t="s">
        <v>46</v>
      </c>
      <c r="P1762" t="s">
        <v>40</v>
      </c>
    </row>
    <row r="1763" spans="1:16" x14ac:dyDescent="0.25">
      <c r="A1763" s="5">
        <v>45713</v>
      </c>
      <c r="B1763" t="s">
        <v>32</v>
      </c>
      <c r="C1763" t="s">
        <v>33</v>
      </c>
      <c r="D1763" t="s">
        <v>34</v>
      </c>
      <c r="E1763" t="s">
        <v>124</v>
      </c>
      <c r="F1763" t="s">
        <v>89</v>
      </c>
      <c r="G1763" t="s">
        <v>1890</v>
      </c>
      <c r="H1763" s="6">
        <v>51</v>
      </c>
      <c r="I1763" s="7">
        <v>270.73</v>
      </c>
      <c r="J1763" s="7">
        <v>13807.3</v>
      </c>
      <c r="K1763" s="6">
        <v>45</v>
      </c>
      <c r="L1763" t="s">
        <v>38</v>
      </c>
      <c r="M1763" s="8">
        <v>2761.46</v>
      </c>
      <c r="N1763" s="7">
        <v>13807.3</v>
      </c>
      <c r="O1763" t="s">
        <v>46</v>
      </c>
      <c r="P1763" t="s">
        <v>40</v>
      </c>
    </row>
    <row r="1764" spans="1:16" x14ac:dyDescent="0.25">
      <c r="A1764" s="5">
        <v>45820</v>
      </c>
      <c r="B1764" t="s">
        <v>113</v>
      </c>
      <c r="C1764" t="s">
        <v>114</v>
      </c>
      <c r="D1764" t="s">
        <v>69</v>
      </c>
      <c r="E1764" t="s">
        <v>83</v>
      </c>
      <c r="F1764" t="s">
        <v>71</v>
      </c>
      <c r="G1764" t="s">
        <v>1891</v>
      </c>
      <c r="H1764" s="6">
        <v>44</v>
      </c>
      <c r="I1764" s="7">
        <v>99.02</v>
      </c>
      <c r="J1764" s="7">
        <v>4357.07</v>
      </c>
      <c r="K1764" s="6">
        <v>60</v>
      </c>
      <c r="L1764" t="s">
        <v>45</v>
      </c>
      <c r="M1764" s="8">
        <v>871.41399999999999</v>
      </c>
      <c r="N1764" s="7">
        <v>4357.07</v>
      </c>
      <c r="O1764" t="s">
        <v>39</v>
      </c>
      <c r="P1764" t="s">
        <v>40</v>
      </c>
    </row>
    <row r="1765" spans="1:16" x14ac:dyDescent="0.25">
      <c r="A1765" s="5">
        <v>45800</v>
      </c>
      <c r="B1765" t="s">
        <v>77</v>
      </c>
      <c r="C1765" t="s">
        <v>78</v>
      </c>
      <c r="D1765" t="s">
        <v>58</v>
      </c>
      <c r="E1765" t="s">
        <v>107</v>
      </c>
      <c r="F1765" t="s">
        <v>108</v>
      </c>
      <c r="G1765" t="s">
        <v>1892</v>
      </c>
      <c r="H1765" s="6">
        <v>59</v>
      </c>
      <c r="I1765" s="7">
        <v>31.08</v>
      </c>
      <c r="J1765" s="7">
        <v>1833.43</v>
      </c>
      <c r="K1765" s="6">
        <v>30</v>
      </c>
      <c r="L1765" t="s">
        <v>52</v>
      </c>
      <c r="M1765" s="8">
        <v>366.68599999999998</v>
      </c>
      <c r="N1765" s="7">
        <v>1833.43</v>
      </c>
      <c r="O1765" t="s">
        <v>46</v>
      </c>
      <c r="P1765" t="s">
        <v>40</v>
      </c>
    </row>
    <row r="1766" spans="1:16" x14ac:dyDescent="0.25">
      <c r="A1766" s="5">
        <v>45985</v>
      </c>
      <c r="B1766" t="s">
        <v>113</v>
      </c>
      <c r="C1766" t="s">
        <v>114</v>
      </c>
      <c r="D1766" t="s">
        <v>69</v>
      </c>
      <c r="E1766" t="s">
        <v>107</v>
      </c>
      <c r="F1766" t="s">
        <v>108</v>
      </c>
      <c r="G1766" t="s">
        <v>1893</v>
      </c>
      <c r="H1766" s="6">
        <v>28</v>
      </c>
      <c r="I1766" s="7">
        <v>65.510000000000005</v>
      </c>
      <c r="J1766" s="7">
        <v>1834.19</v>
      </c>
      <c r="K1766" s="6">
        <v>45</v>
      </c>
      <c r="L1766" t="s">
        <v>52</v>
      </c>
      <c r="M1766" s="8">
        <v>366.83800000000002</v>
      </c>
      <c r="N1766" s="7">
        <v>1834.19</v>
      </c>
      <c r="O1766" t="s">
        <v>46</v>
      </c>
      <c r="P1766" t="s">
        <v>40</v>
      </c>
    </row>
    <row r="1767" spans="1:16" x14ac:dyDescent="0.25">
      <c r="A1767" s="5">
        <v>45843</v>
      </c>
      <c r="B1767" t="s">
        <v>73</v>
      </c>
      <c r="C1767" t="s">
        <v>74</v>
      </c>
      <c r="D1767" t="s">
        <v>69</v>
      </c>
      <c r="E1767" t="s">
        <v>204</v>
      </c>
      <c r="F1767" t="s">
        <v>97</v>
      </c>
      <c r="G1767" t="s">
        <v>1894</v>
      </c>
      <c r="H1767" s="6">
        <v>56</v>
      </c>
      <c r="I1767" s="7">
        <v>188.67</v>
      </c>
      <c r="J1767" s="7">
        <v>10565.49</v>
      </c>
      <c r="K1767" s="6">
        <v>45</v>
      </c>
      <c r="L1767" t="s">
        <v>38</v>
      </c>
      <c r="M1767" s="8">
        <v>2113.098</v>
      </c>
      <c r="N1767" s="7">
        <v>10565.49</v>
      </c>
      <c r="O1767" t="s">
        <v>46</v>
      </c>
      <c r="P1767" t="s">
        <v>40</v>
      </c>
    </row>
    <row r="1768" spans="1:16" x14ac:dyDescent="0.25">
      <c r="A1768" s="5">
        <v>46008</v>
      </c>
      <c r="B1768" t="s">
        <v>62</v>
      </c>
      <c r="C1768" t="s">
        <v>63</v>
      </c>
      <c r="D1768" t="s">
        <v>64</v>
      </c>
      <c r="E1768" t="s">
        <v>135</v>
      </c>
      <c r="F1768" t="s">
        <v>54</v>
      </c>
      <c r="G1768" t="s">
        <v>1895</v>
      </c>
      <c r="H1768" s="6">
        <v>55</v>
      </c>
      <c r="I1768" s="7">
        <v>825.08</v>
      </c>
      <c r="J1768" s="7">
        <v>45379.360000000001</v>
      </c>
      <c r="K1768" s="6">
        <v>45</v>
      </c>
      <c r="L1768" t="s">
        <v>45</v>
      </c>
      <c r="M1768" s="8">
        <v>9075.8719999999994</v>
      </c>
      <c r="N1768" s="7">
        <v>45379.360000000001</v>
      </c>
      <c r="O1768" t="s">
        <v>46</v>
      </c>
      <c r="P1768" t="s">
        <v>40</v>
      </c>
    </row>
    <row r="1769" spans="1:16" x14ac:dyDescent="0.25">
      <c r="A1769" s="5">
        <v>45730</v>
      </c>
      <c r="B1769" t="s">
        <v>32</v>
      </c>
      <c r="C1769" t="s">
        <v>33</v>
      </c>
      <c r="D1769" t="s">
        <v>34</v>
      </c>
      <c r="E1769" t="s">
        <v>154</v>
      </c>
      <c r="F1769" t="s">
        <v>89</v>
      </c>
      <c r="G1769" t="s">
        <v>1896</v>
      </c>
      <c r="H1769" s="6">
        <v>9</v>
      </c>
      <c r="I1769" s="7">
        <v>163.4</v>
      </c>
      <c r="J1769" s="7">
        <v>1470.63</v>
      </c>
      <c r="K1769" s="6">
        <v>45</v>
      </c>
      <c r="L1769" t="s">
        <v>45</v>
      </c>
      <c r="M1769" s="8">
        <v>294.12599999999998</v>
      </c>
      <c r="N1769" s="7">
        <v>1470.63</v>
      </c>
      <c r="O1769" t="s">
        <v>39</v>
      </c>
      <c r="P1769" t="s">
        <v>40</v>
      </c>
    </row>
    <row r="1770" spans="1:16" x14ac:dyDescent="0.25">
      <c r="A1770" s="5">
        <v>45889</v>
      </c>
      <c r="B1770" t="s">
        <v>47</v>
      </c>
      <c r="C1770" t="s">
        <v>48</v>
      </c>
      <c r="D1770" t="s">
        <v>34</v>
      </c>
      <c r="E1770" t="s">
        <v>115</v>
      </c>
      <c r="F1770" t="s">
        <v>60</v>
      </c>
      <c r="G1770" t="s">
        <v>1897</v>
      </c>
      <c r="H1770" s="6">
        <v>54</v>
      </c>
      <c r="I1770" s="7">
        <v>235.42</v>
      </c>
      <c r="J1770" s="7">
        <v>12712.92</v>
      </c>
      <c r="K1770" s="6">
        <v>60</v>
      </c>
      <c r="L1770" t="s">
        <v>38</v>
      </c>
      <c r="M1770" s="8">
        <v>2542.5839999999998</v>
      </c>
      <c r="N1770" s="7">
        <v>12712.92</v>
      </c>
      <c r="O1770" t="s">
        <v>46</v>
      </c>
      <c r="P1770" t="s">
        <v>40</v>
      </c>
    </row>
    <row r="1771" spans="1:16" x14ac:dyDescent="0.25">
      <c r="A1771" s="5">
        <v>45685</v>
      </c>
      <c r="B1771" t="s">
        <v>201</v>
      </c>
      <c r="C1771" t="s">
        <v>202</v>
      </c>
      <c r="D1771" t="s">
        <v>64</v>
      </c>
      <c r="E1771" t="s">
        <v>59</v>
      </c>
      <c r="F1771" t="s">
        <v>60</v>
      </c>
      <c r="G1771" t="s">
        <v>1898</v>
      </c>
      <c r="H1771" s="6">
        <v>12</v>
      </c>
      <c r="I1771" s="7">
        <v>297.95999999999998</v>
      </c>
      <c r="J1771" s="7">
        <v>3575.47</v>
      </c>
      <c r="K1771" s="6">
        <v>45</v>
      </c>
      <c r="L1771" t="s">
        <v>45</v>
      </c>
      <c r="M1771" s="8">
        <v>715.09400000000005</v>
      </c>
      <c r="N1771" s="7">
        <v>3575.47</v>
      </c>
      <c r="O1771" t="s">
        <v>39</v>
      </c>
      <c r="P1771" t="s">
        <v>40</v>
      </c>
    </row>
    <row r="1772" spans="1:16" x14ac:dyDescent="0.25">
      <c r="A1772" s="5">
        <v>45759</v>
      </c>
      <c r="B1772" t="s">
        <v>91</v>
      </c>
      <c r="C1772" t="s">
        <v>92</v>
      </c>
      <c r="D1772" t="s">
        <v>64</v>
      </c>
      <c r="E1772" t="s">
        <v>59</v>
      </c>
      <c r="F1772" t="s">
        <v>60</v>
      </c>
      <c r="G1772" t="s">
        <v>1899</v>
      </c>
      <c r="H1772" s="6">
        <v>45</v>
      </c>
      <c r="I1772" s="7">
        <v>225.34</v>
      </c>
      <c r="J1772" s="7">
        <v>10140.280000000001</v>
      </c>
      <c r="K1772" s="6">
        <v>45</v>
      </c>
      <c r="L1772" t="s">
        <v>45</v>
      </c>
      <c r="M1772" s="8">
        <v>2028.056</v>
      </c>
      <c r="N1772" s="7">
        <v>10140.280000000001</v>
      </c>
      <c r="O1772" t="s">
        <v>39</v>
      </c>
      <c r="P1772" t="s">
        <v>40</v>
      </c>
    </row>
    <row r="1773" spans="1:16" x14ac:dyDescent="0.25">
      <c r="A1773" s="5">
        <v>45881</v>
      </c>
      <c r="B1773" t="s">
        <v>121</v>
      </c>
      <c r="C1773" t="s">
        <v>122</v>
      </c>
      <c r="D1773" t="s">
        <v>34</v>
      </c>
      <c r="E1773" t="s">
        <v>124</v>
      </c>
      <c r="F1773" t="s">
        <v>89</v>
      </c>
      <c r="G1773" t="s">
        <v>1900</v>
      </c>
      <c r="H1773" s="6">
        <v>46</v>
      </c>
      <c r="I1773" s="7">
        <v>457.25</v>
      </c>
      <c r="J1773" s="7">
        <v>21033.599999999999</v>
      </c>
      <c r="K1773" s="6">
        <v>60</v>
      </c>
      <c r="L1773" t="s">
        <v>52</v>
      </c>
      <c r="M1773" s="8">
        <v>4206.72</v>
      </c>
      <c r="N1773" s="7">
        <v>21033.599999999999</v>
      </c>
      <c r="O1773" t="s">
        <v>46</v>
      </c>
      <c r="P1773" t="s">
        <v>40</v>
      </c>
    </row>
    <row r="1774" spans="1:16" x14ac:dyDescent="0.25">
      <c r="A1774" s="5">
        <v>45963</v>
      </c>
      <c r="B1774" t="s">
        <v>62</v>
      </c>
      <c r="C1774" t="s">
        <v>63</v>
      </c>
      <c r="D1774" t="s">
        <v>64</v>
      </c>
      <c r="E1774" t="s">
        <v>152</v>
      </c>
      <c r="F1774" t="s">
        <v>50</v>
      </c>
      <c r="G1774" t="s">
        <v>1901</v>
      </c>
      <c r="H1774" s="6">
        <v>26</v>
      </c>
      <c r="I1774" s="7">
        <v>85.2</v>
      </c>
      <c r="J1774" s="7">
        <v>2215.27</v>
      </c>
      <c r="K1774" s="6">
        <v>30</v>
      </c>
      <c r="L1774" t="s">
        <v>52</v>
      </c>
      <c r="M1774" s="8">
        <v>443.05399999999997</v>
      </c>
      <c r="N1774" s="7">
        <v>2215.27</v>
      </c>
      <c r="O1774" t="s">
        <v>46</v>
      </c>
      <c r="P1774" t="s">
        <v>40</v>
      </c>
    </row>
    <row r="1775" spans="1:16" x14ac:dyDescent="0.25">
      <c r="A1775" s="5">
        <v>45998</v>
      </c>
      <c r="B1775" t="s">
        <v>80</v>
      </c>
      <c r="C1775" t="s">
        <v>81</v>
      </c>
      <c r="D1775" t="s">
        <v>64</v>
      </c>
      <c r="E1775" t="s">
        <v>88</v>
      </c>
      <c r="F1775" t="s">
        <v>89</v>
      </c>
      <c r="G1775" t="s">
        <v>1902</v>
      </c>
      <c r="H1775" s="6">
        <v>41</v>
      </c>
      <c r="I1775" s="7">
        <v>200.33</v>
      </c>
      <c r="J1775" s="7">
        <v>8213.73</v>
      </c>
      <c r="K1775" s="6">
        <v>30</v>
      </c>
      <c r="L1775" t="s">
        <v>38</v>
      </c>
      <c r="M1775" s="8">
        <v>1642.7460000000001</v>
      </c>
      <c r="N1775" s="7">
        <v>8213.73</v>
      </c>
      <c r="O1775" t="s">
        <v>46</v>
      </c>
      <c r="P1775" t="s">
        <v>40</v>
      </c>
    </row>
    <row r="1776" spans="1:16" x14ac:dyDescent="0.25">
      <c r="A1776" s="5">
        <v>45820</v>
      </c>
      <c r="B1776" t="s">
        <v>41</v>
      </c>
      <c r="C1776" t="s">
        <v>42</v>
      </c>
      <c r="D1776" t="s">
        <v>34</v>
      </c>
      <c r="E1776" t="s">
        <v>88</v>
      </c>
      <c r="F1776" t="s">
        <v>89</v>
      </c>
      <c r="G1776" t="s">
        <v>1903</v>
      </c>
      <c r="H1776" s="6">
        <v>15</v>
      </c>
      <c r="I1776" s="7">
        <v>119.65</v>
      </c>
      <c r="J1776" s="7">
        <v>1794.8</v>
      </c>
      <c r="K1776" s="6">
        <v>60</v>
      </c>
      <c r="L1776" t="s">
        <v>45</v>
      </c>
      <c r="M1776" s="8">
        <v>358.96</v>
      </c>
      <c r="N1776" s="7">
        <v>1794.8</v>
      </c>
      <c r="O1776" t="s">
        <v>46</v>
      </c>
      <c r="P1776" t="s">
        <v>40</v>
      </c>
    </row>
    <row r="1777" spans="1:16" x14ac:dyDescent="0.25">
      <c r="A1777" s="5">
        <v>45722</v>
      </c>
      <c r="B1777" t="s">
        <v>77</v>
      </c>
      <c r="C1777" t="s">
        <v>78</v>
      </c>
      <c r="D1777" t="s">
        <v>58</v>
      </c>
      <c r="E1777" t="s">
        <v>210</v>
      </c>
      <c r="F1777" t="s">
        <v>50</v>
      </c>
      <c r="G1777" t="s">
        <v>1904</v>
      </c>
      <c r="H1777" s="6">
        <v>58</v>
      </c>
      <c r="I1777" s="7">
        <v>58.06</v>
      </c>
      <c r="J1777" s="7">
        <v>3367.49</v>
      </c>
      <c r="K1777" s="6">
        <v>60</v>
      </c>
      <c r="L1777" t="s">
        <v>52</v>
      </c>
      <c r="M1777" s="8">
        <v>673.49800000000005</v>
      </c>
      <c r="N1777" s="7">
        <v>3367.49</v>
      </c>
      <c r="O1777" t="s">
        <v>46</v>
      </c>
      <c r="P1777" t="s">
        <v>40</v>
      </c>
    </row>
    <row r="1778" spans="1:16" x14ac:dyDescent="0.25">
      <c r="A1778" s="5">
        <v>45754</v>
      </c>
      <c r="B1778" t="s">
        <v>67</v>
      </c>
      <c r="C1778" t="s">
        <v>68</v>
      </c>
      <c r="D1778" t="s">
        <v>69</v>
      </c>
      <c r="E1778" t="s">
        <v>49</v>
      </c>
      <c r="F1778" t="s">
        <v>50</v>
      </c>
      <c r="G1778" t="s">
        <v>1905</v>
      </c>
      <c r="H1778" s="6">
        <v>54</v>
      </c>
      <c r="I1778" s="7">
        <v>85.71</v>
      </c>
      <c r="J1778" s="7">
        <v>4628.57</v>
      </c>
      <c r="K1778" s="6">
        <v>60</v>
      </c>
      <c r="L1778" t="s">
        <v>52</v>
      </c>
      <c r="M1778" s="8">
        <v>925.71400000000006</v>
      </c>
      <c r="N1778" s="7">
        <v>4628.57</v>
      </c>
      <c r="O1778" t="s">
        <v>39</v>
      </c>
      <c r="P1778" t="s">
        <v>40</v>
      </c>
    </row>
    <row r="1779" spans="1:16" x14ac:dyDescent="0.25">
      <c r="A1779" s="5">
        <v>45836</v>
      </c>
      <c r="B1779" t="s">
        <v>77</v>
      </c>
      <c r="C1779" t="s">
        <v>78</v>
      </c>
      <c r="D1779" t="s">
        <v>58</v>
      </c>
      <c r="E1779" t="s">
        <v>204</v>
      </c>
      <c r="F1779" t="s">
        <v>97</v>
      </c>
      <c r="G1779" t="s">
        <v>1906</v>
      </c>
      <c r="H1779" s="6">
        <v>27</v>
      </c>
      <c r="I1779" s="7">
        <v>293.95</v>
      </c>
      <c r="J1779" s="7">
        <v>7936.67</v>
      </c>
      <c r="K1779" s="6">
        <v>30</v>
      </c>
      <c r="L1779" t="s">
        <v>52</v>
      </c>
      <c r="M1779" s="8">
        <v>1587.3340000000001</v>
      </c>
      <c r="N1779" s="7">
        <v>7936.67</v>
      </c>
      <c r="O1779" t="s">
        <v>46</v>
      </c>
      <c r="P1779" t="s">
        <v>40</v>
      </c>
    </row>
    <row r="1780" spans="1:16" x14ac:dyDescent="0.25">
      <c r="A1780" s="5">
        <v>45844</v>
      </c>
      <c r="B1780" t="s">
        <v>91</v>
      </c>
      <c r="C1780" t="s">
        <v>92</v>
      </c>
      <c r="D1780" t="s">
        <v>64</v>
      </c>
      <c r="E1780" t="s">
        <v>210</v>
      </c>
      <c r="F1780" t="s">
        <v>50</v>
      </c>
      <c r="G1780" t="s">
        <v>1907</v>
      </c>
      <c r="H1780" s="6">
        <v>3</v>
      </c>
      <c r="I1780" s="7">
        <v>94.76</v>
      </c>
      <c r="J1780" s="7">
        <v>284.29000000000002</v>
      </c>
      <c r="K1780" s="6">
        <v>45</v>
      </c>
      <c r="L1780" t="s">
        <v>45</v>
      </c>
      <c r="M1780" s="8">
        <v>56.857999999999997</v>
      </c>
      <c r="N1780" s="7">
        <v>284.29000000000002</v>
      </c>
      <c r="O1780" t="s">
        <v>46</v>
      </c>
      <c r="P1780" t="s">
        <v>40</v>
      </c>
    </row>
    <row r="1781" spans="1:16" x14ac:dyDescent="0.25">
      <c r="A1781" s="5">
        <v>45913</v>
      </c>
      <c r="B1781" t="s">
        <v>110</v>
      </c>
      <c r="C1781" t="s">
        <v>111</v>
      </c>
      <c r="D1781" t="s">
        <v>58</v>
      </c>
      <c r="E1781" t="s">
        <v>43</v>
      </c>
      <c r="F1781" t="s">
        <v>36</v>
      </c>
      <c r="G1781" t="s">
        <v>1908</v>
      </c>
      <c r="H1781" s="6">
        <v>59</v>
      </c>
      <c r="I1781" s="7">
        <v>44.41</v>
      </c>
      <c r="J1781" s="7">
        <v>2620.4299999999998</v>
      </c>
      <c r="K1781" s="6">
        <v>45</v>
      </c>
      <c r="L1781" t="s">
        <v>45</v>
      </c>
      <c r="M1781" s="8">
        <v>524.08600000000001</v>
      </c>
      <c r="N1781" s="7">
        <v>2620.4299999999998</v>
      </c>
      <c r="O1781" t="s">
        <v>46</v>
      </c>
      <c r="P1781" t="s">
        <v>40</v>
      </c>
    </row>
    <row r="1782" spans="1:16" x14ac:dyDescent="0.25">
      <c r="A1782" s="5">
        <v>45876</v>
      </c>
      <c r="B1782" t="s">
        <v>113</v>
      </c>
      <c r="C1782" t="s">
        <v>114</v>
      </c>
      <c r="D1782" t="s">
        <v>69</v>
      </c>
      <c r="E1782" t="s">
        <v>70</v>
      </c>
      <c r="F1782" t="s">
        <v>71</v>
      </c>
      <c r="G1782" t="s">
        <v>1909</v>
      </c>
      <c r="H1782" s="6">
        <v>67</v>
      </c>
      <c r="I1782" s="7">
        <v>43.83</v>
      </c>
      <c r="J1782" s="7">
        <v>2936.86</v>
      </c>
      <c r="K1782" s="6">
        <v>45</v>
      </c>
      <c r="L1782" t="s">
        <v>38</v>
      </c>
      <c r="M1782" s="8">
        <v>587.37199999999996</v>
      </c>
      <c r="N1782" s="7">
        <v>2936.86</v>
      </c>
      <c r="O1782" t="s">
        <v>46</v>
      </c>
      <c r="P1782" t="s">
        <v>40</v>
      </c>
    </row>
    <row r="1783" spans="1:16" x14ac:dyDescent="0.25">
      <c r="A1783" s="5">
        <v>45849</v>
      </c>
      <c r="B1783" t="s">
        <v>110</v>
      </c>
      <c r="C1783" t="s">
        <v>111</v>
      </c>
      <c r="D1783" t="s">
        <v>58</v>
      </c>
      <c r="E1783" t="s">
        <v>1910</v>
      </c>
      <c r="F1783" t="s">
        <v>108</v>
      </c>
      <c r="G1783" t="s">
        <v>1911</v>
      </c>
      <c r="H1783" s="6">
        <v>23</v>
      </c>
      <c r="I1783" s="7">
        <v>71.650000000000006</v>
      </c>
      <c r="J1783" s="7">
        <v>1647.93</v>
      </c>
      <c r="K1783" s="6">
        <v>60</v>
      </c>
      <c r="L1783" t="s">
        <v>52</v>
      </c>
      <c r="M1783" s="8">
        <v>329.58600000000001</v>
      </c>
      <c r="N1783" s="7">
        <v>1647.93</v>
      </c>
      <c r="O1783" t="s">
        <v>46</v>
      </c>
      <c r="P1783" t="s">
        <v>40</v>
      </c>
    </row>
    <row r="1784" spans="1:16" x14ac:dyDescent="0.25">
      <c r="A1784" s="5">
        <v>45803</v>
      </c>
      <c r="B1784" t="s">
        <v>47</v>
      </c>
      <c r="C1784" t="s">
        <v>48</v>
      </c>
      <c r="D1784" t="s">
        <v>34</v>
      </c>
      <c r="E1784" t="s">
        <v>96</v>
      </c>
      <c r="F1784" t="s">
        <v>97</v>
      </c>
      <c r="G1784" t="s">
        <v>1912</v>
      </c>
      <c r="H1784" s="6">
        <v>56</v>
      </c>
      <c r="I1784" s="7">
        <v>131.13</v>
      </c>
      <c r="J1784" s="7">
        <v>7343.26</v>
      </c>
      <c r="K1784" s="6">
        <v>60</v>
      </c>
      <c r="L1784" t="s">
        <v>45</v>
      </c>
      <c r="M1784" s="8">
        <v>1468.652</v>
      </c>
      <c r="N1784" s="7">
        <v>7343.26</v>
      </c>
      <c r="O1784" t="s">
        <v>46</v>
      </c>
      <c r="P1784" t="s">
        <v>40</v>
      </c>
    </row>
    <row r="1785" spans="1:16" x14ac:dyDescent="0.25">
      <c r="A1785" s="5">
        <v>45711</v>
      </c>
      <c r="B1785" t="s">
        <v>80</v>
      </c>
      <c r="C1785" t="s">
        <v>81</v>
      </c>
      <c r="D1785" t="s">
        <v>64</v>
      </c>
      <c r="E1785" t="s">
        <v>127</v>
      </c>
      <c r="F1785" t="s">
        <v>36</v>
      </c>
      <c r="G1785" t="s">
        <v>1913</v>
      </c>
      <c r="H1785" s="6">
        <v>12</v>
      </c>
      <c r="I1785" s="7">
        <v>98.73</v>
      </c>
      <c r="J1785" s="7">
        <v>1184.79</v>
      </c>
      <c r="K1785" s="6">
        <v>60</v>
      </c>
      <c r="L1785" t="s">
        <v>38</v>
      </c>
      <c r="M1785" s="8">
        <v>236.958</v>
      </c>
      <c r="N1785" s="7">
        <v>1184.79</v>
      </c>
      <c r="O1785" t="s">
        <v>39</v>
      </c>
      <c r="P1785" t="s">
        <v>40</v>
      </c>
    </row>
    <row r="1786" spans="1:16" x14ac:dyDescent="0.25">
      <c r="A1786" s="5">
        <v>45912</v>
      </c>
      <c r="B1786" t="s">
        <v>103</v>
      </c>
      <c r="C1786" t="s">
        <v>104</v>
      </c>
      <c r="D1786" t="s">
        <v>58</v>
      </c>
      <c r="E1786" t="s">
        <v>204</v>
      </c>
      <c r="F1786" t="s">
        <v>97</v>
      </c>
      <c r="G1786" t="s">
        <v>1914</v>
      </c>
      <c r="H1786" s="6">
        <v>80</v>
      </c>
      <c r="I1786" s="7">
        <v>313.92</v>
      </c>
      <c r="J1786" s="7">
        <v>25113.25</v>
      </c>
      <c r="K1786" s="6">
        <v>60</v>
      </c>
      <c r="L1786" t="s">
        <v>38</v>
      </c>
      <c r="M1786" s="8">
        <v>5022.6499999999996</v>
      </c>
      <c r="N1786" s="7">
        <v>25113.25</v>
      </c>
      <c r="O1786" t="s">
        <v>46</v>
      </c>
      <c r="P1786" t="s">
        <v>40</v>
      </c>
    </row>
    <row r="1787" spans="1:16" x14ac:dyDescent="0.25">
      <c r="A1787" s="5">
        <v>45955</v>
      </c>
      <c r="B1787" t="s">
        <v>77</v>
      </c>
      <c r="C1787" t="s">
        <v>78</v>
      </c>
      <c r="D1787" t="s">
        <v>58</v>
      </c>
      <c r="E1787" t="s">
        <v>129</v>
      </c>
      <c r="F1787" t="s">
        <v>108</v>
      </c>
      <c r="G1787" t="s">
        <v>1915</v>
      </c>
      <c r="H1787" s="6">
        <v>5</v>
      </c>
      <c r="I1787" s="7">
        <v>33.64</v>
      </c>
      <c r="J1787" s="7">
        <v>168.22</v>
      </c>
      <c r="K1787" s="6">
        <v>60</v>
      </c>
      <c r="L1787" t="s">
        <v>45</v>
      </c>
      <c r="M1787" s="8">
        <v>33.643999999999998</v>
      </c>
      <c r="N1787" s="7">
        <v>168.22</v>
      </c>
      <c r="O1787" t="s">
        <v>46</v>
      </c>
      <c r="P1787" t="s">
        <v>40</v>
      </c>
    </row>
    <row r="1788" spans="1:16" x14ac:dyDescent="0.25">
      <c r="A1788" s="5">
        <v>45890</v>
      </c>
      <c r="B1788" t="s">
        <v>201</v>
      </c>
      <c r="C1788" t="s">
        <v>202</v>
      </c>
      <c r="D1788" t="s">
        <v>64</v>
      </c>
      <c r="E1788" t="s">
        <v>135</v>
      </c>
      <c r="F1788" t="s">
        <v>54</v>
      </c>
      <c r="G1788" t="s">
        <v>1916</v>
      </c>
      <c r="H1788" s="6">
        <v>71</v>
      </c>
      <c r="I1788" s="7">
        <v>210.9</v>
      </c>
      <c r="J1788" s="7">
        <v>14974.08</v>
      </c>
      <c r="K1788" s="6">
        <v>45</v>
      </c>
      <c r="L1788" t="s">
        <v>38</v>
      </c>
      <c r="M1788" s="8">
        <v>2994.8159999999998</v>
      </c>
      <c r="N1788" s="7">
        <v>14974.08</v>
      </c>
      <c r="O1788" t="s">
        <v>46</v>
      </c>
      <c r="P1788" t="s">
        <v>40</v>
      </c>
    </row>
    <row r="1789" spans="1:16" x14ac:dyDescent="0.25">
      <c r="A1789" s="5">
        <v>45837</v>
      </c>
      <c r="B1789" t="s">
        <v>85</v>
      </c>
      <c r="C1789" t="s">
        <v>86</v>
      </c>
      <c r="D1789" t="s">
        <v>58</v>
      </c>
      <c r="E1789" t="s">
        <v>107</v>
      </c>
      <c r="F1789" t="s">
        <v>108</v>
      </c>
      <c r="G1789" t="s">
        <v>1917</v>
      </c>
      <c r="H1789" s="6">
        <v>60</v>
      </c>
      <c r="I1789" s="7">
        <v>49.59</v>
      </c>
      <c r="J1789" s="7">
        <v>2975.44</v>
      </c>
      <c r="K1789" s="6">
        <v>45</v>
      </c>
      <c r="L1789" t="s">
        <v>52</v>
      </c>
      <c r="M1789" s="8">
        <v>595.08799999999997</v>
      </c>
      <c r="N1789" s="7">
        <v>2975.44</v>
      </c>
      <c r="O1789" t="s">
        <v>46</v>
      </c>
      <c r="P1789" t="s">
        <v>40</v>
      </c>
    </row>
    <row r="1790" spans="1:16" x14ac:dyDescent="0.25">
      <c r="A1790" s="5">
        <v>45849</v>
      </c>
      <c r="B1790" t="s">
        <v>73</v>
      </c>
      <c r="C1790" t="s">
        <v>74</v>
      </c>
      <c r="D1790" t="s">
        <v>69</v>
      </c>
      <c r="E1790" t="s">
        <v>204</v>
      </c>
      <c r="F1790" t="s">
        <v>97</v>
      </c>
      <c r="G1790" t="s">
        <v>1918</v>
      </c>
      <c r="H1790" s="6">
        <v>29</v>
      </c>
      <c r="I1790" s="7">
        <v>357.57</v>
      </c>
      <c r="J1790" s="7">
        <v>10369.5</v>
      </c>
      <c r="K1790" s="6">
        <v>60</v>
      </c>
      <c r="L1790" t="s">
        <v>45</v>
      </c>
      <c r="M1790" s="8">
        <v>2073.9</v>
      </c>
      <c r="N1790" s="7">
        <v>10369.5</v>
      </c>
      <c r="O1790" t="s">
        <v>46</v>
      </c>
      <c r="P1790" t="s">
        <v>40</v>
      </c>
    </row>
    <row r="1791" spans="1:16" x14ac:dyDescent="0.25">
      <c r="A1791" s="5">
        <v>45870</v>
      </c>
      <c r="B1791" t="s">
        <v>201</v>
      </c>
      <c r="C1791" t="s">
        <v>202</v>
      </c>
      <c r="D1791" t="s">
        <v>64</v>
      </c>
      <c r="E1791" t="s">
        <v>149</v>
      </c>
      <c r="F1791" t="s">
        <v>60</v>
      </c>
      <c r="G1791" t="s">
        <v>1919</v>
      </c>
      <c r="H1791" s="6">
        <v>31</v>
      </c>
      <c r="I1791" s="7">
        <v>459.84</v>
      </c>
      <c r="J1791" s="7">
        <v>14254.99</v>
      </c>
      <c r="K1791" s="6">
        <v>30</v>
      </c>
      <c r="L1791" t="s">
        <v>45</v>
      </c>
      <c r="M1791" s="8">
        <v>2850.998</v>
      </c>
      <c r="N1791" s="7">
        <v>14254.99</v>
      </c>
      <c r="O1791" t="s">
        <v>46</v>
      </c>
      <c r="P1791" t="s">
        <v>40</v>
      </c>
    </row>
    <row r="1792" spans="1:16" x14ac:dyDescent="0.25">
      <c r="A1792" s="5">
        <v>45736</v>
      </c>
      <c r="B1792" t="s">
        <v>110</v>
      </c>
      <c r="C1792" t="s">
        <v>111</v>
      </c>
      <c r="D1792" t="s">
        <v>58</v>
      </c>
      <c r="E1792" t="s">
        <v>49</v>
      </c>
      <c r="F1792" t="s">
        <v>50</v>
      </c>
      <c r="G1792" t="s">
        <v>1920</v>
      </c>
      <c r="H1792" s="6">
        <v>48</v>
      </c>
      <c r="I1792" s="7">
        <v>42.78</v>
      </c>
      <c r="J1792" s="7">
        <v>2053.6</v>
      </c>
      <c r="K1792" s="6">
        <v>60</v>
      </c>
      <c r="L1792" t="s">
        <v>52</v>
      </c>
      <c r="M1792" s="8">
        <v>410.72</v>
      </c>
      <c r="N1792" s="7">
        <v>2053.6</v>
      </c>
      <c r="O1792" t="s">
        <v>39</v>
      </c>
      <c r="P1792" t="s">
        <v>40</v>
      </c>
    </row>
    <row r="1793" spans="1:16" x14ac:dyDescent="0.25">
      <c r="A1793" s="5">
        <v>45745</v>
      </c>
      <c r="B1793" t="s">
        <v>113</v>
      </c>
      <c r="C1793" t="s">
        <v>114</v>
      </c>
      <c r="D1793" t="s">
        <v>69</v>
      </c>
      <c r="E1793" t="s">
        <v>132</v>
      </c>
      <c r="F1793" t="s">
        <v>71</v>
      </c>
      <c r="G1793" t="s">
        <v>1921</v>
      </c>
      <c r="H1793" s="6">
        <v>74</v>
      </c>
      <c r="I1793" s="7">
        <v>101.2</v>
      </c>
      <c r="J1793" s="7">
        <v>7489.12</v>
      </c>
      <c r="K1793" s="6">
        <v>45</v>
      </c>
      <c r="L1793" t="s">
        <v>38</v>
      </c>
      <c r="M1793" s="8">
        <v>1497.8240000000001</v>
      </c>
      <c r="N1793" s="7">
        <v>7489.12</v>
      </c>
      <c r="O1793" t="s">
        <v>46</v>
      </c>
      <c r="P1793" t="s">
        <v>40</v>
      </c>
    </row>
    <row r="1794" spans="1:16" x14ac:dyDescent="0.25">
      <c r="A1794" s="5">
        <v>45973</v>
      </c>
      <c r="B1794" t="s">
        <v>110</v>
      </c>
      <c r="C1794" t="s">
        <v>111</v>
      </c>
      <c r="D1794" t="s">
        <v>58</v>
      </c>
      <c r="E1794" t="s">
        <v>204</v>
      </c>
      <c r="F1794" t="s">
        <v>97</v>
      </c>
      <c r="G1794" t="s">
        <v>1922</v>
      </c>
      <c r="H1794" s="6">
        <v>51</v>
      </c>
      <c r="I1794" s="7">
        <v>274.70999999999998</v>
      </c>
      <c r="J1794" s="7">
        <v>14010.12</v>
      </c>
      <c r="K1794" s="6">
        <v>30</v>
      </c>
      <c r="L1794" t="s">
        <v>52</v>
      </c>
      <c r="M1794" s="8">
        <v>2802.0239999999999</v>
      </c>
      <c r="N1794" s="7">
        <v>14010.12</v>
      </c>
      <c r="O1794" t="s">
        <v>46</v>
      </c>
      <c r="P1794" t="s">
        <v>40</v>
      </c>
    </row>
    <row r="1795" spans="1:16" x14ac:dyDescent="0.25">
      <c r="A1795" s="5">
        <v>45857</v>
      </c>
      <c r="B1795" t="s">
        <v>73</v>
      </c>
      <c r="C1795" t="s">
        <v>74</v>
      </c>
      <c r="D1795" t="s">
        <v>69</v>
      </c>
      <c r="E1795" t="s">
        <v>124</v>
      </c>
      <c r="F1795" t="s">
        <v>89</v>
      </c>
      <c r="G1795" t="s">
        <v>1923</v>
      </c>
      <c r="H1795" s="6">
        <v>23</v>
      </c>
      <c r="I1795" s="7">
        <v>260.39</v>
      </c>
      <c r="J1795" s="7">
        <v>5989.05</v>
      </c>
      <c r="K1795" s="6">
        <v>45</v>
      </c>
      <c r="L1795" t="s">
        <v>45</v>
      </c>
      <c r="M1795" s="8">
        <v>1197.81</v>
      </c>
      <c r="N1795" s="7">
        <v>5989.05</v>
      </c>
      <c r="O1795" t="s">
        <v>46</v>
      </c>
      <c r="P1795" t="s">
        <v>40</v>
      </c>
    </row>
    <row r="1796" spans="1:16" x14ac:dyDescent="0.25">
      <c r="A1796" s="5">
        <v>45776</v>
      </c>
      <c r="B1796" t="s">
        <v>118</v>
      </c>
      <c r="C1796" t="s">
        <v>119</v>
      </c>
      <c r="D1796" t="s">
        <v>64</v>
      </c>
      <c r="E1796" t="s">
        <v>88</v>
      </c>
      <c r="F1796" t="s">
        <v>89</v>
      </c>
      <c r="G1796" t="s">
        <v>1924</v>
      </c>
      <c r="H1796" s="6">
        <v>13</v>
      </c>
      <c r="I1796" s="7">
        <v>202.39</v>
      </c>
      <c r="J1796" s="7">
        <v>2631.12</v>
      </c>
      <c r="K1796" s="6">
        <v>60</v>
      </c>
      <c r="L1796" t="s">
        <v>38</v>
      </c>
      <c r="M1796" s="8">
        <v>526.22400000000005</v>
      </c>
      <c r="N1796" s="7">
        <v>2631.12</v>
      </c>
      <c r="O1796" t="s">
        <v>46</v>
      </c>
      <c r="P1796" t="s">
        <v>40</v>
      </c>
    </row>
    <row r="1797" spans="1:16" x14ac:dyDescent="0.25">
      <c r="A1797" s="5">
        <v>45953</v>
      </c>
      <c r="B1797" t="s">
        <v>94</v>
      </c>
      <c r="C1797" t="s">
        <v>95</v>
      </c>
      <c r="D1797" t="s">
        <v>34</v>
      </c>
      <c r="E1797" t="s">
        <v>43</v>
      </c>
      <c r="F1797" t="s">
        <v>36</v>
      </c>
      <c r="G1797" t="s">
        <v>1925</v>
      </c>
      <c r="H1797" s="6">
        <v>51</v>
      </c>
      <c r="I1797" s="7">
        <v>42.98</v>
      </c>
      <c r="J1797" s="7">
        <v>2192.13</v>
      </c>
      <c r="K1797" s="6">
        <v>60</v>
      </c>
      <c r="L1797" t="s">
        <v>45</v>
      </c>
      <c r="M1797" s="8">
        <v>438.42599999999999</v>
      </c>
      <c r="N1797" s="7">
        <v>2192.13</v>
      </c>
      <c r="O1797" t="s">
        <v>46</v>
      </c>
      <c r="P1797" t="s">
        <v>40</v>
      </c>
    </row>
    <row r="1798" spans="1:16" x14ac:dyDescent="0.25">
      <c r="A1798" s="5">
        <v>45762</v>
      </c>
      <c r="B1798" t="s">
        <v>47</v>
      </c>
      <c r="C1798" t="s">
        <v>48</v>
      </c>
      <c r="D1798" t="s">
        <v>34</v>
      </c>
      <c r="E1798" t="s">
        <v>88</v>
      </c>
      <c r="F1798" t="s">
        <v>89</v>
      </c>
      <c r="G1798" t="s">
        <v>1926</v>
      </c>
      <c r="H1798" s="6">
        <v>12</v>
      </c>
      <c r="I1798" s="7">
        <v>151.03</v>
      </c>
      <c r="J1798" s="7">
        <v>1812.36</v>
      </c>
      <c r="K1798" s="6">
        <v>30</v>
      </c>
      <c r="L1798" t="s">
        <v>38</v>
      </c>
      <c r="M1798" s="8">
        <v>362.47199999999998</v>
      </c>
      <c r="N1798" s="7">
        <v>1812.36</v>
      </c>
      <c r="O1798" t="s">
        <v>46</v>
      </c>
      <c r="P1798" t="s">
        <v>40</v>
      </c>
    </row>
    <row r="1799" spans="1:16" x14ac:dyDescent="0.25">
      <c r="A1799" s="5">
        <v>45961</v>
      </c>
      <c r="B1799" t="s">
        <v>143</v>
      </c>
      <c r="C1799" t="s">
        <v>144</v>
      </c>
      <c r="D1799" t="s">
        <v>69</v>
      </c>
      <c r="E1799" t="s">
        <v>152</v>
      </c>
      <c r="F1799" t="s">
        <v>50</v>
      </c>
      <c r="G1799" t="s">
        <v>1927</v>
      </c>
      <c r="H1799" s="6">
        <v>20</v>
      </c>
      <c r="I1799" s="7">
        <v>77.45</v>
      </c>
      <c r="J1799" s="7">
        <v>1549.07</v>
      </c>
      <c r="K1799" s="6">
        <v>30</v>
      </c>
      <c r="L1799" t="s">
        <v>52</v>
      </c>
      <c r="M1799" s="8">
        <v>309.81400000000002</v>
      </c>
      <c r="N1799" s="7">
        <v>1549.07</v>
      </c>
      <c r="O1799" t="s">
        <v>46</v>
      </c>
      <c r="P1799" t="s">
        <v>40</v>
      </c>
    </row>
    <row r="1800" spans="1:16" x14ac:dyDescent="0.25">
      <c r="A1800" s="5">
        <v>45853</v>
      </c>
      <c r="B1800" t="s">
        <v>118</v>
      </c>
      <c r="C1800" t="s">
        <v>119</v>
      </c>
      <c r="D1800" t="s">
        <v>64</v>
      </c>
      <c r="E1800" t="s">
        <v>43</v>
      </c>
      <c r="F1800" t="s">
        <v>36</v>
      </c>
      <c r="G1800" t="s">
        <v>1928</v>
      </c>
      <c r="H1800" s="6">
        <v>4</v>
      </c>
      <c r="I1800" s="7">
        <v>117.47</v>
      </c>
      <c r="J1800" s="7">
        <v>469.88</v>
      </c>
      <c r="K1800" s="6">
        <v>60</v>
      </c>
      <c r="L1800" t="s">
        <v>52</v>
      </c>
      <c r="M1800" s="8">
        <v>93.975999999999999</v>
      </c>
      <c r="N1800" s="7">
        <v>469.88</v>
      </c>
      <c r="O1800" t="s">
        <v>46</v>
      </c>
      <c r="P1800" t="s">
        <v>40</v>
      </c>
    </row>
    <row r="1801" spans="1:16" x14ac:dyDescent="0.25">
      <c r="A1801" s="5">
        <v>45981</v>
      </c>
      <c r="B1801" t="s">
        <v>103</v>
      </c>
      <c r="C1801" t="s">
        <v>104</v>
      </c>
      <c r="D1801" t="s">
        <v>58</v>
      </c>
      <c r="E1801" t="s">
        <v>129</v>
      </c>
      <c r="F1801" t="s">
        <v>108</v>
      </c>
      <c r="G1801" t="s">
        <v>1929</v>
      </c>
      <c r="H1801" s="6">
        <v>46</v>
      </c>
      <c r="I1801" s="7">
        <v>75.88</v>
      </c>
      <c r="J1801" s="7">
        <v>3490.68</v>
      </c>
      <c r="K1801" s="6">
        <v>30</v>
      </c>
      <c r="L1801" t="s">
        <v>38</v>
      </c>
      <c r="M1801" s="8">
        <v>698.13599999999997</v>
      </c>
      <c r="N1801" s="7">
        <v>3490.68</v>
      </c>
      <c r="O1801" t="s">
        <v>46</v>
      </c>
      <c r="P1801" t="s">
        <v>40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6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4" width="10.7109375" customWidth="1"/>
    <col min="5" max="5" width="11.7109375" customWidth="1"/>
    <col min="6" max="6" width="13.7109375" customWidth="1"/>
    <col min="7" max="7" width="10.7109375" customWidth="1"/>
    <col min="8" max="8" width="12.7109375" customWidth="1"/>
    <col min="9" max="9" width="10.7109375" customWidth="1"/>
    <col min="10" max="10" width="17.7109375" customWidth="1"/>
    <col min="11" max="11" width="11.7109375" customWidth="1"/>
    <col min="12" max="12" width="16.7109375" customWidth="1"/>
  </cols>
  <sheetData>
    <row r="1" spans="1:12" x14ac:dyDescent="0.25">
      <c r="A1" t="s">
        <v>1930</v>
      </c>
      <c r="B1" t="s">
        <v>17</v>
      </c>
      <c r="C1" t="s">
        <v>18</v>
      </c>
      <c r="D1" t="s">
        <v>19</v>
      </c>
      <c r="E1" t="s">
        <v>1931</v>
      </c>
      <c r="F1" t="s">
        <v>1932</v>
      </c>
      <c r="G1" t="s">
        <v>1933</v>
      </c>
      <c r="H1" t="s">
        <v>1934</v>
      </c>
      <c r="I1" t="s">
        <v>1935</v>
      </c>
      <c r="J1" t="s">
        <v>1936</v>
      </c>
      <c r="K1" t="s">
        <v>1937</v>
      </c>
      <c r="L1" t="s">
        <v>1938</v>
      </c>
    </row>
    <row r="2" spans="1:12" x14ac:dyDescent="0.25">
      <c r="A2" s="9">
        <v>45658</v>
      </c>
      <c r="B2" t="s">
        <v>100</v>
      </c>
      <c r="C2" t="s">
        <v>101</v>
      </c>
      <c r="D2" t="s">
        <v>69</v>
      </c>
      <c r="E2" t="s">
        <v>1939</v>
      </c>
      <c r="F2" t="s">
        <v>1940</v>
      </c>
      <c r="G2" s="6">
        <v>1525</v>
      </c>
      <c r="H2" s="8">
        <v>179.4</v>
      </c>
      <c r="I2" s="7">
        <v>265.51</v>
      </c>
      <c r="J2" s="7">
        <v>145.15</v>
      </c>
      <c r="K2" s="6">
        <v>450</v>
      </c>
      <c r="L2" s="7">
        <v>860.66</v>
      </c>
    </row>
    <row r="3" spans="1:12" x14ac:dyDescent="0.25">
      <c r="A3" s="9">
        <v>45658</v>
      </c>
      <c r="B3" t="s">
        <v>100</v>
      </c>
      <c r="C3" t="s">
        <v>101</v>
      </c>
      <c r="D3" t="s">
        <v>69</v>
      </c>
      <c r="E3" t="s">
        <v>1941</v>
      </c>
      <c r="F3" t="s">
        <v>1942</v>
      </c>
      <c r="G3" s="6">
        <v>872</v>
      </c>
      <c r="H3" s="8">
        <v>83</v>
      </c>
      <c r="I3" s="7">
        <v>122.84</v>
      </c>
      <c r="J3" s="7">
        <v>28.9</v>
      </c>
      <c r="K3" s="6">
        <v>450</v>
      </c>
      <c r="L3" s="7">
        <v>601.74</v>
      </c>
    </row>
    <row r="4" spans="1:12" x14ac:dyDescent="0.25">
      <c r="A4" s="9">
        <v>45658</v>
      </c>
      <c r="B4" t="s">
        <v>100</v>
      </c>
      <c r="C4" t="s">
        <v>101</v>
      </c>
      <c r="D4" t="s">
        <v>69</v>
      </c>
      <c r="E4" t="s">
        <v>1943</v>
      </c>
      <c r="F4" t="s">
        <v>1942</v>
      </c>
      <c r="G4" s="6">
        <v>599</v>
      </c>
      <c r="H4" s="8">
        <v>57</v>
      </c>
      <c r="I4" s="7">
        <v>84.36</v>
      </c>
      <c r="J4" s="7">
        <v>23.27</v>
      </c>
      <c r="K4" s="6">
        <v>380</v>
      </c>
      <c r="L4" s="7">
        <v>487.63</v>
      </c>
    </row>
    <row r="5" spans="1:12" x14ac:dyDescent="0.25">
      <c r="A5" s="9">
        <v>45658</v>
      </c>
      <c r="B5" t="s">
        <v>100</v>
      </c>
      <c r="C5" t="s">
        <v>101</v>
      </c>
      <c r="D5" t="s">
        <v>69</v>
      </c>
      <c r="E5" t="s">
        <v>1944</v>
      </c>
      <c r="F5" t="s">
        <v>1942</v>
      </c>
      <c r="G5" s="6">
        <v>1116</v>
      </c>
      <c r="H5" s="8">
        <v>106.3</v>
      </c>
      <c r="I5" s="7">
        <v>157.32</v>
      </c>
      <c r="J5" s="7">
        <v>190.7</v>
      </c>
      <c r="K5" s="6">
        <v>320</v>
      </c>
      <c r="L5" s="7">
        <v>668.02</v>
      </c>
    </row>
    <row r="6" spans="1:12" x14ac:dyDescent="0.25">
      <c r="A6" s="9">
        <v>45658</v>
      </c>
      <c r="B6" t="s">
        <v>113</v>
      </c>
      <c r="C6" t="s">
        <v>114</v>
      </c>
      <c r="D6" t="s">
        <v>69</v>
      </c>
      <c r="E6" t="s">
        <v>1945</v>
      </c>
      <c r="F6" t="s">
        <v>1946</v>
      </c>
      <c r="G6" s="6">
        <v>654</v>
      </c>
      <c r="H6" s="8">
        <v>62.3</v>
      </c>
      <c r="I6" s="7">
        <v>92.2</v>
      </c>
      <c r="J6" s="7">
        <v>221.6</v>
      </c>
      <c r="K6" s="6">
        <v>450</v>
      </c>
      <c r="L6" s="7">
        <v>763.8</v>
      </c>
    </row>
    <row r="7" spans="1:12" x14ac:dyDescent="0.25">
      <c r="A7" s="9">
        <v>45658</v>
      </c>
      <c r="B7" t="s">
        <v>113</v>
      </c>
      <c r="C7" t="s">
        <v>114</v>
      </c>
      <c r="D7" t="s">
        <v>69</v>
      </c>
      <c r="E7" t="s">
        <v>1947</v>
      </c>
      <c r="F7" t="s">
        <v>1948</v>
      </c>
      <c r="G7" s="6">
        <v>929</v>
      </c>
      <c r="H7" s="8">
        <v>109.3</v>
      </c>
      <c r="I7" s="7">
        <v>161.76</v>
      </c>
      <c r="J7" s="7">
        <v>261.74</v>
      </c>
      <c r="K7" s="6">
        <v>380</v>
      </c>
      <c r="L7" s="7">
        <v>803.5</v>
      </c>
    </row>
    <row r="8" spans="1:12" x14ac:dyDescent="0.25">
      <c r="A8" s="9">
        <v>45658</v>
      </c>
      <c r="B8" t="s">
        <v>113</v>
      </c>
      <c r="C8" t="s">
        <v>114</v>
      </c>
      <c r="D8" t="s">
        <v>69</v>
      </c>
      <c r="E8" t="s">
        <v>1949</v>
      </c>
      <c r="F8" t="s">
        <v>1942</v>
      </c>
      <c r="G8" s="6">
        <v>1453</v>
      </c>
      <c r="H8" s="8">
        <v>138.4</v>
      </c>
      <c r="I8" s="7">
        <v>204.83</v>
      </c>
      <c r="J8" s="7">
        <v>221.75</v>
      </c>
      <c r="K8" s="6">
        <v>320</v>
      </c>
      <c r="L8" s="7">
        <v>746.58</v>
      </c>
    </row>
    <row r="9" spans="1:12" x14ac:dyDescent="0.25">
      <c r="A9" s="9">
        <v>45658</v>
      </c>
      <c r="B9" t="s">
        <v>143</v>
      </c>
      <c r="C9" t="s">
        <v>144</v>
      </c>
      <c r="D9" t="s">
        <v>69</v>
      </c>
      <c r="E9" t="s">
        <v>1950</v>
      </c>
      <c r="F9" t="s">
        <v>1940</v>
      </c>
      <c r="G9" s="6">
        <v>982</v>
      </c>
      <c r="H9" s="8">
        <v>115.5</v>
      </c>
      <c r="I9" s="7">
        <v>170.94</v>
      </c>
      <c r="J9" s="7">
        <v>78.7</v>
      </c>
      <c r="K9" s="6">
        <v>320</v>
      </c>
      <c r="L9" s="7">
        <v>569.64</v>
      </c>
    </row>
    <row r="10" spans="1:12" x14ac:dyDescent="0.25">
      <c r="A10" s="9">
        <v>45658</v>
      </c>
      <c r="B10" t="s">
        <v>143</v>
      </c>
      <c r="C10" t="s">
        <v>144</v>
      </c>
      <c r="D10" t="s">
        <v>69</v>
      </c>
      <c r="E10" t="s">
        <v>1951</v>
      </c>
      <c r="F10" t="s">
        <v>1940</v>
      </c>
      <c r="G10" s="6">
        <v>512</v>
      </c>
      <c r="H10" s="8">
        <v>60.2</v>
      </c>
      <c r="I10" s="7">
        <v>89.1</v>
      </c>
      <c r="J10" s="7">
        <v>92.47</v>
      </c>
      <c r="K10" s="6">
        <v>320</v>
      </c>
      <c r="L10" s="7">
        <v>501.57</v>
      </c>
    </row>
    <row r="11" spans="1:12" x14ac:dyDescent="0.25">
      <c r="A11" s="9">
        <v>45658</v>
      </c>
      <c r="B11" t="s">
        <v>143</v>
      </c>
      <c r="C11" t="s">
        <v>144</v>
      </c>
      <c r="D11" t="s">
        <v>69</v>
      </c>
      <c r="E11" t="s">
        <v>1952</v>
      </c>
      <c r="F11" t="s">
        <v>1946</v>
      </c>
      <c r="G11" s="6">
        <v>997</v>
      </c>
      <c r="H11" s="8">
        <v>95</v>
      </c>
      <c r="I11" s="7">
        <v>140.6</v>
      </c>
      <c r="J11" s="7">
        <v>71.03</v>
      </c>
      <c r="K11" s="6">
        <v>520</v>
      </c>
      <c r="L11" s="7">
        <v>731.63</v>
      </c>
    </row>
    <row r="12" spans="1:12" x14ac:dyDescent="0.25">
      <c r="A12" s="9">
        <v>45658</v>
      </c>
      <c r="B12" t="s">
        <v>143</v>
      </c>
      <c r="C12" t="s">
        <v>144</v>
      </c>
      <c r="D12" t="s">
        <v>69</v>
      </c>
      <c r="E12" t="s">
        <v>1953</v>
      </c>
      <c r="F12" t="s">
        <v>1940</v>
      </c>
      <c r="G12" s="6">
        <v>1017</v>
      </c>
      <c r="H12" s="8">
        <v>119.6</v>
      </c>
      <c r="I12" s="7">
        <v>177.01</v>
      </c>
      <c r="J12" s="7">
        <v>156.15</v>
      </c>
      <c r="K12" s="6">
        <v>450</v>
      </c>
      <c r="L12" s="7">
        <v>783.16</v>
      </c>
    </row>
    <row r="13" spans="1:12" x14ac:dyDescent="0.25">
      <c r="A13" s="9">
        <v>45658</v>
      </c>
      <c r="B13" t="s">
        <v>143</v>
      </c>
      <c r="C13" t="s">
        <v>144</v>
      </c>
      <c r="D13" t="s">
        <v>69</v>
      </c>
      <c r="E13" t="s">
        <v>1954</v>
      </c>
      <c r="F13" t="s">
        <v>1940</v>
      </c>
      <c r="G13" s="6">
        <v>993</v>
      </c>
      <c r="H13" s="8">
        <v>116.8</v>
      </c>
      <c r="I13" s="7">
        <v>172.86</v>
      </c>
      <c r="J13" s="7">
        <v>98</v>
      </c>
      <c r="K13" s="6">
        <v>380</v>
      </c>
      <c r="L13" s="7">
        <v>650.86</v>
      </c>
    </row>
    <row r="14" spans="1:12" x14ac:dyDescent="0.25">
      <c r="A14" s="9">
        <v>45658</v>
      </c>
      <c r="B14" t="s">
        <v>143</v>
      </c>
      <c r="C14" t="s">
        <v>144</v>
      </c>
      <c r="D14" t="s">
        <v>69</v>
      </c>
      <c r="E14" t="s">
        <v>1955</v>
      </c>
      <c r="F14" t="s">
        <v>1946</v>
      </c>
      <c r="G14" s="6">
        <v>1092</v>
      </c>
      <c r="H14" s="8">
        <v>104</v>
      </c>
      <c r="I14" s="7">
        <v>153.91999999999999</v>
      </c>
      <c r="J14" s="7">
        <v>185.36</v>
      </c>
      <c r="K14" s="6">
        <v>450</v>
      </c>
      <c r="L14" s="7">
        <v>789.28</v>
      </c>
    </row>
    <row r="15" spans="1:12" x14ac:dyDescent="0.25">
      <c r="A15" s="9">
        <v>45658</v>
      </c>
      <c r="B15" t="s">
        <v>73</v>
      </c>
      <c r="C15" t="s">
        <v>74</v>
      </c>
      <c r="D15" t="s">
        <v>69</v>
      </c>
      <c r="E15" t="s">
        <v>1956</v>
      </c>
      <c r="F15" t="s">
        <v>1948</v>
      </c>
      <c r="G15" s="6">
        <v>777</v>
      </c>
      <c r="H15" s="8">
        <v>91.4</v>
      </c>
      <c r="I15" s="7">
        <v>135.27000000000001</v>
      </c>
      <c r="J15" s="7">
        <v>362.87</v>
      </c>
      <c r="K15" s="6">
        <v>450</v>
      </c>
      <c r="L15" s="7">
        <v>948.14</v>
      </c>
    </row>
    <row r="16" spans="1:12" x14ac:dyDescent="0.25">
      <c r="A16" s="9">
        <v>45658</v>
      </c>
      <c r="B16" t="s">
        <v>73</v>
      </c>
      <c r="C16" t="s">
        <v>74</v>
      </c>
      <c r="D16" t="s">
        <v>69</v>
      </c>
      <c r="E16" t="s">
        <v>1957</v>
      </c>
      <c r="F16" t="s">
        <v>1940</v>
      </c>
      <c r="G16" s="6">
        <v>1025</v>
      </c>
      <c r="H16" s="8">
        <v>120.6</v>
      </c>
      <c r="I16" s="7">
        <v>178.49</v>
      </c>
      <c r="J16" s="7">
        <v>151.51</v>
      </c>
      <c r="K16" s="6">
        <v>320</v>
      </c>
      <c r="L16" s="7">
        <v>650</v>
      </c>
    </row>
    <row r="17" spans="1:12" x14ac:dyDescent="0.25">
      <c r="A17" s="9">
        <v>45658</v>
      </c>
      <c r="B17" t="s">
        <v>73</v>
      </c>
      <c r="C17" t="s">
        <v>74</v>
      </c>
      <c r="D17" t="s">
        <v>69</v>
      </c>
      <c r="E17" t="s">
        <v>1958</v>
      </c>
      <c r="F17" t="s">
        <v>1946</v>
      </c>
      <c r="G17" s="6">
        <v>1227</v>
      </c>
      <c r="H17" s="8">
        <v>116.9</v>
      </c>
      <c r="I17" s="7">
        <v>173.01</v>
      </c>
      <c r="J17" s="7">
        <v>168.66</v>
      </c>
      <c r="K17" s="6">
        <v>450</v>
      </c>
      <c r="L17" s="7">
        <v>791.67</v>
      </c>
    </row>
    <row r="18" spans="1:12" x14ac:dyDescent="0.25">
      <c r="A18" s="9">
        <v>45658</v>
      </c>
      <c r="B18" t="s">
        <v>67</v>
      </c>
      <c r="C18" t="s">
        <v>68</v>
      </c>
      <c r="D18" t="s">
        <v>69</v>
      </c>
      <c r="E18" t="s">
        <v>1941</v>
      </c>
      <c r="F18" t="s">
        <v>1942</v>
      </c>
      <c r="G18" s="6">
        <v>1288</v>
      </c>
      <c r="H18" s="8">
        <v>122.7</v>
      </c>
      <c r="I18" s="7">
        <v>181.6</v>
      </c>
      <c r="J18" s="7">
        <v>172.97</v>
      </c>
      <c r="K18" s="6">
        <v>380</v>
      </c>
      <c r="L18" s="7">
        <v>734.57</v>
      </c>
    </row>
    <row r="19" spans="1:12" x14ac:dyDescent="0.25">
      <c r="A19" s="9">
        <v>45658</v>
      </c>
      <c r="B19" t="s">
        <v>67</v>
      </c>
      <c r="C19" t="s">
        <v>68</v>
      </c>
      <c r="D19" t="s">
        <v>69</v>
      </c>
      <c r="E19" t="s">
        <v>1959</v>
      </c>
      <c r="F19" t="s">
        <v>1946</v>
      </c>
      <c r="G19" s="6">
        <v>896</v>
      </c>
      <c r="H19" s="8">
        <v>85.3</v>
      </c>
      <c r="I19" s="7">
        <v>126.24</v>
      </c>
      <c r="J19" s="7">
        <v>178.92</v>
      </c>
      <c r="K19" s="6">
        <v>450</v>
      </c>
      <c r="L19" s="7">
        <v>755.16</v>
      </c>
    </row>
    <row r="20" spans="1:12" x14ac:dyDescent="0.25">
      <c r="A20" s="9">
        <v>45658</v>
      </c>
      <c r="B20" t="s">
        <v>67</v>
      </c>
      <c r="C20" t="s">
        <v>68</v>
      </c>
      <c r="D20" t="s">
        <v>69</v>
      </c>
      <c r="E20" t="s">
        <v>1943</v>
      </c>
      <c r="F20" t="s">
        <v>1942</v>
      </c>
      <c r="G20" s="6">
        <v>764</v>
      </c>
      <c r="H20" s="8">
        <v>72.8</v>
      </c>
      <c r="I20" s="7">
        <v>107.74</v>
      </c>
      <c r="J20" s="7">
        <v>158.68</v>
      </c>
      <c r="K20" s="6">
        <v>380</v>
      </c>
      <c r="L20" s="7">
        <v>646.41999999999996</v>
      </c>
    </row>
    <row r="21" spans="1:12" x14ac:dyDescent="0.25">
      <c r="A21" s="9">
        <v>45658</v>
      </c>
      <c r="B21" t="s">
        <v>32</v>
      </c>
      <c r="C21" t="s">
        <v>33</v>
      </c>
      <c r="D21" t="s">
        <v>34</v>
      </c>
      <c r="E21" t="s">
        <v>1960</v>
      </c>
      <c r="F21" t="s">
        <v>1942</v>
      </c>
      <c r="G21" s="6">
        <v>1041</v>
      </c>
      <c r="H21" s="8">
        <v>99.1</v>
      </c>
      <c r="I21" s="7">
        <v>146.66999999999999</v>
      </c>
      <c r="J21" s="7">
        <v>133.35</v>
      </c>
      <c r="K21" s="6">
        <v>380</v>
      </c>
      <c r="L21" s="7">
        <v>660.02</v>
      </c>
    </row>
    <row r="22" spans="1:12" x14ac:dyDescent="0.25">
      <c r="A22" s="9">
        <v>45658</v>
      </c>
      <c r="B22" t="s">
        <v>32</v>
      </c>
      <c r="C22" t="s">
        <v>33</v>
      </c>
      <c r="D22" t="s">
        <v>34</v>
      </c>
      <c r="E22" t="s">
        <v>1961</v>
      </c>
      <c r="F22" t="s">
        <v>1948</v>
      </c>
      <c r="G22" s="6">
        <v>1017</v>
      </c>
      <c r="H22" s="8">
        <v>119.6</v>
      </c>
      <c r="I22" s="7">
        <v>177.01</v>
      </c>
      <c r="J22" s="7">
        <v>99.45</v>
      </c>
      <c r="K22" s="6">
        <v>450</v>
      </c>
      <c r="L22" s="7">
        <v>726.46</v>
      </c>
    </row>
    <row r="23" spans="1:12" x14ac:dyDescent="0.25">
      <c r="A23" s="9">
        <v>45658</v>
      </c>
      <c r="B23" t="s">
        <v>32</v>
      </c>
      <c r="C23" t="s">
        <v>33</v>
      </c>
      <c r="D23" t="s">
        <v>34</v>
      </c>
      <c r="E23" t="s">
        <v>1962</v>
      </c>
      <c r="F23" t="s">
        <v>1940</v>
      </c>
      <c r="G23" s="6">
        <v>912</v>
      </c>
      <c r="H23" s="8">
        <v>107.3</v>
      </c>
      <c r="I23" s="7">
        <v>158.80000000000001</v>
      </c>
      <c r="J23" s="7">
        <v>157.43</v>
      </c>
      <c r="K23" s="6">
        <v>380</v>
      </c>
      <c r="L23" s="7">
        <v>696.23</v>
      </c>
    </row>
    <row r="24" spans="1:12" x14ac:dyDescent="0.25">
      <c r="A24" s="9">
        <v>45658</v>
      </c>
      <c r="B24" t="s">
        <v>94</v>
      </c>
      <c r="C24" t="s">
        <v>95</v>
      </c>
      <c r="D24" t="s">
        <v>34</v>
      </c>
      <c r="E24" t="s">
        <v>1963</v>
      </c>
      <c r="F24" t="s">
        <v>1940</v>
      </c>
      <c r="G24" s="6">
        <v>1089</v>
      </c>
      <c r="H24" s="8">
        <v>128.1</v>
      </c>
      <c r="I24" s="7">
        <v>189.59</v>
      </c>
      <c r="J24" s="7">
        <v>67.790000000000006</v>
      </c>
      <c r="K24" s="6">
        <v>520</v>
      </c>
      <c r="L24" s="7">
        <v>777.38</v>
      </c>
    </row>
    <row r="25" spans="1:12" x14ac:dyDescent="0.25">
      <c r="A25" s="9">
        <v>45658</v>
      </c>
      <c r="B25" t="s">
        <v>94</v>
      </c>
      <c r="C25" t="s">
        <v>95</v>
      </c>
      <c r="D25" t="s">
        <v>34</v>
      </c>
      <c r="E25" t="s">
        <v>1964</v>
      </c>
      <c r="F25" t="s">
        <v>1940</v>
      </c>
      <c r="G25" s="6">
        <v>1366</v>
      </c>
      <c r="H25" s="8">
        <v>160.69999999999999</v>
      </c>
      <c r="I25" s="7">
        <v>237.84</v>
      </c>
      <c r="J25" s="7">
        <v>80.709999999999994</v>
      </c>
      <c r="K25" s="6">
        <v>380</v>
      </c>
      <c r="L25" s="7">
        <v>698.55</v>
      </c>
    </row>
    <row r="26" spans="1:12" x14ac:dyDescent="0.25">
      <c r="A26" s="9">
        <v>45658</v>
      </c>
      <c r="B26" t="s">
        <v>94</v>
      </c>
      <c r="C26" t="s">
        <v>95</v>
      </c>
      <c r="D26" t="s">
        <v>34</v>
      </c>
      <c r="E26" t="s">
        <v>1965</v>
      </c>
      <c r="F26" t="s">
        <v>1948</v>
      </c>
      <c r="G26" s="6">
        <v>1292</v>
      </c>
      <c r="H26" s="8">
        <v>152</v>
      </c>
      <c r="I26" s="7">
        <v>224.96</v>
      </c>
      <c r="J26" s="7">
        <v>284.18</v>
      </c>
      <c r="K26" s="6">
        <v>380</v>
      </c>
      <c r="L26" s="7">
        <v>889.14</v>
      </c>
    </row>
    <row r="27" spans="1:12" x14ac:dyDescent="0.25">
      <c r="A27" s="9">
        <v>45658</v>
      </c>
      <c r="B27" t="s">
        <v>41</v>
      </c>
      <c r="C27" t="s">
        <v>42</v>
      </c>
      <c r="D27" t="s">
        <v>34</v>
      </c>
      <c r="E27" t="s">
        <v>1966</v>
      </c>
      <c r="F27" t="s">
        <v>1946</v>
      </c>
      <c r="G27" s="6">
        <v>888</v>
      </c>
      <c r="H27" s="8">
        <v>84.6</v>
      </c>
      <c r="I27" s="7">
        <v>125.21</v>
      </c>
      <c r="J27" s="7">
        <v>292.02</v>
      </c>
      <c r="K27" s="6">
        <v>380</v>
      </c>
      <c r="L27" s="7">
        <v>797.23</v>
      </c>
    </row>
    <row r="28" spans="1:12" x14ac:dyDescent="0.25">
      <c r="A28" s="9">
        <v>45658</v>
      </c>
      <c r="B28" t="s">
        <v>41</v>
      </c>
      <c r="C28" t="s">
        <v>42</v>
      </c>
      <c r="D28" t="s">
        <v>34</v>
      </c>
      <c r="E28" t="s">
        <v>1952</v>
      </c>
      <c r="F28" t="s">
        <v>1940</v>
      </c>
      <c r="G28" s="6">
        <v>751</v>
      </c>
      <c r="H28" s="8">
        <v>88.4</v>
      </c>
      <c r="I28" s="7">
        <v>130.83000000000001</v>
      </c>
      <c r="J28" s="7">
        <v>223.53</v>
      </c>
      <c r="K28" s="6">
        <v>520</v>
      </c>
      <c r="L28" s="7">
        <v>874.36</v>
      </c>
    </row>
    <row r="29" spans="1:12" x14ac:dyDescent="0.25">
      <c r="A29" s="9">
        <v>45658</v>
      </c>
      <c r="B29" t="s">
        <v>41</v>
      </c>
      <c r="C29" t="s">
        <v>42</v>
      </c>
      <c r="D29" t="s">
        <v>34</v>
      </c>
      <c r="E29" t="s">
        <v>1967</v>
      </c>
      <c r="F29" t="s">
        <v>1940</v>
      </c>
      <c r="G29" s="6">
        <v>1300</v>
      </c>
      <c r="H29" s="8">
        <v>152.9</v>
      </c>
      <c r="I29" s="7">
        <v>226.29</v>
      </c>
      <c r="J29" s="7">
        <v>96.35</v>
      </c>
      <c r="K29" s="6">
        <v>520</v>
      </c>
      <c r="L29" s="7">
        <v>842.64</v>
      </c>
    </row>
    <row r="30" spans="1:12" x14ac:dyDescent="0.25">
      <c r="A30" s="9">
        <v>45658</v>
      </c>
      <c r="B30" t="s">
        <v>41</v>
      </c>
      <c r="C30" t="s">
        <v>42</v>
      </c>
      <c r="D30" t="s">
        <v>34</v>
      </c>
      <c r="E30" t="s">
        <v>1968</v>
      </c>
      <c r="F30" t="s">
        <v>1948</v>
      </c>
      <c r="G30" s="6">
        <v>1398</v>
      </c>
      <c r="H30" s="8">
        <v>164.5</v>
      </c>
      <c r="I30" s="7">
        <v>243.46</v>
      </c>
      <c r="J30" s="7">
        <v>230</v>
      </c>
      <c r="K30" s="6">
        <v>450</v>
      </c>
      <c r="L30" s="7">
        <v>923.46</v>
      </c>
    </row>
    <row r="31" spans="1:12" x14ac:dyDescent="0.25">
      <c r="A31" s="9">
        <v>45658</v>
      </c>
      <c r="B31" t="s">
        <v>47</v>
      </c>
      <c r="C31" t="s">
        <v>48</v>
      </c>
      <c r="D31" t="s">
        <v>34</v>
      </c>
      <c r="E31" t="s">
        <v>1949</v>
      </c>
      <c r="F31" t="s">
        <v>1940</v>
      </c>
      <c r="G31" s="6">
        <v>1122</v>
      </c>
      <c r="H31" s="8">
        <v>132</v>
      </c>
      <c r="I31" s="7">
        <v>195.36</v>
      </c>
      <c r="J31" s="7">
        <v>170.83</v>
      </c>
      <c r="K31" s="6">
        <v>380</v>
      </c>
      <c r="L31" s="7">
        <v>746.19</v>
      </c>
    </row>
    <row r="32" spans="1:12" x14ac:dyDescent="0.25">
      <c r="A32" s="9">
        <v>45658</v>
      </c>
      <c r="B32" t="s">
        <v>47</v>
      </c>
      <c r="C32" t="s">
        <v>48</v>
      </c>
      <c r="D32" t="s">
        <v>34</v>
      </c>
      <c r="E32" t="s">
        <v>1969</v>
      </c>
      <c r="F32" t="s">
        <v>1942</v>
      </c>
      <c r="G32" s="6">
        <v>1016</v>
      </c>
      <c r="H32" s="8">
        <v>96.8</v>
      </c>
      <c r="I32" s="7">
        <v>143.26</v>
      </c>
      <c r="J32" s="7">
        <v>214.86</v>
      </c>
      <c r="K32" s="6">
        <v>450</v>
      </c>
      <c r="L32" s="7">
        <v>808.12</v>
      </c>
    </row>
    <row r="33" spans="1:12" x14ac:dyDescent="0.25">
      <c r="A33" s="9">
        <v>45658</v>
      </c>
      <c r="B33" t="s">
        <v>47</v>
      </c>
      <c r="C33" t="s">
        <v>48</v>
      </c>
      <c r="D33" t="s">
        <v>34</v>
      </c>
      <c r="E33" t="s">
        <v>1970</v>
      </c>
      <c r="F33" t="s">
        <v>1940</v>
      </c>
      <c r="G33" s="6">
        <v>1248</v>
      </c>
      <c r="H33" s="8">
        <v>146.80000000000001</v>
      </c>
      <c r="I33" s="7">
        <v>217.26</v>
      </c>
      <c r="J33" s="7">
        <v>10.119999999999999</v>
      </c>
      <c r="K33" s="6">
        <v>450</v>
      </c>
      <c r="L33" s="7">
        <v>677.38</v>
      </c>
    </row>
    <row r="34" spans="1:12" x14ac:dyDescent="0.25">
      <c r="A34" s="9">
        <v>45658</v>
      </c>
      <c r="B34" t="s">
        <v>47</v>
      </c>
      <c r="C34" t="s">
        <v>48</v>
      </c>
      <c r="D34" t="s">
        <v>34</v>
      </c>
      <c r="E34" t="s">
        <v>1971</v>
      </c>
      <c r="F34" t="s">
        <v>1948</v>
      </c>
      <c r="G34" s="6">
        <v>1376</v>
      </c>
      <c r="H34" s="8">
        <v>161.9</v>
      </c>
      <c r="I34" s="7">
        <v>239.61</v>
      </c>
      <c r="J34" s="7">
        <v>117</v>
      </c>
      <c r="K34" s="6">
        <v>520</v>
      </c>
      <c r="L34" s="7">
        <v>876.61</v>
      </c>
    </row>
    <row r="35" spans="1:12" x14ac:dyDescent="0.25">
      <c r="A35" s="9">
        <v>45658</v>
      </c>
      <c r="B35" t="s">
        <v>47</v>
      </c>
      <c r="C35" t="s">
        <v>48</v>
      </c>
      <c r="D35" t="s">
        <v>34</v>
      </c>
      <c r="E35" t="s">
        <v>1972</v>
      </c>
      <c r="F35" t="s">
        <v>1942</v>
      </c>
      <c r="G35" s="6">
        <v>1308</v>
      </c>
      <c r="H35" s="8">
        <v>124.6</v>
      </c>
      <c r="I35" s="7">
        <v>184.41</v>
      </c>
      <c r="J35" s="7">
        <v>240.14</v>
      </c>
      <c r="K35" s="6">
        <v>320</v>
      </c>
      <c r="L35" s="7">
        <v>744.55</v>
      </c>
    </row>
    <row r="36" spans="1:12" x14ac:dyDescent="0.25">
      <c r="A36" s="9">
        <v>45658</v>
      </c>
      <c r="B36" t="s">
        <v>47</v>
      </c>
      <c r="C36" t="s">
        <v>48</v>
      </c>
      <c r="D36" t="s">
        <v>34</v>
      </c>
      <c r="E36" t="s">
        <v>1973</v>
      </c>
      <c r="F36" t="s">
        <v>1946</v>
      </c>
      <c r="G36" s="6">
        <v>777</v>
      </c>
      <c r="H36" s="8">
        <v>74</v>
      </c>
      <c r="I36" s="7">
        <v>109.52</v>
      </c>
      <c r="J36" s="7">
        <v>117.13</v>
      </c>
      <c r="K36" s="6">
        <v>450</v>
      </c>
      <c r="L36" s="7">
        <v>676.65</v>
      </c>
    </row>
    <row r="37" spans="1:12" x14ac:dyDescent="0.25">
      <c r="A37" s="9">
        <v>45658</v>
      </c>
      <c r="B37" t="s">
        <v>47</v>
      </c>
      <c r="C37" t="s">
        <v>48</v>
      </c>
      <c r="D37" t="s">
        <v>34</v>
      </c>
      <c r="E37" t="s">
        <v>1974</v>
      </c>
      <c r="F37" t="s">
        <v>1940</v>
      </c>
      <c r="G37" s="6">
        <v>773</v>
      </c>
      <c r="H37" s="8">
        <v>90.9</v>
      </c>
      <c r="I37" s="7">
        <v>134.53</v>
      </c>
      <c r="J37" s="7">
        <v>132.81</v>
      </c>
      <c r="K37" s="6">
        <v>380</v>
      </c>
      <c r="L37" s="7">
        <v>647.34</v>
      </c>
    </row>
    <row r="38" spans="1:12" x14ac:dyDescent="0.25">
      <c r="A38" s="9">
        <v>45658</v>
      </c>
      <c r="B38" t="s">
        <v>121</v>
      </c>
      <c r="C38" t="s">
        <v>122</v>
      </c>
      <c r="D38" t="s">
        <v>34</v>
      </c>
      <c r="E38" t="s">
        <v>1944</v>
      </c>
      <c r="F38" t="s">
        <v>1948</v>
      </c>
      <c r="G38" s="6">
        <v>972</v>
      </c>
      <c r="H38" s="8">
        <v>114.4</v>
      </c>
      <c r="I38" s="7">
        <v>169.31</v>
      </c>
      <c r="J38" s="7">
        <v>312.37</v>
      </c>
      <c r="K38" s="6">
        <v>320</v>
      </c>
      <c r="L38" s="7">
        <v>801.68</v>
      </c>
    </row>
    <row r="39" spans="1:12" x14ac:dyDescent="0.25">
      <c r="A39" s="9">
        <v>45658</v>
      </c>
      <c r="B39" t="s">
        <v>121</v>
      </c>
      <c r="C39" t="s">
        <v>122</v>
      </c>
      <c r="D39" t="s">
        <v>34</v>
      </c>
      <c r="E39" t="s">
        <v>1975</v>
      </c>
      <c r="F39" t="s">
        <v>1942</v>
      </c>
      <c r="G39" s="6">
        <v>1377</v>
      </c>
      <c r="H39" s="8">
        <v>131.1</v>
      </c>
      <c r="I39" s="7">
        <v>194.03</v>
      </c>
      <c r="J39" s="7">
        <v>261.64999999999998</v>
      </c>
      <c r="K39" s="6">
        <v>450</v>
      </c>
      <c r="L39" s="7">
        <v>905.68</v>
      </c>
    </row>
    <row r="40" spans="1:12" x14ac:dyDescent="0.25">
      <c r="A40" s="9">
        <v>45658</v>
      </c>
      <c r="B40" t="s">
        <v>121</v>
      </c>
      <c r="C40" t="s">
        <v>122</v>
      </c>
      <c r="D40" t="s">
        <v>34</v>
      </c>
      <c r="E40" t="s">
        <v>1976</v>
      </c>
      <c r="F40" t="s">
        <v>1942</v>
      </c>
      <c r="G40" s="6">
        <v>909</v>
      </c>
      <c r="H40" s="8">
        <v>86.6</v>
      </c>
      <c r="I40" s="7">
        <v>128.16999999999999</v>
      </c>
      <c r="J40" s="7">
        <v>133.26</v>
      </c>
      <c r="K40" s="6">
        <v>450</v>
      </c>
      <c r="L40" s="7">
        <v>711.43</v>
      </c>
    </row>
    <row r="41" spans="1:12" x14ac:dyDescent="0.25">
      <c r="A41" s="9">
        <v>45658</v>
      </c>
      <c r="B41" t="s">
        <v>121</v>
      </c>
      <c r="C41" t="s">
        <v>122</v>
      </c>
      <c r="D41" t="s">
        <v>34</v>
      </c>
      <c r="E41" t="s">
        <v>1973</v>
      </c>
      <c r="F41" t="s">
        <v>1946</v>
      </c>
      <c r="G41" s="6">
        <v>629</v>
      </c>
      <c r="H41" s="8">
        <v>59.9</v>
      </c>
      <c r="I41" s="7">
        <v>88.65</v>
      </c>
      <c r="J41" s="7">
        <v>85.53</v>
      </c>
      <c r="K41" s="6">
        <v>520</v>
      </c>
      <c r="L41" s="7">
        <v>694.18</v>
      </c>
    </row>
    <row r="42" spans="1:12" x14ac:dyDescent="0.25">
      <c r="A42" s="9">
        <v>45658</v>
      </c>
      <c r="B42" t="s">
        <v>121</v>
      </c>
      <c r="C42" t="s">
        <v>122</v>
      </c>
      <c r="D42" t="s">
        <v>34</v>
      </c>
      <c r="E42" t="s">
        <v>1977</v>
      </c>
      <c r="F42" t="s">
        <v>1948</v>
      </c>
      <c r="G42" s="6">
        <v>1291</v>
      </c>
      <c r="H42" s="8">
        <v>151.9</v>
      </c>
      <c r="I42" s="7">
        <v>224.81</v>
      </c>
      <c r="J42" s="7">
        <v>379.25</v>
      </c>
      <c r="K42" s="6">
        <v>380</v>
      </c>
      <c r="L42" s="7">
        <v>984.06</v>
      </c>
    </row>
    <row r="43" spans="1:12" x14ac:dyDescent="0.25">
      <c r="A43" s="9">
        <v>45658</v>
      </c>
      <c r="B43" t="s">
        <v>201</v>
      </c>
      <c r="C43" t="s">
        <v>202</v>
      </c>
      <c r="D43" t="s">
        <v>64</v>
      </c>
      <c r="E43" t="s">
        <v>1974</v>
      </c>
      <c r="F43" t="s">
        <v>1948</v>
      </c>
      <c r="G43" s="6">
        <v>741</v>
      </c>
      <c r="H43" s="8">
        <v>87.2</v>
      </c>
      <c r="I43" s="7">
        <v>129.06</v>
      </c>
      <c r="J43" s="7">
        <v>202.6</v>
      </c>
      <c r="K43" s="6">
        <v>320</v>
      </c>
      <c r="L43" s="7">
        <v>651.66</v>
      </c>
    </row>
    <row r="44" spans="1:12" x14ac:dyDescent="0.25">
      <c r="A44" s="9">
        <v>45658</v>
      </c>
      <c r="B44" t="s">
        <v>201</v>
      </c>
      <c r="C44" t="s">
        <v>202</v>
      </c>
      <c r="D44" t="s">
        <v>64</v>
      </c>
      <c r="E44" t="s">
        <v>1969</v>
      </c>
      <c r="F44" t="s">
        <v>1940</v>
      </c>
      <c r="G44" s="6">
        <v>1043</v>
      </c>
      <c r="H44" s="8">
        <v>122.7</v>
      </c>
      <c r="I44" s="7">
        <v>181.6</v>
      </c>
      <c r="J44" s="7">
        <v>172.41</v>
      </c>
      <c r="K44" s="6">
        <v>520</v>
      </c>
      <c r="L44" s="7">
        <v>874.01</v>
      </c>
    </row>
    <row r="45" spans="1:12" x14ac:dyDescent="0.25">
      <c r="A45" s="9">
        <v>45658</v>
      </c>
      <c r="B45" t="s">
        <v>201</v>
      </c>
      <c r="C45" t="s">
        <v>202</v>
      </c>
      <c r="D45" t="s">
        <v>64</v>
      </c>
      <c r="E45" t="s">
        <v>1978</v>
      </c>
      <c r="F45" t="s">
        <v>1948</v>
      </c>
      <c r="G45" s="6">
        <v>847</v>
      </c>
      <c r="H45" s="8">
        <v>99.6</v>
      </c>
      <c r="I45" s="7">
        <v>147.41</v>
      </c>
      <c r="J45" s="7">
        <v>283.92</v>
      </c>
      <c r="K45" s="6">
        <v>450</v>
      </c>
      <c r="L45" s="7">
        <v>881.33</v>
      </c>
    </row>
    <row r="46" spans="1:12" x14ac:dyDescent="0.25">
      <c r="A46" s="9">
        <v>45658</v>
      </c>
      <c r="B46" t="s">
        <v>201</v>
      </c>
      <c r="C46" t="s">
        <v>202</v>
      </c>
      <c r="D46" t="s">
        <v>64</v>
      </c>
      <c r="E46" t="s">
        <v>1979</v>
      </c>
      <c r="F46" t="s">
        <v>1946</v>
      </c>
      <c r="G46" s="6">
        <v>931</v>
      </c>
      <c r="H46" s="8">
        <v>88.7</v>
      </c>
      <c r="I46" s="7">
        <v>131.28</v>
      </c>
      <c r="J46" s="7">
        <v>148.84</v>
      </c>
      <c r="K46" s="6">
        <v>380</v>
      </c>
      <c r="L46" s="7">
        <v>660.12</v>
      </c>
    </row>
    <row r="47" spans="1:12" x14ac:dyDescent="0.25">
      <c r="A47" s="9">
        <v>45658</v>
      </c>
      <c r="B47" t="s">
        <v>201</v>
      </c>
      <c r="C47" t="s">
        <v>202</v>
      </c>
      <c r="D47" t="s">
        <v>64</v>
      </c>
      <c r="E47" t="s">
        <v>1980</v>
      </c>
      <c r="F47" t="s">
        <v>1942</v>
      </c>
      <c r="G47" s="6">
        <v>1186</v>
      </c>
      <c r="H47" s="8">
        <v>113</v>
      </c>
      <c r="I47" s="7">
        <v>167.24</v>
      </c>
      <c r="J47" s="7">
        <v>150.51</v>
      </c>
      <c r="K47" s="6">
        <v>520</v>
      </c>
      <c r="L47" s="7">
        <v>837.75</v>
      </c>
    </row>
    <row r="48" spans="1:12" x14ac:dyDescent="0.25">
      <c r="A48" s="9">
        <v>45658</v>
      </c>
      <c r="B48" t="s">
        <v>201</v>
      </c>
      <c r="C48" t="s">
        <v>202</v>
      </c>
      <c r="D48" t="s">
        <v>64</v>
      </c>
      <c r="E48" t="s">
        <v>1976</v>
      </c>
      <c r="F48" t="s">
        <v>1940</v>
      </c>
      <c r="G48" s="6">
        <v>940</v>
      </c>
      <c r="H48" s="8">
        <v>110.6</v>
      </c>
      <c r="I48" s="7">
        <v>163.69</v>
      </c>
      <c r="J48" s="7">
        <v>141.22999999999999</v>
      </c>
      <c r="K48" s="6">
        <v>320</v>
      </c>
      <c r="L48" s="7">
        <v>624.91999999999996</v>
      </c>
    </row>
    <row r="49" spans="1:12" x14ac:dyDescent="0.25">
      <c r="A49" s="9">
        <v>45658</v>
      </c>
      <c r="B49" t="s">
        <v>201</v>
      </c>
      <c r="C49" t="s">
        <v>202</v>
      </c>
      <c r="D49" t="s">
        <v>64</v>
      </c>
      <c r="E49" t="s">
        <v>1967</v>
      </c>
      <c r="F49" t="s">
        <v>1948</v>
      </c>
      <c r="G49" s="6">
        <v>1027</v>
      </c>
      <c r="H49" s="8">
        <v>120.8</v>
      </c>
      <c r="I49" s="7">
        <v>178.78</v>
      </c>
      <c r="J49" s="7">
        <v>220.4</v>
      </c>
      <c r="K49" s="6">
        <v>520</v>
      </c>
      <c r="L49" s="7">
        <v>919.18</v>
      </c>
    </row>
    <row r="50" spans="1:12" x14ac:dyDescent="0.25">
      <c r="A50" s="9">
        <v>45658</v>
      </c>
      <c r="B50" t="s">
        <v>118</v>
      </c>
      <c r="C50" t="s">
        <v>119</v>
      </c>
      <c r="D50" t="s">
        <v>64</v>
      </c>
      <c r="E50" t="s">
        <v>1947</v>
      </c>
      <c r="F50" t="s">
        <v>1948</v>
      </c>
      <c r="G50" s="6">
        <v>985</v>
      </c>
      <c r="H50" s="8">
        <v>115.9</v>
      </c>
      <c r="I50" s="7">
        <v>171.53</v>
      </c>
      <c r="J50" s="7">
        <v>377.89</v>
      </c>
      <c r="K50" s="6">
        <v>520</v>
      </c>
      <c r="L50" s="7">
        <v>1069.42</v>
      </c>
    </row>
    <row r="51" spans="1:12" x14ac:dyDescent="0.25">
      <c r="A51" s="9">
        <v>45658</v>
      </c>
      <c r="B51" t="s">
        <v>118</v>
      </c>
      <c r="C51" t="s">
        <v>119</v>
      </c>
      <c r="D51" t="s">
        <v>64</v>
      </c>
      <c r="E51" t="s">
        <v>1981</v>
      </c>
      <c r="F51" t="s">
        <v>1946</v>
      </c>
      <c r="G51" s="6">
        <v>1190</v>
      </c>
      <c r="H51" s="8">
        <v>113.3</v>
      </c>
      <c r="I51" s="7">
        <v>167.68</v>
      </c>
      <c r="J51" s="7">
        <v>126.36</v>
      </c>
      <c r="K51" s="6">
        <v>320</v>
      </c>
      <c r="L51" s="7">
        <v>614.04</v>
      </c>
    </row>
    <row r="52" spans="1:12" x14ac:dyDescent="0.25">
      <c r="A52" s="9">
        <v>45658</v>
      </c>
      <c r="B52" t="s">
        <v>118</v>
      </c>
      <c r="C52" t="s">
        <v>119</v>
      </c>
      <c r="D52" t="s">
        <v>64</v>
      </c>
      <c r="E52" t="s">
        <v>1982</v>
      </c>
      <c r="F52" t="s">
        <v>1948</v>
      </c>
      <c r="G52" s="6">
        <v>1224</v>
      </c>
      <c r="H52" s="8">
        <v>144</v>
      </c>
      <c r="I52" s="7">
        <v>213.12</v>
      </c>
      <c r="J52" s="7">
        <v>223.29</v>
      </c>
      <c r="K52" s="6">
        <v>320</v>
      </c>
      <c r="L52" s="7">
        <v>756.41</v>
      </c>
    </row>
    <row r="53" spans="1:12" x14ac:dyDescent="0.25">
      <c r="A53" s="9">
        <v>45658</v>
      </c>
      <c r="B53" t="s">
        <v>62</v>
      </c>
      <c r="C53" t="s">
        <v>63</v>
      </c>
      <c r="D53" t="s">
        <v>64</v>
      </c>
      <c r="E53" t="s">
        <v>1983</v>
      </c>
      <c r="F53" t="s">
        <v>1942</v>
      </c>
      <c r="G53" s="6">
        <v>1343</v>
      </c>
      <c r="H53" s="8">
        <v>127.9</v>
      </c>
      <c r="I53" s="7">
        <v>189.29</v>
      </c>
      <c r="J53" s="7">
        <v>179.57</v>
      </c>
      <c r="K53" s="6">
        <v>450</v>
      </c>
      <c r="L53" s="7">
        <v>818.86</v>
      </c>
    </row>
    <row r="54" spans="1:12" x14ac:dyDescent="0.25">
      <c r="A54" s="9">
        <v>45658</v>
      </c>
      <c r="B54" t="s">
        <v>62</v>
      </c>
      <c r="C54" t="s">
        <v>63</v>
      </c>
      <c r="D54" t="s">
        <v>64</v>
      </c>
      <c r="E54" t="s">
        <v>1984</v>
      </c>
      <c r="F54" t="s">
        <v>1942</v>
      </c>
      <c r="G54" s="6">
        <v>1023</v>
      </c>
      <c r="H54" s="8">
        <v>97.4</v>
      </c>
      <c r="I54" s="7">
        <v>144.15</v>
      </c>
      <c r="J54" s="7">
        <v>185.82</v>
      </c>
      <c r="K54" s="6">
        <v>320</v>
      </c>
      <c r="L54" s="7">
        <v>649.97</v>
      </c>
    </row>
    <row r="55" spans="1:12" x14ac:dyDescent="0.25">
      <c r="A55" s="9">
        <v>45658</v>
      </c>
      <c r="B55" t="s">
        <v>62</v>
      </c>
      <c r="C55" t="s">
        <v>63</v>
      </c>
      <c r="D55" t="s">
        <v>64</v>
      </c>
      <c r="E55" t="s">
        <v>1978</v>
      </c>
      <c r="F55" t="s">
        <v>1940</v>
      </c>
      <c r="G55" s="6">
        <v>657</v>
      </c>
      <c r="H55" s="8">
        <v>77.3</v>
      </c>
      <c r="I55" s="7">
        <v>114.4</v>
      </c>
      <c r="J55" s="7">
        <v>59.86</v>
      </c>
      <c r="K55" s="6">
        <v>320</v>
      </c>
      <c r="L55" s="7">
        <v>494.26</v>
      </c>
    </row>
    <row r="56" spans="1:12" x14ac:dyDescent="0.25">
      <c r="A56" s="9">
        <v>45658</v>
      </c>
      <c r="B56" t="s">
        <v>62</v>
      </c>
      <c r="C56" t="s">
        <v>63</v>
      </c>
      <c r="D56" t="s">
        <v>64</v>
      </c>
      <c r="E56" t="s">
        <v>1985</v>
      </c>
      <c r="F56" t="s">
        <v>1940</v>
      </c>
      <c r="G56" s="6">
        <v>751</v>
      </c>
      <c r="H56" s="8">
        <v>88.4</v>
      </c>
      <c r="I56" s="7">
        <v>130.83000000000001</v>
      </c>
      <c r="J56" s="7">
        <v>161.44</v>
      </c>
      <c r="K56" s="6">
        <v>450</v>
      </c>
      <c r="L56" s="7">
        <v>742.27</v>
      </c>
    </row>
    <row r="57" spans="1:12" x14ac:dyDescent="0.25">
      <c r="A57" s="9">
        <v>45658</v>
      </c>
      <c r="B57" t="s">
        <v>62</v>
      </c>
      <c r="C57" t="s">
        <v>63</v>
      </c>
      <c r="D57" t="s">
        <v>64</v>
      </c>
      <c r="E57" t="s">
        <v>1986</v>
      </c>
      <c r="F57" t="s">
        <v>1948</v>
      </c>
      <c r="G57" s="6">
        <v>1483</v>
      </c>
      <c r="H57" s="8">
        <v>174.5</v>
      </c>
      <c r="I57" s="7">
        <v>258.26</v>
      </c>
      <c r="J57" s="7">
        <v>428.5</v>
      </c>
      <c r="K57" s="6">
        <v>450</v>
      </c>
      <c r="L57" s="7">
        <v>1136.76</v>
      </c>
    </row>
    <row r="58" spans="1:12" x14ac:dyDescent="0.25">
      <c r="A58" s="9">
        <v>45658</v>
      </c>
      <c r="B58" t="s">
        <v>62</v>
      </c>
      <c r="C58" t="s">
        <v>63</v>
      </c>
      <c r="D58" t="s">
        <v>64</v>
      </c>
      <c r="E58" t="s">
        <v>1987</v>
      </c>
      <c r="F58" t="s">
        <v>1948</v>
      </c>
      <c r="G58" s="6">
        <v>1209</v>
      </c>
      <c r="H58" s="8">
        <v>142.19999999999999</v>
      </c>
      <c r="I58" s="7">
        <v>210.46</v>
      </c>
      <c r="J58" s="7">
        <v>290.07</v>
      </c>
      <c r="K58" s="6">
        <v>520</v>
      </c>
      <c r="L58" s="7">
        <v>1020.53</v>
      </c>
    </row>
    <row r="59" spans="1:12" x14ac:dyDescent="0.25">
      <c r="A59" s="9">
        <v>45658</v>
      </c>
      <c r="B59" t="s">
        <v>62</v>
      </c>
      <c r="C59" t="s">
        <v>63</v>
      </c>
      <c r="D59" t="s">
        <v>64</v>
      </c>
      <c r="E59" t="s">
        <v>1988</v>
      </c>
      <c r="F59" t="s">
        <v>1942</v>
      </c>
      <c r="G59" s="6">
        <v>599</v>
      </c>
      <c r="H59" s="8">
        <v>57</v>
      </c>
      <c r="I59" s="7">
        <v>84.36</v>
      </c>
      <c r="J59" s="7">
        <v>106.59</v>
      </c>
      <c r="K59" s="6">
        <v>450</v>
      </c>
      <c r="L59" s="7">
        <v>640.95000000000005</v>
      </c>
    </row>
    <row r="60" spans="1:12" x14ac:dyDescent="0.25">
      <c r="A60" s="9">
        <v>45658</v>
      </c>
      <c r="B60" t="s">
        <v>91</v>
      </c>
      <c r="C60" t="s">
        <v>92</v>
      </c>
      <c r="D60" t="s">
        <v>64</v>
      </c>
      <c r="E60" t="s">
        <v>1989</v>
      </c>
      <c r="F60" t="s">
        <v>1948</v>
      </c>
      <c r="G60" s="6">
        <v>853</v>
      </c>
      <c r="H60" s="8">
        <v>100.4</v>
      </c>
      <c r="I60" s="7">
        <v>148.59</v>
      </c>
      <c r="J60" s="7">
        <v>200.33</v>
      </c>
      <c r="K60" s="6">
        <v>320</v>
      </c>
      <c r="L60" s="7">
        <v>668.92</v>
      </c>
    </row>
    <row r="61" spans="1:12" x14ac:dyDescent="0.25">
      <c r="A61" s="9">
        <v>45658</v>
      </c>
      <c r="B61" t="s">
        <v>91</v>
      </c>
      <c r="C61" t="s">
        <v>92</v>
      </c>
      <c r="D61" t="s">
        <v>64</v>
      </c>
      <c r="E61" t="s">
        <v>1952</v>
      </c>
      <c r="F61" t="s">
        <v>1942</v>
      </c>
      <c r="G61" s="6">
        <v>1007</v>
      </c>
      <c r="H61" s="8">
        <v>95.9</v>
      </c>
      <c r="I61" s="7">
        <v>141.93</v>
      </c>
      <c r="J61" s="7">
        <v>112.23</v>
      </c>
      <c r="K61" s="6">
        <v>380</v>
      </c>
      <c r="L61" s="7">
        <v>634.16</v>
      </c>
    </row>
    <row r="62" spans="1:12" x14ac:dyDescent="0.25">
      <c r="A62" s="9">
        <v>45658</v>
      </c>
      <c r="B62" t="s">
        <v>91</v>
      </c>
      <c r="C62" t="s">
        <v>92</v>
      </c>
      <c r="D62" t="s">
        <v>64</v>
      </c>
      <c r="E62" t="s">
        <v>1939</v>
      </c>
      <c r="F62" t="s">
        <v>1942</v>
      </c>
      <c r="G62" s="6">
        <v>555</v>
      </c>
      <c r="H62" s="8">
        <v>52.9</v>
      </c>
      <c r="I62" s="7">
        <v>78.290000000000006</v>
      </c>
      <c r="J62" s="7">
        <v>209.83</v>
      </c>
      <c r="K62" s="6">
        <v>320</v>
      </c>
      <c r="L62" s="7">
        <v>608.12</v>
      </c>
    </row>
    <row r="63" spans="1:12" x14ac:dyDescent="0.25">
      <c r="A63" s="9">
        <v>45658</v>
      </c>
      <c r="B63" t="s">
        <v>91</v>
      </c>
      <c r="C63" t="s">
        <v>92</v>
      </c>
      <c r="D63" t="s">
        <v>64</v>
      </c>
      <c r="E63" t="s">
        <v>1990</v>
      </c>
      <c r="F63" t="s">
        <v>1946</v>
      </c>
      <c r="G63" s="6">
        <v>781</v>
      </c>
      <c r="H63" s="8">
        <v>74.400000000000006</v>
      </c>
      <c r="I63" s="7">
        <v>110.11</v>
      </c>
      <c r="J63" s="7">
        <v>169.14</v>
      </c>
      <c r="K63" s="6">
        <v>320</v>
      </c>
      <c r="L63" s="7">
        <v>599.25</v>
      </c>
    </row>
    <row r="64" spans="1:12" x14ac:dyDescent="0.25">
      <c r="A64" s="9">
        <v>45658</v>
      </c>
      <c r="B64" t="s">
        <v>91</v>
      </c>
      <c r="C64" t="s">
        <v>92</v>
      </c>
      <c r="D64" t="s">
        <v>64</v>
      </c>
      <c r="E64" t="s">
        <v>1991</v>
      </c>
      <c r="F64" t="s">
        <v>1948</v>
      </c>
      <c r="G64" s="6">
        <v>1568</v>
      </c>
      <c r="H64" s="8">
        <v>184.5</v>
      </c>
      <c r="I64" s="7">
        <v>273.06</v>
      </c>
      <c r="J64" s="7">
        <v>176.45</v>
      </c>
      <c r="K64" s="6">
        <v>520</v>
      </c>
      <c r="L64" s="7">
        <v>969.51</v>
      </c>
    </row>
    <row r="65" spans="1:12" x14ac:dyDescent="0.25">
      <c r="A65" s="9">
        <v>45658</v>
      </c>
      <c r="B65" t="s">
        <v>91</v>
      </c>
      <c r="C65" t="s">
        <v>92</v>
      </c>
      <c r="D65" t="s">
        <v>64</v>
      </c>
      <c r="E65" t="s">
        <v>1947</v>
      </c>
      <c r="F65" t="s">
        <v>1946</v>
      </c>
      <c r="G65" s="6">
        <v>417</v>
      </c>
      <c r="H65" s="8">
        <v>39.700000000000003</v>
      </c>
      <c r="I65" s="7">
        <v>58.76</v>
      </c>
      <c r="J65" s="7">
        <v>127.12</v>
      </c>
      <c r="K65" s="6">
        <v>380</v>
      </c>
      <c r="L65" s="7">
        <v>565.88</v>
      </c>
    </row>
    <row r="66" spans="1:12" x14ac:dyDescent="0.25">
      <c r="A66" s="9">
        <v>45658</v>
      </c>
      <c r="B66" t="s">
        <v>80</v>
      </c>
      <c r="C66" t="s">
        <v>81</v>
      </c>
      <c r="D66" t="s">
        <v>64</v>
      </c>
      <c r="E66" t="s">
        <v>1992</v>
      </c>
      <c r="F66" t="s">
        <v>1942</v>
      </c>
      <c r="G66" s="6">
        <v>1325</v>
      </c>
      <c r="H66" s="8">
        <v>126.2</v>
      </c>
      <c r="I66" s="7">
        <v>186.78</v>
      </c>
      <c r="J66" s="7">
        <v>306.67</v>
      </c>
      <c r="K66" s="6">
        <v>320</v>
      </c>
      <c r="L66" s="7">
        <v>813.45</v>
      </c>
    </row>
    <row r="67" spans="1:12" x14ac:dyDescent="0.25">
      <c r="A67" s="9">
        <v>45658</v>
      </c>
      <c r="B67" t="s">
        <v>80</v>
      </c>
      <c r="C67" t="s">
        <v>81</v>
      </c>
      <c r="D67" t="s">
        <v>64</v>
      </c>
      <c r="E67" t="s">
        <v>1993</v>
      </c>
      <c r="F67" t="s">
        <v>1948</v>
      </c>
      <c r="G67" s="6">
        <v>742</v>
      </c>
      <c r="H67" s="8">
        <v>87.3</v>
      </c>
      <c r="I67" s="7">
        <v>129.19999999999999</v>
      </c>
      <c r="J67" s="7">
        <v>289.74</v>
      </c>
      <c r="K67" s="6">
        <v>320</v>
      </c>
      <c r="L67" s="7">
        <v>738.94</v>
      </c>
    </row>
    <row r="68" spans="1:12" x14ac:dyDescent="0.25">
      <c r="A68" s="9">
        <v>45658</v>
      </c>
      <c r="B68" t="s">
        <v>80</v>
      </c>
      <c r="C68" t="s">
        <v>81</v>
      </c>
      <c r="D68" t="s">
        <v>64</v>
      </c>
      <c r="E68" t="s">
        <v>1943</v>
      </c>
      <c r="F68" t="s">
        <v>1942</v>
      </c>
      <c r="G68" s="6">
        <v>933</v>
      </c>
      <c r="H68" s="8">
        <v>88.9</v>
      </c>
      <c r="I68" s="7">
        <v>131.57</v>
      </c>
      <c r="J68" s="7">
        <v>141.52000000000001</v>
      </c>
      <c r="K68" s="6">
        <v>320</v>
      </c>
      <c r="L68" s="7">
        <v>593.09</v>
      </c>
    </row>
    <row r="69" spans="1:12" x14ac:dyDescent="0.25">
      <c r="A69" s="9">
        <v>45658</v>
      </c>
      <c r="B69" t="s">
        <v>56</v>
      </c>
      <c r="C69" t="s">
        <v>57</v>
      </c>
      <c r="D69" t="s">
        <v>58</v>
      </c>
      <c r="E69" t="s">
        <v>1994</v>
      </c>
      <c r="F69" t="s">
        <v>1946</v>
      </c>
      <c r="G69" s="6">
        <v>1711</v>
      </c>
      <c r="H69" s="8">
        <v>163</v>
      </c>
      <c r="I69" s="7">
        <v>241.24</v>
      </c>
      <c r="J69" s="7">
        <v>29.76</v>
      </c>
      <c r="K69" s="6">
        <v>380</v>
      </c>
      <c r="L69" s="7">
        <v>651</v>
      </c>
    </row>
    <row r="70" spans="1:12" x14ac:dyDescent="0.25">
      <c r="A70" s="9">
        <v>45658</v>
      </c>
      <c r="B70" t="s">
        <v>56</v>
      </c>
      <c r="C70" t="s">
        <v>57</v>
      </c>
      <c r="D70" t="s">
        <v>58</v>
      </c>
      <c r="E70" t="s">
        <v>1995</v>
      </c>
      <c r="F70" t="s">
        <v>1940</v>
      </c>
      <c r="G70" s="6">
        <v>1113</v>
      </c>
      <c r="H70" s="8">
        <v>130.9</v>
      </c>
      <c r="I70" s="7">
        <v>193.73</v>
      </c>
      <c r="J70" s="7">
        <v>187.42</v>
      </c>
      <c r="K70" s="6">
        <v>320</v>
      </c>
      <c r="L70" s="7">
        <v>701.15</v>
      </c>
    </row>
    <row r="71" spans="1:12" x14ac:dyDescent="0.25">
      <c r="A71" s="9">
        <v>45658</v>
      </c>
      <c r="B71" t="s">
        <v>56</v>
      </c>
      <c r="C71" t="s">
        <v>57</v>
      </c>
      <c r="D71" t="s">
        <v>58</v>
      </c>
      <c r="E71" t="s">
        <v>1996</v>
      </c>
      <c r="F71" t="s">
        <v>1946</v>
      </c>
      <c r="G71" s="6">
        <v>1321</v>
      </c>
      <c r="H71" s="8">
        <v>125.8</v>
      </c>
      <c r="I71" s="7">
        <v>186.18</v>
      </c>
      <c r="J71" s="7">
        <v>157.84</v>
      </c>
      <c r="K71" s="6">
        <v>450</v>
      </c>
      <c r="L71" s="7">
        <v>794.02</v>
      </c>
    </row>
    <row r="72" spans="1:12" x14ac:dyDescent="0.25">
      <c r="A72" s="9">
        <v>45658</v>
      </c>
      <c r="B72" t="s">
        <v>56</v>
      </c>
      <c r="C72" t="s">
        <v>57</v>
      </c>
      <c r="D72" t="s">
        <v>58</v>
      </c>
      <c r="E72" t="s">
        <v>1997</v>
      </c>
      <c r="F72" t="s">
        <v>1946</v>
      </c>
      <c r="G72" s="6">
        <v>1127</v>
      </c>
      <c r="H72" s="8">
        <v>107.3</v>
      </c>
      <c r="I72" s="7">
        <v>158.80000000000001</v>
      </c>
      <c r="J72" s="7">
        <v>118.67</v>
      </c>
      <c r="K72" s="6">
        <v>520</v>
      </c>
      <c r="L72" s="7">
        <v>797.47</v>
      </c>
    </row>
    <row r="73" spans="1:12" x14ac:dyDescent="0.25">
      <c r="A73" s="9">
        <v>45658</v>
      </c>
      <c r="B73" t="s">
        <v>56</v>
      </c>
      <c r="C73" t="s">
        <v>57</v>
      </c>
      <c r="D73" t="s">
        <v>58</v>
      </c>
      <c r="E73" t="s">
        <v>1998</v>
      </c>
      <c r="F73" t="s">
        <v>1940</v>
      </c>
      <c r="G73" s="6">
        <v>1117</v>
      </c>
      <c r="H73" s="8">
        <v>131.4</v>
      </c>
      <c r="I73" s="7">
        <v>194.47</v>
      </c>
      <c r="J73" s="7">
        <v>122.54</v>
      </c>
      <c r="K73" s="6">
        <v>320</v>
      </c>
      <c r="L73" s="7">
        <v>637.01</v>
      </c>
    </row>
    <row r="74" spans="1:12" x14ac:dyDescent="0.25">
      <c r="A74" s="9">
        <v>45658</v>
      </c>
      <c r="B74" t="s">
        <v>77</v>
      </c>
      <c r="C74" t="s">
        <v>78</v>
      </c>
      <c r="D74" t="s">
        <v>58</v>
      </c>
      <c r="E74" t="s">
        <v>1999</v>
      </c>
      <c r="F74" t="s">
        <v>1946</v>
      </c>
      <c r="G74" s="6">
        <v>1205</v>
      </c>
      <c r="H74" s="8">
        <v>114.8</v>
      </c>
      <c r="I74" s="7">
        <v>169.9</v>
      </c>
      <c r="J74" s="7">
        <v>120.43</v>
      </c>
      <c r="K74" s="6">
        <v>320</v>
      </c>
      <c r="L74" s="7">
        <v>610.33000000000004</v>
      </c>
    </row>
    <row r="75" spans="1:12" x14ac:dyDescent="0.25">
      <c r="A75" s="9">
        <v>45658</v>
      </c>
      <c r="B75" t="s">
        <v>77</v>
      </c>
      <c r="C75" t="s">
        <v>78</v>
      </c>
      <c r="D75" t="s">
        <v>58</v>
      </c>
      <c r="E75" t="s">
        <v>2000</v>
      </c>
      <c r="F75" t="s">
        <v>1948</v>
      </c>
      <c r="G75" s="6">
        <v>1144</v>
      </c>
      <c r="H75" s="8">
        <v>134.6</v>
      </c>
      <c r="I75" s="7">
        <v>199.21</v>
      </c>
      <c r="J75" s="7">
        <v>247.66</v>
      </c>
      <c r="K75" s="6">
        <v>450</v>
      </c>
      <c r="L75" s="7">
        <v>896.87</v>
      </c>
    </row>
    <row r="76" spans="1:12" x14ac:dyDescent="0.25">
      <c r="A76" s="9">
        <v>45658</v>
      </c>
      <c r="B76" t="s">
        <v>77</v>
      </c>
      <c r="C76" t="s">
        <v>78</v>
      </c>
      <c r="D76" t="s">
        <v>58</v>
      </c>
      <c r="E76" t="s">
        <v>2001</v>
      </c>
      <c r="F76" t="s">
        <v>1942</v>
      </c>
      <c r="G76" s="6">
        <v>1331</v>
      </c>
      <c r="H76" s="8">
        <v>126.8</v>
      </c>
      <c r="I76" s="7">
        <v>187.66</v>
      </c>
      <c r="J76" s="7">
        <v>145.88999999999999</v>
      </c>
      <c r="K76" s="6">
        <v>450</v>
      </c>
      <c r="L76" s="7">
        <v>783.55</v>
      </c>
    </row>
    <row r="77" spans="1:12" x14ac:dyDescent="0.25">
      <c r="A77" s="9">
        <v>45658</v>
      </c>
      <c r="B77" t="s">
        <v>77</v>
      </c>
      <c r="C77" t="s">
        <v>78</v>
      </c>
      <c r="D77" t="s">
        <v>58</v>
      </c>
      <c r="E77" t="s">
        <v>1954</v>
      </c>
      <c r="F77" t="s">
        <v>1946</v>
      </c>
      <c r="G77" s="6">
        <v>606</v>
      </c>
      <c r="H77" s="8">
        <v>57.7</v>
      </c>
      <c r="I77" s="7">
        <v>85.4</v>
      </c>
      <c r="J77" s="7">
        <v>250.95</v>
      </c>
      <c r="K77" s="6">
        <v>380</v>
      </c>
      <c r="L77" s="7">
        <v>716.35</v>
      </c>
    </row>
    <row r="78" spans="1:12" x14ac:dyDescent="0.25">
      <c r="A78" s="9">
        <v>45658</v>
      </c>
      <c r="B78" t="s">
        <v>77</v>
      </c>
      <c r="C78" t="s">
        <v>78</v>
      </c>
      <c r="D78" t="s">
        <v>58</v>
      </c>
      <c r="E78" t="s">
        <v>1966</v>
      </c>
      <c r="F78" t="s">
        <v>1942</v>
      </c>
      <c r="G78" s="6">
        <v>823</v>
      </c>
      <c r="H78" s="8">
        <v>78.400000000000006</v>
      </c>
      <c r="I78" s="7">
        <v>116.03</v>
      </c>
      <c r="J78" s="7">
        <v>97.7</v>
      </c>
      <c r="K78" s="6">
        <v>320</v>
      </c>
      <c r="L78" s="7">
        <v>533.73</v>
      </c>
    </row>
    <row r="79" spans="1:12" x14ac:dyDescent="0.25">
      <c r="A79" s="9">
        <v>45658</v>
      </c>
      <c r="B79" t="s">
        <v>77</v>
      </c>
      <c r="C79" t="s">
        <v>78</v>
      </c>
      <c r="D79" t="s">
        <v>58</v>
      </c>
      <c r="E79" t="s">
        <v>2002</v>
      </c>
      <c r="F79" t="s">
        <v>1940</v>
      </c>
      <c r="G79" s="6">
        <v>901</v>
      </c>
      <c r="H79" s="8">
        <v>106</v>
      </c>
      <c r="I79" s="7">
        <v>156.88</v>
      </c>
      <c r="J79" s="7">
        <v>259.95999999999998</v>
      </c>
      <c r="K79" s="6">
        <v>320</v>
      </c>
      <c r="L79" s="7">
        <v>736.84</v>
      </c>
    </row>
    <row r="80" spans="1:12" x14ac:dyDescent="0.25">
      <c r="A80" s="9">
        <v>45658</v>
      </c>
      <c r="B80" t="s">
        <v>77</v>
      </c>
      <c r="C80" t="s">
        <v>78</v>
      </c>
      <c r="D80" t="s">
        <v>58</v>
      </c>
      <c r="E80" t="s">
        <v>2003</v>
      </c>
      <c r="F80" t="s">
        <v>1946</v>
      </c>
      <c r="G80" s="6">
        <v>516</v>
      </c>
      <c r="H80" s="8">
        <v>49.1</v>
      </c>
      <c r="I80" s="7">
        <v>72.67</v>
      </c>
      <c r="J80" s="7">
        <v>401.02</v>
      </c>
      <c r="K80" s="6">
        <v>320</v>
      </c>
      <c r="L80" s="7">
        <v>793.69</v>
      </c>
    </row>
    <row r="81" spans="1:12" x14ac:dyDescent="0.25">
      <c r="A81" s="9">
        <v>45658</v>
      </c>
      <c r="B81" t="s">
        <v>110</v>
      </c>
      <c r="C81" t="s">
        <v>111</v>
      </c>
      <c r="D81" t="s">
        <v>58</v>
      </c>
      <c r="E81" t="s">
        <v>1965</v>
      </c>
      <c r="F81" t="s">
        <v>1942</v>
      </c>
      <c r="G81" s="6">
        <v>1314</v>
      </c>
      <c r="H81" s="8">
        <v>125.1</v>
      </c>
      <c r="I81" s="7">
        <v>185.15</v>
      </c>
      <c r="J81" s="7">
        <v>167.86</v>
      </c>
      <c r="K81" s="6">
        <v>450</v>
      </c>
      <c r="L81" s="7">
        <v>803.01</v>
      </c>
    </row>
    <row r="82" spans="1:12" x14ac:dyDescent="0.25">
      <c r="A82" s="9">
        <v>45658</v>
      </c>
      <c r="B82" t="s">
        <v>110</v>
      </c>
      <c r="C82" t="s">
        <v>111</v>
      </c>
      <c r="D82" t="s">
        <v>58</v>
      </c>
      <c r="E82" t="s">
        <v>1969</v>
      </c>
      <c r="F82" t="s">
        <v>1946</v>
      </c>
      <c r="G82" s="6">
        <v>1036</v>
      </c>
      <c r="H82" s="8">
        <v>98.7</v>
      </c>
      <c r="I82" s="7">
        <v>146.08000000000001</v>
      </c>
      <c r="J82" s="7">
        <v>172.84</v>
      </c>
      <c r="K82" s="6">
        <v>450</v>
      </c>
      <c r="L82" s="7">
        <v>768.92</v>
      </c>
    </row>
    <row r="83" spans="1:12" x14ac:dyDescent="0.25">
      <c r="A83" s="9">
        <v>45658</v>
      </c>
      <c r="B83" t="s">
        <v>110</v>
      </c>
      <c r="C83" t="s">
        <v>111</v>
      </c>
      <c r="D83" t="s">
        <v>58</v>
      </c>
      <c r="E83" t="s">
        <v>1992</v>
      </c>
      <c r="F83" t="s">
        <v>1948</v>
      </c>
      <c r="G83" s="6">
        <v>1180</v>
      </c>
      <c r="H83" s="8">
        <v>138.80000000000001</v>
      </c>
      <c r="I83" s="7">
        <v>205.42</v>
      </c>
      <c r="J83" s="7">
        <v>301.62</v>
      </c>
      <c r="K83" s="6">
        <v>520</v>
      </c>
      <c r="L83" s="7">
        <v>1027.04</v>
      </c>
    </row>
    <row r="84" spans="1:12" x14ac:dyDescent="0.25">
      <c r="A84" s="9">
        <v>45658</v>
      </c>
      <c r="B84" t="s">
        <v>110</v>
      </c>
      <c r="C84" t="s">
        <v>111</v>
      </c>
      <c r="D84" t="s">
        <v>58</v>
      </c>
      <c r="E84" t="s">
        <v>2004</v>
      </c>
      <c r="F84" t="s">
        <v>1946</v>
      </c>
      <c r="G84" s="6">
        <v>1188</v>
      </c>
      <c r="H84" s="8">
        <v>113.1</v>
      </c>
      <c r="I84" s="7">
        <v>167.39</v>
      </c>
      <c r="J84" s="7">
        <v>157.16999999999999</v>
      </c>
      <c r="K84" s="6">
        <v>320</v>
      </c>
      <c r="L84" s="7">
        <v>644.55999999999995</v>
      </c>
    </row>
    <row r="85" spans="1:12" x14ac:dyDescent="0.25">
      <c r="A85" s="9">
        <v>45658</v>
      </c>
      <c r="B85" t="s">
        <v>85</v>
      </c>
      <c r="C85" t="s">
        <v>86</v>
      </c>
      <c r="D85" t="s">
        <v>58</v>
      </c>
      <c r="E85" t="s">
        <v>1962</v>
      </c>
      <c r="F85" t="s">
        <v>1946</v>
      </c>
      <c r="G85" s="6">
        <v>1000</v>
      </c>
      <c r="H85" s="8">
        <v>95.2</v>
      </c>
      <c r="I85" s="7">
        <v>140.9</v>
      </c>
      <c r="J85" s="7">
        <v>137.9</v>
      </c>
      <c r="K85" s="6">
        <v>520</v>
      </c>
      <c r="L85" s="7">
        <v>798.8</v>
      </c>
    </row>
    <row r="86" spans="1:12" x14ac:dyDescent="0.25">
      <c r="A86" s="9">
        <v>45658</v>
      </c>
      <c r="B86" t="s">
        <v>85</v>
      </c>
      <c r="C86" t="s">
        <v>86</v>
      </c>
      <c r="D86" t="s">
        <v>58</v>
      </c>
      <c r="E86" t="s">
        <v>2005</v>
      </c>
      <c r="F86" t="s">
        <v>1946</v>
      </c>
      <c r="G86" s="6">
        <v>1001</v>
      </c>
      <c r="H86" s="8">
        <v>95.3</v>
      </c>
      <c r="I86" s="7">
        <v>141.04</v>
      </c>
      <c r="J86" s="7">
        <v>240.7</v>
      </c>
      <c r="K86" s="6">
        <v>320</v>
      </c>
      <c r="L86" s="7">
        <v>701.74</v>
      </c>
    </row>
    <row r="87" spans="1:12" x14ac:dyDescent="0.25">
      <c r="A87" s="9">
        <v>45658</v>
      </c>
      <c r="B87" t="s">
        <v>85</v>
      </c>
      <c r="C87" t="s">
        <v>86</v>
      </c>
      <c r="D87" t="s">
        <v>58</v>
      </c>
      <c r="E87" t="s">
        <v>1969</v>
      </c>
      <c r="F87" t="s">
        <v>1948</v>
      </c>
      <c r="G87" s="6">
        <v>1198</v>
      </c>
      <c r="H87" s="8">
        <v>140.9</v>
      </c>
      <c r="I87" s="7">
        <v>208.53</v>
      </c>
      <c r="J87" s="7">
        <v>14.77</v>
      </c>
      <c r="K87" s="6">
        <v>520</v>
      </c>
      <c r="L87" s="7">
        <v>743.3</v>
      </c>
    </row>
    <row r="88" spans="1:12" x14ac:dyDescent="0.25">
      <c r="A88" s="9">
        <v>45658</v>
      </c>
      <c r="B88" t="s">
        <v>85</v>
      </c>
      <c r="C88" t="s">
        <v>86</v>
      </c>
      <c r="D88" t="s">
        <v>58</v>
      </c>
      <c r="E88" t="s">
        <v>1981</v>
      </c>
      <c r="F88" t="s">
        <v>1946</v>
      </c>
      <c r="G88" s="6">
        <v>1213</v>
      </c>
      <c r="H88" s="8">
        <v>115.5</v>
      </c>
      <c r="I88" s="7">
        <v>170.94</v>
      </c>
      <c r="J88" s="7">
        <v>165.58</v>
      </c>
      <c r="K88" s="6">
        <v>450</v>
      </c>
      <c r="L88" s="7">
        <v>786.52</v>
      </c>
    </row>
    <row r="89" spans="1:12" x14ac:dyDescent="0.25">
      <c r="A89" s="9">
        <v>45658</v>
      </c>
      <c r="B89" t="s">
        <v>103</v>
      </c>
      <c r="C89" t="s">
        <v>104</v>
      </c>
      <c r="D89" t="s">
        <v>58</v>
      </c>
      <c r="E89" t="s">
        <v>1967</v>
      </c>
      <c r="F89" t="s">
        <v>1940</v>
      </c>
      <c r="G89" s="6">
        <v>1045</v>
      </c>
      <c r="H89" s="8">
        <v>122.9</v>
      </c>
      <c r="I89" s="7">
        <v>181.89</v>
      </c>
      <c r="J89" s="7">
        <v>118.92</v>
      </c>
      <c r="K89" s="6">
        <v>380</v>
      </c>
      <c r="L89" s="7">
        <v>680.81</v>
      </c>
    </row>
    <row r="90" spans="1:12" x14ac:dyDescent="0.25">
      <c r="A90" s="9">
        <v>45658</v>
      </c>
      <c r="B90" t="s">
        <v>103</v>
      </c>
      <c r="C90" t="s">
        <v>104</v>
      </c>
      <c r="D90" t="s">
        <v>58</v>
      </c>
      <c r="E90" t="s">
        <v>1977</v>
      </c>
      <c r="F90" t="s">
        <v>1948</v>
      </c>
      <c r="G90" s="6">
        <v>1331</v>
      </c>
      <c r="H90" s="8">
        <v>156.6</v>
      </c>
      <c r="I90" s="7">
        <v>231.77</v>
      </c>
      <c r="J90" s="7">
        <v>325.8</v>
      </c>
      <c r="K90" s="6">
        <v>320</v>
      </c>
      <c r="L90" s="7">
        <v>877.57</v>
      </c>
    </row>
    <row r="91" spans="1:12" x14ac:dyDescent="0.25">
      <c r="A91" s="9">
        <v>45658</v>
      </c>
      <c r="B91" t="s">
        <v>103</v>
      </c>
      <c r="C91" t="s">
        <v>104</v>
      </c>
      <c r="D91" t="s">
        <v>58</v>
      </c>
      <c r="E91" t="s">
        <v>1984</v>
      </c>
      <c r="F91" t="s">
        <v>1940</v>
      </c>
      <c r="G91" s="6">
        <v>856</v>
      </c>
      <c r="H91" s="8">
        <v>100.7</v>
      </c>
      <c r="I91" s="7">
        <v>149.04</v>
      </c>
      <c r="J91" s="7">
        <v>182.56</v>
      </c>
      <c r="K91" s="6">
        <v>520</v>
      </c>
      <c r="L91" s="7">
        <v>851.6</v>
      </c>
    </row>
    <row r="92" spans="1:12" x14ac:dyDescent="0.25">
      <c r="A92" s="9">
        <v>45658</v>
      </c>
      <c r="B92" t="s">
        <v>103</v>
      </c>
      <c r="C92" t="s">
        <v>104</v>
      </c>
      <c r="D92" t="s">
        <v>58</v>
      </c>
      <c r="E92" t="s">
        <v>1949</v>
      </c>
      <c r="F92" t="s">
        <v>1948</v>
      </c>
      <c r="G92" s="6">
        <v>807</v>
      </c>
      <c r="H92" s="8">
        <v>94.9</v>
      </c>
      <c r="I92" s="7">
        <v>140.44999999999999</v>
      </c>
      <c r="J92" s="7">
        <v>139.63</v>
      </c>
      <c r="K92" s="6">
        <v>450</v>
      </c>
      <c r="L92" s="7">
        <v>730.08</v>
      </c>
    </row>
    <row r="93" spans="1:12" x14ac:dyDescent="0.25">
      <c r="A93" s="9">
        <v>45658</v>
      </c>
      <c r="B93" t="s">
        <v>103</v>
      </c>
      <c r="C93" t="s">
        <v>104</v>
      </c>
      <c r="D93" t="s">
        <v>58</v>
      </c>
      <c r="E93" t="s">
        <v>2006</v>
      </c>
      <c r="F93" t="s">
        <v>1942</v>
      </c>
      <c r="G93" s="6">
        <v>893</v>
      </c>
      <c r="H93" s="8">
        <v>85</v>
      </c>
      <c r="I93" s="7">
        <v>125.8</v>
      </c>
      <c r="J93" s="7">
        <v>218.99</v>
      </c>
      <c r="K93" s="6">
        <v>320</v>
      </c>
      <c r="L93" s="7">
        <v>664.79</v>
      </c>
    </row>
    <row r="94" spans="1:12" x14ac:dyDescent="0.25">
      <c r="A94" s="9">
        <v>45658</v>
      </c>
      <c r="B94" t="s">
        <v>103</v>
      </c>
      <c r="C94" t="s">
        <v>104</v>
      </c>
      <c r="D94" t="s">
        <v>58</v>
      </c>
      <c r="E94" t="s">
        <v>2000</v>
      </c>
      <c r="F94" t="s">
        <v>1948</v>
      </c>
      <c r="G94" s="6">
        <v>1288</v>
      </c>
      <c r="H94" s="8">
        <v>151.5</v>
      </c>
      <c r="I94" s="7">
        <v>224.22</v>
      </c>
      <c r="J94" s="7">
        <v>291.05</v>
      </c>
      <c r="K94" s="6">
        <v>520</v>
      </c>
      <c r="L94" s="7">
        <v>1035.27</v>
      </c>
    </row>
    <row r="95" spans="1:12" x14ac:dyDescent="0.25">
      <c r="A95" s="9">
        <v>45658</v>
      </c>
      <c r="B95" t="s">
        <v>103</v>
      </c>
      <c r="C95" t="s">
        <v>104</v>
      </c>
      <c r="D95" t="s">
        <v>58</v>
      </c>
      <c r="E95" t="s">
        <v>2007</v>
      </c>
      <c r="F95" t="s">
        <v>1946</v>
      </c>
      <c r="G95" s="6">
        <v>1231</v>
      </c>
      <c r="H95" s="8">
        <v>117.2</v>
      </c>
      <c r="I95" s="7">
        <v>173.46</v>
      </c>
      <c r="J95" s="7">
        <v>191.29</v>
      </c>
      <c r="K95" s="6">
        <v>380</v>
      </c>
      <c r="L95" s="7">
        <v>744.75</v>
      </c>
    </row>
    <row r="96" spans="1:12" x14ac:dyDescent="0.25">
      <c r="A96" s="9">
        <v>45689</v>
      </c>
      <c r="B96" t="s">
        <v>100</v>
      </c>
      <c r="C96" t="s">
        <v>101</v>
      </c>
      <c r="D96" t="s">
        <v>69</v>
      </c>
      <c r="E96" t="s">
        <v>2008</v>
      </c>
      <c r="F96" t="s">
        <v>1948</v>
      </c>
      <c r="G96" s="6">
        <v>889</v>
      </c>
      <c r="H96" s="8">
        <v>104.6</v>
      </c>
      <c r="I96" s="7">
        <v>154.81</v>
      </c>
      <c r="J96" s="7">
        <v>284.55</v>
      </c>
      <c r="K96" s="6">
        <v>450</v>
      </c>
      <c r="L96" s="7">
        <v>889.36</v>
      </c>
    </row>
    <row r="97" spans="1:12" x14ac:dyDescent="0.25">
      <c r="A97" s="9">
        <v>45689</v>
      </c>
      <c r="B97" t="s">
        <v>100</v>
      </c>
      <c r="C97" t="s">
        <v>101</v>
      </c>
      <c r="D97" t="s">
        <v>69</v>
      </c>
      <c r="E97" t="s">
        <v>2009</v>
      </c>
      <c r="F97" t="s">
        <v>1942</v>
      </c>
      <c r="G97" s="6">
        <v>1250</v>
      </c>
      <c r="H97" s="8">
        <v>119</v>
      </c>
      <c r="I97" s="7">
        <v>176.12</v>
      </c>
      <c r="J97" s="7">
        <v>210.34</v>
      </c>
      <c r="K97" s="6">
        <v>320</v>
      </c>
      <c r="L97" s="7">
        <v>706.46</v>
      </c>
    </row>
    <row r="98" spans="1:12" x14ac:dyDescent="0.25">
      <c r="A98" s="9">
        <v>45689</v>
      </c>
      <c r="B98" t="s">
        <v>100</v>
      </c>
      <c r="C98" t="s">
        <v>101</v>
      </c>
      <c r="D98" t="s">
        <v>69</v>
      </c>
      <c r="E98" t="s">
        <v>2010</v>
      </c>
      <c r="F98" t="s">
        <v>1940</v>
      </c>
      <c r="G98" s="6">
        <v>1347</v>
      </c>
      <c r="H98" s="8">
        <v>158.5</v>
      </c>
      <c r="I98" s="7">
        <v>234.58</v>
      </c>
      <c r="J98" s="7">
        <v>206.66</v>
      </c>
      <c r="K98" s="6">
        <v>520</v>
      </c>
      <c r="L98" s="7">
        <v>961.24</v>
      </c>
    </row>
    <row r="99" spans="1:12" x14ac:dyDescent="0.25">
      <c r="A99" s="9">
        <v>45689</v>
      </c>
      <c r="B99" t="s">
        <v>100</v>
      </c>
      <c r="C99" t="s">
        <v>101</v>
      </c>
      <c r="D99" t="s">
        <v>69</v>
      </c>
      <c r="E99" t="s">
        <v>2011</v>
      </c>
      <c r="F99" t="s">
        <v>1946</v>
      </c>
      <c r="G99" s="6">
        <v>1137</v>
      </c>
      <c r="H99" s="8">
        <v>108.3</v>
      </c>
      <c r="I99" s="7">
        <v>160.28</v>
      </c>
      <c r="J99" s="7">
        <v>235.61</v>
      </c>
      <c r="K99" s="6">
        <v>450</v>
      </c>
      <c r="L99" s="7">
        <v>845.89</v>
      </c>
    </row>
    <row r="100" spans="1:12" x14ac:dyDescent="0.25">
      <c r="A100" s="9">
        <v>45689</v>
      </c>
      <c r="B100" t="s">
        <v>100</v>
      </c>
      <c r="C100" t="s">
        <v>101</v>
      </c>
      <c r="D100" t="s">
        <v>69</v>
      </c>
      <c r="E100" t="s">
        <v>2012</v>
      </c>
      <c r="F100" t="s">
        <v>1946</v>
      </c>
      <c r="G100" s="6">
        <v>1043</v>
      </c>
      <c r="H100" s="8">
        <v>99.3</v>
      </c>
      <c r="I100" s="7">
        <v>146.96</v>
      </c>
      <c r="J100" s="7">
        <v>79.45</v>
      </c>
      <c r="K100" s="6">
        <v>520</v>
      </c>
      <c r="L100" s="7">
        <v>746.41</v>
      </c>
    </row>
    <row r="101" spans="1:12" x14ac:dyDescent="0.25">
      <c r="A101" s="9">
        <v>45689</v>
      </c>
      <c r="B101" t="s">
        <v>100</v>
      </c>
      <c r="C101" t="s">
        <v>101</v>
      </c>
      <c r="D101" t="s">
        <v>69</v>
      </c>
      <c r="E101" t="s">
        <v>2013</v>
      </c>
      <c r="F101" t="s">
        <v>1946</v>
      </c>
      <c r="G101" s="6">
        <v>1009</v>
      </c>
      <c r="H101" s="8">
        <v>96.1</v>
      </c>
      <c r="I101" s="7">
        <v>142.22999999999999</v>
      </c>
      <c r="J101" s="7">
        <v>90.41</v>
      </c>
      <c r="K101" s="6">
        <v>450</v>
      </c>
      <c r="L101" s="7">
        <v>682.64</v>
      </c>
    </row>
    <row r="102" spans="1:12" x14ac:dyDescent="0.25">
      <c r="A102" s="9">
        <v>45689</v>
      </c>
      <c r="B102" t="s">
        <v>113</v>
      </c>
      <c r="C102" t="s">
        <v>114</v>
      </c>
      <c r="D102" t="s">
        <v>69</v>
      </c>
      <c r="E102" t="s">
        <v>1991</v>
      </c>
      <c r="F102" t="s">
        <v>1946</v>
      </c>
      <c r="G102" s="6">
        <v>881</v>
      </c>
      <c r="H102" s="8">
        <v>83.9</v>
      </c>
      <c r="I102" s="7">
        <v>124.17</v>
      </c>
      <c r="J102" s="7">
        <v>138.44</v>
      </c>
      <c r="K102" s="6">
        <v>320</v>
      </c>
      <c r="L102" s="7">
        <v>582.61</v>
      </c>
    </row>
    <row r="103" spans="1:12" x14ac:dyDescent="0.25">
      <c r="A103" s="9">
        <v>45689</v>
      </c>
      <c r="B103" t="s">
        <v>113</v>
      </c>
      <c r="C103" t="s">
        <v>114</v>
      </c>
      <c r="D103" t="s">
        <v>69</v>
      </c>
      <c r="E103" t="s">
        <v>2014</v>
      </c>
      <c r="F103" t="s">
        <v>1942</v>
      </c>
      <c r="G103" s="6">
        <v>851</v>
      </c>
      <c r="H103" s="8">
        <v>81</v>
      </c>
      <c r="I103" s="7">
        <v>119.88</v>
      </c>
      <c r="J103" s="7">
        <v>125.36</v>
      </c>
      <c r="K103" s="6">
        <v>320</v>
      </c>
      <c r="L103" s="7">
        <v>565.24</v>
      </c>
    </row>
    <row r="104" spans="1:12" x14ac:dyDescent="0.25">
      <c r="A104" s="9">
        <v>45689</v>
      </c>
      <c r="B104" t="s">
        <v>113</v>
      </c>
      <c r="C104" t="s">
        <v>114</v>
      </c>
      <c r="D104" t="s">
        <v>69</v>
      </c>
      <c r="E104" t="s">
        <v>2009</v>
      </c>
      <c r="F104" t="s">
        <v>1948</v>
      </c>
      <c r="G104" s="6">
        <v>576</v>
      </c>
      <c r="H104" s="8">
        <v>67.8</v>
      </c>
      <c r="I104" s="7">
        <v>100.34</v>
      </c>
      <c r="J104" s="7">
        <v>267.06</v>
      </c>
      <c r="K104" s="6">
        <v>380</v>
      </c>
      <c r="L104" s="7">
        <v>747.4</v>
      </c>
    </row>
    <row r="105" spans="1:12" x14ac:dyDescent="0.25">
      <c r="A105" s="9">
        <v>45689</v>
      </c>
      <c r="B105" t="s">
        <v>113</v>
      </c>
      <c r="C105" t="s">
        <v>114</v>
      </c>
      <c r="D105" t="s">
        <v>69</v>
      </c>
      <c r="E105" t="s">
        <v>1949</v>
      </c>
      <c r="F105" t="s">
        <v>1942</v>
      </c>
      <c r="G105" s="6">
        <v>1050</v>
      </c>
      <c r="H105" s="8">
        <v>100</v>
      </c>
      <c r="I105" s="7">
        <v>148</v>
      </c>
      <c r="J105" s="7">
        <v>84.63</v>
      </c>
      <c r="K105" s="6">
        <v>320</v>
      </c>
      <c r="L105" s="7">
        <v>552.63</v>
      </c>
    </row>
    <row r="106" spans="1:12" x14ac:dyDescent="0.25">
      <c r="A106" s="9">
        <v>45689</v>
      </c>
      <c r="B106" t="s">
        <v>113</v>
      </c>
      <c r="C106" t="s">
        <v>114</v>
      </c>
      <c r="D106" t="s">
        <v>69</v>
      </c>
      <c r="E106" t="s">
        <v>1989</v>
      </c>
      <c r="F106" t="s">
        <v>1948</v>
      </c>
      <c r="G106" s="6">
        <v>1214</v>
      </c>
      <c r="H106" s="8">
        <v>142.80000000000001</v>
      </c>
      <c r="I106" s="7">
        <v>211.34</v>
      </c>
      <c r="J106" s="7">
        <v>325.01</v>
      </c>
      <c r="K106" s="6">
        <v>380</v>
      </c>
      <c r="L106" s="7">
        <v>916.35</v>
      </c>
    </row>
    <row r="107" spans="1:12" x14ac:dyDescent="0.25">
      <c r="A107" s="9">
        <v>45689</v>
      </c>
      <c r="B107" t="s">
        <v>113</v>
      </c>
      <c r="C107" t="s">
        <v>114</v>
      </c>
      <c r="D107" t="s">
        <v>69</v>
      </c>
      <c r="E107" t="s">
        <v>2015</v>
      </c>
      <c r="F107" t="s">
        <v>1940</v>
      </c>
      <c r="G107" s="6">
        <v>648</v>
      </c>
      <c r="H107" s="8">
        <v>76.2</v>
      </c>
      <c r="I107" s="7">
        <v>112.78</v>
      </c>
      <c r="J107" s="7">
        <v>88.98</v>
      </c>
      <c r="K107" s="6">
        <v>520</v>
      </c>
      <c r="L107" s="7">
        <v>721.76</v>
      </c>
    </row>
    <row r="108" spans="1:12" x14ac:dyDescent="0.25">
      <c r="A108" s="9">
        <v>45689</v>
      </c>
      <c r="B108" t="s">
        <v>113</v>
      </c>
      <c r="C108" t="s">
        <v>114</v>
      </c>
      <c r="D108" t="s">
        <v>69</v>
      </c>
      <c r="E108" t="s">
        <v>2006</v>
      </c>
      <c r="F108" t="s">
        <v>1940</v>
      </c>
      <c r="G108" s="6">
        <v>857</v>
      </c>
      <c r="H108" s="8">
        <v>100.8</v>
      </c>
      <c r="I108" s="7">
        <v>149.18</v>
      </c>
      <c r="J108" s="7">
        <v>74.81</v>
      </c>
      <c r="K108" s="6">
        <v>320</v>
      </c>
      <c r="L108" s="7">
        <v>543.99</v>
      </c>
    </row>
    <row r="109" spans="1:12" x14ac:dyDescent="0.25">
      <c r="A109" s="9">
        <v>45689</v>
      </c>
      <c r="B109" t="s">
        <v>143</v>
      </c>
      <c r="C109" t="s">
        <v>144</v>
      </c>
      <c r="D109" t="s">
        <v>69</v>
      </c>
      <c r="E109" t="s">
        <v>2016</v>
      </c>
      <c r="F109" t="s">
        <v>1946</v>
      </c>
      <c r="G109" s="6">
        <v>1257</v>
      </c>
      <c r="H109" s="8">
        <v>119.7</v>
      </c>
      <c r="I109" s="7">
        <v>177.16</v>
      </c>
      <c r="J109" s="7">
        <v>134.49</v>
      </c>
      <c r="K109" s="6">
        <v>450</v>
      </c>
      <c r="L109" s="7">
        <v>761.65</v>
      </c>
    </row>
    <row r="110" spans="1:12" x14ac:dyDescent="0.25">
      <c r="A110" s="9">
        <v>45689</v>
      </c>
      <c r="B110" t="s">
        <v>143</v>
      </c>
      <c r="C110" t="s">
        <v>144</v>
      </c>
      <c r="D110" t="s">
        <v>69</v>
      </c>
      <c r="E110" t="s">
        <v>1991</v>
      </c>
      <c r="F110" t="s">
        <v>1948</v>
      </c>
      <c r="G110" s="6">
        <v>983</v>
      </c>
      <c r="H110" s="8">
        <v>115.6</v>
      </c>
      <c r="I110" s="7">
        <v>171.09</v>
      </c>
      <c r="J110" s="7">
        <v>89.69</v>
      </c>
      <c r="K110" s="6">
        <v>450</v>
      </c>
      <c r="L110" s="7">
        <v>710.78</v>
      </c>
    </row>
    <row r="111" spans="1:12" x14ac:dyDescent="0.25">
      <c r="A111" s="9">
        <v>45689</v>
      </c>
      <c r="B111" t="s">
        <v>143</v>
      </c>
      <c r="C111" t="s">
        <v>144</v>
      </c>
      <c r="D111" t="s">
        <v>69</v>
      </c>
      <c r="E111" t="s">
        <v>2017</v>
      </c>
      <c r="F111" t="s">
        <v>1942</v>
      </c>
      <c r="G111" s="6">
        <v>1208</v>
      </c>
      <c r="H111" s="8">
        <v>115</v>
      </c>
      <c r="I111" s="7">
        <v>170.2</v>
      </c>
      <c r="J111" s="7">
        <v>50.86</v>
      </c>
      <c r="K111" s="6">
        <v>320</v>
      </c>
      <c r="L111" s="7">
        <v>541.05999999999995</v>
      </c>
    </row>
    <row r="112" spans="1:12" x14ac:dyDescent="0.25">
      <c r="A112" s="9">
        <v>45689</v>
      </c>
      <c r="B112" t="s">
        <v>143</v>
      </c>
      <c r="C112" t="s">
        <v>144</v>
      </c>
      <c r="D112" t="s">
        <v>69</v>
      </c>
      <c r="E112" t="s">
        <v>1982</v>
      </c>
      <c r="F112" t="s">
        <v>1946</v>
      </c>
      <c r="G112" s="6">
        <v>1064</v>
      </c>
      <c r="H112" s="8">
        <v>101.3</v>
      </c>
      <c r="I112" s="7">
        <v>149.91999999999999</v>
      </c>
      <c r="J112" s="7">
        <v>172.19</v>
      </c>
      <c r="K112" s="6">
        <v>520</v>
      </c>
      <c r="L112" s="7">
        <v>842.11</v>
      </c>
    </row>
    <row r="113" spans="1:12" x14ac:dyDescent="0.25">
      <c r="A113" s="9">
        <v>45689</v>
      </c>
      <c r="B113" t="s">
        <v>73</v>
      </c>
      <c r="C113" t="s">
        <v>74</v>
      </c>
      <c r="D113" t="s">
        <v>69</v>
      </c>
      <c r="E113" t="s">
        <v>2000</v>
      </c>
      <c r="F113" t="s">
        <v>1946</v>
      </c>
      <c r="G113" s="6">
        <v>1390</v>
      </c>
      <c r="H113" s="8">
        <v>132.4</v>
      </c>
      <c r="I113" s="7">
        <v>195.95</v>
      </c>
      <c r="J113" s="7">
        <v>45.29</v>
      </c>
      <c r="K113" s="6">
        <v>450</v>
      </c>
      <c r="L113" s="7">
        <v>691.24</v>
      </c>
    </row>
    <row r="114" spans="1:12" x14ac:dyDescent="0.25">
      <c r="A114" s="9">
        <v>45689</v>
      </c>
      <c r="B114" t="s">
        <v>73</v>
      </c>
      <c r="C114" t="s">
        <v>74</v>
      </c>
      <c r="D114" t="s">
        <v>69</v>
      </c>
      <c r="E114" t="s">
        <v>1982</v>
      </c>
      <c r="F114" t="s">
        <v>1940</v>
      </c>
      <c r="G114" s="6">
        <v>295</v>
      </c>
      <c r="H114" s="8">
        <v>34.700000000000003</v>
      </c>
      <c r="I114" s="7">
        <v>51.36</v>
      </c>
      <c r="J114" s="7">
        <v>164.71</v>
      </c>
      <c r="K114" s="6">
        <v>380</v>
      </c>
      <c r="L114" s="7">
        <v>596.07000000000005</v>
      </c>
    </row>
    <row r="115" spans="1:12" x14ac:dyDescent="0.25">
      <c r="A115" s="9">
        <v>45689</v>
      </c>
      <c r="B115" t="s">
        <v>73</v>
      </c>
      <c r="C115" t="s">
        <v>74</v>
      </c>
      <c r="D115" t="s">
        <v>69</v>
      </c>
      <c r="E115" t="s">
        <v>2018</v>
      </c>
      <c r="F115" t="s">
        <v>1942</v>
      </c>
      <c r="G115" s="6">
        <v>1500</v>
      </c>
      <c r="H115" s="8">
        <v>142.9</v>
      </c>
      <c r="I115" s="7">
        <v>211.49</v>
      </c>
      <c r="J115" s="7">
        <v>249.12</v>
      </c>
      <c r="K115" s="6">
        <v>520</v>
      </c>
      <c r="L115" s="7">
        <v>980.61</v>
      </c>
    </row>
    <row r="116" spans="1:12" x14ac:dyDescent="0.25">
      <c r="A116" s="9">
        <v>45689</v>
      </c>
      <c r="B116" t="s">
        <v>73</v>
      </c>
      <c r="C116" t="s">
        <v>74</v>
      </c>
      <c r="D116" t="s">
        <v>69</v>
      </c>
      <c r="E116" t="s">
        <v>2019</v>
      </c>
      <c r="F116" t="s">
        <v>1940</v>
      </c>
      <c r="G116" s="6">
        <v>1102</v>
      </c>
      <c r="H116" s="8">
        <v>129.6</v>
      </c>
      <c r="I116" s="7">
        <v>191.81</v>
      </c>
      <c r="J116" s="7">
        <v>110.67</v>
      </c>
      <c r="K116" s="6">
        <v>450</v>
      </c>
      <c r="L116" s="7">
        <v>752.48</v>
      </c>
    </row>
    <row r="117" spans="1:12" x14ac:dyDescent="0.25">
      <c r="A117" s="9">
        <v>45689</v>
      </c>
      <c r="B117" t="s">
        <v>73</v>
      </c>
      <c r="C117" t="s">
        <v>74</v>
      </c>
      <c r="D117" t="s">
        <v>69</v>
      </c>
      <c r="E117" t="s">
        <v>2020</v>
      </c>
      <c r="F117" t="s">
        <v>1942</v>
      </c>
      <c r="G117" s="6">
        <v>1251</v>
      </c>
      <c r="H117" s="8">
        <v>119.1</v>
      </c>
      <c r="I117" s="7">
        <v>176.27</v>
      </c>
      <c r="J117" s="7">
        <v>72.12</v>
      </c>
      <c r="K117" s="6">
        <v>380</v>
      </c>
      <c r="L117" s="7">
        <v>628.39</v>
      </c>
    </row>
    <row r="118" spans="1:12" x14ac:dyDescent="0.25">
      <c r="A118" s="9">
        <v>45689</v>
      </c>
      <c r="B118" t="s">
        <v>67</v>
      </c>
      <c r="C118" t="s">
        <v>68</v>
      </c>
      <c r="D118" t="s">
        <v>69</v>
      </c>
      <c r="E118" t="s">
        <v>1994</v>
      </c>
      <c r="F118" t="s">
        <v>1942</v>
      </c>
      <c r="G118" s="6">
        <v>1169</v>
      </c>
      <c r="H118" s="8">
        <v>111.3</v>
      </c>
      <c r="I118" s="7">
        <v>164.72</v>
      </c>
      <c r="J118" s="7">
        <v>190.44</v>
      </c>
      <c r="K118" s="6">
        <v>520</v>
      </c>
      <c r="L118" s="7">
        <v>875.16</v>
      </c>
    </row>
    <row r="119" spans="1:12" x14ac:dyDescent="0.25">
      <c r="A119" s="9">
        <v>45689</v>
      </c>
      <c r="B119" t="s">
        <v>67</v>
      </c>
      <c r="C119" t="s">
        <v>68</v>
      </c>
      <c r="D119" t="s">
        <v>69</v>
      </c>
      <c r="E119" t="s">
        <v>1982</v>
      </c>
      <c r="F119" t="s">
        <v>1946</v>
      </c>
      <c r="G119" s="6">
        <v>1315</v>
      </c>
      <c r="H119" s="8">
        <v>125.2</v>
      </c>
      <c r="I119" s="7">
        <v>185.3</v>
      </c>
      <c r="J119" s="7">
        <v>370.77</v>
      </c>
      <c r="K119" s="6">
        <v>520</v>
      </c>
      <c r="L119" s="7">
        <v>1076.07</v>
      </c>
    </row>
    <row r="120" spans="1:12" x14ac:dyDescent="0.25">
      <c r="A120" s="9">
        <v>45689</v>
      </c>
      <c r="B120" t="s">
        <v>67</v>
      </c>
      <c r="C120" t="s">
        <v>68</v>
      </c>
      <c r="D120" t="s">
        <v>69</v>
      </c>
      <c r="E120" t="s">
        <v>2021</v>
      </c>
      <c r="F120" t="s">
        <v>1942</v>
      </c>
      <c r="G120" s="6">
        <v>1148</v>
      </c>
      <c r="H120" s="8">
        <v>109.3</v>
      </c>
      <c r="I120" s="7">
        <v>161.76</v>
      </c>
      <c r="J120" s="7">
        <v>109.28</v>
      </c>
      <c r="K120" s="6">
        <v>320</v>
      </c>
      <c r="L120" s="7">
        <v>591.04</v>
      </c>
    </row>
    <row r="121" spans="1:12" x14ac:dyDescent="0.25">
      <c r="A121" s="9">
        <v>45689</v>
      </c>
      <c r="B121" t="s">
        <v>67</v>
      </c>
      <c r="C121" t="s">
        <v>68</v>
      </c>
      <c r="D121" t="s">
        <v>69</v>
      </c>
      <c r="E121" t="s">
        <v>1972</v>
      </c>
      <c r="F121" t="s">
        <v>1942</v>
      </c>
      <c r="G121" s="6">
        <v>1043</v>
      </c>
      <c r="H121" s="8">
        <v>99.3</v>
      </c>
      <c r="I121" s="7">
        <v>146.96</v>
      </c>
      <c r="J121" s="7">
        <v>8.4700000000000006</v>
      </c>
      <c r="K121" s="6">
        <v>450</v>
      </c>
      <c r="L121" s="7">
        <v>605.42999999999995</v>
      </c>
    </row>
    <row r="122" spans="1:12" x14ac:dyDescent="0.25">
      <c r="A122" s="9">
        <v>45689</v>
      </c>
      <c r="B122" t="s">
        <v>67</v>
      </c>
      <c r="C122" t="s">
        <v>68</v>
      </c>
      <c r="D122" t="s">
        <v>69</v>
      </c>
      <c r="E122" t="s">
        <v>2022</v>
      </c>
      <c r="F122" t="s">
        <v>1946</v>
      </c>
      <c r="G122" s="6">
        <v>876</v>
      </c>
      <c r="H122" s="8">
        <v>83.4</v>
      </c>
      <c r="I122" s="7">
        <v>123.43</v>
      </c>
      <c r="J122" s="7">
        <v>117.26</v>
      </c>
      <c r="K122" s="6">
        <v>380</v>
      </c>
      <c r="L122" s="7">
        <v>620.69000000000005</v>
      </c>
    </row>
    <row r="123" spans="1:12" x14ac:dyDescent="0.25">
      <c r="A123" s="9">
        <v>45689</v>
      </c>
      <c r="B123" t="s">
        <v>32</v>
      </c>
      <c r="C123" t="s">
        <v>33</v>
      </c>
      <c r="D123" t="s">
        <v>34</v>
      </c>
      <c r="E123" t="s">
        <v>2023</v>
      </c>
      <c r="F123" t="s">
        <v>1940</v>
      </c>
      <c r="G123" s="6">
        <v>918</v>
      </c>
      <c r="H123" s="8">
        <v>108</v>
      </c>
      <c r="I123" s="7">
        <v>159.84</v>
      </c>
      <c r="J123" s="7">
        <v>162.19</v>
      </c>
      <c r="K123" s="6">
        <v>520</v>
      </c>
      <c r="L123" s="7">
        <v>842.03</v>
      </c>
    </row>
    <row r="124" spans="1:12" x14ac:dyDescent="0.25">
      <c r="A124" s="9">
        <v>45689</v>
      </c>
      <c r="B124" t="s">
        <v>32</v>
      </c>
      <c r="C124" t="s">
        <v>33</v>
      </c>
      <c r="D124" t="s">
        <v>34</v>
      </c>
      <c r="E124" t="s">
        <v>1953</v>
      </c>
      <c r="F124" t="s">
        <v>1948</v>
      </c>
      <c r="G124" s="6">
        <v>844</v>
      </c>
      <c r="H124" s="8">
        <v>99.3</v>
      </c>
      <c r="I124" s="7">
        <v>146.96</v>
      </c>
      <c r="J124" s="7">
        <v>339.68</v>
      </c>
      <c r="K124" s="6">
        <v>450</v>
      </c>
      <c r="L124" s="7">
        <v>936.64</v>
      </c>
    </row>
    <row r="125" spans="1:12" x14ac:dyDescent="0.25">
      <c r="A125" s="9">
        <v>45689</v>
      </c>
      <c r="B125" t="s">
        <v>32</v>
      </c>
      <c r="C125" t="s">
        <v>33</v>
      </c>
      <c r="D125" t="s">
        <v>34</v>
      </c>
      <c r="E125" t="s">
        <v>2024</v>
      </c>
      <c r="F125" t="s">
        <v>1940</v>
      </c>
      <c r="G125" s="6">
        <v>1050</v>
      </c>
      <c r="H125" s="8">
        <v>123.5</v>
      </c>
      <c r="I125" s="7">
        <v>182.78</v>
      </c>
      <c r="J125" s="7">
        <v>149.26</v>
      </c>
      <c r="K125" s="6">
        <v>450</v>
      </c>
      <c r="L125" s="7">
        <v>782.04</v>
      </c>
    </row>
    <row r="126" spans="1:12" x14ac:dyDescent="0.25">
      <c r="A126" s="9">
        <v>45689</v>
      </c>
      <c r="B126" t="s">
        <v>32</v>
      </c>
      <c r="C126" t="s">
        <v>33</v>
      </c>
      <c r="D126" t="s">
        <v>34</v>
      </c>
      <c r="E126" t="s">
        <v>2011</v>
      </c>
      <c r="F126" t="s">
        <v>1948</v>
      </c>
      <c r="G126" s="6">
        <v>968</v>
      </c>
      <c r="H126" s="8">
        <v>113.9</v>
      </c>
      <c r="I126" s="7">
        <v>168.57</v>
      </c>
      <c r="J126" s="7">
        <v>262.42</v>
      </c>
      <c r="K126" s="6">
        <v>520</v>
      </c>
      <c r="L126" s="7">
        <v>950.99</v>
      </c>
    </row>
    <row r="127" spans="1:12" x14ac:dyDescent="0.25">
      <c r="A127" s="9">
        <v>45689</v>
      </c>
      <c r="B127" t="s">
        <v>94</v>
      </c>
      <c r="C127" t="s">
        <v>95</v>
      </c>
      <c r="D127" t="s">
        <v>34</v>
      </c>
      <c r="E127" t="s">
        <v>1972</v>
      </c>
      <c r="F127" t="s">
        <v>1940</v>
      </c>
      <c r="G127" s="6">
        <v>1256</v>
      </c>
      <c r="H127" s="8">
        <v>147.80000000000001</v>
      </c>
      <c r="I127" s="7">
        <v>218.74</v>
      </c>
      <c r="J127" s="7">
        <v>80.63</v>
      </c>
      <c r="K127" s="6">
        <v>320</v>
      </c>
      <c r="L127" s="7">
        <v>619.37</v>
      </c>
    </row>
    <row r="128" spans="1:12" x14ac:dyDescent="0.25">
      <c r="A128" s="9">
        <v>45689</v>
      </c>
      <c r="B128" t="s">
        <v>94</v>
      </c>
      <c r="C128" t="s">
        <v>95</v>
      </c>
      <c r="D128" t="s">
        <v>34</v>
      </c>
      <c r="E128" t="s">
        <v>2024</v>
      </c>
      <c r="F128" t="s">
        <v>1948</v>
      </c>
      <c r="G128" s="6">
        <v>885</v>
      </c>
      <c r="H128" s="8">
        <v>104.1</v>
      </c>
      <c r="I128" s="7">
        <v>154.07</v>
      </c>
      <c r="J128" s="7">
        <v>225.7</v>
      </c>
      <c r="K128" s="6">
        <v>320</v>
      </c>
      <c r="L128" s="7">
        <v>699.77</v>
      </c>
    </row>
    <row r="129" spans="1:12" x14ac:dyDescent="0.25">
      <c r="A129" s="9">
        <v>45689</v>
      </c>
      <c r="B129" t="s">
        <v>94</v>
      </c>
      <c r="C129" t="s">
        <v>95</v>
      </c>
      <c r="D129" t="s">
        <v>34</v>
      </c>
      <c r="E129" t="s">
        <v>2011</v>
      </c>
      <c r="F129" t="s">
        <v>1946</v>
      </c>
      <c r="G129" s="6">
        <v>713</v>
      </c>
      <c r="H129" s="8">
        <v>67.900000000000006</v>
      </c>
      <c r="I129" s="7">
        <v>100.49</v>
      </c>
      <c r="J129" s="7">
        <v>84.46</v>
      </c>
      <c r="K129" s="6">
        <v>520</v>
      </c>
      <c r="L129" s="7">
        <v>704.95</v>
      </c>
    </row>
    <row r="130" spans="1:12" x14ac:dyDescent="0.25">
      <c r="A130" s="9">
        <v>45689</v>
      </c>
      <c r="B130" t="s">
        <v>41</v>
      </c>
      <c r="C130" t="s">
        <v>42</v>
      </c>
      <c r="D130" t="s">
        <v>34</v>
      </c>
      <c r="E130" t="s">
        <v>2025</v>
      </c>
      <c r="F130" t="s">
        <v>1946</v>
      </c>
      <c r="G130" s="6">
        <v>930</v>
      </c>
      <c r="H130" s="8">
        <v>88.6</v>
      </c>
      <c r="I130" s="7">
        <v>131.13</v>
      </c>
      <c r="J130" s="7">
        <v>219.95</v>
      </c>
      <c r="K130" s="6">
        <v>520</v>
      </c>
      <c r="L130" s="7">
        <v>871.08</v>
      </c>
    </row>
    <row r="131" spans="1:12" x14ac:dyDescent="0.25">
      <c r="A131" s="9">
        <v>45689</v>
      </c>
      <c r="B131" t="s">
        <v>41</v>
      </c>
      <c r="C131" t="s">
        <v>42</v>
      </c>
      <c r="D131" t="s">
        <v>34</v>
      </c>
      <c r="E131" t="s">
        <v>2026</v>
      </c>
      <c r="F131" t="s">
        <v>1948</v>
      </c>
      <c r="G131" s="6">
        <v>1115</v>
      </c>
      <c r="H131" s="8">
        <v>131.19999999999999</v>
      </c>
      <c r="I131" s="7">
        <v>194.18</v>
      </c>
      <c r="J131" s="7">
        <v>265.49</v>
      </c>
      <c r="K131" s="6">
        <v>380</v>
      </c>
      <c r="L131" s="7">
        <v>839.67</v>
      </c>
    </row>
    <row r="132" spans="1:12" x14ac:dyDescent="0.25">
      <c r="A132" s="9">
        <v>45689</v>
      </c>
      <c r="B132" t="s">
        <v>41</v>
      </c>
      <c r="C132" t="s">
        <v>42</v>
      </c>
      <c r="D132" t="s">
        <v>34</v>
      </c>
      <c r="E132" t="s">
        <v>2027</v>
      </c>
      <c r="F132" t="s">
        <v>1942</v>
      </c>
      <c r="G132" s="6">
        <v>1262</v>
      </c>
      <c r="H132" s="8">
        <v>120.2</v>
      </c>
      <c r="I132" s="7">
        <v>177.9</v>
      </c>
      <c r="J132" s="7">
        <v>139.01</v>
      </c>
      <c r="K132" s="6">
        <v>380</v>
      </c>
      <c r="L132" s="7">
        <v>696.91</v>
      </c>
    </row>
    <row r="133" spans="1:12" x14ac:dyDescent="0.25">
      <c r="A133" s="9">
        <v>45689</v>
      </c>
      <c r="B133" t="s">
        <v>41</v>
      </c>
      <c r="C133" t="s">
        <v>42</v>
      </c>
      <c r="D133" t="s">
        <v>34</v>
      </c>
      <c r="E133" t="s">
        <v>1959</v>
      </c>
      <c r="F133" t="s">
        <v>1940</v>
      </c>
      <c r="G133" s="6">
        <v>1147</v>
      </c>
      <c r="H133" s="8">
        <v>134.9</v>
      </c>
      <c r="I133" s="7">
        <v>199.65</v>
      </c>
      <c r="J133" s="7">
        <v>141.74</v>
      </c>
      <c r="K133" s="6">
        <v>320</v>
      </c>
      <c r="L133" s="7">
        <v>661.39</v>
      </c>
    </row>
    <row r="134" spans="1:12" x14ac:dyDescent="0.25">
      <c r="A134" s="9">
        <v>45689</v>
      </c>
      <c r="B134" t="s">
        <v>47</v>
      </c>
      <c r="C134" t="s">
        <v>48</v>
      </c>
      <c r="D134" t="s">
        <v>34</v>
      </c>
      <c r="E134" t="s">
        <v>2028</v>
      </c>
      <c r="F134" t="s">
        <v>1948</v>
      </c>
      <c r="G134" s="6">
        <v>1116</v>
      </c>
      <c r="H134" s="8">
        <v>131.30000000000001</v>
      </c>
      <c r="I134" s="7">
        <v>194.32</v>
      </c>
      <c r="J134" s="7">
        <v>203.38</v>
      </c>
      <c r="K134" s="6">
        <v>450</v>
      </c>
      <c r="L134" s="7">
        <v>847.7</v>
      </c>
    </row>
    <row r="135" spans="1:12" x14ac:dyDescent="0.25">
      <c r="A135" s="9">
        <v>45689</v>
      </c>
      <c r="B135" t="s">
        <v>47</v>
      </c>
      <c r="C135" t="s">
        <v>48</v>
      </c>
      <c r="D135" t="s">
        <v>34</v>
      </c>
      <c r="E135" t="s">
        <v>1981</v>
      </c>
      <c r="F135" t="s">
        <v>1940</v>
      </c>
      <c r="G135" s="6">
        <v>440</v>
      </c>
      <c r="H135" s="8">
        <v>51.8</v>
      </c>
      <c r="I135" s="7">
        <v>76.66</v>
      </c>
      <c r="J135" s="7">
        <v>139.26</v>
      </c>
      <c r="K135" s="6">
        <v>520</v>
      </c>
      <c r="L135" s="7">
        <v>735.92</v>
      </c>
    </row>
    <row r="136" spans="1:12" x14ac:dyDescent="0.25">
      <c r="A136" s="9">
        <v>45689</v>
      </c>
      <c r="B136" t="s">
        <v>47</v>
      </c>
      <c r="C136" t="s">
        <v>48</v>
      </c>
      <c r="D136" t="s">
        <v>34</v>
      </c>
      <c r="E136" t="s">
        <v>1980</v>
      </c>
      <c r="F136" t="s">
        <v>1948</v>
      </c>
      <c r="G136" s="6">
        <v>1405</v>
      </c>
      <c r="H136" s="8">
        <v>165.3</v>
      </c>
      <c r="I136" s="7">
        <v>244.64</v>
      </c>
      <c r="J136" s="7">
        <v>324.10000000000002</v>
      </c>
      <c r="K136" s="6">
        <v>450</v>
      </c>
      <c r="L136" s="7">
        <v>1018.74</v>
      </c>
    </row>
    <row r="137" spans="1:12" x14ac:dyDescent="0.25">
      <c r="A137" s="9">
        <v>45689</v>
      </c>
      <c r="B137" t="s">
        <v>47</v>
      </c>
      <c r="C137" t="s">
        <v>48</v>
      </c>
      <c r="D137" t="s">
        <v>34</v>
      </c>
      <c r="E137" t="s">
        <v>2029</v>
      </c>
      <c r="F137" t="s">
        <v>1946</v>
      </c>
      <c r="G137" s="6">
        <v>1291</v>
      </c>
      <c r="H137" s="8">
        <v>123</v>
      </c>
      <c r="I137" s="7">
        <v>182.04</v>
      </c>
      <c r="J137" s="7">
        <v>248.89</v>
      </c>
      <c r="K137" s="6">
        <v>320</v>
      </c>
      <c r="L137" s="7">
        <v>750.93</v>
      </c>
    </row>
    <row r="138" spans="1:12" x14ac:dyDescent="0.25">
      <c r="A138" s="9">
        <v>45689</v>
      </c>
      <c r="B138" t="s">
        <v>47</v>
      </c>
      <c r="C138" t="s">
        <v>48</v>
      </c>
      <c r="D138" t="s">
        <v>34</v>
      </c>
      <c r="E138" t="s">
        <v>1995</v>
      </c>
      <c r="F138" t="s">
        <v>1948</v>
      </c>
      <c r="G138" s="6">
        <v>1072</v>
      </c>
      <c r="H138" s="8">
        <v>126.1</v>
      </c>
      <c r="I138" s="7">
        <v>186.63</v>
      </c>
      <c r="J138" s="7">
        <v>265.79000000000002</v>
      </c>
      <c r="K138" s="6">
        <v>320</v>
      </c>
      <c r="L138" s="7">
        <v>772.42</v>
      </c>
    </row>
    <row r="139" spans="1:12" x14ac:dyDescent="0.25">
      <c r="A139" s="9">
        <v>45689</v>
      </c>
      <c r="B139" t="s">
        <v>121</v>
      </c>
      <c r="C139" t="s">
        <v>122</v>
      </c>
      <c r="D139" t="s">
        <v>34</v>
      </c>
      <c r="E139" t="s">
        <v>1990</v>
      </c>
      <c r="F139" t="s">
        <v>1946</v>
      </c>
      <c r="G139" s="6">
        <v>895</v>
      </c>
      <c r="H139" s="8">
        <v>85.2</v>
      </c>
      <c r="I139" s="7">
        <v>126.1</v>
      </c>
      <c r="J139" s="7">
        <v>124.71</v>
      </c>
      <c r="K139" s="6">
        <v>520</v>
      </c>
      <c r="L139" s="7">
        <v>770.81</v>
      </c>
    </row>
    <row r="140" spans="1:12" x14ac:dyDescent="0.25">
      <c r="A140" s="9">
        <v>45689</v>
      </c>
      <c r="B140" t="s">
        <v>121</v>
      </c>
      <c r="C140" t="s">
        <v>122</v>
      </c>
      <c r="D140" t="s">
        <v>34</v>
      </c>
      <c r="E140" t="s">
        <v>2030</v>
      </c>
      <c r="F140" t="s">
        <v>1946</v>
      </c>
      <c r="G140" s="6">
        <v>1203</v>
      </c>
      <c r="H140" s="8">
        <v>114.6</v>
      </c>
      <c r="I140" s="7">
        <v>169.61</v>
      </c>
      <c r="J140" s="7">
        <v>246.31</v>
      </c>
      <c r="K140" s="6">
        <v>450</v>
      </c>
      <c r="L140" s="7">
        <v>865.92</v>
      </c>
    </row>
    <row r="141" spans="1:12" x14ac:dyDescent="0.25">
      <c r="A141" s="9">
        <v>45689</v>
      </c>
      <c r="B141" t="s">
        <v>121</v>
      </c>
      <c r="C141" t="s">
        <v>122</v>
      </c>
      <c r="D141" t="s">
        <v>34</v>
      </c>
      <c r="E141" t="s">
        <v>2031</v>
      </c>
      <c r="F141" t="s">
        <v>1946</v>
      </c>
      <c r="G141" s="6">
        <v>1015</v>
      </c>
      <c r="H141" s="8">
        <v>96.7</v>
      </c>
      <c r="I141" s="7">
        <v>143.12</v>
      </c>
      <c r="J141" s="7">
        <v>113.98</v>
      </c>
      <c r="K141" s="6">
        <v>450</v>
      </c>
      <c r="L141" s="7">
        <v>707.1</v>
      </c>
    </row>
    <row r="142" spans="1:12" x14ac:dyDescent="0.25">
      <c r="A142" s="9">
        <v>45689</v>
      </c>
      <c r="B142" t="s">
        <v>121</v>
      </c>
      <c r="C142" t="s">
        <v>122</v>
      </c>
      <c r="D142" t="s">
        <v>34</v>
      </c>
      <c r="E142" t="s">
        <v>2006</v>
      </c>
      <c r="F142" t="s">
        <v>1940</v>
      </c>
      <c r="G142" s="6">
        <v>1050</v>
      </c>
      <c r="H142" s="8">
        <v>123.5</v>
      </c>
      <c r="I142" s="7">
        <v>182.78</v>
      </c>
      <c r="J142" s="7">
        <v>198.1</v>
      </c>
      <c r="K142" s="6">
        <v>450</v>
      </c>
      <c r="L142" s="7">
        <v>830.88</v>
      </c>
    </row>
    <row r="143" spans="1:12" x14ac:dyDescent="0.25">
      <c r="A143" s="9">
        <v>45689</v>
      </c>
      <c r="B143" t="s">
        <v>121</v>
      </c>
      <c r="C143" t="s">
        <v>122</v>
      </c>
      <c r="D143" t="s">
        <v>34</v>
      </c>
      <c r="E143" t="s">
        <v>2021</v>
      </c>
      <c r="F143" t="s">
        <v>1942</v>
      </c>
      <c r="G143" s="6">
        <v>689</v>
      </c>
      <c r="H143" s="8">
        <v>65.599999999999994</v>
      </c>
      <c r="I143" s="7">
        <v>97.09</v>
      </c>
      <c r="J143" s="7">
        <v>0</v>
      </c>
      <c r="K143" s="6">
        <v>450</v>
      </c>
      <c r="L143" s="7">
        <v>547.09</v>
      </c>
    </row>
    <row r="144" spans="1:12" x14ac:dyDescent="0.25">
      <c r="A144" s="9">
        <v>45689</v>
      </c>
      <c r="B144" t="s">
        <v>121</v>
      </c>
      <c r="C144" t="s">
        <v>122</v>
      </c>
      <c r="D144" t="s">
        <v>34</v>
      </c>
      <c r="E144" t="s">
        <v>2027</v>
      </c>
      <c r="F144" t="s">
        <v>1942</v>
      </c>
      <c r="G144" s="6">
        <v>912</v>
      </c>
      <c r="H144" s="8">
        <v>86.9</v>
      </c>
      <c r="I144" s="7">
        <v>128.61000000000001</v>
      </c>
      <c r="J144" s="7">
        <v>52.34</v>
      </c>
      <c r="K144" s="6">
        <v>520</v>
      </c>
      <c r="L144" s="7">
        <v>700.95</v>
      </c>
    </row>
    <row r="145" spans="1:12" x14ac:dyDescent="0.25">
      <c r="A145" s="9">
        <v>45689</v>
      </c>
      <c r="B145" t="s">
        <v>201</v>
      </c>
      <c r="C145" t="s">
        <v>202</v>
      </c>
      <c r="D145" t="s">
        <v>64</v>
      </c>
      <c r="E145" t="s">
        <v>1976</v>
      </c>
      <c r="F145" t="s">
        <v>1942</v>
      </c>
      <c r="G145" s="6">
        <v>922</v>
      </c>
      <c r="H145" s="8">
        <v>87.8</v>
      </c>
      <c r="I145" s="7">
        <v>129.94</v>
      </c>
      <c r="J145" s="7">
        <v>138.18</v>
      </c>
      <c r="K145" s="6">
        <v>520</v>
      </c>
      <c r="L145" s="7">
        <v>788.12</v>
      </c>
    </row>
    <row r="146" spans="1:12" x14ac:dyDescent="0.25">
      <c r="A146" s="9">
        <v>45689</v>
      </c>
      <c r="B146" t="s">
        <v>201</v>
      </c>
      <c r="C146" t="s">
        <v>202</v>
      </c>
      <c r="D146" t="s">
        <v>64</v>
      </c>
      <c r="E146" t="s">
        <v>1978</v>
      </c>
      <c r="F146" t="s">
        <v>1948</v>
      </c>
      <c r="G146" s="6">
        <v>936</v>
      </c>
      <c r="H146" s="8">
        <v>110.1</v>
      </c>
      <c r="I146" s="7">
        <v>162.94999999999999</v>
      </c>
      <c r="J146" s="7">
        <v>366.2</v>
      </c>
      <c r="K146" s="6">
        <v>320</v>
      </c>
      <c r="L146" s="7">
        <v>849.15</v>
      </c>
    </row>
    <row r="147" spans="1:12" x14ac:dyDescent="0.25">
      <c r="A147" s="9">
        <v>45689</v>
      </c>
      <c r="B147" t="s">
        <v>201</v>
      </c>
      <c r="C147" t="s">
        <v>202</v>
      </c>
      <c r="D147" t="s">
        <v>64</v>
      </c>
      <c r="E147" t="s">
        <v>1947</v>
      </c>
      <c r="F147" t="s">
        <v>1940</v>
      </c>
      <c r="G147" s="6">
        <v>1131</v>
      </c>
      <c r="H147" s="8">
        <v>133.1</v>
      </c>
      <c r="I147" s="7">
        <v>196.99</v>
      </c>
      <c r="J147" s="7">
        <v>174.04</v>
      </c>
      <c r="K147" s="6">
        <v>450</v>
      </c>
      <c r="L147" s="7">
        <v>821.03</v>
      </c>
    </row>
    <row r="148" spans="1:12" x14ac:dyDescent="0.25">
      <c r="A148" s="9">
        <v>45689</v>
      </c>
      <c r="B148" t="s">
        <v>118</v>
      </c>
      <c r="C148" t="s">
        <v>119</v>
      </c>
      <c r="D148" t="s">
        <v>64</v>
      </c>
      <c r="E148" t="s">
        <v>1989</v>
      </c>
      <c r="F148" t="s">
        <v>1948</v>
      </c>
      <c r="G148" s="6">
        <v>1205</v>
      </c>
      <c r="H148" s="8">
        <v>141.80000000000001</v>
      </c>
      <c r="I148" s="7">
        <v>209.86</v>
      </c>
      <c r="J148" s="7">
        <v>158.88999999999999</v>
      </c>
      <c r="K148" s="6">
        <v>450</v>
      </c>
      <c r="L148" s="7">
        <v>818.75</v>
      </c>
    </row>
    <row r="149" spans="1:12" x14ac:dyDescent="0.25">
      <c r="A149" s="9">
        <v>45689</v>
      </c>
      <c r="B149" t="s">
        <v>118</v>
      </c>
      <c r="C149" t="s">
        <v>119</v>
      </c>
      <c r="D149" t="s">
        <v>64</v>
      </c>
      <c r="E149" t="s">
        <v>2032</v>
      </c>
      <c r="F149" t="s">
        <v>1946</v>
      </c>
      <c r="G149" s="6">
        <v>1309</v>
      </c>
      <c r="H149" s="8">
        <v>124.7</v>
      </c>
      <c r="I149" s="7">
        <v>184.56</v>
      </c>
      <c r="J149" s="7">
        <v>143.94</v>
      </c>
      <c r="K149" s="6">
        <v>320</v>
      </c>
      <c r="L149" s="7">
        <v>648.5</v>
      </c>
    </row>
    <row r="150" spans="1:12" x14ac:dyDescent="0.25">
      <c r="A150" s="9">
        <v>45689</v>
      </c>
      <c r="B150" t="s">
        <v>118</v>
      </c>
      <c r="C150" t="s">
        <v>119</v>
      </c>
      <c r="D150" t="s">
        <v>64</v>
      </c>
      <c r="E150" t="s">
        <v>1961</v>
      </c>
      <c r="F150" t="s">
        <v>1948</v>
      </c>
      <c r="G150" s="6">
        <v>1217</v>
      </c>
      <c r="H150" s="8">
        <v>143.19999999999999</v>
      </c>
      <c r="I150" s="7">
        <v>211.94</v>
      </c>
      <c r="J150" s="7">
        <v>164.25</v>
      </c>
      <c r="K150" s="6">
        <v>380</v>
      </c>
      <c r="L150" s="7">
        <v>756.19</v>
      </c>
    </row>
    <row r="151" spans="1:12" x14ac:dyDescent="0.25">
      <c r="A151" s="9">
        <v>45689</v>
      </c>
      <c r="B151" t="s">
        <v>62</v>
      </c>
      <c r="C151" t="s">
        <v>63</v>
      </c>
      <c r="D151" t="s">
        <v>64</v>
      </c>
      <c r="E151" t="s">
        <v>2009</v>
      </c>
      <c r="F151" t="s">
        <v>1942</v>
      </c>
      <c r="G151" s="6">
        <v>661</v>
      </c>
      <c r="H151" s="8">
        <v>63</v>
      </c>
      <c r="I151" s="7">
        <v>93.24</v>
      </c>
      <c r="J151" s="7">
        <v>215.43</v>
      </c>
      <c r="K151" s="6">
        <v>520</v>
      </c>
      <c r="L151" s="7">
        <v>828.67</v>
      </c>
    </row>
    <row r="152" spans="1:12" x14ac:dyDescent="0.25">
      <c r="A152" s="9">
        <v>45689</v>
      </c>
      <c r="B152" t="s">
        <v>62</v>
      </c>
      <c r="C152" t="s">
        <v>63</v>
      </c>
      <c r="D152" t="s">
        <v>64</v>
      </c>
      <c r="E152" t="s">
        <v>2033</v>
      </c>
      <c r="F152" t="s">
        <v>1948</v>
      </c>
      <c r="G152" s="6">
        <v>1144</v>
      </c>
      <c r="H152" s="8">
        <v>134.6</v>
      </c>
      <c r="I152" s="7">
        <v>199.21</v>
      </c>
      <c r="J152" s="7">
        <v>177.84</v>
      </c>
      <c r="K152" s="6">
        <v>380</v>
      </c>
      <c r="L152" s="7">
        <v>757.05</v>
      </c>
    </row>
    <row r="153" spans="1:12" x14ac:dyDescent="0.25">
      <c r="A153" s="9">
        <v>45689</v>
      </c>
      <c r="B153" t="s">
        <v>62</v>
      </c>
      <c r="C153" t="s">
        <v>63</v>
      </c>
      <c r="D153" t="s">
        <v>64</v>
      </c>
      <c r="E153" t="s">
        <v>2034</v>
      </c>
      <c r="F153" t="s">
        <v>1940</v>
      </c>
      <c r="G153" s="6">
        <v>832</v>
      </c>
      <c r="H153" s="8">
        <v>97.9</v>
      </c>
      <c r="I153" s="7">
        <v>144.88999999999999</v>
      </c>
      <c r="J153" s="7">
        <v>240.03</v>
      </c>
      <c r="K153" s="6">
        <v>520</v>
      </c>
      <c r="L153" s="7">
        <v>904.92</v>
      </c>
    </row>
    <row r="154" spans="1:12" x14ac:dyDescent="0.25">
      <c r="A154" s="9">
        <v>45689</v>
      </c>
      <c r="B154" t="s">
        <v>62</v>
      </c>
      <c r="C154" t="s">
        <v>63</v>
      </c>
      <c r="D154" t="s">
        <v>64</v>
      </c>
      <c r="E154" t="s">
        <v>1962</v>
      </c>
      <c r="F154" t="s">
        <v>1940</v>
      </c>
      <c r="G154" s="6">
        <v>752</v>
      </c>
      <c r="H154" s="8">
        <v>88.5</v>
      </c>
      <c r="I154" s="7">
        <v>130.97999999999999</v>
      </c>
      <c r="J154" s="7">
        <v>281.41000000000003</v>
      </c>
      <c r="K154" s="6">
        <v>320</v>
      </c>
      <c r="L154" s="7">
        <v>732.39</v>
      </c>
    </row>
    <row r="155" spans="1:12" x14ac:dyDescent="0.25">
      <c r="A155" s="9">
        <v>45689</v>
      </c>
      <c r="B155" t="s">
        <v>91</v>
      </c>
      <c r="C155" t="s">
        <v>92</v>
      </c>
      <c r="D155" t="s">
        <v>64</v>
      </c>
      <c r="E155" t="s">
        <v>2024</v>
      </c>
      <c r="F155" t="s">
        <v>1946</v>
      </c>
      <c r="G155" s="6">
        <v>824</v>
      </c>
      <c r="H155" s="8">
        <v>78.5</v>
      </c>
      <c r="I155" s="7">
        <v>116.18</v>
      </c>
      <c r="J155" s="7">
        <v>201.07</v>
      </c>
      <c r="K155" s="6">
        <v>380</v>
      </c>
      <c r="L155" s="7">
        <v>697.25</v>
      </c>
    </row>
    <row r="156" spans="1:12" x14ac:dyDescent="0.25">
      <c r="A156" s="9">
        <v>45689</v>
      </c>
      <c r="B156" t="s">
        <v>91</v>
      </c>
      <c r="C156" t="s">
        <v>92</v>
      </c>
      <c r="D156" t="s">
        <v>64</v>
      </c>
      <c r="E156" t="s">
        <v>1968</v>
      </c>
      <c r="F156" t="s">
        <v>1948</v>
      </c>
      <c r="G156" s="6">
        <v>967</v>
      </c>
      <c r="H156" s="8">
        <v>113.8</v>
      </c>
      <c r="I156" s="7">
        <v>168.42</v>
      </c>
      <c r="J156" s="7">
        <v>298.25</v>
      </c>
      <c r="K156" s="6">
        <v>380</v>
      </c>
      <c r="L156" s="7">
        <v>846.67</v>
      </c>
    </row>
    <row r="157" spans="1:12" x14ac:dyDescent="0.25">
      <c r="A157" s="9">
        <v>45689</v>
      </c>
      <c r="B157" t="s">
        <v>91</v>
      </c>
      <c r="C157" t="s">
        <v>92</v>
      </c>
      <c r="D157" t="s">
        <v>64</v>
      </c>
      <c r="E157" t="s">
        <v>2029</v>
      </c>
      <c r="F157" t="s">
        <v>1940</v>
      </c>
      <c r="G157" s="6">
        <v>913</v>
      </c>
      <c r="H157" s="8">
        <v>107.4</v>
      </c>
      <c r="I157" s="7">
        <v>158.94999999999999</v>
      </c>
      <c r="J157" s="7">
        <v>136.97999999999999</v>
      </c>
      <c r="K157" s="6">
        <v>380</v>
      </c>
      <c r="L157" s="7">
        <v>675.93</v>
      </c>
    </row>
    <row r="158" spans="1:12" x14ac:dyDescent="0.25">
      <c r="A158" s="9">
        <v>45689</v>
      </c>
      <c r="B158" t="s">
        <v>91</v>
      </c>
      <c r="C158" t="s">
        <v>92</v>
      </c>
      <c r="D158" t="s">
        <v>64</v>
      </c>
      <c r="E158" t="s">
        <v>2035</v>
      </c>
      <c r="F158" t="s">
        <v>1948</v>
      </c>
      <c r="G158" s="6">
        <v>1060</v>
      </c>
      <c r="H158" s="8">
        <v>124.7</v>
      </c>
      <c r="I158" s="7">
        <v>184.56</v>
      </c>
      <c r="J158" s="7">
        <v>169.83</v>
      </c>
      <c r="K158" s="6">
        <v>450</v>
      </c>
      <c r="L158" s="7">
        <v>804.39</v>
      </c>
    </row>
    <row r="159" spans="1:12" x14ac:dyDescent="0.25">
      <c r="A159" s="9">
        <v>45689</v>
      </c>
      <c r="B159" t="s">
        <v>91</v>
      </c>
      <c r="C159" t="s">
        <v>92</v>
      </c>
      <c r="D159" t="s">
        <v>64</v>
      </c>
      <c r="E159" t="s">
        <v>2002</v>
      </c>
      <c r="F159" t="s">
        <v>1942</v>
      </c>
      <c r="G159" s="6">
        <v>1235</v>
      </c>
      <c r="H159" s="8">
        <v>117.6</v>
      </c>
      <c r="I159" s="7">
        <v>174.05</v>
      </c>
      <c r="J159" s="7">
        <v>108.94</v>
      </c>
      <c r="K159" s="6">
        <v>450</v>
      </c>
      <c r="L159" s="7">
        <v>732.99</v>
      </c>
    </row>
    <row r="160" spans="1:12" x14ac:dyDescent="0.25">
      <c r="A160" s="9">
        <v>45689</v>
      </c>
      <c r="B160" t="s">
        <v>80</v>
      </c>
      <c r="C160" t="s">
        <v>81</v>
      </c>
      <c r="D160" t="s">
        <v>64</v>
      </c>
      <c r="E160" t="s">
        <v>1984</v>
      </c>
      <c r="F160" t="s">
        <v>1940</v>
      </c>
      <c r="G160" s="6">
        <v>992</v>
      </c>
      <c r="H160" s="8">
        <v>116.7</v>
      </c>
      <c r="I160" s="7">
        <v>172.72</v>
      </c>
      <c r="J160" s="7">
        <v>70.45</v>
      </c>
      <c r="K160" s="6">
        <v>450</v>
      </c>
      <c r="L160" s="7">
        <v>693.17</v>
      </c>
    </row>
    <row r="161" spans="1:12" x14ac:dyDescent="0.25">
      <c r="A161" s="9">
        <v>45689</v>
      </c>
      <c r="B161" t="s">
        <v>80</v>
      </c>
      <c r="C161" t="s">
        <v>81</v>
      </c>
      <c r="D161" t="s">
        <v>64</v>
      </c>
      <c r="E161" t="s">
        <v>2028</v>
      </c>
      <c r="F161" t="s">
        <v>1948</v>
      </c>
      <c r="G161" s="6">
        <v>409</v>
      </c>
      <c r="H161" s="8">
        <v>48.1</v>
      </c>
      <c r="I161" s="7">
        <v>71.19</v>
      </c>
      <c r="J161" s="7">
        <v>234.72</v>
      </c>
      <c r="K161" s="6">
        <v>520</v>
      </c>
      <c r="L161" s="7">
        <v>825.91</v>
      </c>
    </row>
    <row r="162" spans="1:12" x14ac:dyDescent="0.25">
      <c r="A162" s="9">
        <v>45689</v>
      </c>
      <c r="B162" t="s">
        <v>80</v>
      </c>
      <c r="C162" t="s">
        <v>81</v>
      </c>
      <c r="D162" t="s">
        <v>64</v>
      </c>
      <c r="E162" t="s">
        <v>2036</v>
      </c>
      <c r="F162" t="s">
        <v>1948</v>
      </c>
      <c r="G162" s="6">
        <v>1653</v>
      </c>
      <c r="H162" s="8">
        <v>194.5</v>
      </c>
      <c r="I162" s="7">
        <v>287.86</v>
      </c>
      <c r="J162" s="7">
        <v>312.77</v>
      </c>
      <c r="K162" s="6">
        <v>520</v>
      </c>
      <c r="L162" s="7">
        <v>1120.6300000000001</v>
      </c>
    </row>
    <row r="163" spans="1:12" x14ac:dyDescent="0.25">
      <c r="A163" s="9">
        <v>45689</v>
      </c>
      <c r="B163" t="s">
        <v>80</v>
      </c>
      <c r="C163" t="s">
        <v>81</v>
      </c>
      <c r="D163" t="s">
        <v>64</v>
      </c>
      <c r="E163" t="s">
        <v>2037</v>
      </c>
      <c r="F163" t="s">
        <v>1940</v>
      </c>
      <c r="G163" s="6">
        <v>1045</v>
      </c>
      <c r="H163" s="8">
        <v>122.9</v>
      </c>
      <c r="I163" s="7">
        <v>181.89</v>
      </c>
      <c r="J163" s="7">
        <v>128.97</v>
      </c>
      <c r="K163" s="6">
        <v>520</v>
      </c>
      <c r="L163" s="7">
        <v>830.86</v>
      </c>
    </row>
    <row r="164" spans="1:12" x14ac:dyDescent="0.25">
      <c r="A164" s="9">
        <v>45689</v>
      </c>
      <c r="B164" t="s">
        <v>80</v>
      </c>
      <c r="C164" t="s">
        <v>81</v>
      </c>
      <c r="D164" t="s">
        <v>64</v>
      </c>
      <c r="E164" t="s">
        <v>2035</v>
      </c>
      <c r="F164" t="s">
        <v>1940</v>
      </c>
      <c r="G164" s="6">
        <v>1055</v>
      </c>
      <c r="H164" s="8">
        <v>124.1</v>
      </c>
      <c r="I164" s="7">
        <v>183.67</v>
      </c>
      <c r="J164" s="7">
        <v>193.77</v>
      </c>
      <c r="K164" s="6">
        <v>520</v>
      </c>
      <c r="L164" s="7">
        <v>897.44</v>
      </c>
    </row>
    <row r="165" spans="1:12" x14ac:dyDescent="0.25">
      <c r="A165" s="9">
        <v>45689</v>
      </c>
      <c r="B165" t="s">
        <v>80</v>
      </c>
      <c r="C165" t="s">
        <v>81</v>
      </c>
      <c r="D165" t="s">
        <v>64</v>
      </c>
      <c r="E165" t="s">
        <v>2023</v>
      </c>
      <c r="F165" t="s">
        <v>1942</v>
      </c>
      <c r="G165" s="6">
        <v>754</v>
      </c>
      <c r="H165" s="8">
        <v>71.8</v>
      </c>
      <c r="I165" s="7">
        <v>106.26</v>
      </c>
      <c r="J165" s="7">
        <v>239.15</v>
      </c>
      <c r="K165" s="6">
        <v>320</v>
      </c>
      <c r="L165" s="7">
        <v>665.41</v>
      </c>
    </row>
    <row r="166" spans="1:12" x14ac:dyDescent="0.25">
      <c r="A166" s="9">
        <v>45689</v>
      </c>
      <c r="B166" t="s">
        <v>80</v>
      </c>
      <c r="C166" t="s">
        <v>81</v>
      </c>
      <c r="D166" t="s">
        <v>64</v>
      </c>
      <c r="E166" t="s">
        <v>1961</v>
      </c>
      <c r="F166" t="s">
        <v>1940</v>
      </c>
      <c r="G166" s="6">
        <v>1228</v>
      </c>
      <c r="H166" s="8">
        <v>144.5</v>
      </c>
      <c r="I166" s="7">
        <v>213.86</v>
      </c>
      <c r="J166" s="7">
        <v>207.45</v>
      </c>
      <c r="K166" s="6">
        <v>320</v>
      </c>
      <c r="L166" s="7">
        <v>741.31</v>
      </c>
    </row>
    <row r="167" spans="1:12" x14ac:dyDescent="0.25">
      <c r="A167" s="9">
        <v>45689</v>
      </c>
      <c r="B167" t="s">
        <v>56</v>
      </c>
      <c r="C167" t="s">
        <v>57</v>
      </c>
      <c r="D167" t="s">
        <v>58</v>
      </c>
      <c r="E167" t="s">
        <v>2024</v>
      </c>
      <c r="F167" t="s">
        <v>1946</v>
      </c>
      <c r="G167" s="6">
        <v>1159</v>
      </c>
      <c r="H167" s="8">
        <v>110.4</v>
      </c>
      <c r="I167" s="7">
        <v>163.38999999999999</v>
      </c>
      <c r="J167" s="7">
        <v>151.57</v>
      </c>
      <c r="K167" s="6">
        <v>450</v>
      </c>
      <c r="L167" s="7">
        <v>764.96</v>
      </c>
    </row>
    <row r="168" spans="1:12" x14ac:dyDescent="0.25">
      <c r="A168" s="9">
        <v>45689</v>
      </c>
      <c r="B168" t="s">
        <v>56</v>
      </c>
      <c r="C168" t="s">
        <v>57</v>
      </c>
      <c r="D168" t="s">
        <v>58</v>
      </c>
      <c r="E168" t="s">
        <v>1944</v>
      </c>
      <c r="F168" t="s">
        <v>1942</v>
      </c>
      <c r="G168" s="6">
        <v>1218</v>
      </c>
      <c r="H168" s="8">
        <v>116</v>
      </c>
      <c r="I168" s="7">
        <v>171.68</v>
      </c>
      <c r="J168" s="7">
        <v>197.35</v>
      </c>
      <c r="K168" s="6">
        <v>520</v>
      </c>
      <c r="L168" s="7">
        <v>889.03</v>
      </c>
    </row>
    <row r="169" spans="1:12" x14ac:dyDescent="0.25">
      <c r="A169" s="9">
        <v>45689</v>
      </c>
      <c r="B169" t="s">
        <v>56</v>
      </c>
      <c r="C169" t="s">
        <v>57</v>
      </c>
      <c r="D169" t="s">
        <v>58</v>
      </c>
      <c r="E169" t="s">
        <v>2038</v>
      </c>
      <c r="F169" t="s">
        <v>1946</v>
      </c>
      <c r="G169" s="6">
        <v>961</v>
      </c>
      <c r="H169" s="8">
        <v>91.5</v>
      </c>
      <c r="I169" s="7">
        <v>135.41999999999999</v>
      </c>
      <c r="J169" s="7">
        <v>104.11</v>
      </c>
      <c r="K169" s="6">
        <v>520</v>
      </c>
      <c r="L169" s="7">
        <v>759.53</v>
      </c>
    </row>
    <row r="170" spans="1:12" x14ac:dyDescent="0.25">
      <c r="A170" s="9">
        <v>45689</v>
      </c>
      <c r="B170" t="s">
        <v>56</v>
      </c>
      <c r="C170" t="s">
        <v>57</v>
      </c>
      <c r="D170" t="s">
        <v>58</v>
      </c>
      <c r="E170" t="s">
        <v>1973</v>
      </c>
      <c r="F170" t="s">
        <v>1942</v>
      </c>
      <c r="G170" s="6">
        <v>1075</v>
      </c>
      <c r="H170" s="8">
        <v>102.4</v>
      </c>
      <c r="I170" s="7">
        <v>151.55000000000001</v>
      </c>
      <c r="J170" s="7">
        <v>273.92</v>
      </c>
      <c r="K170" s="6">
        <v>520</v>
      </c>
      <c r="L170" s="7">
        <v>945.47</v>
      </c>
    </row>
    <row r="171" spans="1:12" x14ac:dyDescent="0.25">
      <c r="A171" s="9">
        <v>45689</v>
      </c>
      <c r="B171" t="s">
        <v>77</v>
      </c>
      <c r="C171" t="s">
        <v>78</v>
      </c>
      <c r="D171" t="s">
        <v>58</v>
      </c>
      <c r="E171" t="s">
        <v>1945</v>
      </c>
      <c r="F171" t="s">
        <v>1942</v>
      </c>
      <c r="G171" s="6">
        <v>740</v>
      </c>
      <c r="H171" s="8">
        <v>70.5</v>
      </c>
      <c r="I171" s="7">
        <v>104.34</v>
      </c>
      <c r="J171" s="7">
        <v>32.6</v>
      </c>
      <c r="K171" s="6">
        <v>450</v>
      </c>
      <c r="L171" s="7">
        <v>586.94000000000005</v>
      </c>
    </row>
    <row r="172" spans="1:12" x14ac:dyDescent="0.25">
      <c r="A172" s="9">
        <v>45689</v>
      </c>
      <c r="B172" t="s">
        <v>77</v>
      </c>
      <c r="C172" t="s">
        <v>78</v>
      </c>
      <c r="D172" t="s">
        <v>58</v>
      </c>
      <c r="E172" t="s">
        <v>2012</v>
      </c>
      <c r="F172" t="s">
        <v>1940</v>
      </c>
      <c r="G172" s="6">
        <v>1091</v>
      </c>
      <c r="H172" s="8">
        <v>128.4</v>
      </c>
      <c r="I172" s="7">
        <v>190.03</v>
      </c>
      <c r="J172" s="7">
        <v>154.07</v>
      </c>
      <c r="K172" s="6">
        <v>450</v>
      </c>
      <c r="L172" s="7">
        <v>794.1</v>
      </c>
    </row>
    <row r="173" spans="1:12" x14ac:dyDescent="0.25">
      <c r="A173" s="9">
        <v>45689</v>
      </c>
      <c r="B173" t="s">
        <v>77</v>
      </c>
      <c r="C173" t="s">
        <v>78</v>
      </c>
      <c r="D173" t="s">
        <v>58</v>
      </c>
      <c r="E173" t="s">
        <v>2039</v>
      </c>
      <c r="F173" t="s">
        <v>1942</v>
      </c>
      <c r="G173" s="6">
        <v>1093</v>
      </c>
      <c r="H173" s="8">
        <v>104.1</v>
      </c>
      <c r="I173" s="7">
        <v>154.07</v>
      </c>
      <c r="J173" s="7">
        <v>169.52</v>
      </c>
      <c r="K173" s="6">
        <v>320</v>
      </c>
      <c r="L173" s="7">
        <v>643.59</v>
      </c>
    </row>
    <row r="174" spans="1:12" x14ac:dyDescent="0.25">
      <c r="A174" s="9">
        <v>45689</v>
      </c>
      <c r="B174" t="s">
        <v>77</v>
      </c>
      <c r="C174" t="s">
        <v>78</v>
      </c>
      <c r="D174" t="s">
        <v>58</v>
      </c>
      <c r="E174" t="s">
        <v>2040</v>
      </c>
      <c r="F174" t="s">
        <v>1942</v>
      </c>
      <c r="G174" s="6">
        <v>994</v>
      </c>
      <c r="H174" s="8">
        <v>94.7</v>
      </c>
      <c r="I174" s="7">
        <v>140.16</v>
      </c>
      <c r="J174" s="7">
        <v>269.19</v>
      </c>
      <c r="K174" s="6">
        <v>380</v>
      </c>
      <c r="L174" s="7">
        <v>789.35</v>
      </c>
    </row>
    <row r="175" spans="1:12" x14ac:dyDescent="0.25">
      <c r="A175" s="9">
        <v>45689</v>
      </c>
      <c r="B175" t="s">
        <v>77</v>
      </c>
      <c r="C175" t="s">
        <v>78</v>
      </c>
      <c r="D175" t="s">
        <v>58</v>
      </c>
      <c r="E175" t="s">
        <v>1998</v>
      </c>
      <c r="F175" t="s">
        <v>1946</v>
      </c>
      <c r="G175" s="6">
        <v>649</v>
      </c>
      <c r="H175" s="8">
        <v>61.8</v>
      </c>
      <c r="I175" s="7">
        <v>91.46</v>
      </c>
      <c r="J175" s="7">
        <v>83.72</v>
      </c>
      <c r="K175" s="6">
        <v>520</v>
      </c>
      <c r="L175" s="7">
        <v>695.18</v>
      </c>
    </row>
    <row r="176" spans="1:12" x14ac:dyDescent="0.25">
      <c r="A176" s="9">
        <v>45689</v>
      </c>
      <c r="B176" t="s">
        <v>77</v>
      </c>
      <c r="C176" t="s">
        <v>78</v>
      </c>
      <c r="D176" t="s">
        <v>58</v>
      </c>
      <c r="E176" t="s">
        <v>1949</v>
      </c>
      <c r="F176" t="s">
        <v>1946</v>
      </c>
      <c r="G176" s="6">
        <v>1024</v>
      </c>
      <c r="H176" s="8">
        <v>97.5</v>
      </c>
      <c r="I176" s="7">
        <v>144.30000000000001</v>
      </c>
      <c r="J176" s="7">
        <v>18.54</v>
      </c>
      <c r="K176" s="6">
        <v>380</v>
      </c>
      <c r="L176" s="7">
        <v>542.84</v>
      </c>
    </row>
    <row r="177" spans="1:12" x14ac:dyDescent="0.25">
      <c r="A177" s="9">
        <v>45689</v>
      </c>
      <c r="B177" t="s">
        <v>77</v>
      </c>
      <c r="C177" t="s">
        <v>78</v>
      </c>
      <c r="D177" t="s">
        <v>58</v>
      </c>
      <c r="E177" t="s">
        <v>2011</v>
      </c>
      <c r="F177" t="s">
        <v>1946</v>
      </c>
      <c r="G177" s="6">
        <v>1006</v>
      </c>
      <c r="H177" s="8">
        <v>95.8</v>
      </c>
      <c r="I177" s="7">
        <v>141.78</v>
      </c>
      <c r="J177" s="7">
        <v>282.92</v>
      </c>
      <c r="K177" s="6">
        <v>450</v>
      </c>
      <c r="L177" s="7">
        <v>874.7</v>
      </c>
    </row>
    <row r="178" spans="1:12" x14ac:dyDescent="0.25">
      <c r="A178" s="9">
        <v>45689</v>
      </c>
      <c r="B178" t="s">
        <v>110</v>
      </c>
      <c r="C178" t="s">
        <v>111</v>
      </c>
      <c r="D178" t="s">
        <v>58</v>
      </c>
      <c r="E178" t="s">
        <v>1983</v>
      </c>
      <c r="F178" t="s">
        <v>1942</v>
      </c>
      <c r="G178" s="6">
        <v>1055</v>
      </c>
      <c r="H178" s="8">
        <v>100.5</v>
      </c>
      <c r="I178" s="7">
        <v>148.74</v>
      </c>
      <c r="J178" s="7">
        <v>168.46</v>
      </c>
      <c r="K178" s="6">
        <v>380</v>
      </c>
      <c r="L178" s="7">
        <v>697.2</v>
      </c>
    </row>
    <row r="179" spans="1:12" x14ac:dyDescent="0.25">
      <c r="A179" s="9">
        <v>45689</v>
      </c>
      <c r="B179" t="s">
        <v>110</v>
      </c>
      <c r="C179" t="s">
        <v>111</v>
      </c>
      <c r="D179" t="s">
        <v>58</v>
      </c>
      <c r="E179" t="s">
        <v>2004</v>
      </c>
      <c r="F179" t="s">
        <v>1942</v>
      </c>
      <c r="G179" s="6">
        <v>734</v>
      </c>
      <c r="H179" s="8">
        <v>69.900000000000006</v>
      </c>
      <c r="I179" s="7">
        <v>103.45</v>
      </c>
      <c r="J179" s="7">
        <v>100.69</v>
      </c>
      <c r="K179" s="6">
        <v>320</v>
      </c>
      <c r="L179" s="7">
        <v>524.14</v>
      </c>
    </row>
    <row r="180" spans="1:12" x14ac:dyDescent="0.25">
      <c r="A180" s="9">
        <v>45689</v>
      </c>
      <c r="B180" t="s">
        <v>110</v>
      </c>
      <c r="C180" t="s">
        <v>111</v>
      </c>
      <c r="D180" t="s">
        <v>58</v>
      </c>
      <c r="E180" t="s">
        <v>1971</v>
      </c>
      <c r="F180" t="s">
        <v>1946</v>
      </c>
      <c r="G180" s="6">
        <v>956</v>
      </c>
      <c r="H180" s="8">
        <v>91</v>
      </c>
      <c r="I180" s="7">
        <v>134.68</v>
      </c>
      <c r="J180" s="7">
        <v>124.58</v>
      </c>
      <c r="K180" s="6">
        <v>380</v>
      </c>
      <c r="L180" s="7">
        <v>639.26</v>
      </c>
    </row>
    <row r="181" spans="1:12" x14ac:dyDescent="0.25">
      <c r="A181" s="9">
        <v>45689</v>
      </c>
      <c r="B181" t="s">
        <v>110</v>
      </c>
      <c r="C181" t="s">
        <v>111</v>
      </c>
      <c r="D181" t="s">
        <v>58</v>
      </c>
      <c r="E181" t="s">
        <v>2041</v>
      </c>
      <c r="F181" t="s">
        <v>1942</v>
      </c>
      <c r="G181" s="6">
        <v>1370</v>
      </c>
      <c r="H181" s="8">
        <v>130.5</v>
      </c>
      <c r="I181" s="7">
        <v>193.14</v>
      </c>
      <c r="J181" s="7">
        <v>194.62</v>
      </c>
      <c r="K181" s="6">
        <v>520</v>
      </c>
      <c r="L181" s="7">
        <v>907.76</v>
      </c>
    </row>
    <row r="182" spans="1:12" x14ac:dyDescent="0.25">
      <c r="A182" s="9">
        <v>45689</v>
      </c>
      <c r="B182" t="s">
        <v>110</v>
      </c>
      <c r="C182" t="s">
        <v>111</v>
      </c>
      <c r="D182" t="s">
        <v>58</v>
      </c>
      <c r="E182" t="s">
        <v>2019</v>
      </c>
      <c r="F182" t="s">
        <v>1942</v>
      </c>
      <c r="G182" s="6">
        <v>772</v>
      </c>
      <c r="H182" s="8">
        <v>73.5</v>
      </c>
      <c r="I182" s="7">
        <v>108.78</v>
      </c>
      <c r="J182" s="7">
        <v>169.72</v>
      </c>
      <c r="K182" s="6">
        <v>520</v>
      </c>
      <c r="L182" s="7">
        <v>798.5</v>
      </c>
    </row>
    <row r="183" spans="1:12" x14ac:dyDescent="0.25">
      <c r="A183" s="9">
        <v>45689</v>
      </c>
      <c r="B183" t="s">
        <v>85</v>
      </c>
      <c r="C183" t="s">
        <v>86</v>
      </c>
      <c r="D183" t="s">
        <v>58</v>
      </c>
      <c r="E183" t="s">
        <v>2040</v>
      </c>
      <c r="F183" t="s">
        <v>1946</v>
      </c>
      <c r="G183" s="6">
        <v>1174</v>
      </c>
      <c r="H183" s="8">
        <v>111.8</v>
      </c>
      <c r="I183" s="7">
        <v>165.46</v>
      </c>
      <c r="J183" s="7">
        <v>241.21</v>
      </c>
      <c r="K183" s="6">
        <v>450</v>
      </c>
      <c r="L183" s="7">
        <v>856.67</v>
      </c>
    </row>
    <row r="184" spans="1:12" x14ac:dyDescent="0.25">
      <c r="A184" s="9">
        <v>45689</v>
      </c>
      <c r="B184" t="s">
        <v>85</v>
      </c>
      <c r="C184" t="s">
        <v>86</v>
      </c>
      <c r="D184" t="s">
        <v>58</v>
      </c>
      <c r="E184" t="s">
        <v>1947</v>
      </c>
      <c r="F184" t="s">
        <v>1940</v>
      </c>
      <c r="G184" s="6">
        <v>1445</v>
      </c>
      <c r="H184" s="8">
        <v>170</v>
      </c>
      <c r="I184" s="7">
        <v>251.6</v>
      </c>
      <c r="J184" s="7">
        <v>68.790000000000006</v>
      </c>
      <c r="K184" s="6">
        <v>320</v>
      </c>
      <c r="L184" s="7">
        <v>640.39</v>
      </c>
    </row>
    <row r="185" spans="1:12" x14ac:dyDescent="0.25">
      <c r="A185" s="9">
        <v>45689</v>
      </c>
      <c r="B185" t="s">
        <v>85</v>
      </c>
      <c r="C185" t="s">
        <v>86</v>
      </c>
      <c r="D185" t="s">
        <v>58</v>
      </c>
      <c r="E185" t="s">
        <v>1939</v>
      </c>
      <c r="F185" t="s">
        <v>1940</v>
      </c>
      <c r="G185" s="6">
        <v>847</v>
      </c>
      <c r="H185" s="8">
        <v>99.6</v>
      </c>
      <c r="I185" s="7">
        <v>147.41</v>
      </c>
      <c r="J185" s="7">
        <v>49.39</v>
      </c>
      <c r="K185" s="6">
        <v>380</v>
      </c>
      <c r="L185" s="7">
        <v>576.79999999999995</v>
      </c>
    </row>
    <row r="186" spans="1:12" x14ac:dyDescent="0.25">
      <c r="A186" s="9">
        <v>45689</v>
      </c>
      <c r="B186" t="s">
        <v>85</v>
      </c>
      <c r="C186" t="s">
        <v>86</v>
      </c>
      <c r="D186" t="s">
        <v>58</v>
      </c>
      <c r="E186" t="s">
        <v>1986</v>
      </c>
      <c r="F186" t="s">
        <v>1942</v>
      </c>
      <c r="G186" s="6">
        <v>991</v>
      </c>
      <c r="H186" s="8">
        <v>94.4</v>
      </c>
      <c r="I186" s="7">
        <v>139.71</v>
      </c>
      <c r="J186" s="7">
        <v>187.31</v>
      </c>
      <c r="K186" s="6">
        <v>380</v>
      </c>
      <c r="L186" s="7">
        <v>707.02</v>
      </c>
    </row>
    <row r="187" spans="1:12" x14ac:dyDescent="0.25">
      <c r="A187" s="9">
        <v>45689</v>
      </c>
      <c r="B187" t="s">
        <v>85</v>
      </c>
      <c r="C187" t="s">
        <v>86</v>
      </c>
      <c r="D187" t="s">
        <v>58</v>
      </c>
      <c r="E187" t="s">
        <v>2003</v>
      </c>
      <c r="F187" t="s">
        <v>1946</v>
      </c>
      <c r="G187" s="6">
        <v>1296</v>
      </c>
      <c r="H187" s="8">
        <v>123.4</v>
      </c>
      <c r="I187" s="7">
        <v>182.63</v>
      </c>
      <c r="J187" s="7">
        <v>143.91999999999999</v>
      </c>
      <c r="K187" s="6">
        <v>380</v>
      </c>
      <c r="L187" s="7">
        <v>706.55</v>
      </c>
    </row>
    <row r="188" spans="1:12" x14ac:dyDescent="0.25">
      <c r="A188" s="9">
        <v>45689</v>
      </c>
      <c r="B188" t="s">
        <v>85</v>
      </c>
      <c r="C188" t="s">
        <v>86</v>
      </c>
      <c r="D188" t="s">
        <v>58</v>
      </c>
      <c r="E188" t="s">
        <v>2042</v>
      </c>
      <c r="F188" t="s">
        <v>1946</v>
      </c>
      <c r="G188" s="6">
        <v>970</v>
      </c>
      <c r="H188" s="8">
        <v>92.4</v>
      </c>
      <c r="I188" s="7">
        <v>136.75</v>
      </c>
      <c r="J188" s="7">
        <v>162.13999999999999</v>
      </c>
      <c r="K188" s="6">
        <v>380</v>
      </c>
      <c r="L188" s="7">
        <v>678.89</v>
      </c>
    </row>
    <row r="189" spans="1:12" x14ac:dyDescent="0.25">
      <c r="A189" s="9">
        <v>45689</v>
      </c>
      <c r="B189" t="s">
        <v>103</v>
      </c>
      <c r="C189" t="s">
        <v>104</v>
      </c>
      <c r="D189" t="s">
        <v>58</v>
      </c>
      <c r="E189" t="s">
        <v>2001</v>
      </c>
      <c r="F189" t="s">
        <v>1940</v>
      </c>
      <c r="G189" s="6">
        <v>841</v>
      </c>
      <c r="H189" s="8">
        <v>98.9</v>
      </c>
      <c r="I189" s="7">
        <v>146.37</v>
      </c>
      <c r="J189" s="7">
        <v>317.16000000000003</v>
      </c>
      <c r="K189" s="6">
        <v>520</v>
      </c>
      <c r="L189" s="7">
        <v>983.53</v>
      </c>
    </row>
    <row r="190" spans="1:12" x14ac:dyDescent="0.25">
      <c r="A190" s="9">
        <v>45689</v>
      </c>
      <c r="B190" t="s">
        <v>103</v>
      </c>
      <c r="C190" t="s">
        <v>104</v>
      </c>
      <c r="D190" t="s">
        <v>58</v>
      </c>
      <c r="E190" t="s">
        <v>2034</v>
      </c>
      <c r="F190" t="s">
        <v>1942</v>
      </c>
      <c r="G190" s="6">
        <v>648</v>
      </c>
      <c r="H190" s="8">
        <v>61.7</v>
      </c>
      <c r="I190" s="7">
        <v>91.32</v>
      </c>
      <c r="J190" s="7">
        <v>164.78</v>
      </c>
      <c r="K190" s="6">
        <v>520</v>
      </c>
      <c r="L190" s="7">
        <v>776.1</v>
      </c>
    </row>
    <row r="191" spans="1:12" x14ac:dyDescent="0.25">
      <c r="A191" s="9">
        <v>45689</v>
      </c>
      <c r="B191" t="s">
        <v>103</v>
      </c>
      <c r="C191" t="s">
        <v>104</v>
      </c>
      <c r="D191" t="s">
        <v>58</v>
      </c>
      <c r="E191" t="s">
        <v>1953</v>
      </c>
      <c r="F191" t="s">
        <v>1940</v>
      </c>
      <c r="G191" s="6">
        <v>1555</v>
      </c>
      <c r="H191" s="8">
        <v>182.9</v>
      </c>
      <c r="I191" s="7">
        <v>270.69</v>
      </c>
      <c r="J191" s="7">
        <v>150.54</v>
      </c>
      <c r="K191" s="6">
        <v>520</v>
      </c>
      <c r="L191" s="7">
        <v>941.23</v>
      </c>
    </row>
    <row r="192" spans="1:12" x14ac:dyDescent="0.25">
      <c r="A192" s="9">
        <v>45689</v>
      </c>
      <c r="B192" t="s">
        <v>103</v>
      </c>
      <c r="C192" t="s">
        <v>104</v>
      </c>
      <c r="D192" t="s">
        <v>58</v>
      </c>
      <c r="E192" t="s">
        <v>1991</v>
      </c>
      <c r="F192" t="s">
        <v>1946</v>
      </c>
      <c r="G192" s="6">
        <v>1002</v>
      </c>
      <c r="H192" s="8">
        <v>95.4</v>
      </c>
      <c r="I192" s="7">
        <v>141.19</v>
      </c>
      <c r="J192" s="7">
        <v>121.4</v>
      </c>
      <c r="K192" s="6">
        <v>320</v>
      </c>
      <c r="L192" s="7">
        <v>582.59</v>
      </c>
    </row>
    <row r="193" spans="1:12" x14ac:dyDescent="0.25">
      <c r="A193" s="9">
        <v>45689</v>
      </c>
      <c r="B193" t="s">
        <v>103</v>
      </c>
      <c r="C193" t="s">
        <v>104</v>
      </c>
      <c r="D193" t="s">
        <v>58</v>
      </c>
      <c r="E193" t="s">
        <v>1993</v>
      </c>
      <c r="F193" t="s">
        <v>1948</v>
      </c>
      <c r="G193" s="6">
        <v>1004</v>
      </c>
      <c r="H193" s="8">
        <v>118.1</v>
      </c>
      <c r="I193" s="7">
        <v>174.79</v>
      </c>
      <c r="J193" s="7">
        <v>359.83</v>
      </c>
      <c r="K193" s="6">
        <v>520</v>
      </c>
      <c r="L193" s="7">
        <v>1054.6199999999999</v>
      </c>
    </row>
    <row r="194" spans="1:12" x14ac:dyDescent="0.25">
      <c r="A194" s="9">
        <v>45689</v>
      </c>
      <c r="B194" t="s">
        <v>103</v>
      </c>
      <c r="C194" t="s">
        <v>104</v>
      </c>
      <c r="D194" t="s">
        <v>58</v>
      </c>
      <c r="E194" t="s">
        <v>2043</v>
      </c>
      <c r="F194" t="s">
        <v>1942</v>
      </c>
      <c r="G194" s="6">
        <v>497</v>
      </c>
      <c r="H194" s="8">
        <v>47.3</v>
      </c>
      <c r="I194" s="7">
        <v>70</v>
      </c>
      <c r="J194" s="7">
        <v>272.67</v>
      </c>
      <c r="K194" s="6">
        <v>520</v>
      </c>
      <c r="L194" s="7">
        <v>862.67</v>
      </c>
    </row>
    <row r="195" spans="1:12" x14ac:dyDescent="0.25">
      <c r="A195" s="9">
        <v>45717</v>
      </c>
      <c r="B195" t="s">
        <v>100</v>
      </c>
      <c r="C195" t="s">
        <v>101</v>
      </c>
      <c r="D195" t="s">
        <v>69</v>
      </c>
      <c r="E195" t="s">
        <v>2024</v>
      </c>
      <c r="F195" t="s">
        <v>1942</v>
      </c>
      <c r="G195" s="6">
        <v>694</v>
      </c>
      <c r="H195" s="8">
        <v>66.099999999999994</v>
      </c>
      <c r="I195" s="7">
        <v>97.83</v>
      </c>
      <c r="J195" s="7">
        <v>128.66999999999999</v>
      </c>
      <c r="K195" s="6">
        <v>450</v>
      </c>
      <c r="L195" s="7">
        <v>676.5</v>
      </c>
    </row>
    <row r="196" spans="1:12" x14ac:dyDescent="0.25">
      <c r="A196" s="9">
        <v>45717</v>
      </c>
      <c r="B196" t="s">
        <v>100</v>
      </c>
      <c r="C196" t="s">
        <v>101</v>
      </c>
      <c r="D196" t="s">
        <v>69</v>
      </c>
      <c r="E196" t="s">
        <v>1957</v>
      </c>
      <c r="F196" t="s">
        <v>1946</v>
      </c>
      <c r="G196" s="6">
        <v>942</v>
      </c>
      <c r="H196" s="8">
        <v>89.7</v>
      </c>
      <c r="I196" s="7">
        <v>132.76</v>
      </c>
      <c r="J196" s="7">
        <v>197.08</v>
      </c>
      <c r="K196" s="6">
        <v>520</v>
      </c>
      <c r="L196" s="7">
        <v>849.84</v>
      </c>
    </row>
    <row r="197" spans="1:12" x14ac:dyDescent="0.25">
      <c r="A197" s="9">
        <v>45717</v>
      </c>
      <c r="B197" t="s">
        <v>100</v>
      </c>
      <c r="C197" t="s">
        <v>101</v>
      </c>
      <c r="D197" t="s">
        <v>69</v>
      </c>
      <c r="E197" t="s">
        <v>2044</v>
      </c>
      <c r="F197" t="s">
        <v>1940</v>
      </c>
      <c r="G197" s="6">
        <v>650</v>
      </c>
      <c r="H197" s="8">
        <v>76.5</v>
      </c>
      <c r="I197" s="7">
        <v>113.22</v>
      </c>
      <c r="J197" s="7">
        <v>186.97</v>
      </c>
      <c r="K197" s="6">
        <v>450</v>
      </c>
      <c r="L197" s="7">
        <v>750.19</v>
      </c>
    </row>
    <row r="198" spans="1:12" x14ac:dyDescent="0.25">
      <c r="A198" s="9">
        <v>45717</v>
      </c>
      <c r="B198" t="s">
        <v>113</v>
      </c>
      <c r="C198" t="s">
        <v>114</v>
      </c>
      <c r="D198" t="s">
        <v>69</v>
      </c>
      <c r="E198" t="s">
        <v>2045</v>
      </c>
      <c r="F198" t="s">
        <v>1946</v>
      </c>
      <c r="G198" s="6">
        <v>1556</v>
      </c>
      <c r="H198" s="8">
        <v>148.19999999999999</v>
      </c>
      <c r="I198" s="7">
        <v>219.34</v>
      </c>
      <c r="J198" s="7">
        <v>40.950000000000003</v>
      </c>
      <c r="K198" s="6">
        <v>450</v>
      </c>
      <c r="L198" s="7">
        <v>710.29</v>
      </c>
    </row>
    <row r="199" spans="1:12" x14ac:dyDescent="0.25">
      <c r="A199" s="9">
        <v>45717</v>
      </c>
      <c r="B199" t="s">
        <v>113</v>
      </c>
      <c r="C199" t="s">
        <v>114</v>
      </c>
      <c r="D199" t="s">
        <v>69</v>
      </c>
      <c r="E199" t="s">
        <v>2026</v>
      </c>
      <c r="F199" t="s">
        <v>1940</v>
      </c>
      <c r="G199" s="6">
        <v>1097</v>
      </c>
      <c r="H199" s="8">
        <v>129.1</v>
      </c>
      <c r="I199" s="7">
        <v>191.07</v>
      </c>
      <c r="J199" s="7">
        <v>97.04</v>
      </c>
      <c r="K199" s="6">
        <v>320</v>
      </c>
      <c r="L199" s="7">
        <v>608.11</v>
      </c>
    </row>
    <row r="200" spans="1:12" x14ac:dyDescent="0.25">
      <c r="A200" s="9">
        <v>45717</v>
      </c>
      <c r="B200" t="s">
        <v>113</v>
      </c>
      <c r="C200" t="s">
        <v>114</v>
      </c>
      <c r="D200" t="s">
        <v>69</v>
      </c>
      <c r="E200" t="s">
        <v>2008</v>
      </c>
      <c r="F200" t="s">
        <v>1946</v>
      </c>
      <c r="G200" s="6">
        <v>1156</v>
      </c>
      <c r="H200" s="8">
        <v>110.1</v>
      </c>
      <c r="I200" s="7">
        <v>162.94999999999999</v>
      </c>
      <c r="J200" s="7">
        <v>151.53</v>
      </c>
      <c r="K200" s="6">
        <v>380</v>
      </c>
      <c r="L200" s="7">
        <v>694.48</v>
      </c>
    </row>
    <row r="201" spans="1:12" x14ac:dyDescent="0.25">
      <c r="A201" s="9">
        <v>45717</v>
      </c>
      <c r="B201" t="s">
        <v>143</v>
      </c>
      <c r="C201" t="s">
        <v>144</v>
      </c>
      <c r="D201" t="s">
        <v>69</v>
      </c>
      <c r="E201" t="s">
        <v>2046</v>
      </c>
      <c r="F201" t="s">
        <v>1940</v>
      </c>
      <c r="G201" s="6">
        <v>889</v>
      </c>
      <c r="H201" s="8">
        <v>104.6</v>
      </c>
      <c r="I201" s="7">
        <v>154.81</v>
      </c>
      <c r="J201" s="7">
        <v>189.03</v>
      </c>
      <c r="K201" s="6">
        <v>320</v>
      </c>
      <c r="L201" s="7">
        <v>663.84</v>
      </c>
    </row>
    <row r="202" spans="1:12" x14ac:dyDescent="0.25">
      <c r="A202" s="9">
        <v>45717</v>
      </c>
      <c r="B202" t="s">
        <v>143</v>
      </c>
      <c r="C202" t="s">
        <v>144</v>
      </c>
      <c r="D202" t="s">
        <v>69</v>
      </c>
      <c r="E202" t="s">
        <v>1945</v>
      </c>
      <c r="F202" t="s">
        <v>1940</v>
      </c>
      <c r="G202" s="6">
        <v>1501</v>
      </c>
      <c r="H202" s="8">
        <v>176.6</v>
      </c>
      <c r="I202" s="7">
        <v>261.37</v>
      </c>
      <c r="J202" s="7">
        <v>134.72999999999999</v>
      </c>
      <c r="K202" s="6">
        <v>520</v>
      </c>
      <c r="L202" s="7">
        <v>916.1</v>
      </c>
    </row>
    <row r="203" spans="1:12" x14ac:dyDescent="0.25">
      <c r="A203" s="9">
        <v>45717</v>
      </c>
      <c r="B203" t="s">
        <v>143</v>
      </c>
      <c r="C203" t="s">
        <v>144</v>
      </c>
      <c r="D203" t="s">
        <v>69</v>
      </c>
      <c r="E203" t="s">
        <v>1961</v>
      </c>
      <c r="F203" t="s">
        <v>1940</v>
      </c>
      <c r="G203" s="6">
        <v>1229</v>
      </c>
      <c r="H203" s="8">
        <v>144.6</v>
      </c>
      <c r="I203" s="7">
        <v>214.01</v>
      </c>
      <c r="J203" s="7">
        <v>46.54</v>
      </c>
      <c r="K203" s="6">
        <v>380</v>
      </c>
      <c r="L203" s="7">
        <v>640.54999999999995</v>
      </c>
    </row>
    <row r="204" spans="1:12" x14ac:dyDescent="0.25">
      <c r="A204" s="9">
        <v>45717</v>
      </c>
      <c r="B204" t="s">
        <v>143</v>
      </c>
      <c r="C204" t="s">
        <v>144</v>
      </c>
      <c r="D204" t="s">
        <v>69</v>
      </c>
      <c r="E204" t="s">
        <v>1966</v>
      </c>
      <c r="F204" t="s">
        <v>1948</v>
      </c>
      <c r="G204" s="6">
        <v>810</v>
      </c>
      <c r="H204" s="8">
        <v>95.3</v>
      </c>
      <c r="I204" s="7">
        <v>141.04</v>
      </c>
      <c r="J204" s="7">
        <v>287.79000000000002</v>
      </c>
      <c r="K204" s="6">
        <v>380</v>
      </c>
      <c r="L204" s="7">
        <v>808.83</v>
      </c>
    </row>
    <row r="205" spans="1:12" x14ac:dyDescent="0.25">
      <c r="A205" s="9">
        <v>45717</v>
      </c>
      <c r="B205" t="s">
        <v>143</v>
      </c>
      <c r="C205" t="s">
        <v>144</v>
      </c>
      <c r="D205" t="s">
        <v>69</v>
      </c>
      <c r="E205" t="s">
        <v>2024</v>
      </c>
      <c r="F205" t="s">
        <v>1948</v>
      </c>
      <c r="G205" s="6">
        <v>1421</v>
      </c>
      <c r="H205" s="8">
        <v>167.2</v>
      </c>
      <c r="I205" s="7">
        <v>247.46</v>
      </c>
      <c r="J205" s="7">
        <v>278.45</v>
      </c>
      <c r="K205" s="6">
        <v>450</v>
      </c>
      <c r="L205" s="7">
        <v>975.91</v>
      </c>
    </row>
    <row r="206" spans="1:12" x14ac:dyDescent="0.25">
      <c r="A206" s="9">
        <v>45717</v>
      </c>
      <c r="B206" t="s">
        <v>73</v>
      </c>
      <c r="C206" t="s">
        <v>74</v>
      </c>
      <c r="D206" t="s">
        <v>69</v>
      </c>
      <c r="E206" t="s">
        <v>1986</v>
      </c>
      <c r="F206" t="s">
        <v>1942</v>
      </c>
      <c r="G206" s="6">
        <v>971</v>
      </c>
      <c r="H206" s="8">
        <v>92.5</v>
      </c>
      <c r="I206" s="7">
        <v>136.9</v>
      </c>
      <c r="J206" s="7">
        <v>149.94</v>
      </c>
      <c r="K206" s="6">
        <v>520</v>
      </c>
      <c r="L206" s="7">
        <v>806.84</v>
      </c>
    </row>
    <row r="207" spans="1:12" x14ac:dyDescent="0.25">
      <c r="A207" s="9">
        <v>45717</v>
      </c>
      <c r="B207" t="s">
        <v>73</v>
      </c>
      <c r="C207" t="s">
        <v>74</v>
      </c>
      <c r="D207" t="s">
        <v>69</v>
      </c>
      <c r="E207" t="s">
        <v>2019</v>
      </c>
      <c r="F207" t="s">
        <v>1940</v>
      </c>
      <c r="G207" s="6">
        <v>737</v>
      </c>
      <c r="H207" s="8">
        <v>86.7</v>
      </c>
      <c r="I207" s="7">
        <v>128.32</v>
      </c>
      <c r="J207" s="7">
        <v>198.36</v>
      </c>
      <c r="K207" s="6">
        <v>450</v>
      </c>
      <c r="L207" s="7">
        <v>776.68</v>
      </c>
    </row>
    <row r="208" spans="1:12" x14ac:dyDescent="0.25">
      <c r="A208" s="9">
        <v>45717</v>
      </c>
      <c r="B208" t="s">
        <v>73</v>
      </c>
      <c r="C208" t="s">
        <v>74</v>
      </c>
      <c r="D208" t="s">
        <v>69</v>
      </c>
      <c r="E208" t="s">
        <v>2047</v>
      </c>
      <c r="F208" t="s">
        <v>1946</v>
      </c>
      <c r="G208" s="6">
        <v>1270</v>
      </c>
      <c r="H208" s="8">
        <v>121</v>
      </c>
      <c r="I208" s="7">
        <v>179.08</v>
      </c>
      <c r="J208" s="7">
        <v>113.83</v>
      </c>
      <c r="K208" s="6">
        <v>380</v>
      </c>
      <c r="L208" s="7">
        <v>672.91</v>
      </c>
    </row>
    <row r="209" spans="1:12" x14ac:dyDescent="0.25">
      <c r="A209" s="9">
        <v>45717</v>
      </c>
      <c r="B209" t="s">
        <v>73</v>
      </c>
      <c r="C209" t="s">
        <v>74</v>
      </c>
      <c r="D209" t="s">
        <v>69</v>
      </c>
      <c r="E209" t="s">
        <v>1959</v>
      </c>
      <c r="F209" t="s">
        <v>1942</v>
      </c>
      <c r="G209" s="6">
        <v>932</v>
      </c>
      <c r="H209" s="8">
        <v>88.8</v>
      </c>
      <c r="I209" s="7">
        <v>131.41999999999999</v>
      </c>
      <c r="J209" s="7">
        <v>171.27</v>
      </c>
      <c r="K209" s="6">
        <v>380</v>
      </c>
      <c r="L209" s="7">
        <v>682.69</v>
      </c>
    </row>
    <row r="210" spans="1:12" x14ac:dyDescent="0.25">
      <c r="A210" s="9">
        <v>45717</v>
      </c>
      <c r="B210" t="s">
        <v>73</v>
      </c>
      <c r="C210" t="s">
        <v>74</v>
      </c>
      <c r="D210" t="s">
        <v>69</v>
      </c>
      <c r="E210" t="s">
        <v>2045</v>
      </c>
      <c r="F210" t="s">
        <v>1940</v>
      </c>
      <c r="G210" s="6">
        <v>940</v>
      </c>
      <c r="H210" s="8">
        <v>110.6</v>
      </c>
      <c r="I210" s="7">
        <v>163.69</v>
      </c>
      <c r="J210" s="7">
        <v>144.71</v>
      </c>
      <c r="K210" s="6">
        <v>520</v>
      </c>
      <c r="L210" s="7">
        <v>828.4</v>
      </c>
    </row>
    <row r="211" spans="1:12" x14ac:dyDescent="0.25">
      <c r="A211" s="9">
        <v>45717</v>
      </c>
      <c r="B211" t="s">
        <v>73</v>
      </c>
      <c r="C211" t="s">
        <v>74</v>
      </c>
      <c r="D211" t="s">
        <v>69</v>
      </c>
      <c r="E211" t="s">
        <v>2048</v>
      </c>
      <c r="F211" t="s">
        <v>1942</v>
      </c>
      <c r="G211" s="6">
        <v>1574</v>
      </c>
      <c r="H211" s="8">
        <v>149.9</v>
      </c>
      <c r="I211" s="7">
        <v>221.85</v>
      </c>
      <c r="J211" s="7">
        <v>130.24</v>
      </c>
      <c r="K211" s="6">
        <v>320</v>
      </c>
      <c r="L211" s="7">
        <v>672.09</v>
      </c>
    </row>
    <row r="212" spans="1:12" x14ac:dyDescent="0.25">
      <c r="A212" s="9">
        <v>45717</v>
      </c>
      <c r="B212" t="s">
        <v>73</v>
      </c>
      <c r="C212" t="s">
        <v>74</v>
      </c>
      <c r="D212" t="s">
        <v>69</v>
      </c>
      <c r="E212" t="s">
        <v>2023</v>
      </c>
      <c r="F212" t="s">
        <v>1948</v>
      </c>
      <c r="G212" s="6">
        <v>960</v>
      </c>
      <c r="H212" s="8">
        <v>112.9</v>
      </c>
      <c r="I212" s="7">
        <v>167.09</v>
      </c>
      <c r="J212" s="7">
        <v>198.2</v>
      </c>
      <c r="K212" s="6">
        <v>320</v>
      </c>
      <c r="L212" s="7">
        <v>685.29</v>
      </c>
    </row>
    <row r="213" spans="1:12" x14ac:dyDescent="0.25">
      <c r="A213" s="9">
        <v>45717</v>
      </c>
      <c r="B213" t="s">
        <v>67</v>
      </c>
      <c r="C213" t="s">
        <v>68</v>
      </c>
      <c r="D213" t="s">
        <v>69</v>
      </c>
      <c r="E213" t="s">
        <v>1975</v>
      </c>
      <c r="F213" t="s">
        <v>1942</v>
      </c>
      <c r="G213" s="6">
        <v>1236</v>
      </c>
      <c r="H213" s="8">
        <v>117.7</v>
      </c>
      <c r="I213" s="7">
        <v>174.2</v>
      </c>
      <c r="J213" s="7">
        <v>135.5</v>
      </c>
      <c r="K213" s="6">
        <v>380</v>
      </c>
      <c r="L213" s="7">
        <v>689.7</v>
      </c>
    </row>
    <row r="214" spans="1:12" x14ac:dyDescent="0.25">
      <c r="A214" s="9">
        <v>45717</v>
      </c>
      <c r="B214" t="s">
        <v>67</v>
      </c>
      <c r="C214" t="s">
        <v>68</v>
      </c>
      <c r="D214" t="s">
        <v>69</v>
      </c>
      <c r="E214" t="s">
        <v>2044</v>
      </c>
      <c r="F214" t="s">
        <v>1948</v>
      </c>
      <c r="G214" s="6">
        <v>887</v>
      </c>
      <c r="H214" s="8">
        <v>104.4</v>
      </c>
      <c r="I214" s="7">
        <v>154.51</v>
      </c>
      <c r="J214" s="7">
        <v>355.7</v>
      </c>
      <c r="K214" s="6">
        <v>320</v>
      </c>
      <c r="L214" s="7">
        <v>830.21</v>
      </c>
    </row>
    <row r="215" spans="1:12" x14ac:dyDescent="0.25">
      <c r="A215" s="9">
        <v>45717</v>
      </c>
      <c r="B215" t="s">
        <v>67</v>
      </c>
      <c r="C215" t="s">
        <v>68</v>
      </c>
      <c r="D215" t="s">
        <v>69</v>
      </c>
      <c r="E215" t="s">
        <v>1973</v>
      </c>
      <c r="F215" t="s">
        <v>1940</v>
      </c>
      <c r="G215" s="6">
        <v>1404</v>
      </c>
      <c r="H215" s="8">
        <v>165.2</v>
      </c>
      <c r="I215" s="7">
        <v>244.5</v>
      </c>
      <c r="J215" s="7">
        <v>101.97</v>
      </c>
      <c r="K215" s="6">
        <v>520</v>
      </c>
      <c r="L215" s="7">
        <v>866.47</v>
      </c>
    </row>
    <row r="216" spans="1:12" x14ac:dyDescent="0.25">
      <c r="A216" s="9">
        <v>45717</v>
      </c>
      <c r="B216" t="s">
        <v>32</v>
      </c>
      <c r="C216" t="s">
        <v>33</v>
      </c>
      <c r="D216" t="s">
        <v>34</v>
      </c>
      <c r="E216" t="s">
        <v>1971</v>
      </c>
      <c r="F216" t="s">
        <v>1940</v>
      </c>
      <c r="G216" s="6">
        <v>583</v>
      </c>
      <c r="H216" s="8">
        <v>68.599999999999994</v>
      </c>
      <c r="I216" s="7">
        <v>101.53</v>
      </c>
      <c r="J216" s="7">
        <v>230.6</v>
      </c>
      <c r="K216" s="6">
        <v>450</v>
      </c>
      <c r="L216" s="7">
        <v>782.13</v>
      </c>
    </row>
    <row r="217" spans="1:12" x14ac:dyDescent="0.25">
      <c r="A217" s="9">
        <v>45717</v>
      </c>
      <c r="B217" t="s">
        <v>32</v>
      </c>
      <c r="C217" t="s">
        <v>33</v>
      </c>
      <c r="D217" t="s">
        <v>34</v>
      </c>
      <c r="E217" t="s">
        <v>2049</v>
      </c>
      <c r="F217" t="s">
        <v>1946</v>
      </c>
      <c r="G217" s="6">
        <v>878</v>
      </c>
      <c r="H217" s="8">
        <v>83.6</v>
      </c>
      <c r="I217" s="7">
        <v>123.73</v>
      </c>
      <c r="J217" s="7">
        <v>213.25</v>
      </c>
      <c r="K217" s="6">
        <v>380</v>
      </c>
      <c r="L217" s="7">
        <v>716.98</v>
      </c>
    </row>
    <row r="218" spans="1:12" x14ac:dyDescent="0.25">
      <c r="A218" s="9">
        <v>45717</v>
      </c>
      <c r="B218" t="s">
        <v>32</v>
      </c>
      <c r="C218" t="s">
        <v>33</v>
      </c>
      <c r="D218" t="s">
        <v>34</v>
      </c>
      <c r="E218" t="s">
        <v>2032</v>
      </c>
      <c r="F218" t="s">
        <v>1946</v>
      </c>
      <c r="G218" s="6">
        <v>557</v>
      </c>
      <c r="H218" s="8">
        <v>53</v>
      </c>
      <c r="I218" s="7">
        <v>78.44</v>
      </c>
      <c r="J218" s="7">
        <v>221.41</v>
      </c>
      <c r="K218" s="6">
        <v>520</v>
      </c>
      <c r="L218" s="7">
        <v>819.85</v>
      </c>
    </row>
    <row r="219" spans="1:12" x14ac:dyDescent="0.25">
      <c r="A219" s="9">
        <v>45717</v>
      </c>
      <c r="B219" t="s">
        <v>32</v>
      </c>
      <c r="C219" t="s">
        <v>33</v>
      </c>
      <c r="D219" t="s">
        <v>34</v>
      </c>
      <c r="E219" t="s">
        <v>1954</v>
      </c>
      <c r="F219" t="s">
        <v>1946</v>
      </c>
      <c r="G219" s="6">
        <v>747</v>
      </c>
      <c r="H219" s="8">
        <v>71.099999999999994</v>
      </c>
      <c r="I219" s="7">
        <v>105.23</v>
      </c>
      <c r="J219" s="7">
        <v>208.46</v>
      </c>
      <c r="K219" s="6">
        <v>320</v>
      </c>
      <c r="L219" s="7">
        <v>633.69000000000005</v>
      </c>
    </row>
    <row r="220" spans="1:12" x14ac:dyDescent="0.25">
      <c r="A220" s="9">
        <v>45717</v>
      </c>
      <c r="B220" t="s">
        <v>94</v>
      </c>
      <c r="C220" t="s">
        <v>95</v>
      </c>
      <c r="D220" t="s">
        <v>34</v>
      </c>
      <c r="E220" t="s">
        <v>2050</v>
      </c>
      <c r="F220" t="s">
        <v>1940</v>
      </c>
      <c r="G220" s="6">
        <v>1053</v>
      </c>
      <c r="H220" s="8">
        <v>123.9</v>
      </c>
      <c r="I220" s="7">
        <v>183.37</v>
      </c>
      <c r="J220" s="7">
        <v>73.680000000000007</v>
      </c>
      <c r="K220" s="6">
        <v>320</v>
      </c>
      <c r="L220" s="7">
        <v>577.04999999999995</v>
      </c>
    </row>
    <row r="221" spans="1:12" x14ac:dyDescent="0.25">
      <c r="A221" s="9">
        <v>45717</v>
      </c>
      <c r="B221" t="s">
        <v>94</v>
      </c>
      <c r="C221" t="s">
        <v>95</v>
      </c>
      <c r="D221" t="s">
        <v>34</v>
      </c>
      <c r="E221" t="s">
        <v>2023</v>
      </c>
      <c r="F221" t="s">
        <v>1948</v>
      </c>
      <c r="G221" s="6">
        <v>948</v>
      </c>
      <c r="H221" s="8">
        <v>111.5</v>
      </c>
      <c r="I221" s="7">
        <v>165.02</v>
      </c>
      <c r="J221" s="7">
        <v>304.91000000000003</v>
      </c>
      <c r="K221" s="6">
        <v>380</v>
      </c>
      <c r="L221" s="7">
        <v>849.93</v>
      </c>
    </row>
    <row r="222" spans="1:12" x14ac:dyDescent="0.25">
      <c r="A222" s="9">
        <v>45717</v>
      </c>
      <c r="B222" t="s">
        <v>94</v>
      </c>
      <c r="C222" t="s">
        <v>95</v>
      </c>
      <c r="D222" t="s">
        <v>34</v>
      </c>
      <c r="E222" t="s">
        <v>2017</v>
      </c>
      <c r="F222" t="s">
        <v>1940</v>
      </c>
      <c r="G222" s="6">
        <v>1076</v>
      </c>
      <c r="H222" s="8">
        <v>126.6</v>
      </c>
      <c r="I222" s="7">
        <v>187.37</v>
      </c>
      <c r="J222" s="7">
        <v>196.75</v>
      </c>
      <c r="K222" s="6">
        <v>380</v>
      </c>
      <c r="L222" s="7">
        <v>764.12</v>
      </c>
    </row>
    <row r="223" spans="1:12" x14ac:dyDescent="0.25">
      <c r="A223" s="9">
        <v>45717</v>
      </c>
      <c r="B223" t="s">
        <v>94</v>
      </c>
      <c r="C223" t="s">
        <v>95</v>
      </c>
      <c r="D223" t="s">
        <v>34</v>
      </c>
      <c r="E223" t="s">
        <v>1957</v>
      </c>
      <c r="F223" t="s">
        <v>1946</v>
      </c>
      <c r="G223" s="6">
        <v>1544</v>
      </c>
      <c r="H223" s="8">
        <v>147</v>
      </c>
      <c r="I223" s="7">
        <v>217.56</v>
      </c>
      <c r="J223" s="7">
        <v>24.86</v>
      </c>
      <c r="K223" s="6">
        <v>520</v>
      </c>
      <c r="L223" s="7">
        <v>762.42</v>
      </c>
    </row>
    <row r="224" spans="1:12" x14ac:dyDescent="0.25">
      <c r="A224" s="9">
        <v>45717</v>
      </c>
      <c r="B224" t="s">
        <v>94</v>
      </c>
      <c r="C224" t="s">
        <v>95</v>
      </c>
      <c r="D224" t="s">
        <v>34</v>
      </c>
      <c r="E224" t="s">
        <v>1961</v>
      </c>
      <c r="F224" t="s">
        <v>1948</v>
      </c>
      <c r="G224" s="6">
        <v>1454</v>
      </c>
      <c r="H224" s="8">
        <v>171.1</v>
      </c>
      <c r="I224" s="7">
        <v>253.23</v>
      </c>
      <c r="J224" s="7">
        <v>258.35000000000002</v>
      </c>
      <c r="K224" s="6">
        <v>450</v>
      </c>
      <c r="L224" s="7">
        <v>961.58</v>
      </c>
    </row>
    <row r="225" spans="1:12" x14ac:dyDescent="0.25">
      <c r="A225" s="9">
        <v>45717</v>
      </c>
      <c r="B225" t="s">
        <v>94</v>
      </c>
      <c r="C225" t="s">
        <v>95</v>
      </c>
      <c r="D225" t="s">
        <v>34</v>
      </c>
      <c r="E225" t="s">
        <v>1983</v>
      </c>
      <c r="F225" t="s">
        <v>1946</v>
      </c>
      <c r="G225" s="6">
        <v>825</v>
      </c>
      <c r="H225" s="8">
        <v>78.599999999999994</v>
      </c>
      <c r="I225" s="7">
        <v>116.33</v>
      </c>
      <c r="J225" s="7">
        <v>43.57</v>
      </c>
      <c r="K225" s="6">
        <v>320</v>
      </c>
      <c r="L225" s="7">
        <v>479.9</v>
      </c>
    </row>
    <row r="226" spans="1:12" x14ac:dyDescent="0.25">
      <c r="A226" s="9">
        <v>45717</v>
      </c>
      <c r="B226" t="s">
        <v>94</v>
      </c>
      <c r="C226" t="s">
        <v>95</v>
      </c>
      <c r="D226" t="s">
        <v>34</v>
      </c>
      <c r="E226" t="s">
        <v>1950</v>
      </c>
      <c r="F226" t="s">
        <v>1940</v>
      </c>
      <c r="G226" s="6">
        <v>1002</v>
      </c>
      <c r="H226" s="8">
        <v>117.9</v>
      </c>
      <c r="I226" s="7">
        <v>174.49</v>
      </c>
      <c r="J226" s="7">
        <v>223.73</v>
      </c>
      <c r="K226" s="6">
        <v>520</v>
      </c>
      <c r="L226" s="7">
        <v>918.22</v>
      </c>
    </row>
    <row r="227" spans="1:12" x14ac:dyDescent="0.25">
      <c r="A227" s="9">
        <v>45717</v>
      </c>
      <c r="B227" t="s">
        <v>41</v>
      </c>
      <c r="C227" t="s">
        <v>42</v>
      </c>
      <c r="D227" t="s">
        <v>34</v>
      </c>
      <c r="E227" t="s">
        <v>1975</v>
      </c>
      <c r="F227" t="s">
        <v>1942</v>
      </c>
      <c r="G227" s="6">
        <v>1018</v>
      </c>
      <c r="H227" s="8">
        <v>97</v>
      </c>
      <c r="I227" s="7">
        <v>143.56</v>
      </c>
      <c r="J227" s="7">
        <v>270.89</v>
      </c>
      <c r="K227" s="6">
        <v>520</v>
      </c>
      <c r="L227" s="7">
        <v>934.45</v>
      </c>
    </row>
    <row r="228" spans="1:12" x14ac:dyDescent="0.25">
      <c r="A228" s="9">
        <v>45717</v>
      </c>
      <c r="B228" t="s">
        <v>41</v>
      </c>
      <c r="C228" t="s">
        <v>42</v>
      </c>
      <c r="D228" t="s">
        <v>34</v>
      </c>
      <c r="E228" t="s">
        <v>2033</v>
      </c>
      <c r="F228" t="s">
        <v>1946</v>
      </c>
      <c r="G228" s="6">
        <v>687</v>
      </c>
      <c r="H228" s="8">
        <v>65.400000000000006</v>
      </c>
      <c r="I228" s="7">
        <v>96.79</v>
      </c>
      <c r="J228" s="7">
        <v>149.03</v>
      </c>
      <c r="K228" s="6">
        <v>320</v>
      </c>
      <c r="L228" s="7">
        <v>565.82000000000005</v>
      </c>
    </row>
    <row r="229" spans="1:12" x14ac:dyDescent="0.25">
      <c r="A229" s="9">
        <v>45717</v>
      </c>
      <c r="B229" t="s">
        <v>41</v>
      </c>
      <c r="C229" t="s">
        <v>42</v>
      </c>
      <c r="D229" t="s">
        <v>34</v>
      </c>
      <c r="E229" t="s">
        <v>2051</v>
      </c>
      <c r="F229" t="s">
        <v>1948</v>
      </c>
      <c r="G229" s="6">
        <v>736</v>
      </c>
      <c r="H229" s="8">
        <v>86.6</v>
      </c>
      <c r="I229" s="7">
        <v>128.16999999999999</v>
      </c>
      <c r="J229" s="7">
        <v>279.08999999999997</v>
      </c>
      <c r="K229" s="6">
        <v>320</v>
      </c>
      <c r="L229" s="7">
        <v>727.26</v>
      </c>
    </row>
    <row r="230" spans="1:12" x14ac:dyDescent="0.25">
      <c r="A230" s="9">
        <v>45717</v>
      </c>
      <c r="B230" t="s">
        <v>41</v>
      </c>
      <c r="C230" t="s">
        <v>42</v>
      </c>
      <c r="D230" t="s">
        <v>34</v>
      </c>
      <c r="E230" t="s">
        <v>2014</v>
      </c>
      <c r="F230" t="s">
        <v>1946</v>
      </c>
      <c r="G230" s="6">
        <v>1271</v>
      </c>
      <c r="H230" s="8">
        <v>121</v>
      </c>
      <c r="I230" s="7">
        <v>179.08</v>
      </c>
      <c r="J230" s="7">
        <v>116.34</v>
      </c>
      <c r="K230" s="6">
        <v>450</v>
      </c>
      <c r="L230" s="7">
        <v>745.42</v>
      </c>
    </row>
    <row r="231" spans="1:12" x14ac:dyDescent="0.25">
      <c r="A231" s="9">
        <v>45717</v>
      </c>
      <c r="B231" t="s">
        <v>41</v>
      </c>
      <c r="C231" t="s">
        <v>42</v>
      </c>
      <c r="D231" t="s">
        <v>34</v>
      </c>
      <c r="E231" t="s">
        <v>1939</v>
      </c>
      <c r="F231" t="s">
        <v>1948</v>
      </c>
      <c r="G231" s="6">
        <v>398</v>
      </c>
      <c r="H231" s="8">
        <v>46.8</v>
      </c>
      <c r="I231" s="7">
        <v>69.260000000000005</v>
      </c>
      <c r="J231" s="7">
        <v>265.92</v>
      </c>
      <c r="K231" s="6">
        <v>520</v>
      </c>
      <c r="L231" s="7">
        <v>855.18</v>
      </c>
    </row>
    <row r="232" spans="1:12" x14ac:dyDescent="0.25">
      <c r="A232" s="9">
        <v>45717</v>
      </c>
      <c r="B232" t="s">
        <v>41</v>
      </c>
      <c r="C232" t="s">
        <v>42</v>
      </c>
      <c r="D232" t="s">
        <v>34</v>
      </c>
      <c r="E232" t="s">
        <v>1953</v>
      </c>
      <c r="F232" t="s">
        <v>1948</v>
      </c>
      <c r="G232" s="6">
        <v>1159</v>
      </c>
      <c r="H232" s="8">
        <v>136.4</v>
      </c>
      <c r="I232" s="7">
        <v>201.87</v>
      </c>
      <c r="J232" s="7">
        <v>282.33999999999997</v>
      </c>
      <c r="K232" s="6">
        <v>320</v>
      </c>
      <c r="L232" s="7">
        <v>804.21</v>
      </c>
    </row>
    <row r="233" spans="1:12" x14ac:dyDescent="0.25">
      <c r="A233" s="9">
        <v>45717</v>
      </c>
      <c r="B233" t="s">
        <v>47</v>
      </c>
      <c r="C233" t="s">
        <v>48</v>
      </c>
      <c r="D233" t="s">
        <v>34</v>
      </c>
      <c r="E233" t="s">
        <v>2031</v>
      </c>
      <c r="F233" t="s">
        <v>1948</v>
      </c>
      <c r="G233" s="6">
        <v>1358</v>
      </c>
      <c r="H233" s="8">
        <v>159.80000000000001</v>
      </c>
      <c r="I233" s="7">
        <v>236.5</v>
      </c>
      <c r="J233" s="7">
        <v>164.32</v>
      </c>
      <c r="K233" s="6">
        <v>520</v>
      </c>
      <c r="L233" s="7">
        <v>920.82</v>
      </c>
    </row>
    <row r="234" spans="1:12" x14ac:dyDescent="0.25">
      <c r="A234" s="9">
        <v>45717</v>
      </c>
      <c r="B234" t="s">
        <v>47</v>
      </c>
      <c r="C234" t="s">
        <v>48</v>
      </c>
      <c r="D234" t="s">
        <v>34</v>
      </c>
      <c r="E234" t="s">
        <v>1994</v>
      </c>
      <c r="F234" t="s">
        <v>1942</v>
      </c>
      <c r="G234" s="6">
        <v>1220</v>
      </c>
      <c r="H234" s="8">
        <v>116.2</v>
      </c>
      <c r="I234" s="7">
        <v>171.98</v>
      </c>
      <c r="J234" s="7">
        <v>245.4</v>
      </c>
      <c r="K234" s="6">
        <v>320</v>
      </c>
      <c r="L234" s="7">
        <v>737.38</v>
      </c>
    </row>
    <row r="235" spans="1:12" x14ac:dyDescent="0.25">
      <c r="A235" s="9">
        <v>45717</v>
      </c>
      <c r="B235" t="s">
        <v>47</v>
      </c>
      <c r="C235" t="s">
        <v>48</v>
      </c>
      <c r="D235" t="s">
        <v>34</v>
      </c>
      <c r="E235" t="s">
        <v>1988</v>
      </c>
      <c r="F235" t="s">
        <v>1940</v>
      </c>
      <c r="G235" s="6">
        <v>605</v>
      </c>
      <c r="H235" s="8">
        <v>71.2</v>
      </c>
      <c r="I235" s="7">
        <v>105.38</v>
      </c>
      <c r="J235" s="7">
        <v>175.57</v>
      </c>
      <c r="K235" s="6">
        <v>450</v>
      </c>
      <c r="L235" s="7">
        <v>730.95</v>
      </c>
    </row>
    <row r="236" spans="1:12" x14ac:dyDescent="0.25">
      <c r="A236" s="9">
        <v>45717</v>
      </c>
      <c r="B236" t="s">
        <v>47</v>
      </c>
      <c r="C236" t="s">
        <v>48</v>
      </c>
      <c r="D236" t="s">
        <v>34</v>
      </c>
      <c r="E236" t="s">
        <v>2000</v>
      </c>
      <c r="F236" t="s">
        <v>1942</v>
      </c>
      <c r="G236" s="6">
        <v>923</v>
      </c>
      <c r="H236" s="8">
        <v>87.9</v>
      </c>
      <c r="I236" s="7">
        <v>130.09</v>
      </c>
      <c r="J236" s="7">
        <v>143.47999999999999</v>
      </c>
      <c r="K236" s="6">
        <v>320</v>
      </c>
      <c r="L236" s="7">
        <v>593.57000000000005</v>
      </c>
    </row>
    <row r="237" spans="1:12" x14ac:dyDescent="0.25">
      <c r="A237" s="9">
        <v>45717</v>
      </c>
      <c r="B237" t="s">
        <v>121</v>
      </c>
      <c r="C237" t="s">
        <v>122</v>
      </c>
      <c r="D237" t="s">
        <v>34</v>
      </c>
      <c r="E237" t="s">
        <v>2052</v>
      </c>
      <c r="F237" t="s">
        <v>1946</v>
      </c>
      <c r="G237" s="6">
        <v>1136</v>
      </c>
      <c r="H237" s="8">
        <v>108.2</v>
      </c>
      <c r="I237" s="7">
        <v>160.13999999999999</v>
      </c>
      <c r="J237" s="7">
        <v>111.02</v>
      </c>
      <c r="K237" s="6">
        <v>380</v>
      </c>
      <c r="L237" s="7">
        <v>651.16</v>
      </c>
    </row>
    <row r="238" spans="1:12" x14ac:dyDescent="0.25">
      <c r="A238" s="9">
        <v>45717</v>
      </c>
      <c r="B238" t="s">
        <v>121</v>
      </c>
      <c r="C238" t="s">
        <v>122</v>
      </c>
      <c r="D238" t="s">
        <v>34</v>
      </c>
      <c r="E238" t="s">
        <v>2053</v>
      </c>
      <c r="F238" t="s">
        <v>1948</v>
      </c>
      <c r="G238" s="6">
        <v>881</v>
      </c>
      <c r="H238" s="8">
        <v>103.6</v>
      </c>
      <c r="I238" s="7">
        <v>153.33000000000001</v>
      </c>
      <c r="J238" s="7">
        <v>252.73</v>
      </c>
      <c r="K238" s="6">
        <v>320</v>
      </c>
      <c r="L238" s="7">
        <v>726.06</v>
      </c>
    </row>
    <row r="239" spans="1:12" x14ac:dyDescent="0.25">
      <c r="A239" s="9">
        <v>45717</v>
      </c>
      <c r="B239" t="s">
        <v>121</v>
      </c>
      <c r="C239" t="s">
        <v>122</v>
      </c>
      <c r="D239" t="s">
        <v>34</v>
      </c>
      <c r="E239" t="s">
        <v>1971</v>
      </c>
      <c r="F239" t="s">
        <v>1946</v>
      </c>
      <c r="G239" s="6">
        <v>778</v>
      </c>
      <c r="H239" s="8">
        <v>74.099999999999994</v>
      </c>
      <c r="I239" s="7">
        <v>109.67</v>
      </c>
      <c r="J239" s="7">
        <v>63.13</v>
      </c>
      <c r="K239" s="6">
        <v>520</v>
      </c>
      <c r="L239" s="7">
        <v>692.8</v>
      </c>
    </row>
    <row r="240" spans="1:12" x14ac:dyDescent="0.25">
      <c r="A240" s="9">
        <v>45717</v>
      </c>
      <c r="B240" t="s">
        <v>121</v>
      </c>
      <c r="C240" t="s">
        <v>122</v>
      </c>
      <c r="D240" t="s">
        <v>34</v>
      </c>
      <c r="E240" t="s">
        <v>2011</v>
      </c>
      <c r="F240" t="s">
        <v>1942</v>
      </c>
      <c r="G240" s="6">
        <v>1219</v>
      </c>
      <c r="H240" s="8">
        <v>116.1</v>
      </c>
      <c r="I240" s="7">
        <v>171.83</v>
      </c>
      <c r="J240" s="7">
        <v>58.1</v>
      </c>
      <c r="K240" s="6">
        <v>320</v>
      </c>
      <c r="L240" s="7">
        <v>549.92999999999995</v>
      </c>
    </row>
    <row r="241" spans="1:12" x14ac:dyDescent="0.25">
      <c r="A241" s="9">
        <v>45717</v>
      </c>
      <c r="B241" t="s">
        <v>121</v>
      </c>
      <c r="C241" t="s">
        <v>122</v>
      </c>
      <c r="D241" t="s">
        <v>34</v>
      </c>
      <c r="E241" t="s">
        <v>2054</v>
      </c>
      <c r="F241" t="s">
        <v>1948</v>
      </c>
      <c r="G241" s="6">
        <v>1216</v>
      </c>
      <c r="H241" s="8">
        <v>143.1</v>
      </c>
      <c r="I241" s="7">
        <v>211.79</v>
      </c>
      <c r="J241" s="7">
        <v>287.01</v>
      </c>
      <c r="K241" s="6">
        <v>320</v>
      </c>
      <c r="L241" s="7">
        <v>818.8</v>
      </c>
    </row>
    <row r="242" spans="1:12" x14ac:dyDescent="0.25">
      <c r="A242" s="9">
        <v>45717</v>
      </c>
      <c r="B242" t="s">
        <v>201</v>
      </c>
      <c r="C242" t="s">
        <v>202</v>
      </c>
      <c r="D242" t="s">
        <v>64</v>
      </c>
      <c r="E242" t="s">
        <v>2033</v>
      </c>
      <c r="F242" t="s">
        <v>1942</v>
      </c>
      <c r="G242" s="6">
        <v>618</v>
      </c>
      <c r="H242" s="8">
        <v>58.9</v>
      </c>
      <c r="I242" s="7">
        <v>87.17</v>
      </c>
      <c r="J242" s="7">
        <v>95.79</v>
      </c>
      <c r="K242" s="6">
        <v>520</v>
      </c>
      <c r="L242" s="7">
        <v>702.96</v>
      </c>
    </row>
    <row r="243" spans="1:12" x14ac:dyDescent="0.25">
      <c r="A243" s="9">
        <v>45717</v>
      </c>
      <c r="B243" t="s">
        <v>201</v>
      </c>
      <c r="C243" t="s">
        <v>202</v>
      </c>
      <c r="D243" t="s">
        <v>64</v>
      </c>
      <c r="E243" t="s">
        <v>2001</v>
      </c>
      <c r="F243" t="s">
        <v>1946</v>
      </c>
      <c r="G243" s="6">
        <v>1348</v>
      </c>
      <c r="H243" s="8">
        <v>128.4</v>
      </c>
      <c r="I243" s="7">
        <v>190.03</v>
      </c>
      <c r="J243" s="7">
        <v>71.510000000000005</v>
      </c>
      <c r="K243" s="6">
        <v>450</v>
      </c>
      <c r="L243" s="7">
        <v>711.54</v>
      </c>
    </row>
    <row r="244" spans="1:12" x14ac:dyDescent="0.25">
      <c r="A244" s="9">
        <v>45717</v>
      </c>
      <c r="B244" t="s">
        <v>201</v>
      </c>
      <c r="C244" t="s">
        <v>202</v>
      </c>
      <c r="D244" t="s">
        <v>64</v>
      </c>
      <c r="E244" t="s">
        <v>1985</v>
      </c>
      <c r="F244" t="s">
        <v>1940</v>
      </c>
      <c r="G244" s="6">
        <v>933</v>
      </c>
      <c r="H244" s="8">
        <v>109.8</v>
      </c>
      <c r="I244" s="7">
        <v>162.5</v>
      </c>
      <c r="J244" s="7">
        <v>186.96</v>
      </c>
      <c r="K244" s="6">
        <v>520</v>
      </c>
      <c r="L244" s="7">
        <v>869.46</v>
      </c>
    </row>
    <row r="245" spans="1:12" x14ac:dyDescent="0.25">
      <c r="A245" s="9">
        <v>45717</v>
      </c>
      <c r="B245" t="s">
        <v>201</v>
      </c>
      <c r="C245" t="s">
        <v>202</v>
      </c>
      <c r="D245" t="s">
        <v>64</v>
      </c>
      <c r="E245" t="s">
        <v>1998</v>
      </c>
      <c r="F245" t="s">
        <v>1948</v>
      </c>
      <c r="G245" s="6">
        <v>1245</v>
      </c>
      <c r="H245" s="8">
        <v>146.5</v>
      </c>
      <c r="I245" s="7">
        <v>216.82</v>
      </c>
      <c r="J245" s="7">
        <v>229.88</v>
      </c>
      <c r="K245" s="6">
        <v>380</v>
      </c>
      <c r="L245" s="7">
        <v>826.7</v>
      </c>
    </row>
    <row r="246" spans="1:12" x14ac:dyDescent="0.25">
      <c r="A246" s="9">
        <v>45717</v>
      </c>
      <c r="B246" t="s">
        <v>201</v>
      </c>
      <c r="C246" t="s">
        <v>202</v>
      </c>
      <c r="D246" t="s">
        <v>64</v>
      </c>
      <c r="E246" t="s">
        <v>2055</v>
      </c>
      <c r="F246" t="s">
        <v>1942</v>
      </c>
      <c r="G246" s="6">
        <v>900</v>
      </c>
      <c r="H246" s="8">
        <v>85.7</v>
      </c>
      <c r="I246" s="7">
        <v>126.84</v>
      </c>
      <c r="J246" s="7">
        <v>263.79000000000002</v>
      </c>
      <c r="K246" s="6">
        <v>320</v>
      </c>
      <c r="L246" s="7">
        <v>710.63</v>
      </c>
    </row>
    <row r="247" spans="1:12" x14ac:dyDescent="0.25">
      <c r="A247" s="9">
        <v>45717</v>
      </c>
      <c r="B247" t="s">
        <v>201</v>
      </c>
      <c r="C247" t="s">
        <v>202</v>
      </c>
      <c r="D247" t="s">
        <v>64</v>
      </c>
      <c r="E247" t="s">
        <v>1967</v>
      </c>
      <c r="F247" t="s">
        <v>1942</v>
      </c>
      <c r="G247" s="6">
        <v>1484</v>
      </c>
      <c r="H247" s="8">
        <v>141.30000000000001</v>
      </c>
      <c r="I247" s="7">
        <v>209.12</v>
      </c>
      <c r="J247" s="7">
        <v>228.31</v>
      </c>
      <c r="K247" s="6">
        <v>380</v>
      </c>
      <c r="L247" s="7">
        <v>817.43</v>
      </c>
    </row>
    <row r="248" spans="1:12" x14ac:dyDescent="0.25">
      <c r="A248" s="9">
        <v>45717</v>
      </c>
      <c r="B248" t="s">
        <v>118</v>
      </c>
      <c r="C248" t="s">
        <v>119</v>
      </c>
      <c r="D248" t="s">
        <v>64</v>
      </c>
      <c r="E248" t="s">
        <v>1997</v>
      </c>
      <c r="F248" t="s">
        <v>1940</v>
      </c>
      <c r="G248" s="6">
        <v>1071</v>
      </c>
      <c r="H248" s="8">
        <v>126</v>
      </c>
      <c r="I248" s="7">
        <v>186.48</v>
      </c>
      <c r="J248" s="7">
        <v>85.34</v>
      </c>
      <c r="K248" s="6">
        <v>520</v>
      </c>
      <c r="L248" s="7">
        <v>791.82</v>
      </c>
    </row>
    <row r="249" spans="1:12" x14ac:dyDescent="0.25">
      <c r="A249" s="9">
        <v>45717</v>
      </c>
      <c r="B249" t="s">
        <v>118</v>
      </c>
      <c r="C249" t="s">
        <v>119</v>
      </c>
      <c r="D249" t="s">
        <v>64</v>
      </c>
      <c r="E249" t="s">
        <v>2007</v>
      </c>
      <c r="F249" t="s">
        <v>1946</v>
      </c>
      <c r="G249" s="6">
        <v>842</v>
      </c>
      <c r="H249" s="8">
        <v>80.2</v>
      </c>
      <c r="I249" s="7">
        <v>118.7</v>
      </c>
      <c r="J249" s="7">
        <v>191.8</v>
      </c>
      <c r="K249" s="6">
        <v>320</v>
      </c>
      <c r="L249" s="7">
        <v>630.5</v>
      </c>
    </row>
    <row r="250" spans="1:12" x14ac:dyDescent="0.25">
      <c r="A250" s="9">
        <v>45717</v>
      </c>
      <c r="B250" t="s">
        <v>118</v>
      </c>
      <c r="C250" t="s">
        <v>119</v>
      </c>
      <c r="D250" t="s">
        <v>64</v>
      </c>
      <c r="E250" t="s">
        <v>2003</v>
      </c>
      <c r="F250" t="s">
        <v>1940</v>
      </c>
      <c r="G250" s="6">
        <v>1154</v>
      </c>
      <c r="H250" s="8">
        <v>135.80000000000001</v>
      </c>
      <c r="I250" s="7">
        <v>200.98</v>
      </c>
      <c r="J250" s="7">
        <v>262.13</v>
      </c>
      <c r="K250" s="6">
        <v>320</v>
      </c>
      <c r="L250" s="7">
        <v>783.11</v>
      </c>
    </row>
    <row r="251" spans="1:12" x14ac:dyDescent="0.25">
      <c r="A251" s="9">
        <v>45717</v>
      </c>
      <c r="B251" t="s">
        <v>118</v>
      </c>
      <c r="C251" t="s">
        <v>119</v>
      </c>
      <c r="D251" t="s">
        <v>64</v>
      </c>
      <c r="E251" t="s">
        <v>2012</v>
      </c>
      <c r="F251" t="s">
        <v>1948</v>
      </c>
      <c r="G251" s="6">
        <v>1212</v>
      </c>
      <c r="H251" s="8">
        <v>142.6</v>
      </c>
      <c r="I251" s="7">
        <v>211.05</v>
      </c>
      <c r="J251" s="7">
        <v>129.75</v>
      </c>
      <c r="K251" s="6">
        <v>450</v>
      </c>
      <c r="L251" s="7">
        <v>790.8</v>
      </c>
    </row>
    <row r="252" spans="1:12" x14ac:dyDescent="0.25">
      <c r="A252" s="9">
        <v>45717</v>
      </c>
      <c r="B252" t="s">
        <v>118</v>
      </c>
      <c r="C252" t="s">
        <v>119</v>
      </c>
      <c r="D252" t="s">
        <v>64</v>
      </c>
      <c r="E252" t="s">
        <v>2056</v>
      </c>
      <c r="F252" t="s">
        <v>1946</v>
      </c>
      <c r="G252" s="6">
        <v>1312</v>
      </c>
      <c r="H252" s="8">
        <v>125</v>
      </c>
      <c r="I252" s="7">
        <v>185</v>
      </c>
      <c r="J252" s="7">
        <v>70.16</v>
      </c>
      <c r="K252" s="6">
        <v>450</v>
      </c>
      <c r="L252" s="7">
        <v>705.16</v>
      </c>
    </row>
    <row r="253" spans="1:12" x14ac:dyDescent="0.25">
      <c r="A253" s="9">
        <v>45717</v>
      </c>
      <c r="B253" t="s">
        <v>118</v>
      </c>
      <c r="C253" t="s">
        <v>119</v>
      </c>
      <c r="D253" t="s">
        <v>64</v>
      </c>
      <c r="E253" t="s">
        <v>2037</v>
      </c>
      <c r="F253" t="s">
        <v>1940</v>
      </c>
      <c r="G253" s="6">
        <v>954</v>
      </c>
      <c r="H253" s="8">
        <v>112.2</v>
      </c>
      <c r="I253" s="7">
        <v>166.06</v>
      </c>
      <c r="J253" s="7">
        <v>170.02</v>
      </c>
      <c r="K253" s="6">
        <v>320</v>
      </c>
      <c r="L253" s="7">
        <v>656.08</v>
      </c>
    </row>
    <row r="254" spans="1:12" x14ac:dyDescent="0.25">
      <c r="A254" s="9">
        <v>45717</v>
      </c>
      <c r="B254" t="s">
        <v>118</v>
      </c>
      <c r="C254" t="s">
        <v>119</v>
      </c>
      <c r="D254" t="s">
        <v>64</v>
      </c>
      <c r="E254" t="s">
        <v>2051</v>
      </c>
      <c r="F254" t="s">
        <v>1946</v>
      </c>
      <c r="G254" s="6">
        <v>1548</v>
      </c>
      <c r="H254" s="8">
        <v>147.4</v>
      </c>
      <c r="I254" s="7">
        <v>218.15</v>
      </c>
      <c r="J254" s="7">
        <v>398.79</v>
      </c>
      <c r="K254" s="6">
        <v>380</v>
      </c>
      <c r="L254" s="7">
        <v>996.94</v>
      </c>
    </row>
    <row r="255" spans="1:12" x14ac:dyDescent="0.25">
      <c r="A255" s="9">
        <v>45717</v>
      </c>
      <c r="B255" t="s">
        <v>62</v>
      </c>
      <c r="C255" t="s">
        <v>63</v>
      </c>
      <c r="D255" t="s">
        <v>64</v>
      </c>
      <c r="E255" t="s">
        <v>2021</v>
      </c>
      <c r="F255" t="s">
        <v>1942</v>
      </c>
      <c r="G255" s="6">
        <v>1201</v>
      </c>
      <c r="H255" s="8">
        <v>114.4</v>
      </c>
      <c r="I255" s="7">
        <v>169.31</v>
      </c>
      <c r="J255" s="7">
        <v>135.34</v>
      </c>
      <c r="K255" s="6">
        <v>320</v>
      </c>
      <c r="L255" s="7">
        <v>624.65</v>
      </c>
    </row>
    <row r="256" spans="1:12" x14ac:dyDescent="0.25">
      <c r="A256" s="9">
        <v>45717</v>
      </c>
      <c r="B256" t="s">
        <v>62</v>
      </c>
      <c r="C256" t="s">
        <v>63</v>
      </c>
      <c r="D256" t="s">
        <v>64</v>
      </c>
      <c r="E256" t="s">
        <v>2057</v>
      </c>
      <c r="F256" t="s">
        <v>1946</v>
      </c>
      <c r="G256" s="6">
        <v>1183</v>
      </c>
      <c r="H256" s="8">
        <v>112.7</v>
      </c>
      <c r="I256" s="7">
        <v>166.8</v>
      </c>
      <c r="J256" s="7">
        <v>221.01</v>
      </c>
      <c r="K256" s="6">
        <v>320</v>
      </c>
      <c r="L256" s="7">
        <v>707.81</v>
      </c>
    </row>
    <row r="257" spans="1:12" x14ac:dyDescent="0.25">
      <c r="A257" s="9">
        <v>45717</v>
      </c>
      <c r="B257" t="s">
        <v>62</v>
      </c>
      <c r="C257" t="s">
        <v>63</v>
      </c>
      <c r="D257" t="s">
        <v>64</v>
      </c>
      <c r="E257" t="s">
        <v>2058</v>
      </c>
      <c r="F257" t="s">
        <v>1942</v>
      </c>
      <c r="G257" s="6">
        <v>969</v>
      </c>
      <c r="H257" s="8">
        <v>92.3</v>
      </c>
      <c r="I257" s="7">
        <v>136.6</v>
      </c>
      <c r="J257" s="7">
        <v>293.62</v>
      </c>
      <c r="K257" s="6">
        <v>320</v>
      </c>
      <c r="L257" s="7">
        <v>750.22</v>
      </c>
    </row>
    <row r="258" spans="1:12" x14ac:dyDescent="0.25">
      <c r="A258" s="9">
        <v>45717</v>
      </c>
      <c r="B258" t="s">
        <v>91</v>
      </c>
      <c r="C258" t="s">
        <v>92</v>
      </c>
      <c r="D258" t="s">
        <v>64</v>
      </c>
      <c r="E258" t="s">
        <v>2013</v>
      </c>
      <c r="F258" t="s">
        <v>1948</v>
      </c>
      <c r="G258" s="6">
        <v>1107</v>
      </c>
      <c r="H258" s="8">
        <v>130.19999999999999</v>
      </c>
      <c r="I258" s="7">
        <v>192.7</v>
      </c>
      <c r="J258" s="7">
        <v>289.82</v>
      </c>
      <c r="K258" s="6">
        <v>450</v>
      </c>
      <c r="L258" s="7">
        <v>932.52</v>
      </c>
    </row>
    <row r="259" spans="1:12" x14ac:dyDescent="0.25">
      <c r="A259" s="9">
        <v>45717</v>
      </c>
      <c r="B259" t="s">
        <v>91</v>
      </c>
      <c r="C259" t="s">
        <v>92</v>
      </c>
      <c r="D259" t="s">
        <v>64</v>
      </c>
      <c r="E259" t="s">
        <v>2036</v>
      </c>
      <c r="F259" t="s">
        <v>1946</v>
      </c>
      <c r="G259" s="6">
        <v>1216</v>
      </c>
      <c r="H259" s="8">
        <v>115.8</v>
      </c>
      <c r="I259" s="7">
        <v>171.38</v>
      </c>
      <c r="J259" s="7">
        <v>183.73</v>
      </c>
      <c r="K259" s="6">
        <v>450</v>
      </c>
      <c r="L259" s="7">
        <v>805.11</v>
      </c>
    </row>
    <row r="260" spans="1:12" x14ac:dyDescent="0.25">
      <c r="A260" s="9">
        <v>45717</v>
      </c>
      <c r="B260" t="s">
        <v>91</v>
      </c>
      <c r="C260" t="s">
        <v>92</v>
      </c>
      <c r="D260" t="s">
        <v>64</v>
      </c>
      <c r="E260" t="s">
        <v>1978</v>
      </c>
      <c r="F260" t="s">
        <v>1946</v>
      </c>
      <c r="G260" s="6">
        <v>1259</v>
      </c>
      <c r="H260" s="8">
        <v>119.9</v>
      </c>
      <c r="I260" s="7">
        <v>177.45</v>
      </c>
      <c r="J260" s="7">
        <v>100.62</v>
      </c>
      <c r="K260" s="6">
        <v>520</v>
      </c>
      <c r="L260" s="7">
        <v>798.07</v>
      </c>
    </row>
    <row r="261" spans="1:12" x14ac:dyDescent="0.25">
      <c r="A261" s="9">
        <v>45717</v>
      </c>
      <c r="B261" t="s">
        <v>91</v>
      </c>
      <c r="C261" t="s">
        <v>92</v>
      </c>
      <c r="D261" t="s">
        <v>64</v>
      </c>
      <c r="E261" t="s">
        <v>2047</v>
      </c>
      <c r="F261" t="s">
        <v>1940</v>
      </c>
      <c r="G261" s="6">
        <v>910</v>
      </c>
      <c r="H261" s="8">
        <v>107.1</v>
      </c>
      <c r="I261" s="7">
        <v>158.51</v>
      </c>
      <c r="J261" s="7">
        <v>61.99</v>
      </c>
      <c r="K261" s="6">
        <v>320</v>
      </c>
      <c r="L261" s="7">
        <v>540.5</v>
      </c>
    </row>
    <row r="262" spans="1:12" x14ac:dyDescent="0.25">
      <c r="A262" s="9">
        <v>45717</v>
      </c>
      <c r="B262" t="s">
        <v>80</v>
      </c>
      <c r="C262" t="s">
        <v>81</v>
      </c>
      <c r="D262" t="s">
        <v>64</v>
      </c>
      <c r="E262" t="s">
        <v>1994</v>
      </c>
      <c r="F262" t="s">
        <v>1946</v>
      </c>
      <c r="G262" s="6">
        <v>1159</v>
      </c>
      <c r="H262" s="8">
        <v>110.4</v>
      </c>
      <c r="I262" s="7">
        <v>163.38999999999999</v>
      </c>
      <c r="J262" s="7">
        <v>212.31</v>
      </c>
      <c r="K262" s="6">
        <v>520</v>
      </c>
      <c r="L262" s="7">
        <v>895.7</v>
      </c>
    </row>
    <row r="263" spans="1:12" x14ac:dyDescent="0.25">
      <c r="A263" s="9">
        <v>45717</v>
      </c>
      <c r="B263" t="s">
        <v>80</v>
      </c>
      <c r="C263" t="s">
        <v>81</v>
      </c>
      <c r="D263" t="s">
        <v>64</v>
      </c>
      <c r="E263" t="s">
        <v>2032</v>
      </c>
      <c r="F263" t="s">
        <v>1948</v>
      </c>
      <c r="G263" s="6">
        <v>1164</v>
      </c>
      <c r="H263" s="8">
        <v>136.9</v>
      </c>
      <c r="I263" s="7">
        <v>202.61</v>
      </c>
      <c r="J263" s="7">
        <v>383.96</v>
      </c>
      <c r="K263" s="6">
        <v>380</v>
      </c>
      <c r="L263" s="7">
        <v>966.57</v>
      </c>
    </row>
    <row r="264" spans="1:12" x14ac:dyDescent="0.25">
      <c r="A264" s="9">
        <v>45717</v>
      </c>
      <c r="B264" t="s">
        <v>80</v>
      </c>
      <c r="C264" t="s">
        <v>81</v>
      </c>
      <c r="D264" t="s">
        <v>64</v>
      </c>
      <c r="E264" t="s">
        <v>2028</v>
      </c>
      <c r="F264" t="s">
        <v>1940</v>
      </c>
      <c r="G264" s="6">
        <v>1048</v>
      </c>
      <c r="H264" s="8">
        <v>123.3</v>
      </c>
      <c r="I264" s="7">
        <v>182.48</v>
      </c>
      <c r="J264" s="7">
        <v>203.5</v>
      </c>
      <c r="K264" s="6">
        <v>450</v>
      </c>
      <c r="L264" s="7">
        <v>835.98</v>
      </c>
    </row>
    <row r="265" spans="1:12" x14ac:dyDescent="0.25">
      <c r="A265" s="9">
        <v>45717</v>
      </c>
      <c r="B265" t="s">
        <v>56</v>
      </c>
      <c r="C265" t="s">
        <v>57</v>
      </c>
      <c r="D265" t="s">
        <v>58</v>
      </c>
      <c r="E265" t="s">
        <v>2034</v>
      </c>
      <c r="F265" t="s">
        <v>1942</v>
      </c>
      <c r="G265" s="6">
        <v>777</v>
      </c>
      <c r="H265" s="8">
        <v>74</v>
      </c>
      <c r="I265" s="7">
        <v>109.52</v>
      </c>
      <c r="J265" s="7">
        <v>119.03</v>
      </c>
      <c r="K265" s="6">
        <v>320</v>
      </c>
      <c r="L265" s="7">
        <v>548.54999999999995</v>
      </c>
    </row>
    <row r="266" spans="1:12" x14ac:dyDescent="0.25">
      <c r="A266" s="9">
        <v>45717</v>
      </c>
      <c r="B266" t="s">
        <v>56</v>
      </c>
      <c r="C266" t="s">
        <v>57</v>
      </c>
      <c r="D266" t="s">
        <v>58</v>
      </c>
      <c r="E266" t="s">
        <v>1944</v>
      </c>
      <c r="F266" t="s">
        <v>1948</v>
      </c>
      <c r="G266" s="6">
        <v>1223</v>
      </c>
      <c r="H266" s="8">
        <v>143.9</v>
      </c>
      <c r="I266" s="7">
        <v>212.97</v>
      </c>
      <c r="J266" s="7">
        <v>317.93</v>
      </c>
      <c r="K266" s="6">
        <v>520</v>
      </c>
      <c r="L266" s="7">
        <v>1050.9000000000001</v>
      </c>
    </row>
    <row r="267" spans="1:12" x14ac:dyDescent="0.25">
      <c r="A267" s="9">
        <v>45717</v>
      </c>
      <c r="B267" t="s">
        <v>56</v>
      </c>
      <c r="C267" t="s">
        <v>57</v>
      </c>
      <c r="D267" t="s">
        <v>58</v>
      </c>
      <c r="E267" t="s">
        <v>1980</v>
      </c>
      <c r="F267" t="s">
        <v>1940</v>
      </c>
      <c r="G267" s="6">
        <v>976</v>
      </c>
      <c r="H267" s="8">
        <v>114.8</v>
      </c>
      <c r="I267" s="7">
        <v>169.9</v>
      </c>
      <c r="J267" s="7">
        <v>144.27000000000001</v>
      </c>
      <c r="K267" s="6">
        <v>450</v>
      </c>
      <c r="L267" s="7">
        <v>764.17</v>
      </c>
    </row>
    <row r="268" spans="1:12" x14ac:dyDescent="0.25">
      <c r="A268" s="9">
        <v>45717</v>
      </c>
      <c r="B268" t="s">
        <v>56</v>
      </c>
      <c r="C268" t="s">
        <v>57</v>
      </c>
      <c r="D268" t="s">
        <v>58</v>
      </c>
      <c r="E268" t="s">
        <v>2016</v>
      </c>
      <c r="F268" t="s">
        <v>1942</v>
      </c>
      <c r="G268" s="6">
        <v>670</v>
      </c>
      <c r="H268" s="8">
        <v>63.8</v>
      </c>
      <c r="I268" s="7">
        <v>94.42</v>
      </c>
      <c r="J268" s="7">
        <v>121.44</v>
      </c>
      <c r="K268" s="6">
        <v>380</v>
      </c>
      <c r="L268" s="7">
        <v>595.86</v>
      </c>
    </row>
    <row r="269" spans="1:12" x14ac:dyDescent="0.25">
      <c r="A269" s="9">
        <v>45717</v>
      </c>
      <c r="B269" t="s">
        <v>56</v>
      </c>
      <c r="C269" t="s">
        <v>57</v>
      </c>
      <c r="D269" t="s">
        <v>58</v>
      </c>
      <c r="E269" t="s">
        <v>2059</v>
      </c>
      <c r="F269" t="s">
        <v>1946</v>
      </c>
      <c r="G269" s="6">
        <v>1272</v>
      </c>
      <c r="H269" s="8">
        <v>121.1</v>
      </c>
      <c r="I269" s="7">
        <v>179.23</v>
      </c>
      <c r="J269" s="7">
        <v>196.02</v>
      </c>
      <c r="K269" s="6">
        <v>380</v>
      </c>
      <c r="L269" s="7">
        <v>755.25</v>
      </c>
    </row>
    <row r="270" spans="1:12" x14ac:dyDescent="0.25">
      <c r="A270" s="9">
        <v>45717</v>
      </c>
      <c r="B270" t="s">
        <v>77</v>
      </c>
      <c r="C270" t="s">
        <v>78</v>
      </c>
      <c r="D270" t="s">
        <v>58</v>
      </c>
      <c r="E270" t="s">
        <v>1951</v>
      </c>
      <c r="F270" t="s">
        <v>1946</v>
      </c>
      <c r="G270" s="6">
        <v>1175</v>
      </c>
      <c r="H270" s="8">
        <v>111.9</v>
      </c>
      <c r="I270" s="7">
        <v>165.61</v>
      </c>
      <c r="J270" s="7">
        <v>153.97999999999999</v>
      </c>
      <c r="K270" s="6">
        <v>520</v>
      </c>
      <c r="L270" s="7">
        <v>839.59</v>
      </c>
    </row>
    <row r="271" spans="1:12" x14ac:dyDescent="0.25">
      <c r="A271" s="9">
        <v>45717</v>
      </c>
      <c r="B271" t="s">
        <v>77</v>
      </c>
      <c r="C271" t="s">
        <v>78</v>
      </c>
      <c r="D271" t="s">
        <v>58</v>
      </c>
      <c r="E271" t="s">
        <v>1947</v>
      </c>
      <c r="F271" t="s">
        <v>1940</v>
      </c>
      <c r="G271" s="6">
        <v>1051</v>
      </c>
      <c r="H271" s="8">
        <v>123.6</v>
      </c>
      <c r="I271" s="7">
        <v>182.93</v>
      </c>
      <c r="J271" s="7">
        <v>97.17</v>
      </c>
      <c r="K271" s="6">
        <v>320</v>
      </c>
      <c r="L271" s="7">
        <v>600.1</v>
      </c>
    </row>
    <row r="272" spans="1:12" x14ac:dyDescent="0.25">
      <c r="A272" s="9">
        <v>45717</v>
      </c>
      <c r="B272" t="s">
        <v>77</v>
      </c>
      <c r="C272" t="s">
        <v>78</v>
      </c>
      <c r="D272" t="s">
        <v>58</v>
      </c>
      <c r="E272" t="s">
        <v>1973</v>
      </c>
      <c r="F272" t="s">
        <v>1942</v>
      </c>
      <c r="G272" s="6">
        <v>1224</v>
      </c>
      <c r="H272" s="8">
        <v>116.6</v>
      </c>
      <c r="I272" s="7">
        <v>172.57</v>
      </c>
      <c r="J272" s="7">
        <v>183.68</v>
      </c>
      <c r="K272" s="6">
        <v>520</v>
      </c>
      <c r="L272" s="7">
        <v>876.25</v>
      </c>
    </row>
    <row r="273" spans="1:12" x14ac:dyDescent="0.25">
      <c r="A273" s="9">
        <v>45717</v>
      </c>
      <c r="B273" t="s">
        <v>77</v>
      </c>
      <c r="C273" t="s">
        <v>78</v>
      </c>
      <c r="D273" t="s">
        <v>58</v>
      </c>
      <c r="E273" t="s">
        <v>2025</v>
      </c>
      <c r="F273" t="s">
        <v>1942</v>
      </c>
      <c r="G273" s="6">
        <v>1173</v>
      </c>
      <c r="H273" s="8">
        <v>111.7</v>
      </c>
      <c r="I273" s="7">
        <v>165.32</v>
      </c>
      <c r="J273" s="7">
        <v>107.92</v>
      </c>
      <c r="K273" s="6">
        <v>450</v>
      </c>
      <c r="L273" s="7">
        <v>723.24</v>
      </c>
    </row>
    <row r="274" spans="1:12" x14ac:dyDescent="0.25">
      <c r="A274" s="9">
        <v>45717</v>
      </c>
      <c r="B274" t="s">
        <v>77</v>
      </c>
      <c r="C274" t="s">
        <v>78</v>
      </c>
      <c r="D274" t="s">
        <v>58</v>
      </c>
      <c r="E274" t="s">
        <v>1987</v>
      </c>
      <c r="F274" t="s">
        <v>1948</v>
      </c>
      <c r="G274" s="6">
        <v>511</v>
      </c>
      <c r="H274" s="8">
        <v>60.1</v>
      </c>
      <c r="I274" s="7">
        <v>88.95</v>
      </c>
      <c r="J274" s="7">
        <v>337.77</v>
      </c>
      <c r="K274" s="6">
        <v>520</v>
      </c>
      <c r="L274" s="7">
        <v>946.72</v>
      </c>
    </row>
    <row r="275" spans="1:12" x14ac:dyDescent="0.25">
      <c r="A275" s="9">
        <v>45717</v>
      </c>
      <c r="B275" t="s">
        <v>110</v>
      </c>
      <c r="C275" t="s">
        <v>111</v>
      </c>
      <c r="D275" t="s">
        <v>58</v>
      </c>
      <c r="E275" t="s">
        <v>2039</v>
      </c>
      <c r="F275" t="s">
        <v>1942</v>
      </c>
      <c r="G275" s="6">
        <v>930</v>
      </c>
      <c r="H275" s="8">
        <v>88.6</v>
      </c>
      <c r="I275" s="7">
        <v>131.13</v>
      </c>
      <c r="J275" s="7">
        <v>80.98</v>
      </c>
      <c r="K275" s="6">
        <v>520</v>
      </c>
      <c r="L275" s="7">
        <v>732.11</v>
      </c>
    </row>
    <row r="276" spans="1:12" x14ac:dyDescent="0.25">
      <c r="A276" s="9">
        <v>45717</v>
      </c>
      <c r="B276" t="s">
        <v>110</v>
      </c>
      <c r="C276" t="s">
        <v>111</v>
      </c>
      <c r="D276" t="s">
        <v>58</v>
      </c>
      <c r="E276" t="s">
        <v>2054</v>
      </c>
      <c r="F276" t="s">
        <v>1940</v>
      </c>
      <c r="G276" s="6">
        <v>1223</v>
      </c>
      <c r="H276" s="8">
        <v>143.9</v>
      </c>
      <c r="I276" s="7">
        <v>212.97</v>
      </c>
      <c r="J276" s="7">
        <v>118.64</v>
      </c>
      <c r="K276" s="6">
        <v>520</v>
      </c>
      <c r="L276" s="7">
        <v>851.61</v>
      </c>
    </row>
    <row r="277" spans="1:12" x14ac:dyDescent="0.25">
      <c r="A277" s="9">
        <v>45717</v>
      </c>
      <c r="B277" t="s">
        <v>110</v>
      </c>
      <c r="C277" t="s">
        <v>111</v>
      </c>
      <c r="D277" t="s">
        <v>58</v>
      </c>
      <c r="E277" t="s">
        <v>1966</v>
      </c>
      <c r="F277" t="s">
        <v>1942</v>
      </c>
      <c r="G277" s="6">
        <v>1314</v>
      </c>
      <c r="H277" s="8">
        <v>125.1</v>
      </c>
      <c r="I277" s="7">
        <v>185.15</v>
      </c>
      <c r="J277" s="7">
        <v>199.36</v>
      </c>
      <c r="K277" s="6">
        <v>380</v>
      </c>
      <c r="L277" s="7">
        <v>764.51</v>
      </c>
    </row>
    <row r="278" spans="1:12" x14ac:dyDescent="0.25">
      <c r="A278" s="9">
        <v>45717</v>
      </c>
      <c r="B278" t="s">
        <v>110</v>
      </c>
      <c r="C278" t="s">
        <v>111</v>
      </c>
      <c r="D278" t="s">
        <v>58</v>
      </c>
      <c r="E278" t="s">
        <v>1969</v>
      </c>
      <c r="F278" t="s">
        <v>1946</v>
      </c>
      <c r="G278" s="6">
        <v>1220</v>
      </c>
      <c r="H278" s="8">
        <v>116.2</v>
      </c>
      <c r="I278" s="7">
        <v>171.98</v>
      </c>
      <c r="J278" s="7">
        <v>40.72</v>
      </c>
      <c r="K278" s="6">
        <v>520</v>
      </c>
      <c r="L278" s="7">
        <v>732.7</v>
      </c>
    </row>
    <row r="279" spans="1:12" x14ac:dyDescent="0.25">
      <c r="A279" s="9">
        <v>45717</v>
      </c>
      <c r="B279" t="s">
        <v>110</v>
      </c>
      <c r="C279" t="s">
        <v>111</v>
      </c>
      <c r="D279" t="s">
        <v>58</v>
      </c>
      <c r="E279" t="s">
        <v>1991</v>
      </c>
      <c r="F279" t="s">
        <v>1946</v>
      </c>
      <c r="G279" s="6">
        <v>1352</v>
      </c>
      <c r="H279" s="8">
        <v>128.80000000000001</v>
      </c>
      <c r="I279" s="7">
        <v>190.62</v>
      </c>
      <c r="J279" s="7">
        <v>170.9</v>
      </c>
      <c r="K279" s="6">
        <v>520</v>
      </c>
      <c r="L279" s="7">
        <v>881.52</v>
      </c>
    </row>
    <row r="280" spans="1:12" x14ac:dyDescent="0.25">
      <c r="A280" s="9">
        <v>45717</v>
      </c>
      <c r="B280" t="s">
        <v>85</v>
      </c>
      <c r="C280" t="s">
        <v>86</v>
      </c>
      <c r="D280" t="s">
        <v>58</v>
      </c>
      <c r="E280" t="s">
        <v>2012</v>
      </c>
      <c r="F280" t="s">
        <v>1948</v>
      </c>
      <c r="G280" s="6">
        <v>957</v>
      </c>
      <c r="H280" s="8">
        <v>112.6</v>
      </c>
      <c r="I280" s="7">
        <v>166.65</v>
      </c>
      <c r="J280" s="7">
        <v>261.47000000000003</v>
      </c>
      <c r="K280" s="6">
        <v>380</v>
      </c>
      <c r="L280" s="7">
        <v>808.12</v>
      </c>
    </row>
    <row r="281" spans="1:12" x14ac:dyDescent="0.25">
      <c r="A281" s="9">
        <v>45717</v>
      </c>
      <c r="B281" t="s">
        <v>85</v>
      </c>
      <c r="C281" t="s">
        <v>86</v>
      </c>
      <c r="D281" t="s">
        <v>58</v>
      </c>
      <c r="E281" t="s">
        <v>2060</v>
      </c>
      <c r="F281" t="s">
        <v>1942</v>
      </c>
      <c r="G281" s="6">
        <v>605</v>
      </c>
      <c r="H281" s="8">
        <v>57.6</v>
      </c>
      <c r="I281" s="7">
        <v>85.25</v>
      </c>
      <c r="J281" s="7">
        <v>182.69</v>
      </c>
      <c r="K281" s="6">
        <v>450</v>
      </c>
      <c r="L281" s="7">
        <v>717.94</v>
      </c>
    </row>
    <row r="282" spans="1:12" x14ac:dyDescent="0.25">
      <c r="A282" s="9">
        <v>45717</v>
      </c>
      <c r="B282" t="s">
        <v>85</v>
      </c>
      <c r="C282" t="s">
        <v>86</v>
      </c>
      <c r="D282" t="s">
        <v>58</v>
      </c>
      <c r="E282" t="s">
        <v>1957</v>
      </c>
      <c r="F282" t="s">
        <v>1940</v>
      </c>
      <c r="G282" s="6">
        <v>792</v>
      </c>
      <c r="H282" s="8">
        <v>93.2</v>
      </c>
      <c r="I282" s="7">
        <v>137.94</v>
      </c>
      <c r="J282" s="7">
        <v>41.79</v>
      </c>
      <c r="K282" s="6">
        <v>520</v>
      </c>
      <c r="L282" s="7">
        <v>699.73</v>
      </c>
    </row>
    <row r="283" spans="1:12" x14ac:dyDescent="0.25">
      <c r="A283" s="9">
        <v>45717</v>
      </c>
      <c r="B283" t="s">
        <v>85</v>
      </c>
      <c r="C283" t="s">
        <v>86</v>
      </c>
      <c r="D283" t="s">
        <v>58</v>
      </c>
      <c r="E283" t="s">
        <v>2061</v>
      </c>
      <c r="F283" t="s">
        <v>1942</v>
      </c>
      <c r="G283" s="6">
        <v>669</v>
      </c>
      <c r="H283" s="8">
        <v>63.7</v>
      </c>
      <c r="I283" s="7">
        <v>94.28</v>
      </c>
      <c r="J283" s="7">
        <v>239.02</v>
      </c>
      <c r="K283" s="6">
        <v>320</v>
      </c>
      <c r="L283" s="7">
        <v>653.29999999999995</v>
      </c>
    </row>
    <row r="284" spans="1:12" x14ac:dyDescent="0.25">
      <c r="A284" s="9">
        <v>45717</v>
      </c>
      <c r="B284" t="s">
        <v>85</v>
      </c>
      <c r="C284" t="s">
        <v>86</v>
      </c>
      <c r="D284" t="s">
        <v>58</v>
      </c>
      <c r="E284" t="s">
        <v>1963</v>
      </c>
      <c r="F284" t="s">
        <v>1940</v>
      </c>
      <c r="G284" s="6">
        <v>892</v>
      </c>
      <c r="H284" s="8">
        <v>104.9</v>
      </c>
      <c r="I284" s="7">
        <v>155.25</v>
      </c>
      <c r="J284" s="7">
        <v>272.7</v>
      </c>
      <c r="K284" s="6">
        <v>450</v>
      </c>
      <c r="L284" s="7">
        <v>877.95</v>
      </c>
    </row>
    <row r="285" spans="1:12" x14ac:dyDescent="0.25">
      <c r="A285" s="9">
        <v>45717</v>
      </c>
      <c r="B285" t="s">
        <v>85</v>
      </c>
      <c r="C285" t="s">
        <v>86</v>
      </c>
      <c r="D285" t="s">
        <v>58</v>
      </c>
      <c r="E285" t="s">
        <v>2050</v>
      </c>
      <c r="F285" t="s">
        <v>1940</v>
      </c>
      <c r="G285" s="6">
        <v>916</v>
      </c>
      <c r="H285" s="8">
        <v>107.8</v>
      </c>
      <c r="I285" s="7">
        <v>159.54</v>
      </c>
      <c r="J285" s="7">
        <v>13.41</v>
      </c>
      <c r="K285" s="6">
        <v>520</v>
      </c>
      <c r="L285" s="7">
        <v>692.95</v>
      </c>
    </row>
    <row r="286" spans="1:12" x14ac:dyDescent="0.25">
      <c r="A286" s="9">
        <v>45717</v>
      </c>
      <c r="B286" t="s">
        <v>85</v>
      </c>
      <c r="C286" t="s">
        <v>86</v>
      </c>
      <c r="D286" t="s">
        <v>58</v>
      </c>
      <c r="E286" t="s">
        <v>2046</v>
      </c>
      <c r="F286" t="s">
        <v>1948</v>
      </c>
      <c r="G286" s="6">
        <v>770</v>
      </c>
      <c r="H286" s="8">
        <v>90.6</v>
      </c>
      <c r="I286" s="7">
        <v>134.09</v>
      </c>
      <c r="J286" s="7">
        <v>348.86</v>
      </c>
      <c r="K286" s="6">
        <v>380</v>
      </c>
      <c r="L286" s="7">
        <v>862.95</v>
      </c>
    </row>
    <row r="287" spans="1:12" x14ac:dyDescent="0.25">
      <c r="A287" s="9">
        <v>45717</v>
      </c>
      <c r="B287" t="s">
        <v>103</v>
      </c>
      <c r="C287" t="s">
        <v>104</v>
      </c>
      <c r="D287" t="s">
        <v>58</v>
      </c>
      <c r="E287" t="s">
        <v>1965</v>
      </c>
      <c r="F287" t="s">
        <v>1942</v>
      </c>
      <c r="G287" s="6">
        <v>1011</v>
      </c>
      <c r="H287" s="8">
        <v>96.3</v>
      </c>
      <c r="I287" s="7">
        <v>142.52000000000001</v>
      </c>
      <c r="J287" s="7">
        <v>106.14</v>
      </c>
      <c r="K287" s="6">
        <v>380</v>
      </c>
      <c r="L287" s="7">
        <v>628.66</v>
      </c>
    </row>
    <row r="288" spans="1:12" x14ac:dyDescent="0.25">
      <c r="A288" s="9">
        <v>45717</v>
      </c>
      <c r="B288" t="s">
        <v>103</v>
      </c>
      <c r="C288" t="s">
        <v>104</v>
      </c>
      <c r="D288" t="s">
        <v>58</v>
      </c>
      <c r="E288" t="s">
        <v>2062</v>
      </c>
      <c r="F288" t="s">
        <v>1948</v>
      </c>
      <c r="G288" s="6">
        <v>1090</v>
      </c>
      <c r="H288" s="8">
        <v>128.19999999999999</v>
      </c>
      <c r="I288" s="7">
        <v>189.74</v>
      </c>
      <c r="J288" s="7">
        <v>290.14</v>
      </c>
      <c r="K288" s="6">
        <v>450</v>
      </c>
      <c r="L288" s="7">
        <v>929.88</v>
      </c>
    </row>
    <row r="289" spans="1:12" x14ac:dyDescent="0.25">
      <c r="A289" s="9">
        <v>45717</v>
      </c>
      <c r="B289" t="s">
        <v>103</v>
      </c>
      <c r="C289" t="s">
        <v>104</v>
      </c>
      <c r="D289" t="s">
        <v>58</v>
      </c>
      <c r="E289" t="s">
        <v>1985</v>
      </c>
      <c r="F289" t="s">
        <v>1940</v>
      </c>
      <c r="G289" s="6">
        <v>1329</v>
      </c>
      <c r="H289" s="8">
        <v>156.4</v>
      </c>
      <c r="I289" s="7">
        <v>231.47</v>
      </c>
      <c r="J289" s="7">
        <v>265.88</v>
      </c>
      <c r="K289" s="6">
        <v>320</v>
      </c>
      <c r="L289" s="7">
        <v>817.35</v>
      </c>
    </row>
    <row r="290" spans="1:12" x14ac:dyDescent="0.25">
      <c r="A290" s="9">
        <v>45717</v>
      </c>
      <c r="B290" t="s">
        <v>103</v>
      </c>
      <c r="C290" t="s">
        <v>104</v>
      </c>
      <c r="D290" t="s">
        <v>58</v>
      </c>
      <c r="E290" t="s">
        <v>2063</v>
      </c>
      <c r="F290" t="s">
        <v>1948</v>
      </c>
      <c r="G290" s="6">
        <v>960</v>
      </c>
      <c r="H290" s="8">
        <v>112.9</v>
      </c>
      <c r="I290" s="7">
        <v>167.09</v>
      </c>
      <c r="J290" s="7">
        <v>143.91999999999999</v>
      </c>
      <c r="K290" s="6">
        <v>450</v>
      </c>
      <c r="L290" s="7">
        <v>761.01</v>
      </c>
    </row>
    <row r="291" spans="1:12" x14ac:dyDescent="0.25">
      <c r="A291" s="9">
        <v>45717</v>
      </c>
      <c r="B291" t="s">
        <v>103</v>
      </c>
      <c r="C291" t="s">
        <v>104</v>
      </c>
      <c r="D291" t="s">
        <v>58</v>
      </c>
      <c r="E291" t="s">
        <v>1966</v>
      </c>
      <c r="F291" t="s">
        <v>1948</v>
      </c>
      <c r="G291" s="6">
        <v>946</v>
      </c>
      <c r="H291" s="8">
        <v>111.3</v>
      </c>
      <c r="I291" s="7">
        <v>164.72</v>
      </c>
      <c r="J291" s="7">
        <v>270.82</v>
      </c>
      <c r="K291" s="6">
        <v>450</v>
      </c>
      <c r="L291" s="7">
        <v>885.54</v>
      </c>
    </row>
    <row r="292" spans="1:12" x14ac:dyDescent="0.25">
      <c r="A292" s="9">
        <v>45717</v>
      </c>
      <c r="B292" t="s">
        <v>103</v>
      </c>
      <c r="C292" t="s">
        <v>104</v>
      </c>
      <c r="D292" t="s">
        <v>58</v>
      </c>
      <c r="E292" t="s">
        <v>2043</v>
      </c>
      <c r="F292" t="s">
        <v>1942</v>
      </c>
      <c r="G292" s="6">
        <v>809</v>
      </c>
      <c r="H292" s="8">
        <v>77</v>
      </c>
      <c r="I292" s="7">
        <v>113.96</v>
      </c>
      <c r="J292" s="7">
        <v>73.430000000000007</v>
      </c>
      <c r="K292" s="6">
        <v>320</v>
      </c>
      <c r="L292" s="7">
        <v>507.39</v>
      </c>
    </row>
    <row r="293" spans="1:12" x14ac:dyDescent="0.25">
      <c r="A293" s="9">
        <v>45748</v>
      </c>
      <c r="B293" t="s">
        <v>100</v>
      </c>
      <c r="C293" t="s">
        <v>101</v>
      </c>
      <c r="D293" t="s">
        <v>69</v>
      </c>
      <c r="E293" t="s">
        <v>2002</v>
      </c>
      <c r="F293" t="s">
        <v>1942</v>
      </c>
      <c r="G293" s="6">
        <v>1135</v>
      </c>
      <c r="H293" s="8">
        <v>108.1</v>
      </c>
      <c r="I293" s="7">
        <v>159.99</v>
      </c>
      <c r="J293" s="7">
        <v>146.11000000000001</v>
      </c>
      <c r="K293" s="6">
        <v>520</v>
      </c>
      <c r="L293" s="7">
        <v>826.1</v>
      </c>
    </row>
    <row r="294" spans="1:12" x14ac:dyDescent="0.25">
      <c r="A294" s="9">
        <v>45748</v>
      </c>
      <c r="B294" t="s">
        <v>100</v>
      </c>
      <c r="C294" t="s">
        <v>101</v>
      </c>
      <c r="D294" t="s">
        <v>69</v>
      </c>
      <c r="E294" t="s">
        <v>1995</v>
      </c>
      <c r="F294" t="s">
        <v>1942</v>
      </c>
      <c r="G294" s="6">
        <v>1058</v>
      </c>
      <c r="H294" s="8">
        <v>100.8</v>
      </c>
      <c r="I294" s="7">
        <v>149.18</v>
      </c>
      <c r="J294" s="7">
        <v>89.32</v>
      </c>
      <c r="K294" s="6">
        <v>520</v>
      </c>
      <c r="L294" s="7">
        <v>758.5</v>
      </c>
    </row>
    <row r="295" spans="1:12" x14ac:dyDescent="0.25">
      <c r="A295" s="9">
        <v>45748</v>
      </c>
      <c r="B295" t="s">
        <v>100</v>
      </c>
      <c r="C295" t="s">
        <v>101</v>
      </c>
      <c r="D295" t="s">
        <v>69</v>
      </c>
      <c r="E295" t="s">
        <v>1956</v>
      </c>
      <c r="F295" t="s">
        <v>1942</v>
      </c>
      <c r="G295" s="6">
        <v>992</v>
      </c>
      <c r="H295" s="8">
        <v>94.5</v>
      </c>
      <c r="I295" s="7">
        <v>139.86000000000001</v>
      </c>
      <c r="J295" s="7">
        <v>76.06</v>
      </c>
      <c r="K295" s="6">
        <v>450</v>
      </c>
      <c r="L295" s="7">
        <v>665.92</v>
      </c>
    </row>
    <row r="296" spans="1:12" x14ac:dyDescent="0.25">
      <c r="A296" s="9">
        <v>45748</v>
      </c>
      <c r="B296" t="s">
        <v>100</v>
      </c>
      <c r="C296" t="s">
        <v>101</v>
      </c>
      <c r="D296" t="s">
        <v>69</v>
      </c>
      <c r="E296" t="s">
        <v>2044</v>
      </c>
      <c r="F296" t="s">
        <v>1940</v>
      </c>
      <c r="G296" s="6">
        <v>1272</v>
      </c>
      <c r="H296" s="8">
        <v>149.6</v>
      </c>
      <c r="I296" s="7">
        <v>221.41</v>
      </c>
      <c r="J296" s="7">
        <v>232.82</v>
      </c>
      <c r="K296" s="6">
        <v>380</v>
      </c>
      <c r="L296" s="7">
        <v>834.23</v>
      </c>
    </row>
    <row r="297" spans="1:12" x14ac:dyDescent="0.25">
      <c r="A297" s="9">
        <v>45748</v>
      </c>
      <c r="B297" t="s">
        <v>100</v>
      </c>
      <c r="C297" t="s">
        <v>101</v>
      </c>
      <c r="D297" t="s">
        <v>69</v>
      </c>
      <c r="E297" t="s">
        <v>1984</v>
      </c>
      <c r="F297" t="s">
        <v>1940</v>
      </c>
      <c r="G297" s="6">
        <v>588</v>
      </c>
      <c r="H297" s="8">
        <v>69.2</v>
      </c>
      <c r="I297" s="7">
        <v>102.42</v>
      </c>
      <c r="J297" s="7">
        <v>75.64</v>
      </c>
      <c r="K297" s="6">
        <v>320</v>
      </c>
      <c r="L297" s="7">
        <v>498.06</v>
      </c>
    </row>
    <row r="298" spans="1:12" x14ac:dyDescent="0.25">
      <c r="A298" s="9">
        <v>45748</v>
      </c>
      <c r="B298" t="s">
        <v>113</v>
      </c>
      <c r="C298" t="s">
        <v>114</v>
      </c>
      <c r="D298" t="s">
        <v>69</v>
      </c>
      <c r="E298" t="s">
        <v>2033</v>
      </c>
      <c r="F298" t="s">
        <v>1948</v>
      </c>
      <c r="G298" s="6">
        <v>675</v>
      </c>
      <c r="H298" s="8">
        <v>79.400000000000006</v>
      </c>
      <c r="I298" s="7">
        <v>117.51</v>
      </c>
      <c r="J298" s="7">
        <v>198</v>
      </c>
      <c r="K298" s="6">
        <v>450</v>
      </c>
      <c r="L298" s="7">
        <v>765.51</v>
      </c>
    </row>
    <row r="299" spans="1:12" x14ac:dyDescent="0.25">
      <c r="A299" s="9">
        <v>45748</v>
      </c>
      <c r="B299" t="s">
        <v>113</v>
      </c>
      <c r="C299" t="s">
        <v>114</v>
      </c>
      <c r="D299" t="s">
        <v>69</v>
      </c>
      <c r="E299" t="s">
        <v>2043</v>
      </c>
      <c r="F299" t="s">
        <v>1940</v>
      </c>
      <c r="G299" s="6">
        <v>1029</v>
      </c>
      <c r="H299" s="8">
        <v>121.1</v>
      </c>
      <c r="I299" s="7">
        <v>179.23</v>
      </c>
      <c r="J299" s="7">
        <v>34.03</v>
      </c>
      <c r="K299" s="6">
        <v>380</v>
      </c>
      <c r="L299" s="7">
        <v>593.26</v>
      </c>
    </row>
    <row r="300" spans="1:12" x14ac:dyDescent="0.25">
      <c r="A300" s="9">
        <v>45748</v>
      </c>
      <c r="B300" t="s">
        <v>113</v>
      </c>
      <c r="C300" t="s">
        <v>114</v>
      </c>
      <c r="D300" t="s">
        <v>69</v>
      </c>
      <c r="E300" t="s">
        <v>2018</v>
      </c>
      <c r="F300" t="s">
        <v>1946</v>
      </c>
      <c r="G300" s="6">
        <v>819</v>
      </c>
      <c r="H300" s="8">
        <v>78</v>
      </c>
      <c r="I300" s="7">
        <v>115.44</v>
      </c>
      <c r="J300" s="7">
        <v>69.680000000000007</v>
      </c>
      <c r="K300" s="6">
        <v>380</v>
      </c>
      <c r="L300" s="7">
        <v>565.12</v>
      </c>
    </row>
    <row r="301" spans="1:12" x14ac:dyDescent="0.25">
      <c r="A301" s="9">
        <v>45748</v>
      </c>
      <c r="B301" t="s">
        <v>113</v>
      </c>
      <c r="C301" t="s">
        <v>114</v>
      </c>
      <c r="D301" t="s">
        <v>69</v>
      </c>
      <c r="E301" t="s">
        <v>1974</v>
      </c>
      <c r="F301" t="s">
        <v>1946</v>
      </c>
      <c r="G301" s="6">
        <v>1101</v>
      </c>
      <c r="H301" s="8">
        <v>104.9</v>
      </c>
      <c r="I301" s="7">
        <v>155.25</v>
      </c>
      <c r="J301" s="7">
        <v>155.55000000000001</v>
      </c>
      <c r="K301" s="6">
        <v>320</v>
      </c>
      <c r="L301" s="7">
        <v>630.79999999999995</v>
      </c>
    </row>
    <row r="302" spans="1:12" x14ac:dyDescent="0.25">
      <c r="A302" s="9">
        <v>45748</v>
      </c>
      <c r="B302" t="s">
        <v>113</v>
      </c>
      <c r="C302" t="s">
        <v>114</v>
      </c>
      <c r="D302" t="s">
        <v>69</v>
      </c>
      <c r="E302" t="s">
        <v>2013</v>
      </c>
      <c r="F302" t="s">
        <v>1946</v>
      </c>
      <c r="G302" s="6">
        <v>869</v>
      </c>
      <c r="H302" s="8">
        <v>82.8</v>
      </c>
      <c r="I302" s="7">
        <v>122.54</v>
      </c>
      <c r="J302" s="7">
        <v>164.15</v>
      </c>
      <c r="K302" s="6">
        <v>320</v>
      </c>
      <c r="L302" s="7">
        <v>606.69000000000005</v>
      </c>
    </row>
    <row r="303" spans="1:12" x14ac:dyDescent="0.25">
      <c r="A303" s="9">
        <v>45748</v>
      </c>
      <c r="B303" t="s">
        <v>113</v>
      </c>
      <c r="C303" t="s">
        <v>114</v>
      </c>
      <c r="D303" t="s">
        <v>69</v>
      </c>
      <c r="E303" t="s">
        <v>2036</v>
      </c>
      <c r="F303" t="s">
        <v>1942</v>
      </c>
      <c r="G303" s="6">
        <v>913</v>
      </c>
      <c r="H303" s="8">
        <v>87</v>
      </c>
      <c r="I303" s="7">
        <v>128.76</v>
      </c>
      <c r="J303" s="7">
        <v>128.27000000000001</v>
      </c>
      <c r="K303" s="6">
        <v>380</v>
      </c>
      <c r="L303" s="7">
        <v>637.03</v>
      </c>
    </row>
    <row r="304" spans="1:12" x14ac:dyDescent="0.25">
      <c r="A304" s="9">
        <v>45748</v>
      </c>
      <c r="B304" t="s">
        <v>113</v>
      </c>
      <c r="C304" t="s">
        <v>114</v>
      </c>
      <c r="D304" t="s">
        <v>69</v>
      </c>
      <c r="E304" t="s">
        <v>2053</v>
      </c>
      <c r="F304" t="s">
        <v>1940</v>
      </c>
      <c r="G304" s="6">
        <v>1468</v>
      </c>
      <c r="H304" s="8">
        <v>172.7</v>
      </c>
      <c r="I304" s="7">
        <v>255.6</v>
      </c>
      <c r="J304" s="7">
        <v>257.24</v>
      </c>
      <c r="K304" s="6">
        <v>450</v>
      </c>
      <c r="L304" s="7">
        <v>962.84</v>
      </c>
    </row>
    <row r="305" spans="1:12" x14ac:dyDescent="0.25">
      <c r="A305" s="9">
        <v>45748</v>
      </c>
      <c r="B305" t="s">
        <v>143</v>
      </c>
      <c r="C305" t="s">
        <v>144</v>
      </c>
      <c r="D305" t="s">
        <v>69</v>
      </c>
      <c r="E305" t="s">
        <v>2057</v>
      </c>
      <c r="F305" t="s">
        <v>1948</v>
      </c>
      <c r="G305" s="6">
        <v>725</v>
      </c>
      <c r="H305" s="8">
        <v>85.3</v>
      </c>
      <c r="I305" s="7">
        <v>126.24</v>
      </c>
      <c r="J305" s="7">
        <v>316.38</v>
      </c>
      <c r="K305" s="6">
        <v>320</v>
      </c>
      <c r="L305" s="7">
        <v>762.62</v>
      </c>
    </row>
    <row r="306" spans="1:12" x14ac:dyDescent="0.25">
      <c r="A306" s="9">
        <v>45748</v>
      </c>
      <c r="B306" t="s">
        <v>143</v>
      </c>
      <c r="C306" t="s">
        <v>144</v>
      </c>
      <c r="D306" t="s">
        <v>69</v>
      </c>
      <c r="E306" t="s">
        <v>2054</v>
      </c>
      <c r="F306" t="s">
        <v>1948</v>
      </c>
      <c r="G306" s="6">
        <v>1252</v>
      </c>
      <c r="H306" s="8">
        <v>147.30000000000001</v>
      </c>
      <c r="I306" s="7">
        <v>218</v>
      </c>
      <c r="J306" s="7">
        <v>158.13999999999999</v>
      </c>
      <c r="K306" s="6">
        <v>320</v>
      </c>
      <c r="L306" s="7">
        <v>696.14</v>
      </c>
    </row>
    <row r="307" spans="1:12" x14ac:dyDescent="0.25">
      <c r="A307" s="9">
        <v>45748</v>
      </c>
      <c r="B307" t="s">
        <v>143</v>
      </c>
      <c r="C307" t="s">
        <v>144</v>
      </c>
      <c r="D307" t="s">
        <v>69</v>
      </c>
      <c r="E307" t="s">
        <v>2053</v>
      </c>
      <c r="F307" t="s">
        <v>1946</v>
      </c>
      <c r="G307" s="6">
        <v>1254</v>
      </c>
      <c r="H307" s="8">
        <v>119.4</v>
      </c>
      <c r="I307" s="7">
        <v>176.71</v>
      </c>
      <c r="J307" s="7">
        <v>273.02999999999997</v>
      </c>
      <c r="K307" s="6">
        <v>450</v>
      </c>
      <c r="L307" s="7">
        <v>899.74</v>
      </c>
    </row>
    <row r="308" spans="1:12" x14ac:dyDescent="0.25">
      <c r="A308" s="9">
        <v>45748</v>
      </c>
      <c r="B308" t="s">
        <v>73</v>
      </c>
      <c r="C308" t="s">
        <v>74</v>
      </c>
      <c r="D308" t="s">
        <v>69</v>
      </c>
      <c r="E308" t="s">
        <v>1994</v>
      </c>
      <c r="F308" t="s">
        <v>1942</v>
      </c>
      <c r="G308" s="6">
        <v>769</v>
      </c>
      <c r="H308" s="8">
        <v>73.2</v>
      </c>
      <c r="I308" s="7">
        <v>108.34</v>
      </c>
      <c r="J308" s="7">
        <v>76.599999999999994</v>
      </c>
      <c r="K308" s="6">
        <v>320</v>
      </c>
      <c r="L308" s="7">
        <v>504.94</v>
      </c>
    </row>
    <row r="309" spans="1:12" x14ac:dyDescent="0.25">
      <c r="A309" s="9">
        <v>45748</v>
      </c>
      <c r="B309" t="s">
        <v>73</v>
      </c>
      <c r="C309" t="s">
        <v>74</v>
      </c>
      <c r="D309" t="s">
        <v>69</v>
      </c>
      <c r="E309" t="s">
        <v>2064</v>
      </c>
      <c r="F309" t="s">
        <v>1946</v>
      </c>
      <c r="G309" s="6">
        <v>1304</v>
      </c>
      <c r="H309" s="8">
        <v>124.2</v>
      </c>
      <c r="I309" s="7">
        <v>183.82</v>
      </c>
      <c r="J309" s="7">
        <v>171.72</v>
      </c>
      <c r="K309" s="6">
        <v>380</v>
      </c>
      <c r="L309" s="7">
        <v>735.54</v>
      </c>
    </row>
    <row r="310" spans="1:12" x14ac:dyDescent="0.25">
      <c r="A310" s="9">
        <v>45748</v>
      </c>
      <c r="B310" t="s">
        <v>73</v>
      </c>
      <c r="C310" t="s">
        <v>74</v>
      </c>
      <c r="D310" t="s">
        <v>69</v>
      </c>
      <c r="E310" t="s">
        <v>2044</v>
      </c>
      <c r="F310" t="s">
        <v>1948</v>
      </c>
      <c r="G310" s="6">
        <v>1187</v>
      </c>
      <c r="H310" s="8">
        <v>139.6</v>
      </c>
      <c r="I310" s="7">
        <v>206.61</v>
      </c>
      <c r="J310" s="7">
        <v>277.25</v>
      </c>
      <c r="K310" s="6">
        <v>450</v>
      </c>
      <c r="L310" s="7">
        <v>933.86</v>
      </c>
    </row>
    <row r="311" spans="1:12" x14ac:dyDescent="0.25">
      <c r="A311" s="9">
        <v>45748</v>
      </c>
      <c r="B311" t="s">
        <v>67</v>
      </c>
      <c r="C311" t="s">
        <v>68</v>
      </c>
      <c r="D311" t="s">
        <v>69</v>
      </c>
      <c r="E311" t="s">
        <v>1975</v>
      </c>
      <c r="F311" t="s">
        <v>1948</v>
      </c>
      <c r="G311" s="6">
        <v>1147</v>
      </c>
      <c r="H311" s="8">
        <v>134.9</v>
      </c>
      <c r="I311" s="7">
        <v>199.65</v>
      </c>
      <c r="J311" s="7">
        <v>143.88</v>
      </c>
      <c r="K311" s="6">
        <v>450</v>
      </c>
      <c r="L311" s="7">
        <v>793.53</v>
      </c>
    </row>
    <row r="312" spans="1:12" x14ac:dyDescent="0.25">
      <c r="A312" s="9">
        <v>45748</v>
      </c>
      <c r="B312" t="s">
        <v>67</v>
      </c>
      <c r="C312" t="s">
        <v>68</v>
      </c>
      <c r="D312" t="s">
        <v>69</v>
      </c>
      <c r="E312" t="s">
        <v>1970</v>
      </c>
      <c r="F312" t="s">
        <v>1940</v>
      </c>
      <c r="G312" s="6">
        <v>1311</v>
      </c>
      <c r="H312" s="8">
        <v>154.19999999999999</v>
      </c>
      <c r="I312" s="7">
        <v>228.22</v>
      </c>
      <c r="J312" s="7">
        <v>243.57</v>
      </c>
      <c r="K312" s="6">
        <v>450</v>
      </c>
      <c r="L312" s="7">
        <v>921.79</v>
      </c>
    </row>
    <row r="313" spans="1:12" x14ac:dyDescent="0.25">
      <c r="A313" s="9">
        <v>45748</v>
      </c>
      <c r="B313" t="s">
        <v>67</v>
      </c>
      <c r="C313" t="s">
        <v>68</v>
      </c>
      <c r="D313" t="s">
        <v>69</v>
      </c>
      <c r="E313" t="s">
        <v>1978</v>
      </c>
      <c r="F313" t="s">
        <v>1940</v>
      </c>
      <c r="G313" s="6">
        <v>992</v>
      </c>
      <c r="H313" s="8">
        <v>116.7</v>
      </c>
      <c r="I313" s="7">
        <v>172.72</v>
      </c>
      <c r="J313" s="7">
        <v>146.52000000000001</v>
      </c>
      <c r="K313" s="6">
        <v>450</v>
      </c>
      <c r="L313" s="7">
        <v>769.24</v>
      </c>
    </row>
    <row r="314" spans="1:12" x14ac:dyDescent="0.25">
      <c r="A314" s="9">
        <v>45748</v>
      </c>
      <c r="B314" t="s">
        <v>67</v>
      </c>
      <c r="C314" t="s">
        <v>68</v>
      </c>
      <c r="D314" t="s">
        <v>69</v>
      </c>
      <c r="E314" t="s">
        <v>2025</v>
      </c>
      <c r="F314" t="s">
        <v>1942</v>
      </c>
      <c r="G314" s="6">
        <v>667</v>
      </c>
      <c r="H314" s="8">
        <v>63.5</v>
      </c>
      <c r="I314" s="7">
        <v>93.98</v>
      </c>
      <c r="J314" s="7">
        <v>191.14</v>
      </c>
      <c r="K314" s="6">
        <v>380</v>
      </c>
      <c r="L314" s="7">
        <v>665.12</v>
      </c>
    </row>
    <row r="315" spans="1:12" x14ac:dyDescent="0.25">
      <c r="A315" s="9">
        <v>45748</v>
      </c>
      <c r="B315" t="s">
        <v>67</v>
      </c>
      <c r="C315" t="s">
        <v>68</v>
      </c>
      <c r="D315" t="s">
        <v>69</v>
      </c>
      <c r="E315" t="s">
        <v>2050</v>
      </c>
      <c r="F315" t="s">
        <v>1948</v>
      </c>
      <c r="G315" s="6">
        <v>1193</v>
      </c>
      <c r="H315" s="8">
        <v>140.4</v>
      </c>
      <c r="I315" s="7">
        <v>207.79</v>
      </c>
      <c r="J315" s="7">
        <v>245.02</v>
      </c>
      <c r="K315" s="6">
        <v>320</v>
      </c>
      <c r="L315" s="7">
        <v>772.81</v>
      </c>
    </row>
    <row r="316" spans="1:12" x14ac:dyDescent="0.25">
      <c r="A316" s="9">
        <v>45748</v>
      </c>
      <c r="B316" t="s">
        <v>67</v>
      </c>
      <c r="C316" t="s">
        <v>68</v>
      </c>
      <c r="D316" t="s">
        <v>69</v>
      </c>
      <c r="E316" t="s">
        <v>1960</v>
      </c>
      <c r="F316" t="s">
        <v>1948</v>
      </c>
      <c r="G316" s="6">
        <v>1331</v>
      </c>
      <c r="H316" s="8">
        <v>156.6</v>
      </c>
      <c r="I316" s="7">
        <v>231.77</v>
      </c>
      <c r="J316" s="7">
        <v>223.27</v>
      </c>
      <c r="K316" s="6">
        <v>380</v>
      </c>
      <c r="L316" s="7">
        <v>835.04</v>
      </c>
    </row>
    <row r="317" spans="1:12" x14ac:dyDescent="0.25">
      <c r="A317" s="9">
        <v>45748</v>
      </c>
      <c r="B317" t="s">
        <v>32</v>
      </c>
      <c r="C317" t="s">
        <v>33</v>
      </c>
      <c r="D317" t="s">
        <v>34</v>
      </c>
      <c r="E317" t="s">
        <v>2050</v>
      </c>
      <c r="F317" t="s">
        <v>1940</v>
      </c>
      <c r="G317" s="6">
        <v>1191</v>
      </c>
      <c r="H317" s="8">
        <v>140.1</v>
      </c>
      <c r="I317" s="7">
        <v>207.35</v>
      </c>
      <c r="J317" s="7">
        <v>68.430000000000007</v>
      </c>
      <c r="K317" s="6">
        <v>320</v>
      </c>
      <c r="L317" s="7">
        <v>595.78</v>
      </c>
    </row>
    <row r="318" spans="1:12" x14ac:dyDescent="0.25">
      <c r="A318" s="9">
        <v>45748</v>
      </c>
      <c r="B318" t="s">
        <v>32</v>
      </c>
      <c r="C318" t="s">
        <v>33</v>
      </c>
      <c r="D318" t="s">
        <v>34</v>
      </c>
      <c r="E318" t="s">
        <v>1949</v>
      </c>
      <c r="F318" t="s">
        <v>1946</v>
      </c>
      <c r="G318" s="6">
        <v>1044</v>
      </c>
      <c r="H318" s="8">
        <v>99.4</v>
      </c>
      <c r="I318" s="7">
        <v>147.11000000000001</v>
      </c>
      <c r="J318" s="7">
        <v>136.05000000000001</v>
      </c>
      <c r="K318" s="6">
        <v>520</v>
      </c>
      <c r="L318" s="7">
        <v>803.16</v>
      </c>
    </row>
    <row r="319" spans="1:12" x14ac:dyDescent="0.25">
      <c r="A319" s="9">
        <v>45748</v>
      </c>
      <c r="B319" t="s">
        <v>32</v>
      </c>
      <c r="C319" t="s">
        <v>33</v>
      </c>
      <c r="D319" t="s">
        <v>34</v>
      </c>
      <c r="E319" t="s">
        <v>1979</v>
      </c>
      <c r="F319" t="s">
        <v>1942</v>
      </c>
      <c r="G319" s="6">
        <v>1106</v>
      </c>
      <c r="H319" s="8">
        <v>105.3</v>
      </c>
      <c r="I319" s="7">
        <v>155.84</v>
      </c>
      <c r="J319" s="7">
        <v>120.44</v>
      </c>
      <c r="K319" s="6">
        <v>320</v>
      </c>
      <c r="L319" s="7">
        <v>596.28</v>
      </c>
    </row>
    <row r="320" spans="1:12" x14ac:dyDescent="0.25">
      <c r="A320" s="9">
        <v>45748</v>
      </c>
      <c r="B320" t="s">
        <v>32</v>
      </c>
      <c r="C320" t="s">
        <v>33</v>
      </c>
      <c r="D320" t="s">
        <v>34</v>
      </c>
      <c r="E320" t="s">
        <v>2018</v>
      </c>
      <c r="F320" t="s">
        <v>1946</v>
      </c>
      <c r="G320" s="6">
        <v>1017</v>
      </c>
      <c r="H320" s="8">
        <v>96.9</v>
      </c>
      <c r="I320" s="7">
        <v>143.41</v>
      </c>
      <c r="J320" s="7">
        <v>216.08</v>
      </c>
      <c r="K320" s="6">
        <v>520</v>
      </c>
      <c r="L320" s="7">
        <v>879.49</v>
      </c>
    </row>
    <row r="321" spans="1:12" x14ac:dyDescent="0.25">
      <c r="A321" s="9">
        <v>45748</v>
      </c>
      <c r="B321" t="s">
        <v>32</v>
      </c>
      <c r="C321" t="s">
        <v>33</v>
      </c>
      <c r="D321" t="s">
        <v>34</v>
      </c>
      <c r="E321" t="s">
        <v>2010</v>
      </c>
      <c r="F321" t="s">
        <v>1942</v>
      </c>
      <c r="G321" s="6">
        <v>940</v>
      </c>
      <c r="H321" s="8">
        <v>89.5</v>
      </c>
      <c r="I321" s="7">
        <v>132.46</v>
      </c>
      <c r="J321" s="7">
        <v>21.47</v>
      </c>
      <c r="K321" s="6">
        <v>320</v>
      </c>
      <c r="L321" s="7">
        <v>473.93</v>
      </c>
    </row>
    <row r="322" spans="1:12" x14ac:dyDescent="0.25">
      <c r="A322" s="9">
        <v>45748</v>
      </c>
      <c r="B322" t="s">
        <v>32</v>
      </c>
      <c r="C322" t="s">
        <v>33</v>
      </c>
      <c r="D322" t="s">
        <v>34</v>
      </c>
      <c r="E322" t="s">
        <v>2030</v>
      </c>
      <c r="F322" t="s">
        <v>1940</v>
      </c>
      <c r="G322" s="6">
        <v>1487</v>
      </c>
      <c r="H322" s="8">
        <v>174.9</v>
      </c>
      <c r="I322" s="7">
        <v>258.85000000000002</v>
      </c>
      <c r="J322" s="7">
        <v>260.52</v>
      </c>
      <c r="K322" s="6">
        <v>520</v>
      </c>
      <c r="L322" s="7">
        <v>1039.3699999999999</v>
      </c>
    </row>
    <row r="323" spans="1:12" x14ac:dyDescent="0.25">
      <c r="A323" s="9">
        <v>45748</v>
      </c>
      <c r="B323" t="s">
        <v>32</v>
      </c>
      <c r="C323" t="s">
        <v>33</v>
      </c>
      <c r="D323" t="s">
        <v>34</v>
      </c>
      <c r="E323" t="s">
        <v>1976</v>
      </c>
      <c r="F323" t="s">
        <v>1948</v>
      </c>
      <c r="G323" s="6">
        <v>726</v>
      </c>
      <c r="H323" s="8">
        <v>85.4</v>
      </c>
      <c r="I323" s="7">
        <v>126.39</v>
      </c>
      <c r="J323" s="7">
        <v>305.18</v>
      </c>
      <c r="K323" s="6">
        <v>450</v>
      </c>
      <c r="L323" s="7">
        <v>881.57</v>
      </c>
    </row>
    <row r="324" spans="1:12" x14ac:dyDescent="0.25">
      <c r="A324" s="9">
        <v>45748</v>
      </c>
      <c r="B324" t="s">
        <v>94</v>
      </c>
      <c r="C324" t="s">
        <v>95</v>
      </c>
      <c r="D324" t="s">
        <v>34</v>
      </c>
      <c r="E324" t="s">
        <v>1964</v>
      </c>
      <c r="F324" t="s">
        <v>1946</v>
      </c>
      <c r="G324" s="6">
        <v>924</v>
      </c>
      <c r="H324" s="8">
        <v>88</v>
      </c>
      <c r="I324" s="7">
        <v>130.24</v>
      </c>
      <c r="J324" s="7">
        <v>171.08</v>
      </c>
      <c r="K324" s="6">
        <v>520</v>
      </c>
      <c r="L324" s="7">
        <v>821.32</v>
      </c>
    </row>
    <row r="325" spans="1:12" x14ac:dyDescent="0.25">
      <c r="A325" s="9">
        <v>45748</v>
      </c>
      <c r="B325" t="s">
        <v>94</v>
      </c>
      <c r="C325" t="s">
        <v>95</v>
      </c>
      <c r="D325" t="s">
        <v>34</v>
      </c>
      <c r="E325" t="s">
        <v>1944</v>
      </c>
      <c r="F325" t="s">
        <v>1948</v>
      </c>
      <c r="G325" s="6">
        <v>1123</v>
      </c>
      <c r="H325" s="8">
        <v>132.1</v>
      </c>
      <c r="I325" s="7">
        <v>195.51</v>
      </c>
      <c r="J325" s="7">
        <v>231.25</v>
      </c>
      <c r="K325" s="6">
        <v>320</v>
      </c>
      <c r="L325" s="7">
        <v>746.76</v>
      </c>
    </row>
    <row r="326" spans="1:12" x14ac:dyDescent="0.25">
      <c r="A326" s="9">
        <v>45748</v>
      </c>
      <c r="B326" t="s">
        <v>94</v>
      </c>
      <c r="C326" t="s">
        <v>95</v>
      </c>
      <c r="D326" t="s">
        <v>34</v>
      </c>
      <c r="E326" t="s">
        <v>1996</v>
      </c>
      <c r="F326" t="s">
        <v>1946</v>
      </c>
      <c r="G326" s="6">
        <v>854</v>
      </c>
      <c r="H326" s="8">
        <v>81.3</v>
      </c>
      <c r="I326" s="7">
        <v>120.32</v>
      </c>
      <c r="J326" s="7">
        <v>94.76</v>
      </c>
      <c r="K326" s="6">
        <v>520</v>
      </c>
      <c r="L326" s="7">
        <v>735.08</v>
      </c>
    </row>
    <row r="327" spans="1:12" x14ac:dyDescent="0.25">
      <c r="A327" s="9">
        <v>45748</v>
      </c>
      <c r="B327" t="s">
        <v>94</v>
      </c>
      <c r="C327" t="s">
        <v>95</v>
      </c>
      <c r="D327" t="s">
        <v>34</v>
      </c>
      <c r="E327" t="s">
        <v>1950</v>
      </c>
      <c r="F327" t="s">
        <v>1940</v>
      </c>
      <c r="G327" s="6">
        <v>820</v>
      </c>
      <c r="H327" s="8">
        <v>96.5</v>
      </c>
      <c r="I327" s="7">
        <v>142.82</v>
      </c>
      <c r="J327" s="7">
        <v>83.45</v>
      </c>
      <c r="K327" s="6">
        <v>450</v>
      </c>
      <c r="L327" s="7">
        <v>676.27</v>
      </c>
    </row>
    <row r="328" spans="1:12" x14ac:dyDescent="0.25">
      <c r="A328" s="9">
        <v>45748</v>
      </c>
      <c r="B328" t="s">
        <v>41</v>
      </c>
      <c r="C328" t="s">
        <v>42</v>
      </c>
      <c r="D328" t="s">
        <v>34</v>
      </c>
      <c r="E328" t="s">
        <v>1972</v>
      </c>
      <c r="F328" t="s">
        <v>1948</v>
      </c>
      <c r="G328" s="6">
        <v>1033</v>
      </c>
      <c r="H328" s="8">
        <v>121.5</v>
      </c>
      <c r="I328" s="7">
        <v>179.82</v>
      </c>
      <c r="J328" s="7">
        <v>192.74</v>
      </c>
      <c r="K328" s="6">
        <v>520</v>
      </c>
      <c r="L328" s="7">
        <v>892.56</v>
      </c>
    </row>
    <row r="329" spans="1:12" x14ac:dyDescent="0.25">
      <c r="A329" s="9">
        <v>45748</v>
      </c>
      <c r="B329" t="s">
        <v>41</v>
      </c>
      <c r="C329" t="s">
        <v>42</v>
      </c>
      <c r="D329" t="s">
        <v>34</v>
      </c>
      <c r="E329" t="s">
        <v>2064</v>
      </c>
      <c r="F329" t="s">
        <v>1946</v>
      </c>
      <c r="G329" s="6">
        <v>1220</v>
      </c>
      <c r="H329" s="8">
        <v>116.2</v>
      </c>
      <c r="I329" s="7">
        <v>171.98</v>
      </c>
      <c r="J329" s="7">
        <v>268.98</v>
      </c>
      <c r="K329" s="6">
        <v>520</v>
      </c>
      <c r="L329" s="7">
        <v>960.96</v>
      </c>
    </row>
    <row r="330" spans="1:12" x14ac:dyDescent="0.25">
      <c r="A330" s="9">
        <v>45748</v>
      </c>
      <c r="B330" t="s">
        <v>41</v>
      </c>
      <c r="C330" t="s">
        <v>42</v>
      </c>
      <c r="D330" t="s">
        <v>34</v>
      </c>
      <c r="E330" t="s">
        <v>1994</v>
      </c>
      <c r="F330" t="s">
        <v>1940</v>
      </c>
      <c r="G330" s="6">
        <v>904</v>
      </c>
      <c r="H330" s="8">
        <v>106.4</v>
      </c>
      <c r="I330" s="7">
        <v>157.47</v>
      </c>
      <c r="J330" s="7">
        <v>169.15</v>
      </c>
      <c r="K330" s="6">
        <v>380</v>
      </c>
      <c r="L330" s="7">
        <v>706.62</v>
      </c>
    </row>
    <row r="331" spans="1:12" x14ac:dyDescent="0.25">
      <c r="A331" s="9">
        <v>45748</v>
      </c>
      <c r="B331" t="s">
        <v>47</v>
      </c>
      <c r="C331" t="s">
        <v>48</v>
      </c>
      <c r="D331" t="s">
        <v>34</v>
      </c>
      <c r="E331" t="s">
        <v>2051</v>
      </c>
      <c r="F331" t="s">
        <v>1948</v>
      </c>
      <c r="G331" s="6">
        <v>1174</v>
      </c>
      <c r="H331" s="8">
        <v>138.1</v>
      </c>
      <c r="I331" s="7">
        <v>204.39</v>
      </c>
      <c r="J331" s="7">
        <v>287.76</v>
      </c>
      <c r="K331" s="6">
        <v>450</v>
      </c>
      <c r="L331" s="7">
        <v>942.15</v>
      </c>
    </row>
    <row r="332" spans="1:12" x14ac:dyDescent="0.25">
      <c r="A332" s="9">
        <v>45748</v>
      </c>
      <c r="B332" t="s">
        <v>47</v>
      </c>
      <c r="C332" t="s">
        <v>48</v>
      </c>
      <c r="D332" t="s">
        <v>34</v>
      </c>
      <c r="E332" t="s">
        <v>1943</v>
      </c>
      <c r="F332" t="s">
        <v>1942</v>
      </c>
      <c r="G332" s="6">
        <v>1068</v>
      </c>
      <c r="H332" s="8">
        <v>101.7</v>
      </c>
      <c r="I332" s="7">
        <v>150.52000000000001</v>
      </c>
      <c r="J332" s="7">
        <v>209.41</v>
      </c>
      <c r="K332" s="6">
        <v>320</v>
      </c>
      <c r="L332" s="7">
        <v>679.93</v>
      </c>
    </row>
    <row r="333" spans="1:12" x14ac:dyDescent="0.25">
      <c r="A333" s="9">
        <v>45748</v>
      </c>
      <c r="B333" t="s">
        <v>47</v>
      </c>
      <c r="C333" t="s">
        <v>48</v>
      </c>
      <c r="D333" t="s">
        <v>34</v>
      </c>
      <c r="E333" t="s">
        <v>1944</v>
      </c>
      <c r="F333" t="s">
        <v>1940</v>
      </c>
      <c r="G333" s="6">
        <v>1170</v>
      </c>
      <c r="H333" s="8">
        <v>137.6</v>
      </c>
      <c r="I333" s="7">
        <v>203.65</v>
      </c>
      <c r="J333" s="7">
        <v>50.99</v>
      </c>
      <c r="K333" s="6">
        <v>520</v>
      </c>
      <c r="L333" s="7">
        <v>774.64</v>
      </c>
    </row>
    <row r="334" spans="1:12" x14ac:dyDescent="0.25">
      <c r="A334" s="9">
        <v>45748</v>
      </c>
      <c r="B334" t="s">
        <v>47</v>
      </c>
      <c r="C334" t="s">
        <v>48</v>
      </c>
      <c r="D334" t="s">
        <v>34</v>
      </c>
      <c r="E334" t="s">
        <v>2065</v>
      </c>
      <c r="F334" t="s">
        <v>1946</v>
      </c>
      <c r="G334" s="6">
        <v>1267</v>
      </c>
      <c r="H334" s="8">
        <v>120.7</v>
      </c>
      <c r="I334" s="7">
        <v>178.64</v>
      </c>
      <c r="J334" s="7">
        <v>220.98</v>
      </c>
      <c r="K334" s="6">
        <v>520</v>
      </c>
      <c r="L334" s="7">
        <v>919.62</v>
      </c>
    </row>
    <row r="335" spans="1:12" x14ac:dyDescent="0.25">
      <c r="A335" s="9">
        <v>45748</v>
      </c>
      <c r="B335" t="s">
        <v>47</v>
      </c>
      <c r="C335" t="s">
        <v>48</v>
      </c>
      <c r="D335" t="s">
        <v>34</v>
      </c>
      <c r="E335" t="s">
        <v>1961</v>
      </c>
      <c r="F335" t="s">
        <v>1946</v>
      </c>
      <c r="G335" s="6">
        <v>859</v>
      </c>
      <c r="H335" s="8">
        <v>81.8</v>
      </c>
      <c r="I335" s="7">
        <v>121.06</v>
      </c>
      <c r="J335" s="7">
        <v>153.04</v>
      </c>
      <c r="K335" s="6">
        <v>380</v>
      </c>
      <c r="L335" s="7">
        <v>654.1</v>
      </c>
    </row>
    <row r="336" spans="1:12" x14ac:dyDescent="0.25">
      <c r="A336" s="9">
        <v>45748</v>
      </c>
      <c r="B336" t="s">
        <v>47</v>
      </c>
      <c r="C336" t="s">
        <v>48</v>
      </c>
      <c r="D336" t="s">
        <v>34</v>
      </c>
      <c r="E336" t="s">
        <v>2053</v>
      </c>
      <c r="F336" t="s">
        <v>1940</v>
      </c>
      <c r="G336" s="6">
        <v>1220</v>
      </c>
      <c r="H336" s="8">
        <v>143.5</v>
      </c>
      <c r="I336" s="7">
        <v>212.38</v>
      </c>
      <c r="J336" s="7">
        <v>133.25</v>
      </c>
      <c r="K336" s="6">
        <v>320</v>
      </c>
      <c r="L336" s="7">
        <v>665.63</v>
      </c>
    </row>
    <row r="337" spans="1:12" x14ac:dyDescent="0.25">
      <c r="A337" s="9">
        <v>45748</v>
      </c>
      <c r="B337" t="s">
        <v>47</v>
      </c>
      <c r="C337" t="s">
        <v>48</v>
      </c>
      <c r="D337" t="s">
        <v>34</v>
      </c>
      <c r="E337" t="s">
        <v>2031</v>
      </c>
      <c r="F337" t="s">
        <v>1946</v>
      </c>
      <c r="G337" s="6">
        <v>1318</v>
      </c>
      <c r="H337" s="8">
        <v>125.5</v>
      </c>
      <c r="I337" s="7">
        <v>185.74</v>
      </c>
      <c r="J337" s="7">
        <v>339.11</v>
      </c>
      <c r="K337" s="6">
        <v>320</v>
      </c>
      <c r="L337" s="7">
        <v>844.85</v>
      </c>
    </row>
    <row r="338" spans="1:12" x14ac:dyDescent="0.25">
      <c r="A338" s="9">
        <v>45748</v>
      </c>
      <c r="B338" t="s">
        <v>121</v>
      </c>
      <c r="C338" t="s">
        <v>122</v>
      </c>
      <c r="D338" t="s">
        <v>34</v>
      </c>
      <c r="E338" t="s">
        <v>1995</v>
      </c>
      <c r="F338" t="s">
        <v>1942</v>
      </c>
      <c r="G338" s="6">
        <v>853</v>
      </c>
      <c r="H338" s="8">
        <v>81.2</v>
      </c>
      <c r="I338" s="7">
        <v>120.18</v>
      </c>
      <c r="J338" s="7">
        <v>39.520000000000003</v>
      </c>
      <c r="K338" s="6">
        <v>380</v>
      </c>
      <c r="L338" s="7">
        <v>539.70000000000005</v>
      </c>
    </row>
    <row r="339" spans="1:12" x14ac:dyDescent="0.25">
      <c r="A339" s="9">
        <v>45748</v>
      </c>
      <c r="B339" t="s">
        <v>121</v>
      </c>
      <c r="C339" t="s">
        <v>122</v>
      </c>
      <c r="D339" t="s">
        <v>34</v>
      </c>
      <c r="E339" t="s">
        <v>2066</v>
      </c>
      <c r="F339" t="s">
        <v>1942</v>
      </c>
      <c r="G339" s="6">
        <v>1125</v>
      </c>
      <c r="H339" s="8">
        <v>107.1</v>
      </c>
      <c r="I339" s="7">
        <v>158.51</v>
      </c>
      <c r="J339" s="7">
        <v>207.73</v>
      </c>
      <c r="K339" s="6">
        <v>380</v>
      </c>
      <c r="L339" s="7">
        <v>746.24</v>
      </c>
    </row>
    <row r="340" spans="1:12" x14ac:dyDescent="0.25">
      <c r="A340" s="9">
        <v>45748</v>
      </c>
      <c r="B340" t="s">
        <v>121</v>
      </c>
      <c r="C340" t="s">
        <v>122</v>
      </c>
      <c r="D340" t="s">
        <v>34</v>
      </c>
      <c r="E340" t="s">
        <v>1953</v>
      </c>
      <c r="F340" t="s">
        <v>1940</v>
      </c>
      <c r="G340" s="6">
        <v>992</v>
      </c>
      <c r="H340" s="8">
        <v>116.7</v>
      </c>
      <c r="I340" s="7">
        <v>172.72</v>
      </c>
      <c r="J340" s="7">
        <v>266.26</v>
      </c>
      <c r="K340" s="6">
        <v>520</v>
      </c>
      <c r="L340" s="7">
        <v>958.98</v>
      </c>
    </row>
    <row r="341" spans="1:12" x14ac:dyDescent="0.25">
      <c r="A341" s="9">
        <v>45748</v>
      </c>
      <c r="B341" t="s">
        <v>121</v>
      </c>
      <c r="C341" t="s">
        <v>122</v>
      </c>
      <c r="D341" t="s">
        <v>34</v>
      </c>
      <c r="E341" t="s">
        <v>2051</v>
      </c>
      <c r="F341" t="s">
        <v>1948</v>
      </c>
      <c r="G341" s="6">
        <v>715</v>
      </c>
      <c r="H341" s="8">
        <v>84.1</v>
      </c>
      <c r="I341" s="7">
        <v>124.47</v>
      </c>
      <c r="J341" s="7">
        <v>305.43</v>
      </c>
      <c r="K341" s="6">
        <v>380</v>
      </c>
      <c r="L341" s="7">
        <v>809.9</v>
      </c>
    </row>
    <row r="342" spans="1:12" x14ac:dyDescent="0.25">
      <c r="A342" s="9">
        <v>45748</v>
      </c>
      <c r="B342" t="s">
        <v>121</v>
      </c>
      <c r="C342" t="s">
        <v>122</v>
      </c>
      <c r="D342" t="s">
        <v>34</v>
      </c>
      <c r="E342" t="s">
        <v>1957</v>
      </c>
      <c r="F342" t="s">
        <v>1940</v>
      </c>
      <c r="G342" s="6">
        <v>898</v>
      </c>
      <c r="H342" s="8">
        <v>105.6</v>
      </c>
      <c r="I342" s="7">
        <v>156.29</v>
      </c>
      <c r="J342" s="7">
        <v>287.55</v>
      </c>
      <c r="K342" s="6">
        <v>380</v>
      </c>
      <c r="L342" s="7">
        <v>823.84</v>
      </c>
    </row>
    <row r="343" spans="1:12" x14ac:dyDescent="0.25">
      <c r="A343" s="9">
        <v>45748</v>
      </c>
      <c r="B343" t="s">
        <v>121</v>
      </c>
      <c r="C343" t="s">
        <v>122</v>
      </c>
      <c r="D343" t="s">
        <v>34</v>
      </c>
      <c r="E343" t="s">
        <v>2009</v>
      </c>
      <c r="F343" t="s">
        <v>1948</v>
      </c>
      <c r="G343" s="6">
        <v>1548</v>
      </c>
      <c r="H343" s="8">
        <v>182.1</v>
      </c>
      <c r="I343" s="7">
        <v>269.51</v>
      </c>
      <c r="J343" s="7">
        <v>188.67</v>
      </c>
      <c r="K343" s="6">
        <v>320</v>
      </c>
      <c r="L343" s="7">
        <v>778.18</v>
      </c>
    </row>
    <row r="344" spans="1:12" x14ac:dyDescent="0.25">
      <c r="A344" s="9">
        <v>45748</v>
      </c>
      <c r="B344" t="s">
        <v>201</v>
      </c>
      <c r="C344" t="s">
        <v>202</v>
      </c>
      <c r="D344" t="s">
        <v>64</v>
      </c>
      <c r="E344" t="s">
        <v>2046</v>
      </c>
      <c r="F344" t="s">
        <v>1940</v>
      </c>
      <c r="G344" s="6">
        <v>912</v>
      </c>
      <c r="H344" s="8">
        <v>107.3</v>
      </c>
      <c r="I344" s="7">
        <v>158.80000000000001</v>
      </c>
      <c r="J344" s="7">
        <v>218.77</v>
      </c>
      <c r="K344" s="6">
        <v>520</v>
      </c>
      <c r="L344" s="7">
        <v>897.57</v>
      </c>
    </row>
    <row r="345" spans="1:12" x14ac:dyDescent="0.25">
      <c r="A345" s="9">
        <v>45748</v>
      </c>
      <c r="B345" t="s">
        <v>201</v>
      </c>
      <c r="C345" t="s">
        <v>202</v>
      </c>
      <c r="D345" t="s">
        <v>64</v>
      </c>
      <c r="E345" t="s">
        <v>1949</v>
      </c>
      <c r="F345" t="s">
        <v>1940</v>
      </c>
      <c r="G345" s="6">
        <v>953</v>
      </c>
      <c r="H345" s="8">
        <v>112.1</v>
      </c>
      <c r="I345" s="7">
        <v>165.91</v>
      </c>
      <c r="J345" s="7">
        <v>146.37</v>
      </c>
      <c r="K345" s="6">
        <v>520</v>
      </c>
      <c r="L345" s="7">
        <v>832.28</v>
      </c>
    </row>
    <row r="346" spans="1:12" x14ac:dyDescent="0.25">
      <c r="A346" s="9">
        <v>45748</v>
      </c>
      <c r="B346" t="s">
        <v>201</v>
      </c>
      <c r="C346" t="s">
        <v>202</v>
      </c>
      <c r="D346" t="s">
        <v>64</v>
      </c>
      <c r="E346" t="s">
        <v>2047</v>
      </c>
      <c r="F346" t="s">
        <v>1948</v>
      </c>
      <c r="G346" s="6">
        <v>1056</v>
      </c>
      <c r="H346" s="8">
        <v>124.2</v>
      </c>
      <c r="I346" s="7">
        <v>183.82</v>
      </c>
      <c r="J346" s="7">
        <v>96.43</v>
      </c>
      <c r="K346" s="6">
        <v>520</v>
      </c>
      <c r="L346" s="7">
        <v>800.25</v>
      </c>
    </row>
    <row r="347" spans="1:12" x14ac:dyDescent="0.25">
      <c r="A347" s="9">
        <v>45748</v>
      </c>
      <c r="B347" t="s">
        <v>201</v>
      </c>
      <c r="C347" t="s">
        <v>202</v>
      </c>
      <c r="D347" t="s">
        <v>64</v>
      </c>
      <c r="E347" t="s">
        <v>1975</v>
      </c>
      <c r="F347" t="s">
        <v>1946</v>
      </c>
      <c r="G347" s="6">
        <v>1046</v>
      </c>
      <c r="H347" s="8">
        <v>99.6</v>
      </c>
      <c r="I347" s="7">
        <v>147.41</v>
      </c>
      <c r="J347" s="7">
        <v>94.82</v>
      </c>
      <c r="K347" s="6">
        <v>380</v>
      </c>
      <c r="L347" s="7">
        <v>622.23</v>
      </c>
    </row>
    <row r="348" spans="1:12" x14ac:dyDescent="0.25">
      <c r="A348" s="9">
        <v>45748</v>
      </c>
      <c r="B348" t="s">
        <v>201</v>
      </c>
      <c r="C348" t="s">
        <v>202</v>
      </c>
      <c r="D348" t="s">
        <v>64</v>
      </c>
      <c r="E348" t="s">
        <v>1972</v>
      </c>
      <c r="F348" t="s">
        <v>1942</v>
      </c>
      <c r="G348" s="6">
        <v>926</v>
      </c>
      <c r="H348" s="8">
        <v>88.2</v>
      </c>
      <c r="I348" s="7">
        <v>130.54</v>
      </c>
      <c r="J348" s="7">
        <v>265.49</v>
      </c>
      <c r="K348" s="6">
        <v>380</v>
      </c>
      <c r="L348" s="7">
        <v>776.03</v>
      </c>
    </row>
    <row r="349" spans="1:12" x14ac:dyDescent="0.25">
      <c r="A349" s="9">
        <v>45748</v>
      </c>
      <c r="B349" t="s">
        <v>118</v>
      </c>
      <c r="C349" t="s">
        <v>119</v>
      </c>
      <c r="D349" t="s">
        <v>64</v>
      </c>
      <c r="E349" t="s">
        <v>1993</v>
      </c>
      <c r="F349" t="s">
        <v>1948</v>
      </c>
      <c r="G349" s="6">
        <v>735</v>
      </c>
      <c r="H349" s="8">
        <v>86.5</v>
      </c>
      <c r="I349" s="7">
        <v>128.02000000000001</v>
      </c>
      <c r="J349" s="7">
        <v>315.06</v>
      </c>
      <c r="K349" s="6">
        <v>520</v>
      </c>
      <c r="L349" s="7">
        <v>963.08</v>
      </c>
    </row>
    <row r="350" spans="1:12" x14ac:dyDescent="0.25">
      <c r="A350" s="9">
        <v>45748</v>
      </c>
      <c r="B350" t="s">
        <v>118</v>
      </c>
      <c r="C350" t="s">
        <v>119</v>
      </c>
      <c r="D350" t="s">
        <v>64</v>
      </c>
      <c r="E350" t="s">
        <v>1990</v>
      </c>
      <c r="F350" t="s">
        <v>1946</v>
      </c>
      <c r="G350" s="6">
        <v>980</v>
      </c>
      <c r="H350" s="8">
        <v>93.3</v>
      </c>
      <c r="I350" s="7">
        <v>138.08000000000001</v>
      </c>
      <c r="J350" s="7">
        <v>127.62</v>
      </c>
      <c r="K350" s="6">
        <v>450</v>
      </c>
      <c r="L350" s="7">
        <v>715.7</v>
      </c>
    </row>
    <row r="351" spans="1:12" x14ac:dyDescent="0.25">
      <c r="A351" s="9">
        <v>45748</v>
      </c>
      <c r="B351" t="s">
        <v>118</v>
      </c>
      <c r="C351" t="s">
        <v>119</v>
      </c>
      <c r="D351" t="s">
        <v>64</v>
      </c>
      <c r="E351" t="s">
        <v>1997</v>
      </c>
      <c r="F351" t="s">
        <v>1942</v>
      </c>
      <c r="G351" s="6">
        <v>1247</v>
      </c>
      <c r="H351" s="8">
        <v>118.8</v>
      </c>
      <c r="I351" s="7">
        <v>175.82</v>
      </c>
      <c r="J351" s="7">
        <v>177.2</v>
      </c>
      <c r="K351" s="6">
        <v>380</v>
      </c>
      <c r="L351" s="7">
        <v>733.02</v>
      </c>
    </row>
    <row r="352" spans="1:12" x14ac:dyDescent="0.25">
      <c r="A352" s="9">
        <v>45748</v>
      </c>
      <c r="B352" t="s">
        <v>62</v>
      </c>
      <c r="C352" t="s">
        <v>63</v>
      </c>
      <c r="D352" t="s">
        <v>64</v>
      </c>
      <c r="E352" t="s">
        <v>1991</v>
      </c>
      <c r="F352" t="s">
        <v>1940</v>
      </c>
      <c r="G352" s="6">
        <v>1192</v>
      </c>
      <c r="H352" s="8">
        <v>140.19999999999999</v>
      </c>
      <c r="I352" s="7">
        <v>207.5</v>
      </c>
      <c r="J352" s="7">
        <v>227.45</v>
      </c>
      <c r="K352" s="6">
        <v>450</v>
      </c>
      <c r="L352" s="7">
        <v>884.95</v>
      </c>
    </row>
    <row r="353" spans="1:12" x14ac:dyDescent="0.25">
      <c r="A353" s="9">
        <v>45748</v>
      </c>
      <c r="B353" t="s">
        <v>62</v>
      </c>
      <c r="C353" t="s">
        <v>63</v>
      </c>
      <c r="D353" t="s">
        <v>64</v>
      </c>
      <c r="E353" t="s">
        <v>2067</v>
      </c>
      <c r="F353" t="s">
        <v>1948</v>
      </c>
      <c r="G353" s="6">
        <v>967</v>
      </c>
      <c r="H353" s="8">
        <v>113.8</v>
      </c>
      <c r="I353" s="7">
        <v>168.42</v>
      </c>
      <c r="J353" s="7">
        <v>201.02</v>
      </c>
      <c r="K353" s="6">
        <v>520</v>
      </c>
      <c r="L353" s="7">
        <v>889.44</v>
      </c>
    </row>
    <row r="354" spans="1:12" x14ac:dyDescent="0.25">
      <c r="A354" s="9">
        <v>45748</v>
      </c>
      <c r="B354" t="s">
        <v>62</v>
      </c>
      <c r="C354" t="s">
        <v>63</v>
      </c>
      <c r="D354" t="s">
        <v>64</v>
      </c>
      <c r="E354" t="s">
        <v>1989</v>
      </c>
      <c r="F354" t="s">
        <v>1948</v>
      </c>
      <c r="G354" s="6">
        <v>778</v>
      </c>
      <c r="H354" s="8">
        <v>91.5</v>
      </c>
      <c r="I354" s="7">
        <v>135.41999999999999</v>
      </c>
      <c r="J354" s="7">
        <v>183.97</v>
      </c>
      <c r="K354" s="6">
        <v>380</v>
      </c>
      <c r="L354" s="7">
        <v>699.39</v>
      </c>
    </row>
    <row r="355" spans="1:12" x14ac:dyDescent="0.25">
      <c r="A355" s="9">
        <v>45748</v>
      </c>
      <c r="B355" t="s">
        <v>62</v>
      </c>
      <c r="C355" t="s">
        <v>63</v>
      </c>
      <c r="D355" t="s">
        <v>64</v>
      </c>
      <c r="E355" t="s">
        <v>2014</v>
      </c>
      <c r="F355" t="s">
        <v>1946</v>
      </c>
      <c r="G355" s="6">
        <v>1787</v>
      </c>
      <c r="H355" s="8">
        <v>170.2</v>
      </c>
      <c r="I355" s="7">
        <v>251.9</v>
      </c>
      <c r="J355" s="7">
        <v>249.57</v>
      </c>
      <c r="K355" s="6">
        <v>320</v>
      </c>
      <c r="L355" s="7">
        <v>821.47</v>
      </c>
    </row>
    <row r="356" spans="1:12" x14ac:dyDescent="0.25">
      <c r="A356" s="9">
        <v>45748</v>
      </c>
      <c r="B356" t="s">
        <v>62</v>
      </c>
      <c r="C356" t="s">
        <v>63</v>
      </c>
      <c r="D356" t="s">
        <v>64</v>
      </c>
      <c r="E356" t="s">
        <v>1980</v>
      </c>
      <c r="F356" t="s">
        <v>1946</v>
      </c>
      <c r="G356" s="6">
        <v>712</v>
      </c>
      <c r="H356" s="8">
        <v>67.8</v>
      </c>
      <c r="I356" s="7">
        <v>100.34</v>
      </c>
      <c r="J356" s="7">
        <v>44.2</v>
      </c>
      <c r="K356" s="6">
        <v>520</v>
      </c>
      <c r="L356" s="7">
        <v>664.54</v>
      </c>
    </row>
    <row r="357" spans="1:12" x14ac:dyDescent="0.25">
      <c r="A357" s="9">
        <v>45748</v>
      </c>
      <c r="B357" t="s">
        <v>91</v>
      </c>
      <c r="C357" t="s">
        <v>92</v>
      </c>
      <c r="D357" t="s">
        <v>64</v>
      </c>
      <c r="E357" t="s">
        <v>1966</v>
      </c>
      <c r="F357" t="s">
        <v>1948</v>
      </c>
      <c r="G357" s="6">
        <v>1170</v>
      </c>
      <c r="H357" s="8">
        <v>137.6</v>
      </c>
      <c r="I357" s="7">
        <v>203.65</v>
      </c>
      <c r="J357" s="7">
        <v>293.77999999999997</v>
      </c>
      <c r="K357" s="6">
        <v>450</v>
      </c>
      <c r="L357" s="7">
        <v>947.43</v>
      </c>
    </row>
    <row r="358" spans="1:12" x14ac:dyDescent="0.25">
      <c r="A358" s="9">
        <v>45748</v>
      </c>
      <c r="B358" t="s">
        <v>91</v>
      </c>
      <c r="C358" t="s">
        <v>92</v>
      </c>
      <c r="D358" t="s">
        <v>64</v>
      </c>
      <c r="E358" t="s">
        <v>2018</v>
      </c>
      <c r="F358" t="s">
        <v>1940</v>
      </c>
      <c r="G358" s="6">
        <v>1187</v>
      </c>
      <c r="H358" s="8">
        <v>139.6</v>
      </c>
      <c r="I358" s="7">
        <v>206.61</v>
      </c>
      <c r="J358" s="7">
        <v>129.6</v>
      </c>
      <c r="K358" s="6">
        <v>520</v>
      </c>
      <c r="L358" s="7">
        <v>856.21</v>
      </c>
    </row>
    <row r="359" spans="1:12" x14ac:dyDescent="0.25">
      <c r="A359" s="9">
        <v>45748</v>
      </c>
      <c r="B359" t="s">
        <v>91</v>
      </c>
      <c r="C359" t="s">
        <v>92</v>
      </c>
      <c r="D359" t="s">
        <v>64</v>
      </c>
      <c r="E359" t="s">
        <v>1953</v>
      </c>
      <c r="F359" t="s">
        <v>1946</v>
      </c>
      <c r="G359" s="6">
        <v>1018</v>
      </c>
      <c r="H359" s="8">
        <v>97</v>
      </c>
      <c r="I359" s="7">
        <v>143.56</v>
      </c>
      <c r="J359" s="7">
        <v>176.23</v>
      </c>
      <c r="K359" s="6">
        <v>380</v>
      </c>
      <c r="L359" s="7">
        <v>699.79</v>
      </c>
    </row>
    <row r="360" spans="1:12" x14ac:dyDescent="0.25">
      <c r="A360" s="9">
        <v>45748</v>
      </c>
      <c r="B360" t="s">
        <v>91</v>
      </c>
      <c r="C360" t="s">
        <v>92</v>
      </c>
      <c r="D360" t="s">
        <v>64</v>
      </c>
      <c r="E360" t="s">
        <v>2030</v>
      </c>
      <c r="F360" t="s">
        <v>1948</v>
      </c>
      <c r="G360" s="6">
        <v>1071</v>
      </c>
      <c r="H360" s="8">
        <v>126</v>
      </c>
      <c r="I360" s="7">
        <v>186.48</v>
      </c>
      <c r="J360" s="7">
        <v>72.459999999999994</v>
      </c>
      <c r="K360" s="6">
        <v>450</v>
      </c>
      <c r="L360" s="7">
        <v>708.94</v>
      </c>
    </row>
    <row r="361" spans="1:12" x14ac:dyDescent="0.25">
      <c r="A361" s="9">
        <v>45748</v>
      </c>
      <c r="B361" t="s">
        <v>91</v>
      </c>
      <c r="C361" t="s">
        <v>92</v>
      </c>
      <c r="D361" t="s">
        <v>64</v>
      </c>
      <c r="E361" t="s">
        <v>1978</v>
      </c>
      <c r="F361" t="s">
        <v>1942</v>
      </c>
      <c r="G361" s="6">
        <v>992</v>
      </c>
      <c r="H361" s="8">
        <v>94.5</v>
      </c>
      <c r="I361" s="7">
        <v>139.86000000000001</v>
      </c>
      <c r="J361" s="7">
        <v>81.89</v>
      </c>
      <c r="K361" s="6">
        <v>380</v>
      </c>
      <c r="L361" s="7">
        <v>601.75</v>
      </c>
    </row>
    <row r="362" spans="1:12" x14ac:dyDescent="0.25">
      <c r="A362" s="9">
        <v>45748</v>
      </c>
      <c r="B362" t="s">
        <v>91</v>
      </c>
      <c r="C362" t="s">
        <v>92</v>
      </c>
      <c r="D362" t="s">
        <v>64</v>
      </c>
      <c r="E362" t="s">
        <v>2020</v>
      </c>
      <c r="F362" t="s">
        <v>1948</v>
      </c>
      <c r="G362" s="6">
        <v>1093</v>
      </c>
      <c r="H362" s="8">
        <v>128.6</v>
      </c>
      <c r="I362" s="7">
        <v>190.33</v>
      </c>
      <c r="J362" s="7">
        <v>488.82</v>
      </c>
      <c r="K362" s="6">
        <v>380</v>
      </c>
      <c r="L362" s="7">
        <v>1059.1500000000001</v>
      </c>
    </row>
    <row r="363" spans="1:12" x14ac:dyDescent="0.25">
      <c r="A363" s="9">
        <v>45748</v>
      </c>
      <c r="B363" t="s">
        <v>91</v>
      </c>
      <c r="C363" t="s">
        <v>92</v>
      </c>
      <c r="D363" t="s">
        <v>64</v>
      </c>
      <c r="E363" t="s">
        <v>1958</v>
      </c>
      <c r="F363" t="s">
        <v>1942</v>
      </c>
      <c r="G363" s="6">
        <v>1141</v>
      </c>
      <c r="H363" s="8">
        <v>108.7</v>
      </c>
      <c r="I363" s="7">
        <v>160.88</v>
      </c>
      <c r="J363" s="7">
        <v>124.92</v>
      </c>
      <c r="K363" s="6">
        <v>380</v>
      </c>
      <c r="L363" s="7">
        <v>665.8</v>
      </c>
    </row>
    <row r="364" spans="1:12" x14ac:dyDescent="0.25">
      <c r="A364" s="9">
        <v>45748</v>
      </c>
      <c r="B364" t="s">
        <v>80</v>
      </c>
      <c r="C364" t="s">
        <v>81</v>
      </c>
      <c r="D364" t="s">
        <v>64</v>
      </c>
      <c r="E364" t="s">
        <v>2010</v>
      </c>
      <c r="F364" t="s">
        <v>1942</v>
      </c>
      <c r="G364" s="6">
        <v>1280</v>
      </c>
      <c r="H364" s="8">
        <v>121.9</v>
      </c>
      <c r="I364" s="7">
        <v>180.41</v>
      </c>
      <c r="J364" s="7">
        <v>188.62</v>
      </c>
      <c r="K364" s="6">
        <v>520</v>
      </c>
      <c r="L364" s="7">
        <v>889.03</v>
      </c>
    </row>
    <row r="365" spans="1:12" x14ac:dyDescent="0.25">
      <c r="A365" s="9">
        <v>45748</v>
      </c>
      <c r="B365" t="s">
        <v>80</v>
      </c>
      <c r="C365" t="s">
        <v>81</v>
      </c>
      <c r="D365" t="s">
        <v>64</v>
      </c>
      <c r="E365" t="s">
        <v>1982</v>
      </c>
      <c r="F365" t="s">
        <v>1942</v>
      </c>
      <c r="G365" s="6">
        <v>1155</v>
      </c>
      <c r="H365" s="8">
        <v>110</v>
      </c>
      <c r="I365" s="7">
        <v>162.80000000000001</v>
      </c>
      <c r="J365" s="7">
        <v>198.55</v>
      </c>
      <c r="K365" s="6">
        <v>450</v>
      </c>
      <c r="L365" s="7">
        <v>811.35</v>
      </c>
    </row>
    <row r="366" spans="1:12" x14ac:dyDescent="0.25">
      <c r="A366" s="9">
        <v>45748</v>
      </c>
      <c r="B366" t="s">
        <v>80</v>
      </c>
      <c r="C366" t="s">
        <v>81</v>
      </c>
      <c r="D366" t="s">
        <v>64</v>
      </c>
      <c r="E366" t="s">
        <v>1959</v>
      </c>
      <c r="F366" t="s">
        <v>1946</v>
      </c>
      <c r="G366" s="6">
        <v>1564</v>
      </c>
      <c r="H366" s="8">
        <v>149</v>
      </c>
      <c r="I366" s="7">
        <v>220.52</v>
      </c>
      <c r="J366" s="7">
        <v>59.53</v>
      </c>
      <c r="K366" s="6">
        <v>450</v>
      </c>
      <c r="L366" s="7">
        <v>730.05</v>
      </c>
    </row>
    <row r="367" spans="1:12" x14ac:dyDescent="0.25">
      <c r="A367" s="9">
        <v>45748</v>
      </c>
      <c r="B367" t="s">
        <v>80</v>
      </c>
      <c r="C367" t="s">
        <v>81</v>
      </c>
      <c r="D367" t="s">
        <v>64</v>
      </c>
      <c r="E367" t="s">
        <v>2055</v>
      </c>
      <c r="F367" t="s">
        <v>1940</v>
      </c>
      <c r="G367" s="6">
        <v>1168</v>
      </c>
      <c r="H367" s="8">
        <v>137.4</v>
      </c>
      <c r="I367" s="7">
        <v>203.35</v>
      </c>
      <c r="J367" s="7">
        <v>75.89</v>
      </c>
      <c r="K367" s="6">
        <v>520</v>
      </c>
      <c r="L367" s="7">
        <v>799.24</v>
      </c>
    </row>
    <row r="368" spans="1:12" x14ac:dyDescent="0.25">
      <c r="A368" s="9">
        <v>45748</v>
      </c>
      <c r="B368" t="s">
        <v>80</v>
      </c>
      <c r="C368" t="s">
        <v>81</v>
      </c>
      <c r="D368" t="s">
        <v>64</v>
      </c>
      <c r="E368" t="s">
        <v>2061</v>
      </c>
      <c r="F368" t="s">
        <v>1946</v>
      </c>
      <c r="G368" s="6">
        <v>1188</v>
      </c>
      <c r="H368" s="8">
        <v>113.1</v>
      </c>
      <c r="I368" s="7">
        <v>167.39</v>
      </c>
      <c r="J368" s="7">
        <v>76.510000000000005</v>
      </c>
      <c r="K368" s="6">
        <v>520</v>
      </c>
      <c r="L368" s="7">
        <v>763.9</v>
      </c>
    </row>
    <row r="369" spans="1:12" x14ac:dyDescent="0.25">
      <c r="A369" s="9">
        <v>45748</v>
      </c>
      <c r="B369" t="s">
        <v>80</v>
      </c>
      <c r="C369" t="s">
        <v>81</v>
      </c>
      <c r="D369" t="s">
        <v>64</v>
      </c>
      <c r="E369" t="s">
        <v>1943</v>
      </c>
      <c r="F369" t="s">
        <v>1948</v>
      </c>
      <c r="G369" s="6">
        <v>945</v>
      </c>
      <c r="H369" s="8">
        <v>111.2</v>
      </c>
      <c r="I369" s="7">
        <v>164.58</v>
      </c>
      <c r="J369" s="7">
        <v>226.39</v>
      </c>
      <c r="K369" s="6">
        <v>320</v>
      </c>
      <c r="L369" s="7">
        <v>710.97</v>
      </c>
    </row>
    <row r="370" spans="1:12" x14ac:dyDescent="0.25">
      <c r="A370" s="9">
        <v>45748</v>
      </c>
      <c r="B370" t="s">
        <v>80</v>
      </c>
      <c r="C370" t="s">
        <v>81</v>
      </c>
      <c r="D370" t="s">
        <v>64</v>
      </c>
      <c r="E370" t="s">
        <v>1941</v>
      </c>
      <c r="F370" t="s">
        <v>1942</v>
      </c>
      <c r="G370" s="6">
        <v>1293</v>
      </c>
      <c r="H370" s="8">
        <v>123.1</v>
      </c>
      <c r="I370" s="7">
        <v>182.19</v>
      </c>
      <c r="J370" s="7">
        <v>223.48</v>
      </c>
      <c r="K370" s="6">
        <v>520</v>
      </c>
      <c r="L370" s="7">
        <v>925.67</v>
      </c>
    </row>
    <row r="371" spans="1:12" x14ac:dyDescent="0.25">
      <c r="A371" s="9">
        <v>45748</v>
      </c>
      <c r="B371" t="s">
        <v>56</v>
      </c>
      <c r="C371" t="s">
        <v>57</v>
      </c>
      <c r="D371" t="s">
        <v>58</v>
      </c>
      <c r="E371" t="s">
        <v>1991</v>
      </c>
      <c r="F371" t="s">
        <v>1948</v>
      </c>
      <c r="G371" s="6">
        <v>738</v>
      </c>
      <c r="H371" s="8">
        <v>86.8</v>
      </c>
      <c r="I371" s="7">
        <v>128.46</v>
      </c>
      <c r="J371" s="7">
        <v>254.39</v>
      </c>
      <c r="K371" s="6">
        <v>320</v>
      </c>
      <c r="L371" s="7">
        <v>702.85</v>
      </c>
    </row>
    <row r="372" spans="1:12" x14ac:dyDescent="0.25">
      <c r="A372" s="9">
        <v>45748</v>
      </c>
      <c r="B372" t="s">
        <v>56</v>
      </c>
      <c r="C372" t="s">
        <v>57</v>
      </c>
      <c r="D372" t="s">
        <v>58</v>
      </c>
      <c r="E372" t="s">
        <v>1995</v>
      </c>
      <c r="F372" t="s">
        <v>1946</v>
      </c>
      <c r="G372" s="6">
        <v>872</v>
      </c>
      <c r="H372" s="8">
        <v>83</v>
      </c>
      <c r="I372" s="7">
        <v>122.84</v>
      </c>
      <c r="J372" s="7">
        <v>49.32</v>
      </c>
      <c r="K372" s="6">
        <v>320</v>
      </c>
      <c r="L372" s="7">
        <v>492.16</v>
      </c>
    </row>
    <row r="373" spans="1:12" x14ac:dyDescent="0.25">
      <c r="A373" s="9">
        <v>45748</v>
      </c>
      <c r="B373" t="s">
        <v>56</v>
      </c>
      <c r="C373" t="s">
        <v>57</v>
      </c>
      <c r="D373" t="s">
        <v>58</v>
      </c>
      <c r="E373" t="s">
        <v>2068</v>
      </c>
      <c r="F373" t="s">
        <v>1948</v>
      </c>
      <c r="G373" s="6">
        <v>995</v>
      </c>
      <c r="H373" s="8">
        <v>117.1</v>
      </c>
      <c r="I373" s="7">
        <v>173.31</v>
      </c>
      <c r="J373" s="7">
        <v>225.32</v>
      </c>
      <c r="K373" s="6">
        <v>380</v>
      </c>
      <c r="L373" s="7">
        <v>778.63</v>
      </c>
    </row>
    <row r="374" spans="1:12" x14ac:dyDescent="0.25">
      <c r="A374" s="9">
        <v>45748</v>
      </c>
      <c r="B374" t="s">
        <v>56</v>
      </c>
      <c r="C374" t="s">
        <v>57</v>
      </c>
      <c r="D374" t="s">
        <v>58</v>
      </c>
      <c r="E374" t="s">
        <v>1961</v>
      </c>
      <c r="F374" t="s">
        <v>1948</v>
      </c>
      <c r="G374" s="6">
        <v>1656</v>
      </c>
      <c r="H374" s="8">
        <v>194.8</v>
      </c>
      <c r="I374" s="7">
        <v>288.3</v>
      </c>
      <c r="J374" s="7">
        <v>284.64</v>
      </c>
      <c r="K374" s="6">
        <v>450</v>
      </c>
      <c r="L374" s="7">
        <v>1022.94</v>
      </c>
    </row>
    <row r="375" spans="1:12" x14ac:dyDescent="0.25">
      <c r="A375" s="9">
        <v>45748</v>
      </c>
      <c r="B375" t="s">
        <v>56</v>
      </c>
      <c r="C375" t="s">
        <v>57</v>
      </c>
      <c r="D375" t="s">
        <v>58</v>
      </c>
      <c r="E375" t="s">
        <v>1966</v>
      </c>
      <c r="F375" t="s">
        <v>1940</v>
      </c>
      <c r="G375" s="6">
        <v>705</v>
      </c>
      <c r="H375" s="8">
        <v>82.9</v>
      </c>
      <c r="I375" s="7">
        <v>122.69</v>
      </c>
      <c r="J375" s="7">
        <v>104.82</v>
      </c>
      <c r="K375" s="6">
        <v>320</v>
      </c>
      <c r="L375" s="7">
        <v>547.51</v>
      </c>
    </row>
    <row r="376" spans="1:12" x14ac:dyDescent="0.25">
      <c r="A376" s="9">
        <v>45748</v>
      </c>
      <c r="B376" t="s">
        <v>56</v>
      </c>
      <c r="C376" t="s">
        <v>57</v>
      </c>
      <c r="D376" t="s">
        <v>58</v>
      </c>
      <c r="E376" t="s">
        <v>2041</v>
      </c>
      <c r="F376" t="s">
        <v>1948</v>
      </c>
      <c r="G376" s="6">
        <v>1305</v>
      </c>
      <c r="H376" s="8">
        <v>153.5</v>
      </c>
      <c r="I376" s="7">
        <v>227.18</v>
      </c>
      <c r="J376" s="7">
        <v>417.08</v>
      </c>
      <c r="K376" s="6">
        <v>320</v>
      </c>
      <c r="L376" s="7">
        <v>964.26</v>
      </c>
    </row>
    <row r="377" spans="1:12" x14ac:dyDescent="0.25">
      <c r="A377" s="9">
        <v>45748</v>
      </c>
      <c r="B377" t="s">
        <v>77</v>
      </c>
      <c r="C377" t="s">
        <v>78</v>
      </c>
      <c r="D377" t="s">
        <v>58</v>
      </c>
      <c r="E377" t="s">
        <v>1953</v>
      </c>
      <c r="F377" t="s">
        <v>1946</v>
      </c>
      <c r="G377" s="6">
        <v>653</v>
      </c>
      <c r="H377" s="8">
        <v>62.2</v>
      </c>
      <c r="I377" s="7">
        <v>92.06</v>
      </c>
      <c r="J377" s="7">
        <v>0</v>
      </c>
      <c r="K377" s="6">
        <v>380</v>
      </c>
      <c r="L377" s="7">
        <v>472.06</v>
      </c>
    </row>
    <row r="378" spans="1:12" x14ac:dyDescent="0.25">
      <c r="A378" s="9">
        <v>45748</v>
      </c>
      <c r="B378" t="s">
        <v>77</v>
      </c>
      <c r="C378" t="s">
        <v>78</v>
      </c>
      <c r="D378" t="s">
        <v>58</v>
      </c>
      <c r="E378" t="s">
        <v>2069</v>
      </c>
      <c r="F378" t="s">
        <v>1940</v>
      </c>
      <c r="G378" s="6">
        <v>1517</v>
      </c>
      <c r="H378" s="8">
        <v>178.5</v>
      </c>
      <c r="I378" s="7">
        <v>264.18</v>
      </c>
      <c r="J378" s="7">
        <v>181.17</v>
      </c>
      <c r="K378" s="6">
        <v>380</v>
      </c>
      <c r="L378" s="7">
        <v>825.35</v>
      </c>
    </row>
    <row r="379" spans="1:12" x14ac:dyDescent="0.25">
      <c r="A379" s="9">
        <v>45748</v>
      </c>
      <c r="B379" t="s">
        <v>77</v>
      </c>
      <c r="C379" t="s">
        <v>78</v>
      </c>
      <c r="D379" t="s">
        <v>58</v>
      </c>
      <c r="E379" t="s">
        <v>2059</v>
      </c>
      <c r="F379" t="s">
        <v>1946</v>
      </c>
      <c r="G379" s="6">
        <v>832</v>
      </c>
      <c r="H379" s="8">
        <v>79.2</v>
      </c>
      <c r="I379" s="7">
        <v>117.22</v>
      </c>
      <c r="J379" s="7">
        <v>192.77</v>
      </c>
      <c r="K379" s="6">
        <v>450</v>
      </c>
      <c r="L379" s="7">
        <v>759.99</v>
      </c>
    </row>
    <row r="380" spans="1:12" x14ac:dyDescent="0.25">
      <c r="A380" s="9">
        <v>45748</v>
      </c>
      <c r="B380" t="s">
        <v>77</v>
      </c>
      <c r="C380" t="s">
        <v>78</v>
      </c>
      <c r="D380" t="s">
        <v>58</v>
      </c>
      <c r="E380" t="s">
        <v>1992</v>
      </c>
      <c r="F380" t="s">
        <v>1940</v>
      </c>
      <c r="G380" s="6">
        <v>391</v>
      </c>
      <c r="H380" s="8">
        <v>46</v>
      </c>
      <c r="I380" s="7">
        <v>68.08</v>
      </c>
      <c r="J380" s="7">
        <v>150.27000000000001</v>
      </c>
      <c r="K380" s="6">
        <v>380</v>
      </c>
      <c r="L380" s="7">
        <v>598.35</v>
      </c>
    </row>
    <row r="381" spans="1:12" x14ac:dyDescent="0.25">
      <c r="A381" s="9">
        <v>45748</v>
      </c>
      <c r="B381" t="s">
        <v>77</v>
      </c>
      <c r="C381" t="s">
        <v>78</v>
      </c>
      <c r="D381" t="s">
        <v>58</v>
      </c>
      <c r="E381" t="s">
        <v>1987</v>
      </c>
      <c r="F381" t="s">
        <v>1940</v>
      </c>
      <c r="G381" s="6">
        <v>1131</v>
      </c>
      <c r="H381" s="8">
        <v>133.1</v>
      </c>
      <c r="I381" s="7">
        <v>196.99</v>
      </c>
      <c r="J381" s="7">
        <v>223.94</v>
      </c>
      <c r="K381" s="6">
        <v>380</v>
      </c>
      <c r="L381" s="7">
        <v>800.93</v>
      </c>
    </row>
    <row r="382" spans="1:12" x14ac:dyDescent="0.25">
      <c r="A382" s="9">
        <v>45748</v>
      </c>
      <c r="B382" t="s">
        <v>77</v>
      </c>
      <c r="C382" t="s">
        <v>78</v>
      </c>
      <c r="D382" t="s">
        <v>58</v>
      </c>
      <c r="E382" t="s">
        <v>2021</v>
      </c>
      <c r="F382" t="s">
        <v>1940</v>
      </c>
      <c r="G382" s="6">
        <v>796</v>
      </c>
      <c r="H382" s="8">
        <v>93.6</v>
      </c>
      <c r="I382" s="7">
        <v>138.53</v>
      </c>
      <c r="J382" s="7">
        <v>156.85</v>
      </c>
      <c r="K382" s="6">
        <v>450</v>
      </c>
      <c r="L382" s="7">
        <v>745.38</v>
      </c>
    </row>
    <row r="383" spans="1:12" x14ac:dyDescent="0.25">
      <c r="A383" s="9">
        <v>45748</v>
      </c>
      <c r="B383" t="s">
        <v>110</v>
      </c>
      <c r="C383" t="s">
        <v>111</v>
      </c>
      <c r="D383" t="s">
        <v>58</v>
      </c>
      <c r="E383" t="s">
        <v>2049</v>
      </c>
      <c r="F383" t="s">
        <v>1942</v>
      </c>
      <c r="G383" s="6">
        <v>818</v>
      </c>
      <c r="H383" s="8">
        <v>77.900000000000006</v>
      </c>
      <c r="I383" s="7">
        <v>115.29</v>
      </c>
      <c r="J383" s="7">
        <v>170.43</v>
      </c>
      <c r="K383" s="6">
        <v>520</v>
      </c>
      <c r="L383" s="7">
        <v>805.72</v>
      </c>
    </row>
    <row r="384" spans="1:12" x14ac:dyDescent="0.25">
      <c r="A384" s="9">
        <v>45748</v>
      </c>
      <c r="B384" t="s">
        <v>110</v>
      </c>
      <c r="C384" t="s">
        <v>111</v>
      </c>
      <c r="D384" t="s">
        <v>58</v>
      </c>
      <c r="E384" t="s">
        <v>2068</v>
      </c>
      <c r="F384" t="s">
        <v>1942</v>
      </c>
      <c r="G384" s="6">
        <v>826</v>
      </c>
      <c r="H384" s="8">
        <v>78.7</v>
      </c>
      <c r="I384" s="7">
        <v>116.48</v>
      </c>
      <c r="J384" s="7">
        <v>117.35</v>
      </c>
      <c r="K384" s="6">
        <v>520</v>
      </c>
      <c r="L384" s="7">
        <v>753.83</v>
      </c>
    </row>
    <row r="385" spans="1:12" x14ac:dyDescent="0.25">
      <c r="A385" s="9">
        <v>45748</v>
      </c>
      <c r="B385" t="s">
        <v>110</v>
      </c>
      <c r="C385" t="s">
        <v>111</v>
      </c>
      <c r="D385" t="s">
        <v>58</v>
      </c>
      <c r="E385" t="s">
        <v>2014</v>
      </c>
      <c r="F385" t="s">
        <v>1946</v>
      </c>
      <c r="G385" s="6">
        <v>801</v>
      </c>
      <c r="H385" s="8">
        <v>76.3</v>
      </c>
      <c r="I385" s="7">
        <v>112.92</v>
      </c>
      <c r="J385" s="7">
        <v>202.09</v>
      </c>
      <c r="K385" s="6">
        <v>380</v>
      </c>
      <c r="L385" s="7">
        <v>695.01</v>
      </c>
    </row>
    <row r="386" spans="1:12" x14ac:dyDescent="0.25">
      <c r="A386" s="9">
        <v>45748</v>
      </c>
      <c r="B386" t="s">
        <v>110</v>
      </c>
      <c r="C386" t="s">
        <v>111</v>
      </c>
      <c r="D386" t="s">
        <v>58</v>
      </c>
      <c r="E386" t="s">
        <v>1979</v>
      </c>
      <c r="F386" t="s">
        <v>1942</v>
      </c>
      <c r="G386" s="6">
        <v>1264</v>
      </c>
      <c r="H386" s="8">
        <v>120.4</v>
      </c>
      <c r="I386" s="7">
        <v>178.19</v>
      </c>
      <c r="J386" s="7">
        <v>131.22999999999999</v>
      </c>
      <c r="K386" s="6">
        <v>520</v>
      </c>
      <c r="L386" s="7">
        <v>829.42</v>
      </c>
    </row>
    <row r="387" spans="1:12" x14ac:dyDescent="0.25">
      <c r="A387" s="9">
        <v>45748</v>
      </c>
      <c r="B387" t="s">
        <v>85</v>
      </c>
      <c r="C387" t="s">
        <v>86</v>
      </c>
      <c r="D387" t="s">
        <v>58</v>
      </c>
      <c r="E387" t="s">
        <v>1997</v>
      </c>
      <c r="F387" t="s">
        <v>1946</v>
      </c>
      <c r="G387" s="6">
        <v>1059</v>
      </c>
      <c r="H387" s="8">
        <v>100.9</v>
      </c>
      <c r="I387" s="7">
        <v>149.33000000000001</v>
      </c>
      <c r="J387" s="7">
        <v>34.11</v>
      </c>
      <c r="K387" s="6">
        <v>450</v>
      </c>
      <c r="L387" s="7">
        <v>633.44000000000005</v>
      </c>
    </row>
    <row r="388" spans="1:12" x14ac:dyDescent="0.25">
      <c r="A388" s="9">
        <v>45748</v>
      </c>
      <c r="B388" t="s">
        <v>85</v>
      </c>
      <c r="C388" t="s">
        <v>86</v>
      </c>
      <c r="D388" t="s">
        <v>58</v>
      </c>
      <c r="E388" t="s">
        <v>2062</v>
      </c>
      <c r="F388" t="s">
        <v>1946</v>
      </c>
      <c r="G388" s="6">
        <v>975</v>
      </c>
      <c r="H388" s="8">
        <v>92.9</v>
      </c>
      <c r="I388" s="7">
        <v>137.49</v>
      </c>
      <c r="J388" s="7">
        <v>145.97999999999999</v>
      </c>
      <c r="K388" s="6">
        <v>450</v>
      </c>
      <c r="L388" s="7">
        <v>733.47</v>
      </c>
    </row>
    <row r="389" spans="1:12" x14ac:dyDescent="0.25">
      <c r="A389" s="9">
        <v>45748</v>
      </c>
      <c r="B389" t="s">
        <v>85</v>
      </c>
      <c r="C389" t="s">
        <v>86</v>
      </c>
      <c r="D389" t="s">
        <v>58</v>
      </c>
      <c r="E389" t="s">
        <v>1963</v>
      </c>
      <c r="F389" t="s">
        <v>1940</v>
      </c>
      <c r="G389" s="6">
        <v>1705</v>
      </c>
      <c r="H389" s="8">
        <v>200.6</v>
      </c>
      <c r="I389" s="7">
        <v>296.89</v>
      </c>
      <c r="J389" s="7">
        <v>61.04</v>
      </c>
      <c r="K389" s="6">
        <v>520</v>
      </c>
      <c r="L389" s="7">
        <v>877.93</v>
      </c>
    </row>
    <row r="390" spans="1:12" x14ac:dyDescent="0.25">
      <c r="A390" s="9">
        <v>45748</v>
      </c>
      <c r="B390" t="s">
        <v>85</v>
      </c>
      <c r="C390" t="s">
        <v>86</v>
      </c>
      <c r="D390" t="s">
        <v>58</v>
      </c>
      <c r="E390" t="s">
        <v>2003</v>
      </c>
      <c r="F390" t="s">
        <v>1940</v>
      </c>
      <c r="G390" s="6">
        <v>1416</v>
      </c>
      <c r="H390" s="8">
        <v>166.6</v>
      </c>
      <c r="I390" s="7">
        <v>246.57</v>
      </c>
      <c r="J390" s="7">
        <v>229.75</v>
      </c>
      <c r="K390" s="6">
        <v>450</v>
      </c>
      <c r="L390" s="7">
        <v>926.32</v>
      </c>
    </row>
    <row r="391" spans="1:12" x14ac:dyDescent="0.25">
      <c r="A391" s="9">
        <v>45748</v>
      </c>
      <c r="B391" t="s">
        <v>85</v>
      </c>
      <c r="C391" t="s">
        <v>86</v>
      </c>
      <c r="D391" t="s">
        <v>58</v>
      </c>
      <c r="E391" t="s">
        <v>1999</v>
      </c>
      <c r="F391" t="s">
        <v>1940</v>
      </c>
      <c r="G391" s="6">
        <v>1120</v>
      </c>
      <c r="H391" s="8">
        <v>131.80000000000001</v>
      </c>
      <c r="I391" s="7">
        <v>195.06</v>
      </c>
      <c r="J391" s="7">
        <v>290.69</v>
      </c>
      <c r="K391" s="6">
        <v>450</v>
      </c>
      <c r="L391" s="7">
        <v>935.75</v>
      </c>
    </row>
    <row r="392" spans="1:12" x14ac:dyDescent="0.25">
      <c r="A392" s="9">
        <v>45748</v>
      </c>
      <c r="B392" t="s">
        <v>103</v>
      </c>
      <c r="C392" t="s">
        <v>104</v>
      </c>
      <c r="D392" t="s">
        <v>58</v>
      </c>
      <c r="E392" t="s">
        <v>1962</v>
      </c>
      <c r="F392" t="s">
        <v>1940</v>
      </c>
      <c r="G392" s="6">
        <v>1143</v>
      </c>
      <c r="H392" s="8">
        <v>134.5</v>
      </c>
      <c r="I392" s="7">
        <v>199.06</v>
      </c>
      <c r="J392" s="7">
        <v>181.13</v>
      </c>
      <c r="K392" s="6">
        <v>520</v>
      </c>
      <c r="L392" s="7">
        <v>900.19</v>
      </c>
    </row>
    <row r="393" spans="1:12" x14ac:dyDescent="0.25">
      <c r="A393" s="9">
        <v>45748</v>
      </c>
      <c r="B393" t="s">
        <v>103</v>
      </c>
      <c r="C393" t="s">
        <v>104</v>
      </c>
      <c r="D393" t="s">
        <v>58</v>
      </c>
      <c r="E393" t="s">
        <v>2006</v>
      </c>
      <c r="F393" t="s">
        <v>1948</v>
      </c>
      <c r="G393" s="6">
        <v>1036</v>
      </c>
      <c r="H393" s="8">
        <v>121.9</v>
      </c>
      <c r="I393" s="7">
        <v>180.41</v>
      </c>
      <c r="J393" s="7">
        <v>347.89</v>
      </c>
      <c r="K393" s="6">
        <v>380</v>
      </c>
      <c r="L393" s="7">
        <v>908.3</v>
      </c>
    </row>
    <row r="394" spans="1:12" x14ac:dyDescent="0.25">
      <c r="A394" s="9">
        <v>45748</v>
      </c>
      <c r="B394" t="s">
        <v>103</v>
      </c>
      <c r="C394" t="s">
        <v>104</v>
      </c>
      <c r="D394" t="s">
        <v>58</v>
      </c>
      <c r="E394" t="s">
        <v>2031</v>
      </c>
      <c r="F394" t="s">
        <v>1940</v>
      </c>
      <c r="G394" s="6">
        <v>1324</v>
      </c>
      <c r="H394" s="8">
        <v>155.80000000000001</v>
      </c>
      <c r="I394" s="7">
        <v>230.58</v>
      </c>
      <c r="J394" s="7">
        <v>99.95</v>
      </c>
      <c r="K394" s="6">
        <v>320</v>
      </c>
      <c r="L394" s="7">
        <v>650.53</v>
      </c>
    </row>
    <row r="395" spans="1:12" x14ac:dyDescent="0.25">
      <c r="A395" s="9">
        <v>45778</v>
      </c>
      <c r="B395" t="s">
        <v>100</v>
      </c>
      <c r="C395" t="s">
        <v>101</v>
      </c>
      <c r="D395" t="s">
        <v>69</v>
      </c>
      <c r="E395" t="s">
        <v>1984</v>
      </c>
      <c r="F395" t="s">
        <v>1940</v>
      </c>
      <c r="G395" s="6">
        <v>720</v>
      </c>
      <c r="H395" s="8">
        <v>84.7</v>
      </c>
      <c r="I395" s="7">
        <v>125.36</v>
      </c>
      <c r="J395" s="7">
        <v>133.76</v>
      </c>
      <c r="K395" s="6">
        <v>380</v>
      </c>
      <c r="L395" s="7">
        <v>639.12</v>
      </c>
    </row>
    <row r="396" spans="1:12" x14ac:dyDescent="0.25">
      <c r="A396" s="9">
        <v>45778</v>
      </c>
      <c r="B396" t="s">
        <v>100</v>
      </c>
      <c r="C396" t="s">
        <v>101</v>
      </c>
      <c r="D396" t="s">
        <v>69</v>
      </c>
      <c r="E396" t="s">
        <v>2059</v>
      </c>
      <c r="F396" t="s">
        <v>1940</v>
      </c>
      <c r="G396" s="6">
        <v>849</v>
      </c>
      <c r="H396" s="8">
        <v>99.9</v>
      </c>
      <c r="I396" s="7">
        <v>147.85</v>
      </c>
      <c r="J396" s="7">
        <v>144.91999999999999</v>
      </c>
      <c r="K396" s="6">
        <v>520</v>
      </c>
      <c r="L396" s="7">
        <v>812.77</v>
      </c>
    </row>
    <row r="397" spans="1:12" x14ac:dyDescent="0.25">
      <c r="A397" s="9">
        <v>45778</v>
      </c>
      <c r="B397" t="s">
        <v>100</v>
      </c>
      <c r="C397" t="s">
        <v>101</v>
      </c>
      <c r="D397" t="s">
        <v>69</v>
      </c>
      <c r="E397" t="s">
        <v>2041</v>
      </c>
      <c r="F397" t="s">
        <v>1940</v>
      </c>
      <c r="G397" s="6">
        <v>1359</v>
      </c>
      <c r="H397" s="8">
        <v>159.9</v>
      </c>
      <c r="I397" s="7">
        <v>236.65</v>
      </c>
      <c r="J397" s="7">
        <v>113.42</v>
      </c>
      <c r="K397" s="6">
        <v>380</v>
      </c>
      <c r="L397" s="7">
        <v>730.07</v>
      </c>
    </row>
    <row r="398" spans="1:12" x14ac:dyDescent="0.25">
      <c r="A398" s="9">
        <v>45778</v>
      </c>
      <c r="B398" t="s">
        <v>100</v>
      </c>
      <c r="C398" t="s">
        <v>101</v>
      </c>
      <c r="D398" t="s">
        <v>69</v>
      </c>
      <c r="E398" t="s">
        <v>2030</v>
      </c>
      <c r="F398" t="s">
        <v>1942</v>
      </c>
      <c r="G398" s="6">
        <v>1039</v>
      </c>
      <c r="H398" s="8">
        <v>99</v>
      </c>
      <c r="I398" s="7">
        <v>146.52000000000001</v>
      </c>
      <c r="J398" s="7">
        <v>154.63999999999999</v>
      </c>
      <c r="K398" s="6">
        <v>450</v>
      </c>
      <c r="L398" s="7">
        <v>751.16</v>
      </c>
    </row>
    <row r="399" spans="1:12" x14ac:dyDescent="0.25">
      <c r="A399" s="9">
        <v>45778</v>
      </c>
      <c r="B399" t="s">
        <v>113</v>
      </c>
      <c r="C399" t="s">
        <v>114</v>
      </c>
      <c r="D399" t="s">
        <v>69</v>
      </c>
      <c r="E399" t="s">
        <v>2064</v>
      </c>
      <c r="F399" t="s">
        <v>1948</v>
      </c>
      <c r="G399" s="6">
        <v>1262</v>
      </c>
      <c r="H399" s="8">
        <v>148.5</v>
      </c>
      <c r="I399" s="7">
        <v>219.78</v>
      </c>
      <c r="J399" s="7">
        <v>70.25</v>
      </c>
      <c r="K399" s="6">
        <v>450</v>
      </c>
      <c r="L399" s="7">
        <v>740.03</v>
      </c>
    </row>
    <row r="400" spans="1:12" x14ac:dyDescent="0.25">
      <c r="A400" s="9">
        <v>45778</v>
      </c>
      <c r="B400" t="s">
        <v>113</v>
      </c>
      <c r="C400" t="s">
        <v>114</v>
      </c>
      <c r="D400" t="s">
        <v>69</v>
      </c>
      <c r="E400" t="s">
        <v>1976</v>
      </c>
      <c r="F400" t="s">
        <v>1940</v>
      </c>
      <c r="G400" s="6">
        <v>898</v>
      </c>
      <c r="H400" s="8">
        <v>105.6</v>
      </c>
      <c r="I400" s="7">
        <v>156.29</v>
      </c>
      <c r="J400" s="7">
        <v>166.9</v>
      </c>
      <c r="K400" s="6">
        <v>520</v>
      </c>
      <c r="L400" s="7">
        <v>843.19</v>
      </c>
    </row>
    <row r="401" spans="1:12" x14ac:dyDescent="0.25">
      <c r="A401" s="9">
        <v>45778</v>
      </c>
      <c r="B401" t="s">
        <v>113</v>
      </c>
      <c r="C401" t="s">
        <v>114</v>
      </c>
      <c r="D401" t="s">
        <v>69</v>
      </c>
      <c r="E401" t="s">
        <v>2065</v>
      </c>
      <c r="F401" t="s">
        <v>1940</v>
      </c>
      <c r="G401" s="6">
        <v>1350</v>
      </c>
      <c r="H401" s="8">
        <v>158.80000000000001</v>
      </c>
      <c r="I401" s="7">
        <v>235.02</v>
      </c>
      <c r="J401" s="7">
        <v>110.65</v>
      </c>
      <c r="K401" s="6">
        <v>520</v>
      </c>
      <c r="L401" s="7">
        <v>865.67</v>
      </c>
    </row>
    <row r="402" spans="1:12" x14ac:dyDescent="0.25">
      <c r="A402" s="9">
        <v>45778</v>
      </c>
      <c r="B402" t="s">
        <v>113</v>
      </c>
      <c r="C402" t="s">
        <v>114</v>
      </c>
      <c r="D402" t="s">
        <v>69</v>
      </c>
      <c r="E402" t="s">
        <v>2054</v>
      </c>
      <c r="F402" t="s">
        <v>1940</v>
      </c>
      <c r="G402" s="6">
        <v>580</v>
      </c>
      <c r="H402" s="8">
        <v>68.2</v>
      </c>
      <c r="I402" s="7">
        <v>100.94</v>
      </c>
      <c r="J402" s="7">
        <v>199.58</v>
      </c>
      <c r="K402" s="6">
        <v>450</v>
      </c>
      <c r="L402" s="7">
        <v>750.52</v>
      </c>
    </row>
    <row r="403" spans="1:12" x14ac:dyDescent="0.25">
      <c r="A403" s="9">
        <v>45778</v>
      </c>
      <c r="B403" t="s">
        <v>113</v>
      </c>
      <c r="C403" t="s">
        <v>114</v>
      </c>
      <c r="D403" t="s">
        <v>69</v>
      </c>
      <c r="E403" t="s">
        <v>2002</v>
      </c>
      <c r="F403" t="s">
        <v>1942</v>
      </c>
      <c r="G403" s="6">
        <v>891</v>
      </c>
      <c r="H403" s="8">
        <v>84.9</v>
      </c>
      <c r="I403" s="7">
        <v>125.65</v>
      </c>
      <c r="J403" s="7">
        <v>54.83</v>
      </c>
      <c r="K403" s="6">
        <v>450</v>
      </c>
      <c r="L403" s="7">
        <v>630.48</v>
      </c>
    </row>
    <row r="404" spans="1:12" x14ac:dyDescent="0.25">
      <c r="A404" s="9">
        <v>45778</v>
      </c>
      <c r="B404" t="s">
        <v>143</v>
      </c>
      <c r="C404" t="s">
        <v>144</v>
      </c>
      <c r="D404" t="s">
        <v>69</v>
      </c>
      <c r="E404" t="s">
        <v>1962</v>
      </c>
      <c r="F404" t="s">
        <v>1946</v>
      </c>
      <c r="G404" s="6">
        <v>893</v>
      </c>
      <c r="H404" s="8">
        <v>85</v>
      </c>
      <c r="I404" s="7">
        <v>125.8</v>
      </c>
      <c r="J404" s="7">
        <v>135.24</v>
      </c>
      <c r="K404" s="6">
        <v>380</v>
      </c>
      <c r="L404" s="7">
        <v>641.04</v>
      </c>
    </row>
    <row r="405" spans="1:12" x14ac:dyDescent="0.25">
      <c r="A405" s="9">
        <v>45778</v>
      </c>
      <c r="B405" t="s">
        <v>143</v>
      </c>
      <c r="C405" t="s">
        <v>144</v>
      </c>
      <c r="D405" t="s">
        <v>69</v>
      </c>
      <c r="E405" t="s">
        <v>2046</v>
      </c>
      <c r="F405" t="s">
        <v>1946</v>
      </c>
      <c r="G405" s="6">
        <v>898</v>
      </c>
      <c r="H405" s="8">
        <v>85.5</v>
      </c>
      <c r="I405" s="7">
        <v>126.54</v>
      </c>
      <c r="J405" s="7">
        <v>0</v>
      </c>
      <c r="K405" s="6">
        <v>320</v>
      </c>
      <c r="L405" s="7">
        <v>446.54</v>
      </c>
    </row>
    <row r="406" spans="1:12" x14ac:dyDescent="0.25">
      <c r="A406" s="9">
        <v>45778</v>
      </c>
      <c r="B406" t="s">
        <v>143</v>
      </c>
      <c r="C406" t="s">
        <v>144</v>
      </c>
      <c r="D406" t="s">
        <v>69</v>
      </c>
      <c r="E406" t="s">
        <v>2047</v>
      </c>
      <c r="F406" t="s">
        <v>1948</v>
      </c>
      <c r="G406" s="6">
        <v>1274</v>
      </c>
      <c r="H406" s="8">
        <v>149.9</v>
      </c>
      <c r="I406" s="7">
        <v>221.85</v>
      </c>
      <c r="J406" s="7">
        <v>351.99</v>
      </c>
      <c r="K406" s="6">
        <v>380</v>
      </c>
      <c r="L406" s="7">
        <v>953.84</v>
      </c>
    </row>
    <row r="407" spans="1:12" x14ac:dyDescent="0.25">
      <c r="A407" s="9">
        <v>45778</v>
      </c>
      <c r="B407" t="s">
        <v>143</v>
      </c>
      <c r="C407" t="s">
        <v>144</v>
      </c>
      <c r="D407" t="s">
        <v>69</v>
      </c>
      <c r="E407" t="s">
        <v>2060</v>
      </c>
      <c r="F407" t="s">
        <v>1942</v>
      </c>
      <c r="G407" s="6">
        <v>1212</v>
      </c>
      <c r="H407" s="8">
        <v>115.4</v>
      </c>
      <c r="I407" s="7">
        <v>170.79</v>
      </c>
      <c r="J407" s="7">
        <v>58.99</v>
      </c>
      <c r="K407" s="6">
        <v>320</v>
      </c>
      <c r="L407" s="7">
        <v>549.78</v>
      </c>
    </row>
    <row r="408" spans="1:12" x14ac:dyDescent="0.25">
      <c r="A408" s="9">
        <v>45778</v>
      </c>
      <c r="B408" t="s">
        <v>143</v>
      </c>
      <c r="C408" t="s">
        <v>144</v>
      </c>
      <c r="D408" t="s">
        <v>69</v>
      </c>
      <c r="E408" t="s">
        <v>2070</v>
      </c>
      <c r="F408" t="s">
        <v>1940</v>
      </c>
      <c r="G408" s="6">
        <v>999</v>
      </c>
      <c r="H408" s="8">
        <v>117.5</v>
      </c>
      <c r="I408" s="7">
        <v>173.9</v>
      </c>
      <c r="J408" s="7">
        <v>149.47999999999999</v>
      </c>
      <c r="K408" s="6">
        <v>320</v>
      </c>
      <c r="L408" s="7">
        <v>643.38</v>
      </c>
    </row>
    <row r="409" spans="1:12" x14ac:dyDescent="0.25">
      <c r="A409" s="9">
        <v>45778</v>
      </c>
      <c r="B409" t="s">
        <v>143</v>
      </c>
      <c r="C409" t="s">
        <v>144</v>
      </c>
      <c r="D409" t="s">
        <v>69</v>
      </c>
      <c r="E409" t="s">
        <v>2065</v>
      </c>
      <c r="F409" t="s">
        <v>1948</v>
      </c>
      <c r="G409" s="6">
        <v>1199</v>
      </c>
      <c r="H409" s="8">
        <v>141.1</v>
      </c>
      <c r="I409" s="7">
        <v>208.83</v>
      </c>
      <c r="J409" s="7">
        <v>303.47000000000003</v>
      </c>
      <c r="K409" s="6">
        <v>450</v>
      </c>
      <c r="L409" s="7">
        <v>962.3</v>
      </c>
    </row>
    <row r="410" spans="1:12" x14ac:dyDescent="0.25">
      <c r="A410" s="9">
        <v>45778</v>
      </c>
      <c r="B410" t="s">
        <v>73</v>
      </c>
      <c r="C410" t="s">
        <v>74</v>
      </c>
      <c r="D410" t="s">
        <v>69</v>
      </c>
      <c r="E410" t="s">
        <v>1974</v>
      </c>
      <c r="F410" t="s">
        <v>1946</v>
      </c>
      <c r="G410" s="6">
        <v>866</v>
      </c>
      <c r="H410" s="8">
        <v>82.5</v>
      </c>
      <c r="I410" s="7">
        <v>122.1</v>
      </c>
      <c r="J410" s="7">
        <v>156.56</v>
      </c>
      <c r="K410" s="6">
        <v>520</v>
      </c>
      <c r="L410" s="7">
        <v>798.66</v>
      </c>
    </row>
    <row r="411" spans="1:12" x14ac:dyDescent="0.25">
      <c r="A411" s="9">
        <v>45778</v>
      </c>
      <c r="B411" t="s">
        <v>73</v>
      </c>
      <c r="C411" t="s">
        <v>74</v>
      </c>
      <c r="D411" t="s">
        <v>69</v>
      </c>
      <c r="E411" t="s">
        <v>1989</v>
      </c>
      <c r="F411" t="s">
        <v>1946</v>
      </c>
      <c r="G411" s="6">
        <v>1164</v>
      </c>
      <c r="H411" s="8">
        <v>110.9</v>
      </c>
      <c r="I411" s="7">
        <v>164.13</v>
      </c>
      <c r="J411" s="7">
        <v>266.47000000000003</v>
      </c>
      <c r="K411" s="6">
        <v>450</v>
      </c>
      <c r="L411" s="7">
        <v>880.6</v>
      </c>
    </row>
    <row r="412" spans="1:12" x14ac:dyDescent="0.25">
      <c r="A412" s="9">
        <v>45778</v>
      </c>
      <c r="B412" t="s">
        <v>73</v>
      </c>
      <c r="C412" t="s">
        <v>74</v>
      </c>
      <c r="D412" t="s">
        <v>69</v>
      </c>
      <c r="E412" t="s">
        <v>2014</v>
      </c>
      <c r="F412" t="s">
        <v>1946</v>
      </c>
      <c r="G412" s="6">
        <v>1226</v>
      </c>
      <c r="H412" s="8">
        <v>116.8</v>
      </c>
      <c r="I412" s="7">
        <v>172.86</v>
      </c>
      <c r="J412" s="7">
        <v>213.12</v>
      </c>
      <c r="K412" s="6">
        <v>450</v>
      </c>
      <c r="L412" s="7">
        <v>835.98</v>
      </c>
    </row>
    <row r="413" spans="1:12" x14ac:dyDescent="0.25">
      <c r="A413" s="9">
        <v>45778</v>
      </c>
      <c r="B413" t="s">
        <v>73</v>
      </c>
      <c r="C413" t="s">
        <v>74</v>
      </c>
      <c r="D413" t="s">
        <v>69</v>
      </c>
      <c r="E413" t="s">
        <v>1951</v>
      </c>
      <c r="F413" t="s">
        <v>1948</v>
      </c>
      <c r="G413" s="6">
        <v>1070</v>
      </c>
      <c r="H413" s="8">
        <v>125.9</v>
      </c>
      <c r="I413" s="7">
        <v>186.33</v>
      </c>
      <c r="J413" s="7">
        <v>362.84</v>
      </c>
      <c r="K413" s="6">
        <v>520</v>
      </c>
      <c r="L413" s="7">
        <v>1069.17</v>
      </c>
    </row>
    <row r="414" spans="1:12" x14ac:dyDescent="0.25">
      <c r="A414" s="9">
        <v>45778</v>
      </c>
      <c r="B414" t="s">
        <v>73</v>
      </c>
      <c r="C414" t="s">
        <v>74</v>
      </c>
      <c r="D414" t="s">
        <v>69</v>
      </c>
      <c r="E414" t="s">
        <v>1950</v>
      </c>
      <c r="F414" t="s">
        <v>1946</v>
      </c>
      <c r="G414" s="6">
        <v>1152</v>
      </c>
      <c r="H414" s="8">
        <v>109.7</v>
      </c>
      <c r="I414" s="7">
        <v>162.36000000000001</v>
      </c>
      <c r="J414" s="7">
        <v>81.11</v>
      </c>
      <c r="K414" s="6">
        <v>380</v>
      </c>
      <c r="L414" s="7">
        <v>623.47</v>
      </c>
    </row>
    <row r="415" spans="1:12" x14ac:dyDescent="0.25">
      <c r="A415" s="9">
        <v>45778</v>
      </c>
      <c r="B415" t="s">
        <v>73</v>
      </c>
      <c r="C415" t="s">
        <v>74</v>
      </c>
      <c r="D415" t="s">
        <v>69</v>
      </c>
      <c r="E415" t="s">
        <v>1943</v>
      </c>
      <c r="F415" t="s">
        <v>1942</v>
      </c>
      <c r="G415" s="6">
        <v>1400</v>
      </c>
      <c r="H415" s="8">
        <v>133.30000000000001</v>
      </c>
      <c r="I415" s="7">
        <v>197.28</v>
      </c>
      <c r="J415" s="7">
        <v>205.83</v>
      </c>
      <c r="K415" s="6">
        <v>320</v>
      </c>
      <c r="L415" s="7">
        <v>723.11</v>
      </c>
    </row>
    <row r="416" spans="1:12" x14ac:dyDescent="0.25">
      <c r="A416" s="9">
        <v>45778</v>
      </c>
      <c r="B416" t="s">
        <v>73</v>
      </c>
      <c r="C416" t="s">
        <v>74</v>
      </c>
      <c r="D416" t="s">
        <v>69</v>
      </c>
      <c r="E416" t="s">
        <v>2049</v>
      </c>
      <c r="F416" t="s">
        <v>1942</v>
      </c>
      <c r="G416" s="6">
        <v>939</v>
      </c>
      <c r="H416" s="8">
        <v>89.4</v>
      </c>
      <c r="I416" s="7">
        <v>132.31</v>
      </c>
      <c r="J416" s="7">
        <v>111.64</v>
      </c>
      <c r="K416" s="6">
        <v>320</v>
      </c>
      <c r="L416" s="7">
        <v>563.95000000000005</v>
      </c>
    </row>
    <row r="417" spans="1:12" x14ac:dyDescent="0.25">
      <c r="A417" s="9">
        <v>45778</v>
      </c>
      <c r="B417" t="s">
        <v>67</v>
      </c>
      <c r="C417" t="s">
        <v>68</v>
      </c>
      <c r="D417" t="s">
        <v>69</v>
      </c>
      <c r="E417" t="s">
        <v>2071</v>
      </c>
      <c r="F417" t="s">
        <v>1946</v>
      </c>
      <c r="G417" s="6">
        <v>1124</v>
      </c>
      <c r="H417" s="8">
        <v>107</v>
      </c>
      <c r="I417" s="7">
        <v>158.36000000000001</v>
      </c>
      <c r="J417" s="7">
        <v>187.05</v>
      </c>
      <c r="K417" s="6">
        <v>380</v>
      </c>
      <c r="L417" s="7">
        <v>725.41</v>
      </c>
    </row>
    <row r="418" spans="1:12" x14ac:dyDescent="0.25">
      <c r="A418" s="9">
        <v>45778</v>
      </c>
      <c r="B418" t="s">
        <v>67</v>
      </c>
      <c r="C418" t="s">
        <v>68</v>
      </c>
      <c r="D418" t="s">
        <v>69</v>
      </c>
      <c r="E418" t="s">
        <v>2004</v>
      </c>
      <c r="F418" t="s">
        <v>1942</v>
      </c>
      <c r="G418" s="6">
        <v>1099</v>
      </c>
      <c r="H418" s="8">
        <v>104.7</v>
      </c>
      <c r="I418" s="7">
        <v>154.96</v>
      </c>
      <c r="J418" s="7">
        <v>174.9</v>
      </c>
      <c r="K418" s="6">
        <v>450</v>
      </c>
      <c r="L418" s="7">
        <v>779.86</v>
      </c>
    </row>
    <row r="419" spans="1:12" x14ac:dyDescent="0.25">
      <c r="A419" s="9">
        <v>45778</v>
      </c>
      <c r="B419" t="s">
        <v>67</v>
      </c>
      <c r="C419" t="s">
        <v>68</v>
      </c>
      <c r="D419" t="s">
        <v>69</v>
      </c>
      <c r="E419" t="s">
        <v>2055</v>
      </c>
      <c r="F419" t="s">
        <v>1942</v>
      </c>
      <c r="G419" s="6">
        <v>1474</v>
      </c>
      <c r="H419" s="8">
        <v>140.4</v>
      </c>
      <c r="I419" s="7">
        <v>207.79</v>
      </c>
      <c r="J419" s="7">
        <v>235.72</v>
      </c>
      <c r="K419" s="6">
        <v>520</v>
      </c>
      <c r="L419" s="7">
        <v>963.51</v>
      </c>
    </row>
    <row r="420" spans="1:12" x14ac:dyDescent="0.25">
      <c r="A420" s="9">
        <v>45778</v>
      </c>
      <c r="B420" t="s">
        <v>67</v>
      </c>
      <c r="C420" t="s">
        <v>68</v>
      </c>
      <c r="D420" t="s">
        <v>69</v>
      </c>
      <c r="E420" t="s">
        <v>2045</v>
      </c>
      <c r="F420" t="s">
        <v>1940</v>
      </c>
      <c r="G420" s="6">
        <v>1097</v>
      </c>
      <c r="H420" s="8">
        <v>129.1</v>
      </c>
      <c r="I420" s="7">
        <v>191.07</v>
      </c>
      <c r="J420" s="7">
        <v>225.3</v>
      </c>
      <c r="K420" s="6">
        <v>380</v>
      </c>
      <c r="L420" s="7">
        <v>796.37</v>
      </c>
    </row>
    <row r="421" spans="1:12" x14ac:dyDescent="0.25">
      <c r="A421" s="9">
        <v>45778</v>
      </c>
      <c r="B421" t="s">
        <v>67</v>
      </c>
      <c r="C421" t="s">
        <v>68</v>
      </c>
      <c r="D421" t="s">
        <v>69</v>
      </c>
      <c r="E421" t="s">
        <v>1978</v>
      </c>
      <c r="F421" t="s">
        <v>1948</v>
      </c>
      <c r="G421" s="6">
        <v>791</v>
      </c>
      <c r="H421" s="8">
        <v>93.1</v>
      </c>
      <c r="I421" s="7">
        <v>137.79</v>
      </c>
      <c r="J421" s="7">
        <v>281.83</v>
      </c>
      <c r="K421" s="6">
        <v>320</v>
      </c>
      <c r="L421" s="7">
        <v>739.62</v>
      </c>
    </row>
    <row r="422" spans="1:12" x14ac:dyDescent="0.25">
      <c r="A422" s="9">
        <v>45778</v>
      </c>
      <c r="B422" t="s">
        <v>67</v>
      </c>
      <c r="C422" t="s">
        <v>68</v>
      </c>
      <c r="D422" t="s">
        <v>69</v>
      </c>
      <c r="E422" t="s">
        <v>2024</v>
      </c>
      <c r="F422" t="s">
        <v>1942</v>
      </c>
      <c r="G422" s="6">
        <v>1502</v>
      </c>
      <c r="H422" s="8">
        <v>143</v>
      </c>
      <c r="I422" s="7">
        <v>211.64</v>
      </c>
      <c r="J422" s="7">
        <v>132.56</v>
      </c>
      <c r="K422" s="6">
        <v>320</v>
      </c>
      <c r="L422" s="7">
        <v>664.2</v>
      </c>
    </row>
    <row r="423" spans="1:12" x14ac:dyDescent="0.25">
      <c r="A423" s="9">
        <v>45778</v>
      </c>
      <c r="B423" t="s">
        <v>67</v>
      </c>
      <c r="C423" t="s">
        <v>68</v>
      </c>
      <c r="D423" t="s">
        <v>69</v>
      </c>
      <c r="E423" t="s">
        <v>2050</v>
      </c>
      <c r="F423" t="s">
        <v>1940</v>
      </c>
      <c r="G423" s="6">
        <v>838</v>
      </c>
      <c r="H423" s="8">
        <v>98.6</v>
      </c>
      <c r="I423" s="7">
        <v>145.93</v>
      </c>
      <c r="J423" s="7">
        <v>97.83</v>
      </c>
      <c r="K423" s="6">
        <v>320</v>
      </c>
      <c r="L423" s="7">
        <v>563.76</v>
      </c>
    </row>
    <row r="424" spans="1:12" x14ac:dyDescent="0.25">
      <c r="A424" s="9">
        <v>45778</v>
      </c>
      <c r="B424" t="s">
        <v>32</v>
      </c>
      <c r="C424" t="s">
        <v>33</v>
      </c>
      <c r="D424" t="s">
        <v>34</v>
      </c>
      <c r="E424" t="s">
        <v>2061</v>
      </c>
      <c r="F424" t="s">
        <v>1940</v>
      </c>
      <c r="G424" s="6">
        <v>777</v>
      </c>
      <c r="H424" s="8">
        <v>91.4</v>
      </c>
      <c r="I424" s="7">
        <v>135.27000000000001</v>
      </c>
      <c r="J424" s="7">
        <v>87.22</v>
      </c>
      <c r="K424" s="6">
        <v>380</v>
      </c>
      <c r="L424" s="7">
        <v>602.49</v>
      </c>
    </row>
    <row r="425" spans="1:12" x14ac:dyDescent="0.25">
      <c r="A425" s="9">
        <v>45778</v>
      </c>
      <c r="B425" t="s">
        <v>32</v>
      </c>
      <c r="C425" t="s">
        <v>33</v>
      </c>
      <c r="D425" t="s">
        <v>34</v>
      </c>
      <c r="E425" t="s">
        <v>2072</v>
      </c>
      <c r="F425" t="s">
        <v>1948</v>
      </c>
      <c r="G425" s="6">
        <v>957</v>
      </c>
      <c r="H425" s="8">
        <v>112.6</v>
      </c>
      <c r="I425" s="7">
        <v>166.65</v>
      </c>
      <c r="J425" s="7">
        <v>137.55000000000001</v>
      </c>
      <c r="K425" s="6">
        <v>450</v>
      </c>
      <c r="L425" s="7">
        <v>754.2</v>
      </c>
    </row>
    <row r="426" spans="1:12" x14ac:dyDescent="0.25">
      <c r="A426" s="9">
        <v>45778</v>
      </c>
      <c r="B426" t="s">
        <v>32</v>
      </c>
      <c r="C426" t="s">
        <v>33</v>
      </c>
      <c r="D426" t="s">
        <v>34</v>
      </c>
      <c r="E426" t="s">
        <v>2023</v>
      </c>
      <c r="F426" t="s">
        <v>1940</v>
      </c>
      <c r="G426" s="6">
        <v>1053</v>
      </c>
      <c r="H426" s="8">
        <v>123.9</v>
      </c>
      <c r="I426" s="7">
        <v>183.37</v>
      </c>
      <c r="J426" s="7">
        <v>222.18</v>
      </c>
      <c r="K426" s="6">
        <v>320</v>
      </c>
      <c r="L426" s="7">
        <v>725.55</v>
      </c>
    </row>
    <row r="427" spans="1:12" x14ac:dyDescent="0.25">
      <c r="A427" s="9">
        <v>45778</v>
      </c>
      <c r="B427" t="s">
        <v>94</v>
      </c>
      <c r="C427" t="s">
        <v>95</v>
      </c>
      <c r="D427" t="s">
        <v>34</v>
      </c>
      <c r="E427" t="s">
        <v>2043</v>
      </c>
      <c r="F427" t="s">
        <v>1940</v>
      </c>
      <c r="G427" s="6">
        <v>823</v>
      </c>
      <c r="H427" s="8">
        <v>96.8</v>
      </c>
      <c r="I427" s="7">
        <v>143.26</v>
      </c>
      <c r="J427" s="7">
        <v>271.54000000000002</v>
      </c>
      <c r="K427" s="6">
        <v>520</v>
      </c>
      <c r="L427" s="7">
        <v>934.8</v>
      </c>
    </row>
    <row r="428" spans="1:12" x14ac:dyDescent="0.25">
      <c r="A428" s="9">
        <v>45778</v>
      </c>
      <c r="B428" t="s">
        <v>94</v>
      </c>
      <c r="C428" t="s">
        <v>95</v>
      </c>
      <c r="D428" t="s">
        <v>34</v>
      </c>
      <c r="E428" t="s">
        <v>1945</v>
      </c>
      <c r="F428" t="s">
        <v>1948</v>
      </c>
      <c r="G428" s="6">
        <v>1177</v>
      </c>
      <c r="H428" s="8">
        <v>138.5</v>
      </c>
      <c r="I428" s="7">
        <v>204.98</v>
      </c>
      <c r="J428" s="7">
        <v>332.45</v>
      </c>
      <c r="K428" s="6">
        <v>520</v>
      </c>
      <c r="L428" s="7">
        <v>1057.43</v>
      </c>
    </row>
    <row r="429" spans="1:12" x14ac:dyDescent="0.25">
      <c r="A429" s="9">
        <v>45778</v>
      </c>
      <c r="B429" t="s">
        <v>94</v>
      </c>
      <c r="C429" t="s">
        <v>95</v>
      </c>
      <c r="D429" t="s">
        <v>34</v>
      </c>
      <c r="E429" t="s">
        <v>1971</v>
      </c>
      <c r="F429" t="s">
        <v>1942</v>
      </c>
      <c r="G429" s="6">
        <v>885</v>
      </c>
      <c r="H429" s="8">
        <v>84.3</v>
      </c>
      <c r="I429" s="7">
        <v>124.76</v>
      </c>
      <c r="J429" s="7">
        <v>218.36</v>
      </c>
      <c r="K429" s="6">
        <v>380</v>
      </c>
      <c r="L429" s="7">
        <v>723.12</v>
      </c>
    </row>
    <row r="430" spans="1:12" x14ac:dyDescent="0.25">
      <c r="A430" s="9">
        <v>45778</v>
      </c>
      <c r="B430" t="s">
        <v>94</v>
      </c>
      <c r="C430" t="s">
        <v>95</v>
      </c>
      <c r="D430" t="s">
        <v>34</v>
      </c>
      <c r="E430" t="s">
        <v>1953</v>
      </c>
      <c r="F430" t="s">
        <v>1940</v>
      </c>
      <c r="G430" s="6">
        <v>777</v>
      </c>
      <c r="H430" s="8">
        <v>91.4</v>
      </c>
      <c r="I430" s="7">
        <v>135.27000000000001</v>
      </c>
      <c r="J430" s="7">
        <v>221.22</v>
      </c>
      <c r="K430" s="6">
        <v>450</v>
      </c>
      <c r="L430" s="7">
        <v>806.49</v>
      </c>
    </row>
    <row r="431" spans="1:12" x14ac:dyDescent="0.25">
      <c r="A431" s="9">
        <v>45778</v>
      </c>
      <c r="B431" t="s">
        <v>94</v>
      </c>
      <c r="C431" t="s">
        <v>95</v>
      </c>
      <c r="D431" t="s">
        <v>34</v>
      </c>
      <c r="E431" t="s">
        <v>1995</v>
      </c>
      <c r="F431" t="s">
        <v>1940</v>
      </c>
      <c r="G431" s="6">
        <v>1092</v>
      </c>
      <c r="H431" s="8">
        <v>128.5</v>
      </c>
      <c r="I431" s="7">
        <v>190.18</v>
      </c>
      <c r="J431" s="7">
        <v>194.26</v>
      </c>
      <c r="K431" s="6">
        <v>450</v>
      </c>
      <c r="L431" s="7">
        <v>834.44</v>
      </c>
    </row>
    <row r="432" spans="1:12" x14ac:dyDescent="0.25">
      <c r="A432" s="9">
        <v>45778</v>
      </c>
      <c r="B432" t="s">
        <v>41</v>
      </c>
      <c r="C432" t="s">
        <v>42</v>
      </c>
      <c r="D432" t="s">
        <v>34</v>
      </c>
      <c r="E432" t="s">
        <v>2064</v>
      </c>
      <c r="F432" t="s">
        <v>1942</v>
      </c>
      <c r="G432" s="6">
        <v>756</v>
      </c>
      <c r="H432" s="8">
        <v>72</v>
      </c>
      <c r="I432" s="7">
        <v>106.56</v>
      </c>
      <c r="J432" s="7">
        <v>78.39</v>
      </c>
      <c r="K432" s="6">
        <v>520</v>
      </c>
      <c r="L432" s="7">
        <v>704.95</v>
      </c>
    </row>
    <row r="433" spans="1:12" x14ac:dyDescent="0.25">
      <c r="A433" s="9">
        <v>45778</v>
      </c>
      <c r="B433" t="s">
        <v>41</v>
      </c>
      <c r="C433" t="s">
        <v>42</v>
      </c>
      <c r="D433" t="s">
        <v>34</v>
      </c>
      <c r="E433" t="s">
        <v>1944</v>
      </c>
      <c r="F433" t="s">
        <v>1946</v>
      </c>
      <c r="G433" s="6">
        <v>1199</v>
      </c>
      <c r="H433" s="8">
        <v>114.2</v>
      </c>
      <c r="I433" s="7">
        <v>169.02</v>
      </c>
      <c r="J433" s="7">
        <v>74.13</v>
      </c>
      <c r="K433" s="6">
        <v>320</v>
      </c>
      <c r="L433" s="7">
        <v>563.15</v>
      </c>
    </row>
    <row r="434" spans="1:12" x14ac:dyDescent="0.25">
      <c r="A434" s="9">
        <v>45778</v>
      </c>
      <c r="B434" t="s">
        <v>41</v>
      </c>
      <c r="C434" t="s">
        <v>42</v>
      </c>
      <c r="D434" t="s">
        <v>34</v>
      </c>
      <c r="E434" t="s">
        <v>1997</v>
      </c>
      <c r="F434" t="s">
        <v>1940</v>
      </c>
      <c r="G434" s="6">
        <v>1165</v>
      </c>
      <c r="H434" s="8">
        <v>137.1</v>
      </c>
      <c r="I434" s="7">
        <v>202.91</v>
      </c>
      <c r="J434" s="7">
        <v>40.630000000000003</v>
      </c>
      <c r="K434" s="6">
        <v>380</v>
      </c>
      <c r="L434" s="7">
        <v>623.54</v>
      </c>
    </row>
    <row r="435" spans="1:12" x14ac:dyDescent="0.25">
      <c r="A435" s="9">
        <v>45778</v>
      </c>
      <c r="B435" t="s">
        <v>41</v>
      </c>
      <c r="C435" t="s">
        <v>42</v>
      </c>
      <c r="D435" t="s">
        <v>34</v>
      </c>
      <c r="E435" t="s">
        <v>2007</v>
      </c>
      <c r="F435" t="s">
        <v>1940</v>
      </c>
      <c r="G435" s="6">
        <v>1262</v>
      </c>
      <c r="H435" s="8">
        <v>148.5</v>
      </c>
      <c r="I435" s="7">
        <v>219.78</v>
      </c>
      <c r="J435" s="7">
        <v>51.4</v>
      </c>
      <c r="K435" s="6">
        <v>450</v>
      </c>
      <c r="L435" s="7">
        <v>721.18</v>
      </c>
    </row>
    <row r="436" spans="1:12" x14ac:dyDescent="0.25">
      <c r="A436" s="9">
        <v>45778</v>
      </c>
      <c r="B436" t="s">
        <v>41</v>
      </c>
      <c r="C436" t="s">
        <v>42</v>
      </c>
      <c r="D436" t="s">
        <v>34</v>
      </c>
      <c r="E436" t="s">
        <v>2027</v>
      </c>
      <c r="F436" t="s">
        <v>1940</v>
      </c>
      <c r="G436" s="6">
        <v>1188</v>
      </c>
      <c r="H436" s="8">
        <v>139.80000000000001</v>
      </c>
      <c r="I436" s="7">
        <v>206.9</v>
      </c>
      <c r="J436" s="7">
        <v>200.05</v>
      </c>
      <c r="K436" s="6">
        <v>320</v>
      </c>
      <c r="L436" s="7">
        <v>726.95</v>
      </c>
    </row>
    <row r="437" spans="1:12" x14ac:dyDescent="0.25">
      <c r="A437" s="9">
        <v>45778</v>
      </c>
      <c r="B437" t="s">
        <v>41</v>
      </c>
      <c r="C437" t="s">
        <v>42</v>
      </c>
      <c r="D437" t="s">
        <v>34</v>
      </c>
      <c r="E437" t="s">
        <v>1952</v>
      </c>
      <c r="F437" t="s">
        <v>1948</v>
      </c>
      <c r="G437" s="6">
        <v>875</v>
      </c>
      <c r="H437" s="8">
        <v>102.9</v>
      </c>
      <c r="I437" s="7">
        <v>152.29</v>
      </c>
      <c r="J437" s="7">
        <v>296.56</v>
      </c>
      <c r="K437" s="6">
        <v>450</v>
      </c>
      <c r="L437" s="7">
        <v>898.85</v>
      </c>
    </row>
    <row r="438" spans="1:12" x14ac:dyDescent="0.25">
      <c r="A438" s="9">
        <v>45778</v>
      </c>
      <c r="B438" t="s">
        <v>41</v>
      </c>
      <c r="C438" t="s">
        <v>42</v>
      </c>
      <c r="D438" t="s">
        <v>34</v>
      </c>
      <c r="E438" t="s">
        <v>1973</v>
      </c>
      <c r="F438" t="s">
        <v>1946</v>
      </c>
      <c r="G438" s="6">
        <v>1115</v>
      </c>
      <c r="H438" s="8">
        <v>106.2</v>
      </c>
      <c r="I438" s="7">
        <v>157.18</v>
      </c>
      <c r="J438" s="7">
        <v>106.89</v>
      </c>
      <c r="K438" s="6">
        <v>320</v>
      </c>
      <c r="L438" s="7">
        <v>584.07000000000005</v>
      </c>
    </row>
    <row r="439" spans="1:12" x14ac:dyDescent="0.25">
      <c r="A439" s="9">
        <v>45778</v>
      </c>
      <c r="B439" t="s">
        <v>47</v>
      </c>
      <c r="C439" t="s">
        <v>48</v>
      </c>
      <c r="D439" t="s">
        <v>34</v>
      </c>
      <c r="E439" t="s">
        <v>1982</v>
      </c>
      <c r="F439" t="s">
        <v>1946</v>
      </c>
      <c r="G439" s="6">
        <v>797</v>
      </c>
      <c r="H439" s="8">
        <v>75.900000000000006</v>
      </c>
      <c r="I439" s="7">
        <v>112.33</v>
      </c>
      <c r="J439" s="7">
        <v>0</v>
      </c>
      <c r="K439" s="6">
        <v>320</v>
      </c>
      <c r="L439" s="7">
        <v>432.33</v>
      </c>
    </row>
    <row r="440" spans="1:12" x14ac:dyDescent="0.25">
      <c r="A440" s="9">
        <v>45778</v>
      </c>
      <c r="B440" t="s">
        <v>47</v>
      </c>
      <c r="C440" t="s">
        <v>48</v>
      </c>
      <c r="D440" t="s">
        <v>34</v>
      </c>
      <c r="E440" t="s">
        <v>1951</v>
      </c>
      <c r="F440" t="s">
        <v>1946</v>
      </c>
      <c r="G440" s="6">
        <v>1137</v>
      </c>
      <c r="H440" s="8">
        <v>108.3</v>
      </c>
      <c r="I440" s="7">
        <v>160.28</v>
      </c>
      <c r="J440" s="7">
        <v>24.82</v>
      </c>
      <c r="K440" s="6">
        <v>520</v>
      </c>
      <c r="L440" s="7">
        <v>705.1</v>
      </c>
    </row>
    <row r="441" spans="1:12" x14ac:dyDescent="0.25">
      <c r="A441" s="9">
        <v>45778</v>
      </c>
      <c r="B441" t="s">
        <v>47</v>
      </c>
      <c r="C441" t="s">
        <v>48</v>
      </c>
      <c r="D441" t="s">
        <v>34</v>
      </c>
      <c r="E441" t="s">
        <v>1954</v>
      </c>
      <c r="F441" t="s">
        <v>1940</v>
      </c>
      <c r="G441" s="6">
        <v>1073</v>
      </c>
      <c r="H441" s="8">
        <v>126.2</v>
      </c>
      <c r="I441" s="7">
        <v>186.78</v>
      </c>
      <c r="J441" s="7">
        <v>128.91999999999999</v>
      </c>
      <c r="K441" s="6">
        <v>380</v>
      </c>
      <c r="L441" s="7">
        <v>695.7</v>
      </c>
    </row>
    <row r="442" spans="1:12" x14ac:dyDescent="0.25">
      <c r="A442" s="9">
        <v>45778</v>
      </c>
      <c r="B442" t="s">
        <v>121</v>
      </c>
      <c r="C442" t="s">
        <v>122</v>
      </c>
      <c r="D442" t="s">
        <v>34</v>
      </c>
      <c r="E442" t="s">
        <v>1991</v>
      </c>
      <c r="F442" t="s">
        <v>1948</v>
      </c>
      <c r="G442" s="6">
        <v>1219</v>
      </c>
      <c r="H442" s="8">
        <v>143.4</v>
      </c>
      <c r="I442" s="7">
        <v>212.23</v>
      </c>
      <c r="J442" s="7">
        <v>225.84</v>
      </c>
      <c r="K442" s="6">
        <v>450</v>
      </c>
      <c r="L442" s="7">
        <v>888.07</v>
      </c>
    </row>
    <row r="443" spans="1:12" x14ac:dyDescent="0.25">
      <c r="A443" s="9">
        <v>45778</v>
      </c>
      <c r="B443" t="s">
        <v>121</v>
      </c>
      <c r="C443" t="s">
        <v>122</v>
      </c>
      <c r="D443" t="s">
        <v>34</v>
      </c>
      <c r="E443" t="s">
        <v>2032</v>
      </c>
      <c r="F443" t="s">
        <v>1946</v>
      </c>
      <c r="G443" s="6">
        <v>967</v>
      </c>
      <c r="H443" s="8">
        <v>92.1</v>
      </c>
      <c r="I443" s="7">
        <v>136.31</v>
      </c>
      <c r="J443" s="7">
        <v>208.55</v>
      </c>
      <c r="K443" s="6">
        <v>320</v>
      </c>
      <c r="L443" s="7">
        <v>664.86</v>
      </c>
    </row>
    <row r="444" spans="1:12" x14ac:dyDescent="0.25">
      <c r="A444" s="9">
        <v>45778</v>
      </c>
      <c r="B444" t="s">
        <v>121</v>
      </c>
      <c r="C444" t="s">
        <v>122</v>
      </c>
      <c r="D444" t="s">
        <v>34</v>
      </c>
      <c r="E444" t="s">
        <v>2058</v>
      </c>
      <c r="F444" t="s">
        <v>1948</v>
      </c>
      <c r="G444" s="6">
        <v>1133</v>
      </c>
      <c r="H444" s="8">
        <v>133.30000000000001</v>
      </c>
      <c r="I444" s="7">
        <v>197.28</v>
      </c>
      <c r="J444" s="7">
        <v>275.29000000000002</v>
      </c>
      <c r="K444" s="6">
        <v>520</v>
      </c>
      <c r="L444" s="7">
        <v>992.57</v>
      </c>
    </row>
    <row r="445" spans="1:12" x14ac:dyDescent="0.25">
      <c r="A445" s="9">
        <v>45778</v>
      </c>
      <c r="B445" t="s">
        <v>201</v>
      </c>
      <c r="C445" t="s">
        <v>202</v>
      </c>
      <c r="D445" t="s">
        <v>64</v>
      </c>
      <c r="E445" t="s">
        <v>2016</v>
      </c>
      <c r="F445" t="s">
        <v>1940</v>
      </c>
      <c r="G445" s="6">
        <v>1167</v>
      </c>
      <c r="H445" s="8">
        <v>137.30000000000001</v>
      </c>
      <c r="I445" s="7">
        <v>203.2</v>
      </c>
      <c r="J445" s="7">
        <v>27.15</v>
      </c>
      <c r="K445" s="6">
        <v>450</v>
      </c>
      <c r="L445" s="7">
        <v>680.35</v>
      </c>
    </row>
    <row r="446" spans="1:12" x14ac:dyDescent="0.25">
      <c r="A446" s="9">
        <v>45778</v>
      </c>
      <c r="B446" t="s">
        <v>201</v>
      </c>
      <c r="C446" t="s">
        <v>202</v>
      </c>
      <c r="D446" t="s">
        <v>64</v>
      </c>
      <c r="E446" t="s">
        <v>1951</v>
      </c>
      <c r="F446" t="s">
        <v>1946</v>
      </c>
      <c r="G446" s="6">
        <v>1239</v>
      </c>
      <c r="H446" s="8">
        <v>118</v>
      </c>
      <c r="I446" s="7">
        <v>174.64</v>
      </c>
      <c r="J446" s="7">
        <v>199</v>
      </c>
      <c r="K446" s="6">
        <v>450</v>
      </c>
      <c r="L446" s="7">
        <v>823.64</v>
      </c>
    </row>
    <row r="447" spans="1:12" x14ac:dyDescent="0.25">
      <c r="A447" s="9">
        <v>45778</v>
      </c>
      <c r="B447" t="s">
        <v>201</v>
      </c>
      <c r="C447" t="s">
        <v>202</v>
      </c>
      <c r="D447" t="s">
        <v>64</v>
      </c>
      <c r="E447" t="s">
        <v>1954</v>
      </c>
      <c r="F447" t="s">
        <v>1940</v>
      </c>
      <c r="G447" s="6">
        <v>795</v>
      </c>
      <c r="H447" s="8">
        <v>93.5</v>
      </c>
      <c r="I447" s="7">
        <v>138.38</v>
      </c>
      <c r="J447" s="7">
        <v>130.47</v>
      </c>
      <c r="K447" s="6">
        <v>520</v>
      </c>
      <c r="L447" s="7">
        <v>788.85</v>
      </c>
    </row>
    <row r="448" spans="1:12" x14ac:dyDescent="0.25">
      <c r="A448" s="9">
        <v>45778</v>
      </c>
      <c r="B448" t="s">
        <v>118</v>
      </c>
      <c r="C448" t="s">
        <v>119</v>
      </c>
      <c r="D448" t="s">
        <v>64</v>
      </c>
      <c r="E448" t="s">
        <v>2033</v>
      </c>
      <c r="F448" t="s">
        <v>1946</v>
      </c>
      <c r="G448" s="6">
        <v>1040</v>
      </c>
      <c r="H448" s="8">
        <v>99</v>
      </c>
      <c r="I448" s="7">
        <v>146.52000000000001</v>
      </c>
      <c r="J448" s="7">
        <v>139.24</v>
      </c>
      <c r="K448" s="6">
        <v>320</v>
      </c>
      <c r="L448" s="7">
        <v>605.76</v>
      </c>
    </row>
    <row r="449" spans="1:12" x14ac:dyDescent="0.25">
      <c r="A449" s="9">
        <v>45778</v>
      </c>
      <c r="B449" t="s">
        <v>118</v>
      </c>
      <c r="C449" t="s">
        <v>119</v>
      </c>
      <c r="D449" t="s">
        <v>64</v>
      </c>
      <c r="E449" t="s">
        <v>1967</v>
      </c>
      <c r="F449" t="s">
        <v>1946</v>
      </c>
      <c r="G449" s="6">
        <v>1133</v>
      </c>
      <c r="H449" s="8">
        <v>107.9</v>
      </c>
      <c r="I449" s="7">
        <v>159.69</v>
      </c>
      <c r="J449" s="7">
        <v>264.51</v>
      </c>
      <c r="K449" s="6">
        <v>380</v>
      </c>
      <c r="L449" s="7">
        <v>804.2</v>
      </c>
    </row>
    <row r="450" spans="1:12" x14ac:dyDescent="0.25">
      <c r="A450" s="9">
        <v>45778</v>
      </c>
      <c r="B450" t="s">
        <v>118</v>
      </c>
      <c r="C450" t="s">
        <v>119</v>
      </c>
      <c r="D450" t="s">
        <v>64</v>
      </c>
      <c r="E450" t="s">
        <v>2073</v>
      </c>
      <c r="F450" t="s">
        <v>1940</v>
      </c>
      <c r="G450" s="6">
        <v>1320</v>
      </c>
      <c r="H450" s="8">
        <v>155.30000000000001</v>
      </c>
      <c r="I450" s="7">
        <v>229.84</v>
      </c>
      <c r="J450" s="7">
        <v>45.02</v>
      </c>
      <c r="K450" s="6">
        <v>320</v>
      </c>
      <c r="L450" s="7">
        <v>594.86</v>
      </c>
    </row>
    <row r="451" spans="1:12" x14ac:dyDescent="0.25">
      <c r="A451" s="9">
        <v>45778</v>
      </c>
      <c r="B451" t="s">
        <v>118</v>
      </c>
      <c r="C451" t="s">
        <v>119</v>
      </c>
      <c r="D451" t="s">
        <v>64</v>
      </c>
      <c r="E451" t="s">
        <v>1994</v>
      </c>
      <c r="F451" t="s">
        <v>1942</v>
      </c>
      <c r="G451" s="6">
        <v>1205</v>
      </c>
      <c r="H451" s="8">
        <v>114.8</v>
      </c>
      <c r="I451" s="7">
        <v>169.9</v>
      </c>
      <c r="J451" s="7">
        <v>256.31</v>
      </c>
      <c r="K451" s="6">
        <v>520</v>
      </c>
      <c r="L451" s="7">
        <v>946.21</v>
      </c>
    </row>
    <row r="452" spans="1:12" x14ac:dyDescent="0.25">
      <c r="A452" s="9">
        <v>45778</v>
      </c>
      <c r="B452" t="s">
        <v>118</v>
      </c>
      <c r="C452" t="s">
        <v>119</v>
      </c>
      <c r="D452" t="s">
        <v>64</v>
      </c>
      <c r="E452" t="s">
        <v>2037</v>
      </c>
      <c r="F452" t="s">
        <v>1940</v>
      </c>
      <c r="G452" s="6">
        <v>1146</v>
      </c>
      <c r="H452" s="8">
        <v>134.80000000000001</v>
      </c>
      <c r="I452" s="7">
        <v>199.5</v>
      </c>
      <c r="J452" s="7">
        <v>237.28</v>
      </c>
      <c r="K452" s="6">
        <v>380</v>
      </c>
      <c r="L452" s="7">
        <v>816.78</v>
      </c>
    </row>
    <row r="453" spans="1:12" x14ac:dyDescent="0.25">
      <c r="A453" s="9">
        <v>45778</v>
      </c>
      <c r="B453" t="s">
        <v>118</v>
      </c>
      <c r="C453" t="s">
        <v>119</v>
      </c>
      <c r="D453" t="s">
        <v>64</v>
      </c>
      <c r="E453" t="s">
        <v>2051</v>
      </c>
      <c r="F453" t="s">
        <v>1940</v>
      </c>
      <c r="G453" s="6">
        <v>1553</v>
      </c>
      <c r="H453" s="8">
        <v>182.7</v>
      </c>
      <c r="I453" s="7">
        <v>270.39999999999998</v>
      </c>
      <c r="J453" s="7">
        <v>231.9</v>
      </c>
      <c r="K453" s="6">
        <v>380</v>
      </c>
      <c r="L453" s="7">
        <v>882.3</v>
      </c>
    </row>
    <row r="454" spans="1:12" x14ac:dyDescent="0.25">
      <c r="A454" s="9">
        <v>45778</v>
      </c>
      <c r="B454" t="s">
        <v>118</v>
      </c>
      <c r="C454" t="s">
        <v>119</v>
      </c>
      <c r="D454" t="s">
        <v>64</v>
      </c>
      <c r="E454" t="s">
        <v>2063</v>
      </c>
      <c r="F454" t="s">
        <v>1940</v>
      </c>
      <c r="G454" s="6">
        <v>1112</v>
      </c>
      <c r="H454" s="8">
        <v>130.80000000000001</v>
      </c>
      <c r="I454" s="7">
        <v>193.58</v>
      </c>
      <c r="J454" s="7">
        <v>233.61</v>
      </c>
      <c r="K454" s="6">
        <v>520</v>
      </c>
      <c r="L454" s="7">
        <v>947.19</v>
      </c>
    </row>
    <row r="455" spans="1:12" x14ac:dyDescent="0.25">
      <c r="A455" s="9">
        <v>45778</v>
      </c>
      <c r="B455" t="s">
        <v>62</v>
      </c>
      <c r="C455" t="s">
        <v>63</v>
      </c>
      <c r="D455" t="s">
        <v>64</v>
      </c>
      <c r="E455" t="s">
        <v>1964</v>
      </c>
      <c r="F455" t="s">
        <v>1948</v>
      </c>
      <c r="G455" s="6">
        <v>1086</v>
      </c>
      <c r="H455" s="8">
        <v>127.8</v>
      </c>
      <c r="I455" s="7">
        <v>189.14</v>
      </c>
      <c r="J455" s="7">
        <v>251.91</v>
      </c>
      <c r="K455" s="6">
        <v>450</v>
      </c>
      <c r="L455" s="7">
        <v>891.05</v>
      </c>
    </row>
    <row r="456" spans="1:12" x14ac:dyDescent="0.25">
      <c r="A456" s="9">
        <v>45778</v>
      </c>
      <c r="B456" t="s">
        <v>62</v>
      </c>
      <c r="C456" t="s">
        <v>63</v>
      </c>
      <c r="D456" t="s">
        <v>64</v>
      </c>
      <c r="E456" t="s">
        <v>1958</v>
      </c>
      <c r="F456" t="s">
        <v>1948</v>
      </c>
      <c r="G456" s="6">
        <v>962</v>
      </c>
      <c r="H456" s="8">
        <v>113.2</v>
      </c>
      <c r="I456" s="7">
        <v>167.54</v>
      </c>
      <c r="J456" s="7">
        <v>375.07</v>
      </c>
      <c r="K456" s="6">
        <v>450</v>
      </c>
      <c r="L456" s="7">
        <v>992.61</v>
      </c>
    </row>
    <row r="457" spans="1:12" x14ac:dyDescent="0.25">
      <c r="A457" s="9">
        <v>45778</v>
      </c>
      <c r="B457" t="s">
        <v>62</v>
      </c>
      <c r="C457" t="s">
        <v>63</v>
      </c>
      <c r="D457" t="s">
        <v>64</v>
      </c>
      <c r="E457" t="s">
        <v>2035</v>
      </c>
      <c r="F457" t="s">
        <v>1946</v>
      </c>
      <c r="G457" s="6">
        <v>845</v>
      </c>
      <c r="H457" s="8">
        <v>80.5</v>
      </c>
      <c r="I457" s="7">
        <v>119.14</v>
      </c>
      <c r="J457" s="7">
        <v>272.58999999999997</v>
      </c>
      <c r="K457" s="6">
        <v>380</v>
      </c>
      <c r="L457" s="7">
        <v>771.73</v>
      </c>
    </row>
    <row r="458" spans="1:12" x14ac:dyDescent="0.25">
      <c r="A458" s="9">
        <v>45778</v>
      </c>
      <c r="B458" t="s">
        <v>91</v>
      </c>
      <c r="C458" t="s">
        <v>92</v>
      </c>
      <c r="D458" t="s">
        <v>64</v>
      </c>
      <c r="E458" t="s">
        <v>2069</v>
      </c>
      <c r="F458" t="s">
        <v>1940</v>
      </c>
      <c r="G458" s="6">
        <v>1174</v>
      </c>
      <c r="H458" s="8">
        <v>138.1</v>
      </c>
      <c r="I458" s="7">
        <v>204.39</v>
      </c>
      <c r="J458" s="7">
        <v>38.06</v>
      </c>
      <c r="K458" s="6">
        <v>520</v>
      </c>
      <c r="L458" s="7">
        <v>762.45</v>
      </c>
    </row>
    <row r="459" spans="1:12" x14ac:dyDescent="0.25">
      <c r="A459" s="9">
        <v>45778</v>
      </c>
      <c r="B459" t="s">
        <v>91</v>
      </c>
      <c r="C459" t="s">
        <v>92</v>
      </c>
      <c r="D459" t="s">
        <v>64</v>
      </c>
      <c r="E459" t="s">
        <v>2017</v>
      </c>
      <c r="F459" t="s">
        <v>1946</v>
      </c>
      <c r="G459" s="6">
        <v>1141</v>
      </c>
      <c r="H459" s="8">
        <v>108.7</v>
      </c>
      <c r="I459" s="7">
        <v>160.88</v>
      </c>
      <c r="J459" s="7">
        <v>0</v>
      </c>
      <c r="K459" s="6">
        <v>450</v>
      </c>
      <c r="L459" s="7">
        <v>610.88</v>
      </c>
    </row>
    <row r="460" spans="1:12" x14ac:dyDescent="0.25">
      <c r="A460" s="9">
        <v>45778</v>
      </c>
      <c r="B460" t="s">
        <v>91</v>
      </c>
      <c r="C460" t="s">
        <v>92</v>
      </c>
      <c r="D460" t="s">
        <v>64</v>
      </c>
      <c r="E460" t="s">
        <v>1973</v>
      </c>
      <c r="F460" t="s">
        <v>1946</v>
      </c>
      <c r="G460" s="6">
        <v>1206</v>
      </c>
      <c r="H460" s="8">
        <v>114.9</v>
      </c>
      <c r="I460" s="7">
        <v>170.05</v>
      </c>
      <c r="J460" s="7">
        <v>220.82</v>
      </c>
      <c r="K460" s="6">
        <v>380</v>
      </c>
      <c r="L460" s="7">
        <v>770.87</v>
      </c>
    </row>
    <row r="461" spans="1:12" x14ac:dyDescent="0.25">
      <c r="A461" s="9">
        <v>45778</v>
      </c>
      <c r="B461" t="s">
        <v>91</v>
      </c>
      <c r="C461" t="s">
        <v>92</v>
      </c>
      <c r="D461" t="s">
        <v>64</v>
      </c>
      <c r="E461" t="s">
        <v>2014</v>
      </c>
      <c r="F461" t="s">
        <v>1940</v>
      </c>
      <c r="G461" s="6">
        <v>901</v>
      </c>
      <c r="H461" s="8">
        <v>106</v>
      </c>
      <c r="I461" s="7">
        <v>156.88</v>
      </c>
      <c r="J461" s="7">
        <v>159.88</v>
      </c>
      <c r="K461" s="6">
        <v>320</v>
      </c>
      <c r="L461" s="7">
        <v>636.76</v>
      </c>
    </row>
    <row r="462" spans="1:12" x14ac:dyDescent="0.25">
      <c r="A462" s="9">
        <v>45778</v>
      </c>
      <c r="B462" t="s">
        <v>91</v>
      </c>
      <c r="C462" t="s">
        <v>92</v>
      </c>
      <c r="D462" t="s">
        <v>64</v>
      </c>
      <c r="E462" t="s">
        <v>2032</v>
      </c>
      <c r="F462" t="s">
        <v>1948</v>
      </c>
      <c r="G462" s="6">
        <v>1538</v>
      </c>
      <c r="H462" s="8">
        <v>180.9</v>
      </c>
      <c r="I462" s="7">
        <v>267.73</v>
      </c>
      <c r="J462" s="7">
        <v>209.54</v>
      </c>
      <c r="K462" s="6">
        <v>520</v>
      </c>
      <c r="L462" s="7">
        <v>997.27</v>
      </c>
    </row>
    <row r="463" spans="1:12" x14ac:dyDescent="0.25">
      <c r="A463" s="9">
        <v>45778</v>
      </c>
      <c r="B463" t="s">
        <v>80</v>
      </c>
      <c r="C463" t="s">
        <v>81</v>
      </c>
      <c r="D463" t="s">
        <v>64</v>
      </c>
      <c r="E463" t="s">
        <v>2072</v>
      </c>
      <c r="F463" t="s">
        <v>1948</v>
      </c>
      <c r="G463" s="6">
        <v>785</v>
      </c>
      <c r="H463" s="8">
        <v>92.4</v>
      </c>
      <c r="I463" s="7">
        <v>136.75</v>
      </c>
      <c r="J463" s="7">
        <v>368.53</v>
      </c>
      <c r="K463" s="6">
        <v>380</v>
      </c>
      <c r="L463" s="7">
        <v>885.28</v>
      </c>
    </row>
    <row r="464" spans="1:12" x14ac:dyDescent="0.25">
      <c r="A464" s="9">
        <v>45778</v>
      </c>
      <c r="B464" t="s">
        <v>80</v>
      </c>
      <c r="C464" t="s">
        <v>81</v>
      </c>
      <c r="D464" t="s">
        <v>64</v>
      </c>
      <c r="E464" t="s">
        <v>2066</v>
      </c>
      <c r="F464" t="s">
        <v>1946</v>
      </c>
      <c r="G464" s="6">
        <v>1540</v>
      </c>
      <c r="H464" s="8">
        <v>146.69999999999999</v>
      </c>
      <c r="I464" s="7">
        <v>217.12</v>
      </c>
      <c r="J464" s="7">
        <v>150.30000000000001</v>
      </c>
      <c r="K464" s="6">
        <v>320</v>
      </c>
      <c r="L464" s="7">
        <v>687.42</v>
      </c>
    </row>
    <row r="465" spans="1:12" x14ac:dyDescent="0.25">
      <c r="A465" s="9">
        <v>45778</v>
      </c>
      <c r="B465" t="s">
        <v>80</v>
      </c>
      <c r="C465" t="s">
        <v>81</v>
      </c>
      <c r="D465" t="s">
        <v>64</v>
      </c>
      <c r="E465" t="s">
        <v>2019</v>
      </c>
      <c r="F465" t="s">
        <v>1940</v>
      </c>
      <c r="G465" s="6">
        <v>1302</v>
      </c>
      <c r="H465" s="8">
        <v>153.19999999999999</v>
      </c>
      <c r="I465" s="7">
        <v>226.74</v>
      </c>
      <c r="J465" s="7">
        <v>257.32</v>
      </c>
      <c r="K465" s="6">
        <v>450</v>
      </c>
      <c r="L465" s="7">
        <v>934.06</v>
      </c>
    </row>
    <row r="466" spans="1:12" x14ac:dyDescent="0.25">
      <c r="A466" s="9">
        <v>45778</v>
      </c>
      <c r="B466" t="s">
        <v>80</v>
      </c>
      <c r="C466" t="s">
        <v>81</v>
      </c>
      <c r="D466" t="s">
        <v>64</v>
      </c>
      <c r="E466" t="s">
        <v>1983</v>
      </c>
      <c r="F466" t="s">
        <v>1942</v>
      </c>
      <c r="G466" s="6">
        <v>864</v>
      </c>
      <c r="H466" s="8">
        <v>82.3</v>
      </c>
      <c r="I466" s="7">
        <v>121.8</v>
      </c>
      <c r="J466" s="7">
        <v>111.18</v>
      </c>
      <c r="K466" s="6">
        <v>320</v>
      </c>
      <c r="L466" s="7">
        <v>552.98</v>
      </c>
    </row>
    <row r="467" spans="1:12" x14ac:dyDescent="0.25">
      <c r="A467" s="9">
        <v>45778</v>
      </c>
      <c r="B467" t="s">
        <v>56</v>
      </c>
      <c r="C467" t="s">
        <v>57</v>
      </c>
      <c r="D467" t="s">
        <v>58</v>
      </c>
      <c r="E467" t="s">
        <v>1965</v>
      </c>
      <c r="F467" t="s">
        <v>1946</v>
      </c>
      <c r="G467" s="6">
        <v>1357</v>
      </c>
      <c r="H467" s="8">
        <v>129.19999999999999</v>
      </c>
      <c r="I467" s="7">
        <v>191.22</v>
      </c>
      <c r="J467" s="7">
        <v>284.8</v>
      </c>
      <c r="K467" s="6">
        <v>450</v>
      </c>
      <c r="L467" s="7">
        <v>926.02</v>
      </c>
    </row>
    <row r="468" spans="1:12" x14ac:dyDescent="0.25">
      <c r="A468" s="9">
        <v>45778</v>
      </c>
      <c r="B468" t="s">
        <v>56</v>
      </c>
      <c r="C468" t="s">
        <v>57</v>
      </c>
      <c r="D468" t="s">
        <v>58</v>
      </c>
      <c r="E468" t="s">
        <v>2045</v>
      </c>
      <c r="F468" t="s">
        <v>1948</v>
      </c>
      <c r="G468" s="6">
        <v>1190</v>
      </c>
      <c r="H468" s="8">
        <v>140</v>
      </c>
      <c r="I468" s="7">
        <v>207.2</v>
      </c>
      <c r="J468" s="7">
        <v>179.61</v>
      </c>
      <c r="K468" s="6">
        <v>520</v>
      </c>
      <c r="L468" s="7">
        <v>906.81</v>
      </c>
    </row>
    <row r="469" spans="1:12" x14ac:dyDescent="0.25">
      <c r="A469" s="9">
        <v>45778</v>
      </c>
      <c r="B469" t="s">
        <v>56</v>
      </c>
      <c r="C469" t="s">
        <v>57</v>
      </c>
      <c r="D469" t="s">
        <v>58</v>
      </c>
      <c r="E469" t="s">
        <v>2019</v>
      </c>
      <c r="F469" t="s">
        <v>1948</v>
      </c>
      <c r="G469" s="6">
        <v>1546</v>
      </c>
      <c r="H469" s="8">
        <v>181.9</v>
      </c>
      <c r="I469" s="7">
        <v>269.20999999999998</v>
      </c>
      <c r="J469" s="7">
        <v>207.52</v>
      </c>
      <c r="K469" s="6">
        <v>450</v>
      </c>
      <c r="L469" s="7">
        <v>926.73</v>
      </c>
    </row>
    <row r="470" spans="1:12" x14ac:dyDescent="0.25">
      <c r="A470" s="9">
        <v>45778</v>
      </c>
      <c r="B470" t="s">
        <v>56</v>
      </c>
      <c r="C470" t="s">
        <v>57</v>
      </c>
      <c r="D470" t="s">
        <v>58</v>
      </c>
      <c r="E470" t="s">
        <v>1963</v>
      </c>
      <c r="F470" t="s">
        <v>1940</v>
      </c>
      <c r="G470" s="6">
        <v>966</v>
      </c>
      <c r="H470" s="8">
        <v>113.6</v>
      </c>
      <c r="I470" s="7">
        <v>168.13</v>
      </c>
      <c r="J470" s="7">
        <v>177.39</v>
      </c>
      <c r="K470" s="6">
        <v>450</v>
      </c>
      <c r="L470" s="7">
        <v>795.52</v>
      </c>
    </row>
    <row r="471" spans="1:12" x14ac:dyDescent="0.25">
      <c r="A471" s="9">
        <v>45778</v>
      </c>
      <c r="B471" t="s">
        <v>56</v>
      </c>
      <c r="C471" t="s">
        <v>57</v>
      </c>
      <c r="D471" t="s">
        <v>58</v>
      </c>
      <c r="E471" t="s">
        <v>2074</v>
      </c>
      <c r="F471" t="s">
        <v>1946</v>
      </c>
      <c r="G471" s="6">
        <v>1438</v>
      </c>
      <c r="H471" s="8">
        <v>137</v>
      </c>
      <c r="I471" s="7">
        <v>202.76</v>
      </c>
      <c r="J471" s="7">
        <v>218.32</v>
      </c>
      <c r="K471" s="6">
        <v>320</v>
      </c>
      <c r="L471" s="7">
        <v>741.08</v>
      </c>
    </row>
    <row r="472" spans="1:12" x14ac:dyDescent="0.25">
      <c r="A472" s="9">
        <v>45778</v>
      </c>
      <c r="B472" t="s">
        <v>56</v>
      </c>
      <c r="C472" t="s">
        <v>57</v>
      </c>
      <c r="D472" t="s">
        <v>58</v>
      </c>
      <c r="E472" t="s">
        <v>2030</v>
      </c>
      <c r="F472" t="s">
        <v>1946</v>
      </c>
      <c r="G472" s="6">
        <v>1153</v>
      </c>
      <c r="H472" s="8">
        <v>109.8</v>
      </c>
      <c r="I472" s="7">
        <v>162.5</v>
      </c>
      <c r="J472" s="7">
        <v>187.06</v>
      </c>
      <c r="K472" s="6">
        <v>320</v>
      </c>
      <c r="L472" s="7">
        <v>669.56</v>
      </c>
    </row>
    <row r="473" spans="1:12" x14ac:dyDescent="0.25">
      <c r="A473" s="9">
        <v>45778</v>
      </c>
      <c r="B473" t="s">
        <v>56</v>
      </c>
      <c r="C473" t="s">
        <v>57</v>
      </c>
      <c r="D473" t="s">
        <v>58</v>
      </c>
      <c r="E473" t="s">
        <v>2063</v>
      </c>
      <c r="F473" t="s">
        <v>1946</v>
      </c>
      <c r="G473" s="6">
        <v>1060</v>
      </c>
      <c r="H473" s="8">
        <v>101</v>
      </c>
      <c r="I473" s="7">
        <v>149.47999999999999</v>
      </c>
      <c r="J473" s="7">
        <v>194.65</v>
      </c>
      <c r="K473" s="6">
        <v>450</v>
      </c>
      <c r="L473" s="7">
        <v>794.13</v>
      </c>
    </row>
    <row r="474" spans="1:12" x14ac:dyDescent="0.25">
      <c r="A474" s="9">
        <v>45778</v>
      </c>
      <c r="B474" t="s">
        <v>77</v>
      </c>
      <c r="C474" t="s">
        <v>78</v>
      </c>
      <c r="D474" t="s">
        <v>58</v>
      </c>
      <c r="E474" t="s">
        <v>1995</v>
      </c>
      <c r="F474" t="s">
        <v>1940</v>
      </c>
      <c r="G474" s="6">
        <v>417</v>
      </c>
      <c r="H474" s="8">
        <v>49.1</v>
      </c>
      <c r="I474" s="7">
        <v>72.67</v>
      </c>
      <c r="J474" s="7">
        <v>126.27</v>
      </c>
      <c r="K474" s="6">
        <v>450</v>
      </c>
      <c r="L474" s="7">
        <v>648.94000000000005</v>
      </c>
    </row>
    <row r="475" spans="1:12" x14ac:dyDescent="0.25">
      <c r="A475" s="9">
        <v>45778</v>
      </c>
      <c r="B475" t="s">
        <v>77</v>
      </c>
      <c r="C475" t="s">
        <v>78</v>
      </c>
      <c r="D475" t="s">
        <v>58</v>
      </c>
      <c r="E475" t="s">
        <v>1967</v>
      </c>
      <c r="F475" t="s">
        <v>1948</v>
      </c>
      <c r="G475" s="6">
        <v>1110</v>
      </c>
      <c r="H475" s="8">
        <v>130.6</v>
      </c>
      <c r="I475" s="7">
        <v>193.29</v>
      </c>
      <c r="J475" s="7">
        <v>157.91999999999999</v>
      </c>
      <c r="K475" s="6">
        <v>520</v>
      </c>
      <c r="L475" s="7">
        <v>871.21</v>
      </c>
    </row>
    <row r="476" spans="1:12" x14ac:dyDescent="0.25">
      <c r="A476" s="9">
        <v>45778</v>
      </c>
      <c r="B476" t="s">
        <v>77</v>
      </c>
      <c r="C476" t="s">
        <v>78</v>
      </c>
      <c r="D476" t="s">
        <v>58</v>
      </c>
      <c r="E476" t="s">
        <v>2051</v>
      </c>
      <c r="F476" t="s">
        <v>1946</v>
      </c>
      <c r="G476" s="6">
        <v>1146</v>
      </c>
      <c r="H476" s="8">
        <v>109.1</v>
      </c>
      <c r="I476" s="7">
        <v>161.47</v>
      </c>
      <c r="J476" s="7">
        <v>133.63999999999999</v>
      </c>
      <c r="K476" s="6">
        <v>380</v>
      </c>
      <c r="L476" s="7">
        <v>675.11</v>
      </c>
    </row>
    <row r="477" spans="1:12" x14ac:dyDescent="0.25">
      <c r="A477" s="9">
        <v>45778</v>
      </c>
      <c r="B477" t="s">
        <v>77</v>
      </c>
      <c r="C477" t="s">
        <v>78</v>
      </c>
      <c r="D477" t="s">
        <v>58</v>
      </c>
      <c r="E477" t="s">
        <v>2069</v>
      </c>
      <c r="F477" t="s">
        <v>1942</v>
      </c>
      <c r="G477" s="6">
        <v>1488</v>
      </c>
      <c r="H477" s="8">
        <v>141.69999999999999</v>
      </c>
      <c r="I477" s="7">
        <v>209.72</v>
      </c>
      <c r="J477" s="7">
        <v>275.83999999999997</v>
      </c>
      <c r="K477" s="6">
        <v>380</v>
      </c>
      <c r="L477" s="7">
        <v>865.56</v>
      </c>
    </row>
    <row r="478" spans="1:12" x14ac:dyDescent="0.25">
      <c r="A478" s="9">
        <v>45778</v>
      </c>
      <c r="B478" t="s">
        <v>110</v>
      </c>
      <c r="C478" t="s">
        <v>111</v>
      </c>
      <c r="D478" t="s">
        <v>58</v>
      </c>
      <c r="E478" t="s">
        <v>2075</v>
      </c>
      <c r="F478" t="s">
        <v>1940</v>
      </c>
      <c r="G478" s="6">
        <v>933</v>
      </c>
      <c r="H478" s="8">
        <v>109.8</v>
      </c>
      <c r="I478" s="7">
        <v>162.5</v>
      </c>
      <c r="J478" s="7">
        <v>137.93</v>
      </c>
      <c r="K478" s="6">
        <v>320</v>
      </c>
      <c r="L478" s="7">
        <v>620.42999999999995</v>
      </c>
    </row>
    <row r="479" spans="1:12" x14ac:dyDescent="0.25">
      <c r="A479" s="9">
        <v>45778</v>
      </c>
      <c r="B479" t="s">
        <v>110</v>
      </c>
      <c r="C479" t="s">
        <v>111</v>
      </c>
      <c r="D479" t="s">
        <v>58</v>
      </c>
      <c r="E479" t="s">
        <v>1977</v>
      </c>
      <c r="F479" t="s">
        <v>1948</v>
      </c>
      <c r="G479" s="6">
        <v>1031</v>
      </c>
      <c r="H479" s="8">
        <v>121.3</v>
      </c>
      <c r="I479" s="7">
        <v>179.52</v>
      </c>
      <c r="J479" s="7">
        <v>213.87</v>
      </c>
      <c r="K479" s="6">
        <v>320</v>
      </c>
      <c r="L479" s="7">
        <v>713.39</v>
      </c>
    </row>
    <row r="480" spans="1:12" x14ac:dyDescent="0.25">
      <c r="A480" s="9">
        <v>45778</v>
      </c>
      <c r="B480" t="s">
        <v>110</v>
      </c>
      <c r="C480" t="s">
        <v>111</v>
      </c>
      <c r="D480" t="s">
        <v>58</v>
      </c>
      <c r="E480" t="s">
        <v>2025</v>
      </c>
      <c r="F480" t="s">
        <v>1942</v>
      </c>
      <c r="G480" s="6">
        <v>1098</v>
      </c>
      <c r="H480" s="8">
        <v>104.6</v>
      </c>
      <c r="I480" s="7">
        <v>154.81</v>
      </c>
      <c r="J480" s="7">
        <v>89.34</v>
      </c>
      <c r="K480" s="6">
        <v>380</v>
      </c>
      <c r="L480" s="7">
        <v>624.15</v>
      </c>
    </row>
    <row r="481" spans="1:12" x14ac:dyDescent="0.25">
      <c r="A481" s="9">
        <v>45778</v>
      </c>
      <c r="B481" t="s">
        <v>110</v>
      </c>
      <c r="C481" t="s">
        <v>111</v>
      </c>
      <c r="D481" t="s">
        <v>58</v>
      </c>
      <c r="E481" t="s">
        <v>2020</v>
      </c>
      <c r="F481" t="s">
        <v>1940</v>
      </c>
      <c r="G481" s="6">
        <v>767</v>
      </c>
      <c r="H481" s="8">
        <v>90.2</v>
      </c>
      <c r="I481" s="7">
        <v>133.5</v>
      </c>
      <c r="J481" s="7">
        <v>199.82</v>
      </c>
      <c r="K481" s="6">
        <v>520</v>
      </c>
      <c r="L481" s="7">
        <v>853.32</v>
      </c>
    </row>
    <row r="482" spans="1:12" x14ac:dyDescent="0.25">
      <c r="A482" s="9">
        <v>45778</v>
      </c>
      <c r="B482" t="s">
        <v>85</v>
      </c>
      <c r="C482" t="s">
        <v>86</v>
      </c>
      <c r="D482" t="s">
        <v>58</v>
      </c>
      <c r="E482" t="s">
        <v>1960</v>
      </c>
      <c r="F482" t="s">
        <v>1940</v>
      </c>
      <c r="G482" s="6">
        <v>1207</v>
      </c>
      <c r="H482" s="8">
        <v>142</v>
      </c>
      <c r="I482" s="7">
        <v>210.16</v>
      </c>
      <c r="J482" s="7">
        <v>85.65</v>
      </c>
      <c r="K482" s="6">
        <v>520</v>
      </c>
      <c r="L482" s="7">
        <v>815.81</v>
      </c>
    </row>
    <row r="483" spans="1:12" x14ac:dyDescent="0.25">
      <c r="A483" s="9">
        <v>45778</v>
      </c>
      <c r="B483" t="s">
        <v>85</v>
      </c>
      <c r="C483" t="s">
        <v>86</v>
      </c>
      <c r="D483" t="s">
        <v>58</v>
      </c>
      <c r="E483" t="s">
        <v>2024</v>
      </c>
      <c r="F483" t="s">
        <v>1940</v>
      </c>
      <c r="G483" s="6">
        <v>1273</v>
      </c>
      <c r="H483" s="8">
        <v>149.80000000000001</v>
      </c>
      <c r="I483" s="7">
        <v>221.7</v>
      </c>
      <c r="J483" s="7">
        <v>99.47</v>
      </c>
      <c r="K483" s="6">
        <v>450</v>
      </c>
      <c r="L483" s="7">
        <v>771.17</v>
      </c>
    </row>
    <row r="484" spans="1:12" x14ac:dyDescent="0.25">
      <c r="A484" s="9">
        <v>45778</v>
      </c>
      <c r="B484" t="s">
        <v>85</v>
      </c>
      <c r="C484" t="s">
        <v>86</v>
      </c>
      <c r="D484" t="s">
        <v>58</v>
      </c>
      <c r="E484" t="s">
        <v>2008</v>
      </c>
      <c r="F484" t="s">
        <v>1948</v>
      </c>
      <c r="G484" s="6">
        <v>1113</v>
      </c>
      <c r="H484" s="8">
        <v>130.9</v>
      </c>
      <c r="I484" s="7">
        <v>193.73</v>
      </c>
      <c r="J484" s="7">
        <v>315.63</v>
      </c>
      <c r="K484" s="6">
        <v>450</v>
      </c>
      <c r="L484" s="7">
        <v>959.36</v>
      </c>
    </row>
    <row r="485" spans="1:12" x14ac:dyDescent="0.25">
      <c r="A485" s="9">
        <v>45778</v>
      </c>
      <c r="B485" t="s">
        <v>85</v>
      </c>
      <c r="C485" t="s">
        <v>86</v>
      </c>
      <c r="D485" t="s">
        <v>58</v>
      </c>
      <c r="E485" t="s">
        <v>1958</v>
      </c>
      <c r="F485" t="s">
        <v>1942</v>
      </c>
      <c r="G485" s="6">
        <v>1041</v>
      </c>
      <c r="H485" s="8">
        <v>99.1</v>
      </c>
      <c r="I485" s="7">
        <v>146.66999999999999</v>
      </c>
      <c r="J485" s="7">
        <v>186.38</v>
      </c>
      <c r="K485" s="6">
        <v>380</v>
      </c>
      <c r="L485" s="7">
        <v>713.05</v>
      </c>
    </row>
    <row r="486" spans="1:12" x14ac:dyDescent="0.25">
      <c r="A486" s="9">
        <v>45778</v>
      </c>
      <c r="B486" t="s">
        <v>85</v>
      </c>
      <c r="C486" t="s">
        <v>86</v>
      </c>
      <c r="D486" t="s">
        <v>58</v>
      </c>
      <c r="E486" t="s">
        <v>2000</v>
      </c>
      <c r="F486" t="s">
        <v>1946</v>
      </c>
      <c r="G486" s="6">
        <v>920</v>
      </c>
      <c r="H486" s="8">
        <v>87.6</v>
      </c>
      <c r="I486" s="7">
        <v>129.65</v>
      </c>
      <c r="J486" s="7">
        <v>134.28</v>
      </c>
      <c r="K486" s="6">
        <v>450</v>
      </c>
      <c r="L486" s="7">
        <v>713.93</v>
      </c>
    </row>
    <row r="487" spans="1:12" x14ac:dyDescent="0.25">
      <c r="A487" s="9">
        <v>45778</v>
      </c>
      <c r="B487" t="s">
        <v>85</v>
      </c>
      <c r="C487" t="s">
        <v>86</v>
      </c>
      <c r="D487" t="s">
        <v>58</v>
      </c>
      <c r="E487" t="s">
        <v>1952</v>
      </c>
      <c r="F487" t="s">
        <v>1946</v>
      </c>
      <c r="G487" s="6">
        <v>998</v>
      </c>
      <c r="H487" s="8">
        <v>95</v>
      </c>
      <c r="I487" s="7">
        <v>140.6</v>
      </c>
      <c r="J487" s="7">
        <v>90.27</v>
      </c>
      <c r="K487" s="6">
        <v>520</v>
      </c>
      <c r="L487" s="7">
        <v>750.87</v>
      </c>
    </row>
    <row r="488" spans="1:12" x14ac:dyDescent="0.25">
      <c r="A488" s="9">
        <v>45778</v>
      </c>
      <c r="B488" t="s">
        <v>103</v>
      </c>
      <c r="C488" t="s">
        <v>104</v>
      </c>
      <c r="D488" t="s">
        <v>58</v>
      </c>
      <c r="E488" t="s">
        <v>2044</v>
      </c>
      <c r="F488" t="s">
        <v>1942</v>
      </c>
      <c r="G488" s="6">
        <v>1005</v>
      </c>
      <c r="H488" s="8">
        <v>95.7</v>
      </c>
      <c r="I488" s="7">
        <v>141.63999999999999</v>
      </c>
      <c r="J488" s="7">
        <v>26.11</v>
      </c>
      <c r="K488" s="6">
        <v>450</v>
      </c>
      <c r="L488" s="7">
        <v>617.75</v>
      </c>
    </row>
    <row r="489" spans="1:12" x14ac:dyDescent="0.25">
      <c r="A489" s="9">
        <v>45778</v>
      </c>
      <c r="B489" t="s">
        <v>103</v>
      </c>
      <c r="C489" t="s">
        <v>104</v>
      </c>
      <c r="D489" t="s">
        <v>58</v>
      </c>
      <c r="E489" t="s">
        <v>1954</v>
      </c>
      <c r="F489" t="s">
        <v>1940</v>
      </c>
      <c r="G489" s="6">
        <v>927</v>
      </c>
      <c r="H489" s="8">
        <v>109.1</v>
      </c>
      <c r="I489" s="7">
        <v>161.47</v>
      </c>
      <c r="J489" s="7">
        <v>127.21</v>
      </c>
      <c r="K489" s="6">
        <v>450</v>
      </c>
      <c r="L489" s="7">
        <v>738.68</v>
      </c>
    </row>
    <row r="490" spans="1:12" x14ac:dyDescent="0.25">
      <c r="A490" s="9">
        <v>45778</v>
      </c>
      <c r="B490" t="s">
        <v>103</v>
      </c>
      <c r="C490" t="s">
        <v>104</v>
      </c>
      <c r="D490" t="s">
        <v>58</v>
      </c>
      <c r="E490" t="s">
        <v>2032</v>
      </c>
      <c r="F490" t="s">
        <v>1940</v>
      </c>
      <c r="G490" s="6">
        <v>985</v>
      </c>
      <c r="H490" s="8">
        <v>115.9</v>
      </c>
      <c r="I490" s="7">
        <v>171.53</v>
      </c>
      <c r="J490" s="7">
        <v>130.68</v>
      </c>
      <c r="K490" s="6">
        <v>380</v>
      </c>
      <c r="L490" s="7">
        <v>682.21</v>
      </c>
    </row>
    <row r="491" spans="1:12" x14ac:dyDescent="0.25">
      <c r="A491" s="9">
        <v>45778</v>
      </c>
      <c r="B491" t="s">
        <v>103</v>
      </c>
      <c r="C491" t="s">
        <v>104</v>
      </c>
      <c r="D491" t="s">
        <v>58</v>
      </c>
      <c r="E491" t="s">
        <v>1958</v>
      </c>
      <c r="F491" t="s">
        <v>1946</v>
      </c>
      <c r="G491" s="6">
        <v>1034</v>
      </c>
      <c r="H491" s="8">
        <v>98.5</v>
      </c>
      <c r="I491" s="7">
        <v>145.78</v>
      </c>
      <c r="J491" s="7">
        <v>188.36</v>
      </c>
      <c r="K491" s="6">
        <v>520</v>
      </c>
      <c r="L491" s="7">
        <v>854.14</v>
      </c>
    </row>
    <row r="492" spans="1:12" x14ac:dyDescent="0.25">
      <c r="A492" s="9">
        <v>45778</v>
      </c>
      <c r="B492" t="s">
        <v>103</v>
      </c>
      <c r="C492" t="s">
        <v>104</v>
      </c>
      <c r="D492" t="s">
        <v>58</v>
      </c>
      <c r="E492" t="s">
        <v>2035</v>
      </c>
      <c r="F492" t="s">
        <v>1948</v>
      </c>
      <c r="G492" s="6">
        <v>1268</v>
      </c>
      <c r="H492" s="8">
        <v>149.19999999999999</v>
      </c>
      <c r="I492" s="7">
        <v>220.82</v>
      </c>
      <c r="J492" s="7">
        <v>198.02</v>
      </c>
      <c r="K492" s="6">
        <v>380</v>
      </c>
      <c r="L492" s="7">
        <v>798.84</v>
      </c>
    </row>
    <row r="493" spans="1:12" x14ac:dyDescent="0.25">
      <c r="A493" s="9">
        <v>45778</v>
      </c>
      <c r="B493" t="s">
        <v>103</v>
      </c>
      <c r="C493" t="s">
        <v>104</v>
      </c>
      <c r="D493" t="s">
        <v>58</v>
      </c>
      <c r="E493" t="s">
        <v>1963</v>
      </c>
      <c r="F493" t="s">
        <v>1942</v>
      </c>
      <c r="G493" s="6">
        <v>749</v>
      </c>
      <c r="H493" s="8">
        <v>71.3</v>
      </c>
      <c r="I493" s="7">
        <v>105.52</v>
      </c>
      <c r="J493" s="7">
        <v>66.64</v>
      </c>
      <c r="K493" s="6">
        <v>380</v>
      </c>
      <c r="L493" s="7">
        <v>552.16</v>
      </c>
    </row>
    <row r="494" spans="1:12" x14ac:dyDescent="0.25">
      <c r="A494" s="9">
        <v>45778</v>
      </c>
      <c r="B494" t="s">
        <v>103</v>
      </c>
      <c r="C494" t="s">
        <v>104</v>
      </c>
      <c r="D494" t="s">
        <v>58</v>
      </c>
      <c r="E494" t="s">
        <v>1956</v>
      </c>
      <c r="F494" t="s">
        <v>1940</v>
      </c>
      <c r="G494" s="6">
        <v>928</v>
      </c>
      <c r="H494" s="8">
        <v>109.2</v>
      </c>
      <c r="I494" s="7">
        <v>161.62</v>
      </c>
      <c r="J494" s="7">
        <v>121.85</v>
      </c>
      <c r="K494" s="6">
        <v>450</v>
      </c>
      <c r="L494" s="7">
        <v>733.47</v>
      </c>
    </row>
    <row r="495" spans="1:12" x14ac:dyDescent="0.25">
      <c r="A495" s="9">
        <v>45809</v>
      </c>
      <c r="B495" t="s">
        <v>100</v>
      </c>
      <c r="C495" t="s">
        <v>101</v>
      </c>
      <c r="D495" t="s">
        <v>69</v>
      </c>
      <c r="E495" t="s">
        <v>1941</v>
      </c>
      <c r="F495" t="s">
        <v>1942</v>
      </c>
      <c r="G495" s="6">
        <v>857</v>
      </c>
      <c r="H495" s="8">
        <v>81.599999999999994</v>
      </c>
      <c r="I495" s="7">
        <v>120.77</v>
      </c>
      <c r="J495" s="7">
        <v>46.31</v>
      </c>
      <c r="K495" s="6">
        <v>450</v>
      </c>
      <c r="L495" s="7">
        <v>617.08000000000004</v>
      </c>
    </row>
    <row r="496" spans="1:12" x14ac:dyDescent="0.25">
      <c r="A496" s="9">
        <v>45809</v>
      </c>
      <c r="B496" t="s">
        <v>100</v>
      </c>
      <c r="C496" t="s">
        <v>101</v>
      </c>
      <c r="D496" t="s">
        <v>69</v>
      </c>
      <c r="E496" t="s">
        <v>1983</v>
      </c>
      <c r="F496" t="s">
        <v>1942</v>
      </c>
      <c r="G496" s="6">
        <v>935</v>
      </c>
      <c r="H496" s="8">
        <v>89</v>
      </c>
      <c r="I496" s="7">
        <v>131.72</v>
      </c>
      <c r="J496" s="7">
        <v>164.51</v>
      </c>
      <c r="K496" s="6">
        <v>450</v>
      </c>
      <c r="L496" s="7">
        <v>746.23</v>
      </c>
    </row>
    <row r="497" spans="1:12" x14ac:dyDescent="0.25">
      <c r="A497" s="9">
        <v>45809</v>
      </c>
      <c r="B497" t="s">
        <v>100</v>
      </c>
      <c r="C497" t="s">
        <v>101</v>
      </c>
      <c r="D497" t="s">
        <v>69</v>
      </c>
      <c r="E497" t="s">
        <v>1968</v>
      </c>
      <c r="F497" t="s">
        <v>1940</v>
      </c>
      <c r="G497" s="6">
        <v>1198</v>
      </c>
      <c r="H497" s="8">
        <v>140.9</v>
      </c>
      <c r="I497" s="7">
        <v>208.53</v>
      </c>
      <c r="J497" s="7">
        <v>105.41</v>
      </c>
      <c r="K497" s="6">
        <v>520</v>
      </c>
      <c r="L497" s="7">
        <v>833.94</v>
      </c>
    </row>
    <row r="498" spans="1:12" x14ac:dyDescent="0.25">
      <c r="A498" s="9">
        <v>45809</v>
      </c>
      <c r="B498" t="s">
        <v>100</v>
      </c>
      <c r="C498" t="s">
        <v>101</v>
      </c>
      <c r="D498" t="s">
        <v>69</v>
      </c>
      <c r="E498" t="s">
        <v>1996</v>
      </c>
      <c r="F498" t="s">
        <v>1942</v>
      </c>
      <c r="G498" s="6">
        <v>946</v>
      </c>
      <c r="H498" s="8">
        <v>90.1</v>
      </c>
      <c r="I498" s="7">
        <v>133.35</v>
      </c>
      <c r="J498" s="7">
        <v>75.86</v>
      </c>
      <c r="K498" s="6">
        <v>450</v>
      </c>
      <c r="L498" s="7">
        <v>659.21</v>
      </c>
    </row>
    <row r="499" spans="1:12" x14ac:dyDescent="0.25">
      <c r="A499" s="9">
        <v>45809</v>
      </c>
      <c r="B499" t="s">
        <v>100</v>
      </c>
      <c r="C499" t="s">
        <v>101</v>
      </c>
      <c r="D499" t="s">
        <v>69</v>
      </c>
      <c r="E499" t="s">
        <v>2023</v>
      </c>
      <c r="F499" t="s">
        <v>1948</v>
      </c>
      <c r="G499" s="6">
        <v>1042</v>
      </c>
      <c r="H499" s="8">
        <v>122.6</v>
      </c>
      <c r="I499" s="7">
        <v>181.45</v>
      </c>
      <c r="J499" s="7">
        <v>182.13</v>
      </c>
      <c r="K499" s="6">
        <v>320</v>
      </c>
      <c r="L499" s="7">
        <v>683.58</v>
      </c>
    </row>
    <row r="500" spans="1:12" x14ac:dyDescent="0.25">
      <c r="A500" s="9">
        <v>45809</v>
      </c>
      <c r="B500" t="s">
        <v>100</v>
      </c>
      <c r="C500" t="s">
        <v>101</v>
      </c>
      <c r="D500" t="s">
        <v>69</v>
      </c>
      <c r="E500" t="s">
        <v>1993</v>
      </c>
      <c r="F500" t="s">
        <v>1942</v>
      </c>
      <c r="G500" s="6">
        <v>1193</v>
      </c>
      <c r="H500" s="8">
        <v>113.6</v>
      </c>
      <c r="I500" s="7">
        <v>168.13</v>
      </c>
      <c r="J500" s="7">
        <v>7.13</v>
      </c>
      <c r="K500" s="6">
        <v>520</v>
      </c>
      <c r="L500" s="7">
        <v>695.26</v>
      </c>
    </row>
    <row r="501" spans="1:12" x14ac:dyDescent="0.25">
      <c r="A501" s="9">
        <v>45809</v>
      </c>
      <c r="B501" t="s">
        <v>100</v>
      </c>
      <c r="C501" t="s">
        <v>101</v>
      </c>
      <c r="D501" t="s">
        <v>69</v>
      </c>
      <c r="E501" t="s">
        <v>2032</v>
      </c>
      <c r="F501" t="s">
        <v>1940</v>
      </c>
      <c r="G501" s="6">
        <v>960</v>
      </c>
      <c r="H501" s="8">
        <v>112.9</v>
      </c>
      <c r="I501" s="7">
        <v>167.09</v>
      </c>
      <c r="J501" s="7">
        <v>174.09</v>
      </c>
      <c r="K501" s="6">
        <v>520</v>
      </c>
      <c r="L501" s="7">
        <v>861.18</v>
      </c>
    </row>
    <row r="502" spans="1:12" x14ac:dyDescent="0.25">
      <c r="A502" s="9">
        <v>45809</v>
      </c>
      <c r="B502" t="s">
        <v>113</v>
      </c>
      <c r="C502" t="s">
        <v>114</v>
      </c>
      <c r="D502" t="s">
        <v>69</v>
      </c>
      <c r="E502" t="s">
        <v>2022</v>
      </c>
      <c r="F502" t="s">
        <v>1948</v>
      </c>
      <c r="G502" s="6">
        <v>1095</v>
      </c>
      <c r="H502" s="8">
        <v>128.80000000000001</v>
      </c>
      <c r="I502" s="7">
        <v>190.62</v>
      </c>
      <c r="J502" s="7">
        <v>465.44</v>
      </c>
      <c r="K502" s="6">
        <v>320</v>
      </c>
      <c r="L502" s="7">
        <v>976.06</v>
      </c>
    </row>
    <row r="503" spans="1:12" x14ac:dyDescent="0.25">
      <c r="A503" s="9">
        <v>45809</v>
      </c>
      <c r="B503" t="s">
        <v>113</v>
      </c>
      <c r="C503" t="s">
        <v>114</v>
      </c>
      <c r="D503" t="s">
        <v>69</v>
      </c>
      <c r="E503" t="s">
        <v>2028</v>
      </c>
      <c r="F503" t="s">
        <v>1946</v>
      </c>
      <c r="G503" s="6">
        <v>1137</v>
      </c>
      <c r="H503" s="8">
        <v>108.3</v>
      </c>
      <c r="I503" s="7">
        <v>160.28</v>
      </c>
      <c r="J503" s="7">
        <v>69.680000000000007</v>
      </c>
      <c r="K503" s="6">
        <v>380</v>
      </c>
      <c r="L503" s="7">
        <v>609.96</v>
      </c>
    </row>
    <row r="504" spans="1:12" x14ac:dyDescent="0.25">
      <c r="A504" s="9">
        <v>45809</v>
      </c>
      <c r="B504" t="s">
        <v>113</v>
      </c>
      <c r="C504" t="s">
        <v>114</v>
      </c>
      <c r="D504" t="s">
        <v>69</v>
      </c>
      <c r="E504" t="s">
        <v>1967</v>
      </c>
      <c r="F504" t="s">
        <v>1946</v>
      </c>
      <c r="G504" s="6">
        <v>1026</v>
      </c>
      <c r="H504" s="8">
        <v>97.7</v>
      </c>
      <c r="I504" s="7">
        <v>144.6</v>
      </c>
      <c r="J504" s="7">
        <v>7.9</v>
      </c>
      <c r="K504" s="6">
        <v>320</v>
      </c>
      <c r="L504" s="7">
        <v>472.5</v>
      </c>
    </row>
    <row r="505" spans="1:12" x14ac:dyDescent="0.25">
      <c r="A505" s="9">
        <v>45809</v>
      </c>
      <c r="B505" t="s">
        <v>113</v>
      </c>
      <c r="C505" t="s">
        <v>114</v>
      </c>
      <c r="D505" t="s">
        <v>69</v>
      </c>
      <c r="E505" t="s">
        <v>1987</v>
      </c>
      <c r="F505" t="s">
        <v>1940</v>
      </c>
      <c r="G505" s="6">
        <v>1029</v>
      </c>
      <c r="H505" s="8">
        <v>121.1</v>
      </c>
      <c r="I505" s="7">
        <v>179.23</v>
      </c>
      <c r="J505" s="7">
        <v>83.36</v>
      </c>
      <c r="K505" s="6">
        <v>320</v>
      </c>
      <c r="L505" s="7">
        <v>582.59</v>
      </c>
    </row>
    <row r="506" spans="1:12" x14ac:dyDescent="0.25">
      <c r="A506" s="9">
        <v>45809</v>
      </c>
      <c r="B506" t="s">
        <v>143</v>
      </c>
      <c r="C506" t="s">
        <v>144</v>
      </c>
      <c r="D506" t="s">
        <v>69</v>
      </c>
      <c r="E506" t="s">
        <v>2044</v>
      </c>
      <c r="F506" t="s">
        <v>1942</v>
      </c>
      <c r="G506" s="6">
        <v>1278</v>
      </c>
      <c r="H506" s="8">
        <v>121.7</v>
      </c>
      <c r="I506" s="7">
        <v>180.12</v>
      </c>
      <c r="J506" s="7">
        <v>106.04</v>
      </c>
      <c r="K506" s="6">
        <v>450</v>
      </c>
      <c r="L506" s="7">
        <v>736.16</v>
      </c>
    </row>
    <row r="507" spans="1:12" x14ac:dyDescent="0.25">
      <c r="A507" s="9">
        <v>45809</v>
      </c>
      <c r="B507" t="s">
        <v>143</v>
      </c>
      <c r="C507" t="s">
        <v>144</v>
      </c>
      <c r="D507" t="s">
        <v>69</v>
      </c>
      <c r="E507" t="s">
        <v>2054</v>
      </c>
      <c r="F507" t="s">
        <v>1946</v>
      </c>
      <c r="G507" s="6">
        <v>1020</v>
      </c>
      <c r="H507" s="8">
        <v>97.1</v>
      </c>
      <c r="I507" s="7">
        <v>143.71</v>
      </c>
      <c r="J507" s="7">
        <v>99.16</v>
      </c>
      <c r="K507" s="6">
        <v>320</v>
      </c>
      <c r="L507" s="7">
        <v>562.87</v>
      </c>
    </row>
    <row r="508" spans="1:12" x14ac:dyDescent="0.25">
      <c r="A508" s="9">
        <v>45809</v>
      </c>
      <c r="B508" t="s">
        <v>143</v>
      </c>
      <c r="C508" t="s">
        <v>144</v>
      </c>
      <c r="D508" t="s">
        <v>69</v>
      </c>
      <c r="E508" t="s">
        <v>2018</v>
      </c>
      <c r="F508" t="s">
        <v>1948</v>
      </c>
      <c r="G508" s="6">
        <v>1484</v>
      </c>
      <c r="H508" s="8">
        <v>174.6</v>
      </c>
      <c r="I508" s="7">
        <v>258.41000000000003</v>
      </c>
      <c r="J508" s="7">
        <v>224.3</v>
      </c>
      <c r="K508" s="6">
        <v>450</v>
      </c>
      <c r="L508" s="7">
        <v>932.71</v>
      </c>
    </row>
    <row r="509" spans="1:12" x14ac:dyDescent="0.25">
      <c r="A509" s="9">
        <v>45809</v>
      </c>
      <c r="B509" t="s">
        <v>73</v>
      </c>
      <c r="C509" t="s">
        <v>74</v>
      </c>
      <c r="D509" t="s">
        <v>69</v>
      </c>
      <c r="E509" t="s">
        <v>2005</v>
      </c>
      <c r="F509" t="s">
        <v>1940</v>
      </c>
      <c r="G509" s="6">
        <v>1508</v>
      </c>
      <c r="H509" s="8">
        <v>177.4</v>
      </c>
      <c r="I509" s="7">
        <v>262.55</v>
      </c>
      <c r="J509" s="7">
        <v>215.13</v>
      </c>
      <c r="K509" s="6">
        <v>320</v>
      </c>
      <c r="L509" s="7">
        <v>797.68</v>
      </c>
    </row>
    <row r="510" spans="1:12" x14ac:dyDescent="0.25">
      <c r="A510" s="9">
        <v>45809</v>
      </c>
      <c r="B510" t="s">
        <v>73</v>
      </c>
      <c r="C510" t="s">
        <v>74</v>
      </c>
      <c r="D510" t="s">
        <v>69</v>
      </c>
      <c r="E510" t="s">
        <v>2014</v>
      </c>
      <c r="F510" t="s">
        <v>1942</v>
      </c>
      <c r="G510" s="6">
        <v>1170</v>
      </c>
      <c r="H510" s="8">
        <v>111.4</v>
      </c>
      <c r="I510" s="7">
        <v>164.87</v>
      </c>
      <c r="J510" s="7">
        <v>179.5</v>
      </c>
      <c r="K510" s="6">
        <v>380</v>
      </c>
      <c r="L510" s="7">
        <v>724.37</v>
      </c>
    </row>
    <row r="511" spans="1:12" x14ac:dyDescent="0.25">
      <c r="A511" s="9">
        <v>45809</v>
      </c>
      <c r="B511" t="s">
        <v>73</v>
      </c>
      <c r="C511" t="s">
        <v>74</v>
      </c>
      <c r="D511" t="s">
        <v>69</v>
      </c>
      <c r="E511" t="s">
        <v>2063</v>
      </c>
      <c r="F511" t="s">
        <v>1946</v>
      </c>
      <c r="G511" s="6">
        <v>1148</v>
      </c>
      <c r="H511" s="8">
        <v>109.3</v>
      </c>
      <c r="I511" s="7">
        <v>161.76</v>
      </c>
      <c r="J511" s="7">
        <v>0</v>
      </c>
      <c r="K511" s="6">
        <v>450</v>
      </c>
      <c r="L511" s="7">
        <v>611.76</v>
      </c>
    </row>
    <row r="512" spans="1:12" x14ac:dyDescent="0.25">
      <c r="A512" s="9">
        <v>45809</v>
      </c>
      <c r="B512" t="s">
        <v>73</v>
      </c>
      <c r="C512" t="s">
        <v>74</v>
      </c>
      <c r="D512" t="s">
        <v>69</v>
      </c>
      <c r="E512" t="s">
        <v>1986</v>
      </c>
      <c r="F512" t="s">
        <v>1942</v>
      </c>
      <c r="G512" s="6">
        <v>980</v>
      </c>
      <c r="H512" s="8">
        <v>93.3</v>
      </c>
      <c r="I512" s="7">
        <v>138.08000000000001</v>
      </c>
      <c r="J512" s="7">
        <v>217.61</v>
      </c>
      <c r="K512" s="6">
        <v>380</v>
      </c>
      <c r="L512" s="7">
        <v>735.69</v>
      </c>
    </row>
    <row r="513" spans="1:12" x14ac:dyDescent="0.25">
      <c r="A513" s="9">
        <v>45809</v>
      </c>
      <c r="B513" t="s">
        <v>67</v>
      </c>
      <c r="C513" t="s">
        <v>68</v>
      </c>
      <c r="D513" t="s">
        <v>69</v>
      </c>
      <c r="E513" t="s">
        <v>2047</v>
      </c>
      <c r="F513" t="s">
        <v>1942</v>
      </c>
      <c r="G513" s="6">
        <v>1037</v>
      </c>
      <c r="H513" s="8">
        <v>98.8</v>
      </c>
      <c r="I513" s="7">
        <v>146.22</v>
      </c>
      <c r="J513" s="7">
        <v>37.58</v>
      </c>
      <c r="K513" s="6">
        <v>450</v>
      </c>
      <c r="L513" s="7">
        <v>633.79999999999995</v>
      </c>
    </row>
    <row r="514" spans="1:12" x14ac:dyDescent="0.25">
      <c r="A514" s="9">
        <v>45809</v>
      </c>
      <c r="B514" t="s">
        <v>67</v>
      </c>
      <c r="C514" t="s">
        <v>68</v>
      </c>
      <c r="D514" t="s">
        <v>69</v>
      </c>
      <c r="E514" t="s">
        <v>2043</v>
      </c>
      <c r="F514" t="s">
        <v>1948</v>
      </c>
      <c r="G514" s="6">
        <v>1036</v>
      </c>
      <c r="H514" s="8">
        <v>121.9</v>
      </c>
      <c r="I514" s="7">
        <v>180.41</v>
      </c>
      <c r="J514" s="7">
        <v>386.33</v>
      </c>
      <c r="K514" s="6">
        <v>450</v>
      </c>
      <c r="L514" s="7">
        <v>1016.74</v>
      </c>
    </row>
    <row r="515" spans="1:12" x14ac:dyDescent="0.25">
      <c r="A515" s="9">
        <v>45809</v>
      </c>
      <c r="B515" t="s">
        <v>67</v>
      </c>
      <c r="C515" t="s">
        <v>68</v>
      </c>
      <c r="D515" t="s">
        <v>69</v>
      </c>
      <c r="E515" t="s">
        <v>2049</v>
      </c>
      <c r="F515" t="s">
        <v>1942</v>
      </c>
      <c r="G515" s="6">
        <v>1361</v>
      </c>
      <c r="H515" s="8">
        <v>129.6</v>
      </c>
      <c r="I515" s="7">
        <v>191.81</v>
      </c>
      <c r="J515" s="7">
        <v>145.04</v>
      </c>
      <c r="K515" s="6">
        <v>450</v>
      </c>
      <c r="L515" s="7">
        <v>786.85</v>
      </c>
    </row>
    <row r="516" spans="1:12" x14ac:dyDescent="0.25">
      <c r="A516" s="9">
        <v>45809</v>
      </c>
      <c r="B516" t="s">
        <v>67</v>
      </c>
      <c r="C516" t="s">
        <v>68</v>
      </c>
      <c r="D516" t="s">
        <v>69</v>
      </c>
      <c r="E516" t="s">
        <v>2064</v>
      </c>
      <c r="F516" t="s">
        <v>1940</v>
      </c>
      <c r="G516" s="6">
        <v>1287</v>
      </c>
      <c r="H516" s="8">
        <v>151.4</v>
      </c>
      <c r="I516" s="7">
        <v>224.07</v>
      </c>
      <c r="J516" s="7">
        <v>120.68</v>
      </c>
      <c r="K516" s="6">
        <v>320</v>
      </c>
      <c r="L516" s="7">
        <v>664.75</v>
      </c>
    </row>
    <row r="517" spans="1:12" x14ac:dyDescent="0.25">
      <c r="A517" s="9">
        <v>45809</v>
      </c>
      <c r="B517" t="s">
        <v>67</v>
      </c>
      <c r="C517" t="s">
        <v>68</v>
      </c>
      <c r="D517" t="s">
        <v>69</v>
      </c>
      <c r="E517" t="s">
        <v>2065</v>
      </c>
      <c r="F517" t="s">
        <v>1940</v>
      </c>
      <c r="G517" s="6">
        <v>624</v>
      </c>
      <c r="H517" s="8">
        <v>73.400000000000006</v>
      </c>
      <c r="I517" s="7">
        <v>108.63</v>
      </c>
      <c r="J517" s="7">
        <v>76.040000000000006</v>
      </c>
      <c r="K517" s="6">
        <v>320</v>
      </c>
      <c r="L517" s="7">
        <v>504.67</v>
      </c>
    </row>
    <row r="518" spans="1:12" x14ac:dyDescent="0.25">
      <c r="A518" s="9">
        <v>45809</v>
      </c>
      <c r="B518" t="s">
        <v>67</v>
      </c>
      <c r="C518" t="s">
        <v>68</v>
      </c>
      <c r="D518" t="s">
        <v>69</v>
      </c>
      <c r="E518" t="s">
        <v>2029</v>
      </c>
      <c r="F518" t="s">
        <v>1942</v>
      </c>
      <c r="G518" s="6">
        <v>1440</v>
      </c>
      <c r="H518" s="8">
        <v>137.1</v>
      </c>
      <c r="I518" s="7">
        <v>202.91</v>
      </c>
      <c r="J518" s="7">
        <v>128.08000000000001</v>
      </c>
      <c r="K518" s="6">
        <v>320</v>
      </c>
      <c r="L518" s="7">
        <v>650.99</v>
      </c>
    </row>
    <row r="519" spans="1:12" x14ac:dyDescent="0.25">
      <c r="A519" s="9">
        <v>45809</v>
      </c>
      <c r="B519" t="s">
        <v>32</v>
      </c>
      <c r="C519" t="s">
        <v>33</v>
      </c>
      <c r="D519" t="s">
        <v>34</v>
      </c>
      <c r="E519" t="s">
        <v>2068</v>
      </c>
      <c r="F519" t="s">
        <v>1946</v>
      </c>
      <c r="G519" s="6">
        <v>989</v>
      </c>
      <c r="H519" s="8">
        <v>94.2</v>
      </c>
      <c r="I519" s="7">
        <v>139.41999999999999</v>
      </c>
      <c r="J519" s="7">
        <v>126.01</v>
      </c>
      <c r="K519" s="6">
        <v>320</v>
      </c>
      <c r="L519" s="7">
        <v>585.42999999999995</v>
      </c>
    </row>
    <row r="520" spans="1:12" x14ac:dyDescent="0.25">
      <c r="A520" s="9">
        <v>45809</v>
      </c>
      <c r="B520" t="s">
        <v>32</v>
      </c>
      <c r="C520" t="s">
        <v>33</v>
      </c>
      <c r="D520" t="s">
        <v>34</v>
      </c>
      <c r="E520" t="s">
        <v>2042</v>
      </c>
      <c r="F520" t="s">
        <v>1946</v>
      </c>
      <c r="G520" s="6">
        <v>1526</v>
      </c>
      <c r="H520" s="8">
        <v>145.30000000000001</v>
      </c>
      <c r="I520" s="7">
        <v>215.04</v>
      </c>
      <c r="J520" s="7">
        <v>280.08</v>
      </c>
      <c r="K520" s="6">
        <v>450</v>
      </c>
      <c r="L520" s="7">
        <v>945.12</v>
      </c>
    </row>
    <row r="521" spans="1:12" x14ac:dyDescent="0.25">
      <c r="A521" s="9">
        <v>45809</v>
      </c>
      <c r="B521" t="s">
        <v>32</v>
      </c>
      <c r="C521" t="s">
        <v>33</v>
      </c>
      <c r="D521" t="s">
        <v>34</v>
      </c>
      <c r="E521" t="s">
        <v>2059</v>
      </c>
      <c r="F521" t="s">
        <v>1940</v>
      </c>
      <c r="G521" s="6">
        <v>1604</v>
      </c>
      <c r="H521" s="8">
        <v>188.7</v>
      </c>
      <c r="I521" s="7">
        <v>279.27999999999997</v>
      </c>
      <c r="J521" s="7">
        <v>137.28</v>
      </c>
      <c r="K521" s="6">
        <v>320</v>
      </c>
      <c r="L521" s="7">
        <v>736.56</v>
      </c>
    </row>
    <row r="522" spans="1:12" x14ac:dyDescent="0.25">
      <c r="A522" s="9">
        <v>45809</v>
      </c>
      <c r="B522" t="s">
        <v>32</v>
      </c>
      <c r="C522" t="s">
        <v>33</v>
      </c>
      <c r="D522" t="s">
        <v>34</v>
      </c>
      <c r="E522" t="s">
        <v>1955</v>
      </c>
      <c r="F522" t="s">
        <v>1946</v>
      </c>
      <c r="G522" s="6">
        <v>1123</v>
      </c>
      <c r="H522" s="8">
        <v>107</v>
      </c>
      <c r="I522" s="7">
        <v>158.36000000000001</v>
      </c>
      <c r="J522" s="7">
        <v>28.67</v>
      </c>
      <c r="K522" s="6">
        <v>450</v>
      </c>
      <c r="L522" s="7">
        <v>637.03</v>
      </c>
    </row>
    <row r="523" spans="1:12" x14ac:dyDescent="0.25">
      <c r="A523" s="9">
        <v>45809</v>
      </c>
      <c r="B523" t="s">
        <v>94</v>
      </c>
      <c r="C523" t="s">
        <v>95</v>
      </c>
      <c r="D523" t="s">
        <v>34</v>
      </c>
      <c r="E523" t="s">
        <v>1985</v>
      </c>
      <c r="F523" t="s">
        <v>1948</v>
      </c>
      <c r="G523" s="6">
        <v>1419</v>
      </c>
      <c r="H523" s="8">
        <v>166.9</v>
      </c>
      <c r="I523" s="7">
        <v>247.01</v>
      </c>
      <c r="J523" s="7">
        <v>156.58000000000001</v>
      </c>
      <c r="K523" s="6">
        <v>380</v>
      </c>
      <c r="L523" s="7">
        <v>783.59</v>
      </c>
    </row>
    <row r="524" spans="1:12" x14ac:dyDescent="0.25">
      <c r="A524" s="9">
        <v>45809</v>
      </c>
      <c r="B524" t="s">
        <v>94</v>
      </c>
      <c r="C524" t="s">
        <v>95</v>
      </c>
      <c r="D524" t="s">
        <v>34</v>
      </c>
      <c r="E524" t="s">
        <v>1968</v>
      </c>
      <c r="F524" t="s">
        <v>1948</v>
      </c>
      <c r="G524" s="6">
        <v>1104</v>
      </c>
      <c r="H524" s="8">
        <v>129.9</v>
      </c>
      <c r="I524" s="7">
        <v>192.25</v>
      </c>
      <c r="J524" s="7">
        <v>162.22</v>
      </c>
      <c r="K524" s="6">
        <v>380</v>
      </c>
      <c r="L524" s="7">
        <v>734.47</v>
      </c>
    </row>
    <row r="525" spans="1:12" x14ac:dyDescent="0.25">
      <c r="A525" s="9">
        <v>45809</v>
      </c>
      <c r="B525" t="s">
        <v>94</v>
      </c>
      <c r="C525" t="s">
        <v>95</v>
      </c>
      <c r="D525" t="s">
        <v>34</v>
      </c>
      <c r="E525" t="s">
        <v>2012</v>
      </c>
      <c r="F525" t="s">
        <v>1948</v>
      </c>
      <c r="G525" s="6">
        <v>902</v>
      </c>
      <c r="H525" s="8">
        <v>106.1</v>
      </c>
      <c r="I525" s="7">
        <v>157.03</v>
      </c>
      <c r="J525" s="7">
        <v>183.02</v>
      </c>
      <c r="K525" s="6">
        <v>520</v>
      </c>
      <c r="L525" s="7">
        <v>860.05</v>
      </c>
    </row>
    <row r="526" spans="1:12" x14ac:dyDescent="0.25">
      <c r="A526" s="9">
        <v>45809</v>
      </c>
      <c r="B526" t="s">
        <v>94</v>
      </c>
      <c r="C526" t="s">
        <v>95</v>
      </c>
      <c r="D526" t="s">
        <v>34</v>
      </c>
      <c r="E526" t="s">
        <v>1997</v>
      </c>
      <c r="F526" t="s">
        <v>1946</v>
      </c>
      <c r="G526" s="6">
        <v>898</v>
      </c>
      <c r="H526" s="8">
        <v>85.5</v>
      </c>
      <c r="I526" s="7">
        <v>126.54</v>
      </c>
      <c r="J526" s="7">
        <v>106.87</v>
      </c>
      <c r="K526" s="6">
        <v>380</v>
      </c>
      <c r="L526" s="7">
        <v>613.41</v>
      </c>
    </row>
    <row r="527" spans="1:12" x14ac:dyDescent="0.25">
      <c r="A527" s="9">
        <v>45809</v>
      </c>
      <c r="B527" t="s">
        <v>41</v>
      </c>
      <c r="C527" t="s">
        <v>42</v>
      </c>
      <c r="D527" t="s">
        <v>34</v>
      </c>
      <c r="E527" t="s">
        <v>1971</v>
      </c>
      <c r="F527" t="s">
        <v>1948</v>
      </c>
      <c r="G527" s="6">
        <v>912</v>
      </c>
      <c r="H527" s="8">
        <v>107.3</v>
      </c>
      <c r="I527" s="7">
        <v>158.80000000000001</v>
      </c>
      <c r="J527" s="7">
        <v>316.67</v>
      </c>
      <c r="K527" s="6">
        <v>320</v>
      </c>
      <c r="L527" s="7">
        <v>795.47</v>
      </c>
    </row>
    <row r="528" spans="1:12" x14ac:dyDescent="0.25">
      <c r="A528" s="9">
        <v>45809</v>
      </c>
      <c r="B528" t="s">
        <v>41</v>
      </c>
      <c r="C528" t="s">
        <v>42</v>
      </c>
      <c r="D528" t="s">
        <v>34</v>
      </c>
      <c r="E528" t="s">
        <v>1956</v>
      </c>
      <c r="F528" t="s">
        <v>1940</v>
      </c>
      <c r="G528" s="6">
        <v>773</v>
      </c>
      <c r="H528" s="8">
        <v>90.9</v>
      </c>
      <c r="I528" s="7">
        <v>134.53</v>
      </c>
      <c r="J528" s="7">
        <v>167.64</v>
      </c>
      <c r="K528" s="6">
        <v>450</v>
      </c>
      <c r="L528" s="7">
        <v>752.17</v>
      </c>
    </row>
    <row r="529" spans="1:12" x14ac:dyDescent="0.25">
      <c r="A529" s="9">
        <v>45809</v>
      </c>
      <c r="B529" t="s">
        <v>41</v>
      </c>
      <c r="C529" t="s">
        <v>42</v>
      </c>
      <c r="D529" t="s">
        <v>34</v>
      </c>
      <c r="E529" t="s">
        <v>1964</v>
      </c>
      <c r="F529" t="s">
        <v>1948</v>
      </c>
      <c r="G529" s="6">
        <v>1354</v>
      </c>
      <c r="H529" s="8">
        <v>159.30000000000001</v>
      </c>
      <c r="I529" s="7">
        <v>235.76</v>
      </c>
      <c r="J529" s="7">
        <v>208.94</v>
      </c>
      <c r="K529" s="6">
        <v>450</v>
      </c>
      <c r="L529" s="7">
        <v>894.7</v>
      </c>
    </row>
    <row r="530" spans="1:12" x14ac:dyDescent="0.25">
      <c r="A530" s="9">
        <v>45809</v>
      </c>
      <c r="B530" t="s">
        <v>41</v>
      </c>
      <c r="C530" t="s">
        <v>42</v>
      </c>
      <c r="D530" t="s">
        <v>34</v>
      </c>
      <c r="E530" t="s">
        <v>2053</v>
      </c>
      <c r="F530" t="s">
        <v>1940</v>
      </c>
      <c r="G530" s="6">
        <v>870</v>
      </c>
      <c r="H530" s="8">
        <v>102.4</v>
      </c>
      <c r="I530" s="7">
        <v>151.55000000000001</v>
      </c>
      <c r="J530" s="7">
        <v>131.56</v>
      </c>
      <c r="K530" s="6">
        <v>380</v>
      </c>
      <c r="L530" s="7">
        <v>663.11</v>
      </c>
    </row>
    <row r="531" spans="1:12" x14ac:dyDescent="0.25">
      <c r="A531" s="9">
        <v>45809</v>
      </c>
      <c r="B531" t="s">
        <v>41</v>
      </c>
      <c r="C531" t="s">
        <v>42</v>
      </c>
      <c r="D531" t="s">
        <v>34</v>
      </c>
      <c r="E531" t="s">
        <v>2013</v>
      </c>
      <c r="F531" t="s">
        <v>1942</v>
      </c>
      <c r="G531" s="6">
        <v>1344</v>
      </c>
      <c r="H531" s="8">
        <v>128</v>
      </c>
      <c r="I531" s="7">
        <v>189.44</v>
      </c>
      <c r="J531" s="7">
        <v>165.53</v>
      </c>
      <c r="K531" s="6">
        <v>520</v>
      </c>
      <c r="L531" s="7">
        <v>874.97</v>
      </c>
    </row>
    <row r="532" spans="1:12" x14ac:dyDescent="0.25">
      <c r="A532" s="9">
        <v>45809</v>
      </c>
      <c r="B532" t="s">
        <v>47</v>
      </c>
      <c r="C532" t="s">
        <v>48</v>
      </c>
      <c r="D532" t="s">
        <v>34</v>
      </c>
      <c r="E532" t="s">
        <v>1943</v>
      </c>
      <c r="F532" t="s">
        <v>1948</v>
      </c>
      <c r="G532" s="6">
        <v>917</v>
      </c>
      <c r="H532" s="8">
        <v>107.9</v>
      </c>
      <c r="I532" s="7">
        <v>159.69</v>
      </c>
      <c r="J532" s="7">
        <v>288.70999999999998</v>
      </c>
      <c r="K532" s="6">
        <v>380</v>
      </c>
      <c r="L532" s="7">
        <v>828.4</v>
      </c>
    </row>
    <row r="533" spans="1:12" x14ac:dyDescent="0.25">
      <c r="A533" s="9">
        <v>45809</v>
      </c>
      <c r="B533" t="s">
        <v>47</v>
      </c>
      <c r="C533" t="s">
        <v>48</v>
      </c>
      <c r="D533" t="s">
        <v>34</v>
      </c>
      <c r="E533" t="s">
        <v>1951</v>
      </c>
      <c r="F533" t="s">
        <v>1948</v>
      </c>
      <c r="G533" s="6">
        <v>774</v>
      </c>
      <c r="H533" s="8">
        <v>91.1</v>
      </c>
      <c r="I533" s="7">
        <v>134.83000000000001</v>
      </c>
      <c r="J533" s="7">
        <v>304.51</v>
      </c>
      <c r="K533" s="6">
        <v>450</v>
      </c>
      <c r="L533" s="7">
        <v>889.34</v>
      </c>
    </row>
    <row r="534" spans="1:12" x14ac:dyDescent="0.25">
      <c r="A534" s="9">
        <v>45809</v>
      </c>
      <c r="B534" t="s">
        <v>47</v>
      </c>
      <c r="C534" t="s">
        <v>48</v>
      </c>
      <c r="D534" t="s">
        <v>34</v>
      </c>
      <c r="E534" t="s">
        <v>2035</v>
      </c>
      <c r="F534" t="s">
        <v>1942</v>
      </c>
      <c r="G534" s="6">
        <v>1152</v>
      </c>
      <c r="H534" s="8">
        <v>109.7</v>
      </c>
      <c r="I534" s="7">
        <v>162.36000000000001</v>
      </c>
      <c r="J534" s="7">
        <v>125.38</v>
      </c>
      <c r="K534" s="6">
        <v>380</v>
      </c>
      <c r="L534" s="7">
        <v>667.74</v>
      </c>
    </row>
    <row r="535" spans="1:12" x14ac:dyDescent="0.25">
      <c r="A535" s="9">
        <v>45809</v>
      </c>
      <c r="B535" t="s">
        <v>47</v>
      </c>
      <c r="C535" t="s">
        <v>48</v>
      </c>
      <c r="D535" t="s">
        <v>34</v>
      </c>
      <c r="E535" t="s">
        <v>2030</v>
      </c>
      <c r="F535" t="s">
        <v>1948</v>
      </c>
      <c r="G535" s="6">
        <v>840</v>
      </c>
      <c r="H535" s="8">
        <v>98.8</v>
      </c>
      <c r="I535" s="7">
        <v>146.22</v>
      </c>
      <c r="J535" s="7">
        <v>179.07</v>
      </c>
      <c r="K535" s="6">
        <v>380</v>
      </c>
      <c r="L535" s="7">
        <v>705.29</v>
      </c>
    </row>
    <row r="536" spans="1:12" x14ac:dyDescent="0.25">
      <c r="A536" s="9">
        <v>45809</v>
      </c>
      <c r="B536" t="s">
        <v>121</v>
      </c>
      <c r="C536" t="s">
        <v>122</v>
      </c>
      <c r="D536" t="s">
        <v>34</v>
      </c>
      <c r="E536" t="s">
        <v>2053</v>
      </c>
      <c r="F536" t="s">
        <v>1946</v>
      </c>
      <c r="G536" s="6">
        <v>1183</v>
      </c>
      <c r="H536" s="8">
        <v>112.7</v>
      </c>
      <c r="I536" s="7">
        <v>166.8</v>
      </c>
      <c r="J536" s="7">
        <v>248.32</v>
      </c>
      <c r="K536" s="6">
        <v>520</v>
      </c>
      <c r="L536" s="7">
        <v>935.12</v>
      </c>
    </row>
    <row r="537" spans="1:12" x14ac:dyDescent="0.25">
      <c r="A537" s="9">
        <v>45809</v>
      </c>
      <c r="B537" t="s">
        <v>121</v>
      </c>
      <c r="C537" t="s">
        <v>122</v>
      </c>
      <c r="D537" t="s">
        <v>34</v>
      </c>
      <c r="E537" t="s">
        <v>1957</v>
      </c>
      <c r="F537" t="s">
        <v>1948</v>
      </c>
      <c r="G537" s="6">
        <v>890</v>
      </c>
      <c r="H537" s="8">
        <v>104.7</v>
      </c>
      <c r="I537" s="7">
        <v>154.96</v>
      </c>
      <c r="J537" s="7">
        <v>286.67</v>
      </c>
      <c r="K537" s="6">
        <v>450</v>
      </c>
      <c r="L537" s="7">
        <v>891.63</v>
      </c>
    </row>
    <row r="538" spans="1:12" x14ac:dyDescent="0.25">
      <c r="A538" s="9">
        <v>45809</v>
      </c>
      <c r="B538" t="s">
        <v>121</v>
      </c>
      <c r="C538" t="s">
        <v>122</v>
      </c>
      <c r="D538" t="s">
        <v>34</v>
      </c>
      <c r="E538" t="s">
        <v>2041</v>
      </c>
      <c r="F538" t="s">
        <v>1940</v>
      </c>
      <c r="G538" s="6">
        <v>528</v>
      </c>
      <c r="H538" s="8">
        <v>62.1</v>
      </c>
      <c r="I538" s="7">
        <v>91.91</v>
      </c>
      <c r="J538" s="7">
        <v>103.23</v>
      </c>
      <c r="K538" s="6">
        <v>320</v>
      </c>
      <c r="L538" s="7">
        <v>515.14</v>
      </c>
    </row>
    <row r="539" spans="1:12" x14ac:dyDescent="0.25">
      <c r="A539" s="9">
        <v>45809</v>
      </c>
      <c r="B539" t="s">
        <v>121</v>
      </c>
      <c r="C539" t="s">
        <v>122</v>
      </c>
      <c r="D539" t="s">
        <v>34</v>
      </c>
      <c r="E539" t="s">
        <v>2014</v>
      </c>
      <c r="F539" t="s">
        <v>1948</v>
      </c>
      <c r="G539" s="6">
        <v>1042</v>
      </c>
      <c r="H539" s="8">
        <v>122.6</v>
      </c>
      <c r="I539" s="7">
        <v>181.45</v>
      </c>
      <c r="J539" s="7">
        <v>177.23</v>
      </c>
      <c r="K539" s="6">
        <v>320</v>
      </c>
      <c r="L539" s="7">
        <v>678.68</v>
      </c>
    </row>
    <row r="540" spans="1:12" x14ac:dyDescent="0.25">
      <c r="A540" s="9">
        <v>45809</v>
      </c>
      <c r="B540" t="s">
        <v>121</v>
      </c>
      <c r="C540" t="s">
        <v>122</v>
      </c>
      <c r="D540" t="s">
        <v>34</v>
      </c>
      <c r="E540" t="s">
        <v>2042</v>
      </c>
      <c r="F540" t="s">
        <v>1948</v>
      </c>
      <c r="G540" s="6">
        <v>815</v>
      </c>
      <c r="H540" s="8">
        <v>95.9</v>
      </c>
      <c r="I540" s="7">
        <v>141.93</v>
      </c>
      <c r="J540" s="7">
        <v>196.58</v>
      </c>
      <c r="K540" s="6">
        <v>320</v>
      </c>
      <c r="L540" s="7">
        <v>658.51</v>
      </c>
    </row>
    <row r="541" spans="1:12" x14ac:dyDescent="0.25">
      <c r="A541" s="9">
        <v>45809</v>
      </c>
      <c r="B541" t="s">
        <v>121</v>
      </c>
      <c r="C541" t="s">
        <v>122</v>
      </c>
      <c r="D541" t="s">
        <v>34</v>
      </c>
      <c r="E541" t="s">
        <v>2022</v>
      </c>
      <c r="F541" t="s">
        <v>1946</v>
      </c>
      <c r="G541" s="6">
        <v>1123</v>
      </c>
      <c r="H541" s="8">
        <v>107</v>
      </c>
      <c r="I541" s="7">
        <v>158.36000000000001</v>
      </c>
      <c r="J541" s="7">
        <v>135.01</v>
      </c>
      <c r="K541" s="6">
        <v>520</v>
      </c>
      <c r="L541" s="7">
        <v>813.37</v>
      </c>
    </row>
    <row r="542" spans="1:12" x14ac:dyDescent="0.25">
      <c r="A542" s="9">
        <v>45809</v>
      </c>
      <c r="B542" t="s">
        <v>201</v>
      </c>
      <c r="C542" t="s">
        <v>202</v>
      </c>
      <c r="D542" t="s">
        <v>64</v>
      </c>
      <c r="E542" t="s">
        <v>2011</v>
      </c>
      <c r="F542" t="s">
        <v>1946</v>
      </c>
      <c r="G542" s="6">
        <v>490</v>
      </c>
      <c r="H542" s="8">
        <v>46.7</v>
      </c>
      <c r="I542" s="7">
        <v>69.12</v>
      </c>
      <c r="J542" s="7">
        <v>0</v>
      </c>
      <c r="K542" s="6">
        <v>520</v>
      </c>
      <c r="L542" s="7">
        <v>589.12</v>
      </c>
    </row>
    <row r="543" spans="1:12" x14ac:dyDescent="0.25">
      <c r="A543" s="9">
        <v>45809</v>
      </c>
      <c r="B543" t="s">
        <v>201</v>
      </c>
      <c r="C543" t="s">
        <v>202</v>
      </c>
      <c r="D543" t="s">
        <v>64</v>
      </c>
      <c r="E543" t="s">
        <v>2046</v>
      </c>
      <c r="F543" t="s">
        <v>1946</v>
      </c>
      <c r="G543" s="6">
        <v>898</v>
      </c>
      <c r="H543" s="8">
        <v>85.5</v>
      </c>
      <c r="I543" s="7">
        <v>126.54</v>
      </c>
      <c r="J543" s="7">
        <v>186.61</v>
      </c>
      <c r="K543" s="6">
        <v>320</v>
      </c>
      <c r="L543" s="7">
        <v>633.15</v>
      </c>
    </row>
    <row r="544" spans="1:12" x14ac:dyDescent="0.25">
      <c r="A544" s="9">
        <v>45809</v>
      </c>
      <c r="B544" t="s">
        <v>201</v>
      </c>
      <c r="C544" t="s">
        <v>202</v>
      </c>
      <c r="D544" t="s">
        <v>64</v>
      </c>
      <c r="E544" t="s">
        <v>1953</v>
      </c>
      <c r="F544" t="s">
        <v>1940</v>
      </c>
      <c r="G544" s="6">
        <v>363</v>
      </c>
      <c r="H544" s="8">
        <v>42.7</v>
      </c>
      <c r="I544" s="7">
        <v>63.2</v>
      </c>
      <c r="J544" s="7">
        <v>110.02</v>
      </c>
      <c r="K544" s="6">
        <v>520</v>
      </c>
      <c r="L544" s="7">
        <v>693.22</v>
      </c>
    </row>
    <row r="545" spans="1:12" x14ac:dyDescent="0.25">
      <c r="A545" s="9">
        <v>45809</v>
      </c>
      <c r="B545" t="s">
        <v>201</v>
      </c>
      <c r="C545" t="s">
        <v>202</v>
      </c>
      <c r="D545" t="s">
        <v>64</v>
      </c>
      <c r="E545" t="s">
        <v>2042</v>
      </c>
      <c r="F545" t="s">
        <v>1940</v>
      </c>
      <c r="G545" s="6">
        <v>918</v>
      </c>
      <c r="H545" s="8">
        <v>108</v>
      </c>
      <c r="I545" s="7">
        <v>159.84</v>
      </c>
      <c r="J545" s="7">
        <v>261.07</v>
      </c>
      <c r="K545" s="6">
        <v>520</v>
      </c>
      <c r="L545" s="7">
        <v>940.91</v>
      </c>
    </row>
    <row r="546" spans="1:12" x14ac:dyDescent="0.25">
      <c r="A546" s="9">
        <v>45809</v>
      </c>
      <c r="B546" t="s">
        <v>201</v>
      </c>
      <c r="C546" t="s">
        <v>202</v>
      </c>
      <c r="D546" t="s">
        <v>64</v>
      </c>
      <c r="E546" t="s">
        <v>2026</v>
      </c>
      <c r="F546" t="s">
        <v>1940</v>
      </c>
      <c r="G546" s="6">
        <v>953</v>
      </c>
      <c r="H546" s="8">
        <v>112.1</v>
      </c>
      <c r="I546" s="7">
        <v>165.91</v>
      </c>
      <c r="J546" s="7">
        <v>180.64</v>
      </c>
      <c r="K546" s="6">
        <v>380</v>
      </c>
      <c r="L546" s="7">
        <v>726.55</v>
      </c>
    </row>
    <row r="547" spans="1:12" x14ac:dyDescent="0.25">
      <c r="A547" s="9">
        <v>45809</v>
      </c>
      <c r="B547" t="s">
        <v>201</v>
      </c>
      <c r="C547" t="s">
        <v>202</v>
      </c>
      <c r="D547" t="s">
        <v>64</v>
      </c>
      <c r="E547" t="s">
        <v>2060</v>
      </c>
      <c r="F547" t="s">
        <v>1948</v>
      </c>
      <c r="G547" s="6">
        <v>1085</v>
      </c>
      <c r="H547" s="8">
        <v>127.6</v>
      </c>
      <c r="I547" s="7">
        <v>188.85</v>
      </c>
      <c r="J547" s="7">
        <v>79.55</v>
      </c>
      <c r="K547" s="6">
        <v>450</v>
      </c>
      <c r="L547" s="7">
        <v>718.4</v>
      </c>
    </row>
    <row r="548" spans="1:12" x14ac:dyDescent="0.25">
      <c r="A548" s="9">
        <v>45809</v>
      </c>
      <c r="B548" t="s">
        <v>118</v>
      </c>
      <c r="C548" t="s">
        <v>119</v>
      </c>
      <c r="D548" t="s">
        <v>64</v>
      </c>
      <c r="E548" t="s">
        <v>2046</v>
      </c>
      <c r="F548" t="s">
        <v>1942</v>
      </c>
      <c r="G548" s="6">
        <v>1242</v>
      </c>
      <c r="H548" s="8">
        <v>118.3</v>
      </c>
      <c r="I548" s="7">
        <v>175.08</v>
      </c>
      <c r="J548" s="7">
        <v>167.23</v>
      </c>
      <c r="K548" s="6">
        <v>520</v>
      </c>
      <c r="L548" s="7">
        <v>862.31</v>
      </c>
    </row>
    <row r="549" spans="1:12" x14ac:dyDescent="0.25">
      <c r="A549" s="9">
        <v>45809</v>
      </c>
      <c r="B549" t="s">
        <v>118</v>
      </c>
      <c r="C549" t="s">
        <v>119</v>
      </c>
      <c r="D549" t="s">
        <v>64</v>
      </c>
      <c r="E549" t="s">
        <v>2003</v>
      </c>
      <c r="F549" t="s">
        <v>1940</v>
      </c>
      <c r="G549" s="6">
        <v>1177</v>
      </c>
      <c r="H549" s="8">
        <v>138.5</v>
      </c>
      <c r="I549" s="7">
        <v>204.98</v>
      </c>
      <c r="J549" s="7">
        <v>464.1</v>
      </c>
      <c r="K549" s="6">
        <v>450</v>
      </c>
      <c r="L549" s="7">
        <v>1119.08</v>
      </c>
    </row>
    <row r="550" spans="1:12" x14ac:dyDescent="0.25">
      <c r="A550" s="9">
        <v>45809</v>
      </c>
      <c r="B550" t="s">
        <v>118</v>
      </c>
      <c r="C550" t="s">
        <v>119</v>
      </c>
      <c r="D550" t="s">
        <v>64</v>
      </c>
      <c r="E550" t="s">
        <v>2076</v>
      </c>
      <c r="F550" t="s">
        <v>1940</v>
      </c>
      <c r="G550" s="6">
        <v>528</v>
      </c>
      <c r="H550" s="8">
        <v>62.1</v>
      </c>
      <c r="I550" s="7">
        <v>91.91</v>
      </c>
      <c r="J550" s="7">
        <v>287.98</v>
      </c>
      <c r="K550" s="6">
        <v>320</v>
      </c>
      <c r="L550" s="7">
        <v>699.89</v>
      </c>
    </row>
    <row r="551" spans="1:12" x14ac:dyDescent="0.25">
      <c r="A551" s="9">
        <v>45809</v>
      </c>
      <c r="B551" t="s">
        <v>118</v>
      </c>
      <c r="C551" t="s">
        <v>119</v>
      </c>
      <c r="D551" t="s">
        <v>64</v>
      </c>
      <c r="E551" t="s">
        <v>1939</v>
      </c>
      <c r="F551" t="s">
        <v>1946</v>
      </c>
      <c r="G551" s="6">
        <v>978</v>
      </c>
      <c r="H551" s="8">
        <v>93.1</v>
      </c>
      <c r="I551" s="7">
        <v>137.79</v>
      </c>
      <c r="J551" s="7">
        <v>172.99</v>
      </c>
      <c r="K551" s="6">
        <v>380</v>
      </c>
      <c r="L551" s="7">
        <v>690.78</v>
      </c>
    </row>
    <row r="552" spans="1:12" x14ac:dyDescent="0.25">
      <c r="A552" s="9">
        <v>45809</v>
      </c>
      <c r="B552" t="s">
        <v>118</v>
      </c>
      <c r="C552" t="s">
        <v>119</v>
      </c>
      <c r="D552" t="s">
        <v>64</v>
      </c>
      <c r="E552" t="s">
        <v>2055</v>
      </c>
      <c r="F552" t="s">
        <v>1948</v>
      </c>
      <c r="G552" s="6">
        <v>1038</v>
      </c>
      <c r="H552" s="8">
        <v>122.1</v>
      </c>
      <c r="I552" s="7">
        <v>180.71</v>
      </c>
      <c r="J552" s="7">
        <v>216.06</v>
      </c>
      <c r="K552" s="6">
        <v>380</v>
      </c>
      <c r="L552" s="7">
        <v>776.77</v>
      </c>
    </row>
    <row r="553" spans="1:12" x14ac:dyDescent="0.25">
      <c r="A553" s="9">
        <v>45809</v>
      </c>
      <c r="B553" t="s">
        <v>118</v>
      </c>
      <c r="C553" t="s">
        <v>119</v>
      </c>
      <c r="D553" t="s">
        <v>64</v>
      </c>
      <c r="E553" t="s">
        <v>2048</v>
      </c>
      <c r="F553" t="s">
        <v>1946</v>
      </c>
      <c r="G553" s="6">
        <v>907</v>
      </c>
      <c r="H553" s="8">
        <v>86.4</v>
      </c>
      <c r="I553" s="7">
        <v>127.87</v>
      </c>
      <c r="J553" s="7">
        <v>176.36</v>
      </c>
      <c r="K553" s="6">
        <v>380</v>
      </c>
      <c r="L553" s="7">
        <v>684.23</v>
      </c>
    </row>
    <row r="554" spans="1:12" x14ac:dyDescent="0.25">
      <c r="A554" s="9">
        <v>45809</v>
      </c>
      <c r="B554" t="s">
        <v>118</v>
      </c>
      <c r="C554" t="s">
        <v>119</v>
      </c>
      <c r="D554" t="s">
        <v>64</v>
      </c>
      <c r="E554" t="s">
        <v>2064</v>
      </c>
      <c r="F554" t="s">
        <v>1948</v>
      </c>
      <c r="G554" s="6">
        <v>670</v>
      </c>
      <c r="H554" s="8">
        <v>78.8</v>
      </c>
      <c r="I554" s="7">
        <v>116.62</v>
      </c>
      <c r="J554" s="7">
        <v>310.05</v>
      </c>
      <c r="K554" s="6">
        <v>320</v>
      </c>
      <c r="L554" s="7">
        <v>746.67</v>
      </c>
    </row>
    <row r="555" spans="1:12" x14ac:dyDescent="0.25">
      <c r="A555" s="9">
        <v>45809</v>
      </c>
      <c r="B555" t="s">
        <v>62</v>
      </c>
      <c r="C555" t="s">
        <v>63</v>
      </c>
      <c r="D555" t="s">
        <v>64</v>
      </c>
      <c r="E555" t="s">
        <v>1968</v>
      </c>
      <c r="F555" t="s">
        <v>1940</v>
      </c>
      <c r="G555" s="6">
        <v>945</v>
      </c>
      <c r="H555" s="8">
        <v>111.2</v>
      </c>
      <c r="I555" s="7">
        <v>164.58</v>
      </c>
      <c r="J555" s="7">
        <v>59.59</v>
      </c>
      <c r="K555" s="6">
        <v>520</v>
      </c>
      <c r="L555" s="7">
        <v>744.17</v>
      </c>
    </row>
    <row r="556" spans="1:12" x14ac:dyDescent="0.25">
      <c r="A556" s="9">
        <v>45809</v>
      </c>
      <c r="B556" t="s">
        <v>62</v>
      </c>
      <c r="C556" t="s">
        <v>63</v>
      </c>
      <c r="D556" t="s">
        <v>64</v>
      </c>
      <c r="E556" t="s">
        <v>2025</v>
      </c>
      <c r="F556" t="s">
        <v>1946</v>
      </c>
      <c r="G556" s="6">
        <v>937</v>
      </c>
      <c r="H556" s="8">
        <v>89.2</v>
      </c>
      <c r="I556" s="7">
        <v>132.02000000000001</v>
      </c>
      <c r="J556" s="7">
        <v>250.57</v>
      </c>
      <c r="K556" s="6">
        <v>520</v>
      </c>
      <c r="L556" s="7">
        <v>902.59</v>
      </c>
    </row>
    <row r="557" spans="1:12" x14ac:dyDescent="0.25">
      <c r="A557" s="9">
        <v>45809</v>
      </c>
      <c r="B557" t="s">
        <v>62</v>
      </c>
      <c r="C557" t="s">
        <v>63</v>
      </c>
      <c r="D557" t="s">
        <v>64</v>
      </c>
      <c r="E557" t="s">
        <v>2030</v>
      </c>
      <c r="F557" t="s">
        <v>1942</v>
      </c>
      <c r="G557" s="6">
        <v>916</v>
      </c>
      <c r="H557" s="8">
        <v>87.2</v>
      </c>
      <c r="I557" s="7">
        <v>129.06</v>
      </c>
      <c r="J557" s="7">
        <v>178.68</v>
      </c>
      <c r="K557" s="6">
        <v>380</v>
      </c>
      <c r="L557" s="7">
        <v>687.74</v>
      </c>
    </row>
    <row r="558" spans="1:12" x14ac:dyDescent="0.25">
      <c r="A558" s="9">
        <v>45809</v>
      </c>
      <c r="B558" t="s">
        <v>91</v>
      </c>
      <c r="C558" t="s">
        <v>92</v>
      </c>
      <c r="D558" t="s">
        <v>64</v>
      </c>
      <c r="E558" t="s">
        <v>2029</v>
      </c>
      <c r="F558" t="s">
        <v>1946</v>
      </c>
      <c r="G558" s="6">
        <v>867</v>
      </c>
      <c r="H558" s="8">
        <v>82.6</v>
      </c>
      <c r="I558" s="7">
        <v>122.25</v>
      </c>
      <c r="J558" s="7">
        <v>210.63</v>
      </c>
      <c r="K558" s="6">
        <v>380</v>
      </c>
      <c r="L558" s="7">
        <v>712.88</v>
      </c>
    </row>
    <row r="559" spans="1:12" x14ac:dyDescent="0.25">
      <c r="A559" s="9">
        <v>45809</v>
      </c>
      <c r="B559" t="s">
        <v>91</v>
      </c>
      <c r="C559" t="s">
        <v>92</v>
      </c>
      <c r="D559" t="s">
        <v>64</v>
      </c>
      <c r="E559" t="s">
        <v>2024</v>
      </c>
      <c r="F559" t="s">
        <v>1946</v>
      </c>
      <c r="G559" s="6">
        <v>1221</v>
      </c>
      <c r="H559" s="8">
        <v>116.3</v>
      </c>
      <c r="I559" s="7">
        <v>172.12</v>
      </c>
      <c r="J559" s="7">
        <v>297.89</v>
      </c>
      <c r="K559" s="6">
        <v>520</v>
      </c>
      <c r="L559" s="7">
        <v>990.01</v>
      </c>
    </row>
    <row r="560" spans="1:12" x14ac:dyDescent="0.25">
      <c r="A560" s="9">
        <v>45809</v>
      </c>
      <c r="B560" t="s">
        <v>91</v>
      </c>
      <c r="C560" t="s">
        <v>92</v>
      </c>
      <c r="D560" t="s">
        <v>64</v>
      </c>
      <c r="E560" t="s">
        <v>2060</v>
      </c>
      <c r="F560" t="s">
        <v>1942</v>
      </c>
      <c r="G560" s="6">
        <v>1006</v>
      </c>
      <c r="H560" s="8">
        <v>95.8</v>
      </c>
      <c r="I560" s="7">
        <v>141.78</v>
      </c>
      <c r="J560" s="7">
        <v>203.49</v>
      </c>
      <c r="K560" s="6">
        <v>380</v>
      </c>
      <c r="L560" s="7">
        <v>725.27</v>
      </c>
    </row>
    <row r="561" spans="1:12" x14ac:dyDescent="0.25">
      <c r="A561" s="9">
        <v>45809</v>
      </c>
      <c r="B561" t="s">
        <v>91</v>
      </c>
      <c r="C561" t="s">
        <v>92</v>
      </c>
      <c r="D561" t="s">
        <v>64</v>
      </c>
      <c r="E561" t="s">
        <v>2033</v>
      </c>
      <c r="F561" t="s">
        <v>1946</v>
      </c>
      <c r="G561" s="6">
        <v>1074</v>
      </c>
      <c r="H561" s="8">
        <v>102.3</v>
      </c>
      <c r="I561" s="7">
        <v>151.4</v>
      </c>
      <c r="J561" s="7">
        <v>253.67</v>
      </c>
      <c r="K561" s="6">
        <v>450</v>
      </c>
      <c r="L561" s="7">
        <v>855.07</v>
      </c>
    </row>
    <row r="562" spans="1:12" x14ac:dyDescent="0.25">
      <c r="A562" s="9">
        <v>45809</v>
      </c>
      <c r="B562" t="s">
        <v>80</v>
      </c>
      <c r="C562" t="s">
        <v>81</v>
      </c>
      <c r="D562" t="s">
        <v>64</v>
      </c>
      <c r="E562" t="s">
        <v>2001</v>
      </c>
      <c r="F562" t="s">
        <v>1942</v>
      </c>
      <c r="G562" s="6">
        <v>870</v>
      </c>
      <c r="H562" s="8">
        <v>82.9</v>
      </c>
      <c r="I562" s="7">
        <v>122.69</v>
      </c>
      <c r="J562" s="7">
        <v>209.6</v>
      </c>
      <c r="K562" s="6">
        <v>520</v>
      </c>
      <c r="L562" s="7">
        <v>852.29</v>
      </c>
    </row>
    <row r="563" spans="1:12" x14ac:dyDescent="0.25">
      <c r="A563" s="9">
        <v>45809</v>
      </c>
      <c r="B563" t="s">
        <v>80</v>
      </c>
      <c r="C563" t="s">
        <v>81</v>
      </c>
      <c r="D563" t="s">
        <v>64</v>
      </c>
      <c r="E563" t="s">
        <v>2045</v>
      </c>
      <c r="F563" t="s">
        <v>1940</v>
      </c>
      <c r="G563" s="6">
        <v>1001</v>
      </c>
      <c r="H563" s="8">
        <v>117.8</v>
      </c>
      <c r="I563" s="7">
        <v>174.34</v>
      </c>
      <c r="J563" s="7">
        <v>144.86000000000001</v>
      </c>
      <c r="K563" s="6">
        <v>380</v>
      </c>
      <c r="L563" s="7">
        <v>699.2</v>
      </c>
    </row>
    <row r="564" spans="1:12" x14ac:dyDescent="0.25">
      <c r="A564" s="9">
        <v>45809</v>
      </c>
      <c r="B564" t="s">
        <v>80</v>
      </c>
      <c r="C564" t="s">
        <v>81</v>
      </c>
      <c r="D564" t="s">
        <v>64</v>
      </c>
      <c r="E564" t="s">
        <v>2030</v>
      </c>
      <c r="F564" t="s">
        <v>1940</v>
      </c>
      <c r="G564" s="6">
        <v>1072</v>
      </c>
      <c r="H564" s="8">
        <v>126.1</v>
      </c>
      <c r="I564" s="7">
        <v>186.63</v>
      </c>
      <c r="J564" s="7">
        <v>170.18</v>
      </c>
      <c r="K564" s="6">
        <v>520</v>
      </c>
      <c r="L564" s="7">
        <v>876.81</v>
      </c>
    </row>
    <row r="565" spans="1:12" x14ac:dyDescent="0.25">
      <c r="A565" s="9">
        <v>45809</v>
      </c>
      <c r="B565" t="s">
        <v>56</v>
      </c>
      <c r="C565" t="s">
        <v>57</v>
      </c>
      <c r="D565" t="s">
        <v>58</v>
      </c>
      <c r="E565" t="s">
        <v>1944</v>
      </c>
      <c r="F565" t="s">
        <v>1940</v>
      </c>
      <c r="G565" s="6">
        <v>1020</v>
      </c>
      <c r="H565" s="8">
        <v>120</v>
      </c>
      <c r="I565" s="7">
        <v>177.6</v>
      </c>
      <c r="J565" s="7">
        <v>167.18</v>
      </c>
      <c r="K565" s="6">
        <v>450</v>
      </c>
      <c r="L565" s="7">
        <v>794.78</v>
      </c>
    </row>
    <row r="566" spans="1:12" x14ac:dyDescent="0.25">
      <c r="A566" s="9">
        <v>45809</v>
      </c>
      <c r="B566" t="s">
        <v>56</v>
      </c>
      <c r="C566" t="s">
        <v>57</v>
      </c>
      <c r="D566" t="s">
        <v>58</v>
      </c>
      <c r="E566" t="s">
        <v>2023</v>
      </c>
      <c r="F566" t="s">
        <v>1948</v>
      </c>
      <c r="G566" s="6">
        <v>1444</v>
      </c>
      <c r="H566" s="8">
        <v>169.9</v>
      </c>
      <c r="I566" s="7">
        <v>251.45</v>
      </c>
      <c r="J566" s="7">
        <v>328.84</v>
      </c>
      <c r="K566" s="6">
        <v>520</v>
      </c>
      <c r="L566" s="7">
        <v>1100.29</v>
      </c>
    </row>
    <row r="567" spans="1:12" x14ac:dyDescent="0.25">
      <c r="A567" s="9">
        <v>45809</v>
      </c>
      <c r="B567" t="s">
        <v>56</v>
      </c>
      <c r="C567" t="s">
        <v>57</v>
      </c>
      <c r="D567" t="s">
        <v>58</v>
      </c>
      <c r="E567" t="s">
        <v>2056</v>
      </c>
      <c r="F567" t="s">
        <v>1940</v>
      </c>
      <c r="G567" s="6">
        <v>1267</v>
      </c>
      <c r="H567" s="8">
        <v>149.1</v>
      </c>
      <c r="I567" s="7">
        <v>220.67</v>
      </c>
      <c r="J567" s="7">
        <v>113.56</v>
      </c>
      <c r="K567" s="6">
        <v>320</v>
      </c>
      <c r="L567" s="7">
        <v>654.23</v>
      </c>
    </row>
    <row r="568" spans="1:12" x14ac:dyDescent="0.25">
      <c r="A568" s="9">
        <v>45809</v>
      </c>
      <c r="B568" t="s">
        <v>56</v>
      </c>
      <c r="C568" t="s">
        <v>57</v>
      </c>
      <c r="D568" t="s">
        <v>58</v>
      </c>
      <c r="E568" t="s">
        <v>2051</v>
      </c>
      <c r="F568" t="s">
        <v>1948</v>
      </c>
      <c r="G568" s="6">
        <v>827</v>
      </c>
      <c r="H568" s="8">
        <v>97.3</v>
      </c>
      <c r="I568" s="7">
        <v>144</v>
      </c>
      <c r="J568" s="7">
        <v>326.42</v>
      </c>
      <c r="K568" s="6">
        <v>520</v>
      </c>
      <c r="L568" s="7">
        <v>990.42</v>
      </c>
    </row>
    <row r="569" spans="1:12" x14ac:dyDescent="0.25">
      <c r="A569" s="9">
        <v>45809</v>
      </c>
      <c r="B569" t="s">
        <v>56</v>
      </c>
      <c r="C569" t="s">
        <v>57</v>
      </c>
      <c r="D569" t="s">
        <v>58</v>
      </c>
      <c r="E569" t="s">
        <v>2059</v>
      </c>
      <c r="F569" t="s">
        <v>1942</v>
      </c>
      <c r="G569" s="6">
        <v>1269</v>
      </c>
      <c r="H569" s="8">
        <v>120.9</v>
      </c>
      <c r="I569" s="7">
        <v>178.93</v>
      </c>
      <c r="J569" s="7">
        <v>267.81</v>
      </c>
      <c r="K569" s="6">
        <v>380</v>
      </c>
      <c r="L569" s="7">
        <v>826.74</v>
      </c>
    </row>
    <row r="570" spans="1:12" x14ac:dyDescent="0.25">
      <c r="A570" s="9">
        <v>45809</v>
      </c>
      <c r="B570" t="s">
        <v>56</v>
      </c>
      <c r="C570" t="s">
        <v>57</v>
      </c>
      <c r="D570" t="s">
        <v>58</v>
      </c>
      <c r="E570" t="s">
        <v>2077</v>
      </c>
      <c r="F570" t="s">
        <v>1946</v>
      </c>
      <c r="G570" s="6">
        <v>899</v>
      </c>
      <c r="H570" s="8">
        <v>85.6</v>
      </c>
      <c r="I570" s="7">
        <v>126.69</v>
      </c>
      <c r="J570" s="7">
        <v>131.63999999999999</v>
      </c>
      <c r="K570" s="6">
        <v>380</v>
      </c>
      <c r="L570" s="7">
        <v>638.33000000000004</v>
      </c>
    </row>
    <row r="571" spans="1:12" x14ac:dyDescent="0.25">
      <c r="A571" s="9">
        <v>45809</v>
      </c>
      <c r="B571" t="s">
        <v>77</v>
      </c>
      <c r="C571" t="s">
        <v>78</v>
      </c>
      <c r="D571" t="s">
        <v>58</v>
      </c>
      <c r="E571" t="s">
        <v>1950</v>
      </c>
      <c r="F571" t="s">
        <v>1942</v>
      </c>
      <c r="G571" s="6">
        <v>640</v>
      </c>
      <c r="H571" s="8">
        <v>61</v>
      </c>
      <c r="I571" s="7">
        <v>90.28</v>
      </c>
      <c r="J571" s="7">
        <v>118.6</v>
      </c>
      <c r="K571" s="6">
        <v>380</v>
      </c>
      <c r="L571" s="7">
        <v>588.88</v>
      </c>
    </row>
    <row r="572" spans="1:12" x14ac:dyDescent="0.25">
      <c r="A572" s="9">
        <v>45809</v>
      </c>
      <c r="B572" t="s">
        <v>77</v>
      </c>
      <c r="C572" t="s">
        <v>78</v>
      </c>
      <c r="D572" t="s">
        <v>58</v>
      </c>
      <c r="E572" t="s">
        <v>2067</v>
      </c>
      <c r="F572" t="s">
        <v>1946</v>
      </c>
      <c r="G572" s="6">
        <v>1299</v>
      </c>
      <c r="H572" s="8">
        <v>123.7</v>
      </c>
      <c r="I572" s="7">
        <v>183.08</v>
      </c>
      <c r="J572" s="7">
        <v>112.68</v>
      </c>
      <c r="K572" s="6">
        <v>520</v>
      </c>
      <c r="L572" s="7">
        <v>815.76</v>
      </c>
    </row>
    <row r="573" spans="1:12" x14ac:dyDescent="0.25">
      <c r="A573" s="9">
        <v>45809</v>
      </c>
      <c r="B573" t="s">
        <v>77</v>
      </c>
      <c r="C573" t="s">
        <v>78</v>
      </c>
      <c r="D573" t="s">
        <v>58</v>
      </c>
      <c r="E573" t="s">
        <v>2008</v>
      </c>
      <c r="F573" t="s">
        <v>1946</v>
      </c>
      <c r="G573" s="6">
        <v>1210</v>
      </c>
      <c r="H573" s="8">
        <v>115.2</v>
      </c>
      <c r="I573" s="7">
        <v>170.5</v>
      </c>
      <c r="J573" s="7">
        <v>134.76</v>
      </c>
      <c r="K573" s="6">
        <v>320</v>
      </c>
      <c r="L573" s="7">
        <v>625.26</v>
      </c>
    </row>
    <row r="574" spans="1:12" x14ac:dyDescent="0.25">
      <c r="A574" s="9">
        <v>45809</v>
      </c>
      <c r="B574" t="s">
        <v>77</v>
      </c>
      <c r="C574" t="s">
        <v>78</v>
      </c>
      <c r="D574" t="s">
        <v>58</v>
      </c>
      <c r="E574" t="s">
        <v>2078</v>
      </c>
      <c r="F574" t="s">
        <v>1946</v>
      </c>
      <c r="G574" s="6">
        <v>1131</v>
      </c>
      <c r="H574" s="8">
        <v>107.7</v>
      </c>
      <c r="I574" s="7">
        <v>159.4</v>
      </c>
      <c r="J574" s="7">
        <v>58.18</v>
      </c>
      <c r="K574" s="6">
        <v>450</v>
      </c>
      <c r="L574" s="7">
        <v>667.58</v>
      </c>
    </row>
    <row r="575" spans="1:12" x14ac:dyDescent="0.25">
      <c r="A575" s="9">
        <v>45809</v>
      </c>
      <c r="B575" t="s">
        <v>77</v>
      </c>
      <c r="C575" t="s">
        <v>78</v>
      </c>
      <c r="D575" t="s">
        <v>58</v>
      </c>
      <c r="E575" t="s">
        <v>2071</v>
      </c>
      <c r="F575" t="s">
        <v>1940</v>
      </c>
      <c r="G575" s="6">
        <v>1071</v>
      </c>
      <c r="H575" s="8">
        <v>126</v>
      </c>
      <c r="I575" s="7">
        <v>186.48</v>
      </c>
      <c r="J575" s="7">
        <v>0</v>
      </c>
      <c r="K575" s="6">
        <v>320</v>
      </c>
      <c r="L575" s="7">
        <v>506.48</v>
      </c>
    </row>
    <row r="576" spans="1:12" x14ac:dyDescent="0.25">
      <c r="A576" s="9">
        <v>45809</v>
      </c>
      <c r="B576" t="s">
        <v>110</v>
      </c>
      <c r="C576" t="s">
        <v>111</v>
      </c>
      <c r="D576" t="s">
        <v>58</v>
      </c>
      <c r="E576" t="s">
        <v>1969</v>
      </c>
      <c r="F576" t="s">
        <v>1948</v>
      </c>
      <c r="G576" s="6">
        <v>1003</v>
      </c>
      <c r="H576" s="8">
        <v>118</v>
      </c>
      <c r="I576" s="7">
        <v>174.64</v>
      </c>
      <c r="J576" s="7">
        <v>119.56</v>
      </c>
      <c r="K576" s="6">
        <v>520</v>
      </c>
      <c r="L576" s="7">
        <v>814.2</v>
      </c>
    </row>
    <row r="577" spans="1:12" x14ac:dyDescent="0.25">
      <c r="A577" s="9">
        <v>45809</v>
      </c>
      <c r="B577" t="s">
        <v>110</v>
      </c>
      <c r="C577" t="s">
        <v>111</v>
      </c>
      <c r="D577" t="s">
        <v>58</v>
      </c>
      <c r="E577" t="s">
        <v>2036</v>
      </c>
      <c r="F577" t="s">
        <v>1940</v>
      </c>
      <c r="G577" s="6">
        <v>1351</v>
      </c>
      <c r="H577" s="8">
        <v>158.9</v>
      </c>
      <c r="I577" s="7">
        <v>235.17</v>
      </c>
      <c r="J577" s="7">
        <v>212.19</v>
      </c>
      <c r="K577" s="6">
        <v>320</v>
      </c>
      <c r="L577" s="7">
        <v>767.36</v>
      </c>
    </row>
    <row r="578" spans="1:12" x14ac:dyDescent="0.25">
      <c r="A578" s="9">
        <v>45809</v>
      </c>
      <c r="B578" t="s">
        <v>110</v>
      </c>
      <c r="C578" t="s">
        <v>111</v>
      </c>
      <c r="D578" t="s">
        <v>58</v>
      </c>
      <c r="E578" t="s">
        <v>2073</v>
      </c>
      <c r="F578" t="s">
        <v>1948</v>
      </c>
      <c r="G578" s="6">
        <v>1166</v>
      </c>
      <c r="H578" s="8">
        <v>137.19999999999999</v>
      </c>
      <c r="I578" s="7">
        <v>203.06</v>
      </c>
      <c r="J578" s="7">
        <v>371.68</v>
      </c>
      <c r="K578" s="6">
        <v>520</v>
      </c>
      <c r="L578" s="7">
        <v>1094.74</v>
      </c>
    </row>
    <row r="579" spans="1:12" x14ac:dyDescent="0.25">
      <c r="A579" s="9">
        <v>45809</v>
      </c>
      <c r="B579" t="s">
        <v>110</v>
      </c>
      <c r="C579" t="s">
        <v>111</v>
      </c>
      <c r="D579" t="s">
        <v>58</v>
      </c>
      <c r="E579" t="s">
        <v>2072</v>
      </c>
      <c r="F579" t="s">
        <v>1946</v>
      </c>
      <c r="G579" s="6">
        <v>812</v>
      </c>
      <c r="H579" s="8">
        <v>77.3</v>
      </c>
      <c r="I579" s="7">
        <v>114.4</v>
      </c>
      <c r="J579" s="7">
        <v>289.79000000000002</v>
      </c>
      <c r="K579" s="6">
        <v>380</v>
      </c>
      <c r="L579" s="7">
        <v>784.19</v>
      </c>
    </row>
    <row r="580" spans="1:12" x14ac:dyDescent="0.25">
      <c r="A580" s="9">
        <v>45809</v>
      </c>
      <c r="B580" t="s">
        <v>110</v>
      </c>
      <c r="C580" t="s">
        <v>111</v>
      </c>
      <c r="D580" t="s">
        <v>58</v>
      </c>
      <c r="E580" t="s">
        <v>1978</v>
      </c>
      <c r="F580" t="s">
        <v>1940</v>
      </c>
      <c r="G580" s="6">
        <v>1283</v>
      </c>
      <c r="H580" s="8">
        <v>150.9</v>
      </c>
      <c r="I580" s="7">
        <v>223.33</v>
      </c>
      <c r="J580" s="7">
        <v>131.08000000000001</v>
      </c>
      <c r="K580" s="6">
        <v>320</v>
      </c>
      <c r="L580" s="7">
        <v>674.41</v>
      </c>
    </row>
    <row r="581" spans="1:12" x14ac:dyDescent="0.25">
      <c r="A581" s="9">
        <v>45809</v>
      </c>
      <c r="B581" t="s">
        <v>85</v>
      </c>
      <c r="C581" t="s">
        <v>86</v>
      </c>
      <c r="D581" t="s">
        <v>58</v>
      </c>
      <c r="E581" t="s">
        <v>2039</v>
      </c>
      <c r="F581" t="s">
        <v>1948</v>
      </c>
      <c r="G581" s="6">
        <v>1333</v>
      </c>
      <c r="H581" s="8">
        <v>156.80000000000001</v>
      </c>
      <c r="I581" s="7">
        <v>232.06</v>
      </c>
      <c r="J581" s="7">
        <v>161.5</v>
      </c>
      <c r="K581" s="6">
        <v>380</v>
      </c>
      <c r="L581" s="7">
        <v>773.56</v>
      </c>
    </row>
    <row r="582" spans="1:12" x14ac:dyDescent="0.25">
      <c r="A582" s="9">
        <v>45809</v>
      </c>
      <c r="B582" t="s">
        <v>85</v>
      </c>
      <c r="C582" t="s">
        <v>86</v>
      </c>
      <c r="D582" t="s">
        <v>58</v>
      </c>
      <c r="E582" t="s">
        <v>2030</v>
      </c>
      <c r="F582" t="s">
        <v>1940</v>
      </c>
      <c r="G582" s="6">
        <v>843</v>
      </c>
      <c r="H582" s="8">
        <v>99.2</v>
      </c>
      <c r="I582" s="7">
        <v>146.82</v>
      </c>
      <c r="J582" s="7">
        <v>101.31</v>
      </c>
      <c r="K582" s="6">
        <v>520</v>
      </c>
      <c r="L582" s="7">
        <v>768.13</v>
      </c>
    </row>
    <row r="583" spans="1:12" x14ac:dyDescent="0.25">
      <c r="A583" s="9">
        <v>45809</v>
      </c>
      <c r="B583" t="s">
        <v>85</v>
      </c>
      <c r="C583" t="s">
        <v>86</v>
      </c>
      <c r="D583" t="s">
        <v>58</v>
      </c>
      <c r="E583" t="s">
        <v>1953</v>
      </c>
      <c r="F583" t="s">
        <v>1942</v>
      </c>
      <c r="G583" s="6">
        <v>917</v>
      </c>
      <c r="H583" s="8">
        <v>87.3</v>
      </c>
      <c r="I583" s="7">
        <v>129.19999999999999</v>
      </c>
      <c r="J583" s="7">
        <v>65.48</v>
      </c>
      <c r="K583" s="6">
        <v>520</v>
      </c>
      <c r="L583" s="7">
        <v>714.68</v>
      </c>
    </row>
    <row r="584" spans="1:12" x14ac:dyDescent="0.25">
      <c r="A584" s="9">
        <v>45809</v>
      </c>
      <c r="B584" t="s">
        <v>85</v>
      </c>
      <c r="C584" t="s">
        <v>86</v>
      </c>
      <c r="D584" t="s">
        <v>58</v>
      </c>
      <c r="E584" t="s">
        <v>1986</v>
      </c>
      <c r="F584" t="s">
        <v>1940</v>
      </c>
      <c r="G584" s="6">
        <v>1355</v>
      </c>
      <c r="H584" s="8">
        <v>159.4</v>
      </c>
      <c r="I584" s="7">
        <v>235.91</v>
      </c>
      <c r="J584" s="7">
        <v>129.29</v>
      </c>
      <c r="K584" s="6">
        <v>520</v>
      </c>
      <c r="L584" s="7">
        <v>885.2</v>
      </c>
    </row>
    <row r="585" spans="1:12" x14ac:dyDescent="0.25">
      <c r="A585" s="9">
        <v>45809</v>
      </c>
      <c r="B585" t="s">
        <v>85</v>
      </c>
      <c r="C585" t="s">
        <v>86</v>
      </c>
      <c r="D585" t="s">
        <v>58</v>
      </c>
      <c r="E585" t="s">
        <v>2063</v>
      </c>
      <c r="F585" t="s">
        <v>1942</v>
      </c>
      <c r="G585" s="6">
        <v>1138</v>
      </c>
      <c r="H585" s="8">
        <v>108.4</v>
      </c>
      <c r="I585" s="7">
        <v>160.43</v>
      </c>
      <c r="J585" s="7">
        <v>104.37</v>
      </c>
      <c r="K585" s="6">
        <v>450</v>
      </c>
      <c r="L585" s="7">
        <v>714.8</v>
      </c>
    </row>
    <row r="586" spans="1:12" x14ac:dyDescent="0.25">
      <c r="A586" s="9">
        <v>45809</v>
      </c>
      <c r="B586" t="s">
        <v>85</v>
      </c>
      <c r="C586" t="s">
        <v>86</v>
      </c>
      <c r="D586" t="s">
        <v>58</v>
      </c>
      <c r="E586" t="s">
        <v>2079</v>
      </c>
      <c r="F586" t="s">
        <v>1940</v>
      </c>
      <c r="G586" s="6">
        <v>594</v>
      </c>
      <c r="H586" s="8">
        <v>69.900000000000006</v>
      </c>
      <c r="I586" s="7">
        <v>103.45</v>
      </c>
      <c r="J586" s="7">
        <v>171.6</v>
      </c>
      <c r="K586" s="6">
        <v>450</v>
      </c>
      <c r="L586" s="7">
        <v>725.05</v>
      </c>
    </row>
    <row r="587" spans="1:12" x14ac:dyDescent="0.25">
      <c r="A587" s="9">
        <v>45809</v>
      </c>
      <c r="B587" t="s">
        <v>103</v>
      </c>
      <c r="C587" t="s">
        <v>104</v>
      </c>
      <c r="D587" t="s">
        <v>58</v>
      </c>
      <c r="E587" t="s">
        <v>1981</v>
      </c>
      <c r="F587" t="s">
        <v>1940</v>
      </c>
      <c r="G587" s="6">
        <v>571</v>
      </c>
      <c r="H587" s="8">
        <v>67.2</v>
      </c>
      <c r="I587" s="7">
        <v>99.46</v>
      </c>
      <c r="J587" s="7">
        <v>144.51</v>
      </c>
      <c r="K587" s="6">
        <v>450</v>
      </c>
      <c r="L587" s="7">
        <v>693.97</v>
      </c>
    </row>
    <row r="588" spans="1:12" x14ac:dyDescent="0.25">
      <c r="A588" s="9">
        <v>45809</v>
      </c>
      <c r="B588" t="s">
        <v>103</v>
      </c>
      <c r="C588" t="s">
        <v>104</v>
      </c>
      <c r="D588" t="s">
        <v>58</v>
      </c>
      <c r="E588" t="s">
        <v>2008</v>
      </c>
      <c r="F588" t="s">
        <v>1948</v>
      </c>
      <c r="G588" s="6">
        <v>707</v>
      </c>
      <c r="H588" s="8">
        <v>83.2</v>
      </c>
      <c r="I588" s="7">
        <v>123.14</v>
      </c>
      <c r="J588" s="7">
        <v>408.98</v>
      </c>
      <c r="K588" s="6">
        <v>320</v>
      </c>
      <c r="L588" s="7">
        <v>852.12</v>
      </c>
    </row>
    <row r="589" spans="1:12" x14ac:dyDescent="0.25">
      <c r="A589" s="9">
        <v>45809</v>
      </c>
      <c r="B589" t="s">
        <v>103</v>
      </c>
      <c r="C589" t="s">
        <v>104</v>
      </c>
      <c r="D589" t="s">
        <v>58</v>
      </c>
      <c r="E589" t="s">
        <v>1973</v>
      </c>
      <c r="F589" t="s">
        <v>1946</v>
      </c>
      <c r="G589" s="6">
        <v>1277</v>
      </c>
      <c r="H589" s="8">
        <v>121.6</v>
      </c>
      <c r="I589" s="7">
        <v>179.97</v>
      </c>
      <c r="J589" s="7">
        <v>158.46</v>
      </c>
      <c r="K589" s="6">
        <v>520</v>
      </c>
      <c r="L589" s="7">
        <v>858.43</v>
      </c>
    </row>
    <row r="590" spans="1:12" x14ac:dyDescent="0.25">
      <c r="A590" s="9">
        <v>45839</v>
      </c>
      <c r="B590" t="s">
        <v>100</v>
      </c>
      <c r="C590" t="s">
        <v>101</v>
      </c>
      <c r="D590" t="s">
        <v>69</v>
      </c>
      <c r="E590" t="s">
        <v>1969</v>
      </c>
      <c r="F590" t="s">
        <v>1940</v>
      </c>
      <c r="G590" s="6">
        <v>1365</v>
      </c>
      <c r="H590" s="8">
        <v>160.6</v>
      </c>
      <c r="I590" s="7">
        <v>237.69</v>
      </c>
      <c r="J590" s="7">
        <v>82.29</v>
      </c>
      <c r="K590" s="6">
        <v>520</v>
      </c>
      <c r="L590" s="7">
        <v>839.98</v>
      </c>
    </row>
    <row r="591" spans="1:12" x14ac:dyDescent="0.25">
      <c r="A591" s="9">
        <v>45839</v>
      </c>
      <c r="B591" t="s">
        <v>100</v>
      </c>
      <c r="C591" t="s">
        <v>101</v>
      </c>
      <c r="D591" t="s">
        <v>69</v>
      </c>
      <c r="E591" t="s">
        <v>2033</v>
      </c>
      <c r="F591" t="s">
        <v>1942</v>
      </c>
      <c r="G591" s="6">
        <v>1185</v>
      </c>
      <c r="H591" s="8">
        <v>112.9</v>
      </c>
      <c r="I591" s="7">
        <v>167.09</v>
      </c>
      <c r="J591" s="7">
        <v>165.98</v>
      </c>
      <c r="K591" s="6">
        <v>520</v>
      </c>
      <c r="L591" s="7">
        <v>853.07</v>
      </c>
    </row>
    <row r="592" spans="1:12" x14ac:dyDescent="0.25">
      <c r="A592" s="9">
        <v>45839</v>
      </c>
      <c r="B592" t="s">
        <v>100</v>
      </c>
      <c r="C592" t="s">
        <v>101</v>
      </c>
      <c r="D592" t="s">
        <v>69</v>
      </c>
      <c r="E592" t="s">
        <v>2072</v>
      </c>
      <c r="F592" t="s">
        <v>1948</v>
      </c>
      <c r="G592" s="6">
        <v>1116</v>
      </c>
      <c r="H592" s="8">
        <v>131.30000000000001</v>
      </c>
      <c r="I592" s="7">
        <v>194.32</v>
      </c>
      <c r="J592" s="7">
        <v>351.79</v>
      </c>
      <c r="K592" s="6">
        <v>320</v>
      </c>
      <c r="L592" s="7">
        <v>866.11</v>
      </c>
    </row>
    <row r="593" spans="1:12" x14ac:dyDescent="0.25">
      <c r="A593" s="9">
        <v>45839</v>
      </c>
      <c r="B593" t="s">
        <v>100</v>
      </c>
      <c r="C593" t="s">
        <v>101</v>
      </c>
      <c r="D593" t="s">
        <v>69</v>
      </c>
      <c r="E593" t="s">
        <v>1983</v>
      </c>
      <c r="F593" t="s">
        <v>1942</v>
      </c>
      <c r="G593" s="6">
        <v>1233</v>
      </c>
      <c r="H593" s="8">
        <v>117.4</v>
      </c>
      <c r="I593" s="7">
        <v>173.75</v>
      </c>
      <c r="J593" s="7">
        <v>173.1</v>
      </c>
      <c r="K593" s="6">
        <v>520</v>
      </c>
      <c r="L593" s="7">
        <v>866.85</v>
      </c>
    </row>
    <row r="594" spans="1:12" x14ac:dyDescent="0.25">
      <c r="A594" s="9">
        <v>45839</v>
      </c>
      <c r="B594" t="s">
        <v>100</v>
      </c>
      <c r="C594" t="s">
        <v>101</v>
      </c>
      <c r="D594" t="s">
        <v>69</v>
      </c>
      <c r="E594" t="s">
        <v>2046</v>
      </c>
      <c r="F594" t="s">
        <v>1940</v>
      </c>
      <c r="G594" s="6">
        <v>636</v>
      </c>
      <c r="H594" s="8">
        <v>74.8</v>
      </c>
      <c r="I594" s="7">
        <v>110.7</v>
      </c>
      <c r="J594" s="7">
        <v>73.2</v>
      </c>
      <c r="K594" s="6">
        <v>450</v>
      </c>
      <c r="L594" s="7">
        <v>633.9</v>
      </c>
    </row>
    <row r="595" spans="1:12" x14ac:dyDescent="0.25">
      <c r="A595" s="9">
        <v>45839</v>
      </c>
      <c r="B595" t="s">
        <v>100</v>
      </c>
      <c r="C595" t="s">
        <v>101</v>
      </c>
      <c r="D595" t="s">
        <v>69</v>
      </c>
      <c r="E595" t="s">
        <v>2053</v>
      </c>
      <c r="F595" t="s">
        <v>1942</v>
      </c>
      <c r="G595" s="6">
        <v>1019</v>
      </c>
      <c r="H595" s="8">
        <v>97</v>
      </c>
      <c r="I595" s="7">
        <v>143.56</v>
      </c>
      <c r="J595" s="7">
        <v>157.47</v>
      </c>
      <c r="K595" s="6">
        <v>450</v>
      </c>
      <c r="L595" s="7">
        <v>751.03</v>
      </c>
    </row>
    <row r="596" spans="1:12" x14ac:dyDescent="0.25">
      <c r="A596" s="9">
        <v>45839</v>
      </c>
      <c r="B596" t="s">
        <v>100</v>
      </c>
      <c r="C596" t="s">
        <v>101</v>
      </c>
      <c r="D596" t="s">
        <v>69</v>
      </c>
      <c r="E596" t="s">
        <v>2049</v>
      </c>
      <c r="F596" t="s">
        <v>1948</v>
      </c>
      <c r="G596" s="6">
        <v>767</v>
      </c>
      <c r="H596" s="8">
        <v>90.2</v>
      </c>
      <c r="I596" s="7">
        <v>133.5</v>
      </c>
      <c r="J596" s="7">
        <v>442.93</v>
      </c>
      <c r="K596" s="6">
        <v>520</v>
      </c>
      <c r="L596" s="7">
        <v>1096.43</v>
      </c>
    </row>
    <row r="597" spans="1:12" x14ac:dyDescent="0.25">
      <c r="A597" s="9">
        <v>45839</v>
      </c>
      <c r="B597" t="s">
        <v>113</v>
      </c>
      <c r="C597" t="s">
        <v>114</v>
      </c>
      <c r="D597" t="s">
        <v>69</v>
      </c>
      <c r="E597" t="s">
        <v>1964</v>
      </c>
      <c r="F597" t="s">
        <v>1948</v>
      </c>
      <c r="G597" s="6">
        <v>1429</v>
      </c>
      <c r="H597" s="8">
        <v>168.1</v>
      </c>
      <c r="I597" s="7">
        <v>248.79</v>
      </c>
      <c r="J597" s="7">
        <v>298.17</v>
      </c>
      <c r="K597" s="6">
        <v>450</v>
      </c>
      <c r="L597" s="7">
        <v>996.96</v>
      </c>
    </row>
    <row r="598" spans="1:12" x14ac:dyDescent="0.25">
      <c r="A598" s="9">
        <v>45839</v>
      </c>
      <c r="B598" t="s">
        <v>113</v>
      </c>
      <c r="C598" t="s">
        <v>114</v>
      </c>
      <c r="D598" t="s">
        <v>69</v>
      </c>
      <c r="E598" t="s">
        <v>2050</v>
      </c>
      <c r="F598" t="s">
        <v>1940</v>
      </c>
      <c r="G598" s="6">
        <v>1068</v>
      </c>
      <c r="H598" s="8">
        <v>125.6</v>
      </c>
      <c r="I598" s="7">
        <v>185.89</v>
      </c>
      <c r="J598" s="7">
        <v>133.02000000000001</v>
      </c>
      <c r="K598" s="6">
        <v>320</v>
      </c>
      <c r="L598" s="7">
        <v>638.91</v>
      </c>
    </row>
    <row r="599" spans="1:12" x14ac:dyDescent="0.25">
      <c r="A599" s="9">
        <v>45839</v>
      </c>
      <c r="B599" t="s">
        <v>113</v>
      </c>
      <c r="C599" t="s">
        <v>114</v>
      </c>
      <c r="D599" t="s">
        <v>69</v>
      </c>
      <c r="E599" t="s">
        <v>2061</v>
      </c>
      <c r="F599" t="s">
        <v>1940</v>
      </c>
      <c r="G599" s="6">
        <v>812</v>
      </c>
      <c r="H599" s="8">
        <v>95.5</v>
      </c>
      <c r="I599" s="7">
        <v>141.34</v>
      </c>
      <c r="J599" s="7">
        <v>156.19999999999999</v>
      </c>
      <c r="K599" s="6">
        <v>450</v>
      </c>
      <c r="L599" s="7">
        <v>747.54</v>
      </c>
    </row>
    <row r="600" spans="1:12" x14ac:dyDescent="0.25">
      <c r="A600" s="9">
        <v>45839</v>
      </c>
      <c r="B600" t="s">
        <v>113</v>
      </c>
      <c r="C600" t="s">
        <v>114</v>
      </c>
      <c r="D600" t="s">
        <v>69</v>
      </c>
      <c r="E600" t="s">
        <v>2016</v>
      </c>
      <c r="F600" t="s">
        <v>1948</v>
      </c>
      <c r="G600" s="6">
        <v>1114</v>
      </c>
      <c r="H600" s="8">
        <v>131.1</v>
      </c>
      <c r="I600" s="7">
        <v>194.03</v>
      </c>
      <c r="J600" s="7">
        <v>150.66</v>
      </c>
      <c r="K600" s="6">
        <v>320</v>
      </c>
      <c r="L600" s="7">
        <v>664.69</v>
      </c>
    </row>
    <row r="601" spans="1:12" x14ac:dyDescent="0.25">
      <c r="A601" s="9">
        <v>45839</v>
      </c>
      <c r="B601" t="s">
        <v>113</v>
      </c>
      <c r="C601" t="s">
        <v>114</v>
      </c>
      <c r="D601" t="s">
        <v>69</v>
      </c>
      <c r="E601" t="s">
        <v>1956</v>
      </c>
      <c r="F601" t="s">
        <v>1942</v>
      </c>
      <c r="G601" s="6">
        <v>1133</v>
      </c>
      <c r="H601" s="8">
        <v>107.9</v>
      </c>
      <c r="I601" s="7">
        <v>159.69</v>
      </c>
      <c r="J601" s="7">
        <v>137.58000000000001</v>
      </c>
      <c r="K601" s="6">
        <v>450</v>
      </c>
      <c r="L601" s="7">
        <v>747.27</v>
      </c>
    </row>
    <row r="602" spans="1:12" x14ac:dyDescent="0.25">
      <c r="A602" s="9">
        <v>45839</v>
      </c>
      <c r="B602" t="s">
        <v>143</v>
      </c>
      <c r="C602" t="s">
        <v>144</v>
      </c>
      <c r="D602" t="s">
        <v>69</v>
      </c>
      <c r="E602" t="s">
        <v>1988</v>
      </c>
      <c r="F602" t="s">
        <v>1946</v>
      </c>
      <c r="G602" s="6">
        <v>573</v>
      </c>
      <c r="H602" s="8">
        <v>54.6</v>
      </c>
      <c r="I602" s="7">
        <v>80.81</v>
      </c>
      <c r="J602" s="7">
        <v>81.17</v>
      </c>
      <c r="K602" s="6">
        <v>320</v>
      </c>
      <c r="L602" s="7">
        <v>481.98</v>
      </c>
    </row>
    <row r="603" spans="1:12" x14ac:dyDescent="0.25">
      <c r="A603" s="9">
        <v>45839</v>
      </c>
      <c r="B603" t="s">
        <v>143</v>
      </c>
      <c r="C603" t="s">
        <v>144</v>
      </c>
      <c r="D603" t="s">
        <v>69</v>
      </c>
      <c r="E603" t="s">
        <v>2071</v>
      </c>
      <c r="F603" t="s">
        <v>1942</v>
      </c>
      <c r="G603" s="6">
        <v>946</v>
      </c>
      <c r="H603" s="8">
        <v>90.1</v>
      </c>
      <c r="I603" s="7">
        <v>133.35</v>
      </c>
      <c r="J603" s="7">
        <v>301.02</v>
      </c>
      <c r="K603" s="6">
        <v>380</v>
      </c>
      <c r="L603" s="7">
        <v>814.37</v>
      </c>
    </row>
    <row r="604" spans="1:12" x14ac:dyDescent="0.25">
      <c r="A604" s="9">
        <v>45839</v>
      </c>
      <c r="B604" t="s">
        <v>143</v>
      </c>
      <c r="C604" t="s">
        <v>144</v>
      </c>
      <c r="D604" t="s">
        <v>69</v>
      </c>
      <c r="E604" t="s">
        <v>2015</v>
      </c>
      <c r="F604" t="s">
        <v>1946</v>
      </c>
      <c r="G604" s="6">
        <v>1189</v>
      </c>
      <c r="H604" s="8">
        <v>113.2</v>
      </c>
      <c r="I604" s="7">
        <v>167.54</v>
      </c>
      <c r="J604" s="7">
        <v>43.16</v>
      </c>
      <c r="K604" s="6">
        <v>520</v>
      </c>
      <c r="L604" s="7">
        <v>730.7</v>
      </c>
    </row>
    <row r="605" spans="1:12" x14ac:dyDescent="0.25">
      <c r="A605" s="9">
        <v>45839</v>
      </c>
      <c r="B605" t="s">
        <v>73</v>
      </c>
      <c r="C605" t="s">
        <v>74</v>
      </c>
      <c r="D605" t="s">
        <v>69</v>
      </c>
      <c r="E605" t="s">
        <v>2043</v>
      </c>
      <c r="F605" t="s">
        <v>1942</v>
      </c>
      <c r="G605" s="6">
        <v>1171</v>
      </c>
      <c r="H605" s="8">
        <v>111.5</v>
      </c>
      <c r="I605" s="7">
        <v>165.02</v>
      </c>
      <c r="J605" s="7">
        <v>26.22</v>
      </c>
      <c r="K605" s="6">
        <v>450</v>
      </c>
      <c r="L605" s="7">
        <v>641.24</v>
      </c>
    </row>
    <row r="606" spans="1:12" x14ac:dyDescent="0.25">
      <c r="A606" s="9">
        <v>45839</v>
      </c>
      <c r="B606" t="s">
        <v>73</v>
      </c>
      <c r="C606" t="s">
        <v>74</v>
      </c>
      <c r="D606" t="s">
        <v>69</v>
      </c>
      <c r="E606" t="s">
        <v>2030</v>
      </c>
      <c r="F606" t="s">
        <v>1948</v>
      </c>
      <c r="G606" s="6">
        <v>1320</v>
      </c>
      <c r="H606" s="8">
        <v>155.30000000000001</v>
      </c>
      <c r="I606" s="7">
        <v>229.84</v>
      </c>
      <c r="J606" s="7">
        <v>212.31</v>
      </c>
      <c r="K606" s="6">
        <v>320</v>
      </c>
      <c r="L606" s="7">
        <v>762.15</v>
      </c>
    </row>
    <row r="607" spans="1:12" x14ac:dyDescent="0.25">
      <c r="A607" s="9">
        <v>45839</v>
      </c>
      <c r="B607" t="s">
        <v>73</v>
      </c>
      <c r="C607" t="s">
        <v>74</v>
      </c>
      <c r="D607" t="s">
        <v>69</v>
      </c>
      <c r="E607" t="s">
        <v>1945</v>
      </c>
      <c r="F607" t="s">
        <v>1946</v>
      </c>
      <c r="G607" s="6">
        <v>1026</v>
      </c>
      <c r="H607" s="8">
        <v>97.7</v>
      </c>
      <c r="I607" s="7">
        <v>144.6</v>
      </c>
      <c r="J607" s="7">
        <v>256.06</v>
      </c>
      <c r="K607" s="6">
        <v>320</v>
      </c>
      <c r="L607" s="7">
        <v>720.66</v>
      </c>
    </row>
    <row r="608" spans="1:12" x14ac:dyDescent="0.25">
      <c r="A608" s="9">
        <v>45839</v>
      </c>
      <c r="B608" t="s">
        <v>73</v>
      </c>
      <c r="C608" t="s">
        <v>74</v>
      </c>
      <c r="D608" t="s">
        <v>69</v>
      </c>
      <c r="E608" t="s">
        <v>1944</v>
      </c>
      <c r="F608" t="s">
        <v>1940</v>
      </c>
      <c r="G608" s="6">
        <v>728</v>
      </c>
      <c r="H608" s="8">
        <v>85.6</v>
      </c>
      <c r="I608" s="7">
        <v>126.69</v>
      </c>
      <c r="J608" s="7">
        <v>38.229999999999997</v>
      </c>
      <c r="K608" s="6">
        <v>320</v>
      </c>
      <c r="L608" s="7">
        <v>484.92</v>
      </c>
    </row>
    <row r="609" spans="1:12" x14ac:dyDescent="0.25">
      <c r="A609" s="9">
        <v>45839</v>
      </c>
      <c r="B609" t="s">
        <v>73</v>
      </c>
      <c r="C609" t="s">
        <v>74</v>
      </c>
      <c r="D609" t="s">
        <v>69</v>
      </c>
      <c r="E609" t="s">
        <v>1980</v>
      </c>
      <c r="F609" t="s">
        <v>1948</v>
      </c>
      <c r="G609" s="6">
        <v>904</v>
      </c>
      <c r="H609" s="8">
        <v>106.4</v>
      </c>
      <c r="I609" s="7">
        <v>157.47</v>
      </c>
      <c r="J609" s="7">
        <v>333.07</v>
      </c>
      <c r="K609" s="6">
        <v>450</v>
      </c>
      <c r="L609" s="7">
        <v>940.54</v>
      </c>
    </row>
    <row r="610" spans="1:12" x14ac:dyDescent="0.25">
      <c r="A610" s="9">
        <v>45839</v>
      </c>
      <c r="B610" t="s">
        <v>73</v>
      </c>
      <c r="C610" t="s">
        <v>74</v>
      </c>
      <c r="D610" t="s">
        <v>69</v>
      </c>
      <c r="E610" t="s">
        <v>2055</v>
      </c>
      <c r="F610" t="s">
        <v>1940</v>
      </c>
      <c r="G610" s="6">
        <v>670</v>
      </c>
      <c r="H610" s="8">
        <v>78.8</v>
      </c>
      <c r="I610" s="7">
        <v>116.62</v>
      </c>
      <c r="J610" s="7">
        <v>0</v>
      </c>
      <c r="K610" s="6">
        <v>520</v>
      </c>
      <c r="L610" s="7">
        <v>636.62</v>
      </c>
    </row>
    <row r="611" spans="1:12" x14ac:dyDescent="0.25">
      <c r="A611" s="9">
        <v>45839</v>
      </c>
      <c r="B611" t="s">
        <v>67</v>
      </c>
      <c r="C611" t="s">
        <v>68</v>
      </c>
      <c r="D611" t="s">
        <v>69</v>
      </c>
      <c r="E611" t="s">
        <v>2042</v>
      </c>
      <c r="F611" t="s">
        <v>1940</v>
      </c>
      <c r="G611" s="6">
        <v>937</v>
      </c>
      <c r="H611" s="8">
        <v>110.2</v>
      </c>
      <c r="I611" s="7">
        <v>163.1</v>
      </c>
      <c r="J611" s="7">
        <v>194.14</v>
      </c>
      <c r="K611" s="6">
        <v>320</v>
      </c>
      <c r="L611" s="7">
        <v>677.24</v>
      </c>
    </row>
    <row r="612" spans="1:12" x14ac:dyDescent="0.25">
      <c r="A612" s="9">
        <v>45839</v>
      </c>
      <c r="B612" t="s">
        <v>67</v>
      </c>
      <c r="C612" t="s">
        <v>68</v>
      </c>
      <c r="D612" t="s">
        <v>69</v>
      </c>
      <c r="E612" t="s">
        <v>2080</v>
      </c>
      <c r="F612" t="s">
        <v>1946</v>
      </c>
      <c r="G612" s="6">
        <v>1350</v>
      </c>
      <c r="H612" s="8">
        <v>128.6</v>
      </c>
      <c r="I612" s="7">
        <v>190.33</v>
      </c>
      <c r="J612" s="7">
        <v>112.95</v>
      </c>
      <c r="K612" s="6">
        <v>450</v>
      </c>
      <c r="L612" s="7">
        <v>753.28</v>
      </c>
    </row>
    <row r="613" spans="1:12" x14ac:dyDescent="0.25">
      <c r="A613" s="9">
        <v>45839</v>
      </c>
      <c r="B613" t="s">
        <v>67</v>
      </c>
      <c r="C613" t="s">
        <v>68</v>
      </c>
      <c r="D613" t="s">
        <v>69</v>
      </c>
      <c r="E613" t="s">
        <v>2033</v>
      </c>
      <c r="F613" t="s">
        <v>1948</v>
      </c>
      <c r="G613" s="6">
        <v>947</v>
      </c>
      <c r="H613" s="8">
        <v>111.4</v>
      </c>
      <c r="I613" s="7">
        <v>164.87</v>
      </c>
      <c r="J613" s="7">
        <v>342.31</v>
      </c>
      <c r="K613" s="6">
        <v>380</v>
      </c>
      <c r="L613" s="7">
        <v>887.18</v>
      </c>
    </row>
    <row r="614" spans="1:12" x14ac:dyDescent="0.25">
      <c r="A614" s="9">
        <v>45839</v>
      </c>
      <c r="B614" t="s">
        <v>32</v>
      </c>
      <c r="C614" t="s">
        <v>33</v>
      </c>
      <c r="D614" t="s">
        <v>34</v>
      </c>
      <c r="E614" t="s">
        <v>1973</v>
      </c>
      <c r="F614" t="s">
        <v>1940</v>
      </c>
      <c r="G614" s="6">
        <v>582</v>
      </c>
      <c r="H614" s="8">
        <v>68.5</v>
      </c>
      <c r="I614" s="7">
        <v>101.38</v>
      </c>
      <c r="J614" s="7">
        <v>118.92</v>
      </c>
      <c r="K614" s="6">
        <v>450</v>
      </c>
      <c r="L614" s="7">
        <v>670.3</v>
      </c>
    </row>
    <row r="615" spans="1:12" x14ac:dyDescent="0.25">
      <c r="A615" s="9">
        <v>45839</v>
      </c>
      <c r="B615" t="s">
        <v>32</v>
      </c>
      <c r="C615" t="s">
        <v>33</v>
      </c>
      <c r="D615" t="s">
        <v>34</v>
      </c>
      <c r="E615" t="s">
        <v>2022</v>
      </c>
      <c r="F615" t="s">
        <v>1946</v>
      </c>
      <c r="G615" s="6">
        <v>1097</v>
      </c>
      <c r="H615" s="8">
        <v>104.5</v>
      </c>
      <c r="I615" s="7">
        <v>154.66</v>
      </c>
      <c r="J615" s="7">
        <v>185.94</v>
      </c>
      <c r="K615" s="6">
        <v>450</v>
      </c>
      <c r="L615" s="7">
        <v>790.6</v>
      </c>
    </row>
    <row r="616" spans="1:12" x14ac:dyDescent="0.25">
      <c r="A616" s="9">
        <v>45839</v>
      </c>
      <c r="B616" t="s">
        <v>32</v>
      </c>
      <c r="C616" t="s">
        <v>33</v>
      </c>
      <c r="D616" t="s">
        <v>34</v>
      </c>
      <c r="E616" t="s">
        <v>1976</v>
      </c>
      <c r="F616" t="s">
        <v>1942</v>
      </c>
      <c r="G616" s="6">
        <v>922</v>
      </c>
      <c r="H616" s="8">
        <v>87.8</v>
      </c>
      <c r="I616" s="7">
        <v>129.94</v>
      </c>
      <c r="J616" s="7">
        <v>152.76</v>
      </c>
      <c r="K616" s="6">
        <v>520</v>
      </c>
      <c r="L616" s="7">
        <v>802.7</v>
      </c>
    </row>
    <row r="617" spans="1:12" x14ac:dyDescent="0.25">
      <c r="A617" s="9">
        <v>45839</v>
      </c>
      <c r="B617" t="s">
        <v>94</v>
      </c>
      <c r="C617" t="s">
        <v>95</v>
      </c>
      <c r="D617" t="s">
        <v>34</v>
      </c>
      <c r="E617" t="s">
        <v>1978</v>
      </c>
      <c r="F617" t="s">
        <v>1946</v>
      </c>
      <c r="G617" s="6">
        <v>427</v>
      </c>
      <c r="H617" s="8">
        <v>40.700000000000003</v>
      </c>
      <c r="I617" s="7">
        <v>60.24</v>
      </c>
      <c r="J617" s="7">
        <v>97.34</v>
      </c>
      <c r="K617" s="6">
        <v>320</v>
      </c>
      <c r="L617" s="7">
        <v>477.58</v>
      </c>
    </row>
    <row r="618" spans="1:12" x14ac:dyDescent="0.25">
      <c r="A618" s="9">
        <v>45839</v>
      </c>
      <c r="B618" t="s">
        <v>94</v>
      </c>
      <c r="C618" t="s">
        <v>95</v>
      </c>
      <c r="D618" t="s">
        <v>34</v>
      </c>
      <c r="E618" t="s">
        <v>1998</v>
      </c>
      <c r="F618" t="s">
        <v>1940</v>
      </c>
      <c r="G618" s="6">
        <v>1163</v>
      </c>
      <c r="H618" s="8">
        <v>136.80000000000001</v>
      </c>
      <c r="I618" s="7">
        <v>202.46</v>
      </c>
      <c r="J618" s="7">
        <v>71.42</v>
      </c>
      <c r="K618" s="6">
        <v>380</v>
      </c>
      <c r="L618" s="7">
        <v>653.88</v>
      </c>
    </row>
    <row r="619" spans="1:12" x14ac:dyDescent="0.25">
      <c r="A619" s="9">
        <v>45839</v>
      </c>
      <c r="B619" t="s">
        <v>94</v>
      </c>
      <c r="C619" t="s">
        <v>95</v>
      </c>
      <c r="D619" t="s">
        <v>34</v>
      </c>
      <c r="E619" t="s">
        <v>1983</v>
      </c>
      <c r="F619" t="s">
        <v>1948</v>
      </c>
      <c r="G619" s="6">
        <v>1064</v>
      </c>
      <c r="H619" s="8">
        <v>125.2</v>
      </c>
      <c r="I619" s="7">
        <v>185.3</v>
      </c>
      <c r="J619" s="7">
        <v>285.75</v>
      </c>
      <c r="K619" s="6">
        <v>450</v>
      </c>
      <c r="L619" s="7">
        <v>921.05</v>
      </c>
    </row>
    <row r="620" spans="1:12" x14ac:dyDescent="0.25">
      <c r="A620" s="9">
        <v>45839</v>
      </c>
      <c r="B620" t="s">
        <v>94</v>
      </c>
      <c r="C620" t="s">
        <v>95</v>
      </c>
      <c r="D620" t="s">
        <v>34</v>
      </c>
      <c r="E620" t="s">
        <v>2065</v>
      </c>
      <c r="F620" t="s">
        <v>1940</v>
      </c>
      <c r="G620" s="6">
        <v>964</v>
      </c>
      <c r="H620" s="8">
        <v>113.4</v>
      </c>
      <c r="I620" s="7">
        <v>167.83</v>
      </c>
      <c r="J620" s="7">
        <v>163.63999999999999</v>
      </c>
      <c r="K620" s="6">
        <v>450</v>
      </c>
      <c r="L620" s="7">
        <v>781.47</v>
      </c>
    </row>
    <row r="621" spans="1:12" x14ac:dyDescent="0.25">
      <c r="A621" s="9">
        <v>45839</v>
      </c>
      <c r="B621" t="s">
        <v>41</v>
      </c>
      <c r="C621" t="s">
        <v>42</v>
      </c>
      <c r="D621" t="s">
        <v>34</v>
      </c>
      <c r="E621" t="s">
        <v>1962</v>
      </c>
      <c r="F621" t="s">
        <v>1948</v>
      </c>
      <c r="G621" s="6">
        <v>809</v>
      </c>
      <c r="H621" s="8">
        <v>95.2</v>
      </c>
      <c r="I621" s="7">
        <v>140.9</v>
      </c>
      <c r="J621" s="7">
        <v>233.47</v>
      </c>
      <c r="K621" s="6">
        <v>380</v>
      </c>
      <c r="L621" s="7">
        <v>754.37</v>
      </c>
    </row>
    <row r="622" spans="1:12" x14ac:dyDescent="0.25">
      <c r="A622" s="9">
        <v>45839</v>
      </c>
      <c r="B622" t="s">
        <v>41</v>
      </c>
      <c r="C622" t="s">
        <v>42</v>
      </c>
      <c r="D622" t="s">
        <v>34</v>
      </c>
      <c r="E622" t="s">
        <v>2074</v>
      </c>
      <c r="F622" t="s">
        <v>1942</v>
      </c>
      <c r="G622" s="6">
        <v>1202</v>
      </c>
      <c r="H622" s="8">
        <v>114.5</v>
      </c>
      <c r="I622" s="7">
        <v>169.46</v>
      </c>
      <c r="J622" s="7">
        <v>162.56</v>
      </c>
      <c r="K622" s="6">
        <v>450</v>
      </c>
      <c r="L622" s="7">
        <v>782.02</v>
      </c>
    </row>
    <row r="623" spans="1:12" x14ac:dyDescent="0.25">
      <c r="A623" s="9">
        <v>45839</v>
      </c>
      <c r="B623" t="s">
        <v>41</v>
      </c>
      <c r="C623" t="s">
        <v>42</v>
      </c>
      <c r="D623" t="s">
        <v>34</v>
      </c>
      <c r="E623" t="s">
        <v>2007</v>
      </c>
      <c r="F623" t="s">
        <v>1940</v>
      </c>
      <c r="G623" s="6">
        <v>903</v>
      </c>
      <c r="H623" s="8">
        <v>106.2</v>
      </c>
      <c r="I623" s="7">
        <v>157.18</v>
      </c>
      <c r="J623" s="7">
        <v>167.94</v>
      </c>
      <c r="K623" s="6">
        <v>520</v>
      </c>
      <c r="L623" s="7">
        <v>845.12</v>
      </c>
    </row>
    <row r="624" spans="1:12" x14ac:dyDescent="0.25">
      <c r="A624" s="9">
        <v>45839</v>
      </c>
      <c r="B624" t="s">
        <v>47</v>
      </c>
      <c r="C624" t="s">
        <v>48</v>
      </c>
      <c r="D624" t="s">
        <v>34</v>
      </c>
      <c r="E624" t="s">
        <v>1996</v>
      </c>
      <c r="F624" t="s">
        <v>1948</v>
      </c>
      <c r="G624" s="6">
        <v>1228</v>
      </c>
      <c r="H624" s="8">
        <v>144.5</v>
      </c>
      <c r="I624" s="7">
        <v>213.86</v>
      </c>
      <c r="J624" s="7">
        <v>86</v>
      </c>
      <c r="K624" s="6">
        <v>520</v>
      </c>
      <c r="L624" s="7">
        <v>819.86</v>
      </c>
    </row>
    <row r="625" spans="1:12" x14ac:dyDescent="0.25">
      <c r="A625" s="9">
        <v>45839</v>
      </c>
      <c r="B625" t="s">
        <v>47</v>
      </c>
      <c r="C625" t="s">
        <v>48</v>
      </c>
      <c r="D625" t="s">
        <v>34</v>
      </c>
      <c r="E625" t="s">
        <v>2061</v>
      </c>
      <c r="F625" t="s">
        <v>1946</v>
      </c>
      <c r="G625" s="6">
        <v>1339</v>
      </c>
      <c r="H625" s="8">
        <v>127.5</v>
      </c>
      <c r="I625" s="7">
        <v>188.7</v>
      </c>
      <c r="J625" s="7">
        <v>123.1</v>
      </c>
      <c r="K625" s="6">
        <v>520</v>
      </c>
      <c r="L625" s="7">
        <v>831.8</v>
      </c>
    </row>
    <row r="626" spans="1:12" x14ac:dyDescent="0.25">
      <c r="A626" s="9">
        <v>45839</v>
      </c>
      <c r="B626" t="s">
        <v>47</v>
      </c>
      <c r="C626" t="s">
        <v>48</v>
      </c>
      <c r="D626" t="s">
        <v>34</v>
      </c>
      <c r="E626" t="s">
        <v>2056</v>
      </c>
      <c r="F626" t="s">
        <v>1940</v>
      </c>
      <c r="G626" s="6">
        <v>1156</v>
      </c>
      <c r="H626" s="8">
        <v>136</v>
      </c>
      <c r="I626" s="7">
        <v>201.28</v>
      </c>
      <c r="J626" s="7">
        <v>245.78</v>
      </c>
      <c r="K626" s="6">
        <v>380</v>
      </c>
      <c r="L626" s="7">
        <v>827.06</v>
      </c>
    </row>
    <row r="627" spans="1:12" x14ac:dyDescent="0.25">
      <c r="A627" s="9">
        <v>45839</v>
      </c>
      <c r="B627" t="s">
        <v>47</v>
      </c>
      <c r="C627" t="s">
        <v>48</v>
      </c>
      <c r="D627" t="s">
        <v>34</v>
      </c>
      <c r="E627" t="s">
        <v>2022</v>
      </c>
      <c r="F627" t="s">
        <v>1946</v>
      </c>
      <c r="G627" s="6">
        <v>707</v>
      </c>
      <c r="H627" s="8">
        <v>67.3</v>
      </c>
      <c r="I627" s="7">
        <v>99.6</v>
      </c>
      <c r="J627" s="7">
        <v>93.24</v>
      </c>
      <c r="K627" s="6">
        <v>520</v>
      </c>
      <c r="L627" s="7">
        <v>712.84</v>
      </c>
    </row>
    <row r="628" spans="1:12" x14ac:dyDescent="0.25">
      <c r="A628" s="9">
        <v>45839</v>
      </c>
      <c r="B628" t="s">
        <v>47</v>
      </c>
      <c r="C628" t="s">
        <v>48</v>
      </c>
      <c r="D628" t="s">
        <v>34</v>
      </c>
      <c r="E628" t="s">
        <v>2063</v>
      </c>
      <c r="F628" t="s">
        <v>1948</v>
      </c>
      <c r="G628" s="6">
        <v>977</v>
      </c>
      <c r="H628" s="8">
        <v>114.9</v>
      </c>
      <c r="I628" s="7">
        <v>170.05</v>
      </c>
      <c r="J628" s="7">
        <v>187.3</v>
      </c>
      <c r="K628" s="6">
        <v>520</v>
      </c>
      <c r="L628" s="7">
        <v>877.35</v>
      </c>
    </row>
    <row r="629" spans="1:12" x14ac:dyDescent="0.25">
      <c r="A629" s="9">
        <v>45839</v>
      </c>
      <c r="B629" t="s">
        <v>47</v>
      </c>
      <c r="C629" t="s">
        <v>48</v>
      </c>
      <c r="D629" t="s">
        <v>34</v>
      </c>
      <c r="E629" t="s">
        <v>2067</v>
      </c>
      <c r="F629" t="s">
        <v>1942</v>
      </c>
      <c r="G629" s="6">
        <v>1483</v>
      </c>
      <c r="H629" s="8">
        <v>141.19999999999999</v>
      </c>
      <c r="I629" s="7">
        <v>208.98</v>
      </c>
      <c r="J629" s="7">
        <v>81.459999999999994</v>
      </c>
      <c r="K629" s="6">
        <v>320</v>
      </c>
      <c r="L629" s="7">
        <v>610.44000000000005</v>
      </c>
    </row>
    <row r="630" spans="1:12" x14ac:dyDescent="0.25">
      <c r="A630" s="9">
        <v>45839</v>
      </c>
      <c r="B630" t="s">
        <v>47</v>
      </c>
      <c r="C630" t="s">
        <v>48</v>
      </c>
      <c r="D630" t="s">
        <v>34</v>
      </c>
      <c r="E630" t="s">
        <v>2059</v>
      </c>
      <c r="F630" t="s">
        <v>1940</v>
      </c>
      <c r="G630" s="6">
        <v>911</v>
      </c>
      <c r="H630" s="8">
        <v>107.2</v>
      </c>
      <c r="I630" s="7">
        <v>158.66</v>
      </c>
      <c r="J630" s="7">
        <v>166.35</v>
      </c>
      <c r="K630" s="6">
        <v>450</v>
      </c>
      <c r="L630" s="7">
        <v>775.01</v>
      </c>
    </row>
    <row r="631" spans="1:12" x14ac:dyDescent="0.25">
      <c r="A631" s="9">
        <v>45839</v>
      </c>
      <c r="B631" t="s">
        <v>121</v>
      </c>
      <c r="C631" t="s">
        <v>122</v>
      </c>
      <c r="D631" t="s">
        <v>34</v>
      </c>
      <c r="E631" t="s">
        <v>1951</v>
      </c>
      <c r="F631" t="s">
        <v>1948</v>
      </c>
      <c r="G631" s="6">
        <v>749</v>
      </c>
      <c r="H631" s="8">
        <v>88.1</v>
      </c>
      <c r="I631" s="7">
        <v>130.38999999999999</v>
      </c>
      <c r="J631" s="7">
        <v>218.35</v>
      </c>
      <c r="K631" s="6">
        <v>450</v>
      </c>
      <c r="L631" s="7">
        <v>798.74</v>
      </c>
    </row>
    <row r="632" spans="1:12" x14ac:dyDescent="0.25">
      <c r="A632" s="9">
        <v>45839</v>
      </c>
      <c r="B632" t="s">
        <v>121</v>
      </c>
      <c r="C632" t="s">
        <v>122</v>
      </c>
      <c r="D632" t="s">
        <v>34</v>
      </c>
      <c r="E632" t="s">
        <v>1999</v>
      </c>
      <c r="F632" t="s">
        <v>1948</v>
      </c>
      <c r="G632" s="6">
        <v>1129</v>
      </c>
      <c r="H632" s="8">
        <v>132.80000000000001</v>
      </c>
      <c r="I632" s="7">
        <v>196.54</v>
      </c>
      <c r="J632" s="7">
        <v>223.37</v>
      </c>
      <c r="K632" s="6">
        <v>520</v>
      </c>
      <c r="L632" s="7">
        <v>939.91</v>
      </c>
    </row>
    <row r="633" spans="1:12" x14ac:dyDescent="0.25">
      <c r="A633" s="9">
        <v>45839</v>
      </c>
      <c r="B633" t="s">
        <v>121</v>
      </c>
      <c r="C633" t="s">
        <v>122</v>
      </c>
      <c r="D633" t="s">
        <v>34</v>
      </c>
      <c r="E633" t="s">
        <v>1993</v>
      </c>
      <c r="F633" t="s">
        <v>1940</v>
      </c>
      <c r="G633" s="6">
        <v>1026</v>
      </c>
      <c r="H633" s="8">
        <v>120.7</v>
      </c>
      <c r="I633" s="7">
        <v>178.64</v>
      </c>
      <c r="J633" s="7">
        <v>107.65</v>
      </c>
      <c r="K633" s="6">
        <v>320</v>
      </c>
      <c r="L633" s="7">
        <v>606.29</v>
      </c>
    </row>
    <row r="634" spans="1:12" x14ac:dyDescent="0.25">
      <c r="A634" s="9">
        <v>45839</v>
      </c>
      <c r="B634" t="s">
        <v>201</v>
      </c>
      <c r="C634" t="s">
        <v>202</v>
      </c>
      <c r="D634" t="s">
        <v>64</v>
      </c>
      <c r="E634" t="s">
        <v>2020</v>
      </c>
      <c r="F634" t="s">
        <v>1942</v>
      </c>
      <c r="G634" s="6">
        <v>671</v>
      </c>
      <c r="H634" s="8">
        <v>63.9</v>
      </c>
      <c r="I634" s="7">
        <v>94.57</v>
      </c>
      <c r="J634" s="7">
        <v>175.73</v>
      </c>
      <c r="K634" s="6">
        <v>450</v>
      </c>
      <c r="L634" s="7">
        <v>720.3</v>
      </c>
    </row>
    <row r="635" spans="1:12" x14ac:dyDescent="0.25">
      <c r="A635" s="9">
        <v>45839</v>
      </c>
      <c r="B635" t="s">
        <v>201</v>
      </c>
      <c r="C635" t="s">
        <v>202</v>
      </c>
      <c r="D635" t="s">
        <v>64</v>
      </c>
      <c r="E635" t="s">
        <v>1972</v>
      </c>
      <c r="F635" t="s">
        <v>1940</v>
      </c>
      <c r="G635" s="6">
        <v>1488</v>
      </c>
      <c r="H635" s="8">
        <v>175.1</v>
      </c>
      <c r="I635" s="7">
        <v>259.14999999999998</v>
      </c>
      <c r="J635" s="7">
        <v>151.47</v>
      </c>
      <c r="K635" s="6">
        <v>380</v>
      </c>
      <c r="L635" s="7">
        <v>790.62</v>
      </c>
    </row>
    <row r="636" spans="1:12" x14ac:dyDescent="0.25">
      <c r="A636" s="9">
        <v>45839</v>
      </c>
      <c r="B636" t="s">
        <v>201</v>
      </c>
      <c r="C636" t="s">
        <v>202</v>
      </c>
      <c r="D636" t="s">
        <v>64</v>
      </c>
      <c r="E636" t="s">
        <v>2009</v>
      </c>
      <c r="F636" t="s">
        <v>1940</v>
      </c>
      <c r="G636" s="6">
        <v>1106</v>
      </c>
      <c r="H636" s="8">
        <v>130.1</v>
      </c>
      <c r="I636" s="7">
        <v>192.55</v>
      </c>
      <c r="J636" s="7">
        <v>205.42</v>
      </c>
      <c r="K636" s="6">
        <v>380</v>
      </c>
      <c r="L636" s="7">
        <v>777.97</v>
      </c>
    </row>
    <row r="637" spans="1:12" x14ac:dyDescent="0.25">
      <c r="A637" s="9">
        <v>45839</v>
      </c>
      <c r="B637" t="s">
        <v>201</v>
      </c>
      <c r="C637" t="s">
        <v>202</v>
      </c>
      <c r="D637" t="s">
        <v>64</v>
      </c>
      <c r="E637" t="s">
        <v>2081</v>
      </c>
      <c r="F637" t="s">
        <v>1940</v>
      </c>
      <c r="G637" s="6">
        <v>732</v>
      </c>
      <c r="H637" s="8">
        <v>86.1</v>
      </c>
      <c r="I637" s="7">
        <v>127.43</v>
      </c>
      <c r="J637" s="7">
        <v>286.2</v>
      </c>
      <c r="K637" s="6">
        <v>320</v>
      </c>
      <c r="L637" s="7">
        <v>733.63</v>
      </c>
    </row>
    <row r="638" spans="1:12" x14ac:dyDescent="0.25">
      <c r="A638" s="9">
        <v>45839</v>
      </c>
      <c r="B638" t="s">
        <v>118</v>
      </c>
      <c r="C638" t="s">
        <v>119</v>
      </c>
      <c r="D638" t="s">
        <v>64</v>
      </c>
      <c r="E638" t="s">
        <v>2071</v>
      </c>
      <c r="F638" t="s">
        <v>1942</v>
      </c>
      <c r="G638" s="6">
        <v>1100</v>
      </c>
      <c r="H638" s="8">
        <v>104.8</v>
      </c>
      <c r="I638" s="7">
        <v>155.1</v>
      </c>
      <c r="J638" s="7">
        <v>280.55</v>
      </c>
      <c r="K638" s="6">
        <v>450</v>
      </c>
      <c r="L638" s="7">
        <v>885.65</v>
      </c>
    </row>
    <row r="639" spans="1:12" x14ac:dyDescent="0.25">
      <c r="A639" s="9">
        <v>45839</v>
      </c>
      <c r="B639" t="s">
        <v>118</v>
      </c>
      <c r="C639" t="s">
        <v>119</v>
      </c>
      <c r="D639" t="s">
        <v>64</v>
      </c>
      <c r="E639" t="s">
        <v>1976</v>
      </c>
      <c r="F639" t="s">
        <v>1946</v>
      </c>
      <c r="G639" s="6">
        <v>866</v>
      </c>
      <c r="H639" s="8">
        <v>82.5</v>
      </c>
      <c r="I639" s="7">
        <v>122.1</v>
      </c>
      <c r="J639" s="7">
        <v>295.44</v>
      </c>
      <c r="K639" s="6">
        <v>380</v>
      </c>
      <c r="L639" s="7">
        <v>797.54</v>
      </c>
    </row>
    <row r="640" spans="1:12" x14ac:dyDescent="0.25">
      <c r="A640" s="9">
        <v>45839</v>
      </c>
      <c r="B640" t="s">
        <v>118</v>
      </c>
      <c r="C640" t="s">
        <v>119</v>
      </c>
      <c r="D640" t="s">
        <v>64</v>
      </c>
      <c r="E640" t="s">
        <v>1979</v>
      </c>
      <c r="F640" t="s">
        <v>1940</v>
      </c>
      <c r="G640" s="6">
        <v>1243</v>
      </c>
      <c r="H640" s="8">
        <v>146.19999999999999</v>
      </c>
      <c r="I640" s="7">
        <v>216.38</v>
      </c>
      <c r="J640" s="7">
        <v>194.24</v>
      </c>
      <c r="K640" s="6">
        <v>520</v>
      </c>
      <c r="L640" s="7">
        <v>930.62</v>
      </c>
    </row>
    <row r="641" spans="1:12" x14ac:dyDescent="0.25">
      <c r="A641" s="9">
        <v>45839</v>
      </c>
      <c r="B641" t="s">
        <v>62</v>
      </c>
      <c r="C641" t="s">
        <v>63</v>
      </c>
      <c r="D641" t="s">
        <v>64</v>
      </c>
      <c r="E641" t="s">
        <v>1976</v>
      </c>
      <c r="F641" t="s">
        <v>1942</v>
      </c>
      <c r="G641" s="6">
        <v>1108</v>
      </c>
      <c r="H641" s="8">
        <v>105.5</v>
      </c>
      <c r="I641" s="7">
        <v>156.13999999999999</v>
      </c>
      <c r="J641" s="7">
        <v>130.12</v>
      </c>
      <c r="K641" s="6">
        <v>450</v>
      </c>
      <c r="L641" s="7">
        <v>736.26</v>
      </c>
    </row>
    <row r="642" spans="1:12" x14ac:dyDescent="0.25">
      <c r="A642" s="9">
        <v>45839</v>
      </c>
      <c r="B642" t="s">
        <v>62</v>
      </c>
      <c r="C642" t="s">
        <v>63</v>
      </c>
      <c r="D642" t="s">
        <v>64</v>
      </c>
      <c r="E642" t="s">
        <v>2052</v>
      </c>
      <c r="F642" t="s">
        <v>1940</v>
      </c>
      <c r="G642" s="6">
        <v>1350</v>
      </c>
      <c r="H642" s="8">
        <v>158.80000000000001</v>
      </c>
      <c r="I642" s="7">
        <v>235.02</v>
      </c>
      <c r="J642" s="7">
        <v>161.22999999999999</v>
      </c>
      <c r="K642" s="6">
        <v>380</v>
      </c>
      <c r="L642" s="7">
        <v>776.25</v>
      </c>
    </row>
    <row r="643" spans="1:12" x14ac:dyDescent="0.25">
      <c r="A643" s="9">
        <v>45839</v>
      </c>
      <c r="B643" t="s">
        <v>62</v>
      </c>
      <c r="C643" t="s">
        <v>63</v>
      </c>
      <c r="D643" t="s">
        <v>64</v>
      </c>
      <c r="E643" t="s">
        <v>1966</v>
      </c>
      <c r="F643" t="s">
        <v>1940</v>
      </c>
      <c r="G643" s="6">
        <v>558</v>
      </c>
      <c r="H643" s="8">
        <v>65.599999999999994</v>
      </c>
      <c r="I643" s="7">
        <v>97.09</v>
      </c>
      <c r="J643" s="7">
        <v>60.63</v>
      </c>
      <c r="K643" s="6">
        <v>520</v>
      </c>
      <c r="L643" s="7">
        <v>677.72</v>
      </c>
    </row>
    <row r="644" spans="1:12" x14ac:dyDescent="0.25">
      <c r="A644" s="9">
        <v>45839</v>
      </c>
      <c r="B644" t="s">
        <v>62</v>
      </c>
      <c r="C644" t="s">
        <v>63</v>
      </c>
      <c r="D644" t="s">
        <v>64</v>
      </c>
      <c r="E644" t="s">
        <v>2059</v>
      </c>
      <c r="F644" t="s">
        <v>1940</v>
      </c>
      <c r="G644" s="6">
        <v>1003</v>
      </c>
      <c r="H644" s="8">
        <v>118</v>
      </c>
      <c r="I644" s="7">
        <v>174.64</v>
      </c>
      <c r="J644" s="7">
        <v>174.8</v>
      </c>
      <c r="K644" s="6">
        <v>450</v>
      </c>
      <c r="L644" s="7">
        <v>799.44</v>
      </c>
    </row>
    <row r="645" spans="1:12" x14ac:dyDescent="0.25">
      <c r="A645" s="9">
        <v>45839</v>
      </c>
      <c r="B645" t="s">
        <v>62</v>
      </c>
      <c r="C645" t="s">
        <v>63</v>
      </c>
      <c r="D645" t="s">
        <v>64</v>
      </c>
      <c r="E645" t="s">
        <v>1950</v>
      </c>
      <c r="F645" t="s">
        <v>1940</v>
      </c>
      <c r="G645" s="6">
        <v>1035</v>
      </c>
      <c r="H645" s="8">
        <v>121.8</v>
      </c>
      <c r="I645" s="7">
        <v>180.26</v>
      </c>
      <c r="J645" s="7">
        <v>247.52</v>
      </c>
      <c r="K645" s="6">
        <v>380</v>
      </c>
      <c r="L645" s="7">
        <v>807.78</v>
      </c>
    </row>
    <row r="646" spans="1:12" x14ac:dyDescent="0.25">
      <c r="A646" s="9">
        <v>45839</v>
      </c>
      <c r="B646" t="s">
        <v>91</v>
      </c>
      <c r="C646" t="s">
        <v>92</v>
      </c>
      <c r="D646" t="s">
        <v>64</v>
      </c>
      <c r="E646" t="s">
        <v>2076</v>
      </c>
      <c r="F646" t="s">
        <v>1948</v>
      </c>
      <c r="G646" s="6">
        <v>562</v>
      </c>
      <c r="H646" s="8">
        <v>66.099999999999994</v>
      </c>
      <c r="I646" s="7">
        <v>97.83</v>
      </c>
      <c r="J646" s="7">
        <v>261.49</v>
      </c>
      <c r="K646" s="6">
        <v>520</v>
      </c>
      <c r="L646" s="7">
        <v>879.32</v>
      </c>
    </row>
    <row r="647" spans="1:12" x14ac:dyDescent="0.25">
      <c r="A647" s="9">
        <v>45839</v>
      </c>
      <c r="B647" t="s">
        <v>91</v>
      </c>
      <c r="C647" t="s">
        <v>92</v>
      </c>
      <c r="D647" t="s">
        <v>64</v>
      </c>
      <c r="E647" t="s">
        <v>2031</v>
      </c>
      <c r="F647" t="s">
        <v>1946</v>
      </c>
      <c r="G647" s="6">
        <v>595</v>
      </c>
      <c r="H647" s="8">
        <v>56.7</v>
      </c>
      <c r="I647" s="7">
        <v>83.92</v>
      </c>
      <c r="J647" s="7">
        <v>210.78</v>
      </c>
      <c r="K647" s="6">
        <v>320</v>
      </c>
      <c r="L647" s="7">
        <v>614.70000000000005</v>
      </c>
    </row>
    <row r="648" spans="1:12" x14ac:dyDescent="0.25">
      <c r="A648" s="9">
        <v>45839</v>
      </c>
      <c r="B648" t="s">
        <v>91</v>
      </c>
      <c r="C648" t="s">
        <v>92</v>
      </c>
      <c r="D648" t="s">
        <v>64</v>
      </c>
      <c r="E648" t="s">
        <v>2078</v>
      </c>
      <c r="F648" t="s">
        <v>1940</v>
      </c>
      <c r="G648" s="6">
        <v>1026</v>
      </c>
      <c r="H648" s="8">
        <v>120.7</v>
      </c>
      <c r="I648" s="7">
        <v>178.64</v>
      </c>
      <c r="J648" s="7">
        <v>183.57</v>
      </c>
      <c r="K648" s="6">
        <v>520</v>
      </c>
      <c r="L648" s="7">
        <v>882.21</v>
      </c>
    </row>
    <row r="649" spans="1:12" x14ac:dyDescent="0.25">
      <c r="A649" s="9">
        <v>45839</v>
      </c>
      <c r="B649" t="s">
        <v>91</v>
      </c>
      <c r="C649" t="s">
        <v>92</v>
      </c>
      <c r="D649" t="s">
        <v>64</v>
      </c>
      <c r="E649" t="s">
        <v>1988</v>
      </c>
      <c r="F649" t="s">
        <v>1940</v>
      </c>
      <c r="G649" s="6">
        <v>834</v>
      </c>
      <c r="H649" s="8">
        <v>98.1</v>
      </c>
      <c r="I649" s="7">
        <v>145.19</v>
      </c>
      <c r="J649" s="7">
        <v>252.36</v>
      </c>
      <c r="K649" s="6">
        <v>520</v>
      </c>
      <c r="L649" s="7">
        <v>917.55</v>
      </c>
    </row>
    <row r="650" spans="1:12" x14ac:dyDescent="0.25">
      <c r="A650" s="9">
        <v>45839</v>
      </c>
      <c r="B650" t="s">
        <v>80</v>
      </c>
      <c r="C650" t="s">
        <v>81</v>
      </c>
      <c r="D650" t="s">
        <v>64</v>
      </c>
      <c r="E650" t="s">
        <v>1959</v>
      </c>
      <c r="F650" t="s">
        <v>1942</v>
      </c>
      <c r="G650" s="6">
        <v>1310</v>
      </c>
      <c r="H650" s="8">
        <v>124.8</v>
      </c>
      <c r="I650" s="7">
        <v>184.7</v>
      </c>
      <c r="J650" s="7">
        <v>196.68</v>
      </c>
      <c r="K650" s="6">
        <v>520</v>
      </c>
      <c r="L650" s="7">
        <v>901.38</v>
      </c>
    </row>
    <row r="651" spans="1:12" x14ac:dyDescent="0.25">
      <c r="A651" s="9">
        <v>45839</v>
      </c>
      <c r="B651" t="s">
        <v>80</v>
      </c>
      <c r="C651" t="s">
        <v>81</v>
      </c>
      <c r="D651" t="s">
        <v>64</v>
      </c>
      <c r="E651" t="s">
        <v>2074</v>
      </c>
      <c r="F651" t="s">
        <v>1942</v>
      </c>
      <c r="G651" s="6">
        <v>1017</v>
      </c>
      <c r="H651" s="8">
        <v>96.9</v>
      </c>
      <c r="I651" s="7">
        <v>143.41</v>
      </c>
      <c r="J651" s="7">
        <v>196.39</v>
      </c>
      <c r="K651" s="6">
        <v>450</v>
      </c>
      <c r="L651" s="7">
        <v>789.8</v>
      </c>
    </row>
    <row r="652" spans="1:12" x14ac:dyDescent="0.25">
      <c r="A652" s="9">
        <v>45839</v>
      </c>
      <c r="B652" t="s">
        <v>80</v>
      </c>
      <c r="C652" t="s">
        <v>81</v>
      </c>
      <c r="D652" t="s">
        <v>64</v>
      </c>
      <c r="E652" t="s">
        <v>1961</v>
      </c>
      <c r="F652" t="s">
        <v>1946</v>
      </c>
      <c r="G652" s="6">
        <v>873</v>
      </c>
      <c r="H652" s="8">
        <v>83.1</v>
      </c>
      <c r="I652" s="7">
        <v>122.99</v>
      </c>
      <c r="J652" s="7">
        <v>218.44</v>
      </c>
      <c r="K652" s="6">
        <v>380</v>
      </c>
      <c r="L652" s="7">
        <v>721.43</v>
      </c>
    </row>
    <row r="653" spans="1:12" x14ac:dyDescent="0.25">
      <c r="A653" s="9">
        <v>45839</v>
      </c>
      <c r="B653" t="s">
        <v>80</v>
      </c>
      <c r="C653" t="s">
        <v>81</v>
      </c>
      <c r="D653" t="s">
        <v>64</v>
      </c>
      <c r="E653" t="s">
        <v>2008</v>
      </c>
      <c r="F653" t="s">
        <v>1940</v>
      </c>
      <c r="G653" s="6">
        <v>1462</v>
      </c>
      <c r="H653" s="8">
        <v>172</v>
      </c>
      <c r="I653" s="7">
        <v>254.56</v>
      </c>
      <c r="J653" s="7">
        <v>235.65</v>
      </c>
      <c r="K653" s="6">
        <v>320</v>
      </c>
      <c r="L653" s="7">
        <v>810.21</v>
      </c>
    </row>
    <row r="654" spans="1:12" x14ac:dyDescent="0.25">
      <c r="A654" s="9">
        <v>45839</v>
      </c>
      <c r="B654" t="s">
        <v>56</v>
      </c>
      <c r="C654" t="s">
        <v>57</v>
      </c>
      <c r="D654" t="s">
        <v>58</v>
      </c>
      <c r="E654" t="s">
        <v>1955</v>
      </c>
      <c r="F654" t="s">
        <v>1940</v>
      </c>
      <c r="G654" s="6">
        <v>867</v>
      </c>
      <c r="H654" s="8">
        <v>102</v>
      </c>
      <c r="I654" s="7">
        <v>150.96</v>
      </c>
      <c r="J654" s="7">
        <v>178.91</v>
      </c>
      <c r="K654" s="6">
        <v>450</v>
      </c>
      <c r="L654" s="7">
        <v>779.87</v>
      </c>
    </row>
    <row r="655" spans="1:12" x14ac:dyDescent="0.25">
      <c r="A655" s="9">
        <v>45839</v>
      </c>
      <c r="B655" t="s">
        <v>56</v>
      </c>
      <c r="C655" t="s">
        <v>57</v>
      </c>
      <c r="D655" t="s">
        <v>58</v>
      </c>
      <c r="E655" t="s">
        <v>2056</v>
      </c>
      <c r="F655" t="s">
        <v>1946</v>
      </c>
      <c r="G655" s="6">
        <v>726</v>
      </c>
      <c r="H655" s="8">
        <v>69.099999999999994</v>
      </c>
      <c r="I655" s="7">
        <v>102.27</v>
      </c>
      <c r="J655" s="7">
        <v>195.79</v>
      </c>
      <c r="K655" s="6">
        <v>380</v>
      </c>
      <c r="L655" s="7">
        <v>678.06</v>
      </c>
    </row>
    <row r="656" spans="1:12" x14ac:dyDescent="0.25">
      <c r="A656" s="9">
        <v>45839</v>
      </c>
      <c r="B656" t="s">
        <v>56</v>
      </c>
      <c r="C656" t="s">
        <v>57</v>
      </c>
      <c r="D656" t="s">
        <v>58</v>
      </c>
      <c r="E656" t="s">
        <v>2010</v>
      </c>
      <c r="F656" t="s">
        <v>1940</v>
      </c>
      <c r="G656" s="6">
        <v>1162</v>
      </c>
      <c r="H656" s="8">
        <v>136.69999999999999</v>
      </c>
      <c r="I656" s="7">
        <v>202.32</v>
      </c>
      <c r="J656" s="7">
        <v>0.41</v>
      </c>
      <c r="K656" s="6">
        <v>380</v>
      </c>
      <c r="L656" s="7">
        <v>582.73</v>
      </c>
    </row>
    <row r="657" spans="1:12" x14ac:dyDescent="0.25">
      <c r="A657" s="9">
        <v>45839</v>
      </c>
      <c r="B657" t="s">
        <v>56</v>
      </c>
      <c r="C657" t="s">
        <v>57</v>
      </c>
      <c r="D657" t="s">
        <v>58</v>
      </c>
      <c r="E657" t="s">
        <v>1941</v>
      </c>
      <c r="F657" t="s">
        <v>1948</v>
      </c>
      <c r="G657" s="6">
        <v>759</v>
      </c>
      <c r="H657" s="8">
        <v>89.3</v>
      </c>
      <c r="I657" s="7">
        <v>132.16</v>
      </c>
      <c r="J657" s="7">
        <v>227.35</v>
      </c>
      <c r="K657" s="6">
        <v>380</v>
      </c>
      <c r="L657" s="7">
        <v>739.51</v>
      </c>
    </row>
    <row r="658" spans="1:12" x14ac:dyDescent="0.25">
      <c r="A658" s="9">
        <v>45839</v>
      </c>
      <c r="B658" t="s">
        <v>56</v>
      </c>
      <c r="C658" t="s">
        <v>57</v>
      </c>
      <c r="D658" t="s">
        <v>58</v>
      </c>
      <c r="E658" t="s">
        <v>2079</v>
      </c>
      <c r="F658" t="s">
        <v>1948</v>
      </c>
      <c r="G658" s="6">
        <v>974</v>
      </c>
      <c r="H658" s="8">
        <v>114.6</v>
      </c>
      <c r="I658" s="7">
        <v>169.61</v>
      </c>
      <c r="J658" s="7">
        <v>153.24</v>
      </c>
      <c r="K658" s="6">
        <v>320</v>
      </c>
      <c r="L658" s="7">
        <v>642.85</v>
      </c>
    </row>
    <row r="659" spans="1:12" x14ac:dyDescent="0.25">
      <c r="A659" s="9">
        <v>45839</v>
      </c>
      <c r="B659" t="s">
        <v>77</v>
      </c>
      <c r="C659" t="s">
        <v>78</v>
      </c>
      <c r="D659" t="s">
        <v>58</v>
      </c>
      <c r="E659" t="s">
        <v>2017</v>
      </c>
      <c r="F659" t="s">
        <v>1946</v>
      </c>
      <c r="G659" s="6">
        <v>1147</v>
      </c>
      <c r="H659" s="8">
        <v>109.2</v>
      </c>
      <c r="I659" s="7">
        <v>161.62</v>
      </c>
      <c r="J659" s="7">
        <v>170.12</v>
      </c>
      <c r="K659" s="6">
        <v>520</v>
      </c>
      <c r="L659" s="7">
        <v>851.74</v>
      </c>
    </row>
    <row r="660" spans="1:12" x14ac:dyDescent="0.25">
      <c r="A660" s="9">
        <v>45839</v>
      </c>
      <c r="B660" t="s">
        <v>77</v>
      </c>
      <c r="C660" t="s">
        <v>78</v>
      </c>
      <c r="D660" t="s">
        <v>58</v>
      </c>
      <c r="E660" t="s">
        <v>1984</v>
      </c>
      <c r="F660" t="s">
        <v>1946</v>
      </c>
      <c r="G660" s="6">
        <v>1001</v>
      </c>
      <c r="H660" s="8">
        <v>95.3</v>
      </c>
      <c r="I660" s="7">
        <v>141.04</v>
      </c>
      <c r="J660" s="7">
        <v>89.54</v>
      </c>
      <c r="K660" s="6">
        <v>380</v>
      </c>
      <c r="L660" s="7">
        <v>610.58000000000004</v>
      </c>
    </row>
    <row r="661" spans="1:12" x14ac:dyDescent="0.25">
      <c r="A661" s="9">
        <v>45839</v>
      </c>
      <c r="B661" t="s">
        <v>77</v>
      </c>
      <c r="C661" t="s">
        <v>78</v>
      </c>
      <c r="D661" t="s">
        <v>58</v>
      </c>
      <c r="E661" t="s">
        <v>1945</v>
      </c>
      <c r="F661" t="s">
        <v>1940</v>
      </c>
      <c r="G661" s="6">
        <v>1312</v>
      </c>
      <c r="H661" s="8">
        <v>154.4</v>
      </c>
      <c r="I661" s="7">
        <v>228.51</v>
      </c>
      <c r="J661" s="7">
        <v>282.43</v>
      </c>
      <c r="K661" s="6">
        <v>320</v>
      </c>
      <c r="L661" s="7">
        <v>830.94</v>
      </c>
    </row>
    <row r="662" spans="1:12" x14ac:dyDescent="0.25">
      <c r="A662" s="9">
        <v>45839</v>
      </c>
      <c r="B662" t="s">
        <v>110</v>
      </c>
      <c r="C662" t="s">
        <v>111</v>
      </c>
      <c r="D662" t="s">
        <v>58</v>
      </c>
      <c r="E662" t="s">
        <v>1996</v>
      </c>
      <c r="F662" t="s">
        <v>1940</v>
      </c>
      <c r="G662" s="6">
        <v>929</v>
      </c>
      <c r="H662" s="8">
        <v>109.3</v>
      </c>
      <c r="I662" s="7">
        <v>161.76</v>
      </c>
      <c r="J662" s="7">
        <v>101.03</v>
      </c>
      <c r="K662" s="6">
        <v>520</v>
      </c>
      <c r="L662" s="7">
        <v>782.79</v>
      </c>
    </row>
    <row r="663" spans="1:12" x14ac:dyDescent="0.25">
      <c r="A663" s="9">
        <v>45839</v>
      </c>
      <c r="B663" t="s">
        <v>110</v>
      </c>
      <c r="C663" t="s">
        <v>111</v>
      </c>
      <c r="D663" t="s">
        <v>58</v>
      </c>
      <c r="E663" t="s">
        <v>2045</v>
      </c>
      <c r="F663" t="s">
        <v>1940</v>
      </c>
      <c r="G663" s="6">
        <v>1172</v>
      </c>
      <c r="H663" s="8">
        <v>137.9</v>
      </c>
      <c r="I663" s="7">
        <v>204.09</v>
      </c>
      <c r="J663" s="7">
        <v>121.36</v>
      </c>
      <c r="K663" s="6">
        <v>320</v>
      </c>
      <c r="L663" s="7">
        <v>645.45000000000005</v>
      </c>
    </row>
    <row r="664" spans="1:12" x14ac:dyDescent="0.25">
      <c r="A664" s="9">
        <v>45839</v>
      </c>
      <c r="B664" t="s">
        <v>110</v>
      </c>
      <c r="C664" t="s">
        <v>111</v>
      </c>
      <c r="D664" t="s">
        <v>58</v>
      </c>
      <c r="E664" t="s">
        <v>1944</v>
      </c>
      <c r="F664" t="s">
        <v>1940</v>
      </c>
      <c r="G664" s="6">
        <v>1015</v>
      </c>
      <c r="H664" s="8">
        <v>119.4</v>
      </c>
      <c r="I664" s="7">
        <v>176.71</v>
      </c>
      <c r="J664" s="7">
        <v>209.17</v>
      </c>
      <c r="K664" s="6">
        <v>450</v>
      </c>
      <c r="L664" s="7">
        <v>835.88</v>
      </c>
    </row>
    <row r="665" spans="1:12" x14ac:dyDescent="0.25">
      <c r="A665" s="9">
        <v>45839</v>
      </c>
      <c r="B665" t="s">
        <v>110</v>
      </c>
      <c r="C665" t="s">
        <v>111</v>
      </c>
      <c r="D665" t="s">
        <v>58</v>
      </c>
      <c r="E665" t="s">
        <v>1984</v>
      </c>
      <c r="F665" t="s">
        <v>1942</v>
      </c>
      <c r="G665" s="6">
        <v>572</v>
      </c>
      <c r="H665" s="8">
        <v>54.5</v>
      </c>
      <c r="I665" s="7">
        <v>80.66</v>
      </c>
      <c r="J665" s="7">
        <v>255.46</v>
      </c>
      <c r="K665" s="6">
        <v>320</v>
      </c>
      <c r="L665" s="7">
        <v>656.12</v>
      </c>
    </row>
    <row r="666" spans="1:12" x14ac:dyDescent="0.25">
      <c r="A666" s="9">
        <v>45839</v>
      </c>
      <c r="B666" t="s">
        <v>110</v>
      </c>
      <c r="C666" t="s">
        <v>111</v>
      </c>
      <c r="D666" t="s">
        <v>58</v>
      </c>
      <c r="E666" t="s">
        <v>2019</v>
      </c>
      <c r="F666" t="s">
        <v>1940</v>
      </c>
      <c r="G666" s="6">
        <v>1068</v>
      </c>
      <c r="H666" s="8">
        <v>125.6</v>
      </c>
      <c r="I666" s="7">
        <v>185.89</v>
      </c>
      <c r="J666" s="7">
        <v>117.08</v>
      </c>
      <c r="K666" s="6">
        <v>520</v>
      </c>
      <c r="L666" s="7">
        <v>822.97</v>
      </c>
    </row>
    <row r="667" spans="1:12" x14ac:dyDescent="0.25">
      <c r="A667" s="9">
        <v>45839</v>
      </c>
      <c r="B667" t="s">
        <v>110</v>
      </c>
      <c r="C667" t="s">
        <v>111</v>
      </c>
      <c r="D667" t="s">
        <v>58</v>
      </c>
      <c r="E667" t="s">
        <v>1983</v>
      </c>
      <c r="F667" t="s">
        <v>1942</v>
      </c>
      <c r="G667" s="6">
        <v>1027</v>
      </c>
      <c r="H667" s="8">
        <v>97.8</v>
      </c>
      <c r="I667" s="7">
        <v>144.74</v>
      </c>
      <c r="J667" s="7">
        <v>146.99</v>
      </c>
      <c r="K667" s="6">
        <v>450</v>
      </c>
      <c r="L667" s="7">
        <v>741.73</v>
      </c>
    </row>
    <row r="668" spans="1:12" x14ac:dyDescent="0.25">
      <c r="A668" s="9">
        <v>45839</v>
      </c>
      <c r="B668" t="s">
        <v>110</v>
      </c>
      <c r="C668" t="s">
        <v>111</v>
      </c>
      <c r="D668" t="s">
        <v>58</v>
      </c>
      <c r="E668" t="s">
        <v>1957</v>
      </c>
      <c r="F668" t="s">
        <v>1940</v>
      </c>
      <c r="G668" s="6">
        <v>617</v>
      </c>
      <c r="H668" s="8">
        <v>72.599999999999994</v>
      </c>
      <c r="I668" s="7">
        <v>107.45</v>
      </c>
      <c r="J668" s="7">
        <v>269.60000000000002</v>
      </c>
      <c r="K668" s="6">
        <v>320</v>
      </c>
      <c r="L668" s="7">
        <v>697.05</v>
      </c>
    </row>
    <row r="669" spans="1:12" x14ac:dyDescent="0.25">
      <c r="A669" s="9">
        <v>45839</v>
      </c>
      <c r="B669" t="s">
        <v>85</v>
      </c>
      <c r="C669" t="s">
        <v>86</v>
      </c>
      <c r="D669" t="s">
        <v>58</v>
      </c>
      <c r="E669" t="s">
        <v>2076</v>
      </c>
      <c r="F669" t="s">
        <v>1942</v>
      </c>
      <c r="G669" s="6">
        <v>1060</v>
      </c>
      <c r="H669" s="8">
        <v>101</v>
      </c>
      <c r="I669" s="7">
        <v>149.47999999999999</v>
      </c>
      <c r="J669" s="7">
        <v>185.44</v>
      </c>
      <c r="K669" s="6">
        <v>380</v>
      </c>
      <c r="L669" s="7">
        <v>714.92</v>
      </c>
    </row>
    <row r="670" spans="1:12" x14ac:dyDescent="0.25">
      <c r="A670" s="9">
        <v>45839</v>
      </c>
      <c r="B670" t="s">
        <v>85</v>
      </c>
      <c r="C670" t="s">
        <v>86</v>
      </c>
      <c r="D670" t="s">
        <v>58</v>
      </c>
      <c r="E670" t="s">
        <v>2010</v>
      </c>
      <c r="F670" t="s">
        <v>1948</v>
      </c>
      <c r="G670" s="6">
        <v>1287</v>
      </c>
      <c r="H670" s="8">
        <v>151.4</v>
      </c>
      <c r="I670" s="7">
        <v>224.07</v>
      </c>
      <c r="J670" s="7">
        <v>168.31</v>
      </c>
      <c r="K670" s="6">
        <v>320</v>
      </c>
      <c r="L670" s="7">
        <v>712.38</v>
      </c>
    </row>
    <row r="671" spans="1:12" x14ac:dyDescent="0.25">
      <c r="A671" s="9">
        <v>45839</v>
      </c>
      <c r="B671" t="s">
        <v>85</v>
      </c>
      <c r="C671" t="s">
        <v>86</v>
      </c>
      <c r="D671" t="s">
        <v>58</v>
      </c>
      <c r="E671" t="s">
        <v>2013</v>
      </c>
      <c r="F671" t="s">
        <v>1946</v>
      </c>
      <c r="G671" s="6">
        <v>1168</v>
      </c>
      <c r="H671" s="8">
        <v>111.2</v>
      </c>
      <c r="I671" s="7">
        <v>164.58</v>
      </c>
      <c r="J671" s="7">
        <v>128.59</v>
      </c>
      <c r="K671" s="6">
        <v>450</v>
      </c>
      <c r="L671" s="7">
        <v>743.17</v>
      </c>
    </row>
    <row r="672" spans="1:12" x14ac:dyDescent="0.25">
      <c r="A672" s="9">
        <v>45839</v>
      </c>
      <c r="B672" t="s">
        <v>85</v>
      </c>
      <c r="C672" t="s">
        <v>86</v>
      </c>
      <c r="D672" t="s">
        <v>58</v>
      </c>
      <c r="E672" t="s">
        <v>1970</v>
      </c>
      <c r="F672" t="s">
        <v>1940</v>
      </c>
      <c r="G672" s="6">
        <v>1261</v>
      </c>
      <c r="H672" s="8">
        <v>148.4</v>
      </c>
      <c r="I672" s="7">
        <v>219.63</v>
      </c>
      <c r="J672" s="7">
        <v>0</v>
      </c>
      <c r="K672" s="6">
        <v>450</v>
      </c>
      <c r="L672" s="7">
        <v>669.63</v>
      </c>
    </row>
    <row r="673" spans="1:12" x14ac:dyDescent="0.25">
      <c r="A673" s="9">
        <v>45839</v>
      </c>
      <c r="B673" t="s">
        <v>85</v>
      </c>
      <c r="C673" t="s">
        <v>86</v>
      </c>
      <c r="D673" t="s">
        <v>58</v>
      </c>
      <c r="E673" t="s">
        <v>1947</v>
      </c>
      <c r="F673" t="s">
        <v>1946</v>
      </c>
      <c r="G673" s="6">
        <v>1025</v>
      </c>
      <c r="H673" s="8">
        <v>97.6</v>
      </c>
      <c r="I673" s="7">
        <v>144.44999999999999</v>
      </c>
      <c r="J673" s="7">
        <v>101.77</v>
      </c>
      <c r="K673" s="6">
        <v>380</v>
      </c>
      <c r="L673" s="7">
        <v>626.22</v>
      </c>
    </row>
    <row r="674" spans="1:12" x14ac:dyDescent="0.25">
      <c r="A674" s="9">
        <v>45839</v>
      </c>
      <c r="B674" t="s">
        <v>103</v>
      </c>
      <c r="C674" t="s">
        <v>104</v>
      </c>
      <c r="D674" t="s">
        <v>58</v>
      </c>
      <c r="E674" t="s">
        <v>1951</v>
      </c>
      <c r="F674" t="s">
        <v>1940</v>
      </c>
      <c r="G674" s="6">
        <v>1158</v>
      </c>
      <c r="H674" s="8">
        <v>136.19999999999999</v>
      </c>
      <c r="I674" s="7">
        <v>201.58</v>
      </c>
      <c r="J674" s="7">
        <v>187.6</v>
      </c>
      <c r="K674" s="6">
        <v>380</v>
      </c>
      <c r="L674" s="7">
        <v>769.18</v>
      </c>
    </row>
    <row r="675" spans="1:12" x14ac:dyDescent="0.25">
      <c r="A675" s="9">
        <v>45839</v>
      </c>
      <c r="B675" t="s">
        <v>103</v>
      </c>
      <c r="C675" t="s">
        <v>104</v>
      </c>
      <c r="D675" t="s">
        <v>58</v>
      </c>
      <c r="E675" t="s">
        <v>1995</v>
      </c>
      <c r="F675" t="s">
        <v>1948</v>
      </c>
      <c r="G675" s="6">
        <v>873</v>
      </c>
      <c r="H675" s="8">
        <v>102.7</v>
      </c>
      <c r="I675" s="7">
        <v>152</v>
      </c>
      <c r="J675" s="7">
        <v>193.03</v>
      </c>
      <c r="K675" s="6">
        <v>450</v>
      </c>
      <c r="L675" s="7">
        <v>795.03</v>
      </c>
    </row>
    <row r="676" spans="1:12" x14ac:dyDescent="0.25">
      <c r="A676" s="9">
        <v>45839</v>
      </c>
      <c r="B676" t="s">
        <v>103</v>
      </c>
      <c r="C676" t="s">
        <v>104</v>
      </c>
      <c r="D676" t="s">
        <v>58</v>
      </c>
      <c r="E676" t="s">
        <v>2023</v>
      </c>
      <c r="F676" t="s">
        <v>1948</v>
      </c>
      <c r="G676" s="6">
        <v>1022</v>
      </c>
      <c r="H676" s="8">
        <v>120.2</v>
      </c>
      <c r="I676" s="7">
        <v>177.9</v>
      </c>
      <c r="J676" s="7">
        <v>178.27</v>
      </c>
      <c r="K676" s="6">
        <v>520</v>
      </c>
      <c r="L676" s="7">
        <v>876.17</v>
      </c>
    </row>
    <row r="677" spans="1:12" x14ac:dyDescent="0.25">
      <c r="A677" s="9">
        <v>45839</v>
      </c>
      <c r="B677" t="s">
        <v>103</v>
      </c>
      <c r="C677" t="s">
        <v>104</v>
      </c>
      <c r="D677" t="s">
        <v>58</v>
      </c>
      <c r="E677" t="s">
        <v>1996</v>
      </c>
      <c r="F677" t="s">
        <v>1948</v>
      </c>
      <c r="G677" s="6">
        <v>1260</v>
      </c>
      <c r="H677" s="8">
        <v>148.19999999999999</v>
      </c>
      <c r="I677" s="7">
        <v>219.34</v>
      </c>
      <c r="J677" s="7">
        <v>220.46</v>
      </c>
      <c r="K677" s="6">
        <v>520</v>
      </c>
      <c r="L677" s="7">
        <v>959.8</v>
      </c>
    </row>
    <row r="678" spans="1:12" x14ac:dyDescent="0.25">
      <c r="A678" s="9">
        <v>45839</v>
      </c>
      <c r="B678" t="s">
        <v>103</v>
      </c>
      <c r="C678" t="s">
        <v>104</v>
      </c>
      <c r="D678" t="s">
        <v>58</v>
      </c>
      <c r="E678" t="s">
        <v>1975</v>
      </c>
      <c r="F678" t="s">
        <v>1948</v>
      </c>
      <c r="G678" s="6">
        <v>323</v>
      </c>
      <c r="H678" s="8">
        <v>38</v>
      </c>
      <c r="I678" s="7">
        <v>56.24</v>
      </c>
      <c r="J678" s="7">
        <v>220.01</v>
      </c>
      <c r="K678" s="6">
        <v>450</v>
      </c>
      <c r="L678" s="7">
        <v>726.25</v>
      </c>
    </row>
    <row r="679" spans="1:12" x14ac:dyDescent="0.25">
      <c r="A679" s="9">
        <v>45839</v>
      </c>
      <c r="B679" t="s">
        <v>103</v>
      </c>
      <c r="C679" t="s">
        <v>104</v>
      </c>
      <c r="D679" t="s">
        <v>58</v>
      </c>
      <c r="E679" t="s">
        <v>1945</v>
      </c>
      <c r="F679" t="s">
        <v>1942</v>
      </c>
      <c r="G679" s="6">
        <v>790</v>
      </c>
      <c r="H679" s="8">
        <v>75.2</v>
      </c>
      <c r="I679" s="7">
        <v>111.3</v>
      </c>
      <c r="J679" s="7">
        <v>19.5</v>
      </c>
      <c r="K679" s="6">
        <v>380</v>
      </c>
      <c r="L679" s="7">
        <v>510.8</v>
      </c>
    </row>
    <row r="680" spans="1:12" x14ac:dyDescent="0.25">
      <c r="A680" s="9">
        <v>45870</v>
      </c>
      <c r="B680" t="s">
        <v>100</v>
      </c>
      <c r="C680" t="s">
        <v>101</v>
      </c>
      <c r="D680" t="s">
        <v>69</v>
      </c>
      <c r="E680" t="s">
        <v>2069</v>
      </c>
      <c r="F680" t="s">
        <v>1948</v>
      </c>
      <c r="G680" s="6">
        <v>740</v>
      </c>
      <c r="H680" s="8">
        <v>87.1</v>
      </c>
      <c r="I680" s="7">
        <v>128.91</v>
      </c>
      <c r="J680" s="7">
        <v>258.75</v>
      </c>
      <c r="K680" s="6">
        <v>450</v>
      </c>
      <c r="L680" s="7">
        <v>837.66</v>
      </c>
    </row>
    <row r="681" spans="1:12" x14ac:dyDescent="0.25">
      <c r="A681" s="9">
        <v>45870</v>
      </c>
      <c r="B681" t="s">
        <v>100</v>
      </c>
      <c r="C681" t="s">
        <v>101</v>
      </c>
      <c r="D681" t="s">
        <v>69</v>
      </c>
      <c r="E681" t="s">
        <v>2031</v>
      </c>
      <c r="F681" t="s">
        <v>1948</v>
      </c>
      <c r="G681" s="6">
        <v>1382</v>
      </c>
      <c r="H681" s="8">
        <v>162.6</v>
      </c>
      <c r="I681" s="7">
        <v>240.65</v>
      </c>
      <c r="J681" s="7">
        <v>275.05</v>
      </c>
      <c r="K681" s="6">
        <v>450</v>
      </c>
      <c r="L681" s="7">
        <v>965.7</v>
      </c>
    </row>
    <row r="682" spans="1:12" x14ac:dyDescent="0.25">
      <c r="A682" s="9">
        <v>45870</v>
      </c>
      <c r="B682" t="s">
        <v>100</v>
      </c>
      <c r="C682" t="s">
        <v>101</v>
      </c>
      <c r="D682" t="s">
        <v>69</v>
      </c>
      <c r="E682" t="s">
        <v>2050</v>
      </c>
      <c r="F682" t="s">
        <v>1946</v>
      </c>
      <c r="G682" s="6">
        <v>898</v>
      </c>
      <c r="H682" s="8">
        <v>85.5</v>
      </c>
      <c r="I682" s="7">
        <v>126.54</v>
      </c>
      <c r="J682" s="7">
        <v>186.47</v>
      </c>
      <c r="K682" s="6">
        <v>450</v>
      </c>
      <c r="L682" s="7">
        <v>763.01</v>
      </c>
    </row>
    <row r="683" spans="1:12" x14ac:dyDescent="0.25">
      <c r="A683" s="9">
        <v>45870</v>
      </c>
      <c r="B683" t="s">
        <v>100</v>
      </c>
      <c r="C683" t="s">
        <v>101</v>
      </c>
      <c r="D683" t="s">
        <v>69</v>
      </c>
      <c r="E683" t="s">
        <v>1962</v>
      </c>
      <c r="F683" t="s">
        <v>1940</v>
      </c>
      <c r="G683" s="6">
        <v>935</v>
      </c>
      <c r="H683" s="8">
        <v>110</v>
      </c>
      <c r="I683" s="7">
        <v>162.80000000000001</v>
      </c>
      <c r="J683" s="7">
        <v>94.43</v>
      </c>
      <c r="K683" s="6">
        <v>520</v>
      </c>
      <c r="L683" s="7">
        <v>777.23</v>
      </c>
    </row>
    <row r="684" spans="1:12" x14ac:dyDescent="0.25">
      <c r="A684" s="9">
        <v>45870</v>
      </c>
      <c r="B684" t="s">
        <v>113</v>
      </c>
      <c r="C684" t="s">
        <v>114</v>
      </c>
      <c r="D684" t="s">
        <v>69</v>
      </c>
      <c r="E684" t="s">
        <v>2082</v>
      </c>
      <c r="F684" t="s">
        <v>1948</v>
      </c>
      <c r="G684" s="6">
        <v>761</v>
      </c>
      <c r="H684" s="8">
        <v>89.5</v>
      </c>
      <c r="I684" s="7">
        <v>132.46</v>
      </c>
      <c r="J684" s="7">
        <v>109.85</v>
      </c>
      <c r="K684" s="6">
        <v>380</v>
      </c>
      <c r="L684" s="7">
        <v>622.30999999999995</v>
      </c>
    </row>
    <row r="685" spans="1:12" x14ac:dyDescent="0.25">
      <c r="A685" s="9">
        <v>45870</v>
      </c>
      <c r="B685" t="s">
        <v>113</v>
      </c>
      <c r="C685" t="s">
        <v>114</v>
      </c>
      <c r="D685" t="s">
        <v>69</v>
      </c>
      <c r="E685" t="s">
        <v>2051</v>
      </c>
      <c r="F685" t="s">
        <v>1942</v>
      </c>
      <c r="G685" s="6">
        <v>952</v>
      </c>
      <c r="H685" s="8">
        <v>90.7</v>
      </c>
      <c r="I685" s="7">
        <v>134.24</v>
      </c>
      <c r="J685" s="7">
        <v>162.63999999999999</v>
      </c>
      <c r="K685" s="6">
        <v>380</v>
      </c>
      <c r="L685" s="7">
        <v>676.88</v>
      </c>
    </row>
    <row r="686" spans="1:12" x14ac:dyDescent="0.25">
      <c r="A686" s="9">
        <v>45870</v>
      </c>
      <c r="B686" t="s">
        <v>113</v>
      </c>
      <c r="C686" t="s">
        <v>114</v>
      </c>
      <c r="D686" t="s">
        <v>69</v>
      </c>
      <c r="E686" t="s">
        <v>1977</v>
      </c>
      <c r="F686" t="s">
        <v>1948</v>
      </c>
      <c r="G686" s="6">
        <v>1025</v>
      </c>
      <c r="H686" s="8">
        <v>120.6</v>
      </c>
      <c r="I686" s="7">
        <v>178.49</v>
      </c>
      <c r="J686" s="7">
        <v>216.72</v>
      </c>
      <c r="K686" s="6">
        <v>380</v>
      </c>
      <c r="L686" s="7">
        <v>775.21</v>
      </c>
    </row>
    <row r="687" spans="1:12" x14ac:dyDescent="0.25">
      <c r="A687" s="9">
        <v>45870</v>
      </c>
      <c r="B687" t="s">
        <v>113</v>
      </c>
      <c r="C687" t="s">
        <v>114</v>
      </c>
      <c r="D687" t="s">
        <v>69</v>
      </c>
      <c r="E687" t="s">
        <v>2034</v>
      </c>
      <c r="F687" t="s">
        <v>1942</v>
      </c>
      <c r="G687" s="6">
        <v>813</v>
      </c>
      <c r="H687" s="8">
        <v>77.400000000000006</v>
      </c>
      <c r="I687" s="7">
        <v>114.55</v>
      </c>
      <c r="J687" s="7">
        <v>198.66</v>
      </c>
      <c r="K687" s="6">
        <v>450</v>
      </c>
      <c r="L687" s="7">
        <v>763.21</v>
      </c>
    </row>
    <row r="688" spans="1:12" x14ac:dyDescent="0.25">
      <c r="A688" s="9">
        <v>45870</v>
      </c>
      <c r="B688" t="s">
        <v>113</v>
      </c>
      <c r="C688" t="s">
        <v>114</v>
      </c>
      <c r="D688" t="s">
        <v>69</v>
      </c>
      <c r="E688" t="s">
        <v>1969</v>
      </c>
      <c r="F688" t="s">
        <v>1948</v>
      </c>
      <c r="G688" s="6">
        <v>720</v>
      </c>
      <c r="H688" s="8">
        <v>84.7</v>
      </c>
      <c r="I688" s="7">
        <v>125.36</v>
      </c>
      <c r="J688" s="7">
        <v>312.08</v>
      </c>
      <c r="K688" s="6">
        <v>520</v>
      </c>
      <c r="L688" s="7">
        <v>957.44</v>
      </c>
    </row>
    <row r="689" spans="1:12" x14ac:dyDescent="0.25">
      <c r="A689" s="9">
        <v>45870</v>
      </c>
      <c r="B689" t="s">
        <v>143</v>
      </c>
      <c r="C689" t="s">
        <v>144</v>
      </c>
      <c r="D689" t="s">
        <v>69</v>
      </c>
      <c r="E689" t="s">
        <v>1982</v>
      </c>
      <c r="F689" t="s">
        <v>1948</v>
      </c>
      <c r="G689" s="6">
        <v>799</v>
      </c>
      <c r="H689" s="8">
        <v>94</v>
      </c>
      <c r="I689" s="7">
        <v>139.12</v>
      </c>
      <c r="J689" s="7">
        <v>189.81</v>
      </c>
      <c r="K689" s="6">
        <v>520</v>
      </c>
      <c r="L689" s="7">
        <v>848.93</v>
      </c>
    </row>
    <row r="690" spans="1:12" x14ac:dyDescent="0.25">
      <c r="A690" s="9">
        <v>45870</v>
      </c>
      <c r="B690" t="s">
        <v>143</v>
      </c>
      <c r="C690" t="s">
        <v>144</v>
      </c>
      <c r="D690" t="s">
        <v>69</v>
      </c>
      <c r="E690" t="s">
        <v>2030</v>
      </c>
      <c r="F690" t="s">
        <v>1940</v>
      </c>
      <c r="G690" s="6">
        <v>683</v>
      </c>
      <c r="H690" s="8">
        <v>80.400000000000006</v>
      </c>
      <c r="I690" s="7">
        <v>118.99</v>
      </c>
      <c r="J690" s="7">
        <v>109.89</v>
      </c>
      <c r="K690" s="6">
        <v>380</v>
      </c>
      <c r="L690" s="7">
        <v>608.88</v>
      </c>
    </row>
    <row r="691" spans="1:12" x14ac:dyDescent="0.25">
      <c r="A691" s="9">
        <v>45870</v>
      </c>
      <c r="B691" t="s">
        <v>143</v>
      </c>
      <c r="C691" t="s">
        <v>144</v>
      </c>
      <c r="D691" t="s">
        <v>69</v>
      </c>
      <c r="E691" t="s">
        <v>2082</v>
      </c>
      <c r="F691" t="s">
        <v>1940</v>
      </c>
      <c r="G691" s="6">
        <v>1293</v>
      </c>
      <c r="H691" s="8">
        <v>152.1</v>
      </c>
      <c r="I691" s="7">
        <v>225.11</v>
      </c>
      <c r="J691" s="7">
        <v>191.25</v>
      </c>
      <c r="K691" s="6">
        <v>380</v>
      </c>
      <c r="L691" s="7">
        <v>796.36</v>
      </c>
    </row>
    <row r="692" spans="1:12" x14ac:dyDescent="0.25">
      <c r="A692" s="9">
        <v>45870</v>
      </c>
      <c r="B692" t="s">
        <v>143</v>
      </c>
      <c r="C692" t="s">
        <v>144</v>
      </c>
      <c r="D692" t="s">
        <v>69</v>
      </c>
      <c r="E692" t="s">
        <v>2008</v>
      </c>
      <c r="F692" t="s">
        <v>1940</v>
      </c>
      <c r="G692" s="6">
        <v>1294</v>
      </c>
      <c r="H692" s="8">
        <v>152.19999999999999</v>
      </c>
      <c r="I692" s="7">
        <v>225.26</v>
      </c>
      <c r="J692" s="7">
        <v>191.77</v>
      </c>
      <c r="K692" s="6">
        <v>520</v>
      </c>
      <c r="L692" s="7">
        <v>937.03</v>
      </c>
    </row>
    <row r="693" spans="1:12" x14ac:dyDescent="0.25">
      <c r="A693" s="9">
        <v>45870</v>
      </c>
      <c r="B693" t="s">
        <v>143</v>
      </c>
      <c r="C693" t="s">
        <v>144</v>
      </c>
      <c r="D693" t="s">
        <v>69</v>
      </c>
      <c r="E693" t="s">
        <v>2018</v>
      </c>
      <c r="F693" t="s">
        <v>1942</v>
      </c>
      <c r="G693" s="6">
        <v>774</v>
      </c>
      <c r="H693" s="8">
        <v>73.7</v>
      </c>
      <c r="I693" s="7">
        <v>109.08</v>
      </c>
      <c r="J693" s="7">
        <v>123.54</v>
      </c>
      <c r="K693" s="6">
        <v>320</v>
      </c>
      <c r="L693" s="7">
        <v>552.62</v>
      </c>
    </row>
    <row r="694" spans="1:12" x14ac:dyDescent="0.25">
      <c r="A694" s="9">
        <v>45870</v>
      </c>
      <c r="B694" t="s">
        <v>143</v>
      </c>
      <c r="C694" t="s">
        <v>144</v>
      </c>
      <c r="D694" t="s">
        <v>69</v>
      </c>
      <c r="E694" t="s">
        <v>2069</v>
      </c>
      <c r="F694" t="s">
        <v>1948</v>
      </c>
      <c r="G694" s="6">
        <v>854</v>
      </c>
      <c r="H694" s="8">
        <v>100.5</v>
      </c>
      <c r="I694" s="7">
        <v>148.74</v>
      </c>
      <c r="J694" s="7">
        <v>356.45</v>
      </c>
      <c r="K694" s="6">
        <v>380</v>
      </c>
      <c r="L694" s="7">
        <v>885.19</v>
      </c>
    </row>
    <row r="695" spans="1:12" x14ac:dyDescent="0.25">
      <c r="A695" s="9">
        <v>45870</v>
      </c>
      <c r="B695" t="s">
        <v>73</v>
      </c>
      <c r="C695" t="s">
        <v>74</v>
      </c>
      <c r="D695" t="s">
        <v>69</v>
      </c>
      <c r="E695" t="s">
        <v>2017</v>
      </c>
      <c r="F695" t="s">
        <v>1946</v>
      </c>
      <c r="G695" s="6">
        <v>750</v>
      </c>
      <c r="H695" s="8">
        <v>71.400000000000006</v>
      </c>
      <c r="I695" s="7">
        <v>105.67</v>
      </c>
      <c r="J695" s="7">
        <v>221.5</v>
      </c>
      <c r="K695" s="6">
        <v>450</v>
      </c>
      <c r="L695" s="7">
        <v>777.17</v>
      </c>
    </row>
    <row r="696" spans="1:12" x14ac:dyDescent="0.25">
      <c r="A696" s="9">
        <v>45870</v>
      </c>
      <c r="B696" t="s">
        <v>73</v>
      </c>
      <c r="C696" t="s">
        <v>74</v>
      </c>
      <c r="D696" t="s">
        <v>69</v>
      </c>
      <c r="E696" t="s">
        <v>2074</v>
      </c>
      <c r="F696" t="s">
        <v>1940</v>
      </c>
      <c r="G696" s="6">
        <v>1273</v>
      </c>
      <c r="H696" s="8">
        <v>149.80000000000001</v>
      </c>
      <c r="I696" s="7">
        <v>221.7</v>
      </c>
      <c r="J696" s="7">
        <v>296.37</v>
      </c>
      <c r="K696" s="6">
        <v>520</v>
      </c>
      <c r="L696" s="7">
        <v>1038.07</v>
      </c>
    </row>
    <row r="697" spans="1:12" x14ac:dyDescent="0.25">
      <c r="A697" s="9">
        <v>45870</v>
      </c>
      <c r="B697" t="s">
        <v>73</v>
      </c>
      <c r="C697" t="s">
        <v>74</v>
      </c>
      <c r="D697" t="s">
        <v>69</v>
      </c>
      <c r="E697" t="s">
        <v>2072</v>
      </c>
      <c r="F697" t="s">
        <v>1942</v>
      </c>
      <c r="G697" s="6">
        <v>947</v>
      </c>
      <c r="H697" s="8">
        <v>90.2</v>
      </c>
      <c r="I697" s="7">
        <v>133.5</v>
      </c>
      <c r="J697" s="7">
        <v>206.99</v>
      </c>
      <c r="K697" s="6">
        <v>380</v>
      </c>
      <c r="L697" s="7">
        <v>720.49</v>
      </c>
    </row>
    <row r="698" spans="1:12" x14ac:dyDescent="0.25">
      <c r="A698" s="9">
        <v>45870</v>
      </c>
      <c r="B698" t="s">
        <v>73</v>
      </c>
      <c r="C698" t="s">
        <v>74</v>
      </c>
      <c r="D698" t="s">
        <v>69</v>
      </c>
      <c r="E698" t="s">
        <v>1966</v>
      </c>
      <c r="F698" t="s">
        <v>1946</v>
      </c>
      <c r="G698" s="6">
        <v>1620</v>
      </c>
      <c r="H698" s="8">
        <v>154.30000000000001</v>
      </c>
      <c r="I698" s="7">
        <v>228.36</v>
      </c>
      <c r="J698" s="7">
        <v>100.59</v>
      </c>
      <c r="K698" s="6">
        <v>450</v>
      </c>
      <c r="L698" s="7">
        <v>778.95</v>
      </c>
    </row>
    <row r="699" spans="1:12" x14ac:dyDescent="0.25">
      <c r="A699" s="9">
        <v>45870</v>
      </c>
      <c r="B699" t="s">
        <v>73</v>
      </c>
      <c r="C699" t="s">
        <v>74</v>
      </c>
      <c r="D699" t="s">
        <v>69</v>
      </c>
      <c r="E699" t="s">
        <v>1958</v>
      </c>
      <c r="F699" t="s">
        <v>1942</v>
      </c>
      <c r="G699" s="6">
        <v>666</v>
      </c>
      <c r="H699" s="8">
        <v>63.4</v>
      </c>
      <c r="I699" s="7">
        <v>93.83</v>
      </c>
      <c r="J699" s="7">
        <v>0</v>
      </c>
      <c r="K699" s="6">
        <v>520</v>
      </c>
      <c r="L699" s="7">
        <v>613.83000000000004</v>
      </c>
    </row>
    <row r="700" spans="1:12" x14ac:dyDescent="0.25">
      <c r="A700" s="9">
        <v>45870</v>
      </c>
      <c r="B700" t="s">
        <v>67</v>
      </c>
      <c r="C700" t="s">
        <v>68</v>
      </c>
      <c r="D700" t="s">
        <v>69</v>
      </c>
      <c r="E700" t="s">
        <v>1996</v>
      </c>
      <c r="F700" t="s">
        <v>1948</v>
      </c>
      <c r="G700" s="6">
        <v>1228</v>
      </c>
      <c r="H700" s="8">
        <v>144.5</v>
      </c>
      <c r="I700" s="7">
        <v>213.86</v>
      </c>
      <c r="J700" s="7">
        <v>99.35</v>
      </c>
      <c r="K700" s="6">
        <v>320</v>
      </c>
      <c r="L700" s="7">
        <v>633.21</v>
      </c>
    </row>
    <row r="701" spans="1:12" x14ac:dyDescent="0.25">
      <c r="A701" s="9">
        <v>45870</v>
      </c>
      <c r="B701" t="s">
        <v>67</v>
      </c>
      <c r="C701" t="s">
        <v>68</v>
      </c>
      <c r="D701" t="s">
        <v>69</v>
      </c>
      <c r="E701" t="s">
        <v>2064</v>
      </c>
      <c r="F701" t="s">
        <v>1942</v>
      </c>
      <c r="G701" s="6">
        <v>956</v>
      </c>
      <c r="H701" s="8">
        <v>91</v>
      </c>
      <c r="I701" s="7">
        <v>134.68</v>
      </c>
      <c r="J701" s="7">
        <v>184.99</v>
      </c>
      <c r="K701" s="6">
        <v>520</v>
      </c>
      <c r="L701" s="7">
        <v>839.67</v>
      </c>
    </row>
    <row r="702" spans="1:12" x14ac:dyDescent="0.25">
      <c r="A702" s="9">
        <v>45870</v>
      </c>
      <c r="B702" t="s">
        <v>67</v>
      </c>
      <c r="C702" t="s">
        <v>68</v>
      </c>
      <c r="D702" t="s">
        <v>69</v>
      </c>
      <c r="E702" t="s">
        <v>2019</v>
      </c>
      <c r="F702" t="s">
        <v>1946</v>
      </c>
      <c r="G702" s="6">
        <v>1096</v>
      </c>
      <c r="H702" s="8">
        <v>104.4</v>
      </c>
      <c r="I702" s="7">
        <v>154.51</v>
      </c>
      <c r="J702" s="7">
        <v>184.04</v>
      </c>
      <c r="K702" s="6">
        <v>380</v>
      </c>
      <c r="L702" s="7">
        <v>718.55</v>
      </c>
    </row>
    <row r="703" spans="1:12" x14ac:dyDescent="0.25">
      <c r="A703" s="9">
        <v>45870</v>
      </c>
      <c r="B703" t="s">
        <v>32</v>
      </c>
      <c r="C703" t="s">
        <v>33</v>
      </c>
      <c r="D703" t="s">
        <v>34</v>
      </c>
      <c r="E703" t="s">
        <v>2036</v>
      </c>
      <c r="F703" t="s">
        <v>1942</v>
      </c>
      <c r="G703" s="6">
        <v>1105</v>
      </c>
      <c r="H703" s="8">
        <v>105.2</v>
      </c>
      <c r="I703" s="7">
        <v>155.69999999999999</v>
      </c>
      <c r="J703" s="7">
        <v>252.31</v>
      </c>
      <c r="K703" s="6">
        <v>450</v>
      </c>
      <c r="L703" s="7">
        <v>858.01</v>
      </c>
    </row>
    <row r="704" spans="1:12" x14ac:dyDescent="0.25">
      <c r="A704" s="9">
        <v>45870</v>
      </c>
      <c r="B704" t="s">
        <v>32</v>
      </c>
      <c r="C704" t="s">
        <v>33</v>
      </c>
      <c r="D704" t="s">
        <v>34</v>
      </c>
      <c r="E704" t="s">
        <v>1944</v>
      </c>
      <c r="F704" t="s">
        <v>1948</v>
      </c>
      <c r="G704" s="6">
        <v>811</v>
      </c>
      <c r="H704" s="8">
        <v>95.4</v>
      </c>
      <c r="I704" s="7">
        <v>141.19</v>
      </c>
      <c r="J704" s="7">
        <v>195.84</v>
      </c>
      <c r="K704" s="6">
        <v>320</v>
      </c>
      <c r="L704" s="7">
        <v>657.03</v>
      </c>
    </row>
    <row r="705" spans="1:12" x14ac:dyDescent="0.25">
      <c r="A705" s="9">
        <v>45870</v>
      </c>
      <c r="B705" t="s">
        <v>32</v>
      </c>
      <c r="C705" t="s">
        <v>33</v>
      </c>
      <c r="D705" t="s">
        <v>34</v>
      </c>
      <c r="E705" t="s">
        <v>2057</v>
      </c>
      <c r="F705" t="s">
        <v>1946</v>
      </c>
      <c r="G705" s="6">
        <v>856</v>
      </c>
      <c r="H705" s="8">
        <v>81.5</v>
      </c>
      <c r="I705" s="7">
        <v>120.62</v>
      </c>
      <c r="J705" s="7">
        <v>216.42</v>
      </c>
      <c r="K705" s="6">
        <v>320</v>
      </c>
      <c r="L705" s="7">
        <v>657.04</v>
      </c>
    </row>
    <row r="706" spans="1:12" x14ac:dyDescent="0.25">
      <c r="A706" s="9">
        <v>45870</v>
      </c>
      <c r="B706" t="s">
        <v>32</v>
      </c>
      <c r="C706" t="s">
        <v>33</v>
      </c>
      <c r="D706" t="s">
        <v>34</v>
      </c>
      <c r="E706" t="s">
        <v>1990</v>
      </c>
      <c r="F706" t="s">
        <v>1946</v>
      </c>
      <c r="G706" s="6">
        <v>1275</v>
      </c>
      <c r="H706" s="8">
        <v>121.4</v>
      </c>
      <c r="I706" s="7">
        <v>179.67</v>
      </c>
      <c r="J706" s="7">
        <v>186.1</v>
      </c>
      <c r="K706" s="6">
        <v>450</v>
      </c>
      <c r="L706" s="7">
        <v>815.77</v>
      </c>
    </row>
    <row r="707" spans="1:12" x14ac:dyDescent="0.25">
      <c r="A707" s="9">
        <v>45870</v>
      </c>
      <c r="B707" t="s">
        <v>32</v>
      </c>
      <c r="C707" t="s">
        <v>33</v>
      </c>
      <c r="D707" t="s">
        <v>34</v>
      </c>
      <c r="E707" t="s">
        <v>1956</v>
      </c>
      <c r="F707" t="s">
        <v>1942</v>
      </c>
      <c r="G707" s="6">
        <v>1345</v>
      </c>
      <c r="H707" s="8">
        <v>128.1</v>
      </c>
      <c r="I707" s="7">
        <v>189.59</v>
      </c>
      <c r="J707" s="7">
        <v>55.76</v>
      </c>
      <c r="K707" s="6">
        <v>380</v>
      </c>
      <c r="L707" s="7">
        <v>625.35</v>
      </c>
    </row>
    <row r="708" spans="1:12" x14ac:dyDescent="0.25">
      <c r="A708" s="9">
        <v>45870</v>
      </c>
      <c r="B708" t="s">
        <v>94</v>
      </c>
      <c r="C708" t="s">
        <v>95</v>
      </c>
      <c r="D708" t="s">
        <v>34</v>
      </c>
      <c r="E708" t="s">
        <v>1944</v>
      </c>
      <c r="F708" t="s">
        <v>1942</v>
      </c>
      <c r="G708" s="6">
        <v>1466</v>
      </c>
      <c r="H708" s="8">
        <v>139.6</v>
      </c>
      <c r="I708" s="7">
        <v>206.61</v>
      </c>
      <c r="J708" s="7">
        <v>271.86</v>
      </c>
      <c r="K708" s="6">
        <v>450</v>
      </c>
      <c r="L708" s="7">
        <v>928.47</v>
      </c>
    </row>
    <row r="709" spans="1:12" x14ac:dyDescent="0.25">
      <c r="A709" s="9">
        <v>45870</v>
      </c>
      <c r="B709" t="s">
        <v>94</v>
      </c>
      <c r="C709" t="s">
        <v>95</v>
      </c>
      <c r="D709" t="s">
        <v>34</v>
      </c>
      <c r="E709" t="s">
        <v>2001</v>
      </c>
      <c r="F709" t="s">
        <v>1942</v>
      </c>
      <c r="G709" s="6">
        <v>1233</v>
      </c>
      <c r="H709" s="8">
        <v>117.4</v>
      </c>
      <c r="I709" s="7">
        <v>173.75</v>
      </c>
      <c r="J709" s="7">
        <v>292.54000000000002</v>
      </c>
      <c r="K709" s="6">
        <v>380</v>
      </c>
      <c r="L709" s="7">
        <v>846.29</v>
      </c>
    </row>
    <row r="710" spans="1:12" x14ac:dyDescent="0.25">
      <c r="A710" s="9">
        <v>45870</v>
      </c>
      <c r="B710" t="s">
        <v>94</v>
      </c>
      <c r="C710" t="s">
        <v>95</v>
      </c>
      <c r="D710" t="s">
        <v>34</v>
      </c>
      <c r="E710" t="s">
        <v>1984</v>
      </c>
      <c r="F710" t="s">
        <v>1940</v>
      </c>
      <c r="G710" s="6">
        <v>635</v>
      </c>
      <c r="H710" s="8">
        <v>74.7</v>
      </c>
      <c r="I710" s="7">
        <v>110.56</v>
      </c>
      <c r="J710" s="7">
        <v>108.04</v>
      </c>
      <c r="K710" s="6">
        <v>320</v>
      </c>
      <c r="L710" s="7">
        <v>538.6</v>
      </c>
    </row>
    <row r="711" spans="1:12" x14ac:dyDescent="0.25">
      <c r="A711" s="9">
        <v>45870</v>
      </c>
      <c r="B711" t="s">
        <v>94</v>
      </c>
      <c r="C711" t="s">
        <v>95</v>
      </c>
      <c r="D711" t="s">
        <v>34</v>
      </c>
      <c r="E711" t="s">
        <v>1953</v>
      </c>
      <c r="F711" t="s">
        <v>1940</v>
      </c>
      <c r="G711" s="6">
        <v>866</v>
      </c>
      <c r="H711" s="8">
        <v>101.9</v>
      </c>
      <c r="I711" s="7">
        <v>150.81</v>
      </c>
      <c r="J711" s="7">
        <v>207.72</v>
      </c>
      <c r="K711" s="6">
        <v>320</v>
      </c>
      <c r="L711" s="7">
        <v>678.53</v>
      </c>
    </row>
    <row r="712" spans="1:12" x14ac:dyDescent="0.25">
      <c r="A712" s="9">
        <v>45870</v>
      </c>
      <c r="B712" t="s">
        <v>41</v>
      </c>
      <c r="C712" t="s">
        <v>42</v>
      </c>
      <c r="D712" t="s">
        <v>34</v>
      </c>
      <c r="E712" t="s">
        <v>2049</v>
      </c>
      <c r="F712" t="s">
        <v>1942</v>
      </c>
      <c r="G712" s="6">
        <v>787</v>
      </c>
      <c r="H712" s="8">
        <v>75</v>
      </c>
      <c r="I712" s="7">
        <v>111</v>
      </c>
      <c r="J712" s="7">
        <v>210.6</v>
      </c>
      <c r="K712" s="6">
        <v>520</v>
      </c>
      <c r="L712" s="7">
        <v>841.6</v>
      </c>
    </row>
    <row r="713" spans="1:12" x14ac:dyDescent="0.25">
      <c r="A713" s="9">
        <v>45870</v>
      </c>
      <c r="B713" t="s">
        <v>41</v>
      </c>
      <c r="C713" t="s">
        <v>42</v>
      </c>
      <c r="D713" t="s">
        <v>34</v>
      </c>
      <c r="E713" t="s">
        <v>1953</v>
      </c>
      <c r="F713" t="s">
        <v>1942</v>
      </c>
      <c r="G713" s="6">
        <v>1392</v>
      </c>
      <c r="H713" s="8">
        <v>132.6</v>
      </c>
      <c r="I713" s="7">
        <v>196.25</v>
      </c>
      <c r="J713" s="7">
        <v>205.62</v>
      </c>
      <c r="K713" s="6">
        <v>520</v>
      </c>
      <c r="L713" s="7">
        <v>921.87</v>
      </c>
    </row>
    <row r="714" spans="1:12" x14ac:dyDescent="0.25">
      <c r="A714" s="9">
        <v>45870</v>
      </c>
      <c r="B714" t="s">
        <v>41</v>
      </c>
      <c r="C714" t="s">
        <v>42</v>
      </c>
      <c r="D714" t="s">
        <v>34</v>
      </c>
      <c r="E714" t="s">
        <v>2061</v>
      </c>
      <c r="F714" t="s">
        <v>1946</v>
      </c>
      <c r="G714" s="6">
        <v>1120</v>
      </c>
      <c r="H714" s="8">
        <v>106.7</v>
      </c>
      <c r="I714" s="7">
        <v>157.91999999999999</v>
      </c>
      <c r="J714" s="7">
        <v>70.97</v>
      </c>
      <c r="K714" s="6">
        <v>520</v>
      </c>
      <c r="L714" s="7">
        <v>748.89</v>
      </c>
    </row>
    <row r="715" spans="1:12" x14ac:dyDescent="0.25">
      <c r="A715" s="9">
        <v>45870</v>
      </c>
      <c r="B715" t="s">
        <v>41</v>
      </c>
      <c r="C715" t="s">
        <v>42</v>
      </c>
      <c r="D715" t="s">
        <v>34</v>
      </c>
      <c r="E715" t="s">
        <v>1976</v>
      </c>
      <c r="F715" t="s">
        <v>1942</v>
      </c>
      <c r="G715" s="6">
        <v>838</v>
      </c>
      <c r="H715" s="8">
        <v>79.8</v>
      </c>
      <c r="I715" s="7">
        <v>118.1</v>
      </c>
      <c r="J715" s="7">
        <v>249.97</v>
      </c>
      <c r="K715" s="6">
        <v>450</v>
      </c>
      <c r="L715" s="7">
        <v>818.07</v>
      </c>
    </row>
    <row r="716" spans="1:12" x14ac:dyDescent="0.25">
      <c r="A716" s="9">
        <v>45870</v>
      </c>
      <c r="B716" t="s">
        <v>41</v>
      </c>
      <c r="C716" t="s">
        <v>42</v>
      </c>
      <c r="D716" t="s">
        <v>34</v>
      </c>
      <c r="E716" t="s">
        <v>2004</v>
      </c>
      <c r="F716" t="s">
        <v>1940</v>
      </c>
      <c r="G716" s="6">
        <v>1244</v>
      </c>
      <c r="H716" s="8">
        <v>146.4</v>
      </c>
      <c r="I716" s="7">
        <v>216.67</v>
      </c>
      <c r="J716" s="7">
        <v>146.88</v>
      </c>
      <c r="K716" s="6">
        <v>450</v>
      </c>
      <c r="L716" s="7">
        <v>813.55</v>
      </c>
    </row>
    <row r="717" spans="1:12" x14ac:dyDescent="0.25">
      <c r="A717" s="9">
        <v>45870</v>
      </c>
      <c r="B717" t="s">
        <v>41</v>
      </c>
      <c r="C717" t="s">
        <v>42</v>
      </c>
      <c r="D717" t="s">
        <v>34</v>
      </c>
      <c r="E717" t="s">
        <v>1939</v>
      </c>
      <c r="F717" t="s">
        <v>1940</v>
      </c>
      <c r="G717" s="6">
        <v>945</v>
      </c>
      <c r="H717" s="8">
        <v>111.2</v>
      </c>
      <c r="I717" s="7">
        <v>164.58</v>
      </c>
      <c r="J717" s="7">
        <v>0</v>
      </c>
      <c r="K717" s="6">
        <v>380</v>
      </c>
      <c r="L717" s="7">
        <v>544.58000000000004</v>
      </c>
    </row>
    <row r="718" spans="1:12" x14ac:dyDescent="0.25">
      <c r="A718" s="9">
        <v>45870</v>
      </c>
      <c r="B718" t="s">
        <v>47</v>
      </c>
      <c r="C718" t="s">
        <v>48</v>
      </c>
      <c r="D718" t="s">
        <v>34</v>
      </c>
      <c r="E718" t="s">
        <v>2064</v>
      </c>
      <c r="F718" t="s">
        <v>1948</v>
      </c>
      <c r="G718" s="6">
        <v>782</v>
      </c>
      <c r="H718" s="8">
        <v>92</v>
      </c>
      <c r="I718" s="7">
        <v>136.16</v>
      </c>
      <c r="J718" s="7">
        <v>402.91</v>
      </c>
      <c r="K718" s="6">
        <v>380</v>
      </c>
      <c r="L718" s="7">
        <v>919.07</v>
      </c>
    </row>
    <row r="719" spans="1:12" x14ac:dyDescent="0.25">
      <c r="A719" s="9">
        <v>45870</v>
      </c>
      <c r="B719" t="s">
        <v>47</v>
      </c>
      <c r="C719" t="s">
        <v>48</v>
      </c>
      <c r="D719" t="s">
        <v>34</v>
      </c>
      <c r="E719" t="s">
        <v>2003</v>
      </c>
      <c r="F719" t="s">
        <v>1948</v>
      </c>
      <c r="G719" s="6">
        <v>729</v>
      </c>
      <c r="H719" s="8">
        <v>85.8</v>
      </c>
      <c r="I719" s="7">
        <v>126.98</v>
      </c>
      <c r="J719" s="7">
        <v>265.16000000000003</v>
      </c>
      <c r="K719" s="6">
        <v>450</v>
      </c>
      <c r="L719" s="7">
        <v>842.14</v>
      </c>
    </row>
    <row r="720" spans="1:12" x14ac:dyDescent="0.25">
      <c r="A720" s="9">
        <v>45870</v>
      </c>
      <c r="B720" t="s">
        <v>47</v>
      </c>
      <c r="C720" t="s">
        <v>48</v>
      </c>
      <c r="D720" t="s">
        <v>34</v>
      </c>
      <c r="E720" t="s">
        <v>2038</v>
      </c>
      <c r="F720" t="s">
        <v>1948</v>
      </c>
      <c r="G720" s="6">
        <v>1301</v>
      </c>
      <c r="H720" s="8">
        <v>153.1</v>
      </c>
      <c r="I720" s="7">
        <v>226.59</v>
      </c>
      <c r="J720" s="7">
        <v>149.61000000000001</v>
      </c>
      <c r="K720" s="6">
        <v>520</v>
      </c>
      <c r="L720" s="7">
        <v>896.2</v>
      </c>
    </row>
    <row r="721" spans="1:12" x14ac:dyDescent="0.25">
      <c r="A721" s="9">
        <v>45870</v>
      </c>
      <c r="B721" t="s">
        <v>47</v>
      </c>
      <c r="C721" t="s">
        <v>48</v>
      </c>
      <c r="D721" t="s">
        <v>34</v>
      </c>
      <c r="E721" t="s">
        <v>1978</v>
      </c>
      <c r="F721" t="s">
        <v>1942</v>
      </c>
      <c r="G721" s="6">
        <v>1096</v>
      </c>
      <c r="H721" s="8">
        <v>104.4</v>
      </c>
      <c r="I721" s="7">
        <v>154.51</v>
      </c>
      <c r="J721" s="7">
        <v>225.03</v>
      </c>
      <c r="K721" s="6">
        <v>380</v>
      </c>
      <c r="L721" s="7">
        <v>759.54</v>
      </c>
    </row>
    <row r="722" spans="1:12" x14ac:dyDescent="0.25">
      <c r="A722" s="9">
        <v>45870</v>
      </c>
      <c r="B722" t="s">
        <v>47</v>
      </c>
      <c r="C722" t="s">
        <v>48</v>
      </c>
      <c r="D722" t="s">
        <v>34</v>
      </c>
      <c r="E722" t="s">
        <v>1939</v>
      </c>
      <c r="F722" t="s">
        <v>1940</v>
      </c>
      <c r="G722" s="6">
        <v>1053</v>
      </c>
      <c r="H722" s="8">
        <v>123.9</v>
      </c>
      <c r="I722" s="7">
        <v>183.37</v>
      </c>
      <c r="J722" s="7">
        <v>379.47</v>
      </c>
      <c r="K722" s="6">
        <v>320</v>
      </c>
      <c r="L722" s="7">
        <v>882.84</v>
      </c>
    </row>
    <row r="723" spans="1:12" x14ac:dyDescent="0.25">
      <c r="A723" s="9">
        <v>45870</v>
      </c>
      <c r="B723" t="s">
        <v>121</v>
      </c>
      <c r="C723" t="s">
        <v>122</v>
      </c>
      <c r="D723" t="s">
        <v>34</v>
      </c>
      <c r="E723" t="s">
        <v>2010</v>
      </c>
      <c r="F723" t="s">
        <v>1942</v>
      </c>
      <c r="G723" s="6">
        <v>632</v>
      </c>
      <c r="H723" s="8">
        <v>60.2</v>
      </c>
      <c r="I723" s="7">
        <v>89.1</v>
      </c>
      <c r="J723" s="7">
        <v>234.7</v>
      </c>
      <c r="K723" s="6">
        <v>520</v>
      </c>
      <c r="L723" s="7">
        <v>843.8</v>
      </c>
    </row>
    <row r="724" spans="1:12" x14ac:dyDescent="0.25">
      <c r="A724" s="9">
        <v>45870</v>
      </c>
      <c r="B724" t="s">
        <v>121</v>
      </c>
      <c r="C724" t="s">
        <v>122</v>
      </c>
      <c r="D724" t="s">
        <v>34</v>
      </c>
      <c r="E724" t="s">
        <v>2066</v>
      </c>
      <c r="F724" t="s">
        <v>1948</v>
      </c>
      <c r="G724" s="6">
        <v>1006</v>
      </c>
      <c r="H724" s="8">
        <v>118.4</v>
      </c>
      <c r="I724" s="7">
        <v>175.23</v>
      </c>
      <c r="J724" s="7">
        <v>311.75</v>
      </c>
      <c r="K724" s="6">
        <v>320</v>
      </c>
      <c r="L724" s="7">
        <v>806.98</v>
      </c>
    </row>
    <row r="725" spans="1:12" x14ac:dyDescent="0.25">
      <c r="A725" s="9">
        <v>45870</v>
      </c>
      <c r="B725" t="s">
        <v>121</v>
      </c>
      <c r="C725" t="s">
        <v>122</v>
      </c>
      <c r="D725" t="s">
        <v>34</v>
      </c>
      <c r="E725" t="s">
        <v>1991</v>
      </c>
      <c r="F725" t="s">
        <v>1940</v>
      </c>
      <c r="G725" s="6">
        <v>1160</v>
      </c>
      <c r="H725" s="8">
        <v>136.5</v>
      </c>
      <c r="I725" s="7">
        <v>202.02</v>
      </c>
      <c r="J725" s="7">
        <v>91.35</v>
      </c>
      <c r="K725" s="6">
        <v>450</v>
      </c>
      <c r="L725" s="7">
        <v>743.37</v>
      </c>
    </row>
    <row r="726" spans="1:12" x14ac:dyDescent="0.25">
      <c r="A726" s="9">
        <v>45870</v>
      </c>
      <c r="B726" t="s">
        <v>121</v>
      </c>
      <c r="C726" t="s">
        <v>122</v>
      </c>
      <c r="D726" t="s">
        <v>34</v>
      </c>
      <c r="E726" t="s">
        <v>2079</v>
      </c>
      <c r="F726" t="s">
        <v>1946</v>
      </c>
      <c r="G726" s="6">
        <v>1107</v>
      </c>
      <c r="H726" s="8">
        <v>105.4</v>
      </c>
      <c r="I726" s="7">
        <v>155.99</v>
      </c>
      <c r="J726" s="7">
        <v>1.37</v>
      </c>
      <c r="K726" s="6">
        <v>380</v>
      </c>
      <c r="L726" s="7">
        <v>537.36</v>
      </c>
    </row>
    <row r="727" spans="1:12" x14ac:dyDescent="0.25">
      <c r="A727" s="9">
        <v>45870</v>
      </c>
      <c r="B727" t="s">
        <v>121</v>
      </c>
      <c r="C727" t="s">
        <v>122</v>
      </c>
      <c r="D727" t="s">
        <v>34</v>
      </c>
      <c r="E727" t="s">
        <v>1956</v>
      </c>
      <c r="F727" t="s">
        <v>1942</v>
      </c>
      <c r="G727" s="6">
        <v>1200</v>
      </c>
      <c r="H727" s="8">
        <v>114.3</v>
      </c>
      <c r="I727" s="7">
        <v>169.16</v>
      </c>
      <c r="J727" s="7">
        <v>173.85</v>
      </c>
      <c r="K727" s="6">
        <v>380</v>
      </c>
      <c r="L727" s="7">
        <v>723.01</v>
      </c>
    </row>
    <row r="728" spans="1:12" x14ac:dyDescent="0.25">
      <c r="A728" s="9">
        <v>45870</v>
      </c>
      <c r="B728" t="s">
        <v>201</v>
      </c>
      <c r="C728" t="s">
        <v>202</v>
      </c>
      <c r="D728" t="s">
        <v>64</v>
      </c>
      <c r="E728" t="s">
        <v>2060</v>
      </c>
      <c r="F728" t="s">
        <v>1940</v>
      </c>
      <c r="G728" s="6">
        <v>1209</v>
      </c>
      <c r="H728" s="8">
        <v>142.19999999999999</v>
      </c>
      <c r="I728" s="7">
        <v>210.46</v>
      </c>
      <c r="J728" s="7">
        <v>234.65</v>
      </c>
      <c r="K728" s="6">
        <v>320</v>
      </c>
      <c r="L728" s="7">
        <v>765.11</v>
      </c>
    </row>
    <row r="729" spans="1:12" x14ac:dyDescent="0.25">
      <c r="A729" s="9">
        <v>45870</v>
      </c>
      <c r="B729" t="s">
        <v>201</v>
      </c>
      <c r="C729" t="s">
        <v>202</v>
      </c>
      <c r="D729" t="s">
        <v>64</v>
      </c>
      <c r="E729" t="s">
        <v>2008</v>
      </c>
      <c r="F729" t="s">
        <v>1948</v>
      </c>
      <c r="G729" s="6">
        <v>1141</v>
      </c>
      <c r="H729" s="8">
        <v>134.19999999999999</v>
      </c>
      <c r="I729" s="7">
        <v>198.62</v>
      </c>
      <c r="J729" s="7">
        <v>261.85000000000002</v>
      </c>
      <c r="K729" s="6">
        <v>380</v>
      </c>
      <c r="L729" s="7">
        <v>840.47</v>
      </c>
    </row>
    <row r="730" spans="1:12" x14ac:dyDescent="0.25">
      <c r="A730" s="9">
        <v>45870</v>
      </c>
      <c r="B730" t="s">
        <v>201</v>
      </c>
      <c r="C730" t="s">
        <v>202</v>
      </c>
      <c r="D730" t="s">
        <v>64</v>
      </c>
      <c r="E730" t="s">
        <v>2059</v>
      </c>
      <c r="F730" t="s">
        <v>1946</v>
      </c>
      <c r="G730" s="6">
        <v>829</v>
      </c>
      <c r="H730" s="8">
        <v>79</v>
      </c>
      <c r="I730" s="7">
        <v>116.92</v>
      </c>
      <c r="J730" s="7">
        <v>93.02</v>
      </c>
      <c r="K730" s="6">
        <v>450</v>
      </c>
      <c r="L730" s="7">
        <v>659.94</v>
      </c>
    </row>
    <row r="731" spans="1:12" x14ac:dyDescent="0.25">
      <c r="A731" s="9">
        <v>45870</v>
      </c>
      <c r="B731" t="s">
        <v>201</v>
      </c>
      <c r="C731" t="s">
        <v>202</v>
      </c>
      <c r="D731" t="s">
        <v>64</v>
      </c>
      <c r="E731" t="s">
        <v>1999</v>
      </c>
      <c r="F731" t="s">
        <v>1946</v>
      </c>
      <c r="G731" s="6">
        <v>1346</v>
      </c>
      <c r="H731" s="8">
        <v>128.19999999999999</v>
      </c>
      <c r="I731" s="7">
        <v>189.74</v>
      </c>
      <c r="J731" s="7">
        <v>264.91000000000003</v>
      </c>
      <c r="K731" s="6">
        <v>380</v>
      </c>
      <c r="L731" s="7">
        <v>834.65</v>
      </c>
    </row>
    <row r="732" spans="1:12" x14ac:dyDescent="0.25">
      <c r="A732" s="9">
        <v>45870</v>
      </c>
      <c r="B732" t="s">
        <v>118</v>
      </c>
      <c r="C732" t="s">
        <v>119</v>
      </c>
      <c r="D732" t="s">
        <v>64</v>
      </c>
      <c r="E732" t="s">
        <v>1982</v>
      </c>
      <c r="F732" t="s">
        <v>1948</v>
      </c>
      <c r="G732" s="6">
        <v>990</v>
      </c>
      <c r="H732" s="8">
        <v>116.5</v>
      </c>
      <c r="I732" s="7">
        <v>172.42</v>
      </c>
      <c r="J732" s="7">
        <v>253.68</v>
      </c>
      <c r="K732" s="6">
        <v>380</v>
      </c>
      <c r="L732" s="7">
        <v>806.1</v>
      </c>
    </row>
    <row r="733" spans="1:12" x14ac:dyDescent="0.25">
      <c r="A733" s="9">
        <v>45870</v>
      </c>
      <c r="B733" t="s">
        <v>118</v>
      </c>
      <c r="C733" t="s">
        <v>119</v>
      </c>
      <c r="D733" t="s">
        <v>64</v>
      </c>
      <c r="E733" t="s">
        <v>2045</v>
      </c>
      <c r="F733" t="s">
        <v>1948</v>
      </c>
      <c r="G733" s="6">
        <v>823</v>
      </c>
      <c r="H733" s="8">
        <v>96.8</v>
      </c>
      <c r="I733" s="7">
        <v>143.26</v>
      </c>
      <c r="J733" s="7">
        <v>343.82</v>
      </c>
      <c r="K733" s="6">
        <v>520</v>
      </c>
      <c r="L733" s="7">
        <v>1007.08</v>
      </c>
    </row>
    <row r="734" spans="1:12" x14ac:dyDescent="0.25">
      <c r="A734" s="9">
        <v>45870</v>
      </c>
      <c r="B734" t="s">
        <v>118</v>
      </c>
      <c r="C734" t="s">
        <v>119</v>
      </c>
      <c r="D734" t="s">
        <v>64</v>
      </c>
      <c r="E734" t="s">
        <v>1960</v>
      </c>
      <c r="F734" t="s">
        <v>1948</v>
      </c>
      <c r="G734" s="6">
        <v>1216</v>
      </c>
      <c r="H734" s="8">
        <v>143.1</v>
      </c>
      <c r="I734" s="7">
        <v>211.79</v>
      </c>
      <c r="J734" s="7">
        <v>405.3</v>
      </c>
      <c r="K734" s="6">
        <v>450</v>
      </c>
      <c r="L734" s="7">
        <v>1067.0899999999999</v>
      </c>
    </row>
    <row r="735" spans="1:12" x14ac:dyDescent="0.25">
      <c r="A735" s="9">
        <v>45870</v>
      </c>
      <c r="B735" t="s">
        <v>118</v>
      </c>
      <c r="C735" t="s">
        <v>119</v>
      </c>
      <c r="D735" t="s">
        <v>64</v>
      </c>
      <c r="E735" t="s">
        <v>2014</v>
      </c>
      <c r="F735" t="s">
        <v>1946</v>
      </c>
      <c r="G735" s="6">
        <v>830</v>
      </c>
      <c r="H735" s="8">
        <v>79</v>
      </c>
      <c r="I735" s="7">
        <v>116.92</v>
      </c>
      <c r="J735" s="7">
        <v>119.76</v>
      </c>
      <c r="K735" s="6">
        <v>450</v>
      </c>
      <c r="L735" s="7">
        <v>686.68</v>
      </c>
    </row>
    <row r="736" spans="1:12" x14ac:dyDescent="0.25">
      <c r="A736" s="9">
        <v>45870</v>
      </c>
      <c r="B736" t="s">
        <v>118</v>
      </c>
      <c r="C736" t="s">
        <v>119</v>
      </c>
      <c r="D736" t="s">
        <v>64</v>
      </c>
      <c r="E736" t="s">
        <v>2022</v>
      </c>
      <c r="F736" t="s">
        <v>1948</v>
      </c>
      <c r="G736" s="6">
        <v>1107</v>
      </c>
      <c r="H736" s="8">
        <v>130.19999999999999</v>
      </c>
      <c r="I736" s="7">
        <v>192.7</v>
      </c>
      <c r="J736" s="7">
        <v>301.72000000000003</v>
      </c>
      <c r="K736" s="6">
        <v>450</v>
      </c>
      <c r="L736" s="7">
        <v>944.42</v>
      </c>
    </row>
    <row r="737" spans="1:12" x14ac:dyDescent="0.25">
      <c r="A737" s="9">
        <v>45870</v>
      </c>
      <c r="B737" t="s">
        <v>118</v>
      </c>
      <c r="C737" t="s">
        <v>119</v>
      </c>
      <c r="D737" t="s">
        <v>64</v>
      </c>
      <c r="E737" t="s">
        <v>2081</v>
      </c>
      <c r="F737" t="s">
        <v>1948</v>
      </c>
      <c r="G737" s="6">
        <v>996</v>
      </c>
      <c r="H737" s="8">
        <v>117.2</v>
      </c>
      <c r="I737" s="7">
        <v>173.46</v>
      </c>
      <c r="J737" s="7">
        <v>180.16</v>
      </c>
      <c r="K737" s="6">
        <v>520</v>
      </c>
      <c r="L737" s="7">
        <v>873.62</v>
      </c>
    </row>
    <row r="738" spans="1:12" x14ac:dyDescent="0.25">
      <c r="A738" s="9">
        <v>45870</v>
      </c>
      <c r="B738" t="s">
        <v>62</v>
      </c>
      <c r="C738" t="s">
        <v>63</v>
      </c>
      <c r="D738" t="s">
        <v>64</v>
      </c>
      <c r="E738" t="s">
        <v>2073</v>
      </c>
      <c r="F738" t="s">
        <v>1942</v>
      </c>
      <c r="G738" s="6">
        <v>1270</v>
      </c>
      <c r="H738" s="8">
        <v>121</v>
      </c>
      <c r="I738" s="7">
        <v>179.08</v>
      </c>
      <c r="J738" s="7">
        <v>207.69</v>
      </c>
      <c r="K738" s="6">
        <v>520</v>
      </c>
      <c r="L738" s="7">
        <v>906.77</v>
      </c>
    </row>
    <row r="739" spans="1:12" x14ac:dyDescent="0.25">
      <c r="A739" s="9">
        <v>45870</v>
      </c>
      <c r="B739" t="s">
        <v>62</v>
      </c>
      <c r="C739" t="s">
        <v>63</v>
      </c>
      <c r="D739" t="s">
        <v>64</v>
      </c>
      <c r="E739" t="s">
        <v>1952</v>
      </c>
      <c r="F739" t="s">
        <v>1948</v>
      </c>
      <c r="G739" s="6">
        <v>820</v>
      </c>
      <c r="H739" s="8">
        <v>96.5</v>
      </c>
      <c r="I739" s="7">
        <v>142.82</v>
      </c>
      <c r="J739" s="7">
        <v>358.44</v>
      </c>
      <c r="K739" s="6">
        <v>380</v>
      </c>
      <c r="L739" s="7">
        <v>881.26</v>
      </c>
    </row>
    <row r="740" spans="1:12" x14ac:dyDescent="0.25">
      <c r="A740" s="9">
        <v>45870</v>
      </c>
      <c r="B740" t="s">
        <v>62</v>
      </c>
      <c r="C740" t="s">
        <v>63</v>
      </c>
      <c r="D740" t="s">
        <v>64</v>
      </c>
      <c r="E740" t="s">
        <v>2081</v>
      </c>
      <c r="F740" t="s">
        <v>1940</v>
      </c>
      <c r="G740" s="6">
        <v>1342</v>
      </c>
      <c r="H740" s="8">
        <v>157.9</v>
      </c>
      <c r="I740" s="7">
        <v>233.69</v>
      </c>
      <c r="J740" s="7">
        <v>160.74</v>
      </c>
      <c r="K740" s="6">
        <v>450</v>
      </c>
      <c r="L740" s="7">
        <v>844.43</v>
      </c>
    </row>
    <row r="741" spans="1:12" x14ac:dyDescent="0.25">
      <c r="A741" s="9">
        <v>45870</v>
      </c>
      <c r="B741" t="s">
        <v>62</v>
      </c>
      <c r="C741" t="s">
        <v>63</v>
      </c>
      <c r="D741" t="s">
        <v>64</v>
      </c>
      <c r="E741" t="s">
        <v>1983</v>
      </c>
      <c r="F741" t="s">
        <v>1942</v>
      </c>
      <c r="G741" s="6">
        <v>1069</v>
      </c>
      <c r="H741" s="8">
        <v>101.8</v>
      </c>
      <c r="I741" s="7">
        <v>150.66</v>
      </c>
      <c r="J741" s="7">
        <v>194.32</v>
      </c>
      <c r="K741" s="6">
        <v>380</v>
      </c>
      <c r="L741" s="7">
        <v>724.98</v>
      </c>
    </row>
    <row r="742" spans="1:12" x14ac:dyDescent="0.25">
      <c r="A742" s="9">
        <v>45870</v>
      </c>
      <c r="B742" t="s">
        <v>62</v>
      </c>
      <c r="C742" t="s">
        <v>63</v>
      </c>
      <c r="D742" t="s">
        <v>64</v>
      </c>
      <c r="E742" t="s">
        <v>1986</v>
      </c>
      <c r="F742" t="s">
        <v>1946</v>
      </c>
      <c r="G742" s="6">
        <v>834</v>
      </c>
      <c r="H742" s="8">
        <v>79.400000000000006</v>
      </c>
      <c r="I742" s="7">
        <v>117.51</v>
      </c>
      <c r="J742" s="7">
        <v>152.4</v>
      </c>
      <c r="K742" s="6">
        <v>450</v>
      </c>
      <c r="L742" s="7">
        <v>719.91</v>
      </c>
    </row>
    <row r="743" spans="1:12" x14ac:dyDescent="0.25">
      <c r="A743" s="9">
        <v>45870</v>
      </c>
      <c r="B743" t="s">
        <v>91</v>
      </c>
      <c r="C743" t="s">
        <v>92</v>
      </c>
      <c r="D743" t="s">
        <v>64</v>
      </c>
      <c r="E743" t="s">
        <v>1973</v>
      </c>
      <c r="F743" t="s">
        <v>1948</v>
      </c>
      <c r="G743" s="6">
        <v>511</v>
      </c>
      <c r="H743" s="8">
        <v>60.1</v>
      </c>
      <c r="I743" s="7">
        <v>88.95</v>
      </c>
      <c r="J743" s="7">
        <v>320.12</v>
      </c>
      <c r="K743" s="6">
        <v>380</v>
      </c>
      <c r="L743" s="7">
        <v>789.07</v>
      </c>
    </row>
    <row r="744" spans="1:12" x14ac:dyDescent="0.25">
      <c r="A744" s="9">
        <v>45870</v>
      </c>
      <c r="B744" t="s">
        <v>91</v>
      </c>
      <c r="C744" t="s">
        <v>92</v>
      </c>
      <c r="D744" t="s">
        <v>64</v>
      </c>
      <c r="E744" t="s">
        <v>2050</v>
      </c>
      <c r="F744" t="s">
        <v>1946</v>
      </c>
      <c r="G744" s="6">
        <v>659</v>
      </c>
      <c r="H744" s="8">
        <v>62.8</v>
      </c>
      <c r="I744" s="7">
        <v>92.94</v>
      </c>
      <c r="J744" s="7">
        <v>270.27</v>
      </c>
      <c r="K744" s="6">
        <v>520</v>
      </c>
      <c r="L744" s="7">
        <v>883.21</v>
      </c>
    </row>
    <row r="745" spans="1:12" x14ac:dyDescent="0.25">
      <c r="A745" s="9">
        <v>45870</v>
      </c>
      <c r="B745" t="s">
        <v>91</v>
      </c>
      <c r="C745" t="s">
        <v>92</v>
      </c>
      <c r="D745" t="s">
        <v>64</v>
      </c>
      <c r="E745" t="s">
        <v>2002</v>
      </c>
      <c r="F745" t="s">
        <v>1948</v>
      </c>
      <c r="G745" s="6">
        <v>967</v>
      </c>
      <c r="H745" s="8">
        <v>113.8</v>
      </c>
      <c r="I745" s="7">
        <v>168.42</v>
      </c>
      <c r="J745" s="7">
        <v>233.07</v>
      </c>
      <c r="K745" s="6">
        <v>320</v>
      </c>
      <c r="L745" s="7">
        <v>721.49</v>
      </c>
    </row>
    <row r="746" spans="1:12" x14ac:dyDescent="0.25">
      <c r="A746" s="9">
        <v>45870</v>
      </c>
      <c r="B746" t="s">
        <v>91</v>
      </c>
      <c r="C746" t="s">
        <v>92</v>
      </c>
      <c r="D746" t="s">
        <v>64</v>
      </c>
      <c r="E746" t="s">
        <v>1970</v>
      </c>
      <c r="F746" t="s">
        <v>1942</v>
      </c>
      <c r="G746" s="6">
        <v>893</v>
      </c>
      <c r="H746" s="8">
        <v>85</v>
      </c>
      <c r="I746" s="7">
        <v>125.8</v>
      </c>
      <c r="J746" s="7">
        <v>126.96</v>
      </c>
      <c r="K746" s="6">
        <v>380</v>
      </c>
      <c r="L746" s="7">
        <v>632.76</v>
      </c>
    </row>
    <row r="747" spans="1:12" x14ac:dyDescent="0.25">
      <c r="A747" s="9">
        <v>45870</v>
      </c>
      <c r="B747" t="s">
        <v>91</v>
      </c>
      <c r="C747" t="s">
        <v>92</v>
      </c>
      <c r="D747" t="s">
        <v>64</v>
      </c>
      <c r="E747" t="s">
        <v>1997</v>
      </c>
      <c r="F747" t="s">
        <v>1946</v>
      </c>
      <c r="G747" s="6">
        <v>1404</v>
      </c>
      <c r="H747" s="8">
        <v>133.69999999999999</v>
      </c>
      <c r="I747" s="7">
        <v>197.88</v>
      </c>
      <c r="J747" s="7">
        <v>0</v>
      </c>
      <c r="K747" s="6">
        <v>450</v>
      </c>
      <c r="L747" s="7">
        <v>647.88</v>
      </c>
    </row>
    <row r="748" spans="1:12" x14ac:dyDescent="0.25">
      <c r="A748" s="9">
        <v>45870</v>
      </c>
      <c r="B748" t="s">
        <v>80</v>
      </c>
      <c r="C748" t="s">
        <v>81</v>
      </c>
      <c r="D748" t="s">
        <v>64</v>
      </c>
      <c r="E748" t="s">
        <v>2066</v>
      </c>
      <c r="F748" t="s">
        <v>1940</v>
      </c>
      <c r="G748" s="6">
        <v>1369</v>
      </c>
      <c r="H748" s="8">
        <v>161.1</v>
      </c>
      <c r="I748" s="7">
        <v>238.43</v>
      </c>
      <c r="J748" s="7">
        <v>177.04</v>
      </c>
      <c r="K748" s="6">
        <v>320</v>
      </c>
      <c r="L748" s="7">
        <v>735.47</v>
      </c>
    </row>
    <row r="749" spans="1:12" x14ac:dyDescent="0.25">
      <c r="A749" s="9">
        <v>45870</v>
      </c>
      <c r="B749" t="s">
        <v>80</v>
      </c>
      <c r="C749" t="s">
        <v>81</v>
      </c>
      <c r="D749" t="s">
        <v>64</v>
      </c>
      <c r="E749" t="s">
        <v>2047</v>
      </c>
      <c r="F749" t="s">
        <v>1942</v>
      </c>
      <c r="G749" s="6">
        <v>748</v>
      </c>
      <c r="H749" s="8">
        <v>71.2</v>
      </c>
      <c r="I749" s="7">
        <v>105.38</v>
      </c>
      <c r="J749" s="7">
        <v>63.98</v>
      </c>
      <c r="K749" s="6">
        <v>320</v>
      </c>
      <c r="L749" s="7">
        <v>489.36</v>
      </c>
    </row>
    <row r="750" spans="1:12" x14ac:dyDescent="0.25">
      <c r="A750" s="9">
        <v>45870</v>
      </c>
      <c r="B750" t="s">
        <v>80</v>
      </c>
      <c r="C750" t="s">
        <v>81</v>
      </c>
      <c r="D750" t="s">
        <v>64</v>
      </c>
      <c r="E750" t="s">
        <v>2056</v>
      </c>
      <c r="F750" t="s">
        <v>1948</v>
      </c>
      <c r="G750" s="6">
        <v>1469</v>
      </c>
      <c r="H750" s="8">
        <v>172.8</v>
      </c>
      <c r="I750" s="7">
        <v>255.74</v>
      </c>
      <c r="J750" s="7">
        <v>174.36</v>
      </c>
      <c r="K750" s="6">
        <v>450</v>
      </c>
      <c r="L750" s="7">
        <v>880.1</v>
      </c>
    </row>
    <row r="751" spans="1:12" x14ac:dyDescent="0.25">
      <c r="A751" s="9">
        <v>45870</v>
      </c>
      <c r="B751" t="s">
        <v>80</v>
      </c>
      <c r="C751" t="s">
        <v>81</v>
      </c>
      <c r="D751" t="s">
        <v>64</v>
      </c>
      <c r="E751" t="s">
        <v>2004</v>
      </c>
      <c r="F751" t="s">
        <v>1948</v>
      </c>
      <c r="G751" s="6">
        <v>761</v>
      </c>
      <c r="H751" s="8">
        <v>89.5</v>
      </c>
      <c r="I751" s="7">
        <v>132.46</v>
      </c>
      <c r="J751" s="7">
        <v>340.99</v>
      </c>
      <c r="K751" s="6">
        <v>520</v>
      </c>
      <c r="L751" s="7">
        <v>993.45</v>
      </c>
    </row>
    <row r="752" spans="1:12" x14ac:dyDescent="0.25">
      <c r="A752" s="9">
        <v>45870</v>
      </c>
      <c r="B752" t="s">
        <v>80</v>
      </c>
      <c r="C752" t="s">
        <v>81</v>
      </c>
      <c r="D752" t="s">
        <v>64</v>
      </c>
      <c r="E752" t="s">
        <v>2015</v>
      </c>
      <c r="F752" t="s">
        <v>1948</v>
      </c>
      <c r="G752" s="6">
        <v>1134</v>
      </c>
      <c r="H752" s="8">
        <v>133.4</v>
      </c>
      <c r="I752" s="7">
        <v>197.43</v>
      </c>
      <c r="J752" s="7">
        <v>174.97</v>
      </c>
      <c r="K752" s="6">
        <v>320</v>
      </c>
      <c r="L752" s="7">
        <v>692.4</v>
      </c>
    </row>
    <row r="753" spans="1:12" x14ac:dyDescent="0.25">
      <c r="A753" s="9">
        <v>45870</v>
      </c>
      <c r="B753" t="s">
        <v>80</v>
      </c>
      <c r="C753" t="s">
        <v>81</v>
      </c>
      <c r="D753" t="s">
        <v>64</v>
      </c>
      <c r="E753" t="s">
        <v>1966</v>
      </c>
      <c r="F753" t="s">
        <v>1940</v>
      </c>
      <c r="G753" s="6">
        <v>1104</v>
      </c>
      <c r="H753" s="8">
        <v>129.9</v>
      </c>
      <c r="I753" s="7">
        <v>192.25</v>
      </c>
      <c r="J753" s="7">
        <v>67.94</v>
      </c>
      <c r="K753" s="6">
        <v>380</v>
      </c>
      <c r="L753" s="7">
        <v>640.19000000000005</v>
      </c>
    </row>
    <row r="754" spans="1:12" x14ac:dyDescent="0.25">
      <c r="A754" s="9">
        <v>45870</v>
      </c>
      <c r="B754" t="s">
        <v>56</v>
      </c>
      <c r="C754" t="s">
        <v>57</v>
      </c>
      <c r="D754" t="s">
        <v>58</v>
      </c>
      <c r="E754" t="s">
        <v>1960</v>
      </c>
      <c r="F754" t="s">
        <v>1946</v>
      </c>
      <c r="G754" s="6">
        <v>1325</v>
      </c>
      <c r="H754" s="8">
        <v>126.2</v>
      </c>
      <c r="I754" s="7">
        <v>186.78</v>
      </c>
      <c r="J754" s="7">
        <v>234.91</v>
      </c>
      <c r="K754" s="6">
        <v>450</v>
      </c>
      <c r="L754" s="7">
        <v>871.69</v>
      </c>
    </row>
    <row r="755" spans="1:12" x14ac:dyDescent="0.25">
      <c r="A755" s="9">
        <v>45870</v>
      </c>
      <c r="B755" t="s">
        <v>56</v>
      </c>
      <c r="C755" t="s">
        <v>57</v>
      </c>
      <c r="D755" t="s">
        <v>58</v>
      </c>
      <c r="E755" t="s">
        <v>2058</v>
      </c>
      <c r="F755" t="s">
        <v>1946</v>
      </c>
      <c r="G755" s="6">
        <v>1183</v>
      </c>
      <c r="H755" s="8">
        <v>112.7</v>
      </c>
      <c r="I755" s="7">
        <v>166.8</v>
      </c>
      <c r="J755" s="7">
        <v>178.93</v>
      </c>
      <c r="K755" s="6">
        <v>320</v>
      </c>
      <c r="L755" s="7">
        <v>665.73</v>
      </c>
    </row>
    <row r="756" spans="1:12" x14ac:dyDescent="0.25">
      <c r="A756" s="9">
        <v>45870</v>
      </c>
      <c r="B756" t="s">
        <v>56</v>
      </c>
      <c r="C756" t="s">
        <v>57</v>
      </c>
      <c r="D756" t="s">
        <v>58</v>
      </c>
      <c r="E756" t="s">
        <v>2072</v>
      </c>
      <c r="F756" t="s">
        <v>1940</v>
      </c>
      <c r="G756" s="6">
        <v>1490</v>
      </c>
      <c r="H756" s="8">
        <v>175.3</v>
      </c>
      <c r="I756" s="7">
        <v>259.44</v>
      </c>
      <c r="J756" s="7">
        <v>149.97</v>
      </c>
      <c r="K756" s="6">
        <v>380</v>
      </c>
      <c r="L756" s="7">
        <v>789.41</v>
      </c>
    </row>
    <row r="757" spans="1:12" x14ac:dyDescent="0.25">
      <c r="A757" s="9">
        <v>45870</v>
      </c>
      <c r="B757" t="s">
        <v>77</v>
      </c>
      <c r="C757" t="s">
        <v>78</v>
      </c>
      <c r="D757" t="s">
        <v>58</v>
      </c>
      <c r="E757" t="s">
        <v>2028</v>
      </c>
      <c r="F757" t="s">
        <v>1946</v>
      </c>
      <c r="G757" s="6">
        <v>754</v>
      </c>
      <c r="H757" s="8">
        <v>71.8</v>
      </c>
      <c r="I757" s="7">
        <v>106.26</v>
      </c>
      <c r="J757" s="7">
        <v>185.96</v>
      </c>
      <c r="K757" s="6">
        <v>320</v>
      </c>
      <c r="L757" s="7">
        <v>612.22</v>
      </c>
    </row>
    <row r="758" spans="1:12" x14ac:dyDescent="0.25">
      <c r="A758" s="9">
        <v>45870</v>
      </c>
      <c r="B758" t="s">
        <v>77</v>
      </c>
      <c r="C758" t="s">
        <v>78</v>
      </c>
      <c r="D758" t="s">
        <v>58</v>
      </c>
      <c r="E758" t="s">
        <v>2053</v>
      </c>
      <c r="F758" t="s">
        <v>1948</v>
      </c>
      <c r="G758" s="6">
        <v>1571</v>
      </c>
      <c r="H758" s="8">
        <v>184.8</v>
      </c>
      <c r="I758" s="7">
        <v>273.5</v>
      </c>
      <c r="J758" s="7">
        <v>168.82</v>
      </c>
      <c r="K758" s="6">
        <v>450</v>
      </c>
      <c r="L758" s="7">
        <v>892.32</v>
      </c>
    </row>
    <row r="759" spans="1:12" x14ac:dyDescent="0.25">
      <c r="A759" s="9">
        <v>45870</v>
      </c>
      <c r="B759" t="s">
        <v>77</v>
      </c>
      <c r="C759" t="s">
        <v>78</v>
      </c>
      <c r="D759" t="s">
        <v>58</v>
      </c>
      <c r="E759" t="s">
        <v>1999</v>
      </c>
      <c r="F759" t="s">
        <v>1940</v>
      </c>
      <c r="G759" s="6">
        <v>959</v>
      </c>
      <c r="H759" s="8">
        <v>112.8</v>
      </c>
      <c r="I759" s="7">
        <v>166.94</v>
      </c>
      <c r="J759" s="7">
        <v>183.32</v>
      </c>
      <c r="K759" s="6">
        <v>380</v>
      </c>
      <c r="L759" s="7">
        <v>730.26</v>
      </c>
    </row>
    <row r="760" spans="1:12" x14ac:dyDescent="0.25">
      <c r="A760" s="9">
        <v>45870</v>
      </c>
      <c r="B760" t="s">
        <v>77</v>
      </c>
      <c r="C760" t="s">
        <v>78</v>
      </c>
      <c r="D760" t="s">
        <v>58</v>
      </c>
      <c r="E760" t="s">
        <v>2034</v>
      </c>
      <c r="F760" t="s">
        <v>1946</v>
      </c>
      <c r="G760" s="6">
        <v>1036</v>
      </c>
      <c r="H760" s="8">
        <v>98.7</v>
      </c>
      <c r="I760" s="7">
        <v>146.08000000000001</v>
      </c>
      <c r="J760" s="7">
        <v>71.42</v>
      </c>
      <c r="K760" s="6">
        <v>450</v>
      </c>
      <c r="L760" s="7">
        <v>667.5</v>
      </c>
    </row>
    <row r="761" spans="1:12" x14ac:dyDescent="0.25">
      <c r="A761" s="9">
        <v>45870</v>
      </c>
      <c r="B761" t="s">
        <v>77</v>
      </c>
      <c r="C761" t="s">
        <v>78</v>
      </c>
      <c r="D761" t="s">
        <v>58</v>
      </c>
      <c r="E761" t="s">
        <v>1955</v>
      </c>
      <c r="F761" t="s">
        <v>1940</v>
      </c>
      <c r="G761" s="6">
        <v>1330</v>
      </c>
      <c r="H761" s="8">
        <v>156.5</v>
      </c>
      <c r="I761" s="7">
        <v>231.62</v>
      </c>
      <c r="J761" s="7">
        <v>335.6</v>
      </c>
      <c r="K761" s="6">
        <v>380</v>
      </c>
      <c r="L761" s="7">
        <v>947.22</v>
      </c>
    </row>
    <row r="762" spans="1:12" x14ac:dyDescent="0.25">
      <c r="A762" s="9">
        <v>45870</v>
      </c>
      <c r="B762" t="s">
        <v>110</v>
      </c>
      <c r="C762" t="s">
        <v>111</v>
      </c>
      <c r="D762" t="s">
        <v>58</v>
      </c>
      <c r="E762" t="s">
        <v>1950</v>
      </c>
      <c r="F762" t="s">
        <v>1946</v>
      </c>
      <c r="G762" s="6">
        <v>1099</v>
      </c>
      <c r="H762" s="8">
        <v>104.7</v>
      </c>
      <c r="I762" s="7">
        <v>154.96</v>
      </c>
      <c r="J762" s="7">
        <v>77.67</v>
      </c>
      <c r="K762" s="6">
        <v>320</v>
      </c>
      <c r="L762" s="7">
        <v>552.63</v>
      </c>
    </row>
    <row r="763" spans="1:12" x14ac:dyDescent="0.25">
      <c r="A763" s="9">
        <v>45870</v>
      </c>
      <c r="B763" t="s">
        <v>110</v>
      </c>
      <c r="C763" t="s">
        <v>111</v>
      </c>
      <c r="D763" t="s">
        <v>58</v>
      </c>
      <c r="E763" t="s">
        <v>2011</v>
      </c>
      <c r="F763" t="s">
        <v>1940</v>
      </c>
      <c r="G763" s="6">
        <v>662</v>
      </c>
      <c r="H763" s="8">
        <v>77.900000000000006</v>
      </c>
      <c r="I763" s="7">
        <v>115.29</v>
      </c>
      <c r="J763" s="7">
        <v>170.64</v>
      </c>
      <c r="K763" s="6">
        <v>520</v>
      </c>
      <c r="L763" s="7">
        <v>805.93</v>
      </c>
    </row>
    <row r="764" spans="1:12" x14ac:dyDescent="0.25">
      <c r="A764" s="9">
        <v>45870</v>
      </c>
      <c r="B764" t="s">
        <v>110</v>
      </c>
      <c r="C764" t="s">
        <v>111</v>
      </c>
      <c r="D764" t="s">
        <v>58</v>
      </c>
      <c r="E764" t="s">
        <v>2049</v>
      </c>
      <c r="F764" t="s">
        <v>1940</v>
      </c>
      <c r="G764" s="6">
        <v>1325</v>
      </c>
      <c r="H764" s="8">
        <v>155.9</v>
      </c>
      <c r="I764" s="7">
        <v>230.73</v>
      </c>
      <c r="J764" s="7">
        <v>188.01</v>
      </c>
      <c r="K764" s="6">
        <v>520</v>
      </c>
      <c r="L764" s="7">
        <v>938.74</v>
      </c>
    </row>
    <row r="765" spans="1:12" x14ac:dyDescent="0.25">
      <c r="A765" s="9">
        <v>45870</v>
      </c>
      <c r="B765" t="s">
        <v>110</v>
      </c>
      <c r="C765" t="s">
        <v>111</v>
      </c>
      <c r="D765" t="s">
        <v>58</v>
      </c>
      <c r="E765" t="s">
        <v>2053</v>
      </c>
      <c r="F765" t="s">
        <v>1942</v>
      </c>
      <c r="G765" s="6">
        <v>1049</v>
      </c>
      <c r="H765" s="8">
        <v>99.9</v>
      </c>
      <c r="I765" s="7">
        <v>147.85</v>
      </c>
      <c r="J765" s="7">
        <v>102.86</v>
      </c>
      <c r="K765" s="6">
        <v>320</v>
      </c>
      <c r="L765" s="7">
        <v>570.71</v>
      </c>
    </row>
    <row r="766" spans="1:12" x14ac:dyDescent="0.25">
      <c r="A766" s="9">
        <v>45870</v>
      </c>
      <c r="B766" t="s">
        <v>110</v>
      </c>
      <c r="C766" t="s">
        <v>111</v>
      </c>
      <c r="D766" t="s">
        <v>58</v>
      </c>
      <c r="E766" t="s">
        <v>2080</v>
      </c>
      <c r="F766" t="s">
        <v>1948</v>
      </c>
      <c r="G766" s="6">
        <v>776</v>
      </c>
      <c r="H766" s="8">
        <v>91.3</v>
      </c>
      <c r="I766" s="7">
        <v>135.12</v>
      </c>
      <c r="J766" s="7">
        <v>316.77999999999997</v>
      </c>
      <c r="K766" s="6">
        <v>320</v>
      </c>
      <c r="L766" s="7">
        <v>771.9</v>
      </c>
    </row>
    <row r="767" spans="1:12" x14ac:dyDescent="0.25">
      <c r="A767" s="9">
        <v>45870</v>
      </c>
      <c r="B767" t="s">
        <v>110</v>
      </c>
      <c r="C767" t="s">
        <v>111</v>
      </c>
      <c r="D767" t="s">
        <v>58</v>
      </c>
      <c r="E767" t="s">
        <v>1955</v>
      </c>
      <c r="F767" t="s">
        <v>1940</v>
      </c>
      <c r="G767" s="6">
        <v>1278</v>
      </c>
      <c r="H767" s="8">
        <v>150.4</v>
      </c>
      <c r="I767" s="7">
        <v>222.59</v>
      </c>
      <c r="J767" s="7">
        <v>26.34</v>
      </c>
      <c r="K767" s="6">
        <v>320</v>
      </c>
      <c r="L767" s="7">
        <v>568.92999999999995</v>
      </c>
    </row>
    <row r="768" spans="1:12" x14ac:dyDescent="0.25">
      <c r="A768" s="9">
        <v>45870</v>
      </c>
      <c r="B768" t="s">
        <v>85</v>
      </c>
      <c r="C768" t="s">
        <v>86</v>
      </c>
      <c r="D768" t="s">
        <v>58</v>
      </c>
      <c r="E768" t="s">
        <v>1960</v>
      </c>
      <c r="F768" t="s">
        <v>1942</v>
      </c>
      <c r="G768" s="6">
        <v>1447</v>
      </c>
      <c r="H768" s="8">
        <v>137.80000000000001</v>
      </c>
      <c r="I768" s="7">
        <v>203.94</v>
      </c>
      <c r="J768" s="7">
        <v>195.93</v>
      </c>
      <c r="K768" s="6">
        <v>320</v>
      </c>
      <c r="L768" s="7">
        <v>719.87</v>
      </c>
    </row>
    <row r="769" spans="1:12" x14ac:dyDescent="0.25">
      <c r="A769" s="9">
        <v>45870</v>
      </c>
      <c r="B769" t="s">
        <v>85</v>
      </c>
      <c r="C769" t="s">
        <v>86</v>
      </c>
      <c r="D769" t="s">
        <v>58</v>
      </c>
      <c r="E769" t="s">
        <v>1943</v>
      </c>
      <c r="F769" t="s">
        <v>1946</v>
      </c>
      <c r="G769" s="6">
        <v>1399</v>
      </c>
      <c r="H769" s="8">
        <v>133.19999999999999</v>
      </c>
      <c r="I769" s="7">
        <v>197.14</v>
      </c>
      <c r="J769" s="7">
        <v>42.63</v>
      </c>
      <c r="K769" s="6">
        <v>320</v>
      </c>
      <c r="L769" s="7">
        <v>559.77</v>
      </c>
    </row>
    <row r="770" spans="1:12" x14ac:dyDescent="0.25">
      <c r="A770" s="9">
        <v>45870</v>
      </c>
      <c r="B770" t="s">
        <v>85</v>
      </c>
      <c r="C770" t="s">
        <v>86</v>
      </c>
      <c r="D770" t="s">
        <v>58</v>
      </c>
      <c r="E770" t="s">
        <v>1954</v>
      </c>
      <c r="F770" t="s">
        <v>1940</v>
      </c>
      <c r="G770" s="6">
        <v>708</v>
      </c>
      <c r="H770" s="8">
        <v>83.3</v>
      </c>
      <c r="I770" s="7">
        <v>123.28</v>
      </c>
      <c r="J770" s="7">
        <v>138.08000000000001</v>
      </c>
      <c r="K770" s="6">
        <v>380</v>
      </c>
      <c r="L770" s="7">
        <v>641.36</v>
      </c>
    </row>
    <row r="771" spans="1:12" x14ac:dyDescent="0.25">
      <c r="A771" s="9">
        <v>45870</v>
      </c>
      <c r="B771" t="s">
        <v>85</v>
      </c>
      <c r="C771" t="s">
        <v>86</v>
      </c>
      <c r="D771" t="s">
        <v>58</v>
      </c>
      <c r="E771" t="s">
        <v>1978</v>
      </c>
      <c r="F771" t="s">
        <v>1942</v>
      </c>
      <c r="G771" s="6">
        <v>1175</v>
      </c>
      <c r="H771" s="8">
        <v>111.9</v>
      </c>
      <c r="I771" s="7">
        <v>165.61</v>
      </c>
      <c r="J771" s="7">
        <v>293.70999999999998</v>
      </c>
      <c r="K771" s="6">
        <v>520</v>
      </c>
      <c r="L771" s="7">
        <v>979.32</v>
      </c>
    </row>
    <row r="772" spans="1:12" x14ac:dyDescent="0.25">
      <c r="A772" s="9">
        <v>45870</v>
      </c>
      <c r="B772" t="s">
        <v>85</v>
      </c>
      <c r="C772" t="s">
        <v>86</v>
      </c>
      <c r="D772" t="s">
        <v>58</v>
      </c>
      <c r="E772" t="s">
        <v>2011</v>
      </c>
      <c r="F772" t="s">
        <v>1948</v>
      </c>
      <c r="G772" s="6">
        <v>1226</v>
      </c>
      <c r="H772" s="8">
        <v>144.19999999999999</v>
      </c>
      <c r="I772" s="7">
        <v>213.42</v>
      </c>
      <c r="J772" s="7">
        <v>230.59</v>
      </c>
      <c r="K772" s="6">
        <v>520</v>
      </c>
      <c r="L772" s="7">
        <v>964.01</v>
      </c>
    </row>
    <row r="773" spans="1:12" x14ac:dyDescent="0.25">
      <c r="A773" s="9">
        <v>45870</v>
      </c>
      <c r="B773" t="s">
        <v>85</v>
      </c>
      <c r="C773" t="s">
        <v>86</v>
      </c>
      <c r="D773" t="s">
        <v>58</v>
      </c>
      <c r="E773" t="s">
        <v>2019</v>
      </c>
      <c r="F773" t="s">
        <v>1940</v>
      </c>
      <c r="G773" s="6">
        <v>793</v>
      </c>
      <c r="H773" s="8">
        <v>93.3</v>
      </c>
      <c r="I773" s="7">
        <v>138.08000000000001</v>
      </c>
      <c r="J773" s="7">
        <v>248.4</v>
      </c>
      <c r="K773" s="6">
        <v>380</v>
      </c>
      <c r="L773" s="7">
        <v>766.48</v>
      </c>
    </row>
    <row r="774" spans="1:12" x14ac:dyDescent="0.25">
      <c r="A774" s="9">
        <v>45870</v>
      </c>
      <c r="B774" t="s">
        <v>85</v>
      </c>
      <c r="C774" t="s">
        <v>86</v>
      </c>
      <c r="D774" t="s">
        <v>58</v>
      </c>
      <c r="E774" t="s">
        <v>1994</v>
      </c>
      <c r="F774" t="s">
        <v>1948</v>
      </c>
      <c r="G774" s="6">
        <v>808</v>
      </c>
      <c r="H774" s="8">
        <v>95.1</v>
      </c>
      <c r="I774" s="7">
        <v>140.75</v>
      </c>
      <c r="J774" s="7">
        <v>380.28</v>
      </c>
      <c r="K774" s="6">
        <v>320</v>
      </c>
      <c r="L774" s="7">
        <v>841.03</v>
      </c>
    </row>
    <row r="775" spans="1:12" x14ac:dyDescent="0.25">
      <c r="A775" s="9">
        <v>45870</v>
      </c>
      <c r="B775" t="s">
        <v>103</v>
      </c>
      <c r="C775" t="s">
        <v>104</v>
      </c>
      <c r="D775" t="s">
        <v>58</v>
      </c>
      <c r="E775" t="s">
        <v>2046</v>
      </c>
      <c r="F775" t="s">
        <v>1942</v>
      </c>
      <c r="G775" s="6">
        <v>978</v>
      </c>
      <c r="H775" s="8">
        <v>93.1</v>
      </c>
      <c r="I775" s="7">
        <v>137.79</v>
      </c>
      <c r="J775" s="7">
        <v>277.25</v>
      </c>
      <c r="K775" s="6">
        <v>520</v>
      </c>
      <c r="L775" s="7">
        <v>935.04</v>
      </c>
    </row>
    <row r="776" spans="1:12" x14ac:dyDescent="0.25">
      <c r="A776" s="9">
        <v>45870</v>
      </c>
      <c r="B776" t="s">
        <v>103</v>
      </c>
      <c r="C776" t="s">
        <v>104</v>
      </c>
      <c r="D776" t="s">
        <v>58</v>
      </c>
      <c r="E776" t="s">
        <v>1990</v>
      </c>
      <c r="F776" t="s">
        <v>1948</v>
      </c>
      <c r="G776" s="6">
        <v>1219</v>
      </c>
      <c r="H776" s="8">
        <v>143.4</v>
      </c>
      <c r="I776" s="7">
        <v>212.23</v>
      </c>
      <c r="J776" s="7">
        <v>239.04</v>
      </c>
      <c r="K776" s="6">
        <v>320</v>
      </c>
      <c r="L776" s="7">
        <v>771.27</v>
      </c>
    </row>
    <row r="777" spans="1:12" x14ac:dyDescent="0.25">
      <c r="A777" s="9">
        <v>45870</v>
      </c>
      <c r="B777" t="s">
        <v>103</v>
      </c>
      <c r="C777" t="s">
        <v>104</v>
      </c>
      <c r="D777" t="s">
        <v>58</v>
      </c>
      <c r="E777" t="s">
        <v>1999</v>
      </c>
      <c r="F777" t="s">
        <v>1940</v>
      </c>
      <c r="G777" s="6">
        <v>920</v>
      </c>
      <c r="H777" s="8">
        <v>108.2</v>
      </c>
      <c r="I777" s="7">
        <v>160.13999999999999</v>
      </c>
      <c r="J777" s="7">
        <v>122.73</v>
      </c>
      <c r="K777" s="6">
        <v>320</v>
      </c>
      <c r="L777" s="7">
        <v>602.87</v>
      </c>
    </row>
    <row r="778" spans="1:12" x14ac:dyDescent="0.25">
      <c r="A778" s="9">
        <v>45870</v>
      </c>
      <c r="B778" t="s">
        <v>103</v>
      </c>
      <c r="C778" t="s">
        <v>104</v>
      </c>
      <c r="D778" t="s">
        <v>58</v>
      </c>
      <c r="E778" t="s">
        <v>2009</v>
      </c>
      <c r="F778" t="s">
        <v>1942</v>
      </c>
      <c r="G778" s="6">
        <v>1157</v>
      </c>
      <c r="H778" s="8">
        <v>110.2</v>
      </c>
      <c r="I778" s="7">
        <v>163.1</v>
      </c>
      <c r="J778" s="7">
        <v>156.16999999999999</v>
      </c>
      <c r="K778" s="6">
        <v>380</v>
      </c>
      <c r="L778" s="7">
        <v>699.27</v>
      </c>
    </row>
    <row r="779" spans="1:12" x14ac:dyDescent="0.25">
      <c r="A779" s="9">
        <v>45901</v>
      </c>
      <c r="B779" t="s">
        <v>100</v>
      </c>
      <c r="C779" t="s">
        <v>101</v>
      </c>
      <c r="D779" t="s">
        <v>69</v>
      </c>
      <c r="E779" t="s">
        <v>1970</v>
      </c>
      <c r="F779" t="s">
        <v>1940</v>
      </c>
      <c r="G779" s="6">
        <v>901</v>
      </c>
      <c r="H779" s="8">
        <v>106</v>
      </c>
      <c r="I779" s="7">
        <v>156.88</v>
      </c>
      <c r="J779" s="7">
        <v>136.75</v>
      </c>
      <c r="K779" s="6">
        <v>380</v>
      </c>
      <c r="L779" s="7">
        <v>673.63</v>
      </c>
    </row>
    <row r="780" spans="1:12" x14ac:dyDescent="0.25">
      <c r="A780" s="9">
        <v>45901</v>
      </c>
      <c r="B780" t="s">
        <v>100</v>
      </c>
      <c r="C780" t="s">
        <v>101</v>
      </c>
      <c r="D780" t="s">
        <v>69</v>
      </c>
      <c r="E780" t="s">
        <v>2072</v>
      </c>
      <c r="F780" t="s">
        <v>1948</v>
      </c>
      <c r="G780" s="6">
        <v>1069</v>
      </c>
      <c r="H780" s="8">
        <v>125.8</v>
      </c>
      <c r="I780" s="7">
        <v>186.18</v>
      </c>
      <c r="J780" s="7">
        <v>79.7</v>
      </c>
      <c r="K780" s="6">
        <v>380</v>
      </c>
      <c r="L780" s="7">
        <v>645.88</v>
      </c>
    </row>
    <row r="781" spans="1:12" x14ac:dyDescent="0.25">
      <c r="A781" s="9">
        <v>45901</v>
      </c>
      <c r="B781" t="s">
        <v>100</v>
      </c>
      <c r="C781" t="s">
        <v>101</v>
      </c>
      <c r="D781" t="s">
        <v>69</v>
      </c>
      <c r="E781" t="s">
        <v>2053</v>
      </c>
      <c r="F781" t="s">
        <v>1946</v>
      </c>
      <c r="G781" s="6">
        <v>1164</v>
      </c>
      <c r="H781" s="8">
        <v>110.9</v>
      </c>
      <c r="I781" s="7">
        <v>164.13</v>
      </c>
      <c r="J781" s="7">
        <v>71.62</v>
      </c>
      <c r="K781" s="6">
        <v>380</v>
      </c>
      <c r="L781" s="7">
        <v>615.75</v>
      </c>
    </row>
    <row r="782" spans="1:12" x14ac:dyDescent="0.25">
      <c r="A782" s="9">
        <v>45901</v>
      </c>
      <c r="B782" t="s">
        <v>100</v>
      </c>
      <c r="C782" t="s">
        <v>101</v>
      </c>
      <c r="D782" t="s">
        <v>69</v>
      </c>
      <c r="E782" t="s">
        <v>2074</v>
      </c>
      <c r="F782" t="s">
        <v>1946</v>
      </c>
      <c r="G782" s="6">
        <v>761</v>
      </c>
      <c r="H782" s="8">
        <v>72.5</v>
      </c>
      <c r="I782" s="7">
        <v>107.3</v>
      </c>
      <c r="J782" s="7">
        <v>15.01</v>
      </c>
      <c r="K782" s="6">
        <v>450</v>
      </c>
      <c r="L782" s="7">
        <v>572.30999999999995</v>
      </c>
    </row>
    <row r="783" spans="1:12" x14ac:dyDescent="0.25">
      <c r="A783" s="9">
        <v>45901</v>
      </c>
      <c r="B783" t="s">
        <v>100</v>
      </c>
      <c r="C783" t="s">
        <v>101</v>
      </c>
      <c r="D783" t="s">
        <v>69</v>
      </c>
      <c r="E783" t="s">
        <v>1960</v>
      </c>
      <c r="F783" t="s">
        <v>1946</v>
      </c>
      <c r="G783" s="6">
        <v>601</v>
      </c>
      <c r="H783" s="8">
        <v>57.2</v>
      </c>
      <c r="I783" s="7">
        <v>84.66</v>
      </c>
      <c r="J783" s="7">
        <v>41.56</v>
      </c>
      <c r="K783" s="6">
        <v>320</v>
      </c>
      <c r="L783" s="7">
        <v>446.22</v>
      </c>
    </row>
    <row r="784" spans="1:12" x14ac:dyDescent="0.25">
      <c r="A784" s="9">
        <v>45901</v>
      </c>
      <c r="B784" t="s">
        <v>113</v>
      </c>
      <c r="C784" t="s">
        <v>114</v>
      </c>
      <c r="D784" t="s">
        <v>69</v>
      </c>
      <c r="E784" t="s">
        <v>1988</v>
      </c>
      <c r="F784" t="s">
        <v>1948</v>
      </c>
      <c r="G784" s="6">
        <v>872</v>
      </c>
      <c r="H784" s="8">
        <v>102.6</v>
      </c>
      <c r="I784" s="7">
        <v>151.85</v>
      </c>
      <c r="J784" s="7">
        <v>406.26</v>
      </c>
      <c r="K784" s="6">
        <v>320</v>
      </c>
      <c r="L784" s="7">
        <v>878.11</v>
      </c>
    </row>
    <row r="785" spans="1:12" x14ac:dyDescent="0.25">
      <c r="A785" s="9">
        <v>45901</v>
      </c>
      <c r="B785" t="s">
        <v>113</v>
      </c>
      <c r="C785" t="s">
        <v>114</v>
      </c>
      <c r="D785" t="s">
        <v>69</v>
      </c>
      <c r="E785" t="s">
        <v>2055</v>
      </c>
      <c r="F785" t="s">
        <v>1948</v>
      </c>
      <c r="G785" s="6">
        <v>918</v>
      </c>
      <c r="H785" s="8">
        <v>108</v>
      </c>
      <c r="I785" s="7">
        <v>159.84</v>
      </c>
      <c r="J785" s="7">
        <v>264.22000000000003</v>
      </c>
      <c r="K785" s="6">
        <v>450</v>
      </c>
      <c r="L785" s="7">
        <v>874.06</v>
      </c>
    </row>
    <row r="786" spans="1:12" x14ac:dyDescent="0.25">
      <c r="A786" s="9">
        <v>45901</v>
      </c>
      <c r="B786" t="s">
        <v>113</v>
      </c>
      <c r="C786" t="s">
        <v>114</v>
      </c>
      <c r="D786" t="s">
        <v>69</v>
      </c>
      <c r="E786" t="s">
        <v>2051</v>
      </c>
      <c r="F786" t="s">
        <v>1946</v>
      </c>
      <c r="G786" s="6">
        <v>1150</v>
      </c>
      <c r="H786" s="8">
        <v>109.5</v>
      </c>
      <c r="I786" s="7">
        <v>162.06</v>
      </c>
      <c r="J786" s="7">
        <v>160.49</v>
      </c>
      <c r="K786" s="6">
        <v>380</v>
      </c>
      <c r="L786" s="7">
        <v>702.55</v>
      </c>
    </row>
    <row r="787" spans="1:12" x14ac:dyDescent="0.25">
      <c r="A787" s="9">
        <v>45901</v>
      </c>
      <c r="B787" t="s">
        <v>143</v>
      </c>
      <c r="C787" t="s">
        <v>144</v>
      </c>
      <c r="D787" t="s">
        <v>69</v>
      </c>
      <c r="E787" t="s">
        <v>2024</v>
      </c>
      <c r="F787" t="s">
        <v>1946</v>
      </c>
      <c r="G787" s="6">
        <v>1030</v>
      </c>
      <c r="H787" s="8">
        <v>98.1</v>
      </c>
      <c r="I787" s="7">
        <v>145.19</v>
      </c>
      <c r="J787" s="7">
        <v>54.38</v>
      </c>
      <c r="K787" s="6">
        <v>380</v>
      </c>
      <c r="L787" s="7">
        <v>579.57000000000005</v>
      </c>
    </row>
    <row r="788" spans="1:12" x14ac:dyDescent="0.25">
      <c r="A788" s="9">
        <v>45901</v>
      </c>
      <c r="B788" t="s">
        <v>143</v>
      </c>
      <c r="C788" t="s">
        <v>144</v>
      </c>
      <c r="D788" t="s">
        <v>69</v>
      </c>
      <c r="E788" t="s">
        <v>2079</v>
      </c>
      <c r="F788" t="s">
        <v>1948</v>
      </c>
      <c r="G788" s="6">
        <v>1412</v>
      </c>
      <c r="H788" s="8">
        <v>166.1</v>
      </c>
      <c r="I788" s="7">
        <v>245.83</v>
      </c>
      <c r="J788" s="7">
        <v>394.58</v>
      </c>
      <c r="K788" s="6">
        <v>320</v>
      </c>
      <c r="L788" s="7">
        <v>960.41</v>
      </c>
    </row>
    <row r="789" spans="1:12" x14ac:dyDescent="0.25">
      <c r="A789" s="9">
        <v>45901</v>
      </c>
      <c r="B789" t="s">
        <v>143</v>
      </c>
      <c r="C789" t="s">
        <v>144</v>
      </c>
      <c r="D789" t="s">
        <v>69</v>
      </c>
      <c r="E789" t="s">
        <v>2073</v>
      </c>
      <c r="F789" t="s">
        <v>1946</v>
      </c>
      <c r="G789" s="6">
        <v>629</v>
      </c>
      <c r="H789" s="8">
        <v>59.9</v>
      </c>
      <c r="I789" s="7">
        <v>88.65</v>
      </c>
      <c r="J789" s="7">
        <v>68.08</v>
      </c>
      <c r="K789" s="6">
        <v>520</v>
      </c>
      <c r="L789" s="7">
        <v>676.73</v>
      </c>
    </row>
    <row r="790" spans="1:12" x14ac:dyDescent="0.25">
      <c r="A790" s="9">
        <v>45901</v>
      </c>
      <c r="B790" t="s">
        <v>143</v>
      </c>
      <c r="C790" t="s">
        <v>144</v>
      </c>
      <c r="D790" t="s">
        <v>69</v>
      </c>
      <c r="E790" t="s">
        <v>1998</v>
      </c>
      <c r="F790" t="s">
        <v>1942</v>
      </c>
      <c r="G790" s="6">
        <v>980</v>
      </c>
      <c r="H790" s="8">
        <v>93.3</v>
      </c>
      <c r="I790" s="7">
        <v>138.08000000000001</v>
      </c>
      <c r="J790" s="7">
        <v>72.84</v>
      </c>
      <c r="K790" s="6">
        <v>520</v>
      </c>
      <c r="L790" s="7">
        <v>730.92</v>
      </c>
    </row>
    <row r="791" spans="1:12" x14ac:dyDescent="0.25">
      <c r="A791" s="9">
        <v>45901</v>
      </c>
      <c r="B791" t="s">
        <v>73</v>
      </c>
      <c r="C791" t="s">
        <v>74</v>
      </c>
      <c r="D791" t="s">
        <v>69</v>
      </c>
      <c r="E791" t="s">
        <v>2044</v>
      </c>
      <c r="F791" t="s">
        <v>1942</v>
      </c>
      <c r="G791" s="6">
        <v>1176</v>
      </c>
      <c r="H791" s="8">
        <v>112</v>
      </c>
      <c r="I791" s="7">
        <v>165.76</v>
      </c>
      <c r="J791" s="7">
        <v>91.74</v>
      </c>
      <c r="K791" s="6">
        <v>520</v>
      </c>
      <c r="L791" s="7">
        <v>777.5</v>
      </c>
    </row>
    <row r="792" spans="1:12" x14ac:dyDescent="0.25">
      <c r="A792" s="9">
        <v>45901</v>
      </c>
      <c r="B792" t="s">
        <v>73</v>
      </c>
      <c r="C792" t="s">
        <v>74</v>
      </c>
      <c r="D792" t="s">
        <v>69</v>
      </c>
      <c r="E792" t="s">
        <v>1951</v>
      </c>
      <c r="F792" t="s">
        <v>1940</v>
      </c>
      <c r="G792" s="6">
        <v>1591</v>
      </c>
      <c r="H792" s="8">
        <v>187.2</v>
      </c>
      <c r="I792" s="7">
        <v>277.06</v>
      </c>
      <c r="J792" s="7">
        <v>245.24</v>
      </c>
      <c r="K792" s="6">
        <v>520</v>
      </c>
      <c r="L792" s="7">
        <v>1042.3</v>
      </c>
    </row>
    <row r="793" spans="1:12" x14ac:dyDescent="0.25">
      <c r="A793" s="9">
        <v>45901</v>
      </c>
      <c r="B793" t="s">
        <v>73</v>
      </c>
      <c r="C793" t="s">
        <v>74</v>
      </c>
      <c r="D793" t="s">
        <v>69</v>
      </c>
      <c r="E793" t="s">
        <v>1997</v>
      </c>
      <c r="F793" t="s">
        <v>1946</v>
      </c>
      <c r="G793" s="6">
        <v>1103</v>
      </c>
      <c r="H793" s="8">
        <v>105</v>
      </c>
      <c r="I793" s="7">
        <v>155.4</v>
      </c>
      <c r="J793" s="7">
        <v>232.16</v>
      </c>
      <c r="K793" s="6">
        <v>380</v>
      </c>
      <c r="L793" s="7">
        <v>767.56</v>
      </c>
    </row>
    <row r="794" spans="1:12" x14ac:dyDescent="0.25">
      <c r="A794" s="9">
        <v>45901</v>
      </c>
      <c r="B794" t="s">
        <v>67</v>
      </c>
      <c r="C794" t="s">
        <v>68</v>
      </c>
      <c r="D794" t="s">
        <v>69</v>
      </c>
      <c r="E794" t="s">
        <v>1947</v>
      </c>
      <c r="F794" t="s">
        <v>1946</v>
      </c>
      <c r="G794" s="6">
        <v>1326</v>
      </c>
      <c r="H794" s="8">
        <v>126.3</v>
      </c>
      <c r="I794" s="7">
        <v>186.92</v>
      </c>
      <c r="J794" s="7">
        <v>104.88</v>
      </c>
      <c r="K794" s="6">
        <v>320</v>
      </c>
      <c r="L794" s="7">
        <v>611.79999999999995</v>
      </c>
    </row>
    <row r="795" spans="1:12" x14ac:dyDescent="0.25">
      <c r="A795" s="9">
        <v>45901</v>
      </c>
      <c r="B795" t="s">
        <v>67</v>
      </c>
      <c r="C795" t="s">
        <v>68</v>
      </c>
      <c r="D795" t="s">
        <v>69</v>
      </c>
      <c r="E795" t="s">
        <v>2075</v>
      </c>
      <c r="F795" t="s">
        <v>1940</v>
      </c>
      <c r="G795" s="6">
        <v>845</v>
      </c>
      <c r="H795" s="8">
        <v>99.4</v>
      </c>
      <c r="I795" s="7">
        <v>147.11000000000001</v>
      </c>
      <c r="J795" s="7">
        <v>156.25</v>
      </c>
      <c r="K795" s="6">
        <v>450</v>
      </c>
      <c r="L795" s="7">
        <v>753.36</v>
      </c>
    </row>
    <row r="796" spans="1:12" x14ac:dyDescent="0.25">
      <c r="A796" s="9">
        <v>45901</v>
      </c>
      <c r="B796" t="s">
        <v>67</v>
      </c>
      <c r="C796" t="s">
        <v>68</v>
      </c>
      <c r="D796" t="s">
        <v>69</v>
      </c>
      <c r="E796" t="s">
        <v>2029</v>
      </c>
      <c r="F796" t="s">
        <v>1948</v>
      </c>
      <c r="G796" s="6">
        <v>1265</v>
      </c>
      <c r="H796" s="8">
        <v>148.80000000000001</v>
      </c>
      <c r="I796" s="7">
        <v>220.22</v>
      </c>
      <c r="J796" s="7">
        <v>261.12</v>
      </c>
      <c r="K796" s="6">
        <v>520</v>
      </c>
      <c r="L796" s="7">
        <v>1001.34</v>
      </c>
    </row>
    <row r="797" spans="1:12" x14ac:dyDescent="0.25">
      <c r="A797" s="9">
        <v>45901</v>
      </c>
      <c r="B797" t="s">
        <v>67</v>
      </c>
      <c r="C797" t="s">
        <v>68</v>
      </c>
      <c r="D797" t="s">
        <v>69</v>
      </c>
      <c r="E797" t="s">
        <v>2064</v>
      </c>
      <c r="F797" t="s">
        <v>1946</v>
      </c>
      <c r="G797" s="6">
        <v>655</v>
      </c>
      <c r="H797" s="8">
        <v>62.4</v>
      </c>
      <c r="I797" s="7">
        <v>92.35</v>
      </c>
      <c r="J797" s="7">
        <v>85.77</v>
      </c>
      <c r="K797" s="6">
        <v>380</v>
      </c>
      <c r="L797" s="7">
        <v>558.12</v>
      </c>
    </row>
    <row r="798" spans="1:12" x14ac:dyDescent="0.25">
      <c r="A798" s="9">
        <v>45901</v>
      </c>
      <c r="B798" t="s">
        <v>67</v>
      </c>
      <c r="C798" t="s">
        <v>68</v>
      </c>
      <c r="D798" t="s">
        <v>69</v>
      </c>
      <c r="E798" t="s">
        <v>2014</v>
      </c>
      <c r="F798" t="s">
        <v>1942</v>
      </c>
      <c r="G798" s="6">
        <v>1031</v>
      </c>
      <c r="H798" s="8">
        <v>98.2</v>
      </c>
      <c r="I798" s="7">
        <v>145.34</v>
      </c>
      <c r="J798" s="7">
        <v>143.94999999999999</v>
      </c>
      <c r="K798" s="6">
        <v>450</v>
      </c>
      <c r="L798" s="7">
        <v>739.29</v>
      </c>
    </row>
    <row r="799" spans="1:12" x14ac:dyDescent="0.25">
      <c r="A799" s="9">
        <v>45901</v>
      </c>
      <c r="B799" t="s">
        <v>67</v>
      </c>
      <c r="C799" t="s">
        <v>68</v>
      </c>
      <c r="D799" t="s">
        <v>69</v>
      </c>
      <c r="E799" t="s">
        <v>2079</v>
      </c>
      <c r="F799" t="s">
        <v>1940</v>
      </c>
      <c r="G799" s="6">
        <v>1543</v>
      </c>
      <c r="H799" s="8">
        <v>181.5</v>
      </c>
      <c r="I799" s="7">
        <v>268.62</v>
      </c>
      <c r="J799" s="7">
        <v>39.119999999999997</v>
      </c>
      <c r="K799" s="6">
        <v>450</v>
      </c>
      <c r="L799" s="7">
        <v>757.74</v>
      </c>
    </row>
    <row r="800" spans="1:12" x14ac:dyDescent="0.25">
      <c r="A800" s="9">
        <v>45901</v>
      </c>
      <c r="B800" t="s">
        <v>32</v>
      </c>
      <c r="C800" t="s">
        <v>33</v>
      </c>
      <c r="D800" t="s">
        <v>34</v>
      </c>
      <c r="E800" t="s">
        <v>2006</v>
      </c>
      <c r="F800" t="s">
        <v>1942</v>
      </c>
      <c r="G800" s="6">
        <v>1176</v>
      </c>
      <c r="H800" s="8">
        <v>112</v>
      </c>
      <c r="I800" s="7">
        <v>165.76</v>
      </c>
      <c r="J800" s="7">
        <v>269.13</v>
      </c>
      <c r="K800" s="6">
        <v>450</v>
      </c>
      <c r="L800" s="7">
        <v>884.89</v>
      </c>
    </row>
    <row r="801" spans="1:12" x14ac:dyDescent="0.25">
      <c r="A801" s="9">
        <v>45901</v>
      </c>
      <c r="B801" t="s">
        <v>32</v>
      </c>
      <c r="C801" t="s">
        <v>33</v>
      </c>
      <c r="D801" t="s">
        <v>34</v>
      </c>
      <c r="E801" t="s">
        <v>1990</v>
      </c>
      <c r="F801" t="s">
        <v>1948</v>
      </c>
      <c r="G801" s="6">
        <v>1617</v>
      </c>
      <c r="H801" s="8">
        <v>190.2</v>
      </c>
      <c r="I801" s="7">
        <v>281.5</v>
      </c>
      <c r="J801" s="7">
        <v>217.65</v>
      </c>
      <c r="K801" s="6">
        <v>450</v>
      </c>
      <c r="L801" s="7">
        <v>949.15</v>
      </c>
    </row>
    <row r="802" spans="1:12" x14ac:dyDescent="0.25">
      <c r="A802" s="9">
        <v>45901</v>
      </c>
      <c r="B802" t="s">
        <v>32</v>
      </c>
      <c r="C802" t="s">
        <v>33</v>
      </c>
      <c r="D802" t="s">
        <v>34</v>
      </c>
      <c r="E802" t="s">
        <v>2007</v>
      </c>
      <c r="F802" t="s">
        <v>1942</v>
      </c>
      <c r="G802" s="6">
        <v>1172</v>
      </c>
      <c r="H802" s="8">
        <v>111.6</v>
      </c>
      <c r="I802" s="7">
        <v>165.17</v>
      </c>
      <c r="J802" s="7">
        <v>195.58</v>
      </c>
      <c r="K802" s="6">
        <v>520</v>
      </c>
      <c r="L802" s="7">
        <v>880.75</v>
      </c>
    </row>
    <row r="803" spans="1:12" x14ac:dyDescent="0.25">
      <c r="A803" s="9">
        <v>45901</v>
      </c>
      <c r="B803" t="s">
        <v>32</v>
      </c>
      <c r="C803" t="s">
        <v>33</v>
      </c>
      <c r="D803" t="s">
        <v>34</v>
      </c>
      <c r="E803" t="s">
        <v>1983</v>
      </c>
      <c r="F803" t="s">
        <v>1948</v>
      </c>
      <c r="G803" s="6">
        <v>1098</v>
      </c>
      <c r="H803" s="8">
        <v>129.19999999999999</v>
      </c>
      <c r="I803" s="7">
        <v>191.22</v>
      </c>
      <c r="J803" s="7">
        <v>242.09</v>
      </c>
      <c r="K803" s="6">
        <v>380</v>
      </c>
      <c r="L803" s="7">
        <v>813.31</v>
      </c>
    </row>
    <row r="804" spans="1:12" x14ac:dyDescent="0.25">
      <c r="A804" s="9">
        <v>45901</v>
      </c>
      <c r="B804" t="s">
        <v>32</v>
      </c>
      <c r="C804" t="s">
        <v>33</v>
      </c>
      <c r="D804" t="s">
        <v>34</v>
      </c>
      <c r="E804" t="s">
        <v>1997</v>
      </c>
      <c r="F804" t="s">
        <v>1942</v>
      </c>
      <c r="G804" s="6">
        <v>1158</v>
      </c>
      <c r="H804" s="8">
        <v>110.3</v>
      </c>
      <c r="I804" s="7">
        <v>163.24</v>
      </c>
      <c r="J804" s="7">
        <v>0</v>
      </c>
      <c r="K804" s="6">
        <v>520</v>
      </c>
      <c r="L804" s="7">
        <v>683.24</v>
      </c>
    </row>
    <row r="805" spans="1:12" x14ac:dyDescent="0.25">
      <c r="A805" s="9">
        <v>45901</v>
      </c>
      <c r="B805" t="s">
        <v>32</v>
      </c>
      <c r="C805" t="s">
        <v>33</v>
      </c>
      <c r="D805" t="s">
        <v>34</v>
      </c>
      <c r="E805" t="s">
        <v>2052</v>
      </c>
      <c r="F805" t="s">
        <v>1940</v>
      </c>
      <c r="G805" s="6">
        <v>1220</v>
      </c>
      <c r="H805" s="8">
        <v>143.5</v>
      </c>
      <c r="I805" s="7">
        <v>212.38</v>
      </c>
      <c r="J805" s="7">
        <v>160.09</v>
      </c>
      <c r="K805" s="6">
        <v>320</v>
      </c>
      <c r="L805" s="7">
        <v>692.47</v>
      </c>
    </row>
    <row r="806" spans="1:12" x14ac:dyDescent="0.25">
      <c r="A806" s="9">
        <v>45901</v>
      </c>
      <c r="B806" t="s">
        <v>32</v>
      </c>
      <c r="C806" t="s">
        <v>33</v>
      </c>
      <c r="D806" t="s">
        <v>34</v>
      </c>
      <c r="E806" t="s">
        <v>2076</v>
      </c>
      <c r="F806" t="s">
        <v>1948</v>
      </c>
      <c r="G806" s="6">
        <v>994</v>
      </c>
      <c r="H806" s="8">
        <v>116.9</v>
      </c>
      <c r="I806" s="7">
        <v>173.01</v>
      </c>
      <c r="J806" s="7">
        <v>413.75</v>
      </c>
      <c r="K806" s="6">
        <v>450</v>
      </c>
      <c r="L806" s="7">
        <v>1036.76</v>
      </c>
    </row>
    <row r="807" spans="1:12" x14ac:dyDescent="0.25">
      <c r="A807" s="9">
        <v>45901</v>
      </c>
      <c r="B807" t="s">
        <v>94</v>
      </c>
      <c r="C807" t="s">
        <v>95</v>
      </c>
      <c r="D807" t="s">
        <v>34</v>
      </c>
      <c r="E807" t="s">
        <v>2025</v>
      </c>
      <c r="F807" t="s">
        <v>1942</v>
      </c>
      <c r="G807" s="6">
        <v>881</v>
      </c>
      <c r="H807" s="8">
        <v>83.9</v>
      </c>
      <c r="I807" s="7">
        <v>124.17</v>
      </c>
      <c r="J807" s="7">
        <v>117.75</v>
      </c>
      <c r="K807" s="6">
        <v>380</v>
      </c>
      <c r="L807" s="7">
        <v>621.91999999999996</v>
      </c>
    </row>
    <row r="808" spans="1:12" x14ac:dyDescent="0.25">
      <c r="A808" s="9">
        <v>45901</v>
      </c>
      <c r="B808" t="s">
        <v>94</v>
      </c>
      <c r="C808" t="s">
        <v>95</v>
      </c>
      <c r="D808" t="s">
        <v>34</v>
      </c>
      <c r="E808" t="s">
        <v>2015</v>
      </c>
      <c r="F808" t="s">
        <v>1946</v>
      </c>
      <c r="G808" s="6">
        <v>1547</v>
      </c>
      <c r="H808" s="8">
        <v>147.30000000000001</v>
      </c>
      <c r="I808" s="7">
        <v>218</v>
      </c>
      <c r="J808" s="7">
        <v>83.44</v>
      </c>
      <c r="K808" s="6">
        <v>380</v>
      </c>
      <c r="L808" s="7">
        <v>681.44</v>
      </c>
    </row>
    <row r="809" spans="1:12" x14ac:dyDescent="0.25">
      <c r="A809" s="9">
        <v>45901</v>
      </c>
      <c r="B809" t="s">
        <v>94</v>
      </c>
      <c r="C809" t="s">
        <v>95</v>
      </c>
      <c r="D809" t="s">
        <v>34</v>
      </c>
      <c r="E809" t="s">
        <v>1956</v>
      </c>
      <c r="F809" t="s">
        <v>1940</v>
      </c>
      <c r="G809" s="6">
        <v>912</v>
      </c>
      <c r="H809" s="8">
        <v>107.3</v>
      </c>
      <c r="I809" s="7">
        <v>158.80000000000001</v>
      </c>
      <c r="J809" s="7">
        <v>138.24</v>
      </c>
      <c r="K809" s="6">
        <v>320</v>
      </c>
      <c r="L809" s="7">
        <v>617.04</v>
      </c>
    </row>
    <row r="810" spans="1:12" x14ac:dyDescent="0.25">
      <c r="A810" s="9">
        <v>45901</v>
      </c>
      <c r="B810" t="s">
        <v>41</v>
      </c>
      <c r="C810" t="s">
        <v>42</v>
      </c>
      <c r="D810" t="s">
        <v>34</v>
      </c>
      <c r="E810" t="s">
        <v>1951</v>
      </c>
      <c r="F810" t="s">
        <v>1940</v>
      </c>
      <c r="G810" s="6">
        <v>1260</v>
      </c>
      <c r="H810" s="8">
        <v>148.19999999999999</v>
      </c>
      <c r="I810" s="7">
        <v>219.34</v>
      </c>
      <c r="J810" s="7">
        <v>166.62</v>
      </c>
      <c r="K810" s="6">
        <v>380</v>
      </c>
      <c r="L810" s="7">
        <v>765.96</v>
      </c>
    </row>
    <row r="811" spans="1:12" x14ac:dyDescent="0.25">
      <c r="A811" s="9">
        <v>45901</v>
      </c>
      <c r="B811" t="s">
        <v>41</v>
      </c>
      <c r="C811" t="s">
        <v>42</v>
      </c>
      <c r="D811" t="s">
        <v>34</v>
      </c>
      <c r="E811" t="s">
        <v>1964</v>
      </c>
      <c r="F811" t="s">
        <v>1940</v>
      </c>
      <c r="G811" s="6">
        <v>726</v>
      </c>
      <c r="H811" s="8">
        <v>85.4</v>
      </c>
      <c r="I811" s="7">
        <v>126.39</v>
      </c>
      <c r="J811" s="7">
        <v>107.43</v>
      </c>
      <c r="K811" s="6">
        <v>380</v>
      </c>
      <c r="L811" s="7">
        <v>613.82000000000005</v>
      </c>
    </row>
    <row r="812" spans="1:12" x14ac:dyDescent="0.25">
      <c r="A812" s="9">
        <v>45901</v>
      </c>
      <c r="B812" t="s">
        <v>41</v>
      </c>
      <c r="C812" t="s">
        <v>42</v>
      </c>
      <c r="D812" t="s">
        <v>34</v>
      </c>
      <c r="E812" t="s">
        <v>1973</v>
      </c>
      <c r="F812" t="s">
        <v>1946</v>
      </c>
      <c r="G812" s="6">
        <v>898</v>
      </c>
      <c r="H812" s="8">
        <v>85.5</v>
      </c>
      <c r="I812" s="7">
        <v>126.54</v>
      </c>
      <c r="J812" s="7">
        <v>143.82</v>
      </c>
      <c r="K812" s="6">
        <v>380</v>
      </c>
      <c r="L812" s="7">
        <v>650.36</v>
      </c>
    </row>
    <row r="813" spans="1:12" x14ac:dyDescent="0.25">
      <c r="A813" s="9">
        <v>45901</v>
      </c>
      <c r="B813" t="s">
        <v>47</v>
      </c>
      <c r="C813" t="s">
        <v>48</v>
      </c>
      <c r="D813" t="s">
        <v>34</v>
      </c>
      <c r="E813" t="s">
        <v>2005</v>
      </c>
      <c r="F813" t="s">
        <v>1940</v>
      </c>
      <c r="G813" s="6">
        <v>1156</v>
      </c>
      <c r="H813" s="8">
        <v>136</v>
      </c>
      <c r="I813" s="7">
        <v>201.28</v>
      </c>
      <c r="J813" s="7">
        <v>183.46</v>
      </c>
      <c r="K813" s="6">
        <v>380</v>
      </c>
      <c r="L813" s="7">
        <v>764.74</v>
      </c>
    </row>
    <row r="814" spans="1:12" x14ac:dyDescent="0.25">
      <c r="A814" s="9">
        <v>45901</v>
      </c>
      <c r="B814" t="s">
        <v>47</v>
      </c>
      <c r="C814" t="s">
        <v>48</v>
      </c>
      <c r="D814" t="s">
        <v>34</v>
      </c>
      <c r="E814" t="s">
        <v>2006</v>
      </c>
      <c r="F814" t="s">
        <v>1948</v>
      </c>
      <c r="G814" s="6">
        <v>605</v>
      </c>
      <c r="H814" s="8">
        <v>71.2</v>
      </c>
      <c r="I814" s="7">
        <v>105.38</v>
      </c>
      <c r="J814" s="7">
        <v>335.12</v>
      </c>
      <c r="K814" s="6">
        <v>520</v>
      </c>
      <c r="L814" s="7">
        <v>960.5</v>
      </c>
    </row>
    <row r="815" spans="1:12" x14ac:dyDescent="0.25">
      <c r="A815" s="9">
        <v>45901</v>
      </c>
      <c r="B815" t="s">
        <v>47</v>
      </c>
      <c r="C815" t="s">
        <v>48</v>
      </c>
      <c r="D815" t="s">
        <v>34</v>
      </c>
      <c r="E815" t="s">
        <v>2079</v>
      </c>
      <c r="F815" t="s">
        <v>1948</v>
      </c>
      <c r="G815" s="6">
        <v>1113</v>
      </c>
      <c r="H815" s="8">
        <v>130.9</v>
      </c>
      <c r="I815" s="7">
        <v>193.73</v>
      </c>
      <c r="J815" s="7">
        <v>360.76</v>
      </c>
      <c r="K815" s="6">
        <v>450</v>
      </c>
      <c r="L815" s="7">
        <v>1004.49</v>
      </c>
    </row>
    <row r="816" spans="1:12" x14ac:dyDescent="0.25">
      <c r="A816" s="9">
        <v>45901</v>
      </c>
      <c r="B816" t="s">
        <v>47</v>
      </c>
      <c r="C816" t="s">
        <v>48</v>
      </c>
      <c r="D816" t="s">
        <v>34</v>
      </c>
      <c r="E816" t="s">
        <v>1959</v>
      </c>
      <c r="F816" t="s">
        <v>1948</v>
      </c>
      <c r="G816" s="6">
        <v>1161</v>
      </c>
      <c r="H816" s="8">
        <v>136.6</v>
      </c>
      <c r="I816" s="7">
        <v>202.17</v>
      </c>
      <c r="J816" s="7">
        <v>338.11</v>
      </c>
      <c r="K816" s="6">
        <v>320</v>
      </c>
      <c r="L816" s="7">
        <v>860.28</v>
      </c>
    </row>
    <row r="817" spans="1:12" x14ac:dyDescent="0.25">
      <c r="A817" s="9">
        <v>45901</v>
      </c>
      <c r="B817" t="s">
        <v>121</v>
      </c>
      <c r="C817" t="s">
        <v>122</v>
      </c>
      <c r="D817" t="s">
        <v>34</v>
      </c>
      <c r="E817" t="s">
        <v>1996</v>
      </c>
      <c r="F817" t="s">
        <v>1942</v>
      </c>
      <c r="G817" s="6">
        <v>1166</v>
      </c>
      <c r="H817" s="8">
        <v>111</v>
      </c>
      <c r="I817" s="7">
        <v>164.28</v>
      </c>
      <c r="J817" s="7">
        <v>257.7</v>
      </c>
      <c r="K817" s="6">
        <v>380</v>
      </c>
      <c r="L817" s="7">
        <v>801.98</v>
      </c>
    </row>
    <row r="818" spans="1:12" x14ac:dyDescent="0.25">
      <c r="A818" s="9">
        <v>45901</v>
      </c>
      <c r="B818" t="s">
        <v>121</v>
      </c>
      <c r="C818" t="s">
        <v>122</v>
      </c>
      <c r="D818" t="s">
        <v>34</v>
      </c>
      <c r="E818" t="s">
        <v>1959</v>
      </c>
      <c r="F818" t="s">
        <v>1940</v>
      </c>
      <c r="G818" s="6">
        <v>1180</v>
      </c>
      <c r="H818" s="8">
        <v>138.80000000000001</v>
      </c>
      <c r="I818" s="7">
        <v>205.42</v>
      </c>
      <c r="J818" s="7">
        <v>142.16999999999999</v>
      </c>
      <c r="K818" s="6">
        <v>320</v>
      </c>
      <c r="L818" s="7">
        <v>667.59</v>
      </c>
    </row>
    <row r="819" spans="1:12" x14ac:dyDescent="0.25">
      <c r="A819" s="9">
        <v>45901</v>
      </c>
      <c r="B819" t="s">
        <v>121</v>
      </c>
      <c r="C819" t="s">
        <v>122</v>
      </c>
      <c r="D819" t="s">
        <v>34</v>
      </c>
      <c r="E819" t="s">
        <v>2066</v>
      </c>
      <c r="F819" t="s">
        <v>1940</v>
      </c>
      <c r="G819" s="6">
        <v>1618</v>
      </c>
      <c r="H819" s="8">
        <v>190.4</v>
      </c>
      <c r="I819" s="7">
        <v>281.79000000000002</v>
      </c>
      <c r="J819" s="7">
        <v>221.12</v>
      </c>
      <c r="K819" s="6">
        <v>380</v>
      </c>
      <c r="L819" s="7">
        <v>882.91</v>
      </c>
    </row>
    <row r="820" spans="1:12" x14ac:dyDescent="0.25">
      <c r="A820" s="9">
        <v>45901</v>
      </c>
      <c r="B820" t="s">
        <v>201</v>
      </c>
      <c r="C820" t="s">
        <v>202</v>
      </c>
      <c r="D820" t="s">
        <v>64</v>
      </c>
      <c r="E820" t="s">
        <v>1953</v>
      </c>
      <c r="F820" t="s">
        <v>1942</v>
      </c>
      <c r="G820" s="6">
        <v>1193</v>
      </c>
      <c r="H820" s="8">
        <v>113.6</v>
      </c>
      <c r="I820" s="7">
        <v>168.13</v>
      </c>
      <c r="J820" s="7">
        <v>47.9</v>
      </c>
      <c r="K820" s="6">
        <v>520</v>
      </c>
      <c r="L820" s="7">
        <v>736.03</v>
      </c>
    </row>
    <row r="821" spans="1:12" x14ac:dyDescent="0.25">
      <c r="A821" s="9">
        <v>45901</v>
      </c>
      <c r="B821" t="s">
        <v>201</v>
      </c>
      <c r="C821" t="s">
        <v>202</v>
      </c>
      <c r="D821" t="s">
        <v>64</v>
      </c>
      <c r="E821" t="s">
        <v>2063</v>
      </c>
      <c r="F821" t="s">
        <v>1942</v>
      </c>
      <c r="G821" s="6">
        <v>727</v>
      </c>
      <c r="H821" s="8">
        <v>69.2</v>
      </c>
      <c r="I821" s="7">
        <v>102.42</v>
      </c>
      <c r="J821" s="7">
        <v>173.42</v>
      </c>
      <c r="K821" s="6">
        <v>320</v>
      </c>
      <c r="L821" s="7">
        <v>595.84</v>
      </c>
    </row>
    <row r="822" spans="1:12" x14ac:dyDescent="0.25">
      <c r="A822" s="9">
        <v>45901</v>
      </c>
      <c r="B822" t="s">
        <v>201</v>
      </c>
      <c r="C822" t="s">
        <v>202</v>
      </c>
      <c r="D822" t="s">
        <v>64</v>
      </c>
      <c r="E822" t="s">
        <v>1963</v>
      </c>
      <c r="F822" t="s">
        <v>1940</v>
      </c>
      <c r="G822" s="6">
        <v>1086</v>
      </c>
      <c r="H822" s="8">
        <v>127.8</v>
      </c>
      <c r="I822" s="7">
        <v>189.14</v>
      </c>
      <c r="J822" s="7">
        <v>100.87</v>
      </c>
      <c r="K822" s="6">
        <v>520</v>
      </c>
      <c r="L822" s="7">
        <v>810.01</v>
      </c>
    </row>
    <row r="823" spans="1:12" x14ac:dyDescent="0.25">
      <c r="A823" s="9">
        <v>45901</v>
      </c>
      <c r="B823" t="s">
        <v>201</v>
      </c>
      <c r="C823" t="s">
        <v>202</v>
      </c>
      <c r="D823" t="s">
        <v>64</v>
      </c>
      <c r="E823" t="s">
        <v>2074</v>
      </c>
      <c r="F823" t="s">
        <v>1940</v>
      </c>
      <c r="G823" s="6">
        <v>1085</v>
      </c>
      <c r="H823" s="8">
        <v>127.6</v>
      </c>
      <c r="I823" s="7">
        <v>188.85</v>
      </c>
      <c r="J823" s="7">
        <v>277.08999999999997</v>
      </c>
      <c r="K823" s="6">
        <v>520</v>
      </c>
      <c r="L823" s="7">
        <v>985.94</v>
      </c>
    </row>
    <row r="824" spans="1:12" x14ac:dyDescent="0.25">
      <c r="A824" s="9">
        <v>45901</v>
      </c>
      <c r="B824" t="s">
        <v>118</v>
      </c>
      <c r="C824" t="s">
        <v>119</v>
      </c>
      <c r="D824" t="s">
        <v>64</v>
      </c>
      <c r="E824" t="s">
        <v>2078</v>
      </c>
      <c r="F824" t="s">
        <v>1948</v>
      </c>
      <c r="G824" s="6">
        <v>1223</v>
      </c>
      <c r="H824" s="8">
        <v>143.9</v>
      </c>
      <c r="I824" s="7">
        <v>212.97</v>
      </c>
      <c r="J824" s="7">
        <v>158.72</v>
      </c>
      <c r="K824" s="6">
        <v>380</v>
      </c>
      <c r="L824" s="7">
        <v>751.69</v>
      </c>
    </row>
    <row r="825" spans="1:12" x14ac:dyDescent="0.25">
      <c r="A825" s="9">
        <v>45901</v>
      </c>
      <c r="B825" t="s">
        <v>118</v>
      </c>
      <c r="C825" t="s">
        <v>119</v>
      </c>
      <c r="D825" t="s">
        <v>64</v>
      </c>
      <c r="E825" t="s">
        <v>1968</v>
      </c>
      <c r="F825" t="s">
        <v>1948</v>
      </c>
      <c r="G825" s="6">
        <v>1022</v>
      </c>
      <c r="H825" s="8">
        <v>120.2</v>
      </c>
      <c r="I825" s="7">
        <v>177.9</v>
      </c>
      <c r="J825" s="7">
        <v>185.6</v>
      </c>
      <c r="K825" s="6">
        <v>450</v>
      </c>
      <c r="L825" s="7">
        <v>813.5</v>
      </c>
    </row>
    <row r="826" spans="1:12" x14ac:dyDescent="0.25">
      <c r="A826" s="9">
        <v>45901</v>
      </c>
      <c r="B826" t="s">
        <v>118</v>
      </c>
      <c r="C826" t="s">
        <v>119</v>
      </c>
      <c r="D826" t="s">
        <v>64</v>
      </c>
      <c r="E826" t="s">
        <v>2022</v>
      </c>
      <c r="F826" t="s">
        <v>1942</v>
      </c>
      <c r="G826" s="6">
        <v>953</v>
      </c>
      <c r="H826" s="8">
        <v>90.8</v>
      </c>
      <c r="I826" s="7">
        <v>134.38</v>
      </c>
      <c r="J826" s="7">
        <v>116.91</v>
      </c>
      <c r="K826" s="6">
        <v>520</v>
      </c>
      <c r="L826" s="7">
        <v>771.29</v>
      </c>
    </row>
    <row r="827" spans="1:12" x14ac:dyDescent="0.25">
      <c r="A827" s="9">
        <v>45901</v>
      </c>
      <c r="B827" t="s">
        <v>118</v>
      </c>
      <c r="C827" t="s">
        <v>119</v>
      </c>
      <c r="D827" t="s">
        <v>64</v>
      </c>
      <c r="E827" t="s">
        <v>2066</v>
      </c>
      <c r="F827" t="s">
        <v>1940</v>
      </c>
      <c r="G827" s="6">
        <v>930</v>
      </c>
      <c r="H827" s="8">
        <v>109.4</v>
      </c>
      <c r="I827" s="7">
        <v>161.91</v>
      </c>
      <c r="J827" s="7">
        <v>49.59</v>
      </c>
      <c r="K827" s="6">
        <v>380</v>
      </c>
      <c r="L827" s="7">
        <v>591.5</v>
      </c>
    </row>
    <row r="828" spans="1:12" x14ac:dyDescent="0.25">
      <c r="A828" s="9">
        <v>45901</v>
      </c>
      <c r="B828" t="s">
        <v>62</v>
      </c>
      <c r="C828" t="s">
        <v>63</v>
      </c>
      <c r="D828" t="s">
        <v>64</v>
      </c>
      <c r="E828" t="s">
        <v>1962</v>
      </c>
      <c r="F828" t="s">
        <v>1946</v>
      </c>
      <c r="G828" s="6">
        <v>1018</v>
      </c>
      <c r="H828" s="8">
        <v>97</v>
      </c>
      <c r="I828" s="7">
        <v>143.56</v>
      </c>
      <c r="J828" s="7">
        <v>105.15</v>
      </c>
      <c r="K828" s="6">
        <v>320</v>
      </c>
      <c r="L828" s="7">
        <v>568.71</v>
      </c>
    </row>
    <row r="829" spans="1:12" x14ac:dyDescent="0.25">
      <c r="A829" s="9">
        <v>45901</v>
      </c>
      <c r="B829" t="s">
        <v>62</v>
      </c>
      <c r="C829" t="s">
        <v>63</v>
      </c>
      <c r="D829" t="s">
        <v>64</v>
      </c>
      <c r="E829" t="s">
        <v>2038</v>
      </c>
      <c r="F829" t="s">
        <v>1942</v>
      </c>
      <c r="G829" s="6">
        <v>317</v>
      </c>
      <c r="H829" s="8">
        <v>30.2</v>
      </c>
      <c r="I829" s="7">
        <v>44.7</v>
      </c>
      <c r="J829" s="7">
        <v>314.24</v>
      </c>
      <c r="K829" s="6">
        <v>520</v>
      </c>
      <c r="L829" s="7">
        <v>878.94</v>
      </c>
    </row>
    <row r="830" spans="1:12" x14ac:dyDescent="0.25">
      <c r="A830" s="9">
        <v>45901</v>
      </c>
      <c r="B830" t="s">
        <v>62</v>
      </c>
      <c r="C830" t="s">
        <v>63</v>
      </c>
      <c r="D830" t="s">
        <v>64</v>
      </c>
      <c r="E830" t="s">
        <v>1985</v>
      </c>
      <c r="F830" t="s">
        <v>1948</v>
      </c>
      <c r="G830" s="6">
        <v>1322</v>
      </c>
      <c r="H830" s="8">
        <v>155.5</v>
      </c>
      <c r="I830" s="7">
        <v>230.14</v>
      </c>
      <c r="J830" s="7">
        <v>219.9</v>
      </c>
      <c r="K830" s="6">
        <v>320</v>
      </c>
      <c r="L830" s="7">
        <v>770.04</v>
      </c>
    </row>
    <row r="831" spans="1:12" x14ac:dyDescent="0.25">
      <c r="A831" s="9">
        <v>45901</v>
      </c>
      <c r="B831" t="s">
        <v>62</v>
      </c>
      <c r="C831" t="s">
        <v>63</v>
      </c>
      <c r="D831" t="s">
        <v>64</v>
      </c>
      <c r="E831" t="s">
        <v>2025</v>
      </c>
      <c r="F831" t="s">
        <v>1946</v>
      </c>
      <c r="G831" s="6">
        <v>1054</v>
      </c>
      <c r="H831" s="8">
        <v>100.4</v>
      </c>
      <c r="I831" s="7">
        <v>148.59</v>
      </c>
      <c r="J831" s="7">
        <v>56.27</v>
      </c>
      <c r="K831" s="6">
        <v>380</v>
      </c>
      <c r="L831" s="7">
        <v>584.86</v>
      </c>
    </row>
    <row r="832" spans="1:12" x14ac:dyDescent="0.25">
      <c r="A832" s="9">
        <v>45901</v>
      </c>
      <c r="B832" t="s">
        <v>91</v>
      </c>
      <c r="C832" t="s">
        <v>92</v>
      </c>
      <c r="D832" t="s">
        <v>64</v>
      </c>
      <c r="E832" t="s">
        <v>2042</v>
      </c>
      <c r="F832" t="s">
        <v>1948</v>
      </c>
      <c r="G832" s="6">
        <v>1473</v>
      </c>
      <c r="H832" s="8">
        <v>173.3</v>
      </c>
      <c r="I832" s="7">
        <v>256.48</v>
      </c>
      <c r="J832" s="7">
        <v>401.78</v>
      </c>
      <c r="K832" s="6">
        <v>380</v>
      </c>
      <c r="L832" s="7">
        <v>1038.26</v>
      </c>
    </row>
    <row r="833" spans="1:12" x14ac:dyDescent="0.25">
      <c r="A833" s="9">
        <v>45901</v>
      </c>
      <c r="B833" t="s">
        <v>91</v>
      </c>
      <c r="C833" t="s">
        <v>92</v>
      </c>
      <c r="D833" t="s">
        <v>64</v>
      </c>
      <c r="E833" t="s">
        <v>2024</v>
      </c>
      <c r="F833" t="s">
        <v>1948</v>
      </c>
      <c r="G833" s="6">
        <v>1089</v>
      </c>
      <c r="H833" s="8">
        <v>128.1</v>
      </c>
      <c r="I833" s="7">
        <v>189.59</v>
      </c>
      <c r="J833" s="7">
        <v>331.88</v>
      </c>
      <c r="K833" s="6">
        <v>520</v>
      </c>
      <c r="L833" s="7">
        <v>1041.47</v>
      </c>
    </row>
    <row r="834" spans="1:12" x14ac:dyDescent="0.25">
      <c r="A834" s="9">
        <v>45901</v>
      </c>
      <c r="B834" t="s">
        <v>91</v>
      </c>
      <c r="C834" t="s">
        <v>92</v>
      </c>
      <c r="D834" t="s">
        <v>64</v>
      </c>
      <c r="E834" t="s">
        <v>1996</v>
      </c>
      <c r="F834" t="s">
        <v>1948</v>
      </c>
      <c r="G834" s="6">
        <v>1093</v>
      </c>
      <c r="H834" s="8">
        <v>128.6</v>
      </c>
      <c r="I834" s="7">
        <v>190.33</v>
      </c>
      <c r="J834" s="7">
        <v>143.06</v>
      </c>
      <c r="K834" s="6">
        <v>380</v>
      </c>
      <c r="L834" s="7">
        <v>713.39</v>
      </c>
    </row>
    <row r="835" spans="1:12" x14ac:dyDescent="0.25">
      <c r="A835" s="9">
        <v>45901</v>
      </c>
      <c r="B835" t="s">
        <v>91</v>
      </c>
      <c r="C835" t="s">
        <v>92</v>
      </c>
      <c r="D835" t="s">
        <v>64</v>
      </c>
      <c r="E835" t="s">
        <v>1984</v>
      </c>
      <c r="F835" t="s">
        <v>1942</v>
      </c>
      <c r="G835" s="6">
        <v>947</v>
      </c>
      <c r="H835" s="8">
        <v>90.2</v>
      </c>
      <c r="I835" s="7">
        <v>133.5</v>
      </c>
      <c r="J835" s="7">
        <v>160.55000000000001</v>
      </c>
      <c r="K835" s="6">
        <v>520</v>
      </c>
      <c r="L835" s="7">
        <v>814.05</v>
      </c>
    </row>
    <row r="836" spans="1:12" x14ac:dyDescent="0.25">
      <c r="A836" s="9">
        <v>45901</v>
      </c>
      <c r="B836" t="s">
        <v>91</v>
      </c>
      <c r="C836" t="s">
        <v>92</v>
      </c>
      <c r="D836" t="s">
        <v>64</v>
      </c>
      <c r="E836" t="s">
        <v>2069</v>
      </c>
      <c r="F836" t="s">
        <v>1942</v>
      </c>
      <c r="G836" s="6">
        <v>936</v>
      </c>
      <c r="H836" s="8">
        <v>89.1</v>
      </c>
      <c r="I836" s="7">
        <v>131.87</v>
      </c>
      <c r="J836" s="7">
        <v>132.51</v>
      </c>
      <c r="K836" s="6">
        <v>380</v>
      </c>
      <c r="L836" s="7">
        <v>644.38</v>
      </c>
    </row>
    <row r="837" spans="1:12" x14ac:dyDescent="0.25">
      <c r="A837" s="9">
        <v>45901</v>
      </c>
      <c r="B837" t="s">
        <v>80</v>
      </c>
      <c r="C837" t="s">
        <v>81</v>
      </c>
      <c r="D837" t="s">
        <v>64</v>
      </c>
      <c r="E837" t="s">
        <v>2063</v>
      </c>
      <c r="F837" t="s">
        <v>1946</v>
      </c>
      <c r="G837" s="6">
        <v>1027</v>
      </c>
      <c r="H837" s="8">
        <v>97.8</v>
      </c>
      <c r="I837" s="7">
        <v>144.74</v>
      </c>
      <c r="J837" s="7">
        <v>143.53</v>
      </c>
      <c r="K837" s="6">
        <v>520</v>
      </c>
      <c r="L837" s="7">
        <v>808.27</v>
      </c>
    </row>
    <row r="838" spans="1:12" x14ac:dyDescent="0.25">
      <c r="A838" s="9">
        <v>45901</v>
      </c>
      <c r="B838" t="s">
        <v>80</v>
      </c>
      <c r="C838" t="s">
        <v>81</v>
      </c>
      <c r="D838" t="s">
        <v>64</v>
      </c>
      <c r="E838" t="s">
        <v>2025</v>
      </c>
      <c r="F838" t="s">
        <v>1948</v>
      </c>
      <c r="G838" s="6">
        <v>1063</v>
      </c>
      <c r="H838" s="8">
        <v>125.1</v>
      </c>
      <c r="I838" s="7">
        <v>185.15</v>
      </c>
      <c r="J838" s="7">
        <v>165.15</v>
      </c>
      <c r="K838" s="6">
        <v>320</v>
      </c>
      <c r="L838" s="7">
        <v>670.3</v>
      </c>
    </row>
    <row r="839" spans="1:12" x14ac:dyDescent="0.25">
      <c r="A839" s="9">
        <v>45901</v>
      </c>
      <c r="B839" t="s">
        <v>80</v>
      </c>
      <c r="C839" t="s">
        <v>81</v>
      </c>
      <c r="D839" t="s">
        <v>64</v>
      </c>
      <c r="E839" t="s">
        <v>1957</v>
      </c>
      <c r="F839" t="s">
        <v>1940</v>
      </c>
      <c r="G839" s="6">
        <v>870</v>
      </c>
      <c r="H839" s="8">
        <v>102.4</v>
      </c>
      <c r="I839" s="7">
        <v>151.55000000000001</v>
      </c>
      <c r="J839" s="7">
        <v>47.23</v>
      </c>
      <c r="K839" s="6">
        <v>520</v>
      </c>
      <c r="L839" s="7">
        <v>718.78</v>
      </c>
    </row>
    <row r="840" spans="1:12" x14ac:dyDescent="0.25">
      <c r="A840" s="9">
        <v>45901</v>
      </c>
      <c r="B840" t="s">
        <v>80</v>
      </c>
      <c r="C840" t="s">
        <v>81</v>
      </c>
      <c r="D840" t="s">
        <v>64</v>
      </c>
      <c r="E840" t="s">
        <v>2062</v>
      </c>
      <c r="F840" t="s">
        <v>1948</v>
      </c>
      <c r="G840" s="6">
        <v>1294</v>
      </c>
      <c r="H840" s="8">
        <v>152.19999999999999</v>
      </c>
      <c r="I840" s="7">
        <v>225.26</v>
      </c>
      <c r="J840" s="7">
        <v>81.55</v>
      </c>
      <c r="K840" s="6">
        <v>380</v>
      </c>
      <c r="L840" s="7">
        <v>686.81</v>
      </c>
    </row>
    <row r="841" spans="1:12" x14ac:dyDescent="0.25">
      <c r="A841" s="9">
        <v>45901</v>
      </c>
      <c r="B841" t="s">
        <v>56</v>
      </c>
      <c r="C841" t="s">
        <v>57</v>
      </c>
      <c r="D841" t="s">
        <v>58</v>
      </c>
      <c r="E841" t="s">
        <v>1986</v>
      </c>
      <c r="F841" t="s">
        <v>1942</v>
      </c>
      <c r="G841" s="6">
        <v>1338</v>
      </c>
      <c r="H841" s="8">
        <v>127.4</v>
      </c>
      <c r="I841" s="7">
        <v>188.55</v>
      </c>
      <c r="J841" s="7">
        <v>260.91000000000003</v>
      </c>
      <c r="K841" s="6">
        <v>450</v>
      </c>
      <c r="L841" s="7">
        <v>899.46</v>
      </c>
    </row>
    <row r="842" spans="1:12" x14ac:dyDescent="0.25">
      <c r="A842" s="9">
        <v>45901</v>
      </c>
      <c r="B842" t="s">
        <v>56</v>
      </c>
      <c r="C842" t="s">
        <v>57</v>
      </c>
      <c r="D842" t="s">
        <v>58</v>
      </c>
      <c r="E842" t="s">
        <v>1981</v>
      </c>
      <c r="F842" t="s">
        <v>1948</v>
      </c>
      <c r="G842" s="6">
        <v>974</v>
      </c>
      <c r="H842" s="8">
        <v>114.6</v>
      </c>
      <c r="I842" s="7">
        <v>169.61</v>
      </c>
      <c r="J842" s="7">
        <v>41.75</v>
      </c>
      <c r="K842" s="6">
        <v>450</v>
      </c>
      <c r="L842" s="7">
        <v>661.36</v>
      </c>
    </row>
    <row r="843" spans="1:12" x14ac:dyDescent="0.25">
      <c r="A843" s="9">
        <v>45901</v>
      </c>
      <c r="B843" t="s">
        <v>56</v>
      </c>
      <c r="C843" t="s">
        <v>57</v>
      </c>
      <c r="D843" t="s">
        <v>58</v>
      </c>
      <c r="E843" t="s">
        <v>1979</v>
      </c>
      <c r="F843" t="s">
        <v>1946</v>
      </c>
      <c r="G843" s="6">
        <v>959</v>
      </c>
      <c r="H843" s="8">
        <v>91.3</v>
      </c>
      <c r="I843" s="7">
        <v>135.12</v>
      </c>
      <c r="J843" s="7">
        <v>144.87</v>
      </c>
      <c r="K843" s="6">
        <v>450</v>
      </c>
      <c r="L843" s="7">
        <v>729.99</v>
      </c>
    </row>
    <row r="844" spans="1:12" x14ac:dyDescent="0.25">
      <c r="A844" s="9">
        <v>45901</v>
      </c>
      <c r="B844" t="s">
        <v>56</v>
      </c>
      <c r="C844" t="s">
        <v>57</v>
      </c>
      <c r="D844" t="s">
        <v>58</v>
      </c>
      <c r="E844" t="s">
        <v>1990</v>
      </c>
      <c r="F844" t="s">
        <v>1948</v>
      </c>
      <c r="G844" s="6">
        <v>797</v>
      </c>
      <c r="H844" s="8">
        <v>93.8</v>
      </c>
      <c r="I844" s="7">
        <v>138.82</v>
      </c>
      <c r="J844" s="7">
        <v>208.78</v>
      </c>
      <c r="K844" s="6">
        <v>520</v>
      </c>
      <c r="L844" s="7">
        <v>867.6</v>
      </c>
    </row>
    <row r="845" spans="1:12" x14ac:dyDescent="0.25">
      <c r="A845" s="9">
        <v>45901</v>
      </c>
      <c r="B845" t="s">
        <v>56</v>
      </c>
      <c r="C845" t="s">
        <v>57</v>
      </c>
      <c r="D845" t="s">
        <v>58</v>
      </c>
      <c r="E845" t="s">
        <v>1995</v>
      </c>
      <c r="F845" t="s">
        <v>1940</v>
      </c>
      <c r="G845" s="6">
        <v>1432</v>
      </c>
      <c r="H845" s="8">
        <v>168.5</v>
      </c>
      <c r="I845" s="7">
        <v>249.38</v>
      </c>
      <c r="J845" s="7">
        <v>203.19</v>
      </c>
      <c r="K845" s="6">
        <v>320</v>
      </c>
      <c r="L845" s="7">
        <v>772.57</v>
      </c>
    </row>
    <row r="846" spans="1:12" x14ac:dyDescent="0.25">
      <c r="A846" s="9">
        <v>45901</v>
      </c>
      <c r="B846" t="s">
        <v>56</v>
      </c>
      <c r="C846" t="s">
        <v>57</v>
      </c>
      <c r="D846" t="s">
        <v>58</v>
      </c>
      <c r="E846" t="s">
        <v>2028</v>
      </c>
      <c r="F846" t="s">
        <v>1948</v>
      </c>
      <c r="G846" s="6">
        <v>818</v>
      </c>
      <c r="H846" s="8">
        <v>96.2</v>
      </c>
      <c r="I846" s="7">
        <v>142.38</v>
      </c>
      <c r="J846" s="7">
        <v>122.19</v>
      </c>
      <c r="K846" s="6">
        <v>450</v>
      </c>
      <c r="L846" s="7">
        <v>714.57</v>
      </c>
    </row>
    <row r="847" spans="1:12" x14ac:dyDescent="0.25">
      <c r="A847" s="9">
        <v>45901</v>
      </c>
      <c r="B847" t="s">
        <v>56</v>
      </c>
      <c r="C847" t="s">
        <v>57</v>
      </c>
      <c r="D847" t="s">
        <v>58</v>
      </c>
      <c r="E847" t="s">
        <v>2013</v>
      </c>
      <c r="F847" t="s">
        <v>1942</v>
      </c>
      <c r="G847" s="6">
        <v>968</v>
      </c>
      <c r="H847" s="8">
        <v>92.2</v>
      </c>
      <c r="I847" s="7">
        <v>136.46</v>
      </c>
      <c r="J847" s="7">
        <v>132.91999999999999</v>
      </c>
      <c r="K847" s="6">
        <v>450</v>
      </c>
      <c r="L847" s="7">
        <v>719.38</v>
      </c>
    </row>
    <row r="848" spans="1:12" x14ac:dyDescent="0.25">
      <c r="A848" s="9">
        <v>45901</v>
      </c>
      <c r="B848" t="s">
        <v>77</v>
      </c>
      <c r="C848" t="s">
        <v>78</v>
      </c>
      <c r="D848" t="s">
        <v>58</v>
      </c>
      <c r="E848" t="s">
        <v>2050</v>
      </c>
      <c r="F848" t="s">
        <v>1942</v>
      </c>
      <c r="G848" s="6">
        <v>1174</v>
      </c>
      <c r="H848" s="8">
        <v>111.8</v>
      </c>
      <c r="I848" s="7">
        <v>165.46</v>
      </c>
      <c r="J848" s="7">
        <v>107.17</v>
      </c>
      <c r="K848" s="6">
        <v>320</v>
      </c>
      <c r="L848" s="7">
        <v>592.63</v>
      </c>
    </row>
    <row r="849" spans="1:12" x14ac:dyDescent="0.25">
      <c r="A849" s="9">
        <v>45901</v>
      </c>
      <c r="B849" t="s">
        <v>77</v>
      </c>
      <c r="C849" t="s">
        <v>78</v>
      </c>
      <c r="D849" t="s">
        <v>58</v>
      </c>
      <c r="E849" t="s">
        <v>2028</v>
      </c>
      <c r="F849" t="s">
        <v>1948</v>
      </c>
      <c r="G849" s="6">
        <v>1177</v>
      </c>
      <c r="H849" s="8">
        <v>138.5</v>
      </c>
      <c r="I849" s="7">
        <v>204.98</v>
      </c>
      <c r="J849" s="7">
        <v>404.81</v>
      </c>
      <c r="K849" s="6">
        <v>380</v>
      </c>
      <c r="L849" s="7">
        <v>989.79</v>
      </c>
    </row>
    <row r="850" spans="1:12" x14ac:dyDescent="0.25">
      <c r="A850" s="9">
        <v>45901</v>
      </c>
      <c r="B850" t="s">
        <v>77</v>
      </c>
      <c r="C850" t="s">
        <v>78</v>
      </c>
      <c r="D850" t="s">
        <v>58</v>
      </c>
      <c r="E850" t="s">
        <v>2051</v>
      </c>
      <c r="F850" t="s">
        <v>1948</v>
      </c>
      <c r="G850" s="6">
        <v>1253</v>
      </c>
      <c r="H850" s="8">
        <v>147.4</v>
      </c>
      <c r="I850" s="7">
        <v>218.15</v>
      </c>
      <c r="J850" s="7">
        <v>246.15</v>
      </c>
      <c r="K850" s="6">
        <v>450</v>
      </c>
      <c r="L850" s="7">
        <v>914.3</v>
      </c>
    </row>
    <row r="851" spans="1:12" x14ac:dyDescent="0.25">
      <c r="A851" s="9">
        <v>45901</v>
      </c>
      <c r="B851" t="s">
        <v>77</v>
      </c>
      <c r="C851" t="s">
        <v>78</v>
      </c>
      <c r="D851" t="s">
        <v>58</v>
      </c>
      <c r="E851" t="s">
        <v>2023</v>
      </c>
      <c r="F851" t="s">
        <v>1940</v>
      </c>
      <c r="G851" s="6">
        <v>1004</v>
      </c>
      <c r="H851" s="8">
        <v>118.1</v>
      </c>
      <c r="I851" s="7">
        <v>174.79</v>
      </c>
      <c r="J851" s="7">
        <v>121.47</v>
      </c>
      <c r="K851" s="6">
        <v>520</v>
      </c>
      <c r="L851" s="7">
        <v>816.26</v>
      </c>
    </row>
    <row r="852" spans="1:12" x14ac:dyDescent="0.25">
      <c r="A852" s="9">
        <v>45901</v>
      </c>
      <c r="B852" t="s">
        <v>77</v>
      </c>
      <c r="C852" t="s">
        <v>78</v>
      </c>
      <c r="D852" t="s">
        <v>58</v>
      </c>
      <c r="E852" t="s">
        <v>2057</v>
      </c>
      <c r="F852" t="s">
        <v>1942</v>
      </c>
      <c r="G852" s="6">
        <v>1345</v>
      </c>
      <c r="H852" s="8">
        <v>128.1</v>
      </c>
      <c r="I852" s="7">
        <v>189.59</v>
      </c>
      <c r="J852" s="7">
        <v>99.81</v>
      </c>
      <c r="K852" s="6">
        <v>380</v>
      </c>
      <c r="L852" s="7">
        <v>669.4</v>
      </c>
    </row>
    <row r="853" spans="1:12" x14ac:dyDescent="0.25">
      <c r="A853" s="9">
        <v>45901</v>
      </c>
      <c r="B853" t="s">
        <v>77</v>
      </c>
      <c r="C853" t="s">
        <v>78</v>
      </c>
      <c r="D853" t="s">
        <v>58</v>
      </c>
      <c r="E853" t="s">
        <v>1945</v>
      </c>
      <c r="F853" t="s">
        <v>1940</v>
      </c>
      <c r="G853" s="6">
        <v>1061</v>
      </c>
      <c r="H853" s="8">
        <v>124.8</v>
      </c>
      <c r="I853" s="7">
        <v>184.7</v>
      </c>
      <c r="J853" s="7">
        <v>154.1</v>
      </c>
      <c r="K853" s="6">
        <v>380</v>
      </c>
      <c r="L853" s="7">
        <v>718.8</v>
      </c>
    </row>
    <row r="854" spans="1:12" x14ac:dyDescent="0.25">
      <c r="A854" s="9">
        <v>45901</v>
      </c>
      <c r="B854" t="s">
        <v>110</v>
      </c>
      <c r="C854" t="s">
        <v>111</v>
      </c>
      <c r="D854" t="s">
        <v>58</v>
      </c>
      <c r="E854" t="s">
        <v>1962</v>
      </c>
      <c r="F854" t="s">
        <v>1946</v>
      </c>
      <c r="G854" s="6">
        <v>924</v>
      </c>
      <c r="H854" s="8">
        <v>88</v>
      </c>
      <c r="I854" s="7">
        <v>130.24</v>
      </c>
      <c r="J854" s="7">
        <v>40.200000000000003</v>
      </c>
      <c r="K854" s="6">
        <v>320</v>
      </c>
      <c r="L854" s="7">
        <v>490.44</v>
      </c>
    </row>
    <row r="855" spans="1:12" x14ac:dyDescent="0.25">
      <c r="A855" s="9">
        <v>45901</v>
      </c>
      <c r="B855" t="s">
        <v>110</v>
      </c>
      <c r="C855" t="s">
        <v>111</v>
      </c>
      <c r="D855" t="s">
        <v>58</v>
      </c>
      <c r="E855" t="s">
        <v>2007</v>
      </c>
      <c r="F855" t="s">
        <v>1948</v>
      </c>
      <c r="G855" s="6">
        <v>1130</v>
      </c>
      <c r="H855" s="8">
        <v>132.9</v>
      </c>
      <c r="I855" s="7">
        <v>196.69</v>
      </c>
      <c r="J855" s="7">
        <v>245.12</v>
      </c>
      <c r="K855" s="6">
        <v>380</v>
      </c>
      <c r="L855" s="7">
        <v>821.81</v>
      </c>
    </row>
    <row r="856" spans="1:12" x14ac:dyDescent="0.25">
      <c r="A856" s="9">
        <v>45901</v>
      </c>
      <c r="B856" t="s">
        <v>110</v>
      </c>
      <c r="C856" t="s">
        <v>111</v>
      </c>
      <c r="D856" t="s">
        <v>58</v>
      </c>
      <c r="E856" t="s">
        <v>2049</v>
      </c>
      <c r="F856" t="s">
        <v>1946</v>
      </c>
      <c r="G856" s="6">
        <v>1175</v>
      </c>
      <c r="H856" s="8">
        <v>111.9</v>
      </c>
      <c r="I856" s="7">
        <v>165.61</v>
      </c>
      <c r="J856" s="7">
        <v>107.31</v>
      </c>
      <c r="K856" s="6">
        <v>450</v>
      </c>
      <c r="L856" s="7">
        <v>722.92</v>
      </c>
    </row>
    <row r="857" spans="1:12" x14ac:dyDescent="0.25">
      <c r="A857" s="9">
        <v>45901</v>
      </c>
      <c r="B857" t="s">
        <v>110</v>
      </c>
      <c r="C857" t="s">
        <v>111</v>
      </c>
      <c r="D857" t="s">
        <v>58</v>
      </c>
      <c r="E857" t="s">
        <v>1972</v>
      </c>
      <c r="F857" t="s">
        <v>1946</v>
      </c>
      <c r="G857" s="6">
        <v>1355</v>
      </c>
      <c r="H857" s="8">
        <v>129</v>
      </c>
      <c r="I857" s="7">
        <v>190.92</v>
      </c>
      <c r="J857" s="7">
        <v>79.86</v>
      </c>
      <c r="K857" s="6">
        <v>320</v>
      </c>
      <c r="L857" s="7">
        <v>590.78</v>
      </c>
    </row>
    <row r="858" spans="1:12" x14ac:dyDescent="0.25">
      <c r="A858" s="9">
        <v>45901</v>
      </c>
      <c r="B858" t="s">
        <v>85</v>
      </c>
      <c r="C858" t="s">
        <v>86</v>
      </c>
      <c r="D858" t="s">
        <v>58</v>
      </c>
      <c r="E858" t="s">
        <v>2074</v>
      </c>
      <c r="F858" t="s">
        <v>1946</v>
      </c>
      <c r="G858" s="6">
        <v>1478</v>
      </c>
      <c r="H858" s="8">
        <v>140.80000000000001</v>
      </c>
      <c r="I858" s="7">
        <v>208.38</v>
      </c>
      <c r="J858" s="7">
        <v>10.19</v>
      </c>
      <c r="K858" s="6">
        <v>450</v>
      </c>
      <c r="L858" s="7">
        <v>668.57</v>
      </c>
    </row>
    <row r="859" spans="1:12" x14ac:dyDescent="0.25">
      <c r="A859" s="9">
        <v>45901</v>
      </c>
      <c r="B859" t="s">
        <v>85</v>
      </c>
      <c r="C859" t="s">
        <v>86</v>
      </c>
      <c r="D859" t="s">
        <v>58</v>
      </c>
      <c r="E859" t="s">
        <v>2072</v>
      </c>
      <c r="F859" t="s">
        <v>1942</v>
      </c>
      <c r="G859" s="6">
        <v>1158</v>
      </c>
      <c r="H859" s="8">
        <v>110.3</v>
      </c>
      <c r="I859" s="7">
        <v>163.24</v>
      </c>
      <c r="J859" s="7">
        <v>188.03</v>
      </c>
      <c r="K859" s="6">
        <v>520</v>
      </c>
      <c r="L859" s="7">
        <v>871.27</v>
      </c>
    </row>
    <row r="860" spans="1:12" x14ac:dyDescent="0.25">
      <c r="A860" s="9">
        <v>45901</v>
      </c>
      <c r="B860" t="s">
        <v>85</v>
      </c>
      <c r="C860" t="s">
        <v>86</v>
      </c>
      <c r="D860" t="s">
        <v>58</v>
      </c>
      <c r="E860" t="s">
        <v>2061</v>
      </c>
      <c r="F860" t="s">
        <v>1948</v>
      </c>
      <c r="G860" s="6">
        <v>851</v>
      </c>
      <c r="H860" s="8">
        <v>100.1</v>
      </c>
      <c r="I860" s="7">
        <v>148.15</v>
      </c>
      <c r="J860" s="7">
        <v>283.95</v>
      </c>
      <c r="K860" s="6">
        <v>520</v>
      </c>
      <c r="L860" s="7">
        <v>952.1</v>
      </c>
    </row>
    <row r="861" spans="1:12" x14ac:dyDescent="0.25">
      <c r="A861" s="9">
        <v>45901</v>
      </c>
      <c r="B861" t="s">
        <v>85</v>
      </c>
      <c r="C861" t="s">
        <v>86</v>
      </c>
      <c r="D861" t="s">
        <v>58</v>
      </c>
      <c r="E861" t="s">
        <v>2073</v>
      </c>
      <c r="F861" t="s">
        <v>1940</v>
      </c>
      <c r="G861" s="6">
        <v>1369</v>
      </c>
      <c r="H861" s="8">
        <v>161.1</v>
      </c>
      <c r="I861" s="7">
        <v>238.43</v>
      </c>
      <c r="J861" s="7">
        <v>0</v>
      </c>
      <c r="K861" s="6">
        <v>520</v>
      </c>
      <c r="L861" s="7">
        <v>758.43</v>
      </c>
    </row>
    <row r="862" spans="1:12" x14ac:dyDescent="0.25">
      <c r="A862" s="9">
        <v>45901</v>
      </c>
      <c r="B862" t="s">
        <v>103</v>
      </c>
      <c r="C862" t="s">
        <v>104</v>
      </c>
      <c r="D862" t="s">
        <v>58</v>
      </c>
      <c r="E862" t="s">
        <v>2002</v>
      </c>
      <c r="F862" t="s">
        <v>1948</v>
      </c>
      <c r="G862" s="6">
        <v>1175</v>
      </c>
      <c r="H862" s="8">
        <v>138.19999999999999</v>
      </c>
      <c r="I862" s="7">
        <v>204.54</v>
      </c>
      <c r="J862" s="7">
        <v>50.54</v>
      </c>
      <c r="K862" s="6">
        <v>380</v>
      </c>
      <c r="L862" s="7">
        <v>635.08000000000004</v>
      </c>
    </row>
    <row r="863" spans="1:12" x14ac:dyDescent="0.25">
      <c r="A863" s="9">
        <v>45901</v>
      </c>
      <c r="B863" t="s">
        <v>103</v>
      </c>
      <c r="C863" t="s">
        <v>104</v>
      </c>
      <c r="D863" t="s">
        <v>58</v>
      </c>
      <c r="E863" t="s">
        <v>2077</v>
      </c>
      <c r="F863" t="s">
        <v>1942</v>
      </c>
      <c r="G863" s="6">
        <v>808</v>
      </c>
      <c r="H863" s="8">
        <v>77</v>
      </c>
      <c r="I863" s="7">
        <v>113.96</v>
      </c>
      <c r="J863" s="7">
        <v>280.33</v>
      </c>
      <c r="K863" s="6">
        <v>320</v>
      </c>
      <c r="L863" s="7">
        <v>714.29</v>
      </c>
    </row>
    <row r="864" spans="1:12" x14ac:dyDescent="0.25">
      <c r="A864" s="9">
        <v>45901</v>
      </c>
      <c r="B864" t="s">
        <v>103</v>
      </c>
      <c r="C864" t="s">
        <v>104</v>
      </c>
      <c r="D864" t="s">
        <v>58</v>
      </c>
      <c r="E864" t="s">
        <v>1939</v>
      </c>
      <c r="F864" t="s">
        <v>1940</v>
      </c>
      <c r="G864" s="6">
        <v>904</v>
      </c>
      <c r="H864" s="8">
        <v>106.4</v>
      </c>
      <c r="I864" s="7">
        <v>157.47</v>
      </c>
      <c r="J864" s="7">
        <v>56.09</v>
      </c>
      <c r="K864" s="6">
        <v>380</v>
      </c>
      <c r="L864" s="7">
        <v>593.55999999999995</v>
      </c>
    </row>
    <row r="865" spans="1:12" x14ac:dyDescent="0.25">
      <c r="A865" s="9">
        <v>45901</v>
      </c>
      <c r="B865" t="s">
        <v>103</v>
      </c>
      <c r="C865" t="s">
        <v>104</v>
      </c>
      <c r="D865" t="s">
        <v>58</v>
      </c>
      <c r="E865" t="s">
        <v>2078</v>
      </c>
      <c r="F865" t="s">
        <v>1946</v>
      </c>
      <c r="G865" s="6">
        <v>1000</v>
      </c>
      <c r="H865" s="8">
        <v>95.2</v>
      </c>
      <c r="I865" s="7">
        <v>140.9</v>
      </c>
      <c r="J865" s="7">
        <v>315.43</v>
      </c>
      <c r="K865" s="6">
        <v>520</v>
      </c>
      <c r="L865" s="7">
        <v>976.33</v>
      </c>
    </row>
    <row r="866" spans="1:12" x14ac:dyDescent="0.25">
      <c r="A866" s="9">
        <v>45901</v>
      </c>
      <c r="B866" t="s">
        <v>103</v>
      </c>
      <c r="C866" t="s">
        <v>104</v>
      </c>
      <c r="D866" t="s">
        <v>58</v>
      </c>
      <c r="E866" t="s">
        <v>1994</v>
      </c>
      <c r="F866" t="s">
        <v>1946</v>
      </c>
      <c r="G866" s="6">
        <v>592</v>
      </c>
      <c r="H866" s="8">
        <v>56.4</v>
      </c>
      <c r="I866" s="7">
        <v>83.47</v>
      </c>
      <c r="J866" s="7">
        <v>65.900000000000006</v>
      </c>
      <c r="K866" s="6">
        <v>380</v>
      </c>
      <c r="L866" s="7">
        <v>529.37</v>
      </c>
    </row>
    <row r="867" spans="1:12" x14ac:dyDescent="0.25">
      <c r="A867" s="9">
        <v>45901</v>
      </c>
      <c r="B867" t="s">
        <v>103</v>
      </c>
      <c r="C867" t="s">
        <v>104</v>
      </c>
      <c r="D867" t="s">
        <v>58</v>
      </c>
      <c r="E867" t="s">
        <v>2032</v>
      </c>
      <c r="F867" t="s">
        <v>1940</v>
      </c>
      <c r="G867" s="6">
        <v>1424</v>
      </c>
      <c r="H867" s="8">
        <v>167.5</v>
      </c>
      <c r="I867" s="7">
        <v>247.9</v>
      </c>
      <c r="J867" s="7">
        <v>298.62</v>
      </c>
      <c r="K867" s="6">
        <v>380</v>
      </c>
      <c r="L867" s="7">
        <v>926.52</v>
      </c>
    </row>
    <row r="868" spans="1:12" x14ac:dyDescent="0.25">
      <c r="A868" s="9">
        <v>45931</v>
      </c>
      <c r="B868" t="s">
        <v>100</v>
      </c>
      <c r="C868" t="s">
        <v>101</v>
      </c>
      <c r="D868" t="s">
        <v>69</v>
      </c>
      <c r="E868" t="s">
        <v>1952</v>
      </c>
      <c r="F868" t="s">
        <v>1948</v>
      </c>
      <c r="G868" s="6">
        <v>1024</v>
      </c>
      <c r="H868" s="8">
        <v>120.5</v>
      </c>
      <c r="I868" s="7">
        <v>178.34</v>
      </c>
      <c r="J868" s="7">
        <v>150.88</v>
      </c>
      <c r="K868" s="6">
        <v>380</v>
      </c>
      <c r="L868" s="7">
        <v>709.22</v>
      </c>
    </row>
    <row r="869" spans="1:12" x14ac:dyDescent="0.25">
      <c r="A869" s="9">
        <v>45931</v>
      </c>
      <c r="B869" t="s">
        <v>100</v>
      </c>
      <c r="C869" t="s">
        <v>101</v>
      </c>
      <c r="D869" t="s">
        <v>69</v>
      </c>
      <c r="E869" t="s">
        <v>1941</v>
      </c>
      <c r="F869" t="s">
        <v>1940</v>
      </c>
      <c r="G869" s="6">
        <v>1573</v>
      </c>
      <c r="H869" s="8">
        <v>185.1</v>
      </c>
      <c r="I869" s="7">
        <v>273.95</v>
      </c>
      <c r="J869" s="7">
        <v>277.56</v>
      </c>
      <c r="K869" s="6">
        <v>320</v>
      </c>
      <c r="L869" s="7">
        <v>871.51</v>
      </c>
    </row>
    <row r="870" spans="1:12" x14ac:dyDescent="0.25">
      <c r="A870" s="9">
        <v>45931</v>
      </c>
      <c r="B870" t="s">
        <v>100</v>
      </c>
      <c r="C870" t="s">
        <v>101</v>
      </c>
      <c r="D870" t="s">
        <v>69</v>
      </c>
      <c r="E870" t="s">
        <v>2015</v>
      </c>
      <c r="F870" t="s">
        <v>1946</v>
      </c>
      <c r="G870" s="6">
        <v>1219</v>
      </c>
      <c r="H870" s="8">
        <v>116.1</v>
      </c>
      <c r="I870" s="7">
        <v>171.83</v>
      </c>
      <c r="J870" s="7">
        <v>85.01</v>
      </c>
      <c r="K870" s="6">
        <v>380</v>
      </c>
      <c r="L870" s="7">
        <v>636.84</v>
      </c>
    </row>
    <row r="871" spans="1:12" x14ac:dyDescent="0.25">
      <c r="A871" s="9">
        <v>45931</v>
      </c>
      <c r="B871" t="s">
        <v>100</v>
      </c>
      <c r="C871" t="s">
        <v>101</v>
      </c>
      <c r="D871" t="s">
        <v>69</v>
      </c>
      <c r="E871" t="s">
        <v>1963</v>
      </c>
      <c r="F871" t="s">
        <v>1940</v>
      </c>
      <c r="G871" s="6">
        <v>1037</v>
      </c>
      <c r="H871" s="8">
        <v>122</v>
      </c>
      <c r="I871" s="7">
        <v>180.56</v>
      </c>
      <c r="J871" s="7">
        <v>137.16999999999999</v>
      </c>
      <c r="K871" s="6">
        <v>380</v>
      </c>
      <c r="L871" s="7">
        <v>697.73</v>
      </c>
    </row>
    <row r="872" spans="1:12" x14ac:dyDescent="0.25">
      <c r="A872" s="9">
        <v>45931</v>
      </c>
      <c r="B872" t="s">
        <v>100</v>
      </c>
      <c r="C872" t="s">
        <v>101</v>
      </c>
      <c r="D872" t="s">
        <v>69</v>
      </c>
      <c r="E872" t="s">
        <v>1975</v>
      </c>
      <c r="F872" t="s">
        <v>1948</v>
      </c>
      <c r="G872" s="6">
        <v>1132</v>
      </c>
      <c r="H872" s="8">
        <v>133.19999999999999</v>
      </c>
      <c r="I872" s="7">
        <v>197.14</v>
      </c>
      <c r="J872" s="7">
        <v>366.08</v>
      </c>
      <c r="K872" s="6">
        <v>450</v>
      </c>
      <c r="L872" s="7">
        <v>1013.22</v>
      </c>
    </row>
    <row r="873" spans="1:12" x14ac:dyDescent="0.25">
      <c r="A873" s="9">
        <v>45931</v>
      </c>
      <c r="B873" t="s">
        <v>100</v>
      </c>
      <c r="C873" t="s">
        <v>101</v>
      </c>
      <c r="D873" t="s">
        <v>69</v>
      </c>
      <c r="E873" t="s">
        <v>2074</v>
      </c>
      <c r="F873" t="s">
        <v>1942</v>
      </c>
      <c r="G873" s="6">
        <v>1269</v>
      </c>
      <c r="H873" s="8">
        <v>120.9</v>
      </c>
      <c r="I873" s="7">
        <v>178.93</v>
      </c>
      <c r="J873" s="7">
        <v>63.81</v>
      </c>
      <c r="K873" s="6">
        <v>320</v>
      </c>
      <c r="L873" s="7">
        <v>562.74</v>
      </c>
    </row>
    <row r="874" spans="1:12" x14ac:dyDescent="0.25">
      <c r="A874" s="9">
        <v>45931</v>
      </c>
      <c r="B874" t="s">
        <v>113</v>
      </c>
      <c r="C874" t="s">
        <v>114</v>
      </c>
      <c r="D874" t="s">
        <v>69</v>
      </c>
      <c r="E874" t="s">
        <v>1968</v>
      </c>
      <c r="F874" t="s">
        <v>1942</v>
      </c>
      <c r="G874" s="6">
        <v>1394</v>
      </c>
      <c r="H874" s="8">
        <v>132.80000000000001</v>
      </c>
      <c r="I874" s="7">
        <v>196.54</v>
      </c>
      <c r="J874" s="7">
        <v>175.05</v>
      </c>
      <c r="K874" s="6">
        <v>520</v>
      </c>
      <c r="L874" s="7">
        <v>891.59</v>
      </c>
    </row>
    <row r="875" spans="1:12" x14ac:dyDescent="0.25">
      <c r="A875" s="9">
        <v>45931</v>
      </c>
      <c r="B875" t="s">
        <v>113</v>
      </c>
      <c r="C875" t="s">
        <v>114</v>
      </c>
      <c r="D875" t="s">
        <v>69</v>
      </c>
      <c r="E875" t="s">
        <v>1980</v>
      </c>
      <c r="F875" t="s">
        <v>1946</v>
      </c>
      <c r="G875" s="6">
        <v>1221</v>
      </c>
      <c r="H875" s="8">
        <v>116.3</v>
      </c>
      <c r="I875" s="7">
        <v>172.12</v>
      </c>
      <c r="J875" s="7">
        <v>267.32</v>
      </c>
      <c r="K875" s="6">
        <v>320</v>
      </c>
      <c r="L875" s="7">
        <v>759.44</v>
      </c>
    </row>
    <row r="876" spans="1:12" x14ac:dyDescent="0.25">
      <c r="A876" s="9">
        <v>45931</v>
      </c>
      <c r="B876" t="s">
        <v>113</v>
      </c>
      <c r="C876" t="s">
        <v>114</v>
      </c>
      <c r="D876" t="s">
        <v>69</v>
      </c>
      <c r="E876" t="s">
        <v>1967</v>
      </c>
      <c r="F876" t="s">
        <v>1948</v>
      </c>
      <c r="G876" s="6">
        <v>772</v>
      </c>
      <c r="H876" s="8">
        <v>90.8</v>
      </c>
      <c r="I876" s="7">
        <v>134.38</v>
      </c>
      <c r="J876" s="7">
        <v>247.13</v>
      </c>
      <c r="K876" s="6">
        <v>450</v>
      </c>
      <c r="L876" s="7">
        <v>831.51</v>
      </c>
    </row>
    <row r="877" spans="1:12" x14ac:dyDescent="0.25">
      <c r="A877" s="9">
        <v>45931</v>
      </c>
      <c r="B877" t="s">
        <v>113</v>
      </c>
      <c r="C877" t="s">
        <v>114</v>
      </c>
      <c r="D877" t="s">
        <v>69</v>
      </c>
      <c r="E877" t="s">
        <v>2066</v>
      </c>
      <c r="F877" t="s">
        <v>1942</v>
      </c>
      <c r="G877" s="6">
        <v>917</v>
      </c>
      <c r="H877" s="8">
        <v>87.3</v>
      </c>
      <c r="I877" s="7">
        <v>129.19999999999999</v>
      </c>
      <c r="J877" s="7">
        <v>24.57</v>
      </c>
      <c r="K877" s="6">
        <v>520</v>
      </c>
      <c r="L877" s="7">
        <v>673.77</v>
      </c>
    </row>
    <row r="878" spans="1:12" x14ac:dyDescent="0.25">
      <c r="A878" s="9">
        <v>45931</v>
      </c>
      <c r="B878" t="s">
        <v>113</v>
      </c>
      <c r="C878" t="s">
        <v>114</v>
      </c>
      <c r="D878" t="s">
        <v>69</v>
      </c>
      <c r="E878" t="s">
        <v>2048</v>
      </c>
      <c r="F878" t="s">
        <v>1948</v>
      </c>
      <c r="G878" s="6">
        <v>1136</v>
      </c>
      <c r="H878" s="8">
        <v>133.6</v>
      </c>
      <c r="I878" s="7">
        <v>197.73</v>
      </c>
      <c r="J878" s="7">
        <v>450.92</v>
      </c>
      <c r="K878" s="6">
        <v>320</v>
      </c>
      <c r="L878" s="7">
        <v>968.65</v>
      </c>
    </row>
    <row r="879" spans="1:12" x14ac:dyDescent="0.25">
      <c r="A879" s="9">
        <v>45931</v>
      </c>
      <c r="B879" t="s">
        <v>113</v>
      </c>
      <c r="C879" t="s">
        <v>114</v>
      </c>
      <c r="D879" t="s">
        <v>69</v>
      </c>
      <c r="E879" t="s">
        <v>2013</v>
      </c>
      <c r="F879" t="s">
        <v>1940</v>
      </c>
      <c r="G879" s="6">
        <v>589</v>
      </c>
      <c r="H879" s="8">
        <v>69.3</v>
      </c>
      <c r="I879" s="7">
        <v>102.56</v>
      </c>
      <c r="J879" s="7">
        <v>147.41999999999999</v>
      </c>
      <c r="K879" s="6">
        <v>520</v>
      </c>
      <c r="L879" s="7">
        <v>769.98</v>
      </c>
    </row>
    <row r="880" spans="1:12" x14ac:dyDescent="0.25">
      <c r="A880" s="9">
        <v>45931</v>
      </c>
      <c r="B880" t="s">
        <v>113</v>
      </c>
      <c r="C880" t="s">
        <v>114</v>
      </c>
      <c r="D880" t="s">
        <v>69</v>
      </c>
      <c r="E880" t="s">
        <v>1939</v>
      </c>
      <c r="F880" t="s">
        <v>1946</v>
      </c>
      <c r="G880" s="6">
        <v>1210</v>
      </c>
      <c r="H880" s="8">
        <v>115.2</v>
      </c>
      <c r="I880" s="7">
        <v>170.5</v>
      </c>
      <c r="J880" s="7">
        <v>159.85</v>
      </c>
      <c r="K880" s="6">
        <v>520</v>
      </c>
      <c r="L880" s="7">
        <v>850.35</v>
      </c>
    </row>
    <row r="881" spans="1:12" x14ac:dyDescent="0.25">
      <c r="A881" s="9">
        <v>45931</v>
      </c>
      <c r="B881" t="s">
        <v>143</v>
      </c>
      <c r="C881" t="s">
        <v>144</v>
      </c>
      <c r="D881" t="s">
        <v>69</v>
      </c>
      <c r="E881" t="s">
        <v>2074</v>
      </c>
      <c r="F881" t="s">
        <v>1946</v>
      </c>
      <c r="G881" s="6">
        <v>1021</v>
      </c>
      <c r="H881" s="8">
        <v>97.2</v>
      </c>
      <c r="I881" s="7">
        <v>143.86000000000001</v>
      </c>
      <c r="J881" s="7">
        <v>46.06</v>
      </c>
      <c r="K881" s="6">
        <v>520</v>
      </c>
      <c r="L881" s="7">
        <v>709.92</v>
      </c>
    </row>
    <row r="882" spans="1:12" x14ac:dyDescent="0.25">
      <c r="A882" s="9">
        <v>45931</v>
      </c>
      <c r="B882" t="s">
        <v>143</v>
      </c>
      <c r="C882" t="s">
        <v>144</v>
      </c>
      <c r="D882" t="s">
        <v>69</v>
      </c>
      <c r="E882" t="s">
        <v>2069</v>
      </c>
      <c r="F882" t="s">
        <v>1940</v>
      </c>
      <c r="G882" s="6">
        <v>1108</v>
      </c>
      <c r="H882" s="8">
        <v>130.4</v>
      </c>
      <c r="I882" s="7">
        <v>192.99</v>
      </c>
      <c r="J882" s="7">
        <v>89.46</v>
      </c>
      <c r="K882" s="6">
        <v>520</v>
      </c>
      <c r="L882" s="7">
        <v>802.45</v>
      </c>
    </row>
    <row r="883" spans="1:12" x14ac:dyDescent="0.25">
      <c r="A883" s="9">
        <v>45931</v>
      </c>
      <c r="B883" t="s">
        <v>143</v>
      </c>
      <c r="C883" t="s">
        <v>144</v>
      </c>
      <c r="D883" t="s">
        <v>69</v>
      </c>
      <c r="E883" t="s">
        <v>1967</v>
      </c>
      <c r="F883" t="s">
        <v>1942</v>
      </c>
      <c r="G883" s="6">
        <v>502</v>
      </c>
      <c r="H883" s="8">
        <v>47.8</v>
      </c>
      <c r="I883" s="7">
        <v>70.739999999999995</v>
      </c>
      <c r="J883" s="7">
        <v>245.57</v>
      </c>
      <c r="K883" s="6">
        <v>320</v>
      </c>
      <c r="L883" s="7">
        <v>636.30999999999995</v>
      </c>
    </row>
    <row r="884" spans="1:12" x14ac:dyDescent="0.25">
      <c r="A884" s="9">
        <v>45931</v>
      </c>
      <c r="B884" t="s">
        <v>143</v>
      </c>
      <c r="C884" t="s">
        <v>144</v>
      </c>
      <c r="D884" t="s">
        <v>69</v>
      </c>
      <c r="E884" t="s">
        <v>2068</v>
      </c>
      <c r="F884" t="s">
        <v>1948</v>
      </c>
      <c r="G884" s="6">
        <v>1289</v>
      </c>
      <c r="H884" s="8">
        <v>151.6</v>
      </c>
      <c r="I884" s="7">
        <v>224.37</v>
      </c>
      <c r="J884" s="7">
        <v>254.13</v>
      </c>
      <c r="K884" s="6">
        <v>450</v>
      </c>
      <c r="L884" s="7">
        <v>928.5</v>
      </c>
    </row>
    <row r="885" spans="1:12" x14ac:dyDescent="0.25">
      <c r="A885" s="9">
        <v>45931</v>
      </c>
      <c r="B885" t="s">
        <v>143</v>
      </c>
      <c r="C885" t="s">
        <v>144</v>
      </c>
      <c r="D885" t="s">
        <v>69</v>
      </c>
      <c r="E885" t="s">
        <v>1950</v>
      </c>
      <c r="F885" t="s">
        <v>1948</v>
      </c>
      <c r="G885" s="6">
        <v>1107</v>
      </c>
      <c r="H885" s="8">
        <v>130.19999999999999</v>
      </c>
      <c r="I885" s="7">
        <v>192.7</v>
      </c>
      <c r="J885" s="7">
        <v>335.95</v>
      </c>
      <c r="K885" s="6">
        <v>450</v>
      </c>
      <c r="L885" s="7">
        <v>978.65</v>
      </c>
    </row>
    <row r="886" spans="1:12" x14ac:dyDescent="0.25">
      <c r="A886" s="9">
        <v>45931</v>
      </c>
      <c r="B886" t="s">
        <v>73</v>
      </c>
      <c r="C886" t="s">
        <v>74</v>
      </c>
      <c r="D886" t="s">
        <v>69</v>
      </c>
      <c r="E886" t="s">
        <v>2032</v>
      </c>
      <c r="F886" t="s">
        <v>1946</v>
      </c>
      <c r="G886" s="6">
        <v>1106</v>
      </c>
      <c r="H886" s="8">
        <v>105.3</v>
      </c>
      <c r="I886" s="7">
        <v>155.84</v>
      </c>
      <c r="J886" s="7">
        <v>222.32</v>
      </c>
      <c r="K886" s="6">
        <v>520</v>
      </c>
      <c r="L886" s="7">
        <v>898.16</v>
      </c>
    </row>
    <row r="887" spans="1:12" x14ac:dyDescent="0.25">
      <c r="A887" s="9">
        <v>45931</v>
      </c>
      <c r="B887" t="s">
        <v>73</v>
      </c>
      <c r="C887" t="s">
        <v>74</v>
      </c>
      <c r="D887" t="s">
        <v>69</v>
      </c>
      <c r="E887" t="s">
        <v>2026</v>
      </c>
      <c r="F887" t="s">
        <v>1946</v>
      </c>
      <c r="G887" s="6">
        <v>975</v>
      </c>
      <c r="H887" s="8">
        <v>92.9</v>
      </c>
      <c r="I887" s="7">
        <v>137.49</v>
      </c>
      <c r="J887" s="7">
        <v>254.96</v>
      </c>
      <c r="K887" s="6">
        <v>520</v>
      </c>
      <c r="L887" s="7">
        <v>912.45</v>
      </c>
    </row>
    <row r="888" spans="1:12" x14ac:dyDescent="0.25">
      <c r="A888" s="9">
        <v>45931</v>
      </c>
      <c r="B888" t="s">
        <v>73</v>
      </c>
      <c r="C888" t="s">
        <v>74</v>
      </c>
      <c r="D888" t="s">
        <v>69</v>
      </c>
      <c r="E888" t="s">
        <v>2039</v>
      </c>
      <c r="F888" t="s">
        <v>1948</v>
      </c>
      <c r="G888" s="6">
        <v>1130</v>
      </c>
      <c r="H888" s="8">
        <v>132.9</v>
      </c>
      <c r="I888" s="7">
        <v>196.69</v>
      </c>
      <c r="J888" s="7">
        <v>265.52</v>
      </c>
      <c r="K888" s="6">
        <v>320</v>
      </c>
      <c r="L888" s="7">
        <v>782.21</v>
      </c>
    </row>
    <row r="889" spans="1:12" x14ac:dyDescent="0.25">
      <c r="A889" s="9">
        <v>45931</v>
      </c>
      <c r="B889" t="s">
        <v>73</v>
      </c>
      <c r="C889" t="s">
        <v>74</v>
      </c>
      <c r="D889" t="s">
        <v>69</v>
      </c>
      <c r="E889" t="s">
        <v>2063</v>
      </c>
      <c r="F889" t="s">
        <v>1940</v>
      </c>
      <c r="G889" s="6">
        <v>732</v>
      </c>
      <c r="H889" s="8">
        <v>86.1</v>
      </c>
      <c r="I889" s="7">
        <v>127.43</v>
      </c>
      <c r="J889" s="7">
        <v>172.96</v>
      </c>
      <c r="K889" s="6">
        <v>520</v>
      </c>
      <c r="L889" s="7">
        <v>820.39</v>
      </c>
    </row>
    <row r="890" spans="1:12" x14ac:dyDescent="0.25">
      <c r="A890" s="9">
        <v>45931</v>
      </c>
      <c r="B890" t="s">
        <v>73</v>
      </c>
      <c r="C890" t="s">
        <v>74</v>
      </c>
      <c r="D890" t="s">
        <v>69</v>
      </c>
      <c r="E890" t="s">
        <v>1953</v>
      </c>
      <c r="F890" t="s">
        <v>1940</v>
      </c>
      <c r="G890" s="6">
        <v>842</v>
      </c>
      <c r="H890" s="8">
        <v>99.1</v>
      </c>
      <c r="I890" s="7">
        <v>146.66999999999999</v>
      </c>
      <c r="J890" s="7">
        <v>98.94</v>
      </c>
      <c r="K890" s="6">
        <v>320</v>
      </c>
      <c r="L890" s="7">
        <v>565.61</v>
      </c>
    </row>
    <row r="891" spans="1:12" x14ac:dyDescent="0.25">
      <c r="A891" s="9">
        <v>45931</v>
      </c>
      <c r="B891" t="s">
        <v>73</v>
      </c>
      <c r="C891" t="s">
        <v>74</v>
      </c>
      <c r="D891" t="s">
        <v>69</v>
      </c>
      <c r="E891" t="s">
        <v>2004</v>
      </c>
      <c r="F891" t="s">
        <v>1942</v>
      </c>
      <c r="G891" s="6">
        <v>846</v>
      </c>
      <c r="H891" s="8">
        <v>80.599999999999994</v>
      </c>
      <c r="I891" s="7">
        <v>119.29</v>
      </c>
      <c r="J891" s="7">
        <v>64.7</v>
      </c>
      <c r="K891" s="6">
        <v>320</v>
      </c>
      <c r="L891" s="7">
        <v>503.99</v>
      </c>
    </row>
    <row r="892" spans="1:12" x14ac:dyDescent="0.25">
      <c r="A892" s="9">
        <v>45931</v>
      </c>
      <c r="B892" t="s">
        <v>67</v>
      </c>
      <c r="C892" t="s">
        <v>68</v>
      </c>
      <c r="D892" t="s">
        <v>69</v>
      </c>
      <c r="E892" t="s">
        <v>2023</v>
      </c>
      <c r="F892" t="s">
        <v>1948</v>
      </c>
      <c r="G892" s="6">
        <v>1581</v>
      </c>
      <c r="H892" s="8">
        <v>186</v>
      </c>
      <c r="I892" s="7">
        <v>275.27999999999997</v>
      </c>
      <c r="J892" s="7">
        <v>356.51</v>
      </c>
      <c r="K892" s="6">
        <v>520</v>
      </c>
      <c r="L892" s="7">
        <v>1151.79</v>
      </c>
    </row>
    <row r="893" spans="1:12" x14ac:dyDescent="0.25">
      <c r="A893" s="9">
        <v>45931</v>
      </c>
      <c r="B893" t="s">
        <v>67</v>
      </c>
      <c r="C893" t="s">
        <v>68</v>
      </c>
      <c r="D893" t="s">
        <v>69</v>
      </c>
      <c r="E893" t="s">
        <v>1958</v>
      </c>
      <c r="F893" t="s">
        <v>1940</v>
      </c>
      <c r="G893" s="6">
        <v>1530</v>
      </c>
      <c r="H893" s="8">
        <v>180</v>
      </c>
      <c r="I893" s="7">
        <v>266.39999999999998</v>
      </c>
      <c r="J893" s="7">
        <v>52.17</v>
      </c>
      <c r="K893" s="6">
        <v>320</v>
      </c>
      <c r="L893" s="7">
        <v>638.57000000000005</v>
      </c>
    </row>
    <row r="894" spans="1:12" x14ac:dyDescent="0.25">
      <c r="A894" s="9">
        <v>45931</v>
      </c>
      <c r="B894" t="s">
        <v>67</v>
      </c>
      <c r="C894" t="s">
        <v>68</v>
      </c>
      <c r="D894" t="s">
        <v>69</v>
      </c>
      <c r="E894" t="s">
        <v>2000</v>
      </c>
      <c r="F894" t="s">
        <v>1940</v>
      </c>
      <c r="G894" s="6">
        <v>1067</v>
      </c>
      <c r="H894" s="8">
        <v>125.5</v>
      </c>
      <c r="I894" s="7">
        <v>185.74</v>
      </c>
      <c r="J894" s="7">
        <v>46.52</v>
      </c>
      <c r="K894" s="6">
        <v>520</v>
      </c>
      <c r="L894" s="7">
        <v>752.26</v>
      </c>
    </row>
    <row r="895" spans="1:12" x14ac:dyDescent="0.25">
      <c r="A895" s="9">
        <v>45931</v>
      </c>
      <c r="B895" t="s">
        <v>67</v>
      </c>
      <c r="C895" t="s">
        <v>68</v>
      </c>
      <c r="D895" t="s">
        <v>69</v>
      </c>
      <c r="E895" t="s">
        <v>1950</v>
      </c>
      <c r="F895" t="s">
        <v>1942</v>
      </c>
      <c r="G895" s="6">
        <v>876</v>
      </c>
      <c r="H895" s="8">
        <v>83.4</v>
      </c>
      <c r="I895" s="7">
        <v>123.43</v>
      </c>
      <c r="J895" s="7">
        <v>76.55</v>
      </c>
      <c r="K895" s="6">
        <v>380</v>
      </c>
      <c r="L895" s="7">
        <v>579.98</v>
      </c>
    </row>
    <row r="896" spans="1:12" x14ac:dyDescent="0.25">
      <c r="A896" s="9">
        <v>45931</v>
      </c>
      <c r="B896" t="s">
        <v>67</v>
      </c>
      <c r="C896" t="s">
        <v>68</v>
      </c>
      <c r="D896" t="s">
        <v>69</v>
      </c>
      <c r="E896" t="s">
        <v>2052</v>
      </c>
      <c r="F896" t="s">
        <v>1946</v>
      </c>
      <c r="G896" s="6">
        <v>1359</v>
      </c>
      <c r="H896" s="8">
        <v>129.4</v>
      </c>
      <c r="I896" s="7">
        <v>191.51</v>
      </c>
      <c r="J896" s="7">
        <v>118.3</v>
      </c>
      <c r="K896" s="6">
        <v>320</v>
      </c>
      <c r="L896" s="7">
        <v>629.80999999999995</v>
      </c>
    </row>
    <row r="897" spans="1:12" x14ac:dyDescent="0.25">
      <c r="A897" s="9">
        <v>45931</v>
      </c>
      <c r="B897" t="s">
        <v>67</v>
      </c>
      <c r="C897" t="s">
        <v>68</v>
      </c>
      <c r="D897" t="s">
        <v>69</v>
      </c>
      <c r="E897" t="s">
        <v>1952</v>
      </c>
      <c r="F897" t="s">
        <v>1948</v>
      </c>
      <c r="G897" s="6">
        <v>1317</v>
      </c>
      <c r="H897" s="8">
        <v>154.9</v>
      </c>
      <c r="I897" s="7">
        <v>229.25</v>
      </c>
      <c r="J897" s="7">
        <v>298.33</v>
      </c>
      <c r="K897" s="6">
        <v>320</v>
      </c>
      <c r="L897" s="7">
        <v>847.58</v>
      </c>
    </row>
    <row r="898" spans="1:12" x14ac:dyDescent="0.25">
      <c r="A898" s="9">
        <v>45931</v>
      </c>
      <c r="B898" t="s">
        <v>67</v>
      </c>
      <c r="C898" t="s">
        <v>68</v>
      </c>
      <c r="D898" t="s">
        <v>69</v>
      </c>
      <c r="E898" t="s">
        <v>2055</v>
      </c>
      <c r="F898" t="s">
        <v>1948</v>
      </c>
      <c r="G898" s="6">
        <v>1625</v>
      </c>
      <c r="H898" s="8">
        <v>191.2</v>
      </c>
      <c r="I898" s="7">
        <v>282.98</v>
      </c>
      <c r="J898" s="7">
        <v>131.63999999999999</v>
      </c>
      <c r="K898" s="6">
        <v>520</v>
      </c>
      <c r="L898" s="7">
        <v>934.62</v>
      </c>
    </row>
    <row r="899" spans="1:12" x14ac:dyDescent="0.25">
      <c r="A899" s="9">
        <v>45931</v>
      </c>
      <c r="B899" t="s">
        <v>32</v>
      </c>
      <c r="C899" t="s">
        <v>33</v>
      </c>
      <c r="D899" t="s">
        <v>34</v>
      </c>
      <c r="E899" t="s">
        <v>1990</v>
      </c>
      <c r="F899" t="s">
        <v>1948</v>
      </c>
      <c r="G899" s="6">
        <v>1364</v>
      </c>
      <c r="H899" s="8">
        <v>160.5</v>
      </c>
      <c r="I899" s="7">
        <v>237.54</v>
      </c>
      <c r="J899" s="7">
        <v>341.72</v>
      </c>
      <c r="K899" s="6">
        <v>450</v>
      </c>
      <c r="L899" s="7">
        <v>1029.26</v>
      </c>
    </row>
    <row r="900" spans="1:12" x14ac:dyDescent="0.25">
      <c r="A900" s="9">
        <v>45931</v>
      </c>
      <c r="B900" t="s">
        <v>32</v>
      </c>
      <c r="C900" t="s">
        <v>33</v>
      </c>
      <c r="D900" t="s">
        <v>34</v>
      </c>
      <c r="E900" t="s">
        <v>2032</v>
      </c>
      <c r="F900" t="s">
        <v>1946</v>
      </c>
      <c r="G900" s="6">
        <v>806</v>
      </c>
      <c r="H900" s="8">
        <v>76.8</v>
      </c>
      <c r="I900" s="7">
        <v>113.66</v>
      </c>
      <c r="J900" s="7">
        <v>230.57</v>
      </c>
      <c r="K900" s="6">
        <v>450</v>
      </c>
      <c r="L900" s="7">
        <v>794.23</v>
      </c>
    </row>
    <row r="901" spans="1:12" x14ac:dyDescent="0.25">
      <c r="A901" s="9">
        <v>45931</v>
      </c>
      <c r="B901" t="s">
        <v>32</v>
      </c>
      <c r="C901" t="s">
        <v>33</v>
      </c>
      <c r="D901" t="s">
        <v>34</v>
      </c>
      <c r="E901" t="s">
        <v>2026</v>
      </c>
      <c r="F901" t="s">
        <v>1940</v>
      </c>
      <c r="G901" s="6">
        <v>1134</v>
      </c>
      <c r="H901" s="8">
        <v>133.4</v>
      </c>
      <c r="I901" s="7">
        <v>197.43</v>
      </c>
      <c r="J901" s="7">
        <v>131.80000000000001</v>
      </c>
      <c r="K901" s="6">
        <v>320</v>
      </c>
      <c r="L901" s="7">
        <v>649.23</v>
      </c>
    </row>
    <row r="902" spans="1:12" x14ac:dyDescent="0.25">
      <c r="A902" s="9">
        <v>45931</v>
      </c>
      <c r="B902" t="s">
        <v>94</v>
      </c>
      <c r="C902" t="s">
        <v>95</v>
      </c>
      <c r="D902" t="s">
        <v>34</v>
      </c>
      <c r="E902" t="s">
        <v>1945</v>
      </c>
      <c r="F902" t="s">
        <v>1940</v>
      </c>
      <c r="G902" s="6">
        <v>844</v>
      </c>
      <c r="H902" s="8">
        <v>99.3</v>
      </c>
      <c r="I902" s="7">
        <v>146.96</v>
      </c>
      <c r="J902" s="7">
        <v>92.47</v>
      </c>
      <c r="K902" s="6">
        <v>450</v>
      </c>
      <c r="L902" s="7">
        <v>689.43</v>
      </c>
    </row>
    <row r="903" spans="1:12" x14ac:dyDescent="0.25">
      <c r="A903" s="9">
        <v>45931</v>
      </c>
      <c r="B903" t="s">
        <v>94</v>
      </c>
      <c r="C903" t="s">
        <v>95</v>
      </c>
      <c r="D903" t="s">
        <v>34</v>
      </c>
      <c r="E903" t="s">
        <v>1995</v>
      </c>
      <c r="F903" t="s">
        <v>1946</v>
      </c>
      <c r="G903" s="6">
        <v>1562</v>
      </c>
      <c r="H903" s="8">
        <v>148.80000000000001</v>
      </c>
      <c r="I903" s="7">
        <v>220.22</v>
      </c>
      <c r="J903" s="7">
        <v>150.05000000000001</v>
      </c>
      <c r="K903" s="6">
        <v>520</v>
      </c>
      <c r="L903" s="7">
        <v>890.27</v>
      </c>
    </row>
    <row r="904" spans="1:12" x14ac:dyDescent="0.25">
      <c r="A904" s="9">
        <v>45931</v>
      </c>
      <c r="B904" t="s">
        <v>94</v>
      </c>
      <c r="C904" t="s">
        <v>95</v>
      </c>
      <c r="D904" t="s">
        <v>34</v>
      </c>
      <c r="E904" t="s">
        <v>2079</v>
      </c>
      <c r="F904" t="s">
        <v>1942</v>
      </c>
      <c r="G904" s="6">
        <v>1245</v>
      </c>
      <c r="H904" s="8">
        <v>118.6</v>
      </c>
      <c r="I904" s="7">
        <v>175.53</v>
      </c>
      <c r="J904" s="7">
        <v>86.73</v>
      </c>
      <c r="K904" s="6">
        <v>450</v>
      </c>
      <c r="L904" s="7">
        <v>712.26</v>
      </c>
    </row>
    <row r="905" spans="1:12" x14ac:dyDescent="0.25">
      <c r="A905" s="9">
        <v>45931</v>
      </c>
      <c r="B905" t="s">
        <v>94</v>
      </c>
      <c r="C905" t="s">
        <v>95</v>
      </c>
      <c r="D905" t="s">
        <v>34</v>
      </c>
      <c r="E905" t="s">
        <v>1951</v>
      </c>
      <c r="F905" t="s">
        <v>1948</v>
      </c>
      <c r="G905" s="6">
        <v>855</v>
      </c>
      <c r="H905" s="8">
        <v>100.6</v>
      </c>
      <c r="I905" s="7">
        <v>148.88999999999999</v>
      </c>
      <c r="J905" s="7">
        <v>336.56</v>
      </c>
      <c r="K905" s="6">
        <v>380</v>
      </c>
      <c r="L905" s="7">
        <v>865.45</v>
      </c>
    </row>
    <row r="906" spans="1:12" x14ac:dyDescent="0.25">
      <c r="A906" s="9">
        <v>45931</v>
      </c>
      <c r="B906" t="s">
        <v>94</v>
      </c>
      <c r="C906" t="s">
        <v>95</v>
      </c>
      <c r="D906" t="s">
        <v>34</v>
      </c>
      <c r="E906" t="s">
        <v>2002</v>
      </c>
      <c r="F906" t="s">
        <v>1948</v>
      </c>
      <c r="G906" s="6">
        <v>712</v>
      </c>
      <c r="H906" s="8">
        <v>83.8</v>
      </c>
      <c r="I906" s="7">
        <v>124.02</v>
      </c>
      <c r="J906" s="7">
        <v>216.78</v>
      </c>
      <c r="K906" s="6">
        <v>450</v>
      </c>
      <c r="L906" s="7">
        <v>790.8</v>
      </c>
    </row>
    <row r="907" spans="1:12" x14ac:dyDescent="0.25">
      <c r="A907" s="9">
        <v>45931</v>
      </c>
      <c r="B907" t="s">
        <v>41</v>
      </c>
      <c r="C907" t="s">
        <v>42</v>
      </c>
      <c r="D907" t="s">
        <v>34</v>
      </c>
      <c r="E907" t="s">
        <v>2075</v>
      </c>
      <c r="F907" t="s">
        <v>1940</v>
      </c>
      <c r="G907" s="6">
        <v>1058</v>
      </c>
      <c r="H907" s="8">
        <v>124.5</v>
      </c>
      <c r="I907" s="7">
        <v>184.26</v>
      </c>
      <c r="J907" s="7">
        <v>158.91</v>
      </c>
      <c r="K907" s="6">
        <v>380</v>
      </c>
      <c r="L907" s="7">
        <v>723.17</v>
      </c>
    </row>
    <row r="908" spans="1:12" x14ac:dyDescent="0.25">
      <c r="A908" s="9">
        <v>45931</v>
      </c>
      <c r="B908" t="s">
        <v>41</v>
      </c>
      <c r="C908" t="s">
        <v>42</v>
      </c>
      <c r="D908" t="s">
        <v>34</v>
      </c>
      <c r="E908" t="s">
        <v>1986</v>
      </c>
      <c r="F908" t="s">
        <v>1940</v>
      </c>
      <c r="G908" s="6">
        <v>1005</v>
      </c>
      <c r="H908" s="8">
        <v>118.2</v>
      </c>
      <c r="I908" s="7">
        <v>174.94</v>
      </c>
      <c r="J908" s="7">
        <v>181.67</v>
      </c>
      <c r="K908" s="6">
        <v>380</v>
      </c>
      <c r="L908" s="7">
        <v>736.61</v>
      </c>
    </row>
    <row r="909" spans="1:12" x14ac:dyDescent="0.25">
      <c r="A909" s="9">
        <v>45931</v>
      </c>
      <c r="B909" t="s">
        <v>41</v>
      </c>
      <c r="C909" t="s">
        <v>42</v>
      </c>
      <c r="D909" t="s">
        <v>34</v>
      </c>
      <c r="E909" t="s">
        <v>2018</v>
      </c>
      <c r="F909" t="s">
        <v>1948</v>
      </c>
      <c r="G909" s="6">
        <v>1223</v>
      </c>
      <c r="H909" s="8">
        <v>143.9</v>
      </c>
      <c r="I909" s="7">
        <v>212.97</v>
      </c>
      <c r="J909" s="7">
        <v>308.77</v>
      </c>
      <c r="K909" s="6">
        <v>520</v>
      </c>
      <c r="L909" s="7">
        <v>1041.74</v>
      </c>
    </row>
    <row r="910" spans="1:12" x14ac:dyDescent="0.25">
      <c r="A910" s="9">
        <v>45931</v>
      </c>
      <c r="B910" t="s">
        <v>47</v>
      </c>
      <c r="C910" t="s">
        <v>48</v>
      </c>
      <c r="D910" t="s">
        <v>34</v>
      </c>
      <c r="E910" t="s">
        <v>2046</v>
      </c>
      <c r="F910" t="s">
        <v>1948</v>
      </c>
      <c r="G910" s="6">
        <v>803</v>
      </c>
      <c r="H910" s="8">
        <v>94.5</v>
      </c>
      <c r="I910" s="7">
        <v>139.86000000000001</v>
      </c>
      <c r="J910" s="7">
        <v>227.27</v>
      </c>
      <c r="K910" s="6">
        <v>320</v>
      </c>
      <c r="L910" s="7">
        <v>687.13</v>
      </c>
    </row>
    <row r="911" spans="1:12" x14ac:dyDescent="0.25">
      <c r="A911" s="9">
        <v>45931</v>
      </c>
      <c r="B911" t="s">
        <v>47</v>
      </c>
      <c r="C911" t="s">
        <v>48</v>
      </c>
      <c r="D911" t="s">
        <v>34</v>
      </c>
      <c r="E911" t="s">
        <v>2013</v>
      </c>
      <c r="F911" t="s">
        <v>1942</v>
      </c>
      <c r="G911" s="6">
        <v>1348</v>
      </c>
      <c r="H911" s="8">
        <v>128.4</v>
      </c>
      <c r="I911" s="7">
        <v>190.03</v>
      </c>
      <c r="J911" s="7">
        <v>221.57</v>
      </c>
      <c r="K911" s="6">
        <v>380</v>
      </c>
      <c r="L911" s="7">
        <v>791.6</v>
      </c>
    </row>
    <row r="912" spans="1:12" x14ac:dyDescent="0.25">
      <c r="A912" s="9">
        <v>45931</v>
      </c>
      <c r="B912" t="s">
        <v>47</v>
      </c>
      <c r="C912" t="s">
        <v>48</v>
      </c>
      <c r="D912" t="s">
        <v>34</v>
      </c>
      <c r="E912" t="s">
        <v>1950</v>
      </c>
      <c r="F912" t="s">
        <v>1948</v>
      </c>
      <c r="G912" s="6">
        <v>706</v>
      </c>
      <c r="H912" s="8">
        <v>83.1</v>
      </c>
      <c r="I912" s="7">
        <v>122.99</v>
      </c>
      <c r="J912" s="7">
        <v>278.12</v>
      </c>
      <c r="K912" s="6">
        <v>450</v>
      </c>
      <c r="L912" s="7">
        <v>851.11</v>
      </c>
    </row>
    <row r="913" spans="1:12" x14ac:dyDescent="0.25">
      <c r="A913" s="9">
        <v>45931</v>
      </c>
      <c r="B913" t="s">
        <v>47</v>
      </c>
      <c r="C913" t="s">
        <v>48</v>
      </c>
      <c r="D913" t="s">
        <v>34</v>
      </c>
      <c r="E913" t="s">
        <v>2045</v>
      </c>
      <c r="F913" t="s">
        <v>1946</v>
      </c>
      <c r="G913" s="6">
        <v>555</v>
      </c>
      <c r="H913" s="8">
        <v>52.9</v>
      </c>
      <c r="I913" s="7">
        <v>78.290000000000006</v>
      </c>
      <c r="J913" s="7">
        <v>153.75</v>
      </c>
      <c r="K913" s="6">
        <v>520</v>
      </c>
      <c r="L913" s="7">
        <v>752.04</v>
      </c>
    </row>
    <row r="914" spans="1:12" x14ac:dyDescent="0.25">
      <c r="A914" s="9">
        <v>45931</v>
      </c>
      <c r="B914" t="s">
        <v>47</v>
      </c>
      <c r="C914" t="s">
        <v>48</v>
      </c>
      <c r="D914" t="s">
        <v>34</v>
      </c>
      <c r="E914" t="s">
        <v>1982</v>
      </c>
      <c r="F914" t="s">
        <v>1942</v>
      </c>
      <c r="G914" s="6">
        <v>1524</v>
      </c>
      <c r="H914" s="8">
        <v>145.1</v>
      </c>
      <c r="I914" s="7">
        <v>214.75</v>
      </c>
      <c r="J914" s="7">
        <v>74.17</v>
      </c>
      <c r="K914" s="6">
        <v>380</v>
      </c>
      <c r="L914" s="7">
        <v>668.92</v>
      </c>
    </row>
    <row r="915" spans="1:12" x14ac:dyDescent="0.25">
      <c r="A915" s="9">
        <v>45931</v>
      </c>
      <c r="B915" t="s">
        <v>121</v>
      </c>
      <c r="C915" t="s">
        <v>122</v>
      </c>
      <c r="D915" t="s">
        <v>34</v>
      </c>
      <c r="E915" t="s">
        <v>2075</v>
      </c>
      <c r="F915" t="s">
        <v>1946</v>
      </c>
      <c r="G915" s="6">
        <v>841</v>
      </c>
      <c r="H915" s="8">
        <v>80.099999999999994</v>
      </c>
      <c r="I915" s="7">
        <v>118.55</v>
      </c>
      <c r="J915" s="7">
        <v>211.12</v>
      </c>
      <c r="K915" s="6">
        <v>450</v>
      </c>
      <c r="L915" s="7">
        <v>779.67</v>
      </c>
    </row>
    <row r="916" spans="1:12" x14ac:dyDescent="0.25">
      <c r="A916" s="9">
        <v>45931</v>
      </c>
      <c r="B916" t="s">
        <v>121</v>
      </c>
      <c r="C916" t="s">
        <v>122</v>
      </c>
      <c r="D916" t="s">
        <v>34</v>
      </c>
      <c r="E916" t="s">
        <v>1986</v>
      </c>
      <c r="F916" t="s">
        <v>1948</v>
      </c>
      <c r="G916" s="6">
        <v>664</v>
      </c>
      <c r="H916" s="8">
        <v>78.099999999999994</v>
      </c>
      <c r="I916" s="7">
        <v>115.59</v>
      </c>
      <c r="J916" s="7">
        <v>199.38</v>
      </c>
      <c r="K916" s="6">
        <v>520</v>
      </c>
      <c r="L916" s="7">
        <v>834.97</v>
      </c>
    </row>
    <row r="917" spans="1:12" x14ac:dyDescent="0.25">
      <c r="A917" s="9">
        <v>45931</v>
      </c>
      <c r="B917" t="s">
        <v>121</v>
      </c>
      <c r="C917" t="s">
        <v>122</v>
      </c>
      <c r="D917" t="s">
        <v>34</v>
      </c>
      <c r="E917" t="s">
        <v>1995</v>
      </c>
      <c r="F917" t="s">
        <v>1946</v>
      </c>
      <c r="G917" s="6">
        <v>1199</v>
      </c>
      <c r="H917" s="8">
        <v>114.2</v>
      </c>
      <c r="I917" s="7">
        <v>169.02</v>
      </c>
      <c r="J917" s="7">
        <v>99.26</v>
      </c>
      <c r="K917" s="6">
        <v>520</v>
      </c>
      <c r="L917" s="7">
        <v>788.28</v>
      </c>
    </row>
    <row r="918" spans="1:12" x14ac:dyDescent="0.25">
      <c r="A918" s="9">
        <v>45931</v>
      </c>
      <c r="B918" t="s">
        <v>201</v>
      </c>
      <c r="C918" t="s">
        <v>202</v>
      </c>
      <c r="D918" t="s">
        <v>64</v>
      </c>
      <c r="E918" t="s">
        <v>1964</v>
      </c>
      <c r="F918" t="s">
        <v>1946</v>
      </c>
      <c r="G918" s="6">
        <v>991</v>
      </c>
      <c r="H918" s="8">
        <v>94.4</v>
      </c>
      <c r="I918" s="7">
        <v>139.71</v>
      </c>
      <c r="J918" s="7">
        <v>209.53</v>
      </c>
      <c r="K918" s="6">
        <v>520</v>
      </c>
      <c r="L918" s="7">
        <v>869.24</v>
      </c>
    </row>
    <row r="919" spans="1:12" x14ac:dyDescent="0.25">
      <c r="A919" s="9">
        <v>45931</v>
      </c>
      <c r="B919" t="s">
        <v>201</v>
      </c>
      <c r="C919" t="s">
        <v>202</v>
      </c>
      <c r="D919" t="s">
        <v>64</v>
      </c>
      <c r="E919" t="s">
        <v>2039</v>
      </c>
      <c r="F919" t="s">
        <v>1942</v>
      </c>
      <c r="G919" s="6">
        <v>1155</v>
      </c>
      <c r="H919" s="8">
        <v>110</v>
      </c>
      <c r="I919" s="7">
        <v>162.80000000000001</v>
      </c>
      <c r="J919" s="7">
        <v>171.35</v>
      </c>
      <c r="K919" s="6">
        <v>380</v>
      </c>
      <c r="L919" s="7">
        <v>714.15</v>
      </c>
    </row>
    <row r="920" spans="1:12" x14ac:dyDescent="0.25">
      <c r="A920" s="9">
        <v>45931</v>
      </c>
      <c r="B920" t="s">
        <v>201</v>
      </c>
      <c r="C920" t="s">
        <v>202</v>
      </c>
      <c r="D920" t="s">
        <v>64</v>
      </c>
      <c r="E920" t="s">
        <v>2002</v>
      </c>
      <c r="F920" t="s">
        <v>1946</v>
      </c>
      <c r="G920" s="6">
        <v>965</v>
      </c>
      <c r="H920" s="8">
        <v>91.9</v>
      </c>
      <c r="I920" s="7">
        <v>136.01</v>
      </c>
      <c r="J920" s="7">
        <v>179.6</v>
      </c>
      <c r="K920" s="6">
        <v>450</v>
      </c>
      <c r="L920" s="7">
        <v>765.61</v>
      </c>
    </row>
    <row r="921" spans="1:12" x14ac:dyDescent="0.25">
      <c r="A921" s="9">
        <v>45931</v>
      </c>
      <c r="B921" t="s">
        <v>118</v>
      </c>
      <c r="C921" t="s">
        <v>119</v>
      </c>
      <c r="D921" t="s">
        <v>64</v>
      </c>
      <c r="E921" t="s">
        <v>1991</v>
      </c>
      <c r="F921" t="s">
        <v>1946</v>
      </c>
      <c r="G921" s="6">
        <v>1019</v>
      </c>
      <c r="H921" s="8">
        <v>97</v>
      </c>
      <c r="I921" s="7">
        <v>143.56</v>
      </c>
      <c r="J921" s="7">
        <v>186.62</v>
      </c>
      <c r="K921" s="6">
        <v>380</v>
      </c>
      <c r="L921" s="7">
        <v>710.18</v>
      </c>
    </row>
    <row r="922" spans="1:12" x14ac:dyDescent="0.25">
      <c r="A922" s="9">
        <v>45931</v>
      </c>
      <c r="B922" t="s">
        <v>118</v>
      </c>
      <c r="C922" t="s">
        <v>119</v>
      </c>
      <c r="D922" t="s">
        <v>64</v>
      </c>
      <c r="E922" t="s">
        <v>2074</v>
      </c>
      <c r="F922" t="s">
        <v>1940</v>
      </c>
      <c r="G922" s="6">
        <v>925</v>
      </c>
      <c r="H922" s="8">
        <v>108.8</v>
      </c>
      <c r="I922" s="7">
        <v>161.02000000000001</v>
      </c>
      <c r="J922" s="7">
        <v>135.38999999999999</v>
      </c>
      <c r="K922" s="6">
        <v>380</v>
      </c>
      <c r="L922" s="7">
        <v>676.41</v>
      </c>
    </row>
    <row r="923" spans="1:12" x14ac:dyDescent="0.25">
      <c r="A923" s="9">
        <v>45931</v>
      </c>
      <c r="B923" t="s">
        <v>118</v>
      </c>
      <c r="C923" t="s">
        <v>119</v>
      </c>
      <c r="D923" t="s">
        <v>64</v>
      </c>
      <c r="E923" t="s">
        <v>1962</v>
      </c>
      <c r="F923" t="s">
        <v>1946</v>
      </c>
      <c r="G923" s="6">
        <v>802</v>
      </c>
      <c r="H923" s="8">
        <v>76.400000000000006</v>
      </c>
      <c r="I923" s="7">
        <v>113.07</v>
      </c>
      <c r="J923" s="7">
        <v>147.19999999999999</v>
      </c>
      <c r="K923" s="6">
        <v>320</v>
      </c>
      <c r="L923" s="7">
        <v>580.27</v>
      </c>
    </row>
    <row r="924" spans="1:12" x14ac:dyDescent="0.25">
      <c r="A924" s="9">
        <v>45931</v>
      </c>
      <c r="B924" t="s">
        <v>62</v>
      </c>
      <c r="C924" t="s">
        <v>63</v>
      </c>
      <c r="D924" t="s">
        <v>64</v>
      </c>
      <c r="E924" t="s">
        <v>1944</v>
      </c>
      <c r="F924" t="s">
        <v>1946</v>
      </c>
      <c r="G924" s="6">
        <v>847</v>
      </c>
      <c r="H924" s="8">
        <v>80.7</v>
      </c>
      <c r="I924" s="7">
        <v>119.44</v>
      </c>
      <c r="J924" s="7">
        <v>60.88</v>
      </c>
      <c r="K924" s="6">
        <v>520</v>
      </c>
      <c r="L924" s="7">
        <v>700.32</v>
      </c>
    </row>
    <row r="925" spans="1:12" x14ac:dyDescent="0.25">
      <c r="A925" s="9">
        <v>45931</v>
      </c>
      <c r="B925" t="s">
        <v>62</v>
      </c>
      <c r="C925" t="s">
        <v>63</v>
      </c>
      <c r="D925" t="s">
        <v>64</v>
      </c>
      <c r="E925" t="s">
        <v>1955</v>
      </c>
      <c r="F925" t="s">
        <v>1946</v>
      </c>
      <c r="G925" s="6">
        <v>1114</v>
      </c>
      <c r="H925" s="8">
        <v>106.1</v>
      </c>
      <c r="I925" s="7">
        <v>157.03</v>
      </c>
      <c r="J925" s="7">
        <v>167.02</v>
      </c>
      <c r="K925" s="6">
        <v>520</v>
      </c>
      <c r="L925" s="7">
        <v>844.05</v>
      </c>
    </row>
    <row r="926" spans="1:12" x14ac:dyDescent="0.25">
      <c r="A926" s="9">
        <v>45931</v>
      </c>
      <c r="B926" t="s">
        <v>62</v>
      </c>
      <c r="C926" t="s">
        <v>63</v>
      </c>
      <c r="D926" t="s">
        <v>64</v>
      </c>
      <c r="E926" t="s">
        <v>2003</v>
      </c>
      <c r="F926" t="s">
        <v>1940</v>
      </c>
      <c r="G926" s="6">
        <v>1245</v>
      </c>
      <c r="H926" s="8">
        <v>146.5</v>
      </c>
      <c r="I926" s="7">
        <v>216.82</v>
      </c>
      <c r="J926" s="7">
        <v>115.51</v>
      </c>
      <c r="K926" s="6">
        <v>450</v>
      </c>
      <c r="L926" s="7">
        <v>782.33</v>
      </c>
    </row>
    <row r="927" spans="1:12" x14ac:dyDescent="0.25">
      <c r="A927" s="9">
        <v>45931</v>
      </c>
      <c r="B927" t="s">
        <v>62</v>
      </c>
      <c r="C927" t="s">
        <v>63</v>
      </c>
      <c r="D927" t="s">
        <v>64</v>
      </c>
      <c r="E927" t="s">
        <v>2013</v>
      </c>
      <c r="F927" t="s">
        <v>1948</v>
      </c>
      <c r="G927" s="6">
        <v>1152</v>
      </c>
      <c r="H927" s="8">
        <v>135.5</v>
      </c>
      <c r="I927" s="7">
        <v>200.54</v>
      </c>
      <c r="J927" s="7">
        <v>294.06</v>
      </c>
      <c r="K927" s="6">
        <v>450</v>
      </c>
      <c r="L927" s="7">
        <v>944.6</v>
      </c>
    </row>
    <row r="928" spans="1:12" x14ac:dyDescent="0.25">
      <c r="A928" s="9">
        <v>45931</v>
      </c>
      <c r="B928" t="s">
        <v>62</v>
      </c>
      <c r="C928" t="s">
        <v>63</v>
      </c>
      <c r="D928" t="s">
        <v>64</v>
      </c>
      <c r="E928" t="s">
        <v>2081</v>
      </c>
      <c r="F928" t="s">
        <v>1940</v>
      </c>
      <c r="G928" s="6">
        <v>1161</v>
      </c>
      <c r="H928" s="8">
        <v>136.6</v>
      </c>
      <c r="I928" s="7">
        <v>202.17</v>
      </c>
      <c r="J928" s="7">
        <v>83.95</v>
      </c>
      <c r="K928" s="6">
        <v>450</v>
      </c>
      <c r="L928" s="7">
        <v>736.12</v>
      </c>
    </row>
    <row r="929" spans="1:12" x14ac:dyDescent="0.25">
      <c r="A929" s="9">
        <v>45931</v>
      </c>
      <c r="B929" t="s">
        <v>91</v>
      </c>
      <c r="C929" t="s">
        <v>92</v>
      </c>
      <c r="D929" t="s">
        <v>64</v>
      </c>
      <c r="E929" t="s">
        <v>2062</v>
      </c>
      <c r="F929" t="s">
        <v>1946</v>
      </c>
      <c r="G929" s="6">
        <v>1087</v>
      </c>
      <c r="H929" s="8">
        <v>103.5</v>
      </c>
      <c r="I929" s="7">
        <v>153.18</v>
      </c>
      <c r="J929" s="7">
        <v>179.13</v>
      </c>
      <c r="K929" s="6">
        <v>450</v>
      </c>
      <c r="L929" s="7">
        <v>782.31</v>
      </c>
    </row>
    <row r="930" spans="1:12" x14ac:dyDescent="0.25">
      <c r="A930" s="9">
        <v>45931</v>
      </c>
      <c r="B930" t="s">
        <v>91</v>
      </c>
      <c r="C930" t="s">
        <v>92</v>
      </c>
      <c r="D930" t="s">
        <v>64</v>
      </c>
      <c r="E930" t="s">
        <v>2059</v>
      </c>
      <c r="F930" t="s">
        <v>1946</v>
      </c>
      <c r="G930" s="6">
        <v>1051</v>
      </c>
      <c r="H930" s="8">
        <v>100.1</v>
      </c>
      <c r="I930" s="7">
        <v>148.15</v>
      </c>
      <c r="J930" s="7">
        <v>0</v>
      </c>
      <c r="K930" s="6">
        <v>380</v>
      </c>
      <c r="L930" s="7">
        <v>528.15</v>
      </c>
    </row>
    <row r="931" spans="1:12" x14ac:dyDescent="0.25">
      <c r="A931" s="9">
        <v>45931</v>
      </c>
      <c r="B931" t="s">
        <v>91</v>
      </c>
      <c r="C931" t="s">
        <v>92</v>
      </c>
      <c r="D931" t="s">
        <v>64</v>
      </c>
      <c r="E931" t="s">
        <v>2061</v>
      </c>
      <c r="F931" t="s">
        <v>1942</v>
      </c>
      <c r="G931" s="6">
        <v>1090</v>
      </c>
      <c r="H931" s="8">
        <v>103.8</v>
      </c>
      <c r="I931" s="7">
        <v>153.62</v>
      </c>
      <c r="J931" s="7">
        <v>327</v>
      </c>
      <c r="K931" s="6">
        <v>520</v>
      </c>
      <c r="L931" s="7">
        <v>1000.62</v>
      </c>
    </row>
    <row r="932" spans="1:12" x14ac:dyDescent="0.25">
      <c r="A932" s="9">
        <v>45931</v>
      </c>
      <c r="B932" t="s">
        <v>91</v>
      </c>
      <c r="C932" t="s">
        <v>92</v>
      </c>
      <c r="D932" t="s">
        <v>64</v>
      </c>
      <c r="E932" t="s">
        <v>2026</v>
      </c>
      <c r="F932" t="s">
        <v>1948</v>
      </c>
      <c r="G932" s="6">
        <v>959</v>
      </c>
      <c r="H932" s="8">
        <v>112.8</v>
      </c>
      <c r="I932" s="7">
        <v>166.94</v>
      </c>
      <c r="J932" s="7">
        <v>191.75</v>
      </c>
      <c r="K932" s="6">
        <v>320</v>
      </c>
      <c r="L932" s="7">
        <v>678.69</v>
      </c>
    </row>
    <row r="933" spans="1:12" x14ac:dyDescent="0.25">
      <c r="A933" s="9">
        <v>45931</v>
      </c>
      <c r="B933" t="s">
        <v>91</v>
      </c>
      <c r="C933" t="s">
        <v>92</v>
      </c>
      <c r="D933" t="s">
        <v>64</v>
      </c>
      <c r="E933" t="s">
        <v>1994</v>
      </c>
      <c r="F933" t="s">
        <v>1946</v>
      </c>
      <c r="G933" s="6">
        <v>1143</v>
      </c>
      <c r="H933" s="8">
        <v>108.9</v>
      </c>
      <c r="I933" s="7">
        <v>161.16999999999999</v>
      </c>
      <c r="J933" s="7">
        <v>174.99</v>
      </c>
      <c r="K933" s="6">
        <v>450</v>
      </c>
      <c r="L933" s="7">
        <v>786.16</v>
      </c>
    </row>
    <row r="934" spans="1:12" x14ac:dyDescent="0.25">
      <c r="A934" s="9">
        <v>45931</v>
      </c>
      <c r="B934" t="s">
        <v>80</v>
      </c>
      <c r="C934" t="s">
        <v>81</v>
      </c>
      <c r="D934" t="s">
        <v>64</v>
      </c>
      <c r="E934" t="s">
        <v>2074</v>
      </c>
      <c r="F934" t="s">
        <v>1940</v>
      </c>
      <c r="G934" s="6">
        <v>1348</v>
      </c>
      <c r="H934" s="8">
        <v>158.6</v>
      </c>
      <c r="I934" s="7">
        <v>234.73</v>
      </c>
      <c r="J934" s="7">
        <v>49.37</v>
      </c>
      <c r="K934" s="6">
        <v>320</v>
      </c>
      <c r="L934" s="7">
        <v>604.1</v>
      </c>
    </row>
    <row r="935" spans="1:12" x14ac:dyDescent="0.25">
      <c r="A935" s="9">
        <v>45931</v>
      </c>
      <c r="B935" t="s">
        <v>80</v>
      </c>
      <c r="C935" t="s">
        <v>81</v>
      </c>
      <c r="D935" t="s">
        <v>64</v>
      </c>
      <c r="E935" t="s">
        <v>1965</v>
      </c>
      <c r="F935" t="s">
        <v>1946</v>
      </c>
      <c r="G935" s="6">
        <v>1232</v>
      </c>
      <c r="H935" s="8">
        <v>117.3</v>
      </c>
      <c r="I935" s="7">
        <v>173.6</v>
      </c>
      <c r="J935" s="7">
        <v>197.23</v>
      </c>
      <c r="K935" s="6">
        <v>320</v>
      </c>
      <c r="L935" s="7">
        <v>690.83</v>
      </c>
    </row>
    <row r="936" spans="1:12" x14ac:dyDescent="0.25">
      <c r="A936" s="9">
        <v>45931</v>
      </c>
      <c r="B936" t="s">
        <v>80</v>
      </c>
      <c r="C936" t="s">
        <v>81</v>
      </c>
      <c r="D936" t="s">
        <v>64</v>
      </c>
      <c r="E936" t="s">
        <v>2016</v>
      </c>
      <c r="F936" t="s">
        <v>1940</v>
      </c>
      <c r="G936" s="6">
        <v>1014</v>
      </c>
      <c r="H936" s="8">
        <v>119.3</v>
      </c>
      <c r="I936" s="7">
        <v>176.56</v>
      </c>
      <c r="J936" s="7">
        <v>177.09</v>
      </c>
      <c r="K936" s="6">
        <v>320</v>
      </c>
      <c r="L936" s="7">
        <v>673.65</v>
      </c>
    </row>
    <row r="937" spans="1:12" x14ac:dyDescent="0.25">
      <c r="A937" s="9">
        <v>45931</v>
      </c>
      <c r="B937" t="s">
        <v>80</v>
      </c>
      <c r="C937" t="s">
        <v>81</v>
      </c>
      <c r="D937" t="s">
        <v>64</v>
      </c>
      <c r="E937" t="s">
        <v>2012</v>
      </c>
      <c r="F937" t="s">
        <v>1948</v>
      </c>
      <c r="G937" s="6">
        <v>1307</v>
      </c>
      <c r="H937" s="8">
        <v>153.80000000000001</v>
      </c>
      <c r="I937" s="7">
        <v>227.62</v>
      </c>
      <c r="J937" s="7">
        <v>319.79000000000002</v>
      </c>
      <c r="K937" s="6">
        <v>520</v>
      </c>
      <c r="L937" s="7">
        <v>1067.4100000000001</v>
      </c>
    </row>
    <row r="938" spans="1:12" x14ac:dyDescent="0.25">
      <c r="A938" s="9">
        <v>45931</v>
      </c>
      <c r="B938" t="s">
        <v>80</v>
      </c>
      <c r="C938" t="s">
        <v>81</v>
      </c>
      <c r="D938" t="s">
        <v>64</v>
      </c>
      <c r="E938" t="s">
        <v>1945</v>
      </c>
      <c r="F938" t="s">
        <v>1946</v>
      </c>
      <c r="G938" s="6">
        <v>764</v>
      </c>
      <c r="H938" s="8">
        <v>72.8</v>
      </c>
      <c r="I938" s="7">
        <v>107.74</v>
      </c>
      <c r="J938" s="7">
        <v>215.61</v>
      </c>
      <c r="K938" s="6">
        <v>320</v>
      </c>
      <c r="L938" s="7">
        <v>643.35</v>
      </c>
    </row>
    <row r="939" spans="1:12" x14ac:dyDescent="0.25">
      <c r="A939" s="9">
        <v>45931</v>
      </c>
      <c r="B939" t="s">
        <v>80</v>
      </c>
      <c r="C939" t="s">
        <v>81</v>
      </c>
      <c r="D939" t="s">
        <v>64</v>
      </c>
      <c r="E939" t="s">
        <v>2013</v>
      </c>
      <c r="F939" t="s">
        <v>1948</v>
      </c>
      <c r="G939" s="6">
        <v>1033</v>
      </c>
      <c r="H939" s="8">
        <v>121.5</v>
      </c>
      <c r="I939" s="7">
        <v>179.82</v>
      </c>
      <c r="J939" s="7">
        <v>255.83</v>
      </c>
      <c r="K939" s="6">
        <v>320</v>
      </c>
      <c r="L939" s="7">
        <v>755.65</v>
      </c>
    </row>
    <row r="940" spans="1:12" x14ac:dyDescent="0.25">
      <c r="A940" s="9">
        <v>45931</v>
      </c>
      <c r="B940" t="s">
        <v>80</v>
      </c>
      <c r="C940" t="s">
        <v>81</v>
      </c>
      <c r="D940" t="s">
        <v>64</v>
      </c>
      <c r="E940" t="s">
        <v>2027</v>
      </c>
      <c r="F940" t="s">
        <v>1948</v>
      </c>
      <c r="G940" s="6">
        <v>1068</v>
      </c>
      <c r="H940" s="8">
        <v>125.6</v>
      </c>
      <c r="I940" s="7">
        <v>185.89</v>
      </c>
      <c r="J940" s="7">
        <v>237.98</v>
      </c>
      <c r="K940" s="6">
        <v>450</v>
      </c>
      <c r="L940" s="7">
        <v>873.87</v>
      </c>
    </row>
    <row r="941" spans="1:12" x14ac:dyDescent="0.25">
      <c r="A941" s="9">
        <v>45931</v>
      </c>
      <c r="B941" t="s">
        <v>56</v>
      </c>
      <c r="C941" t="s">
        <v>57</v>
      </c>
      <c r="D941" t="s">
        <v>58</v>
      </c>
      <c r="E941" t="s">
        <v>1954</v>
      </c>
      <c r="F941" t="s">
        <v>1940</v>
      </c>
      <c r="G941" s="6">
        <v>1347</v>
      </c>
      <c r="H941" s="8">
        <v>158.5</v>
      </c>
      <c r="I941" s="7">
        <v>234.58</v>
      </c>
      <c r="J941" s="7">
        <v>143.30000000000001</v>
      </c>
      <c r="K941" s="6">
        <v>380</v>
      </c>
      <c r="L941" s="7">
        <v>757.88</v>
      </c>
    </row>
    <row r="942" spans="1:12" x14ac:dyDescent="0.25">
      <c r="A942" s="9">
        <v>45931</v>
      </c>
      <c r="B942" t="s">
        <v>56</v>
      </c>
      <c r="C942" t="s">
        <v>57</v>
      </c>
      <c r="D942" t="s">
        <v>58</v>
      </c>
      <c r="E942" t="s">
        <v>2009</v>
      </c>
      <c r="F942" t="s">
        <v>1940</v>
      </c>
      <c r="G942" s="6">
        <v>770</v>
      </c>
      <c r="H942" s="8">
        <v>90.6</v>
      </c>
      <c r="I942" s="7">
        <v>134.09</v>
      </c>
      <c r="J942" s="7">
        <v>118.52</v>
      </c>
      <c r="K942" s="6">
        <v>450</v>
      </c>
      <c r="L942" s="7">
        <v>702.61</v>
      </c>
    </row>
    <row r="943" spans="1:12" x14ac:dyDescent="0.25">
      <c r="A943" s="9">
        <v>45931</v>
      </c>
      <c r="B943" t="s">
        <v>56</v>
      </c>
      <c r="C943" t="s">
        <v>57</v>
      </c>
      <c r="D943" t="s">
        <v>58</v>
      </c>
      <c r="E943" t="s">
        <v>2077</v>
      </c>
      <c r="F943" t="s">
        <v>1948</v>
      </c>
      <c r="G943" s="6">
        <v>1094</v>
      </c>
      <c r="H943" s="8">
        <v>128.69999999999999</v>
      </c>
      <c r="I943" s="7">
        <v>190.48</v>
      </c>
      <c r="J943" s="7">
        <v>348.34</v>
      </c>
      <c r="K943" s="6">
        <v>450</v>
      </c>
      <c r="L943" s="7">
        <v>988.82</v>
      </c>
    </row>
    <row r="944" spans="1:12" x14ac:dyDescent="0.25">
      <c r="A944" s="9">
        <v>45931</v>
      </c>
      <c r="B944" t="s">
        <v>77</v>
      </c>
      <c r="C944" t="s">
        <v>78</v>
      </c>
      <c r="D944" t="s">
        <v>58</v>
      </c>
      <c r="E944" t="s">
        <v>2010</v>
      </c>
      <c r="F944" t="s">
        <v>1948</v>
      </c>
      <c r="G944" s="6">
        <v>1200</v>
      </c>
      <c r="H944" s="8">
        <v>141.19999999999999</v>
      </c>
      <c r="I944" s="7">
        <v>208.98</v>
      </c>
      <c r="J944" s="7">
        <v>181.96</v>
      </c>
      <c r="K944" s="6">
        <v>320</v>
      </c>
      <c r="L944" s="7">
        <v>710.94</v>
      </c>
    </row>
    <row r="945" spans="1:12" x14ac:dyDescent="0.25">
      <c r="A945" s="9">
        <v>45931</v>
      </c>
      <c r="B945" t="s">
        <v>77</v>
      </c>
      <c r="C945" t="s">
        <v>78</v>
      </c>
      <c r="D945" t="s">
        <v>58</v>
      </c>
      <c r="E945" t="s">
        <v>2065</v>
      </c>
      <c r="F945" t="s">
        <v>1942</v>
      </c>
      <c r="G945" s="6">
        <v>1671</v>
      </c>
      <c r="H945" s="8">
        <v>159.1</v>
      </c>
      <c r="I945" s="7">
        <v>235.47</v>
      </c>
      <c r="J945" s="7">
        <v>171.18</v>
      </c>
      <c r="K945" s="6">
        <v>450</v>
      </c>
      <c r="L945" s="7">
        <v>856.65</v>
      </c>
    </row>
    <row r="946" spans="1:12" x14ac:dyDescent="0.25">
      <c r="A946" s="9">
        <v>45931</v>
      </c>
      <c r="B946" t="s">
        <v>77</v>
      </c>
      <c r="C946" t="s">
        <v>78</v>
      </c>
      <c r="D946" t="s">
        <v>58</v>
      </c>
      <c r="E946" t="s">
        <v>2025</v>
      </c>
      <c r="F946" t="s">
        <v>1942</v>
      </c>
      <c r="G946" s="6">
        <v>1368</v>
      </c>
      <c r="H946" s="8">
        <v>130.30000000000001</v>
      </c>
      <c r="I946" s="7">
        <v>192.84</v>
      </c>
      <c r="J946" s="7">
        <v>137.86000000000001</v>
      </c>
      <c r="K946" s="6">
        <v>320</v>
      </c>
      <c r="L946" s="7">
        <v>650.70000000000005</v>
      </c>
    </row>
    <row r="947" spans="1:12" x14ac:dyDescent="0.25">
      <c r="A947" s="9">
        <v>45931</v>
      </c>
      <c r="B947" t="s">
        <v>77</v>
      </c>
      <c r="C947" t="s">
        <v>78</v>
      </c>
      <c r="D947" t="s">
        <v>58</v>
      </c>
      <c r="E947" t="s">
        <v>2061</v>
      </c>
      <c r="F947" t="s">
        <v>1942</v>
      </c>
      <c r="G947" s="6">
        <v>1183</v>
      </c>
      <c r="H947" s="8">
        <v>112.7</v>
      </c>
      <c r="I947" s="7">
        <v>166.8</v>
      </c>
      <c r="J947" s="7">
        <v>217.16</v>
      </c>
      <c r="K947" s="6">
        <v>520</v>
      </c>
      <c r="L947" s="7">
        <v>903.96</v>
      </c>
    </row>
    <row r="948" spans="1:12" x14ac:dyDescent="0.25">
      <c r="A948" s="9">
        <v>45931</v>
      </c>
      <c r="B948" t="s">
        <v>110</v>
      </c>
      <c r="C948" t="s">
        <v>111</v>
      </c>
      <c r="D948" t="s">
        <v>58</v>
      </c>
      <c r="E948" t="s">
        <v>1941</v>
      </c>
      <c r="F948" t="s">
        <v>1942</v>
      </c>
      <c r="G948" s="6">
        <v>1354</v>
      </c>
      <c r="H948" s="8">
        <v>129</v>
      </c>
      <c r="I948" s="7">
        <v>190.92</v>
      </c>
      <c r="J948" s="7">
        <v>234.59</v>
      </c>
      <c r="K948" s="6">
        <v>520</v>
      </c>
      <c r="L948" s="7">
        <v>945.51</v>
      </c>
    </row>
    <row r="949" spans="1:12" x14ac:dyDescent="0.25">
      <c r="A949" s="9">
        <v>45931</v>
      </c>
      <c r="B949" t="s">
        <v>110</v>
      </c>
      <c r="C949" t="s">
        <v>111</v>
      </c>
      <c r="D949" t="s">
        <v>58</v>
      </c>
      <c r="E949" t="s">
        <v>2015</v>
      </c>
      <c r="F949" t="s">
        <v>1942</v>
      </c>
      <c r="G949" s="6">
        <v>1268</v>
      </c>
      <c r="H949" s="8">
        <v>120.8</v>
      </c>
      <c r="I949" s="7">
        <v>178.78</v>
      </c>
      <c r="J949" s="7">
        <v>124.79</v>
      </c>
      <c r="K949" s="6">
        <v>450</v>
      </c>
      <c r="L949" s="7">
        <v>753.57</v>
      </c>
    </row>
    <row r="950" spans="1:12" x14ac:dyDescent="0.25">
      <c r="A950" s="9">
        <v>45931</v>
      </c>
      <c r="B950" t="s">
        <v>110</v>
      </c>
      <c r="C950" t="s">
        <v>111</v>
      </c>
      <c r="D950" t="s">
        <v>58</v>
      </c>
      <c r="E950" t="s">
        <v>1956</v>
      </c>
      <c r="F950" t="s">
        <v>1942</v>
      </c>
      <c r="G950" s="6">
        <v>907</v>
      </c>
      <c r="H950" s="8">
        <v>86.4</v>
      </c>
      <c r="I950" s="7">
        <v>127.87</v>
      </c>
      <c r="J950" s="7">
        <v>176.61</v>
      </c>
      <c r="K950" s="6">
        <v>320</v>
      </c>
      <c r="L950" s="7">
        <v>624.48</v>
      </c>
    </row>
    <row r="951" spans="1:12" x14ac:dyDescent="0.25">
      <c r="A951" s="9">
        <v>45931</v>
      </c>
      <c r="B951" t="s">
        <v>110</v>
      </c>
      <c r="C951" t="s">
        <v>111</v>
      </c>
      <c r="D951" t="s">
        <v>58</v>
      </c>
      <c r="E951" t="s">
        <v>2036</v>
      </c>
      <c r="F951" t="s">
        <v>1940</v>
      </c>
      <c r="G951" s="6">
        <v>1283</v>
      </c>
      <c r="H951" s="8">
        <v>150.9</v>
      </c>
      <c r="I951" s="7">
        <v>223.33</v>
      </c>
      <c r="J951" s="7">
        <v>132.18</v>
      </c>
      <c r="K951" s="6">
        <v>520</v>
      </c>
      <c r="L951" s="7">
        <v>875.51</v>
      </c>
    </row>
    <row r="952" spans="1:12" x14ac:dyDescent="0.25">
      <c r="A952" s="9">
        <v>45931</v>
      </c>
      <c r="B952" t="s">
        <v>85</v>
      </c>
      <c r="C952" t="s">
        <v>86</v>
      </c>
      <c r="D952" t="s">
        <v>58</v>
      </c>
      <c r="E952" t="s">
        <v>1997</v>
      </c>
      <c r="F952" t="s">
        <v>1948</v>
      </c>
      <c r="G952" s="6">
        <v>1316</v>
      </c>
      <c r="H952" s="8">
        <v>154.80000000000001</v>
      </c>
      <c r="I952" s="7">
        <v>229.1</v>
      </c>
      <c r="J952" s="7">
        <v>366.21</v>
      </c>
      <c r="K952" s="6">
        <v>450</v>
      </c>
      <c r="L952" s="7">
        <v>1045.31</v>
      </c>
    </row>
    <row r="953" spans="1:12" x14ac:dyDescent="0.25">
      <c r="A953" s="9">
        <v>45931</v>
      </c>
      <c r="B953" t="s">
        <v>85</v>
      </c>
      <c r="C953" t="s">
        <v>86</v>
      </c>
      <c r="D953" t="s">
        <v>58</v>
      </c>
      <c r="E953" t="s">
        <v>2022</v>
      </c>
      <c r="F953" t="s">
        <v>1946</v>
      </c>
      <c r="G953" s="6">
        <v>820</v>
      </c>
      <c r="H953" s="8">
        <v>78.099999999999994</v>
      </c>
      <c r="I953" s="7">
        <v>115.59</v>
      </c>
      <c r="J953" s="7">
        <v>83.05</v>
      </c>
      <c r="K953" s="6">
        <v>520</v>
      </c>
      <c r="L953" s="7">
        <v>718.64</v>
      </c>
    </row>
    <row r="954" spans="1:12" x14ac:dyDescent="0.25">
      <c r="A954" s="9">
        <v>45931</v>
      </c>
      <c r="B954" t="s">
        <v>85</v>
      </c>
      <c r="C954" t="s">
        <v>86</v>
      </c>
      <c r="D954" t="s">
        <v>58</v>
      </c>
      <c r="E954" t="s">
        <v>1961</v>
      </c>
      <c r="F954" t="s">
        <v>1948</v>
      </c>
      <c r="G954" s="6">
        <v>1014</v>
      </c>
      <c r="H954" s="8">
        <v>119.3</v>
      </c>
      <c r="I954" s="7">
        <v>176.56</v>
      </c>
      <c r="J954" s="7">
        <v>274.61</v>
      </c>
      <c r="K954" s="6">
        <v>520</v>
      </c>
      <c r="L954" s="7">
        <v>971.17</v>
      </c>
    </row>
    <row r="955" spans="1:12" x14ac:dyDescent="0.25">
      <c r="A955" s="9">
        <v>45931</v>
      </c>
      <c r="B955" t="s">
        <v>85</v>
      </c>
      <c r="C955" t="s">
        <v>86</v>
      </c>
      <c r="D955" t="s">
        <v>58</v>
      </c>
      <c r="E955" t="s">
        <v>2067</v>
      </c>
      <c r="F955" t="s">
        <v>1942</v>
      </c>
      <c r="G955" s="6">
        <v>918</v>
      </c>
      <c r="H955" s="8">
        <v>87.4</v>
      </c>
      <c r="I955" s="7">
        <v>129.35</v>
      </c>
      <c r="J955" s="7">
        <v>258.18</v>
      </c>
      <c r="K955" s="6">
        <v>380</v>
      </c>
      <c r="L955" s="7">
        <v>767.53</v>
      </c>
    </row>
    <row r="956" spans="1:12" x14ac:dyDescent="0.25">
      <c r="A956" s="9">
        <v>45931</v>
      </c>
      <c r="B956" t="s">
        <v>85</v>
      </c>
      <c r="C956" t="s">
        <v>86</v>
      </c>
      <c r="D956" t="s">
        <v>58</v>
      </c>
      <c r="E956" t="s">
        <v>2036</v>
      </c>
      <c r="F956" t="s">
        <v>1948</v>
      </c>
      <c r="G956" s="6">
        <v>1156</v>
      </c>
      <c r="H956" s="8">
        <v>136</v>
      </c>
      <c r="I956" s="7">
        <v>201.28</v>
      </c>
      <c r="J956" s="7">
        <v>253.16</v>
      </c>
      <c r="K956" s="6">
        <v>520</v>
      </c>
      <c r="L956" s="7">
        <v>974.44</v>
      </c>
    </row>
    <row r="957" spans="1:12" x14ac:dyDescent="0.25">
      <c r="A957" s="9">
        <v>45931</v>
      </c>
      <c r="B957" t="s">
        <v>85</v>
      </c>
      <c r="C957" t="s">
        <v>86</v>
      </c>
      <c r="D957" t="s">
        <v>58</v>
      </c>
      <c r="E957" t="s">
        <v>2023</v>
      </c>
      <c r="F957" t="s">
        <v>1946</v>
      </c>
      <c r="G957" s="6">
        <v>691</v>
      </c>
      <c r="H957" s="8">
        <v>65.8</v>
      </c>
      <c r="I957" s="7">
        <v>97.38</v>
      </c>
      <c r="J957" s="7">
        <v>44.73</v>
      </c>
      <c r="K957" s="6">
        <v>380</v>
      </c>
      <c r="L957" s="7">
        <v>522.11</v>
      </c>
    </row>
    <row r="958" spans="1:12" x14ac:dyDescent="0.25">
      <c r="A958" s="9">
        <v>45931</v>
      </c>
      <c r="B958" t="s">
        <v>103</v>
      </c>
      <c r="C958" t="s">
        <v>104</v>
      </c>
      <c r="D958" t="s">
        <v>58</v>
      </c>
      <c r="E958" t="s">
        <v>2033</v>
      </c>
      <c r="F958" t="s">
        <v>1948</v>
      </c>
      <c r="G958" s="6">
        <v>1120</v>
      </c>
      <c r="H958" s="8">
        <v>131.80000000000001</v>
      </c>
      <c r="I958" s="7">
        <v>195.06</v>
      </c>
      <c r="J958" s="7">
        <v>79.39</v>
      </c>
      <c r="K958" s="6">
        <v>320</v>
      </c>
      <c r="L958" s="7">
        <v>594.45000000000005</v>
      </c>
    </row>
    <row r="959" spans="1:12" x14ac:dyDescent="0.25">
      <c r="A959" s="9">
        <v>45931</v>
      </c>
      <c r="B959" t="s">
        <v>103</v>
      </c>
      <c r="C959" t="s">
        <v>104</v>
      </c>
      <c r="D959" t="s">
        <v>58</v>
      </c>
      <c r="E959" t="s">
        <v>2046</v>
      </c>
      <c r="F959" t="s">
        <v>1942</v>
      </c>
      <c r="G959" s="6">
        <v>1303</v>
      </c>
      <c r="H959" s="8">
        <v>124.1</v>
      </c>
      <c r="I959" s="7">
        <v>183.67</v>
      </c>
      <c r="J959" s="7">
        <v>137.35</v>
      </c>
      <c r="K959" s="6">
        <v>320</v>
      </c>
      <c r="L959" s="7">
        <v>641.02</v>
      </c>
    </row>
    <row r="960" spans="1:12" x14ac:dyDescent="0.25">
      <c r="A960" s="9">
        <v>45931</v>
      </c>
      <c r="B960" t="s">
        <v>103</v>
      </c>
      <c r="C960" t="s">
        <v>104</v>
      </c>
      <c r="D960" t="s">
        <v>58</v>
      </c>
      <c r="E960" t="s">
        <v>1981</v>
      </c>
      <c r="F960" t="s">
        <v>1948</v>
      </c>
      <c r="G960" s="6">
        <v>1860</v>
      </c>
      <c r="H960" s="8">
        <v>218.8</v>
      </c>
      <c r="I960" s="7">
        <v>323.82</v>
      </c>
      <c r="J960" s="7">
        <v>434.63</v>
      </c>
      <c r="K960" s="6">
        <v>320</v>
      </c>
      <c r="L960" s="7">
        <v>1078.45</v>
      </c>
    </row>
    <row r="961" spans="1:12" x14ac:dyDescent="0.25">
      <c r="A961" s="9">
        <v>45931</v>
      </c>
      <c r="B961" t="s">
        <v>103</v>
      </c>
      <c r="C961" t="s">
        <v>104</v>
      </c>
      <c r="D961" t="s">
        <v>58</v>
      </c>
      <c r="E961" t="s">
        <v>2023</v>
      </c>
      <c r="F961" t="s">
        <v>1946</v>
      </c>
      <c r="G961" s="6">
        <v>1004</v>
      </c>
      <c r="H961" s="8">
        <v>95.6</v>
      </c>
      <c r="I961" s="7">
        <v>141.49</v>
      </c>
      <c r="J961" s="7">
        <v>141.49</v>
      </c>
      <c r="K961" s="6">
        <v>320</v>
      </c>
      <c r="L961" s="7">
        <v>602.98</v>
      </c>
    </row>
    <row r="962" spans="1:12" x14ac:dyDescent="0.25">
      <c r="A962" s="9">
        <v>45931</v>
      </c>
      <c r="B962" t="s">
        <v>103</v>
      </c>
      <c r="C962" t="s">
        <v>104</v>
      </c>
      <c r="D962" t="s">
        <v>58</v>
      </c>
      <c r="E962" t="s">
        <v>1980</v>
      </c>
      <c r="F962" t="s">
        <v>1942</v>
      </c>
      <c r="G962" s="6">
        <v>1298</v>
      </c>
      <c r="H962" s="8">
        <v>123.6</v>
      </c>
      <c r="I962" s="7">
        <v>182.93</v>
      </c>
      <c r="J962" s="7">
        <v>286.25</v>
      </c>
      <c r="K962" s="6">
        <v>320</v>
      </c>
      <c r="L962" s="7">
        <v>789.18</v>
      </c>
    </row>
    <row r="963" spans="1:12" x14ac:dyDescent="0.25">
      <c r="A963" s="9">
        <v>45962</v>
      </c>
      <c r="B963" t="s">
        <v>100</v>
      </c>
      <c r="C963" t="s">
        <v>101</v>
      </c>
      <c r="D963" t="s">
        <v>69</v>
      </c>
      <c r="E963" t="s">
        <v>1969</v>
      </c>
      <c r="F963" t="s">
        <v>1946</v>
      </c>
      <c r="G963" s="6">
        <v>640</v>
      </c>
      <c r="H963" s="8">
        <v>61</v>
      </c>
      <c r="I963" s="7">
        <v>90.28</v>
      </c>
      <c r="J963" s="7">
        <v>7.09</v>
      </c>
      <c r="K963" s="6">
        <v>380</v>
      </c>
      <c r="L963" s="7">
        <v>477.37</v>
      </c>
    </row>
    <row r="964" spans="1:12" x14ac:dyDescent="0.25">
      <c r="A964" s="9">
        <v>45962</v>
      </c>
      <c r="B964" t="s">
        <v>100</v>
      </c>
      <c r="C964" t="s">
        <v>101</v>
      </c>
      <c r="D964" t="s">
        <v>69</v>
      </c>
      <c r="E964" t="s">
        <v>2060</v>
      </c>
      <c r="F964" t="s">
        <v>1940</v>
      </c>
      <c r="G964" s="6">
        <v>894</v>
      </c>
      <c r="H964" s="8">
        <v>105.2</v>
      </c>
      <c r="I964" s="7">
        <v>155.69999999999999</v>
      </c>
      <c r="J964" s="7">
        <v>196.62</v>
      </c>
      <c r="K964" s="6">
        <v>380</v>
      </c>
      <c r="L964" s="7">
        <v>732.32</v>
      </c>
    </row>
    <row r="965" spans="1:12" x14ac:dyDescent="0.25">
      <c r="A965" s="9">
        <v>45962</v>
      </c>
      <c r="B965" t="s">
        <v>100</v>
      </c>
      <c r="C965" t="s">
        <v>101</v>
      </c>
      <c r="D965" t="s">
        <v>69</v>
      </c>
      <c r="E965" t="s">
        <v>1959</v>
      </c>
      <c r="F965" t="s">
        <v>1946</v>
      </c>
      <c r="G965" s="6">
        <v>1174</v>
      </c>
      <c r="H965" s="8">
        <v>111.8</v>
      </c>
      <c r="I965" s="7">
        <v>165.46</v>
      </c>
      <c r="J965" s="7">
        <v>235.58</v>
      </c>
      <c r="K965" s="6">
        <v>450</v>
      </c>
      <c r="L965" s="7">
        <v>851.04</v>
      </c>
    </row>
    <row r="966" spans="1:12" x14ac:dyDescent="0.25">
      <c r="A966" s="9">
        <v>45962</v>
      </c>
      <c r="B966" t="s">
        <v>100</v>
      </c>
      <c r="C966" t="s">
        <v>101</v>
      </c>
      <c r="D966" t="s">
        <v>69</v>
      </c>
      <c r="E966" t="s">
        <v>1973</v>
      </c>
      <c r="F966" t="s">
        <v>1942</v>
      </c>
      <c r="G966" s="6">
        <v>750</v>
      </c>
      <c r="H966" s="8">
        <v>71.400000000000006</v>
      </c>
      <c r="I966" s="7">
        <v>105.67</v>
      </c>
      <c r="J966" s="7">
        <v>0</v>
      </c>
      <c r="K966" s="6">
        <v>380</v>
      </c>
      <c r="L966" s="7">
        <v>485.67</v>
      </c>
    </row>
    <row r="967" spans="1:12" x14ac:dyDescent="0.25">
      <c r="A967" s="9">
        <v>45962</v>
      </c>
      <c r="B967" t="s">
        <v>100</v>
      </c>
      <c r="C967" t="s">
        <v>101</v>
      </c>
      <c r="D967" t="s">
        <v>69</v>
      </c>
      <c r="E967" t="s">
        <v>2019</v>
      </c>
      <c r="F967" t="s">
        <v>1948</v>
      </c>
      <c r="G967" s="6">
        <v>1264</v>
      </c>
      <c r="H967" s="8">
        <v>148.69999999999999</v>
      </c>
      <c r="I967" s="7">
        <v>220.08</v>
      </c>
      <c r="J967" s="7">
        <v>183.74</v>
      </c>
      <c r="K967" s="6">
        <v>380</v>
      </c>
      <c r="L967" s="7">
        <v>783.82</v>
      </c>
    </row>
    <row r="968" spans="1:12" x14ac:dyDescent="0.25">
      <c r="A968" s="9">
        <v>45962</v>
      </c>
      <c r="B968" t="s">
        <v>113</v>
      </c>
      <c r="C968" t="s">
        <v>114</v>
      </c>
      <c r="D968" t="s">
        <v>69</v>
      </c>
      <c r="E968" t="s">
        <v>1956</v>
      </c>
      <c r="F968" t="s">
        <v>1942</v>
      </c>
      <c r="G968" s="6">
        <v>545</v>
      </c>
      <c r="H968" s="8">
        <v>51.9</v>
      </c>
      <c r="I968" s="7">
        <v>76.81</v>
      </c>
      <c r="J968" s="7">
        <v>161.61000000000001</v>
      </c>
      <c r="K968" s="6">
        <v>450</v>
      </c>
      <c r="L968" s="7">
        <v>688.42</v>
      </c>
    </row>
    <row r="969" spans="1:12" x14ac:dyDescent="0.25">
      <c r="A969" s="9">
        <v>45962</v>
      </c>
      <c r="B969" t="s">
        <v>113</v>
      </c>
      <c r="C969" t="s">
        <v>114</v>
      </c>
      <c r="D969" t="s">
        <v>69</v>
      </c>
      <c r="E969" t="s">
        <v>2064</v>
      </c>
      <c r="F969" t="s">
        <v>1948</v>
      </c>
      <c r="G969" s="6">
        <v>1248</v>
      </c>
      <c r="H969" s="8">
        <v>146.80000000000001</v>
      </c>
      <c r="I969" s="7">
        <v>217.26</v>
      </c>
      <c r="J969" s="7">
        <v>240.24</v>
      </c>
      <c r="K969" s="6">
        <v>320</v>
      </c>
      <c r="L969" s="7">
        <v>777.5</v>
      </c>
    </row>
    <row r="970" spans="1:12" x14ac:dyDescent="0.25">
      <c r="A970" s="9">
        <v>45962</v>
      </c>
      <c r="B970" t="s">
        <v>113</v>
      </c>
      <c r="C970" t="s">
        <v>114</v>
      </c>
      <c r="D970" t="s">
        <v>69</v>
      </c>
      <c r="E970" t="s">
        <v>2072</v>
      </c>
      <c r="F970" t="s">
        <v>1948</v>
      </c>
      <c r="G970" s="6">
        <v>935</v>
      </c>
      <c r="H970" s="8">
        <v>110</v>
      </c>
      <c r="I970" s="7">
        <v>162.80000000000001</v>
      </c>
      <c r="J970" s="7">
        <v>237.25</v>
      </c>
      <c r="K970" s="6">
        <v>380</v>
      </c>
      <c r="L970" s="7">
        <v>780.05</v>
      </c>
    </row>
    <row r="971" spans="1:12" x14ac:dyDescent="0.25">
      <c r="A971" s="9">
        <v>45962</v>
      </c>
      <c r="B971" t="s">
        <v>113</v>
      </c>
      <c r="C971" t="s">
        <v>114</v>
      </c>
      <c r="D971" t="s">
        <v>69</v>
      </c>
      <c r="E971" t="s">
        <v>2044</v>
      </c>
      <c r="F971" t="s">
        <v>1946</v>
      </c>
      <c r="G971" s="6">
        <v>957</v>
      </c>
      <c r="H971" s="8">
        <v>91.1</v>
      </c>
      <c r="I971" s="7">
        <v>134.83000000000001</v>
      </c>
      <c r="J971" s="7">
        <v>42.16</v>
      </c>
      <c r="K971" s="6">
        <v>320</v>
      </c>
      <c r="L971" s="7">
        <v>496.99</v>
      </c>
    </row>
    <row r="972" spans="1:12" x14ac:dyDescent="0.25">
      <c r="A972" s="9">
        <v>45962</v>
      </c>
      <c r="B972" t="s">
        <v>113</v>
      </c>
      <c r="C972" t="s">
        <v>114</v>
      </c>
      <c r="D972" t="s">
        <v>69</v>
      </c>
      <c r="E972" t="s">
        <v>1959</v>
      </c>
      <c r="F972" t="s">
        <v>1940</v>
      </c>
      <c r="G972" s="6">
        <v>871</v>
      </c>
      <c r="H972" s="8">
        <v>102.5</v>
      </c>
      <c r="I972" s="7">
        <v>151.69999999999999</v>
      </c>
      <c r="J972" s="7">
        <v>191.7</v>
      </c>
      <c r="K972" s="6">
        <v>380</v>
      </c>
      <c r="L972" s="7">
        <v>723.4</v>
      </c>
    </row>
    <row r="973" spans="1:12" x14ac:dyDescent="0.25">
      <c r="A973" s="9">
        <v>45962</v>
      </c>
      <c r="B973" t="s">
        <v>113</v>
      </c>
      <c r="C973" t="s">
        <v>114</v>
      </c>
      <c r="D973" t="s">
        <v>69</v>
      </c>
      <c r="E973" t="s">
        <v>1987</v>
      </c>
      <c r="F973" t="s">
        <v>1946</v>
      </c>
      <c r="G973" s="6">
        <v>1130</v>
      </c>
      <c r="H973" s="8">
        <v>107.6</v>
      </c>
      <c r="I973" s="7">
        <v>159.25</v>
      </c>
      <c r="J973" s="7">
        <v>163.44</v>
      </c>
      <c r="K973" s="6">
        <v>450</v>
      </c>
      <c r="L973" s="7">
        <v>772.69</v>
      </c>
    </row>
    <row r="974" spans="1:12" x14ac:dyDescent="0.25">
      <c r="A974" s="9">
        <v>45962</v>
      </c>
      <c r="B974" t="s">
        <v>143</v>
      </c>
      <c r="C974" t="s">
        <v>144</v>
      </c>
      <c r="D974" t="s">
        <v>69</v>
      </c>
      <c r="E974" t="s">
        <v>2056</v>
      </c>
      <c r="F974" t="s">
        <v>1948</v>
      </c>
      <c r="G974" s="6">
        <v>801</v>
      </c>
      <c r="H974" s="8">
        <v>94.2</v>
      </c>
      <c r="I974" s="7">
        <v>139.41999999999999</v>
      </c>
      <c r="J974" s="7">
        <v>235.48</v>
      </c>
      <c r="K974" s="6">
        <v>380</v>
      </c>
      <c r="L974" s="7">
        <v>754.9</v>
      </c>
    </row>
    <row r="975" spans="1:12" x14ac:dyDescent="0.25">
      <c r="A975" s="9">
        <v>45962</v>
      </c>
      <c r="B975" t="s">
        <v>143</v>
      </c>
      <c r="C975" t="s">
        <v>144</v>
      </c>
      <c r="D975" t="s">
        <v>69</v>
      </c>
      <c r="E975" t="s">
        <v>2070</v>
      </c>
      <c r="F975" t="s">
        <v>1946</v>
      </c>
      <c r="G975" s="6">
        <v>505</v>
      </c>
      <c r="H975" s="8">
        <v>48.1</v>
      </c>
      <c r="I975" s="7">
        <v>71.19</v>
      </c>
      <c r="J975" s="7">
        <v>164.28</v>
      </c>
      <c r="K975" s="6">
        <v>520</v>
      </c>
      <c r="L975" s="7">
        <v>755.47</v>
      </c>
    </row>
    <row r="976" spans="1:12" x14ac:dyDescent="0.25">
      <c r="A976" s="9">
        <v>45962</v>
      </c>
      <c r="B976" t="s">
        <v>143</v>
      </c>
      <c r="C976" t="s">
        <v>144</v>
      </c>
      <c r="D976" t="s">
        <v>69</v>
      </c>
      <c r="E976" t="s">
        <v>2041</v>
      </c>
      <c r="F976" t="s">
        <v>1946</v>
      </c>
      <c r="G976" s="6">
        <v>1407</v>
      </c>
      <c r="H976" s="8">
        <v>134</v>
      </c>
      <c r="I976" s="7">
        <v>198.32</v>
      </c>
      <c r="J976" s="7">
        <v>32.07</v>
      </c>
      <c r="K976" s="6">
        <v>520</v>
      </c>
      <c r="L976" s="7">
        <v>750.39</v>
      </c>
    </row>
    <row r="977" spans="1:12" x14ac:dyDescent="0.25">
      <c r="A977" s="9">
        <v>45962</v>
      </c>
      <c r="B977" t="s">
        <v>143</v>
      </c>
      <c r="C977" t="s">
        <v>144</v>
      </c>
      <c r="D977" t="s">
        <v>69</v>
      </c>
      <c r="E977" t="s">
        <v>1974</v>
      </c>
      <c r="F977" t="s">
        <v>1942</v>
      </c>
      <c r="G977" s="6">
        <v>903</v>
      </c>
      <c r="H977" s="8">
        <v>86</v>
      </c>
      <c r="I977" s="7">
        <v>127.28</v>
      </c>
      <c r="J977" s="7">
        <v>176.33</v>
      </c>
      <c r="K977" s="6">
        <v>450</v>
      </c>
      <c r="L977" s="7">
        <v>753.61</v>
      </c>
    </row>
    <row r="978" spans="1:12" x14ac:dyDescent="0.25">
      <c r="A978" s="9">
        <v>45962</v>
      </c>
      <c r="B978" t="s">
        <v>143</v>
      </c>
      <c r="C978" t="s">
        <v>144</v>
      </c>
      <c r="D978" t="s">
        <v>69</v>
      </c>
      <c r="E978" t="s">
        <v>2046</v>
      </c>
      <c r="F978" t="s">
        <v>1942</v>
      </c>
      <c r="G978" s="6">
        <v>1363</v>
      </c>
      <c r="H978" s="8">
        <v>129.80000000000001</v>
      </c>
      <c r="I978" s="7">
        <v>192.1</v>
      </c>
      <c r="J978" s="7">
        <v>114.14</v>
      </c>
      <c r="K978" s="6">
        <v>520</v>
      </c>
      <c r="L978" s="7">
        <v>826.24</v>
      </c>
    </row>
    <row r="979" spans="1:12" x14ac:dyDescent="0.25">
      <c r="A979" s="9">
        <v>45962</v>
      </c>
      <c r="B979" t="s">
        <v>143</v>
      </c>
      <c r="C979" t="s">
        <v>144</v>
      </c>
      <c r="D979" t="s">
        <v>69</v>
      </c>
      <c r="E979" t="s">
        <v>2015</v>
      </c>
      <c r="F979" t="s">
        <v>1942</v>
      </c>
      <c r="G979" s="6">
        <v>876</v>
      </c>
      <c r="H979" s="8">
        <v>83.4</v>
      </c>
      <c r="I979" s="7">
        <v>123.43</v>
      </c>
      <c r="J979" s="7">
        <v>0</v>
      </c>
      <c r="K979" s="6">
        <v>320</v>
      </c>
      <c r="L979" s="7">
        <v>443.43</v>
      </c>
    </row>
    <row r="980" spans="1:12" x14ac:dyDescent="0.25">
      <c r="A980" s="9">
        <v>45962</v>
      </c>
      <c r="B980" t="s">
        <v>73</v>
      </c>
      <c r="C980" t="s">
        <v>74</v>
      </c>
      <c r="D980" t="s">
        <v>69</v>
      </c>
      <c r="E980" t="s">
        <v>1980</v>
      </c>
      <c r="F980" t="s">
        <v>1946</v>
      </c>
      <c r="G980" s="6">
        <v>1075</v>
      </c>
      <c r="H980" s="8">
        <v>102.4</v>
      </c>
      <c r="I980" s="7">
        <v>151.55000000000001</v>
      </c>
      <c r="J980" s="7">
        <v>313.37</v>
      </c>
      <c r="K980" s="6">
        <v>450</v>
      </c>
      <c r="L980" s="7">
        <v>914.92</v>
      </c>
    </row>
    <row r="981" spans="1:12" x14ac:dyDescent="0.25">
      <c r="A981" s="9">
        <v>45962</v>
      </c>
      <c r="B981" t="s">
        <v>73</v>
      </c>
      <c r="C981" t="s">
        <v>74</v>
      </c>
      <c r="D981" t="s">
        <v>69</v>
      </c>
      <c r="E981" t="s">
        <v>1988</v>
      </c>
      <c r="F981" t="s">
        <v>1948</v>
      </c>
      <c r="G981" s="6">
        <v>1119</v>
      </c>
      <c r="H981" s="8">
        <v>131.6</v>
      </c>
      <c r="I981" s="7">
        <v>194.77</v>
      </c>
      <c r="J981" s="7">
        <v>248.22</v>
      </c>
      <c r="K981" s="6">
        <v>380</v>
      </c>
      <c r="L981" s="7">
        <v>822.99</v>
      </c>
    </row>
    <row r="982" spans="1:12" x14ac:dyDescent="0.25">
      <c r="A982" s="9">
        <v>45962</v>
      </c>
      <c r="B982" t="s">
        <v>73</v>
      </c>
      <c r="C982" t="s">
        <v>74</v>
      </c>
      <c r="D982" t="s">
        <v>69</v>
      </c>
      <c r="E982" t="s">
        <v>2069</v>
      </c>
      <c r="F982" t="s">
        <v>1940</v>
      </c>
      <c r="G982" s="6">
        <v>1130</v>
      </c>
      <c r="H982" s="8">
        <v>132.9</v>
      </c>
      <c r="I982" s="7">
        <v>196.69</v>
      </c>
      <c r="J982" s="7">
        <v>149.11000000000001</v>
      </c>
      <c r="K982" s="6">
        <v>380</v>
      </c>
      <c r="L982" s="7">
        <v>725.8</v>
      </c>
    </row>
    <row r="983" spans="1:12" x14ac:dyDescent="0.25">
      <c r="A983" s="9">
        <v>45962</v>
      </c>
      <c r="B983" t="s">
        <v>73</v>
      </c>
      <c r="C983" t="s">
        <v>74</v>
      </c>
      <c r="D983" t="s">
        <v>69</v>
      </c>
      <c r="E983" t="s">
        <v>1952</v>
      </c>
      <c r="F983" t="s">
        <v>1948</v>
      </c>
      <c r="G983" s="6">
        <v>846</v>
      </c>
      <c r="H983" s="8">
        <v>99.5</v>
      </c>
      <c r="I983" s="7">
        <v>147.26</v>
      </c>
      <c r="J983" s="7">
        <v>315.86</v>
      </c>
      <c r="K983" s="6">
        <v>520</v>
      </c>
      <c r="L983" s="7">
        <v>983.12</v>
      </c>
    </row>
    <row r="984" spans="1:12" x14ac:dyDescent="0.25">
      <c r="A984" s="9">
        <v>45962</v>
      </c>
      <c r="B984" t="s">
        <v>73</v>
      </c>
      <c r="C984" t="s">
        <v>74</v>
      </c>
      <c r="D984" t="s">
        <v>69</v>
      </c>
      <c r="E984" t="s">
        <v>2028</v>
      </c>
      <c r="F984" t="s">
        <v>1940</v>
      </c>
      <c r="G984" s="6">
        <v>1106</v>
      </c>
      <c r="H984" s="8">
        <v>130.1</v>
      </c>
      <c r="I984" s="7">
        <v>192.55</v>
      </c>
      <c r="J984" s="7">
        <v>151.41</v>
      </c>
      <c r="K984" s="6">
        <v>520</v>
      </c>
      <c r="L984" s="7">
        <v>863.96</v>
      </c>
    </row>
    <row r="985" spans="1:12" x14ac:dyDescent="0.25">
      <c r="A985" s="9">
        <v>45962</v>
      </c>
      <c r="B985" t="s">
        <v>67</v>
      </c>
      <c r="C985" t="s">
        <v>68</v>
      </c>
      <c r="D985" t="s">
        <v>69</v>
      </c>
      <c r="E985" t="s">
        <v>2039</v>
      </c>
      <c r="F985" t="s">
        <v>1940</v>
      </c>
      <c r="G985" s="6">
        <v>806</v>
      </c>
      <c r="H985" s="8">
        <v>94.8</v>
      </c>
      <c r="I985" s="7">
        <v>140.30000000000001</v>
      </c>
      <c r="J985" s="7">
        <v>254.28</v>
      </c>
      <c r="K985" s="6">
        <v>450</v>
      </c>
      <c r="L985" s="7">
        <v>844.58</v>
      </c>
    </row>
    <row r="986" spans="1:12" x14ac:dyDescent="0.25">
      <c r="A986" s="9">
        <v>45962</v>
      </c>
      <c r="B986" t="s">
        <v>67</v>
      </c>
      <c r="C986" t="s">
        <v>68</v>
      </c>
      <c r="D986" t="s">
        <v>69</v>
      </c>
      <c r="E986" t="s">
        <v>1954</v>
      </c>
      <c r="F986" t="s">
        <v>1940</v>
      </c>
      <c r="G986" s="6">
        <v>1216</v>
      </c>
      <c r="H986" s="8">
        <v>143.1</v>
      </c>
      <c r="I986" s="7">
        <v>211.79</v>
      </c>
      <c r="J986" s="7">
        <v>105.77</v>
      </c>
      <c r="K986" s="6">
        <v>450</v>
      </c>
      <c r="L986" s="7">
        <v>767.56</v>
      </c>
    </row>
    <row r="987" spans="1:12" x14ac:dyDescent="0.25">
      <c r="A987" s="9">
        <v>45962</v>
      </c>
      <c r="B987" t="s">
        <v>67</v>
      </c>
      <c r="C987" t="s">
        <v>68</v>
      </c>
      <c r="D987" t="s">
        <v>69</v>
      </c>
      <c r="E987" t="s">
        <v>2050</v>
      </c>
      <c r="F987" t="s">
        <v>1942</v>
      </c>
      <c r="G987" s="6">
        <v>1300</v>
      </c>
      <c r="H987" s="8">
        <v>123.8</v>
      </c>
      <c r="I987" s="7">
        <v>183.22</v>
      </c>
      <c r="J987" s="7">
        <v>110.19</v>
      </c>
      <c r="K987" s="6">
        <v>320</v>
      </c>
      <c r="L987" s="7">
        <v>613.41</v>
      </c>
    </row>
    <row r="988" spans="1:12" x14ac:dyDescent="0.25">
      <c r="A988" s="9">
        <v>45962</v>
      </c>
      <c r="B988" t="s">
        <v>67</v>
      </c>
      <c r="C988" t="s">
        <v>68</v>
      </c>
      <c r="D988" t="s">
        <v>69</v>
      </c>
      <c r="E988" t="s">
        <v>1967</v>
      </c>
      <c r="F988" t="s">
        <v>1946</v>
      </c>
      <c r="G988" s="6">
        <v>854</v>
      </c>
      <c r="H988" s="8">
        <v>81.3</v>
      </c>
      <c r="I988" s="7">
        <v>120.32</v>
      </c>
      <c r="J988" s="7">
        <v>89.22</v>
      </c>
      <c r="K988" s="6">
        <v>320</v>
      </c>
      <c r="L988" s="7">
        <v>529.54</v>
      </c>
    </row>
    <row r="989" spans="1:12" x14ac:dyDescent="0.25">
      <c r="A989" s="9">
        <v>45962</v>
      </c>
      <c r="B989" t="s">
        <v>67</v>
      </c>
      <c r="C989" t="s">
        <v>68</v>
      </c>
      <c r="D989" t="s">
        <v>69</v>
      </c>
      <c r="E989" t="s">
        <v>2002</v>
      </c>
      <c r="F989" t="s">
        <v>1948</v>
      </c>
      <c r="G989" s="6">
        <v>607</v>
      </c>
      <c r="H989" s="8">
        <v>71.400000000000006</v>
      </c>
      <c r="I989" s="7">
        <v>105.67</v>
      </c>
      <c r="J989" s="7">
        <v>287.72000000000003</v>
      </c>
      <c r="K989" s="6">
        <v>380</v>
      </c>
      <c r="L989" s="7">
        <v>773.39</v>
      </c>
    </row>
    <row r="990" spans="1:12" x14ac:dyDescent="0.25">
      <c r="A990" s="9">
        <v>45962</v>
      </c>
      <c r="B990" t="s">
        <v>67</v>
      </c>
      <c r="C990" t="s">
        <v>68</v>
      </c>
      <c r="D990" t="s">
        <v>69</v>
      </c>
      <c r="E990" t="s">
        <v>2003</v>
      </c>
      <c r="F990" t="s">
        <v>1948</v>
      </c>
      <c r="G990" s="6">
        <v>592</v>
      </c>
      <c r="H990" s="8">
        <v>69.599999999999994</v>
      </c>
      <c r="I990" s="7">
        <v>103.01</v>
      </c>
      <c r="J990" s="7">
        <v>151.72</v>
      </c>
      <c r="K990" s="6">
        <v>320</v>
      </c>
      <c r="L990" s="7">
        <v>574.73</v>
      </c>
    </row>
    <row r="991" spans="1:12" x14ac:dyDescent="0.25">
      <c r="A991" s="9">
        <v>45962</v>
      </c>
      <c r="B991" t="s">
        <v>32</v>
      </c>
      <c r="C991" t="s">
        <v>33</v>
      </c>
      <c r="D991" t="s">
        <v>34</v>
      </c>
      <c r="E991" t="s">
        <v>1959</v>
      </c>
      <c r="F991" t="s">
        <v>1942</v>
      </c>
      <c r="G991" s="6">
        <v>531</v>
      </c>
      <c r="H991" s="8">
        <v>50.6</v>
      </c>
      <c r="I991" s="7">
        <v>74.89</v>
      </c>
      <c r="J991" s="7">
        <v>143.11000000000001</v>
      </c>
      <c r="K991" s="6">
        <v>520</v>
      </c>
      <c r="L991" s="7">
        <v>738</v>
      </c>
    </row>
    <row r="992" spans="1:12" x14ac:dyDescent="0.25">
      <c r="A992" s="9">
        <v>45962</v>
      </c>
      <c r="B992" t="s">
        <v>32</v>
      </c>
      <c r="C992" t="s">
        <v>33</v>
      </c>
      <c r="D992" t="s">
        <v>34</v>
      </c>
      <c r="E992" t="s">
        <v>1989</v>
      </c>
      <c r="F992" t="s">
        <v>1946</v>
      </c>
      <c r="G992" s="6">
        <v>1012</v>
      </c>
      <c r="H992" s="8">
        <v>96.4</v>
      </c>
      <c r="I992" s="7">
        <v>142.66999999999999</v>
      </c>
      <c r="J992" s="7">
        <v>123.86</v>
      </c>
      <c r="K992" s="6">
        <v>450</v>
      </c>
      <c r="L992" s="7">
        <v>716.53</v>
      </c>
    </row>
    <row r="993" spans="1:12" x14ac:dyDescent="0.25">
      <c r="A993" s="9">
        <v>45962</v>
      </c>
      <c r="B993" t="s">
        <v>32</v>
      </c>
      <c r="C993" t="s">
        <v>33</v>
      </c>
      <c r="D993" t="s">
        <v>34</v>
      </c>
      <c r="E993" t="s">
        <v>2024</v>
      </c>
      <c r="F993" t="s">
        <v>1942</v>
      </c>
      <c r="G993" s="6">
        <v>789</v>
      </c>
      <c r="H993" s="8">
        <v>75.099999999999994</v>
      </c>
      <c r="I993" s="7">
        <v>111.15</v>
      </c>
      <c r="J993" s="7">
        <v>56.22</v>
      </c>
      <c r="K993" s="6">
        <v>380</v>
      </c>
      <c r="L993" s="7">
        <v>547.37</v>
      </c>
    </row>
    <row r="994" spans="1:12" x14ac:dyDescent="0.25">
      <c r="A994" s="9">
        <v>45962</v>
      </c>
      <c r="B994" t="s">
        <v>32</v>
      </c>
      <c r="C994" t="s">
        <v>33</v>
      </c>
      <c r="D994" t="s">
        <v>34</v>
      </c>
      <c r="E994" t="s">
        <v>1969</v>
      </c>
      <c r="F994" t="s">
        <v>1942</v>
      </c>
      <c r="G994" s="6">
        <v>1166</v>
      </c>
      <c r="H994" s="8">
        <v>111</v>
      </c>
      <c r="I994" s="7">
        <v>164.28</v>
      </c>
      <c r="J994" s="7">
        <v>105.96</v>
      </c>
      <c r="K994" s="6">
        <v>520</v>
      </c>
      <c r="L994" s="7">
        <v>790.24</v>
      </c>
    </row>
    <row r="995" spans="1:12" x14ac:dyDescent="0.25">
      <c r="A995" s="9">
        <v>45962</v>
      </c>
      <c r="B995" t="s">
        <v>32</v>
      </c>
      <c r="C995" t="s">
        <v>33</v>
      </c>
      <c r="D995" t="s">
        <v>34</v>
      </c>
      <c r="E995" t="s">
        <v>1992</v>
      </c>
      <c r="F995" t="s">
        <v>1946</v>
      </c>
      <c r="G995" s="6">
        <v>1129</v>
      </c>
      <c r="H995" s="8">
        <v>107.5</v>
      </c>
      <c r="I995" s="7">
        <v>159.1</v>
      </c>
      <c r="J995" s="7">
        <v>79.180000000000007</v>
      </c>
      <c r="K995" s="6">
        <v>380</v>
      </c>
      <c r="L995" s="7">
        <v>618.28</v>
      </c>
    </row>
    <row r="996" spans="1:12" x14ac:dyDescent="0.25">
      <c r="A996" s="9">
        <v>45962</v>
      </c>
      <c r="B996" t="s">
        <v>32</v>
      </c>
      <c r="C996" t="s">
        <v>33</v>
      </c>
      <c r="D996" t="s">
        <v>34</v>
      </c>
      <c r="E996" t="s">
        <v>1972</v>
      </c>
      <c r="F996" t="s">
        <v>1948</v>
      </c>
      <c r="G996" s="6">
        <v>1095</v>
      </c>
      <c r="H996" s="8">
        <v>128.80000000000001</v>
      </c>
      <c r="I996" s="7">
        <v>190.62</v>
      </c>
      <c r="J996" s="7">
        <v>354.26</v>
      </c>
      <c r="K996" s="6">
        <v>320</v>
      </c>
      <c r="L996" s="7">
        <v>864.88</v>
      </c>
    </row>
    <row r="997" spans="1:12" x14ac:dyDescent="0.25">
      <c r="A997" s="9">
        <v>45962</v>
      </c>
      <c r="B997" t="s">
        <v>32</v>
      </c>
      <c r="C997" t="s">
        <v>33</v>
      </c>
      <c r="D997" t="s">
        <v>34</v>
      </c>
      <c r="E997" t="s">
        <v>1943</v>
      </c>
      <c r="F997" t="s">
        <v>1946</v>
      </c>
      <c r="G997" s="6">
        <v>1196</v>
      </c>
      <c r="H997" s="8">
        <v>113.9</v>
      </c>
      <c r="I997" s="7">
        <v>168.57</v>
      </c>
      <c r="J997" s="7">
        <v>117.01</v>
      </c>
      <c r="K997" s="6">
        <v>520</v>
      </c>
      <c r="L997" s="7">
        <v>805.58</v>
      </c>
    </row>
    <row r="998" spans="1:12" x14ac:dyDescent="0.25">
      <c r="A998" s="9">
        <v>45962</v>
      </c>
      <c r="B998" t="s">
        <v>94</v>
      </c>
      <c r="C998" t="s">
        <v>95</v>
      </c>
      <c r="D998" t="s">
        <v>34</v>
      </c>
      <c r="E998" t="s">
        <v>2063</v>
      </c>
      <c r="F998" t="s">
        <v>1942</v>
      </c>
      <c r="G998" s="6">
        <v>1114</v>
      </c>
      <c r="H998" s="8">
        <v>106.1</v>
      </c>
      <c r="I998" s="7">
        <v>157.03</v>
      </c>
      <c r="J998" s="7">
        <v>130.75</v>
      </c>
      <c r="K998" s="6">
        <v>450</v>
      </c>
      <c r="L998" s="7">
        <v>737.78</v>
      </c>
    </row>
    <row r="999" spans="1:12" x14ac:dyDescent="0.25">
      <c r="A999" s="9">
        <v>45962</v>
      </c>
      <c r="B999" t="s">
        <v>94</v>
      </c>
      <c r="C999" t="s">
        <v>95</v>
      </c>
      <c r="D999" t="s">
        <v>34</v>
      </c>
      <c r="E999" t="s">
        <v>2047</v>
      </c>
      <c r="F999" t="s">
        <v>1942</v>
      </c>
      <c r="G999" s="6">
        <v>1051</v>
      </c>
      <c r="H999" s="8">
        <v>100.1</v>
      </c>
      <c r="I999" s="7">
        <v>148.15</v>
      </c>
      <c r="J999" s="7">
        <v>123.95</v>
      </c>
      <c r="K999" s="6">
        <v>380</v>
      </c>
      <c r="L999" s="7">
        <v>652.1</v>
      </c>
    </row>
    <row r="1000" spans="1:12" x14ac:dyDescent="0.25">
      <c r="A1000" s="9">
        <v>45962</v>
      </c>
      <c r="B1000" t="s">
        <v>94</v>
      </c>
      <c r="C1000" t="s">
        <v>95</v>
      </c>
      <c r="D1000" t="s">
        <v>34</v>
      </c>
      <c r="E1000" t="s">
        <v>1997</v>
      </c>
      <c r="F1000" t="s">
        <v>1948</v>
      </c>
      <c r="G1000" s="6">
        <v>1008</v>
      </c>
      <c r="H1000" s="8">
        <v>118.6</v>
      </c>
      <c r="I1000" s="7">
        <v>175.53</v>
      </c>
      <c r="J1000" s="7">
        <v>266.97000000000003</v>
      </c>
      <c r="K1000" s="6">
        <v>380</v>
      </c>
      <c r="L1000" s="7">
        <v>822.5</v>
      </c>
    </row>
    <row r="1001" spans="1:12" x14ac:dyDescent="0.25">
      <c r="A1001" s="9">
        <v>45962</v>
      </c>
      <c r="B1001" t="s">
        <v>94</v>
      </c>
      <c r="C1001" t="s">
        <v>95</v>
      </c>
      <c r="D1001" t="s">
        <v>34</v>
      </c>
      <c r="E1001" t="s">
        <v>2017</v>
      </c>
      <c r="F1001" t="s">
        <v>1940</v>
      </c>
      <c r="G1001" s="6">
        <v>801</v>
      </c>
      <c r="H1001" s="8">
        <v>94.2</v>
      </c>
      <c r="I1001" s="7">
        <v>139.41999999999999</v>
      </c>
      <c r="J1001" s="7">
        <v>68.73</v>
      </c>
      <c r="K1001" s="6">
        <v>380</v>
      </c>
      <c r="L1001" s="7">
        <v>588.15</v>
      </c>
    </row>
    <row r="1002" spans="1:12" x14ac:dyDescent="0.25">
      <c r="A1002" s="9">
        <v>45962</v>
      </c>
      <c r="B1002" t="s">
        <v>41</v>
      </c>
      <c r="C1002" t="s">
        <v>42</v>
      </c>
      <c r="D1002" t="s">
        <v>34</v>
      </c>
      <c r="E1002" t="s">
        <v>2076</v>
      </c>
      <c r="F1002" t="s">
        <v>1948</v>
      </c>
      <c r="G1002" s="6">
        <v>702</v>
      </c>
      <c r="H1002" s="8">
        <v>82.6</v>
      </c>
      <c r="I1002" s="7">
        <v>122.25</v>
      </c>
      <c r="J1002" s="7">
        <v>121.98</v>
      </c>
      <c r="K1002" s="6">
        <v>520</v>
      </c>
      <c r="L1002" s="7">
        <v>764.23</v>
      </c>
    </row>
    <row r="1003" spans="1:12" x14ac:dyDescent="0.25">
      <c r="A1003" s="9">
        <v>45962</v>
      </c>
      <c r="B1003" t="s">
        <v>41</v>
      </c>
      <c r="C1003" t="s">
        <v>42</v>
      </c>
      <c r="D1003" t="s">
        <v>34</v>
      </c>
      <c r="E1003" t="s">
        <v>2047</v>
      </c>
      <c r="F1003" t="s">
        <v>1948</v>
      </c>
      <c r="G1003" s="6">
        <v>745</v>
      </c>
      <c r="H1003" s="8">
        <v>87.6</v>
      </c>
      <c r="I1003" s="7">
        <v>129.65</v>
      </c>
      <c r="J1003" s="7">
        <v>262.76</v>
      </c>
      <c r="K1003" s="6">
        <v>380</v>
      </c>
      <c r="L1003" s="7">
        <v>772.41</v>
      </c>
    </row>
    <row r="1004" spans="1:12" x14ac:dyDescent="0.25">
      <c r="A1004" s="9">
        <v>45962</v>
      </c>
      <c r="B1004" t="s">
        <v>41</v>
      </c>
      <c r="C1004" t="s">
        <v>42</v>
      </c>
      <c r="D1004" t="s">
        <v>34</v>
      </c>
      <c r="E1004" t="s">
        <v>2082</v>
      </c>
      <c r="F1004" t="s">
        <v>1948</v>
      </c>
      <c r="G1004" s="6">
        <v>826</v>
      </c>
      <c r="H1004" s="8">
        <v>97.2</v>
      </c>
      <c r="I1004" s="7">
        <v>143.86000000000001</v>
      </c>
      <c r="J1004" s="7">
        <v>291.08999999999997</v>
      </c>
      <c r="K1004" s="6">
        <v>520</v>
      </c>
      <c r="L1004" s="7">
        <v>954.95</v>
      </c>
    </row>
    <row r="1005" spans="1:12" x14ac:dyDescent="0.25">
      <c r="A1005" s="9">
        <v>45962</v>
      </c>
      <c r="B1005" t="s">
        <v>41</v>
      </c>
      <c r="C1005" t="s">
        <v>42</v>
      </c>
      <c r="D1005" t="s">
        <v>34</v>
      </c>
      <c r="E1005" t="s">
        <v>2025</v>
      </c>
      <c r="F1005" t="s">
        <v>1942</v>
      </c>
      <c r="G1005" s="6">
        <v>1058</v>
      </c>
      <c r="H1005" s="8">
        <v>100.8</v>
      </c>
      <c r="I1005" s="7">
        <v>149.18</v>
      </c>
      <c r="J1005" s="7">
        <v>0</v>
      </c>
      <c r="K1005" s="6">
        <v>520</v>
      </c>
      <c r="L1005" s="7">
        <v>669.18</v>
      </c>
    </row>
    <row r="1006" spans="1:12" x14ac:dyDescent="0.25">
      <c r="A1006" s="9">
        <v>45962</v>
      </c>
      <c r="B1006" t="s">
        <v>41</v>
      </c>
      <c r="C1006" t="s">
        <v>42</v>
      </c>
      <c r="D1006" t="s">
        <v>34</v>
      </c>
      <c r="E1006" t="s">
        <v>2015</v>
      </c>
      <c r="F1006" t="s">
        <v>1940</v>
      </c>
      <c r="G1006" s="6">
        <v>1213</v>
      </c>
      <c r="H1006" s="8">
        <v>142.69999999999999</v>
      </c>
      <c r="I1006" s="7">
        <v>211.2</v>
      </c>
      <c r="J1006" s="7">
        <v>214.86</v>
      </c>
      <c r="K1006" s="6">
        <v>520</v>
      </c>
      <c r="L1006" s="7">
        <v>946.06</v>
      </c>
    </row>
    <row r="1007" spans="1:12" x14ac:dyDescent="0.25">
      <c r="A1007" s="9">
        <v>45962</v>
      </c>
      <c r="B1007" t="s">
        <v>47</v>
      </c>
      <c r="C1007" t="s">
        <v>48</v>
      </c>
      <c r="D1007" t="s">
        <v>34</v>
      </c>
      <c r="E1007" t="s">
        <v>1992</v>
      </c>
      <c r="F1007" t="s">
        <v>1942</v>
      </c>
      <c r="G1007" s="6">
        <v>801</v>
      </c>
      <c r="H1007" s="8">
        <v>76.3</v>
      </c>
      <c r="I1007" s="7">
        <v>112.92</v>
      </c>
      <c r="J1007" s="7">
        <v>183.62</v>
      </c>
      <c r="K1007" s="6">
        <v>520</v>
      </c>
      <c r="L1007" s="7">
        <v>816.54</v>
      </c>
    </row>
    <row r="1008" spans="1:12" x14ac:dyDescent="0.25">
      <c r="A1008" s="9">
        <v>45962</v>
      </c>
      <c r="B1008" t="s">
        <v>47</v>
      </c>
      <c r="C1008" t="s">
        <v>48</v>
      </c>
      <c r="D1008" t="s">
        <v>34</v>
      </c>
      <c r="E1008" t="s">
        <v>2004</v>
      </c>
      <c r="F1008" t="s">
        <v>1946</v>
      </c>
      <c r="G1008" s="6">
        <v>835</v>
      </c>
      <c r="H1008" s="8">
        <v>79.5</v>
      </c>
      <c r="I1008" s="7">
        <v>117.66</v>
      </c>
      <c r="J1008" s="7">
        <v>157.81</v>
      </c>
      <c r="K1008" s="6">
        <v>380</v>
      </c>
      <c r="L1008" s="7">
        <v>655.47</v>
      </c>
    </row>
    <row r="1009" spans="1:12" x14ac:dyDescent="0.25">
      <c r="A1009" s="9">
        <v>45962</v>
      </c>
      <c r="B1009" t="s">
        <v>47</v>
      </c>
      <c r="C1009" t="s">
        <v>48</v>
      </c>
      <c r="D1009" t="s">
        <v>34</v>
      </c>
      <c r="E1009" t="s">
        <v>2032</v>
      </c>
      <c r="F1009" t="s">
        <v>1942</v>
      </c>
      <c r="G1009" s="6">
        <v>733</v>
      </c>
      <c r="H1009" s="8">
        <v>69.8</v>
      </c>
      <c r="I1009" s="7">
        <v>103.3</v>
      </c>
      <c r="J1009" s="7">
        <v>6.55</v>
      </c>
      <c r="K1009" s="6">
        <v>320</v>
      </c>
      <c r="L1009" s="7">
        <v>429.85</v>
      </c>
    </row>
    <row r="1010" spans="1:12" x14ac:dyDescent="0.25">
      <c r="A1010" s="9">
        <v>45962</v>
      </c>
      <c r="B1010" t="s">
        <v>47</v>
      </c>
      <c r="C1010" t="s">
        <v>48</v>
      </c>
      <c r="D1010" t="s">
        <v>34</v>
      </c>
      <c r="E1010" t="s">
        <v>2021</v>
      </c>
      <c r="F1010" t="s">
        <v>1942</v>
      </c>
      <c r="G1010" s="6">
        <v>954</v>
      </c>
      <c r="H1010" s="8">
        <v>90.9</v>
      </c>
      <c r="I1010" s="7">
        <v>134.53</v>
      </c>
      <c r="J1010" s="7">
        <v>140.1</v>
      </c>
      <c r="K1010" s="6">
        <v>380</v>
      </c>
      <c r="L1010" s="7">
        <v>654.63</v>
      </c>
    </row>
    <row r="1011" spans="1:12" x14ac:dyDescent="0.25">
      <c r="A1011" s="9">
        <v>45962</v>
      </c>
      <c r="B1011" t="s">
        <v>47</v>
      </c>
      <c r="C1011" t="s">
        <v>48</v>
      </c>
      <c r="D1011" t="s">
        <v>34</v>
      </c>
      <c r="E1011" t="s">
        <v>2071</v>
      </c>
      <c r="F1011" t="s">
        <v>1940</v>
      </c>
      <c r="G1011" s="6">
        <v>950</v>
      </c>
      <c r="H1011" s="8">
        <v>111.8</v>
      </c>
      <c r="I1011" s="7">
        <v>165.46</v>
      </c>
      <c r="J1011" s="7">
        <v>55.28</v>
      </c>
      <c r="K1011" s="6">
        <v>320</v>
      </c>
      <c r="L1011" s="7">
        <v>540.74</v>
      </c>
    </row>
    <row r="1012" spans="1:12" x14ac:dyDescent="0.25">
      <c r="A1012" s="9">
        <v>45962</v>
      </c>
      <c r="B1012" t="s">
        <v>121</v>
      </c>
      <c r="C1012" t="s">
        <v>122</v>
      </c>
      <c r="D1012" t="s">
        <v>34</v>
      </c>
      <c r="E1012" t="s">
        <v>1943</v>
      </c>
      <c r="F1012" t="s">
        <v>1940</v>
      </c>
      <c r="G1012" s="6">
        <v>950</v>
      </c>
      <c r="H1012" s="8">
        <v>111.8</v>
      </c>
      <c r="I1012" s="7">
        <v>165.46</v>
      </c>
      <c r="J1012" s="7">
        <v>171.54</v>
      </c>
      <c r="K1012" s="6">
        <v>450</v>
      </c>
      <c r="L1012" s="7">
        <v>787</v>
      </c>
    </row>
    <row r="1013" spans="1:12" x14ac:dyDescent="0.25">
      <c r="A1013" s="9">
        <v>45962</v>
      </c>
      <c r="B1013" t="s">
        <v>121</v>
      </c>
      <c r="C1013" t="s">
        <v>122</v>
      </c>
      <c r="D1013" t="s">
        <v>34</v>
      </c>
      <c r="E1013" t="s">
        <v>1960</v>
      </c>
      <c r="F1013" t="s">
        <v>1948</v>
      </c>
      <c r="G1013" s="6">
        <v>1038</v>
      </c>
      <c r="H1013" s="8">
        <v>122.1</v>
      </c>
      <c r="I1013" s="7">
        <v>180.71</v>
      </c>
      <c r="J1013" s="7">
        <v>264.60000000000002</v>
      </c>
      <c r="K1013" s="6">
        <v>450</v>
      </c>
      <c r="L1013" s="7">
        <v>895.31</v>
      </c>
    </row>
    <row r="1014" spans="1:12" x14ac:dyDescent="0.25">
      <c r="A1014" s="9">
        <v>45962</v>
      </c>
      <c r="B1014" t="s">
        <v>121</v>
      </c>
      <c r="C1014" t="s">
        <v>122</v>
      </c>
      <c r="D1014" t="s">
        <v>34</v>
      </c>
      <c r="E1014" t="s">
        <v>2020</v>
      </c>
      <c r="F1014" t="s">
        <v>1948</v>
      </c>
      <c r="G1014" s="6">
        <v>882</v>
      </c>
      <c r="H1014" s="8">
        <v>103.8</v>
      </c>
      <c r="I1014" s="7">
        <v>153.62</v>
      </c>
      <c r="J1014" s="7">
        <v>343.74</v>
      </c>
      <c r="K1014" s="6">
        <v>320</v>
      </c>
      <c r="L1014" s="7">
        <v>817.36</v>
      </c>
    </row>
    <row r="1015" spans="1:12" x14ac:dyDescent="0.25">
      <c r="A1015" s="9">
        <v>45962</v>
      </c>
      <c r="B1015" t="s">
        <v>121</v>
      </c>
      <c r="C1015" t="s">
        <v>122</v>
      </c>
      <c r="D1015" t="s">
        <v>34</v>
      </c>
      <c r="E1015" t="s">
        <v>2080</v>
      </c>
      <c r="F1015" t="s">
        <v>1942</v>
      </c>
      <c r="G1015" s="6">
        <v>755</v>
      </c>
      <c r="H1015" s="8">
        <v>71.900000000000006</v>
      </c>
      <c r="I1015" s="7">
        <v>106.41</v>
      </c>
      <c r="J1015" s="7">
        <v>189</v>
      </c>
      <c r="K1015" s="6">
        <v>520</v>
      </c>
      <c r="L1015" s="7">
        <v>815.41</v>
      </c>
    </row>
    <row r="1016" spans="1:12" x14ac:dyDescent="0.25">
      <c r="A1016" s="9">
        <v>45962</v>
      </c>
      <c r="B1016" t="s">
        <v>201</v>
      </c>
      <c r="C1016" t="s">
        <v>202</v>
      </c>
      <c r="D1016" t="s">
        <v>64</v>
      </c>
      <c r="E1016" t="s">
        <v>2068</v>
      </c>
      <c r="F1016" t="s">
        <v>1942</v>
      </c>
      <c r="G1016" s="6">
        <v>1345</v>
      </c>
      <c r="H1016" s="8">
        <v>128.1</v>
      </c>
      <c r="I1016" s="7">
        <v>189.59</v>
      </c>
      <c r="J1016" s="7">
        <v>188.47</v>
      </c>
      <c r="K1016" s="6">
        <v>520</v>
      </c>
      <c r="L1016" s="7">
        <v>898.06</v>
      </c>
    </row>
    <row r="1017" spans="1:12" x14ac:dyDescent="0.25">
      <c r="A1017" s="9">
        <v>45962</v>
      </c>
      <c r="B1017" t="s">
        <v>201</v>
      </c>
      <c r="C1017" t="s">
        <v>202</v>
      </c>
      <c r="D1017" t="s">
        <v>64</v>
      </c>
      <c r="E1017" t="s">
        <v>2027</v>
      </c>
      <c r="F1017" t="s">
        <v>1940</v>
      </c>
      <c r="G1017" s="6">
        <v>999</v>
      </c>
      <c r="H1017" s="8">
        <v>117.5</v>
      </c>
      <c r="I1017" s="7">
        <v>173.9</v>
      </c>
      <c r="J1017" s="7">
        <v>107.74</v>
      </c>
      <c r="K1017" s="6">
        <v>320</v>
      </c>
      <c r="L1017" s="7">
        <v>601.64</v>
      </c>
    </row>
    <row r="1018" spans="1:12" x14ac:dyDescent="0.25">
      <c r="A1018" s="9">
        <v>45962</v>
      </c>
      <c r="B1018" t="s">
        <v>201</v>
      </c>
      <c r="C1018" t="s">
        <v>202</v>
      </c>
      <c r="D1018" t="s">
        <v>64</v>
      </c>
      <c r="E1018" t="s">
        <v>1971</v>
      </c>
      <c r="F1018" t="s">
        <v>1942</v>
      </c>
      <c r="G1018" s="6">
        <v>1309</v>
      </c>
      <c r="H1018" s="8">
        <v>124.7</v>
      </c>
      <c r="I1018" s="7">
        <v>184.56</v>
      </c>
      <c r="J1018" s="7">
        <v>36.159999999999997</v>
      </c>
      <c r="K1018" s="6">
        <v>380</v>
      </c>
      <c r="L1018" s="7">
        <v>600.72</v>
      </c>
    </row>
    <row r="1019" spans="1:12" x14ac:dyDescent="0.25">
      <c r="A1019" s="9">
        <v>45962</v>
      </c>
      <c r="B1019" t="s">
        <v>201</v>
      </c>
      <c r="C1019" t="s">
        <v>202</v>
      </c>
      <c r="D1019" t="s">
        <v>64</v>
      </c>
      <c r="E1019" t="s">
        <v>2051</v>
      </c>
      <c r="F1019" t="s">
        <v>1942</v>
      </c>
      <c r="G1019" s="6">
        <v>807</v>
      </c>
      <c r="H1019" s="8">
        <v>76.900000000000006</v>
      </c>
      <c r="I1019" s="7">
        <v>113.81</v>
      </c>
      <c r="J1019" s="7">
        <v>118.2</v>
      </c>
      <c r="K1019" s="6">
        <v>520</v>
      </c>
      <c r="L1019" s="7">
        <v>752.01</v>
      </c>
    </row>
    <row r="1020" spans="1:12" x14ac:dyDescent="0.25">
      <c r="A1020" s="9">
        <v>45962</v>
      </c>
      <c r="B1020" t="s">
        <v>118</v>
      </c>
      <c r="C1020" t="s">
        <v>119</v>
      </c>
      <c r="D1020" t="s">
        <v>64</v>
      </c>
      <c r="E1020" t="s">
        <v>2039</v>
      </c>
      <c r="F1020" t="s">
        <v>1948</v>
      </c>
      <c r="G1020" s="6">
        <v>1359</v>
      </c>
      <c r="H1020" s="8">
        <v>159.9</v>
      </c>
      <c r="I1020" s="7">
        <v>236.65</v>
      </c>
      <c r="J1020" s="7">
        <v>280.38</v>
      </c>
      <c r="K1020" s="6">
        <v>520</v>
      </c>
      <c r="L1020" s="7">
        <v>1037.03</v>
      </c>
    </row>
    <row r="1021" spans="1:12" x14ac:dyDescent="0.25">
      <c r="A1021" s="9">
        <v>45962</v>
      </c>
      <c r="B1021" t="s">
        <v>118</v>
      </c>
      <c r="C1021" t="s">
        <v>119</v>
      </c>
      <c r="D1021" t="s">
        <v>64</v>
      </c>
      <c r="E1021" t="s">
        <v>2019</v>
      </c>
      <c r="F1021" t="s">
        <v>1946</v>
      </c>
      <c r="G1021" s="6">
        <v>807</v>
      </c>
      <c r="H1021" s="8">
        <v>76.900000000000006</v>
      </c>
      <c r="I1021" s="7">
        <v>113.81</v>
      </c>
      <c r="J1021" s="7">
        <v>125.18</v>
      </c>
      <c r="K1021" s="6">
        <v>520</v>
      </c>
      <c r="L1021" s="7">
        <v>758.99</v>
      </c>
    </row>
    <row r="1022" spans="1:12" x14ac:dyDescent="0.25">
      <c r="A1022" s="9">
        <v>45962</v>
      </c>
      <c r="B1022" t="s">
        <v>118</v>
      </c>
      <c r="C1022" t="s">
        <v>119</v>
      </c>
      <c r="D1022" t="s">
        <v>64</v>
      </c>
      <c r="E1022" t="s">
        <v>2000</v>
      </c>
      <c r="F1022" t="s">
        <v>1942</v>
      </c>
      <c r="G1022" s="6">
        <v>896</v>
      </c>
      <c r="H1022" s="8">
        <v>85.3</v>
      </c>
      <c r="I1022" s="7">
        <v>126.24</v>
      </c>
      <c r="J1022" s="7">
        <v>93.22</v>
      </c>
      <c r="K1022" s="6">
        <v>380</v>
      </c>
      <c r="L1022" s="7">
        <v>599.46</v>
      </c>
    </row>
    <row r="1023" spans="1:12" x14ac:dyDescent="0.25">
      <c r="A1023" s="9">
        <v>45962</v>
      </c>
      <c r="B1023" t="s">
        <v>118</v>
      </c>
      <c r="C1023" t="s">
        <v>119</v>
      </c>
      <c r="D1023" t="s">
        <v>64</v>
      </c>
      <c r="E1023" t="s">
        <v>2035</v>
      </c>
      <c r="F1023" t="s">
        <v>1946</v>
      </c>
      <c r="G1023" s="6">
        <v>1294</v>
      </c>
      <c r="H1023" s="8">
        <v>123.2</v>
      </c>
      <c r="I1023" s="7">
        <v>182.34</v>
      </c>
      <c r="J1023" s="7">
        <v>40.26</v>
      </c>
      <c r="K1023" s="6">
        <v>450</v>
      </c>
      <c r="L1023" s="7">
        <v>672.6</v>
      </c>
    </row>
    <row r="1024" spans="1:12" x14ac:dyDescent="0.25">
      <c r="A1024" s="9">
        <v>45962</v>
      </c>
      <c r="B1024" t="s">
        <v>62</v>
      </c>
      <c r="C1024" t="s">
        <v>63</v>
      </c>
      <c r="D1024" t="s">
        <v>64</v>
      </c>
      <c r="E1024" t="s">
        <v>2063</v>
      </c>
      <c r="F1024" t="s">
        <v>1948</v>
      </c>
      <c r="G1024" s="6">
        <v>1452</v>
      </c>
      <c r="H1024" s="8">
        <v>170.8</v>
      </c>
      <c r="I1024" s="7">
        <v>252.78</v>
      </c>
      <c r="J1024" s="7">
        <v>316.26</v>
      </c>
      <c r="K1024" s="6">
        <v>380</v>
      </c>
      <c r="L1024" s="7">
        <v>949.04</v>
      </c>
    </row>
    <row r="1025" spans="1:12" x14ac:dyDescent="0.25">
      <c r="A1025" s="9">
        <v>45962</v>
      </c>
      <c r="B1025" t="s">
        <v>62</v>
      </c>
      <c r="C1025" t="s">
        <v>63</v>
      </c>
      <c r="D1025" t="s">
        <v>64</v>
      </c>
      <c r="E1025" t="s">
        <v>2082</v>
      </c>
      <c r="F1025" t="s">
        <v>1948</v>
      </c>
      <c r="G1025" s="6">
        <v>1322</v>
      </c>
      <c r="H1025" s="8">
        <v>155.5</v>
      </c>
      <c r="I1025" s="7">
        <v>230.14</v>
      </c>
      <c r="J1025" s="7">
        <v>212.96</v>
      </c>
      <c r="K1025" s="6">
        <v>520</v>
      </c>
      <c r="L1025" s="7">
        <v>963.1</v>
      </c>
    </row>
    <row r="1026" spans="1:12" x14ac:dyDescent="0.25">
      <c r="A1026" s="9">
        <v>45962</v>
      </c>
      <c r="B1026" t="s">
        <v>62</v>
      </c>
      <c r="C1026" t="s">
        <v>63</v>
      </c>
      <c r="D1026" t="s">
        <v>64</v>
      </c>
      <c r="E1026" t="s">
        <v>2067</v>
      </c>
      <c r="F1026" t="s">
        <v>1946</v>
      </c>
      <c r="G1026" s="6">
        <v>1012</v>
      </c>
      <c r="H1026" s="8">
        <v>96.4</v>
      </c>
      <c r="I1026" s="7">
        <v>142.66999999999999</v>
      </c>
      <c r="J1026" s="7">
        <v>35.35</v>
      </c>
      <c r="K1026" s="6">
        <v>320</v>
      </c>
      <c r="L1026" s="7">
        <v>498.02</v>
      </c>
    </row>
    <row r="1027" spans="1:12" x14ac:dyDescent="0.25">
      <c r="A1027" s="9">
        <v>45962</v>
      </c>
      <c r="B1027" t="s">
        <v>91</v>
      </c>
      <c r="C1027" t="s">
        <v>92</v>
      </c>
      <c r="D1027" t="s">
        <v>64</v>
      </c>
      <c r="E1027" t="s">
        <v>1997</v>
      </c>
      <c r="F1027" t="s">
        <v>1946</v>
      </c>
      <c r="G1027" s="6">
        <v>918</v>
      </c>
      <c r="H1027" s="8">
        <v>87.4</v>
      </c>
      <c r="I1027" s="7">
        <v>129.35</v>
      </c>
      <c r="J1027" s="7">
        <v>189.49</v>
      </c>
      <c r="K1027" s="6">
        <v>380</v>
      </c>
      <c r="L1027" s="7">
        <v>698.84</v>
      </c>
    </row>
    <row r="1028" spans="1:12" x14ac:dyDescent="0.25">
      <c r="A1028" s="9">
        <v>45962</v>
      </c>
      <c r="B1028" t="s">
        <v>91</v>
      </c>
      <c r="C1028" t="s">
        <v>92</v>
      </c>
      <c r="D1028" t="s">
        <v>64</v>
      </c>
      <c r="E1028" t="s">
        <v>2082</v>
      </c>
      <c r="F1028" t="s">
        <v>1948</v>
      </c>
      <c r="G1028" s="6">
        <v>1374</v>
      </c>
      <c r="H1028" s="8">
        <v>161.6</v>
      </c>
      <c r="I1028" s="7">
        <v>239.17</v>
      </c>
      <c r="J1028" s="7">
        <v>161.43</v>
      </c>
      <c r="K1028" s="6">
        <v>520</v>
      </c>
      <c r="L1028" s="7">
        <v>920.6</v>
      </c>
    </row>
    <row r="1029" spans="1:12" x14ac:dyDescent="0.25">
      <c r="A1029" s="9">
        <v>45962</v>
      </c>
      <c r="B1029" t="s">
        <v>91</v>
      </c>
      <c r="C1029" t="s">
        <v>92</v>
      </c>
      <c r="D1029" t="s">
        <v>64</v>
      </c>
      <c r="E1029" t="s">
        <v>2034</v>
      </c>
      <c r="F1029" t="s">
        <v>1942</v>
      </c>
      <c r="G1029" s="6">
        <v>958</v>
      </c>
      <c r="H1029" s="8">
        <v>91.2</v>
      </c>
      <c r="I1029" s="7">
        <v>134.97999999999999</v>
      </c>
      <c r="J1029" s="7">
        <v>137.9</v>
      </c>
      <c r="K1029" s="6">
        <v>520</v>
      </c>
      <c r="L1029" s="7">
        <v>792.88</v>
      </c>
    </row>
    <row r="1030" spans="1:12" x14ac:dyDescent="0.25">
      <c r="A1030" s="9">
        <v>45962</v>
      </c>
      <c r="B1030" t="s">
        <v>91</v>
      </c>
      <c r="C1030" t="s">
        <v>92</v>
      </c>
      <c r="D1030" t="s">
        <v>64</v>
      </c>
      <c r="E1030" t="s">
        <v>2064</v>
      </c>
      <c r="F1030" t="s">
        <v>1942</v>
      </c>
      <c r="G1030" s="6">
        <v>701</v>
      </c>
      <c r="H1030" s="8">
        <v>66.8</v>
      </c>
      <c r="I1030" s="7">
        <v>98.86</v>
      </c>
      <c r="J1030" s="7">
        <v>197.31</v>
      </c>
      <c r="K1030" s="6">
        <v>380</v>
      </c>
      <c r="L1030" s="7">
        <v>676.17</v>
      </c>
    </row>
    <row r="1031" spans="1:12" x14ac:dyDescent="0.25">
      <c r="A1031" s="9">
        <v>45962</v>
      </c>
      <c r="B1031" t="s">
        <v>91</v>
      </c>
      <c r="C1031" t="s">
        <v>92</v>
      </c>
      <c r="D1031" t="s">
        <v>64</v>
      </c>
      <c r="E1031" t="s">
        <v>1974</v>
      </c>
      <c r="F1031" t="s">
        <v>1948</v>
      </c>
      <c r="G1031" s="6">
        <v>869</v>
      </c>
      <c r="H1031" s="8">
        <v>102.2</v>
      </c>
      <c r="I1031" s="7">
        <v>151.26</v>
      </c>
      <c r="J1031" s="7">
        <v>234.37</v>
      </c>
      <c r="K1031" s="6">
        <v>380</v>
      </c>
      <c r="L1031" s="7">
        <v>765.63</v>
      </c>
    </row>
    <row r="1032" spans="1:12" x14ac:dyDescent="0.25">
      <c r="A1032" s="9">
        <v>45962</v>
      </c>
      <c r="B1032" t="s">
        <v>91</v>
      </c>
      <c r="C1032" t="s">
        <v>92</v>
      </c>
      <c r="D1032" t="s">
        <v>64</v>
      </c>
      <c r="E1032" t="s">
        <v>2074</v>
      </c>
      <c r="F1032" t="s">
        <v>1946</v>
      </c>
      <c r="G1032" s="6">
        <v>937</v>
      </c>
      <c r="H1032" s="8">
        <v>89.2</v>
      </c>
      <c r="I1032" s="7">
        <v>132.02000000000001</v>
      </c>
      <c r="J1032" s="7">
        <v>86.85</v>
      </c>
      <c r="K1032" s="6">
        <v>450</v>
      </c>
      <c r="L1032" s="7">
        <v>668.87</v>
      </c>
    </row>
    <row r="1033" spans="1:12" x14ac:dyDescent="0.25">
      <c r="A1033" s="9">
        <v>45962</v>
      </c>
      <c r="B1033" t="s">
        <v>80</v>
      </c>
      <c r="C1033" t="s">
        <v>81</v>
      </c>
      <c r="D1033" t="s">
        <v>64</v>
      </c>
      <c r="E1033" t="s">
        <v>2006</v>
      </c>
      <c r="F1033" t="s">
        <v>1942</v>
      </c>
      <c r="G1033" s="6">
        <v>1048</v>
      </c>
      <c r="H1033" s="8">
        <v>99.8</v>
      </c>
      <c r="I1033" s="7">
        <v>147.69999999999999</v>
      </c>
      <c r="J1033" s="7">
        <v>132.75</v>
      </c>
      <c r="K1033" s="6">
        <v>380</v>
      </c>
      <c r="L1033" s="7">
        <v>660.45</v>
      </c>
    </row>
    <row r="1034" spans="1:12" x14ac:dyDescent="0.25">
      <c r="A1034" s="9">
        <v>45962</v>
      </c>
      <c r="B1034" t="s">
        <v>80</v>
      </c>
      <c r="C1034" t="s">
        <v>81</v>
      </c>
      <c r="D1034" t="s">
        <v>64</v>
      </c>
      <c r="E1034" t="s">
        <v>1974</v>
      </c>
      <c r="F1034" t="s">
        <v>1948</v>
      </c>
      <c r="G1034" s="6">
        <v>957</v>
      </c>
      <c r="H1034" s="8">
        <v>112.6</v>
      </c>
      <c r="I1034" s="7">
        <v>166.65</v>
      </c>
      <c r="J1034" s="7">
        <v>191.72</v>
      </c>
      <c r="K1034" s="6">
        <v>450</v>
      </c>
      <c r="L1034" s="7">
        <v>808.37</v>
      </c>
    </row>
    <row r="1035" spans="1:12" x14ac:dyDescent="0.25">
      <c r="A1035" s="9">
        <v>45962</v>
      </c>
      <c r="B1035" t="s">
        <v>80</v>
      </c>
      <c r="C1035" t="s">
        <v>81</v>
      </c>
      <c r="D1035" t="s">
        <v>64</v>
      </c>
      <c r="E1035" t="s">
        <v>2065</v>
      </c>
      <c r="F1035" t="s">
        <v>1942</v>
      </c>
      <c r="G1035" s="6">
        <v>1129</v>
      </c>
      <c r="H1035" s="8">
        <v>107.5</v>
      </c>
      <c r="I1035" s="7">
        <v>159.1</v>
      </c>
      <c r="J1035" s="7">
        <v>282.29000000000002</v>
      </c>
      <c r="K1035" s="6">
        <v>380</v>
      </c>
      <c r="L1035" s="7">
        <v>821.39</v>
      </c>
    </row>
    <row r="1036" spans="1:12" x14ac:dyDescent="0.25">
      <c r="A1036" s="9">
        <v>45962</v>
      </c>
      <c r="B1036" t="s">
        <v>56</v>
      </c>
      <c r="C1036" t="s">
        <v>57</v>
      </c>
      <c r="D1036" t="s">
        <v>58</v>
      </c>
      <c r="E1036" t="s">
        <v>2048</v>
      </c>
      <c r="F1036" t="s">
        <v>1942</v>
      </c>
      <c r="G1036" s="6">
        <v>1084</v>
      </c>
      <c r="H1036" s="8">
        <v>103.2</v>
      </c>
      <c r="I1036" s="7">
        <v>152.74</v>
      </c>
      <c r="J1036" s="7">
        <v>229.69</v>
      </c>
      <c r="K1036" s="6">
        <v>320</v>
      </c>
      <c r="L1036" s="7">
        <v>702.43</v>
      </c>
    </row>
    <row r="1037" spans="1:12" x14ac:dyDescent="0.25">
      <c r="A1037" s="9">
        <v>45962</v>
      </c>
      <c r="B1037" t="s">
        <v>56</v>
      </c>
      <c r="C1037" t="s">
        <v>57</v>
      </c>
      <c r="D1037" t="s">
        <v>58</v>
      </c>
      <c r="E1037" t="s">
        <v>1983</v>
      </c>
      <c r="F1037" t="s">
        <v>1940</v>
      </c>
      <c r="G1037" s="6">
        <v>702</v>
      </c>
      <c r="H1037" s="8">
        <v>82.6</v>
      </c>
      <c r="I1037" s="7">
        <v>122.25</v>
      </c>
      <c r="J1037" s="7">
        <v>162.62</v>
      </c>
      <c r="K1037" s="6">
        <v>320</v>
      </c>
      <c r="L1037" s="7">
        <v>604.87</v>
      </c>
    </row>
    <row r="1038" spans="1:12" x14ac:dyDescent="0.25">
      <c r="A1038" s="9">
        <v>45962</v>
      </c>
      <c r="B1038" t="s">
        <v>56</v>
      </c>
      <c r="C1038" t="s">
        <v>57</v>
      </c>
      <c r="D1038" t="s">
        <v>58</v>
      </c>
      <c r="E1038" t="s">
        <v>1997</v>
      </c>
      <c r="F1038" t="s">
        <v>1946</v>
      </c>
      <c r="G1038" s="6">
        <v>775</v>
      </c>
      <c r="H1038" s="8">
        <v>73.8</v>
      </c>
      <c r="I1038" s="7">
        <v>109.22</v>
      </c>
      <c r="J1038" s="7">
        <v>31.85</v>
      </c>
      <c r="K1038" s="6">
        <v>320</v>
      </c>
      <c r="L1038" s="7">
        <v>461.07</v>
      </c>
    </row>
    <row r="1039" spans="1:12" x14ac:dyDescent="0.25">
      <c r="A1039" s="9">
        <v>45962</v>
      </c>
      <c r="B1039" t="s">
        <v>77</v>
      </c>
      <c r="C1039" t="s">
        <v>78</v>
      </c>
      <c r="D1039" t="s">
        <v>58</v>
      </c>
      <c r="E1039" t="s">
        <v>2028</v>
      </c>
      <c r="F1039" t="s">
        <v>1940</v>
      </c>
      <c r="G1039" s="6">
        <v>865</v>
      </c>
      <c r="H1039" s="8">
        <v>101.8</v>
      </c>
      <c r="I1039" s="7">
        <v>150.66</v>
      </c>
      <c r="J1039" s="7">
        <v>245.35</v>
      </c>
      <c r="K1039" s="6">
        <v>380</v>
      </c>
      <c r="L1039" s="7">
        <v>776.01</v>
      </c>
    </row>
    <row r="1040" spans="1:12" x14ac:dyDescent="0.25">
      <c r="A1040" s="9">
        <v>45962</v>
      </c>
      <c r="B1040" t="s">
        <v>77</v>
      </c>
      <c r="C1040" t="s">
        <v>78</v>
      </c>
      <c r="D1040" t="s">
        <v>58</v>
      </c>
      <c r="E1040" t="s">
        <v>1975</v>
      </c>
      <c r="F1040" t="s">
        <v>1940</v>
      </c>
      <c r="G1040" s="6">
        <v>1287</v>
      </c>
      <c r="H1040" s="8">
        <v>151.4</v>
      </c>
      <c r="I1040" s="7">
        <v>224.07</v>
      </c>
      <c r="J1040" s="7">
        <v>169.44</v>
      </c>
      <c r="K1040" s="6">
        <v>450</v>
      </c>
      <c r="L1040" s="7">
        <v>843.51</v>
      </c>
    </row>
    <row r="1041" spans="1:12" x14ac:dyDescent="0.25">
      <c r="A1041" s="9">
        <v>45962</v>
      </c>
      <c r="B1041" t="s">
        <v>77</v>
      </c>
      <c r="C1041" t="s">
        <v>78</v>
      </c>
      <c r="D1041" t="s">
        <v>58</v>
      </c>
      <c r="E1041" t="s">
        <v>1955</v>
      </c>
      <c r="F1041" t="s">
        <v>1948</v>
      </c>
      <c r="G1041" s="6">
        <v>666</v>
      </c>
      <c r="H1041" s="8">
        <v>78.400000000000006</v>
      </c>
      <c r="I1041" s="7">
        <v>116.03</v>
      </c>
      <c r="J1041" s="7">
        <v>234.3</v>
      </c>
      <c r="K1041" s="6">
        <v>520</v>
      </c>
      <c r="L1041" s="7">
        <v>870.33</v>
      </c>
    </row>
    <row r="1042" spans="1:12" x14ac:dyDescent="0.25">
      <c r="A1042" s="9">
        <v>45962</v>
      </c>
      <c r="B1042" t="s">
        <v>77</v>
      </c>
      <c r="C1042" t="s">
        <v>78</v>
      </c>
      <c r="D1042" t="s">
        <v>58</v>
      </c>
      <c r="E1042" t="s">
        <v>2022</v>
      </c>
      <c r="F1042" t="s">
        <v>1940</v>
      </c>
      <c r="G1042" s="6">
        <v>1125</v>
      </c>
      <c r="H1042" s="8">
        <v>132.4</v>
      </c>
      <c r="I1042" s="7">
        <v>195.95</v>
      </c>
      <c r="J1042" s="7">
        <v>164.04</v>
      </c>
      <c r="K1042" s="6">
        <v>380</v>
      </c>
      <c r="L1042" s="7">
        <v>739.99</v>
      </c>
    </row>
    <row r="1043" spans="1:12" x14ac:dyDescent="0.25">
      <c r="A1043" s="9">
        <v>45962</v>
      </c>
      <c r="B1043" t="s">
        <v>77</v>
      </c>
      <c r="C1043" t="s">
        <v>78</v>
      </c>
      <c r="D1043" t="s">
        <v>58</v>
      </c>
      <c r="E1043" t="s">
        <v>1969</v>
      </c>
      <c r="F1043" t="s">
        <v>1940</v>
      </c>
      <c r="G1043" s="6">
        <v>589</v>
      </c>
      <c r="H1043" s="8">
        <v>69.3</v>
      </c>
      <c r="I1043" s="7">
        <v>102.56</v>
      </c>
      <c r="J1043" s="7">
        <v>78.77</v>
      </c>
      <c r="K1043" s="6">
        <v>450</v>
      </c>
      <c r="L1043" s="7">
        <v>631.33000000000004</v>
      </c>
    </row>
    <row r="1044" spans="1:12" x14ac:dyDescent="0.25">
      <c r="A1044" s="9">
        <v>45962</v>
      </c>
      <c r="B1044" t="s">
        <v>77</v>
      </c>
      <c r="C1044" t="s">
        <v>78</v>
      </c>
      <c r="D1044" t="s">
        <v>58</v>
      </c>
      <c r="E1044" t="s">
        <v>1978</v>
      </c>
      <c r="F1044" t="s">
        <v>1946</v>
      </c>
      <c r="G1044" s="6">
        <v>1033</v>
      </c>
      <c r="H1044" s="8">
        <v>98.4</v>
      </c>
      <c r="I1044" s="7">
        <v>145.63</v>
      </c>
      <c r="J1044" s="7">
        <v>192.9</v>
      </c>
      <c r="K1044" s="6">
        <v>380</v>
      </c>
      <c r="L1044" s="7">
        <v>718.53</v>
      </c>
    </row>
    <row r="1045" spans="1:12" x14ac:dyDescent="0.25">
      <c r="A1045" s="9">
        <v>45962</v>
      </c>
      <c r="B1045" t="s">
        <v>77</v>
      </c>
      <c r="C1045" t="s">
        <v>78</v>
      </c>
      <c r="D1045" t="s">
        <v>58</v>
      </c>
      <c r="E1045" t="s">
        <v>2056</v>
      </c>
      <c r="F1045" t="s">
        <v>1948</v>
      </c>
      <c r="G1045" s="6">
        <v>500</v>
      </c>
      <c r="H1045" s="8">
        <v>58.8</v>
      </c>
      <c r="I1045" s="7">
        <v>87.02</v>
      </c>
      <c r="J1045" s="7">
        <v>237.03</v>
      </c>
      <c r="K1045" s="6">
        <v>380</v>
      </c>
      <c r="L1045" s="7">
        <v>704.05</v>
      </c>
    </row>
    <row r="1046" spans="1:12" x14ac:dyDescent="0.25">
      <c r="A1046" s="9">
        <v>45962</v>
      </c>
      <c r="B1046" t="s">
        <v>110</v>
      </c>
      <c r="C1046" t="s">
        <v>111</v>
      </c>
      <c r="D1046" t="s">
        <v>58</v>
      </c>
      <c r="E1046" t="s">
        <v>2080</v>
      </c>
      <c r="F1046" t="s">
        <v>1946</v>
      </c>
      <c r="G1046" s="6">
        <v>1085</v>
      </c>
      <c r="H1046" s="8">
        <v>103.3</v>
      </c>
      <c r="I1046" s="7">
        <v>152.88</v>
      </c>
      <c r="J1046" s="7">
        <v>217.97</v>
      </c>
      <c r="K1046" s="6">
        <v>320</v>
      </c>
      <c r="L1046" s="7">
        <v>690.85</v>
      </c>
    </row>
    <row r="1047" spans="1:12" x14ac:dyDescent="0.25">
      <c r="A1047" s="9">
        <v>45962</v>
      </c>
      <c r="B1047" t="s">
        <v>110</v>
      </c>
      <c r="C1047" t="s">
        <v>111</v>
      </c>
      <c r="D1047" t="s">
        <v>58</v>
      </c>
      <c r="E1047" t="s">
        <v>2079</v>
      </c>
      <c r="F1047" t="s">
        <v>1940</v>
      </c>
      <c r="G1047" s="6">
        <v>1223</v>
      </c>
      <c r="H1047" s="8">
        <v>143.9</v>
      </c>
      <c r="I1047" s="7">
        <v>212.97</v>
      </c>
      <c r="J1047" s="7">
        <v>196.61</v>
      </c>
      <c r="K1047" s="6">
        <v>520</v>
      </c>
      <c r="L1047" s="7">
        <v>929.58</v>
      </c>
    </row>
    <row r="1048" spans="1:12" x14ac:dyDescent="0.25">
      <c r="A1048" s="9">
        <v>45962</v>
      </c>
      <c r="B1048" t="s">
        <v>110</v>
      </c>
      <c r="C1048" t="s">
        <v>111</v>
      </c>
      <c r="D1048" t="s">
        <v>58</v>
      </c>
      <c r="E1048" t="s">
        <v>1993</v>
      </c>
      <c r="F1048" t="s">
        <v>1946</v>
      </c>
      <c r="G1048" s="6">
        <v>850</v>
      </c>
      <c r="H1048" s="8">
        <v>81</v>
      </c>
      <c r="I1048" s="7">
        <v>119.88</v>
      </c>
      <c r="J1048" s="7">
        <v>0</v>
      </c>
      <c r="K1048" s="6">
        <v>520</v>
      </c>
      <c r="L1048" s="7">
        <v>639.88</v>
      </c>
    </row>
    <row r="1049" spans="1:12" x14ac:dyDescent="0.25">
      <c r="A1049" s="9">
        <v>45962</v>
      </c>
      <c r="B1049" t="s">
        <v>110</v>
      </c>
      <c r="C1049" t="s">
        <v>111</v>
      </c>
      <c r="D1049" t="s">
        <v>58</v>
      </c>
      <c r="E1049" t="s">
        <v>1955</v>
      </c>
      <c r="F1049" t="s">
        <v>1946</v>
      </c>
      <c r="G1049" s="6">
        <v>951</v>
      </c>
      <c r="H1049" s="8">
        <v>90.6</v>
      </c>
      <c r="I1049" s="7">
        <v>134.09</v>
      </c>
      <c r="J1049" s="7">
        <v>230.13</v>
      </c>
      <c r="K1049" s="6">
        <v>450</v>
      </c>
      <c r="L1049" s="7">
        <v>814.22</v>
      </c>
    </row>
    <row r="1050" spans="1:12" x14ac:dyDescent="0.25">
      <c r="A1050" s="9">
        <v>45962</v>
      </c>
      <c r="B1050" t="s">
        <v>110</v>
      </c>
      <c r="C1050" t="s">
        <v>111</v>
      </c>
      <c r="D1050" t="s">
        <v>58</v>
      </c>
      <c r="E1050" t="s">
        <v>2009</v>
      </c>
      <c r="F1050" t="s">
        <v>1946</v>
      </c>
      <c r="G1050" s="6">
        <v>1398</v>
      </c>
      <c r="H1050" s="8">
        <v>133.1</v>
      </c>
      <c r="I1050" s="7">
        <v>196.99</v>
      </c>
      <c r="J1050" s="7">
        <v>206.84</v>
      </c>
      <c r="K1050" s="6">
        <v>520</v>
      </c>
      <c r="L1050" s="7">
        <v>923.83</v>
      </c>
    </row>
    <row r="1051" spans="1:12" x14ac:dyDescent="0.25">
      <c r="A1051" s="9">
        <v>45962</v>
      </c>
      <c r="B1051" t="s">
        <v>110</v>
      </c>
      <c r="C1051" t="s">
        <v>111</v>
      </c>
      <c r="D1051" t="s">
        <v>58</v>
      </c>
      <c r="E1051" t="s">
        <v>1939</v>
      </c>
      <c r="F1051" t="s">
        <v>1940</v>
      </c>
      <c r="G1051" s="6">
        <v>1157</v>
      </c>
      <c r="H1051" s="8">
        <v>136.1</v>
      </c>
      <c r="I1051" s="7">
        <v>201.43</v>
      </c>
      <c r="J1051" s="7">
        <v>180.37</v>
      </c>
      <c r="K1051" s="6">
        <v>520</v>
      </c>
      <c r="L1051" s="7">
        <v>901.8</v>
      </c>
    </row>
    <row r="1052" spans="1:12" x14ac:dyDescent="0.25">
      <c r="A1052" s="9">
        <v>45962</v>
      </c>
      <c r="B1052" t="s">
        <v>85</v>
      </c>
      <c r="C1052" t="s">
        <v>86</v>
      </c>
      <c r="D1052" t="s">
        <v>58</v>
      </c>
      <c r="E1052" t="s">
        <v>1981</v>
      </c>
      <c r="F1052" t="s">
        <v>1948</v>
      </c>
      <c r="G1052" s="6">
        <v>910</v>
      </c>
      <c r="H1052" s="8">
        <v>107.1</v>
      </c>
      <c r="I1052" s="7">
        <v>158.51</v>
      </c>
      <c r="J1052" s="7">
        <v>239.6</v>
      </c>
      <c r="K1052" s="6">
        <v>520</v>
      </c>
      <c r="L1052" s="7">
        <v>918.11</v>
      </c>
    </row>
    <row r="1053" spans="1:12" x14ac:dyDescent="0.25">
      <c r="A1053" s="9">
        <v>45962</v>
      </c>
      <c r="B1053" t="s">
        <v>85</v>
      </c>
      <c r="C1053" t="s">
        <v>86</v>
      </c>
      <c r="D1053" t="s">
        <v>58</v>
      </c>
      <c r="E1053" t="s">
        <v>2044</v>
      </c>
      <c r="F1053" t="s">
        <v>1946</v>
      </c>
      <c r="G1053" s="6">
        <v>1467</v>
      </c>
      <c r="H1053" s="8">
        <v>139.69999999999999</v>
      </c>
      <c r="I1053" s="7">
        <v>206.76</v>
      </c>
      <c r="J1053" s="7">
        <v>74.599999999999994</v>
      </c>
      <c r="K1053" s="6">
        <v>380</v>
      </c>
      <c r="L1053" s="7">
        <v>661.36</v>
      </c>
    </row>
    <row r="1054" spans="1:12" x14ac:dyDescent="0.25">
      <c r="A1054" s="9">
        <v>45962</v>
      </c>
      <c r="B1054" t="s">
        <v>85</v>
      </c>
      <c r="C1054" t="s">
        <v>86</v>
      </c>
      <c r="D1054" t="s">
        <v>58</v>
      </c>
      <c r="E1054" t="s">
        <v>2056</v>
      </c>
      <c r="F1054" t="s">
        <v>1946</v>
      </c>
      <c r="G1054" s="6">
        <v>1453</v>
      </c>
      <c r="H1054" s="8">
        <v>138.4</v>
      </c>
      <c r="I1054" s="7">
        <v>204.83</v>
      </c>
      <c r="J1054" s="7">
        <v>124.24</v>
      </c>
      <c r="K1054" s="6">
        <v>380</v>
      </c>
      <c r="L1054" s="7">
        <v>709.07</v>
      </c>
    </row>
    <row r="1055" spans="1:12" x14ac:dyDescent="0.25">
      <c r="A1055" s="9">
        <v>45962</v>
      </c>
      <c r="B1055" t="s">
        <v>85</v>
      </c>
      <c r="C1055" t="s">
        <v>86</v>
      </c>
      <c r="D1055" t="s">
        <v>58</v>
      </c>
      <c r="E1055" t="s">
        <v>1984</v>
      </c>
      <c r="F1055" t="s">
        <v>1946</v>
      </c>
      <c r="G1055" s="6">
        <v>1381</v>
      </c>
      <c r="H1055" s="8">
        <v>131.5</v>
      </c>
      <c r="I1055" s="7">
        <v>194.62</v>
      </c>
      <c r="J1055" s="7">
        <v>37.450000000000003</v>
      </c>
      <c r="K1055" s="6">
        <v>380</v>
      </c>
      <c r="L1055" s="7">
        <v>612.07000000000005</v>
      </c>
    </row>
    <row r="1056" spans="1:12" x14ac:dyDescent="0.25">
      <c r="A1056" s="9">
        <v>45962</v>
      </c>
      <c r="B1056" t="s">
        <v>85</v>
      </c>
      <c r="C1056" t="s">
        <v>86</v>
      </c>
      <c r="D1056" t="s">
        <v>58</v>
      </c>
      <c r="E1056" t="s">
        <v>2005</v>
      </c>
      <c r="F1056" t="s">
        <v>1948</v>
      </c>
      <c r="G1056" s="6">
        <v>1196</v>
      </c>
      <c r="H1056" s="8">
        <v>140.69999999999999</v>
      </c>
      <c r="I1056" s="7">
        <v>208.24</v>
      </c>
      <c r="J1056" s="7">
        <v>191.06</v>
      </c>
      <c r="K1056" s="6">
        <v>520</v>
      </c>
      <c r="L1056" s="7">
        <v>919.3</v>
      </c>
    </row>
    <row r="1057" spans="1:12" x14ac:dyDescent="0.25">
      <c r="A1057" s="9">
        <v>45962</v>
      </c>
      <c r="B1057" t="s">
        <v>85</v>
      </c>
      <c r="C1057" t="s">
        <v>86</v>
      </c>
      <c r="D1057" t="s">
        <v>58</v>
      </c>
      <c r="E1057" t="s">
        <v>2046</v>
      </c>
      <c r="F1057" t="s">
        <v>1940</v>
      </c>
      <c r="G1057" s="6">
        <v>696</v>
      </c>
      <c r="H1057" s="8">
        <v>81.900000000000006</v>
      </c>
      <c r="I1057" s="7">
        <v>121.21</v>
      </c>
      <c r="J1057" s="7">
        <v>167.48</v>
      </c>
      <c r="K1057" s="6">
        <v>450</v>
      </c>
      <c r="L1057" s="7">
        <v>738.69</v>
      </c>
    </row>
    <row r="1058" spans="1:12" x14ac:dyDescent="0.25">
      <c r="A1058" s="9">
        <v>45962</v>
      </c>
      <c r="B1058" t="s">
        <v>103</v>
      </c>
      <c r="C1058" t="s">
        <v>104</v>
      </c>
      <c r="D1058" t="s">
        <v>58</v>
      </c>
      <c r="E1058" t="s">
        <v>1979</v>
      </c>
      <c r="F1058" t="s">
        <v>1940</v>
      </c>
      <c r="G1058" s="6">
        <v>1302</v>
      </c>
      <c r="H1058" s="8">
        <v>153.19999999999999</v>
      </c>
      <c r="I1058" s="7">
        <v>226.74</v>
      </c>
      <c r="J1058" s="7">
        <v>82.4</v>
      </c>
      <c r="K1058" s="6">
        <v>450</v>
      </c>
      <c r="L1058" s="7">
        <v>759.14</v>
      </c>
    </row>
    <row r="1059" spans="1:12" x14ac:dyDescent="0.25">
      <c r="A1059" s="9">
        <v>45962</v>
      </c>
      <c r="B1059" t="s">
        <v>103</v>
      </c>
      <c r="C1059" t="s">
        <v>104</v>
      </c>
      <c r="D1059" t="s">
        <v>58</v>
      </c>
      <c r="E1059" t="s">
        <v>1952</v>
      </c>
      <c r="F1059" t="s">
        <v>1940</v>
      </c>
      <c r="G1059" s="6">
        <v>675</v>
      </c>
      <c r="H1059" s="8">
        <v>79.400000000000006</v>
      </c>
      <c r="I1059" s="7">
        <v>117.51</v>
      </c>
      <c r="J1059" s="7">
        <v>142.65</v>
      </c>
      <c r="K1059" s="6">
        <v>320</v>
      </c>
      <c r="L1059" s="7">
        <v>580.16</v>
      </c>
    </row>
    <row r="1060" spans="1:12" x14ac:dyDescent="0.25">
      <c r="A1060" s="9">
        <v>45962</v>
      </c>
      <c r="B1060" t="s">
        <v>103</v>
      </c>
      <c r="C1060" t="s">
        <v>104</v>
      </c>
      <c r="D1060" t="s">
        <v>58</v>
      </c>
      <c r="E1060" t="s">
        <v>2025</v>
      </c>
      <c r="F1060" t="s">
        <v>1946</v>
      </c>
      <c r="G1060" s="6">
        <v>1028</v>
      </c>
      <c r="H1060" s="8">
        <v>97.9</v>
      </c>
      <c r="I1060" s="7">
        <v>144.88999999999999</v>
      </c>
      <c r="J1060" s="7">
        <v>193.87</v>
      </c>
      <c r="K1060" s="6">
        <v>380</v>
      </c>
      <c r="L1060" s="7">
        <v>718.76</v>
      </c>
    </row>
    <row r="1061" spans="1:12" x14ac:dyDescent="0.25">
      <c r="A1061" s="9">
        <v>45962</v>
      </c>
      <c r="B1061" t="s">
        <v>103</v>
      </c>
      <c r="C1061" t="s">
        <v>104</v>
      </c>
      <c r="D1061" t="s">
        <v>58</v>
      </c>
      <c r="E1061" t="s">
        <v>2066</v>
      </c>
      <c r="F1061" t="s">
        <v>1948</v>
      </c>
      <c r="G1061" s="6">
        <v>1287</v>
      </c>
      <c r="H1061" s="8">
        <v>151.4</v>
      </c>
      <c r="I1061" s="7">
        <v>224.07</v>
      </c>
      <c r="J1061" s="7">
        <v>245.25</v>
      </c>
      <c r="K1061" s="6">
        <v>380</v>
      </c>
      <c r="L1061" s="7">
        <v>849.32</v>
      </c>
    </row>
    <row r="1062" spans="1:12" x14ac:dyDescent="0.25">
      <c r="A1062" s="9">
        <v>45962</v>
      </c>
      <c r="B1062" t="s">
        <v>103</v>
      </c>
      <c r="C1062" t="s">
        <v>104</v>
      </c>
      <c r="D1062" t="s">
        <v>58</v>
      </c>
      <c r="E1062" t="s">
        <v>1949</v>
      </c>
      <c r="F1062" t="s">
        <v>1940</v>
      </c>
      <c r="G1062" s="6">
        <v>1513</v>
      </c>
      <c r="H1062" s="8">
        <v>178</v>
      </c>
      <c r="I1062" s="7">
        <v>263.44</v>
      </c>
      <c r="J1062" s="7">
        <v>167.94</v>
      </c>
      <c r="K1062" s="6">
        <v>520</v>
      </c>
      <c r="L1062" s="7">
        <v>951.38</v>
      </c>
    </row>
    <row r="1063" spans="1:12" x14ac:dyDescent="0.25">
      <c r="A1063" s="9">
        <v>45992</v>
      </c>
      <c r="B1063" t="s">
        <v>100</v>
      </c>
      <c r="C1063" t="s">
        <v>101</v>
      </c>
      <c r="D1063" t="s">
        <v>69</v>
      </c>
      <c r="E1063" t="s">
        <v>2044</v>
      </c>
      <c r="F1063" t="s">
        <v>1946</v>
      </c>
      <c r="G1063" s="6">
        <v>963</v>
      </c>
      <c r="H1063" s="8">
        <v>91.7</v>
      </c>
      <c r="I1063" s="7">
        <v>135.72</v>
      </c>
      <c r="J1063" s="7">
        <v>21.07</v>
      </c>
      <c r="K1063" s="6">
        <v>450</v>
      </c>
      <c r="L1063" s="7">
        <v>606.79</v>
      </c>
    </row>
    <row r="1064" spans="1:12" x14ac:dyDescent="0.25">
      <c r="A1064" s="9">
        <v>45992</v>
      </c>
      <c r="B1064" t="s">
        <v>100</v>
      </c>
      <c r="C1064" t="s">
        <v>101</v>
      </c>
      <c r="D1064" t="s">
        <v>69</v>
      </c>
      <c r="E1064" t="s">
        <v>2050</v>
      </c>
      <c r="F1064" t="s">
        <v>1946</v>
      </c>
      <c r="G1064" s="6">
        <v>984</v>
      </c>
      <c r="H1064" s="8">
        <v>93.7</v>
      </c>
      <c r="I1064" s="7">
        <v>138.68</v>
      </c>
      <c r="J1064" s="7">
        <v>123.09</v>
      </c>
      <c r="K1064" s="6">
        <v>520</v>
      </c>
      <c r="L1064" s="7">
        <v>781.77</v>
      </c>
    </row>
    <row r="1065" spans="1:12" x14ac:dyDescent="0.25">
      <c r="A1065" s="9">
        <v>45992</v>
      </c>
      <c r="B1065" t="s">
        <v>100</v>
      </c>
      <c r="C1065" t="s">
        <v>101</v>
      </c>
      <c r="D1065" t="s">
        <v>69</v>
      </c>
      <c r="E1065" t="s">
        <v>2017</v>
      </c>
      <c r="F1065" t="s">
        <v>1946</v>
      </c>
      <c r="G1065" s="6">
        <v>1290</v>
      </c>
      <c r="H1065" s="8">
        <v>122.9</v>
      </c>
      <c r="I1065" s="7">
        <v>181.89</v>
      </c>
      <c r="J1065" s="7">
        <v>187</v>
      </c>
      <c r="K1065" s="6">
        <v>380</v>
      </c>
      <c r="L1065" s="7">
        <v>748.89</v>
      </c>
    </row>
    <row r="1066" spans="1:12" x14ac:dyDescent="0.25">
      <c r="A1066" s="9">
        <v>45992</v>
      </c>
      <c r="B1066" t="s">
        <v>100</v>
      </c>
      <c r="C1066" t="s">
        <v>101</v>
      </c>
      <c r="D1066" t="s">
        <v>69</v>
      </c>
      <c r="E1066" t="s">
        <v>1969</v>
      </c>
      <c r="F1066" t="s">
        <v>1940</v>
      </c>
      <c r="G1066" s="6">
        <v>755</v>
      </c>
      <c r="H1066" s="8">
        <v>88.8</v>
      </c>
      <c r="I1066" s="7">
        <v>131.41999999999999</v>
      </c>
      <c r="J1066" s="7">
        <v>163.78</v>
      </c>
      <c r="K1066" s="6">
        <v>450</v>
      </c>
      <c r="L1066" s="7">
        <v>745.2</v>
      </c>
    </row>
    <row r="1067" spans="1:12" x14ac:dyDescent="0.25">
      <c r="A1067" s="9">
        <v>45992</v>
      </c>
      <c r="B1067" t="s">
        <v>113</v>
      </c>
      <c r="C1067" t="s">
        <v>114</v>
      </c>
      <c r="D1067" t="s">
        <v>69</v>
      </c>
      <c r="E1067" t="s">
        <v>1944</v>
      </c>
      <c r="F1067" t="s">
        <v>1942</v>
      </c>
      <c r="G1067" s="6">
        <v>1217</v>
      </c>
      <c r="H1067" s="8">
        <v>115.9</v>
      </c>
      <c r="I1067" s="7">
        <v>171.53</v>
      </c>
      <c r="J1067" s="7">
        <v>272.24</v>
      </c>
      <c r="K1067" s="6">
        <v>320</v>
      </c>
      <c r="L1067" s="7">
        <v>763.77</v>
      </c>
    </row>
    <row r="1068" spans="1:12" x14ac:dyDescent="0.25">
      <c r="A1068" s="9">
        <v>45992</v>
      </c>
      <c r="B1068" t="s">
        <v>113</v>
      </c>
      <c r="C1068" t="s">
        <v>114</v>
      </c>
      <c r="D1068" t="s">
        <v>69</v>
      </c>
      <c r="E1068" t="s">
        <v>1985</v>
      </c>
      <c r="F1068" t="s">
        <v>1942</v>
      </c>
      <c r="G1068" s="6">
        <v>1271</v>
      </c>
      <c r="H1068" s="8">
        <v>121</v>
      </c>
      <c r="I1068" s="7">
        <v>179.08</v>
      </c>
      <c r="J1068" s="7">
        <v>210.87</v>
      </c>
      <c r="K1068" s="6">
        <v>320</v>
      </c>
      <c r="L1068" s="7">
        <v>709.95</v>
      </c>
    </row>
    <row r="1069" spans="1:12" x14ac:dyDescent="0.25">
      <c r="A1069" s="9">
        <v>45992</v>
      </c>
      <c r="B1069" t="s">
        <v>113</v>
      </c>
      <c r="C1069" t="s">
        <v>114</v>
      </c>
      <c r="D1069" t="s">
        <v>69</v>
      </c>
      <c r="E1069" t="s">
        <v>2004</v>
      </c>
      <c r="F1069" t="s">
        <v>1942</v>
      </c>
      <c r="G1069" s="6">
        <v>1065</v>
      </c>
      <c r="H1069" s="8">
        <v>101.4</v>
      </c>
      <c r="I1069" s="7">
        <v>150.07</v>
      </c>
      <c r="J1069" s="7">
        <v>181.06</v>
      </c>
      <c r="K1069" s="6">
        <v>320</v>
      </c>
      <c r="L1069" s="7">
        <v>651.13</v>
      </c>
    </row>
    <row r="1070" spans="1:12" x14ac:dyDescent="0.25">
      <c r="A1070" s="9">
        <v>45992</v>
      </c>
      <c r="B1070" t="s">
        <v>113</v>
      </c>
      <c r="C1070" t="s">
        <v>114</v>
      </c>
      <c r="D1070" t="s">
        <v>69</v>
      </c>
      <c r="E1070" t="s">
        <v>2018</v>
      </c>
      <c r="F1070" t="s">
        <v>1948</v>
      </c>
      <c r="G1070" s="6">
        <v>1362</v>
      </c>
      <c r="H1070" s="8">
        <v>160.19999999999999</v>
      </c>
      <c r="I1070" s="7">
        <v>237.1</v>
      </c>
      <c r="J1070" s="7">
        <v>143.38</v>
      </c>
      <c r="K1070" s="6">
        <v>320</v>
      </c>
      <c r="L1070" s="7">
        <v>700.48</v>
      </c>
    </row>
    <row r="1071" spans="1:12" x14ac:dyDescent="0.25">
      <c r="A1071" s="9">
        <v>45992</v>
      </c>
      <c r="B1071" t="s">
        <v>113</v>
      </c>
      <c r="C1071" t="s">
        <v>114</v>
      </c>
      <c r="D1071" t="s">
        <v>69</v>
      </c>
      <c r="E1071" t="s">
        <v>1999</v>
      </c>
      <c r="F1071" t="s">
        <v>1948</v>
      </c>
      <c r="G1071" s="6">
        <v>962</v>
      </c>
      <c r="H1071" s="8">
        <v>113.2</v>
      </c>
      <c r="I1071" s="7">
        <v>167.54</v>
      </c>
      <c r="J1071" s="7">
        <v>188.19</v>
      </c>
      <c r="K1071" s="6">
        <v>450</v>
      </c>
      <c r="L1071" s="7">
        <v>805.73</v>
      </c>
    </row>
    <row r="1072" spans="1:12" x14ac:dyDescent="0.25">
      <c r="A1072" s="9">
        <v>45992</v>
      </c>
      <c r="B1072" t="s">
        <v>113</v>
      </c>
      <c r="C1072" t="s">
        <v>114</v>
      </c>
      <c r="D1072" t="s">
        <v>69</v>
      </c>
      <c r="E1072" t="s">
        <v>1987</v>
      </c>
      <c r="F1072" t="s">
        <v>1946</v>
      </c>
      <c r="G1072" s="6">
        <v>1144</v>
      </c>
      <c r="H1072" s="8">
        <v>109</v>
      </c>
      <c r="I1072" s="7">
        <v>161.32</v>
      </c>
      <c r="J1072" s="7">
        <v>248.42</v>
      </c>
      <c r="K1072" s="6">
        <v>380</v>
      </c>
      <c r="L1072" s="7">
        <v>789.74</v>
      </c>
    </row>
    <row r="1073" spans="1:12" x14ac:dyDescent="0.25">
      <c r="A1073" s="9">
        <v>45992</v>
      </c>
      <c r="B1073" t="s">
        <v>143</v>
      </c>
      <c r="C1073" t="s">
        <v>144</v>
      </c>
      <c r="D1073" t="s">
        <v>69</v>
      </c>
      <c r="E1073" t="s">
        <v>2060</v>
      </c>
      <c r="F1073" t="s">
        <v>1940</v>
      </c>
      <c r="G1073" s="6">
        <v>900</v>
      </c>
      <c r="H1073" s="8">
        <v>105.9</v>
      </c>
      <c r="I1073" s="7">
        <v>156.72999999999999</v>
      </c>
      <c r="J1073" s="7">
        <v>0</v>
      </c>
      <c r="K1073" s="6">
        <v>520</v>
      </c>
      <c r="L1073" s="7">
        <v>676.73</v>
      </c>
    </row>
    <row r="1074" spans="1:12" x14ac:dyDescent="0.25">
      <c r="A1074" s="9">
        <v>45992</v>
      </c>
      <c r="B1074" t="s">
        <v>143</v>
      </c>
      <c r="C1074" t="s">
        <v>144</v>
      </c>
      <c r="D1074" t="s">
        <v>69</v>
      </c>
      <c r="E1074" t="s">
        <v>1974</v>
      </c>
      <c r="F1074" t="s">
        <v>1948</v>
      </c>
      <c r="G1074" s="6">
        <v>946</v>
      </c>
      <c r="H1074" s="8">
        <v>111.3</v>
      </c>
      <c r="I1074" s="7">
        <v>164.72</v>
      </c>
      <c r="J1074" s="7">
        <v>323.08</v>
      </c>
      <c r="K1074" s="6">
        <v>380</v>
      </c>
      <c r="L1074" s="7">
        <v>867.8</v>
      </c>
    </row>
    <row r="1075" spans="1:12" x14ac:dyDescent="0.25">
      <c r="A1075" s="9">
        <v>45992</v>
      </c>
      <c r="B1075" t="s">
        <v>143</v>
      </c>
      <c r="C1075" t="s">
        <v>144</v>
      </c>
      <c r="D1075" t="s">
        <v>69</v>
      </c>
      <c r="E1075" t="s">
        <v>1950</v>
      </c>
      <c r="F1075" t="s">
        <v>1948</v>
      </c>
      <c r="G1075" s="6">
        <v>1184</v>
      </c>
      <c r="H1075" s="8">
        <v>139.30000000000001</v>
      </c>
      <c r="I1075" s="7">
        <v>206.16</v>
      </c>
      <c r="J1075" s="7">
        <v>284.25</v>
      </c>
      <c r="K1075" s="6">
        <v>450</v>
      </c>
      <c r="L1075" s="7">
        <v>940.41</v>
      </c>
    </row>
    <row r="1076" spans="1:12" x14ac:dyDescent="0.25">
      <c r="A1076" s="9">
        <v>45992</v>
      </c>
      <c r="B1076" t="s">
        <v>143</v>
      </c>
      <c r="C1076" t="s">
        <v>144</v>
      </c>
      <c r="D1076" t="s">
        <v>69</v>
      </c>
      <c r="E1076" t="s">
        <v>2018</v>
      </c>
      <c r="F1076" t="s">
        <v>1942</v>
      </c>
      <c r="G1076" s="6">
        <v>980</v>
      </c>
      <c r="H1076" s="8">
        <v>93.3</v>
      </c>
      <c r="I1076" s="7">
        <v>138.08000000000001</v>
      </c>
      <c r="J1076" s="7">
        <v>47.68</v>
      </c>
      <c r="K1076" s="6">
        <v>380</v>
      </c>
      <c r="L1076" s="7">
        <v>565.76</v>
      </c>
    </row>
    <row r="1077" spans="1:12" x14ac:dyDescent="0.25">
      <c r="A1077" s="9">
        <v>45992</v>
      </c>
      <c r="B1077" t="s">
        <v>73</v>
      </c>
      <c r="C1077" t="s">
        <v>74</v>
      </c>
      <c r="D1077" t="s">
        <v>69</v>
      </c>
      <c r="E1077" t="s">
        <v>2079</v>
      </c>
      <c r="F1077" t="s">
        <v>1940</v>
      </c>
      <c r="G1077" s="6">
        <v>1178</v>
      </c>
      <c r="H1077" s="8">
        <v>138.6</v>
      </c>
      <c r="I1077" s="7">
        <v>205.13</v>
      </c>
      <c r="J1077" s="7">
        <v>83.26</v>
      </c>
      <c r="K1077" s="6">
        <v>380</v>
      </c>
      <c r="L1077" s="7">
        <v>668.39</v>
      </c>
    </row>
    <row r="1078" spans="1:12" x14ac:dyDescent="0.25">
      <c r="A1078" s="9">
        <v>45992</v>
      </c>
      <c r="B1078" t="s">
        <v>73</v>
      </c>
      <c r="C1078" t="s">
        <v>74</v>
      </c>
      <c r="D1078" t="s">
        <v>69</v>
      </c>
      <c r="E1078" t="s">
        <v>2081</v>
      </c>
      <c r="F1078" t="s">
        <v>1940</v>
      </c>
      <c r="G1078" s="6">
        <v>1596</v>
      </c>
      <c r="H1078" s="8">
        <v>187.8</v>
      </c>
      <c r="I1078" s="7">
        <v>277.94</v>
      </c>
      <c r="J1078" s="7">
        <v>195.64</v>
      </c>
      <c r="K1078" s="6">
        <v>450</v>
      </c>
      <c r="L1078" s="7">
        <v>923.58</v>
      </c>
    </row>
    <row r="1079" spans="1:12" x14ac:dyDescent="0.25">
      <c r="A1079" s="9">
        <v>45992</v>
      </c>
      <c r="B1079" t="s">
        <v>73</v>
      </c>
      <c r="C1079" t="s">
        <v>74</v>
      </c>
      <c r="D1079" t="s">
        <v>69</v>
      </c>
      <c r="E1079" t="s">
        <v>1958</v>
      </c>
      <c r="F1079" t="s">
        <v>1946</v>
      </c>
      <c r="G1079" s="6">
        <v>904</v>
      </c>
      <c r="H1079" s="8">
        <v>86.1</v>
      </c>
      <c r="I1079" s="7">
        <v>127.43</v>
      </c>
      <c r="J1079" s="7">
        <v>101.09</v>
      </c>
      <c r="K1079" s="6">
        <v>320</v>
      </c>
      <c r="L1079" s="7">
        <v>548.52</v>
      </c>
    </row>
    <row r="1080" spans="1:12" x14ac:dyDescent="0.25">
      <c r="A1080" s="9">
        <v>45992</v>
      </c>
      <c r="B1080" t="s">
        <v>73</v>
      </c>
      <c r="C1080" t="s">
        <v>74</v>
      </c>
      <c r="D1080" t="s">
        <v>69</v>
      </c>
      <c r="E1080" t="s">
        <v>1988</v>
      </c>
      <c r="F1080" t="s">
        <v>1946</v>
      </c>
      <c r="G1080" s="6">
        <v>1026</v>
      </c>
      <c r="H1080" s="8">
        <v>97.7</v>
      </c>
      <c r="I1080" s="7">
        <v>144.6</v>
      </c>
      <c r="J1080" s="7">
        <v>130.84</v>
      </c>
      <c r="K1080" s="6">
        <v>520</v>
      </c>
      <c r="L1080" s="7">
        <v>795.44</v>
      </c>
    </row>
    <row r="1081" spans="1:12" x14ac:dyDescent="0.25">
      <c r="A1081" s="9">
        <v>45992</v>
      </c>
      <c r="B1081" t="s">
        <v>67</v>
      </c>
      <c r="C1081" t="s">
        <v>68</v>
      </c>
      <c r="D1081" t="s">
        <v>69</v>
      </c>
      <c r="E1081" t="s">
        <v>2055</v>
      </c>
      <c r="F1081" t="s">
        <v>1940</v>
      </c>
      <c r="G1081" s="6">
        <v>1329</v>
      </c>
      <c r="H1081" s="8">
        <v>156.4</v>
      </c>
      <c r="I1081" s="7">
        <v>231.47</v>
      </c>
      <c r="J1081" s="7">
        <v>164.91</v>
      </c>
      <c r="K1081" s="6">
        <v>520</v>
      </c>
      <c r="L1081" s="7">
        <v>916.38</v>
      </c>
    </row>
    <row r="1082" spans="1:12" x14ac:dyDescent="0.25">
      <c r="A1082" s="9">
        <v>45992</v>
      </c>
      <c r="B1082" t="s">
        <v>67</v>
      </c>
      <c r="C1082" t="s">
        <v>68</v>
      </c>
      <c r="D1082" t="s">
        <v>69</v>
      </c>
      <c r="E1082" t="s">
        <v>2077</v>
      </c>
      <c r="F1082" t="s">
        <v>1940</v>
      </c>
      <c r="G1082" s="6">
        <v>867</v>
      </c>
      <c r="H1082" s="8">
        <v>102</v>
      </c>
      <c r="I1082" s="7">
        <v>150.96</v>
      </c>
      <c r="J1082" s="7">
        <v>301.24</v>
      </c>
      <c r="K1082" s="6">
        <v>380</v>
      </c>
      <c r="L1082" s="7">
        <v>832.2</v>
      </c>
    </row>
    <row r="1083" spans="1:12" x14ac:dyDescent="0.25">
      <c r="A1083" s="9">
        <v>45992</v>
      </c>
      <c r="B1083" t="s">
        <v>67</v>
      </c>
      <c r="C1083" t="s">
        <v>68</v>
      </c>
      <c r="D1083" t="s">
        <v>69</v>
      </c>
      <c r="E1083" t="s">
        <v>1997</v>
      </c>
      <c r="F1083" t="s">
        <v>1942</v>
      </c>
      <c r="G1083" s="6">
        <v>1062</v>
      </c>
      <c r="H1083" s="8">
        <v>101.1</v>
      </c>
      <c r="I1083" s="7">
        <v>149.63</v>
      </c>
      <c r="J1083" s="7">
        <v>211.51</v>
      </c>
      <c r="K1083" s="6">
        <v>450</v>
      </c>
      <c r="L1083" s="7">
        <v>811.14</v>
      </c>
    </row>
    <row r="1084" spans="1:12" x14ac:dyDescent="0.25">
      <c r="A1084" s="9">
        <v>45992</v>
      </c>
      <c r="B1084" t="s">
        <v>32</v>
      </c>
      <c r="C1084" t="s">
        <v>33</v>
      </c>
      <c r="D1084" t="s">
        <v>34</v>
      </c>
      <c r="E1084" t="s">
        <v>2036</v>
      </c>
      <c r="F1084" t="s">
        <v>1942</v>
      </c>
      <c r="G1084" s="6">
        <v>897</v>
      </c>
      <c r="H1084" s="8">
        <v>85.4</v>
      </c>
      <c r="I1084" s="7">
        <v>126.39</v>
      </c>
      <c r="J1084" s="7">
        <v>179.05</v>
      </c>
      <c r="K1084" s="6">
        <v>450</v>
      </c>
      <c r="L1084" s="7">
        <v>755.44</v>
      </c>
    </row>
    <row r="1085" spans="1:12" x14ac:dyDescent="0.25">
      <c r="A1085" s="9">
        <v>45992</v>
      </c>
      <c r="B1085" t="s">
        <v>32</v>
      </c>
      <c r="C1085" t="s">
        <v>33</v>
      </c>
      <c r="D1085" t="s">
        <v>34</v>
      </c>
      <c r="E1085" t="s">
        <v>2070</v>
      </c>
      <c r="F1085" t="s">
        <v>1942</v>
      </c>
      <c r="G1085" s="6">
        <v>1127</v>
      </c>
      <c r="H1085" s="8">
        <v>107.3</v>
      </c>
      <c r="I1085" s="7">
        <v>158.80000000000001</v>
      </c>
      <c r="J1085" s="7">
        <v>0</v>
      </c>
      <c r="K1085" s="6">
        <v>380</v>
      </c>
      <c r="L1085" s="7">
        <v>538.79999999999995</v>
      </c>
    </row>
    <row r="1086" spans="1:12" x14ac:dyDescent="0.25">
      <c r="A1086" s="9">
        <v>45992</v>
      </c>
      <c r="B1086" t="s">
        <v>32</v>
      </c>
      <c r="C1086" t="s">
        <v>33</v>
      </c>
      <c r="D1086" t="s">
        <v>34</v>
      </c>
      <c r="E1086" t="s">
        <v>1955</v>
      </c>
      <c r="F1086" t="s">
        <v>1946</v>
      </c>
      <c r="G1086" s="6">
        <v>1553</v>
      </c>
      <c r="H1086" s="8">
        <v>147.9</v>
      </c>
      <c r="I1086" s="7">
        <v>218.89</v>
      </c>
      <c r="J1086" s="7">
        <v>253.25</v>
      </c>
      <c r="K1086" s="6">
        <v>450</v>
      </c>
      <c r="L1086" s="7">
        <v>922.14</v>
      </c>
    </row>
    <row r="1087" spans="1:12" x14ac:dyDescent="0.25">
      <c r="A1087" s="9">
        <v>45992</v>
      </c>
      <c r="B1087" t="s">
        <v>32</v>
      </c>
      <c r="C1087" t="s">
        <v>33</v>
      </c>
      <c r="D1087" t="s">
        <v>34</v>
      </c>
      <c r="E1087" t="s">
        <v>1954</v>
      </c>
      <c r="F1087" t="s">
        <v>1940</v>
      </c>
      <c r="G1087" s="6">
        <v>950</v>
      </c>
      <c r="H1087" s="8">
        <v>111.8</v>
      </c>
      <c r="I1087" s="7">
        <v>165.46</v>
      </c>
      <c r="J1087" s="7">
        <v>61.82</v>
      </c>
      <c r="K1087" s="6">
        <v>380</v>
      </c>
      <c r="L1087" s="7">
        <v>607.28</v>
      </c>
    </row>
    <row r="1088" spans="1:12" x14ac:dyDescent="0.25">
      <c r="A1088" s="9">
        <v>45992</v>
      </c>
      <c r="B1088" t="s">
        <v>32</v>
      </c>
      <c r="C1088" t="s">
        <v>33</v>
      </c>
      <c r="D1088" t="s">
        <v>34</v>
      </c>
      <c r="E1088" t="s">
        <v>2030</v>
      </c>
      <c r="F1088" t="s">
        <v>1942</v>
      </c>
      <c r="G1088" s="6">
        <v>1136</v>
      </c>
      <c r="H1088" s="8">
        <v>108.2</v>
      </c>
      <c r="I1088" s="7">
        <v>160.13999999999999</v>
      </c>
      <c r="J1088" s="7">
        <v>156.94</v>
      </c>
      <c r="K1088" s="6">
        <v>380</v>
      </c>
      <c r="L1088" s="7">
        <v>697.08</v>
      </c>
    </row>
    <row r="1089" spans="1:12" x14ac:dyDescent="0.25">
      <c r="A1089" s="9">
        <v>45992</v>
      </c>
      <c r="B1089" t="s">
        <v>32</v>
      </c>
      <c r="C1089" t="s">
        <v>33</v>
      </c>
      <c r="D1089" t="s">
        <v>34</v>
      </c>
      <c r="E1089" t="s">
        <v>2046</v>
      </c>
      <c r="F1089" t="s">
        <v>1948</v>
      </c>
      <c r="G1089" s="6">
        <v>1138</v>
      </c>
      <c r="H1089" s="8">
        <v>133.9</v>
      </c>
      <c r="I1089" s="7">
        <v>198.17</v>
      </c>
      <c r="J1089" s="7">
        <v>265.33</v>
      </c>
      <c r="K1089" s="6">
        <v>450</v>
      </c>
      <c r="L1089" s="7">
        <v>913.5</v>
      </c>
    </row>
    <row r="1090" spans="1:12" x14ac:dyDescent="0.25">
      <c r="A1090" s="9">
        <v>45992</v>
      </c>
      <c r="B1090" t="s">
        <v>94</v>
      </c>
      <c r="C1090" t="s">
        <v>95</v>
      </c>
      <c r="D1090" t="s">
        <v>34</v>
      </c>
      <c r="E1090" t="s">
        <v>1972</v>
      </c>
      <c r="F1090" t="s">
        <v>1940</v>
      </c>
      <c r="G1090" s="6">
        <v>1176</v>
      </c>
      <c r="H1090" s="8">
        <v>138.4</v>
      </c>
      <c r="I1090" s="7">
        <v>204.83</v>
      </c>
      <c r="J1090" s="7">
        <v>265.77999999999997</v>
      </c>
      <c r="K1090" s="6">
        <v>380</v>
      </c>
      <c r="L1090" s="7">
        <v>850.61</v>
      </c>
    </row>
    <row r="1091" spans="1:12" x14ac:dyDescent="0.25">
      <c r="A1091" s="9">
        <v>45992</v>
      </c>
      <c r="B1091" t="s">
        <v>94</v>
      </c>
      <c r="C1091" t="s">
        <v>95</v>
      </c>
      <c r="D1091" t="s">
        <v>34</v>
      </c>
      <c r="E1091" t="s">
        <v>1991</v>
      </c>
      <c r="F1091" t="s">
        <v>1948</v>
      </c>
      <c r="G1091" s="6">
        <v>1192</v>
      </c>
      <c r="H1091" s="8">
        <v>140.19999999999999</v>
      </c>
      <c r="I1091" s="7">
        <v>207.5</v>
      </c>
      <c r="J1091" s="7">
        <v>166.03</v>
      </c>
      <c r="K1091" s="6">
        <v>450</v>
      </c>
      <c r="L1091" s="7">
        <v>823.53</v>
      </c>
    </row>
    <row r="1092" spans="1:12" x14ac:dyDescent="0.25">
      <c r="A1092" s="9">
        <v>45992</v>
      </c>
      <c r="B1092" t="s">
        <v>94</v>
      </c>
      <c r="C1092" t="s">
        <v>95</v>
      </c>
      <c r="D1092" t="s">
        <v>34</v>
      </c>
      <c r="E1092" t="s">
        <v>2007</v>
      </c>
      <c r="F1092" t="s">
        <v>1946</v>
      </c>
      <c r="G1092" s="6">
        <v>1390</v>
      </c>
      <c r="H1092" s="8">
        <v>132.4</v>
      </c>
      <c r="I1092" s="7">
        <v>195.95</v>
      </c>
      <c r="J1092" s="7">
        <v>281.25</v>
      </c>
      <c r="K1092" s="6">
        <v>450</v>
      </c>
      <c r="L1092" s="7">
        <v>927.2</v>
      </c>
    </row>
    <row r="1093" spans="1:12" x14ac:dyDescent="0.25">
      <c r="A1093" s="9">
        <v>45992</v>
      </c>
      <c r="B1093" t="s">
        <v>41</v>
      </c>
      <c r="C1093" t="s">
        <v>42</v>
      </c>
      <c r="D1093" t="s">
        <v>34</v>
      </c>
      <c r="E1093" t="s">
        <v>2050</v>
      </c>
      <c r="F1093" t="s">
        <v>1948</v>
      </c>
      <c r="G1093" s="6">
        <v>1838</v>
      </c>
      <c r="H1093" s="8">
        <v>216.2</v>
      </c>
      <c r="I1093" s="7">
        <v>319.98</v>
      </c>
      <c r="J1093" s="7">
        <v>160.12</v>
      </c>
      <c r="K1093" s="6">
        <v>520</v>
      </c>
      <c r="L1093" s="7">
        <v>1000.1</v>
      </c>
    </row>
    <row r="1094" spans="1:12" x14ac:dyDescent="0.25">
      <c r="A1094" s="9">
        <v>45992</v>
      </c>
      <c r="B1094" t="s">
        <v>41</v>
      </c>
      <c r="C1094" t="s">
        <v>42</v>
      </c>
      <c r="D1094" t="s">
        <v>34</v>
      </c>
      <c r="E1094" t="s">
        <v>1954</v>
      </c>
      <c r="F1094" t="s">
        <v>1940</v>
      </c>
      <c r="G1094" s="6">
        <v>1110</v>
      </c>
      <c r="H1094" s="8">
        <v>130.6</v>
      </c>
      <c r="I1094" s="7">
        <v>193.29</v>
      </c>
      <c r="J1094" s="7">
        <v>0</v>
      </c>
      <c r="K1094" s="6">
        <v>450</v>
      </c>
      <c r="L1094" s="7">
        <v>643.29</v>
      </c>
    </row>
    <row r="1095" spans="1:12" x14ac:dyDescent="0.25">
      <c r="A1095" s="9">
        <v>45992</v>
      </c>
      <c r="B1095" t="s">
        <v>41</v>
      </c>
      <c r="C1095" t="s">
        <v>42</v>
      </c>
      <c r="D1095" t="s">
        <v>34</v>
      </c>
      <c r="E1095" t="s">
        <v>2059</v>
      </c>
      <c r="F1095" t="s">
        <v>1942</v>
      </c>
      <c r="G1095" s="6">
        <v>1188</v>
      </c>
      <c r="H1095" s="8">
        <v>113.1</v>
      </c>
      <c r="I1095" s="7">
        <v>167.39</v>
      </c>
      <c r="J1095" s="7">
        <v>106.14</v>
      </c>
      <c r="K1095" s="6">
        <v>450</v>
      </c>
      <c r="L1095" s="7">
        <v>723.53</v>
      </c>
    </row>
    <row r="1096" spans="1:12" x14ac:dyDescent="0.25">
      <c r="A1096" s="9">
        <v>45992</v>
      </c>
      <c r="B1096" t="s">
        <v>41</v>
      </c>
      <c r="C1096" t="s">
        <v>42</v>
      </c>
      <c r="D1096" t="s">
        <v>34</v>
      </c>
      <c r="E1096" t="s">
        <v>2020</v>
      </c>
      <c r="F1096" t="s">
        <v>1940</v>
      </c>
      <c r="G1096" s="6">
        <v>1530</v>
      </c>
      <c r="H1096" s="8">
        <v>180</v>
      </c>
      <c r="I1096" s="7">
        <v>266.39999999999998</v>
      </c>
      <c r="J1096" s="7">
        <v>88.03</v>
      </c>
      <c r="K1096" s="6">
        <v>320</v>
      </c>
      <c r="L1096" s="7">
        <v>674.43</v>
      </c>
    </row>
    <row r="1097" spans="1:12" x14ac:dyDescent="0.25">
      <c r="A1097" s="9">
        <v>45992</v>
      </c>
      <c r="B1097" t="s">
        <v>41</v>
      </c>
      <c r="C1097" t="s">
        <v>42</v>
      </c>
      <c r="D1097" t="s">
        <v>34</v>
      </c>
      <c r="E1097" t="s">
        <v>2012</v>
      </c>
      <c r="F1097" t="s">
        <v>1948</v>
      </c>
      <c r="G1097" s="6">
        <v>627</v>
      </c>
      <c r="H1097" s="8">
        <v>73.8</v>
      </c>
      <c r="I1097" s="7">
        <v>109.22</v>
      </c>
      <c r="J1097" s="7">
        <v>212.3</v>
      </c>
      <c r="K1097" s="6">
        <v>320</v>
      </c>
      <c r="L1097" s="7">
        <v>641.52</v>
      </c>
    </row>
    <row r="1098" spans="1:12" x14ac:dyDescent="0.25">
      <c r="A1098" s="9">
        <v>45992</v>
      </c>
      <c r="B1098" t="s">
        <v>41</v>
      </c>
      <c r="C1098" t="s">
        <v>42</v>
      </c>
      <c r="D1098" t="s">
        <v>34</v>
      </c>
      <c r="E1098" t="s">
        <v>2000</v>
      </c>
      <c r="F1098" t="s">
        <v>1946</v>
      </c>
      <c r="G1098" s="6">
        <v>556</v>
      </c>
      <c r="H1098" s="8">
        <v>53</v>
      </c>
      <c r="I1098" s="7">
        <v>78.44</v>
      </c>
      <c r="J1098" s="7">
        <v>210.09</v>
      </c>
      <c r="K1098" s="6">
        <v>320</v>
      </c>
      <c r="L1098" s="7">
        <v>608.53</v>
      </c>
    </row>
    <row r="1099" spans="1:12" x14ac:dyDescent="0.25">
      <c r="A1099" s="9">
        <v>45992</v>
      </c>
      <c r="B1099" t="s">
        <v>41</v>
      </c>
      <c r="C1099" t="s">
        <v>42</v>
      </c>
      <c r="D1099" t="s">
        <v>34</v>
      </c>
      <c r="E1099" t="s">
        <v>2060</v>
      </c>
      <c r="F1099" t="s">
        <v>1942</v>
      </c>
      <c r="G1099" s="6">
        <v>533</v>
      </c>
      <c r="H1099" s="8">
        <v>50.8</v>
      </c>
      <c r="I1099" s="7">
        <v>75.180000000000007</v>
      </c>
      <c r="J1099" s="7">
        <v>152.28</v>
      </c>
      <c r="K1099" s="6">
        <v>450</v>
      </c>
      <c r="L1099" s="7">
        <v>677.46</v>
      </c>
    </row>
    <row r="1100" spans="1:12" x14ac:dyDescent="0.25">
      <c r="A1100" s="9">
        <v>45992</v>
      </c>
      <c r="B1100" t="s">
        <v>47</v>
      </c>
      <c r="C1100" t="s">
        <v>48</v>
      </c>
      <c r="D1100" t="s">
        <v>34</v>
      </c>
      <c r="E1100" t="s">
        <v>1971</v>
      </c>
      <c r="F1100" t="s">
        <v>1940</v>
      </c>
      <c r="G1100" s="6">
        <v>530</v>
      </c>
      <c r="H1100" s="8">
        <v>62.4</v>
      </c>
      <c r="I1100" s="7">
        <v>92.35</v>
      </c>
      <c r="J1100" s="7">
        <v>124.38</v>
      </c>
      <c r="K1100" s="6">
        <v>450</v>
      </c>
      <c r="L1100" s="7">
        <v>666.73</v>
      </c>
    </row>
    <row r="1101" spans="1:12" x14ac:dyDescent="0.25">
      <c r="A1101" s="9">
        <v>45992</v>
      </c>
      <c r="B1101" t="s">
        <v>47</v>
      </c>
      <c r="C1101" t="s">
        <v>48</v>
      </c>
      <c r="D1101" t="s">
        <v>34</v>
      </c>
      <c r="E1101" t="s">
        <v>2066</v>
      </c>
      <c r="F1101" t="s">
        <v>1948</v>
      </c>
      <c r="G1101" s="6">
        <v>1460</v>
      </c>
      <c r="H1101" s="8">
        <v>171.8</v>
      </c>
      <c r="I1101" s="7">
        <v>254.26</v>
      </c>
      <c r="J1101" s="7">
        <v>278.85000000000002</v>
      </c>
      <c r="K1101" s="6">
        <v>520</v>
      </c>
      <c r="L1101" s="7">
        <v>1053.1099999999999</v>
      </c>
    </row>
    <row r="1102" spans="1:12" x14ac:dyDescent="0.25">
      <c r="A1102" s="9">
        <v>45992</v>
      </c>
      <c r="B1102" t="s">
        <v>47</v>
      </c>
      <c r="C1102" t="s">
        <v>48</v>
      </c>
      <c r="D1102" t="s">
        <v>34</v>
      </c>
      <c r="E1102" t="s">
        <v>1997</v>
      </c>
      <c r="F1102" t="s">
        <v>1940</v>
      </c>
      <c r="G1102" s="6">
        <v>834</v>
      </c>
      <c r="H1102" s="8">
        <v>98.1</v>
      </c>
      <c r="I1102" s="7">
        <v>145.19</v>
      </c>
      <c r="J1102" s="7">
        <v>147.5</v>
      </c>
      <c r="K1102" s="6">
        <v>450</v>
      </c>
      <c r="L1102" s="7">
        <v>742.69</v>
      </c>
    </row>
    <row r="1103" spans="1:12" x14ac:dyDescent="0.25">
      <c r="A1103" s="9">
        <v>45992</v>
      </c>
      <c r="B1103" t="s">
        <v>47</v>
      </c>
      <c r="C1103" t="s">
        <v>48</v>
      </c>
      <c r="D1103" t="s">
        <v>34</v>
      </c>
      <c r="E1103" t="s">
        <v>2056</v>
      </c>
      <c r="F1103" t="s">
        <v>1946</v>
      </c>
      <c r="G1103" s="6">
        <v>1054</v>
      </c>
      <c r="H1103" s="8">
        <v>100.4</v>
      </c>
      <c r="I1103" s="7">
        <v>148.59</v>
      </c>
      <c r="J1103" s="7">
        <v>187.81</v>
      </c>
      <c r="K1103" s="6">
        <v>450</v>
      </c>
      <c r="L1103" s="7">
        <v>786.4</v>
      </c>
    </row>
    <row r="1104" spans="1:12" x14ac:dyDescent="0.25">
      <c r="A1104" s="9">
        <v>45992</v>
      </c>
      <c r="B1104" t="s">
        <v>47</v>
      </c>
      <c r="C1104" t="s">
        <v>48</v>
      </c>
      <c r="D1104" t="s">
        <v>34</v>
      </c>
      <c r="E1104" t="s">
        <v>1987</v>
      </c>
      <c r="F1104" t="s">
        <v>1948</v>
      </c>
      <c r="G1104" s="6">
        <v>708</v>
      </c>
      <c r="H1104" s="8">
        <v>83.3</v>
      </c>
      <c r="I1104" s="7">
        <v>123.28</v>
      </c>
      <c r="J1104" s="7">
        <v>297.41000000000003</v>
      </c>
      <c r="K1104" s="6">
        <v>380</v>
      </c>
      <c r="L1104" s="7">
        <v>800.69</v>
      </c>
    </row>
    <row r="1105" spans="1:12" x14ac:dyDescent="0.25">
      <c r="A1105" s="9">
        <v>45992</v>
      </c>
      <c r="B1105" t="s">
        <v>47</v>
      </c>
      <c r="C1105" t="s">
        <v>48</v>
      </c>
      <c r="D1105" t="s">
        <v>34</v>
      </c>
      <c r="E1105" t="s">
        <v>1998</v>
      </c>
      <c r="F1105" t="s">
        <v>1940</v>
      </c>
      <c r="G1105" s="6">
        <v>373</v>
      </c>
      <c r="H1105" s="8">
        <v>43.9</v>
      </c>
      <c r="I1105" s="7">
        <v>64.97</v>
      </c>
      <c r="J1105" s="7">
        <v>99.61</v>
      </c>
      <c r="K1105" s="6">
        <v>450</v>
      </c>
      <c r="L1105" s="7">
        <v>614.58000000000004</v>
      </c>
    </row>
    <row r="1106" spans="1:12" x14ac:dyDescent="0.25">
      <c r="A1106" s="9">
        <v>45992</v>
      </c>
      <c r="B1106" t="s">
        <v>121</v>
      </c>
      <c r="C1106" t="s">
        <v>122</v>
      </c>
      <c r="D1106" t="s">
        <v>34</v>
      </c>
      <c r="E1106" t="s">
        <v>2039</v>
      </c>
      <c r="F1106" t="s">
        <v>1942</v>
      </c>
      <c r="G1106" s="6">
        <v>927</v>
      </c>
      <c r="H1106" s="8">
        <v>88.3</v>
      </c>
      <c r="I1106" s="7">
        <v>130.68</v>
      </c>
      <c r="J1106" s="7">
        <v>200.67</v>
      </c>
      <c r="K1106" s="6">
        <v>380</v>
      </c>
      <c r="L1106" s="7">
        <v>711.35</v>
      </c>
    </row>
    <row r="1107" spans="1:12" x14ac:dyDescent="0.25">
      <c r="A1107" s="9">
        <v>45992</v>
      </c>
      <c r="B1107" t="s">
        <v>121</v>
      </c>
      <c r="C1107" t="s">
        <v>122</v>
      </c>
      <c r="D1107" t="s">
        <v>34</v>
      </c>
      <c r="E1107" t="s">
        <v>1981</v>
      </c>
      <c r="F1107" t="s">
        <v>1942</v>
      </c>
      <c r="G1107" s="6">
        <v>1055</v>
      </c>
      <c r="H1107" s="8">
        <v>100.5</v>
      </c>
      <c r="I1107" s="7">
        <v>148.74</v>
      </c>
      <c r="J1107" s="7">
        <v>37.549999999999997</v>
      </c>
      <c r="K1107" s="6">
        <v>380</v>
      </c>
      <c r="L1107" s="7">
        <v>566.29</v>
      </c>
    </row>
    <row r="1108" spans="1:12" x14ac:dyDescent="0.25">
      <c r="A1108" s="9">
        <v>45992</v>
      </c>
      <c r="B1108" t="s">
        <v>121</v>
      </c>
      <c r="C1108" t="s">
        <v>122</v>
      </c>
      <c r="D1108" t="s">
        <v>34</v>
      </c>
      <c r="E1108" t="s">
        <v>2059</v>
      </c>
      <c r="F1108" t="s">
        <v>1942</v>
      </c>
      <c r="G1108" s="6">
        <v>803</v>
      </c>
      <c r="H1108" s="8">
        <v>76.5</v>
      </c>
      <c r="I1108" s="7">
        <v>113.22</v>
      </c>
      <c r="J1108" s="7">
        <v>165.89</v>
      </c>
      <c r="K1108" s="6">
        <v>380</v>
      </c>
      <c r="L1108" s="7">
        <v>659.11</v>
      </c>
    </row>
    <row r="1109" spans="1:12" x14ac:dyDescent="0.25">
      <c r="A1109" s="9">
        <v>45992</v>
      </c>
      <c r="B1109" t="s">
        <v>121</v>
      </c>
      <c r="C1109" t="s">
        <v>122</v>
      </c>
      <c r="D1109" t="s">
        <v>34</v>
      </c>
      <c r="E1109" t="s">
        <v>2010</v>
      </c>
      <c r="F1109" t="s">
        <v>1948</v>
      </c>
      <c r="G1109" s="6">
        <v>1030</v>
      </c>
      <c r="H1109" s="8">
        <v>121.2</v>
      </c>
      <c r="I1109" s="7">
        <v>179.38</v>
      </c>
      <c r="J1109" s="7">
        <v>203.67</v>
      </c>
      <c r="K1109" s="6">
        <v>320</v>
      </c>
      <c r="L1109" s="7">
        <v>703.05</v>
      </c>
    </row>
    <row r="1110" spans="1:12" x14ac:dyDescent="0.25">
      <c r="A1110" s="9">
        <v>45992</v>
      </c>
      <c r="B1110" t="s">
        <v>121</v>
      </c>
      <c r="C1110" t="s">
        <v>122</v>
      </c>
      <c r="D1110" t="s">
        <v>34</v>
      </c>
      <c r="E1110" t="s">
        <v>2041</v>
      </c>
      <c r="F1110" t="s">
        <v>1946</v>
      </c>
      <c r="G1110" s="6">
        <v>929</v>
      </c>
      <c r="H1110" s="8">
        <v>88.5</v>
      </c>
      <c r="I1110" s="7">
        <v>130.97999999999999</v>
      </c>
      <c r="J1110" s="7">
        <v>205.69</v>
      </c>
      <c r="K1110" s="6">
        <v>380</v>
      </c>
      <c r="L1110" s="7">
        <v>716.67</v>
      </c>
    </row>
    <row r="1111" spans="1:12" x14ac:dyDescent="0.25">
      <c r="A1111" s="9">
        <v>45992</v>
      </c>
      <c r="B1111" t="s">
        <v>201</v>
      </c>
      <c r="C1111" t="s">
        <v>202</v>
      </c>
      <c r="D1111" t="s">
        <v>64</v>
      </c>
      <c r="E1111" t="s">
        <v>1994</v>
      </c>
      <c r="F1111" t="s">
        <v>1948</v>
      </c>
      <c r="G1111" s="6">
        <v>920</v>
      </c>
      <c r="H1111" s="8">
        <v>108.2</v>
      </c>
      <c r="I1111" s="7">
        <v>160.13999999999999</v>
      </c>
      <c r="J1111" s="7">
        <v>242.95</v>
      </c>
      <c r="K1111" s="6">
        <v>320</v>
      </c>
      <c r="L1111" s="7">
        <v>723.09</v>
      </c>
    </row>
    <row r="1112" spans="1:12" x14ac:dyDescent="0.25">
      <c r="A1112" s="9">
        <v>45992</v>
      </c>
      <c r="B1112" t="s">
        <v>201</v>
      </c>
      <c r="C1112" t="s">
        <v>202</v>
      </c>
      <c r="D1112" t="s">
        <v>64</v>
      </c>
      <c r="E1112" t="s">
        <v>2021</v>
      </c>
      <c r="F1112" t="s">
        <v>1946</v>
      </c>
      <c r="G1112" s="6">
        <v>1592</v>
      </c>
      <c r="H1112" s="8">
        <v>151.6</v>
      </c>
      <c r="I1112" s="7">
        <v>224.37</v>
      </c>
      <c r="J1112" s="7">
        <v>36.11</v>
      </c>
      <c r="K1112" s="6">
        <v>520</v>
      </c>
      <c r="L1112" s="7">
        <v>780.48</v>
      </c>
    </row>
    <row r="1113" spans="1:12" x14ac:dyDescent="0.25">
      <c r="A1113" s="9">
        <v>45992</v>
      </c>
      <c r="B1113" t="s">
        <v>201</v>
      </c>
      <c r="C1113" t="s">
        <v>202</v>
      </c>
      <c r="D1113" t="s">
        <v>64</v>
      </c>
      <c r="E1113" t="s">
        <v>2063</v>
      </c>
      <c r="F1113" t="s">
        <v>1948</v>
      </c>
      <c r="G1113" s="6">
        <v>587</v>
      </c>
      <c r="H1113" s="8">
        <v>69.099999999999994</v>
      </c>
      <c r="I1113" s="7">
        <v>102.27</v>
      </c>
      <c r="J1113" s="7">
        <v>312.69</v>
      </c>
      <c r="K1113" s="6">
        <v>320</v>
      </c>
      <c r="L1113" s="7">
        <v>734.96</v>
      </c>
    </row>
    <row r="1114" spans="1:12" x14ac:dyDescent="0.25">
      <c r="A1114" s="9">
        <v>45992</v>
      </c>
      <c r="B1114" t="s">
        <v>118</v>
      </c>
      <c r="C1114" t="s">
        <v>119</v>
      </c>
      <c r="D1114" t="s">
        <v>64</v>
      </c>
      <c r="E1114" t="s">
        <v>1947</v>
      </c>
      <c r="F1114" t="s">
        <v>1942</v>
      </c>
      <c r="G1114" s="6">
        <v>880</v>
      </c>
      <c r="H1114" s="8">
        <v>83.8</v>
      </c>
      <c r="I1114" s="7">
        <v>124.02</v>
      </c>
      <c r="J1114" s="7">
        <v>124.54</v>
      </c>
      <c r="K1114" s="6">
        <v>320</v>
      </c>
      <c r="L1114" s="7">
        <v>568.55999999999995</v>
      </c>
    </row>
    <row r="1115" spans="1:12" x14ac:dyDescent="0.25">
      <c r="A1115" s="9">
        <v>45992</v>
      </c>
      <c r="B1115" t="s">
        <v>118</v>
      </c>
      <c r="C1115" t="s">
        <v>119</v>
      </c>
      <c r="D1115" t="s">
        <v>64</v>
      </c>
      <c r="E1115" t="s">
        <v>2040</v>
      </c>
      <c r="F1115" t="s">
        <v>1940</v>
      </c>
      <c r="G1115" s="6">
        <v>854</v>
      </c>
      <c r="H1115" s="8">
        <v>100.5</v>
      </c>
      <c r="I1115" s="7">
        <v>148.74</v>
      </c>
      <c r="J1115" s="7">
        <v>129.22</v>
      </c>
      <c r="K1115" s="6">
        <v>380</v>
      </c>
      <c r="L1115" s="7">
        <v>657.96</v>
      </c>
    </row>
    <row r="1116" spans="1:12" x14ac:dyDescent="0.25">
      <c r="A1116" s="9">
        <v>45992</v>
      </c>
      <c r="B1116" t="s">
        <v>118</v>
      </c>
      <c r="C1116" t="s">
        <v>119</v>
      </c>
      <c r="D1116" t="s">
        <v>64</v>
      </c>
      <c r="E1116" t="s">
        <v>1961</v>
      </c>
      <c r="F1116" t="s">
        <v>1946</v>
      </c>
      <c r="G1116" s="6">
        <v>1449</v>
      </c>
      <c r="H1116" s="8">
        <v>138</v>
      </c>
      <c r="I1116" s="7">
        <v>204.24</v>
      </c>
      <c r="J1116" s="7">
        <v>214.17</v>
      </c>
      <c r="K1116" s="6">
        <v>320</v>
      </c>
      <c r="L1116" s="7">
        <v>738.41</v>
      </c>
    </row>
    <row r="1117" spans="1:12" x14ac:dyDescent="0.25">
      <c r="A1117" s="9">
        <v>45992</v>
      </c>
      <c r="B1117" t="s">
        <v>118</v>
      </c>
      <c r="C1117" t="s">
        <v>119</v>
      </c>
      <c r="D1117" t="s">
        <v>64</v>
      </c>
      <c r="E1117" t="s">
        <v>1971</v>
      </c>
      <c r="F1117" t="s">
        <v>1942</v>
      </c>
      <c r="G1117" s="6">
        <v>1265</v>
      </c>
      <c r="H1117" s="8">
        <v>120.5</v>
      </c>
      <c r="I1117" s="7">
        <v>178.34</v>
      </c>
      <c r="J1117" s="7">
        <v>36.700000000000003</v>
      </c>
      <c r="K1117" s="6">
        <v>520</v>
      </c>
      <c r="L1117" s="7">
        <v>735.04</v>
      </c>
    </row>
    <row r="1118" spans="1:12" x14ac:dyDescent="0.25">
      <c r="A1118" s="9">
        <v>45992</v>
      </c>
      <c r="B1118" t="s">
        <v>118</v>
      </c>
      <c r="C1118" t="s">
        <v>119</v>
      </c>
      <c r="D1118" t="s">
        <v>64</v>
      </c>
      <c r="E1118" t="s">
        <v>2033</v>
      </c>
      <c r="F1118" t="s">
        <v>1948</v>
      </c>
      <c r="G1118" s="6">
        <v>762</v>
      </c>
      <c r="H1118" s="8">
        <v>89.6</v>
      </c>
      <c r="I1118" s="7">
        <v>132.61000000000001</v>
      </c>
      <c r="J1118" s="7">
        <v>22.87</v>
      </c>
      <c r="K1118" s="6">
        <v>380</v>
      </c>
      <c r="L1118" s="7">
        <v>535.48</v>
      </c>
    </row>
    <row r="1119" spans="1:12" x14ac:dyDescent="0.25">
      <c r="A1119" s="9">
        <v>45992</v>
      </c>
      <c r="B1119" t="s">
        <v>118</v>
      </c>
      <c r="C1119" t="s">
        <v>119</v>
      </c>
      <c r="D1119" t="s">
        <v>64</v>
      </c>
      <c r="E1119" t="s">
        <v>2042</v>
      </c>
      <c r="F1119" t="s">
        <v>1940</v>
      </c>
      <c r="G1119" s="6">
        <v>847</v>
      </c>
      <c r="H1119" s="8">
        <v>99.6</v>
      </c>
      <c r="I1119" s="7">
        <v>147.41</v>
      </c>
      <c r="J1119" s="7">
        <v>226.54</v>
      </c>
      <c r="K1119" s="6">
        <v>380</v>
      </c>
      <c r="L1119" s="7">
        <v>753.95</v>
      </c>
    </row>
    <row r="1120" spans="1:12" x14ac:dyDescent="0.25">
      <c r="A1120" s="9">
        <v>45992</v>
      </c>
      <c r="B1120" t="s">
        <v>118</v>
      </c>
      <c r="C1120" t="s">
        <v>119</v>
      </c>
      <c r="D1120" t="s">
        <v>64</v>
      </c>
      <c r="E1120" t="s">
        <v>2075</v>
      </c>
      <c r="F1120" t="s">
        <v>1940</v>
      </c>
      <c r="G1120" s="6">
        <v>1179</v>
      </c>
      <c r="H1120" s="8">
        <v>138.69999999999999</v>
      </c>
      <c r="I1120" s="7">
        <v>205.28</v>
      </c>
      <c r="J1120" s="7">
        <v>132.28</v>
      </c>
      <c r="K1120" s="6">
        <v>380</v>
      </c>
      <c r="L1120" s="7">
        <v>717.56</v>
      </c>
    </row>
    <row r="1121" spans="1:12" x14ac:dyDescent="0.25">
      <c r="A1121" s="9">
        <v>45992</v>
      </c>
      <c r="B1121" t="s">
        <v>62</v>
      </c>
      <c r="C1121" t="s">
        <v>63</v>
      </c>
      <c r="D1121" t="s">
        <v>64</v>
      </c>
      <c r="E1121" t="s">
        <v>2031</v>
      </c>
      <c r="F1121" t="s">
        <v>1942</v>
      </c>
      <c r="G1121" s="6">
        <v>1044</v>
      </c>
      <c r="H1121" s="8">
        <v>99.4</v>
      </c>
      <c r="I1121" s="7">
        <v>147.11000000000001</v>
      </c>
      <c r="J1121" s="7">
        <v>94.89</v>
      </c>
      <c r="K1121" s="6">
        <v>380</v>
      </c>
      <c r="L1121" s="7">
        <v>622</v>
      </c>
    </row>
    <row r="1122" spans="1:12" x14ac:dyDescent="0.25">
      <c r="A1122" s="9">
        <v>45992</v>
      </c>
      <c r="B1122" t="s">
        <v>62</v>
      </c>
      <c r="C1122" t="s">
        <v>63</v>
      </c>
      <c r="D1122" t="s">
        <v>64</v>
      </c>
      <c r="E1122" t="s">
        <v>2054</v>
      </c>
      <c r="F1122" t="s">
        <v>1946</v>
      </c>
      <c r="G1122" s="6">
        <v>1101</v>
      </c>
      <c r="H1122" s="8">
        <v>104.9</v>
      </c>
      <c r="I1122" s="7">
        <v>155.25</v>
      </c>
      <c r="J1122" s="7">
        <v>211.27</v>
      </c>
      <c r="K1122" s="6">
        <v>450</v>
      </c>
      <c r="L1122" s="7">
        <v>816.52</v>
      </c>
    </row>
    <row r="1123" spans="1:12" x14ac:dyDescent="0.25">
      <c r="A1123" s="9">
        <v>45992</v>
      </c>
      <c r="B1123" t="s">
        <v>62</v>
      </c>
      <c r="C1123" t="s">
        <v>63</v>
      </c>
      <c r="D1123" t="s">
        <v>64</v>
      </c>
      <c r="E1123" t="s">
        <v>2044</v>
      </c>
      <c r="F1123" t="s">
        <v>1946</v>
      </c>
      <c r="G1123" s="6">
        <v>646</v>
      </c>
      <c r="H1123" s="8">
        <v>61.5</v>
      </c>
      <c r="I1123" s="7">
        <v>91.02</v>
      </c>
      <c r="J1123" s="7">
        <v>173.97</v>
      </c>
      <c r="K1123" s="6">
        <v>380</v>
      </c>
      <c r="L1123" s="7">
        <v>644.99</v>
      </c>
    </row>
    <row r="1124" spans="1:12" x14ac:dyDescent="0.25">
      <c r="A1124" s="9">
        <v>45992</v>
      </c>
      <c r="B1124" t="s">
        <v>62</v>
      </c>
      <c r="C1124" t="s">
        <v>63</v>
      </c>
      <c r="D1124" t="s">
        <v>64</v>
      </c>
      <c r="E1124" t="s">
        <v>2042</v>
      </c>
      <c r="F1124" t="s">
        <v>1942</v>
      </c>
      <c r="G1124" s="6">
        <v>1283</v>
      </c>
      <c r="H1124" s="8">
        <v>122.2</v>
      </c>
      <c r="I1124" s="7">
        <v>180.86</v>
      </c>
      <c r="J1124" s="7">
        <v>116.79</v>
      </c>
      <c r="K1124" s="6">
        <v>320</v>
      </c>
      <c r="L1124" s="7">
        <v>617.65</v>
      </c>
    </row>
    <row r="1125" spans="1:12" x14ac:dyDescent="0.25">
      <c r="A1125" s="9">
        <v>45992</v>
      </c>
      <c r="B1125" t="s">
        <v>62</v>
      </c>
      <c r="C1125" t="s">
        <v>63</v>
      </c>
      <c r="D1125" t="s">
        <v>64</v>
      </c>
      <c r="E1125" t="s">
        <v>2064</v>
      </c>
      <c r="F1125" t="s">
        <v>1946</v>
      </c>
      <c r="G1125" s="6">
        <v>1225</v>
      </c>
      <c r="H1125" s="8">
        <v>116.7</v>
      </c>
      <c r="I1125" s="7">
        <v>172.72</v>
      </c>
      <c r="J1125" s="7">
        <v>375.17</v>
      </c>
      <c r="K1125" s="6">
        <v>380</v>
      </c>
      <c r="L1125" s="7">
        <v>927.89</v>
      </c>
    </row>
    <row r="1126" spans="1:12" x14ac:dyDescent="0.25">
      <c r="A1126" s="9">
        <v>45992</v>
      </c>
      <c r="B1126" t="s">
        <v>62</v>
      </c>
      <c r="C1126" t="s">
        <v>63</v>
      </c>
      <c r="D1126" t="s">
        <v>64</v>
      </c>
      <c r="E1126" t="s">
        <v>1983</v>
      </c>
      <c r="F1126" t="s">
        <v>1948</v>
      </c>
      <c r="G1126" s="6">
        <v>1023</v>
      </c>
      <c r="H1126" s="8">
        <v>120.4</v>
      </c>
      <c r="I1126" s="7">
        <v>178.19</v>
      </c>
      <c r="J1126" s="7">
        <v>281.45999999999998</v>
      </c>
      <c r="K1126" s="6">
        <v>380</v>
      </c>
      <c r="L1126" s="7">
        <v>839.65</v>
      </c>
    </row>
    <row r="1127" spans="1:12" x14ac:dyDescent="0.25">
      <c r="A1127" s="9">
        <v>45992</v>
      </c>
      <c r="B1127" t="s">
        <v>91</v>
      </c>
      <c r="C1127" t="s">
        <v>92</v>
      </c>
      <c r="D1127" t="s">
        <v>64</v>
      </c>
      <c r="E1127" t="s">
        <v>2071</v>
      </c>
      <c r="F1127" t="s">
        <v>1948</v>
      </c>
      <c r="G1127" s="6">
        <v>865</v>
      </c>
      <c r="H1127" s="8">
        <v>101.8</v>
      </c>
      <c r="I1127" s="7">
        <v>150.66</v>
      </c>
      <c r="J1127" s="7">
        <v>264.5</v>
      </c>
      <c r="K1127" s="6">
        <v>380</v>
      </c>
      <c r="L1127" s="7">
        <v>795.16</v>
      </c>
    </row>
    <row r="1128" spans="1:12" x14ac:dyDescent="0.25">
      <c r="A1128" s="9">
        <v>45992</v>
      </c>
      <c r="B1128" t="s">
        <v>91</v>
      </c>
      <c r="C1128" t="s">
        <v>92</v>
      </c>
      <c r="D1128" t="s">
        <v>64</v>
      </c>
      <c r="E1128" t="s">
        <v>1964</v>
      </c>
      <c r="F1128" t="s">
        <v>1940</v>
      </c>
      <c r="G1128" s="6">
        <v>1165</v>
      </c>
      <c r="H1128" s="8">
        <v>137.1</v>
      </c>
      <c r="I1128" s="7">
        <v>202.91</v>
      </c>
      <c r="J1128" s="7">
        <v>165.59</v>
      </c>
      <c r="K1128" s="6">
        <v>450</v>
      </c>
      <c r="L1128" s="7">
        <v>818.5</v>
      </c>
    </row>
    <row r="1129" spans="1:12" x14ac:dyDescent="0.25">
      <c r="A1129" s="9">
        <v>45992</v>
      </c>
      <c r="B1129" t="s">
        <v>91</v>
      </c>
      <c r="C1129" t="s">
        <v>92</v>
      </c>
      <c r="D1129" t="s">
        <v>64</v>
      </c>
      <c r="E1129" t="s">
        <v>2058</v>
      </c>
      <c r="F1129" t="s">
        <v>1948</v>
      </c>
      <c r="G1129" s="6">
        <v>795</v>
      </c>
      <c r="H1129" s="8">
        <v>93.5</v>
      </c>
      <c r="I1129" s="7">
        <v>138.38</v>
      </c>
      <c r="J1129" s="7">
        <v>266.51</v>
      </c>
      <c r="K1129" s="6">
        <v>380</v>
      </c>
      <c r="L1129" s="7">
        <v>784.89</v>
      </c>
    </row>
    <row r="1130" spans="1:12" x14ac:dyDescent="0.25">
      <c r="A1130" s="9">
        <v>45992</v>
      </c>
      <c r="B1130" t="s">
        <v>91</v>
      </c>
      <c r="C1130" t="s">
        <v>92</v>
      </c>
      <c r="D1130" t="s">
        <v>64</v>
      </c>
      <c r="E1130" t="s">
        <v>2064</v>
      </c>
      <c r="F1130" t="s">
        <v>1942</v>
      </c>
      <c r="G1130" s="6">
        <v>1415</v>
      </c>
      <c r="H1130" s="8">
        <v>134.80000000000001</v>
      </c>
      <c r="I1130" s="7">
        <v>199.5</v>
      </c>
      <c r="J1130" s="7">
        <v>185.89</v>
      </c>
      <c r="K1130" s="6">
        <v>450</v>
      </c>
      <c r="L1130" s="7">
        <v>835.39</v>
      </c>
    </row>
    <row r="1131" spans="1:12" x14ac:dyDescent="0.25">
      <c r="A1131" s="9">
        <v>45992</v>
      </c>
      <c r="B1131" t="s">
        <v>80</v>
      </c>
      <c r="C1131" t="s">
        <v>81</v>
      </c>
      <c r="D1131" t="s">
        <v>64</v>
      </c>
      <c r="E1131" t="s">
        <v>2079</v>
      </c>
      <c r="F1131" t="s">
        <v>1942</v>
      </c>
      <c r="G1131" s="6">
        <v>1290</v>
      </c>
      <c r="H1131" s="8">
        <v>122.9</v>
      </c>
      <c r="I1131" s="7">
        <v>181.89</v>
      </c>
      <c r="J1131" s="7">
        <v>131.04</v>
      </c>
      <c r="K1131" s="6">
        <v>520</v>
      </c>
      <c r="L1131" s="7">
        <v>832.93</v>
      </c>
    </row>
    <row r="1132" spans="1:12" x14ac:dyDescent="0.25">
      <c r="A1132" s="9">
        <v>45992</v>
      </c>
      <c r="B1132" t="s">
        <v>80</v>
      </c>
      <c r="C1132" t="s">
        <v>81</v>
      </c>
      <c r="D1132" t="s">
        <v>64</v>
      </c>
      <c r="E1132" t="s">
        <v>1974</v>
      </c>
      <c r="F1132" t="s">
        <v>1942</v>
      </c>
      <c r="G1132" s="6">
        <v>1237</v>
      </c>
      <c r="H1132" s="8">
        <v>117.8</v>
      </c>
      <c r="I1132" s="7">
        <v>174.34</v>
      </c>
      <c r="J1132" s="7">
        <v>172.34</v>
      </c>
      <c r="K1132" s="6">
        <v>520</v>
      </c>
      <c r="L1132" s="7">
        <v>866.68</v>
      </c>
    </row>
    <row r="1133" spans="1:12" x14ac:dyDescent="0.25">
      <c r="A1133" s="9">
        <v>45992</v>
      </c>
      <c r="B1133" t="s">
        <v>80</v>
      </c>
      <c r="C1133" t="s">
        <v>81</v>
      </c>
      <c r="D1133" t="s">
        <v>64</v>
      </c>
      <c r="E1133" t="s">
        <v>2054</v>
      </c>
      <c r="F1133" t="s">
        <v>1942</v>
      </c>
      <c r="G1133" s="6">
        <v>812</v>
      </c>
      <c r="H1133" s="8">
        <v>77.3</v>
      </c>
      <c r="I1133" s="7">
        <v>114.4</v>
      </c>
      <c r="J1133" s="7">
        <v>175.48</v>
      </c>
      <c r="K1133" s="6">
        <v>320</v>
      </c>
      <c r="L1133" s="7">
        <v>609.88</v>
      </c>
    </row>
    <row r="1134" spans="1:12" x14ac:dyDescent="0.25">
      <c r="A1134" s="9">
        <v>45992</v>
      </c>
      <c r="B1134" t="s">
        <v>80</v>
      </c>
      <c r="C1134" t="s">
        <v>81</v>
      </c>
      <c r="D1134" t="s">
        <v>64</v>
      </c>
      <c r="E1134" t="s">
        <v>1991</v>
      </c>
      <c r="F1134" t="s">
        <v>1948</v>
      </c>
      <c r="G1134" s="6">
        <v>802</v>
      </c>
      <c r="H1134" s="8">
        <v>94.4</v>
      </c>
      <c r="I1134" s="7">
        <v>139.71</v>
      </c>
      <c r="J1134" s="7">
        <v>199.37</v>
      </c>
      <c r="K1134" s="6">
        <v>450</v>
      </c>
      <c r="L1134" s="7">
        <v>789.08</v>
      </c>
    </row>
    <row r="1135" spans="1:12" x14ac:dyDescent="0.25">
      <c r="A1135" s="9">
        <v>45992</v>
      </c>
      <c r="B1135" t="s">
        <v>80</v>
      </c>
      <c r="C1135" t="s">
        <v>81</v>
      </c>
      <c r="D1135" t="s">
        <v>64</v>
      </c>
      <c r="E1135" t="s">
        <v>2030</v>
      </c>
      <c r="F1135" t="s">
        <v>1942</v>
      </c>
      <c r="G1135" s="6">
        <v>1097</v>
      </c>
      <c r="H1135" s="8">
        <v>104.5</v>
      </c>
      <c r="I1135" s="7">
        <v>154.66</v>
      </c>
      <c r="J1135" s="7">
        <v>173.78</v>
      </c>
      <c r="K1135" s="6">
        <v>450</v>
      </c>
      <c r="L1135" s="7">
        <v>778.44</v>
      </c>
    </row>
    <row r="1136" spans="1:12" x14ac:dyDescent="0.25">
      <c r="A1136" s="9">
        <v>45992</v>
      </c>
      <c r="B1136" t="s">
        <v>56</v>
      </c>
      <c r="C1136" t="s">
        <v>57</v>
      </c>
      <c r="D1136" t="s">
        <v>58</v>
      </c>
      <c r="E1136" t="s">
        <v>1981</v>
      </c>
      <c r="F1136" t="s">
        <v>1948</v>
      </c>
      <c r="G1136" s="6">
        <v>752</v>
      </c>
      <c r="H1136" s="8">
        <v>88.5</v>
      </c>
      <c r="I1136" s="7">
        <v>130.97999999999999</v>
      </c>
      <c r="J1136" s="7">
        <v>334.32</v>
      </c>
      <c r="K1136" s="6">
        <v>520</v>
      </c>
      <c r="L1136" s="7">
        <v>985.3</v>
      </c>
    </row>
    <row r="1137" spans="1:12" x14ac:dyDescent="0.25">
      <c r="A1137" s="9">
        <v>45992</v>
      </c>
      <c r="B1137" t="s">
        <v>56</v>
      </c>
      <c r="C1137" t="s">
        <v>57</v>
      </c>
      <c r="D1137" t="s">
        <v>58</v>
      </c>
      <c r="E1137" t="s">
        <v>2026</v>
      </c>
      <c r="F1137" t="s">
        <v>1948</v>
      </c>
      <c r="G1137" s="6">
        <v>1193</v>
      </c>
      <c r="H1137" s="8">
        <v>140.4</v>
      </c>
      <c r="I1137" s="7">
        <v>207.79</v>
      </c>
      <c r="J1137" s="7">
        <v>193.62</v>
      </c>
      <c r="K1137" s="6">
        <v>380</v>
      </c>
      <c r="L1137" s="7">
        <v>781.41</v>
      </c>
    </row>
    <row r="1138" spans="1:12" x14ac:dyDescent="0.25">
      <c r="A1138" s="9">
        <v>45992</v>
      </c>
      <c r="B1138" t="s">
        <v>56</v>
      </c>
      <c r="C1138" t="s">
        <v>57</v>
      </c>
      <c r="D1138" t="s">
        <v>58</v>
      </c>
      <c r="E1138" t="s">
        <v>2001</v>
      </c>
      <c r="F1138" t="s">
        <v>1946</v>
      </c>
      <c r="G1138" s="6">
        <v>665</v>
      </c>
      <c r="H1138" s="8">
        <v>63.3</v>
      </c>
      <c r="I1138" s="7">
        <v>93.68</v>
      </c>
      <c r="J1138" s="7">
        <v>138.41</v>
      </c>
      <c r="K1138" s="6">
        <v>380</v>
      </c>
      <c r="L1138" s="7">
        <v>612.09</v>
      </c>
    </row>
    <row r="1139" spans="1:12" x14ac:dyDescent="0.25">
      <c r="A1139" s="9">
        <v>45992</v>
      </c>
      <c r="B1139" t="s">
        <v>56</v>
      </c>
      <c r="C1139" t="s">
        <v>57</v>
      </c>
      <c r="D1139" t="s">
        <v>58</v>
      </c>
      <c r="E1139" t="s">
        <v>1993</v>
      </c>
      <c r="F1139" t="s">
        <v>1942</v>
      </c>
      <c r="G1139" s="6">
        <v>938</v>
      </c>
      <c r="H1139" s="8">
        <v>89.3</v>
      </c>
      <c r="I1139" s="7">
        <v>132.16</v>
      </c>
      <c r="J1139" s="7">
        <v>159.05000000000001</v>
      </c>
      <c r="K1139" s="6">
        <v>450</v>
      </c>
      <c r="L1139" s="7">
        <v>741.21</v>
      </c>
    </row>
    <row r="1140" spans="1:12" x14ac:dyDescent="0.25">
      <c r="A1140" s="9">
        <v>45992</v>
      </c>
      <c r="B1140" t="s">
        <v>56</v>
      </c>
      <c r="C1140" t="s">
        <v>57</v>
      </c>
      <c r="D1140" t="s">
        <v>58</v>
      </c>
      <c r="E1140" t="s">
        <v>2027</v>
      </c>
      <c r="F1140" t="s">
        <v>1940</v>
      </c>
      <c r="G1140" s="6">
        <v>959</v>
      </c>
      <c r="H1140" s="8">
        <v>112.8</v>
      </c>
      <c r="I1140" s="7">
        <v>166.94</v>
      </c>
      <c r="J1140" s="7">
        <v>0</v>
      </c>
      <c r="K1140" s="6">
        <v>520</v>
      </c>
      <c r="L1140" s="7">
        <v>686.94</v>
      </c>
    </row>
    <row r="1141" spans="1:12" x14ac:dyDescent="0.25">
      <c r="A1141" s="9">
        <v>45992</v>
      </c>
      <c r="B1141" t="s">
        <v>77</v>
      </c>
      <c r="C1141" t="s">
        <v>78</v>
      </c>
      <c r="D1141" t="s">
        <v>58</v>
      </c>
      <c r="E1141" t="s">
        <v>1960</v>
      </c>
      <c r="F1141" t="s">
        <v>1940</v>
      </c>
      <c r="G1141" s="6">
        <v>952</v>
      </c>
      <c r="H1141" s="8">
        <v>112</v>
      </c>
      <c r="I1141" s="7">
        <v>165.76</v>
      </c>
      <c r="J1141" s="7">
        <v>125.55</v>
      </c>
      <c r="K1141" s="6">
        <v>520</v>
      </c>
      <c r="L1141" s="7">
        <v>811.31</v>
      </c>
    </row>
    <row r="1142" spans="1:12" x14ac:dyDescent="0.25">
      <c r="A1142" s="9">
        <v>45992</v>
      </c>
      <c r="B1142" t="s">
        <v>77</v>
      </c>
      <c r="C1142" t="s">
        <v>78</v>
      </c>
      <c r="D1142" t="s">
        <v>58</v>
      </c>
      <c r="E1142" t="s">
        <v>1986</v>
      </c>
      <c r="F1142" t="s">
        <v>1942</v>
      </c>
      <c r="G1142" s="6">
        <v>1208</v>
      </c>
      <c r="H1142" s="8">
        <v>115</v>
      </c>
      <c r="I1142" s="7">
        <v>170.2</v>
      </c>
      <c r="J1142" s="7">
        <v>94.14</v>
      </c>
      <c r="K1142" s="6">
        <v>380</v>
      </c>
      <c r="L1142" s="7">
        <v>644.34</v>
      </c>
    </row>
    <row r="1143" spans="1:12" x14ac:dyDescent="0.25">
      <c r="A1143" s="9">
        <v>45992</v>
      </c>
      <c r="B1143" t="s">
        <v>77</v>
      </c>
      <c r="C1143" t="s">
        <v>78</v>
      </c>
      <c r="D1143" t="s">
        <v>58</v>
      </c>
      <c r="E1143" t="s">
        <v>1984</v>
      </c>
      <c r="F1143" t="s">
        <v>1948</v>
      </c>
      <c r="G1143" s="6">
        <v>1469</v>
      </c>
      <c r="H1143" s="8">
        <v>172.8</v>
      </c>
      <c r="I1143" s="7">
        <v>255.74</v>
      </c>
      <c r="J1143" s="7">
        <v>97.07</v>
      </c>
      <c r="K1143" s="6">
        <v>520</v>
      </c>
      <c r="L1143" s="7">
        <v>872.81</v>
      </c>
    </row>
    <row r="1144" spans="1:12" x14ac:dyDescent="0.25">
      <c r="A1144" s="9">
        <v>45992</v>
      </c>
      <c r="B1144" t="s">
        <v>77</v>
      </c>
      <c r="C1144" t="s">
        <v>78</v>
      </c>
      <c r="D1144" t="s">
        <v>58</v>
      </c>
      <c r="E1144" t="s">
        <v>1981</v>
      </c>
      <c r="F1144" t="s">
        <v>1946</v>
      </c>
      <c r="G1144" s="6">
        <v>1377</v>
      </c>
      <c r="H1144" s="8">
        <v>131.1</v>
      </c>
      <c r="I1144" s="7">
        <v>194.03</v>
      </c>
      <c r="J1144" s="7">
        <v>132.05000000000001</v>
      </c>
      <c r="K1144" s="6">
        <v>520</v>
      </c>
      <c r="L1144" s="7">
        <v>846.08</v>
      </c>
    </row>
    <row r="1145" spans="1:12" x14ac:dyDescent="0.25">
      <c r="A1145" s="9">
        <v>45992</v>
      </c>
      <c r="B1145" t="s">
        <v>77</v>
      </c>
      <c r="C1145" t="s">
        <v>78</v>
      </c>
      <c r="D1145" t="s">
        <v>58</v>
      </c>
      <c r="E1145" t="s">
        <v>2082</v>
      </c>
      <c r="F1145" t="s">
        <v>1948</v>
      </c>
      <c r="G1145" s="6">
        <v>1264</v>
      </c>
      <c r="H1145" s="8">
        <v>148.69999999999999</v>
      </c>
      <c r="I1145" s="7">
        <v>220.08</v>
      </c>
      <c r="J1145" s="7">
        <v>256.38</v>
      </c>
      <c r="K1145" s="6">
        <v>320</v>
      </c>
      <c r="L1145" s="7">
        <v>796.46</v>
      </c>
    </row>
    <row r="1146" spans="1:12" x14ac:dyDescent="0.25">
      <c r="A1146" s="9">
        <v>45992</v>
      </c>
      <c r="B1146" t="s">
        <v>77</v>
      </c>
      <c r="C1146" t="s">
        <v>78</v>
      </c>
      <c r="D1146" t="s">
        <v>58</v>
      </c>
      <c r="E1146" t="s">
        <v>2025</v>
      </c>
      <c r="F1146" t="s">
        <v>1940</v>
      </c>
      <c r="G1146" s="6">
        <v>1334</v>
      </c>
      <c r="H1146" s="8">
        <v>156.9</v>
      </c>
      <c r="I1146" s="7">
        <v>232.21</v>
      </c>
      <c r="J1146" s="7">
        <v>119.01</v>
      </c>
      <c r="K1146" s="6">
        <v>380</v>
      </c>
      <c r="L1146" s="7">
        <v>731.22</v>
      </c>
    </row>
    <row r="1147" spans="1:12" x14ac:dyDescent="0.25">
      <c r="A1147" s="9">
        <v>45992</v>
      </c>
      <c r="B1147" t="s">
        <v>110</v>
      </c>
      <c r="C1147" t="s">
        <v>111</v>
      </c>
      <c r="D1147" t="s">
        <v>58</v>
      </c>
      <c r="E1147" t="s">
        <v>2042</v>
      </c>
      <c r="F1147" t="s">
        <v>1940</v>
      </c>
      <c r="G1147" s="6">
        <v>775</v>
      </c>
      <c r="H1147" s="8">
        <v>91.2</v>
      </c>
      <c r="I1147" s="7">
        <v>134.97999999999999</v>
      </c>
      <c r="J1147" s="7">
        <v>263.64</v>
      </c>
      <c r="K1147" s="6">
        <v>520</v>
      </c>
      <c r="L1147" s="7">
        <v>918.62</v>
      </c>
    </row>
    <row r="1148" spans="1:12" x14ac:dyDescent="0.25">
      <c r="A1148" s="9">
        <v>45992</v>
      </c>
      <c r="B1148" t="s">
        <v>110</v>
      </c>
      <c r="C1148" t="s">
        <v>111</v>
      </c>
      <c r="D1148" t="s">
        <v>58</v>
      </c>
      <c r="E1148" t="s">
        <v>1976</v>
      </c>
      <c r="F1148" t="s">
        <v>1946</v>
      </c>
      <c r="G1148" s="6">
        <v>1021</v>
      </c>
      <c r="H1148" s="8">
        <v>97.2</v>
      </c>
      <c r="I1148" s="7">
        <v>143.86000000000001</v>
      </c>
      <c r="J1148" s="7">
        <v>167.72</v>
      </c>
      <c r="K1148" s="6">
        <v>450</v>
      </c>
      <c r="L1148" s="7">
        <v>761.58</v>
      </c>
    </row>
    <row r="1149" spans="1:12" x14ac:dyDescent="0.25">
      <c r="A1149" s="9">
        <v>45992</v>
      </c>
      <c r="B1149" t="s">
        <v>110</v>
      </c>
      <c r="C1149" t="s">
        <v>111</v>
      </c>
      <c r="D1149" t="s">
        <v>58</v>
      </c>
      <c r="E1149" t="s">
        <v>2023</v>
      </c>
      <c r="F1149" t="s">
        <v>1948</v>
      </c>
      <c r="G1149" s="6">
        <v>1358</v>
      </c>
      <c r="H1149" s="8">
        <v>159.80000000000001</v>
      </c>
      <c r="I1149" s="7">
        <v>236.5</v>
      </c>
      <c r="J1149" s="7">
        <v>167.44</v>
      </c>
      <c r="K1149" s="6">
        <v>380</v>
      </c>
      <c r="L1149" s="7">
        <v>783.94</v>
      </c>
    </row>
    <row r="1150" spans="1:12" x14ac:dyDescent="0.25">
      <c r="A1150" s="9">
        <v>45992</v>
      </c>
      <c r="B1150" t="s">
        <v>110</v>
      </c>
      <c r="C1150" t="s">
        <v>111</v>
      </c>
      <c r="D1150" t="s">
        <v>58</v>
      </c>
      <c r="E1150" t="s">
        <v>2007</v>
      </c>
      <c r="F1150" t="s">
        <v>1942</v>
      </c>
      <c r="G1150" s="6">
        <v>1198</v>
      </c>
      <c r="H1150" s="8">
        <v>114.1</v>
      </c>
      <c r="I1150" s="7">
        <v>168.87</v>
      </c>
      <c r="J1150" s="7">
        <v>102.81</v>
      </c>
      <c r="K1150" s="6">
        <v>520</v>
      </c>
      <c r="L1150" s="7">
        <v>791.68</v>
      </c>
    </row>
    <row r="1151" spans="1:12" x14ac:dyDescent="0.25">
      <c r="A1151" s="9">
        <v>45992</v>
      </c>
      <c r="B1151" t="s">
        <v>85</v>
      </c>
      <c r="C1151" t="s">
        <v>86</v>
      </c>
      <c r="D1151" t="s">
        <v>58</v>
      </c>
      <c r="E1151" t="s">
        <v>2045</v>
      </c>
      <c r="F1151" t="s">
        <v>1940</v>
      </c>
      <c r="G1151" s="6">
        <v>1016</v>
      </c>
      <c r="H1151" s="8">
        <v>119.5</v>
      </c>
      <c r="I1151" s="7">
        <v>176.86</v>
      </c>
      <c r="J1151" s="7">
        <v>155.78</v>
      </c>
      <c r="K1151" s="6">
        <v>520</v>
      </c>
      <c r="L1151" s="7">
        <v>852.64</v>
      </c>
    </row>
    <row r="1152" spans="1:12" x14ac:dyDescent="0.25">
      <c r="A1152" s="9">
        <v>45992</v>
      </c>
      <c r="B1152" t="s">
        <v>85</v>
      </c>
      <c r="C1152" t="s">
        <v>86</v>
      </c>
      <c r="D1152" t="s">
        <v>58</v>
      </c>
      <c r="E1152" t="s">
        <v>2024</v>
      </c>
      <c r="F1152" t="s">
        <v>1940</v>
      </c>
      <c r="G1152" s="6">
        <v>674</v>
      </c>
      <c r="H1152" s="8">
        <v>79.3</v>
      </c>
      <c r="I1152" s="7">
        <v>117.36</v>
      </c>
      <c r="J1152" s="7">
        <v>87.69</v>
      </c>
      <c r="K1152" s="6">
        <v>380</v>
      </c>
      <c r="L1152" s="7">
        <v>585.04999999999995</v>
      </c>
    </row>
    <row r="1153" spans="1:12" x14ac:dyDescent="0.25">
      <c r="A1153" s="9">
        <v>45992</v>
      </c>
      <c r="B1153" t="s">
        <v>85</v>
      </c>
      <c r="C1153" t="s">
        <v>86</v>
      </c>
      <c r="D1153" t="s">
        <v>58</v>
      </c>
      <c r="E1153" t="s">
        <v>1966</v>
      </c>
      <c r="F1153" t="s">
        <v>1940</v>
      </c>
      <c r="G1153" s="6">
        <v>1387</v>
      </c>
      <c r="H1153" s="8">
        <v>163.19999999999999</v>
      </c>
      <c r="I1153" s="7">
        <v>241.54</v>
      </c>
      <c r="J1153" s="7">
        <v>220.9</v>
      </c>
      <c r="K1153" s="6">
        <v>320</v>
      </c>
      <c r="L1153" s="7">
        <v>782.44</v>
      </c>
    </row>
    <row r="1154" spans="1:12" x14ac:dyDescent="0.25">
      <c r="A1154" s="9">
        <v>45992</v>
      </c>
      <c r="B1154" t="s">
        <v>85</v>
      </c>
      <c r="C1154" t="s">
        <v>86</v>
      </c>
      <c r="D1154" t="s">
        <v>58</v>
      </c>
      <c r="E1154" t="s">
        <v>2057</v>
      </c>
      <c r="F1154" t="s">
        <v>1948</v>
      </c>
      <c r="G1154" s="6">
        <v>1034</v>
      </c>
      <c r="H1154" s="8">
        <v>121.6</v>
      </c>
      <c r="I1154" s="7">
        <v>179.97</v>
      </c>
      <c r="J1154" s="7">
        <v>269.45</v>
      </c>
      <c r="K1154" s="6">
        <v>320</v>
      </c>
      <c r="L1154" s="7">
        <v>769.42</v>
      </c>
    </row>
    <row r="1155" spans="1:12" x14ac:dyDescent="0.25">
      <c r="A1155" s="9">
        <v>45992</v>
      </c>
      <c r="B1155" t="s">
        <v>85</v>
      </c>
      <c r="C1155" t="s">
        <v>86</v>
      </c>
      <c r="D1155" t="s">
        <v>58</v>
      </c>
      <c r="E1155" t="s">
        <v>1992</v>
      </c>
      <c r="F1155" t="s">
        <v>1942</v>
      </c>
      <c r="G1155" s="6">
        <v>976</v>
      </c>
      <c r="H1155" s="8">
        <v>93</v>
      </c>
      <c r="I1155" s="7">
        <v>137.63999999999999</v>
      </c>
      <c r="J1155" s="7">
        <v>258.52999999999997</v>
      </c>
      <c r="K1155" s="6">
        <v>450</v>
      </c>
      <c r="L1155" s="7">
        <v>846.17</v>
      </c>
    </row>
    <row r="1156" spans="1:12" x14ac:dyDescent="0.25">
      <c r="A1156" s="9">
        <v>45992</v>
      </c>
      <c r="B1156" t="s">
        <v>85</v>
      </c>
      <c r="C1156" t="s">
        <v>86</v>
      </c>
      <c r="D1156" t="s">
        <v>58</v>
      </c>
      <c r="E1156" t="s">
        <v>2004</v>
      </c>
      <c r="F1156" t="s">
        <v>1940</v>
      </c>
      <c r="G1156" s="6">
        <v>999</v>
      </c>
      <c r="H1156" s="8">
        <v>117.5</v>
      </c>
      <c r="I1156" s="7">
        <v>173.9</v>
      </c>
      <c r="J1156" s="7">
        <v>168.55</v>
      </c>
      <c r="K1156" s="6">
        <v>450</v>
      </c>
      <c r="L1156" s="7">
        <v>792.45</v>
      </c>
    </row>
    <row r="1157" spans="1:12" x14ac:dyDescent="0.25">
      <c r="A1157" s="9">
        <v>45992</v>
      </c>
      <c r="B1157" t="s">
        <v>103</v>
      </c>
      <c r="C1157" t="s">
        <v>104</v>
      </c>
      <c r="D1157" t="s">
        <v>58</v>
      </c>
      <c r="E1157" t="s">
        <v>2062</v>
      </c>
      <c r="F1157" t="s">
        <v>1940</v>
      </c>
      <c r="G1157" s="6">
        <v>1336</v>
      </c>
      <c r="H1157" s="8">
        <v>157.19999999999999</v>
      </c>
      <c r="I1157" s="7">
        <v>232.66</v>
      </c>
      <c r="J1157" s="7">
        <v>87.81</v>
      </c>
      <c r="K1157" s="6">
        <v>520</v>
      </c>
      <c r="L1157" s="7">
        <v>840.47</v>
      </c>
    </row>
    <row r="1158" spans="1:12" x14ac:dyDescent="0.25">
      <c r="A1158" s="9">
        <v>45992</v>
      </c>
      <c r="B1158" t="s">
        <v>103</v>
      </c>
      <c r="C1158" t="s">
        <v>104</v>
      </c>
      <c r="D1158" t="s">
        <v>58</v>
      </c>
      <c r="E1158" t="s">
        <v>2014</v>
      </c>
      <c r="F1158" t="s">
        <v>1942</v>
      </c>
      <c r="G1158" s="6">
        <v>1439</v>
      </c>
      <c r="H1158" s="8">
        <v>137</v>
      </c>
      <c r="I1158" s="7">
        <v>202.76</v>
      </c>
      <c r="J1158" s="7">
        <v>27.56</v>
      </c>
      <c r="K1158" s="6">
        <v>450</v>
      </c>
      <c r="L1158" s="7">
        <v>680.32</v>
      </c>
    </row>
    <row r="1159" spans="1:12" x14ac:dyDescent="0.25">
      <c r="A1159" s="9">
        <v>45992</v>
      </c>
      <c r="B1159" t="s">
        <v>103</v>
      </c>
      <c r="C1159" t="s">
        <v>104</v>
      </c>
      <c r="D1159" t="s">
        <v>58</v>
      </c>
      <c r="E1159" t="s">
        <v>1991</v>
      </c>
      <c r="F1159" t="s">
        <v>1946</v>
      </c>
      <c r="G1159" s="6">
        <v>1457</v>
      </c>
      <c r="H1159" s="8">
        <v>138.80000000000001</v>
      </c>
      <c r="I1159" s="7">
        <v>205.42</v>
      </c>
      <c r="J1159" s="7">
        <v>120.19</v>
      </c>
      <c r="K1159" s="6">
        <v>450</v>
      </c>
      <c r="L1159" s="7">
        <v>775.61</v>
      </c>
    </row>
    <row r="1160" spans="1:12" x14ac:dyDescent="0.25">
      <c r="A1160" s="9">
        <v>45992</v>
      </c>
      <c r="B1160" t="s">
        <v>103</v>
      </c>
      <c r="C1160" t="s">
        <v>104</v>
      </c>
      <c r="D1160" t="s">
        <v>58</v>
      </c>
      <c r="E1160" t="s">
        <v>1976</v>
      </c>
      <c r="F1160" t="s">
        <v>1948</v>
      </c>
      <c r="G1160" s="6">
        <v>989</v>
      </c>
      <c r="H1160" s="8">
        <v>116.4</v>
      </c>
      <c r="I1160" s="7">
        <v>172.27</v>
      </c>
      <c r="J1160" s="7">
        <v>98.8</v>
      </c>
      <c r="K1160" s="6">
        <v>520</v>
      </c>
      <c r="L1160" s="7">
        <v>791.07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9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6" width="10.7109375" customWidth="1"/>
    <col min="7" max="7" width="14.7109375" customWidth="1"/>
    <col min="8" max="8" width="15.7109375" customWidth="1"/>
    <col min="9" max="9" width="14.7109375" customWidth="1"/>
    <col min="10" max="11" width="13.7109375" customWidth="1"/>
    <col min="12" max="12" width="14.7109375" customWidth="1"/>
  </cols>
  <sheetData>
    <row r="1" spans="1:12" x14ac:dyDescent="0.25">
      <c r="A1" t="s">
        <v>1930</v>
      </c>
      <c r="B1" t="s">
        <v>17</v>
      </c>
      <c r="C1" t="s">
        <v>18</v>
      </c>
      <c r="D1" t="s">
        <v>19</v>
      </c>
      <c r="E1" t="s">
        <v>2083</v>
      </c>
      <c r="F1" t="s">
        <v>2084</v>
      </c>
      <c r="G1" t="s">
        <v>2085</v>
      </c>
      <c r="H1" t="s">
        <v>2086</v>
      </c>
      <c r="I1" t="s">
        <v>2087</v>
      </c>
      <c r="J1" t="s">
        <v>2088</v>
      </c>
      <c r="K1" t="s">
        <v>2089</v>
      </c>
      <c r="L1" t="s">
        <v>2090</v>
      </c>
    </row>
    <row r="2" spans="1:12" x14ac:dyDescent="0.25">
      <c r="A2" s="9">
        <v>45658</v>
      </c>
      <c r="B2" t="s">
        <v>100</v>
      </c>
      <c r="C2" t="s">
        <v>101</v>
      </c>
      <c r="D2" t="s">
        <v>69</v>
      </c>
      <c r="E2" t="s">
        <v>2091</v>
      </c>
      <c r="F2" s="8">
        <v>16.7</v>
      </c>
      <c r="G2" s="6">
        <v>25000</v>
      </c>
      <c r="H2" s="8">
        <v>55.4</v>
      </c>
      <c r="I2" s="7">
        <v>887.82</v>
      </c>
      <c r="J2" s="8">
        <v>7.3</v>
      </c>
      <c r="K2" s="7">
        <v>34791.666666666701</v>
      </c>
      <c r="L2" s="7">
        <v>35679.4866666667</v>
      </c>
    </row>
    <row r="3" spans="1:12" x14ac:dyDescent="0.25">
      <c r="A3" s="9">
        <v>45658</v>
      </c>
      <c r="B3" t="s">
        <v>100</v>
      </c>
      <c r="C3" t="s">
        <v>101</v>
      </c>
      <c r="D3" t="s">
        <v>69</v>
      </c>
      <c r="E3" t="s">
        <v>2092</v>
      </c>
      <c r="F3" s="8">
        <v>17.7</v>
      </c>
      <c r="G3" s="6">
        <v>43000</v>
      </c>
      <c r="H3" s="8">
        <v>54.7</v>
      </c>
      <c r="I3" s="7">
        <v>1507.76</v>
      </c>
      <c r="J3" s="8">
        <v>8.6999999999999993</v>
      </c>
      <c r="K3" s="7">
        <v>63425</v>
      </c>
      <c r="L3" s="7">
        <v>64932.76</v>
      </c>
    </row>
    <row r="4" spans="1:12" x14ac:dyDescent="0.25">
      <c r="A4" s="9">
        <v>45658</v>
      </c>
      <c r="B4" t="s">
        <v>100</v>
      </c>
      <c r="C4" t="s">
        <v>101</v>
      </c>
      <c r="D4" t="s">
        <v>69</v>
      </c>
      <c r="E4" t="s">
        <v>2093</v>
      </c>
      <c r="F4" s="8">
        <v>9.3000000000000007</v>
      </c>
      <c r="G4" s="6">
        <v>29000</v>
      </c>
      <c r="H4" s="8">
        <v>50.6</v>
      </c>
      <c r="I4" s="7">
        <v>940.64</v>
      </c>
      <c r="J4" s="8">
        <v>4.9000000000000004</v>
      </c>
      <c r="K4" s="7">
        <v>22475</v>
      </c>
      <c r="L4" s="7">
        <v>23415.64</v>
      </c>
    </row>
    <row r="5" spans="1:12" x14ac:dyDescent="0.25">
      <c r="A5" s="9">
        <v>45658</v>
      </c>
      <c r="B5" t="s">
        <v>100</v>
      </c>
      <c r="C5" t="s">
        <v>101</v>
      </c>
      <c r="D5" t="s">
        <v>69</v>
      </c>
      <c r="E5" t="s">
        <v>2094</v>
      </c>
      <c r="F5" s="8">
        <v>19.5</v>
      </c>
      <c r="G5" s="6">
        <v>41000</v>
      </c>
      <c r="H5" s="8">
        <v>87</v>
      </c>
      <c r="I5" s="7">
        <v>2286.54</v>
      </c>
      <c r="J5" s="8">
        <v>8.6999999999999993</v>
      </c>
      <c r="K5" s="7">
        <v>66625</v>
      </c>
      <c r="L5" s="7">
        <v>68911.539999999994</v>
      </c>
    </row>
    <row r="6" spans="1:12" x14ac:dyDescent="0.25">
      <c r="A6" s="9">
        <v>45658</v>
      </c>
      <c r="B6" t="s">
        <v>100</v>
      </c>
      <c r="C6" t="s">
        <v>101</v>
      </c>
      <c r="D6" t="s">
        <v>69</v>
      </c>
      <c r="E6" t="s">
        <v>2095</v>
      </c>
      <c r="F6" s="8">
        <v>4.0999999999999996</v>
      </c>
      <c r="G6" s="6">
        <v>27000</v>
      </c>
      <c r="H6" s="8">
        <v>11</v>
      </c>
      <c r="I6" s="7">
        <v>190.38</v>
      </c>
      <c r="J6" s="8">
        <v>3.8</v>
      </c>
      <c r="K6" s="7">
        <v>9225</v>
      </c>
      <c r="L6" s="7">
        <v>9415.3799999999992</v>
      </c>
    </row>
    <row r="7" spans="1:12" x14ac:dyDescent="0.25">
      <c r="A7" s="9">
        <v>45658</v>
      </c>
      <c r="B7" t="s">
        <v>100</v>
      </c>
      <c r="C7" t="s">
        <v>101</v>
      </c>
      <c r="D7" t="s">
        <v>69</v>
      </c>
      <c r="E7" t="s">
        <v>2096</v>
      </c>
      <c r="F7" s="8">
        <v>10.6</v>
      </c>
      <c r="G7" s="6">
        <v>35000</v>
      </c>
      <c r="H7" s="8">
        <v>30.7</v>
      </c>
      <c r="I7" s="7">
        <v>688.78</v>
      </c>
      <c r="J7" s="8">
        <v>7</v>
      </c>
      <c r="K7" s="7">
        <v>30916.666666666701</v>
      </c>
      <c r="L7" s="7">
        <v>31605.446666666699</v>
      </c>
    </row>
    <row r="8" spans="1:12" x14ac:dyDescent="0.25">
      <c r="A8" s="9">
        <v>45658</v>
      </c>
      <c r="B8" t="s">
        <v>113</v>
      </c>
      <c r="C8" t="s">
        <v>114</v>
      </c>
      <c r="D8" t="s">
        <v>69</v>
      </c>
      <c r="E8" t="s">
        <v>2093</v>
      </c>
      <c r="F8" s="8">
        <v>13.8</v>
      </c>
      <c r="G8" s="6">
        <v>29000</v>
      </c>
      <c r="H8" s="8">
        <v>50.2</v>
      </c>
      <c r="I8" s="7">
        <v>933.21</v>
      </c>
      <c r="J8" s="8">
        <v>6.9</v>
      </c>
      <c r="K8" s="7">
        <v>33350</v>
      </c>
      <c r="L8" s="7">
        <v>34283.21</v>
      </c>
    </row>
    <row r="9" spans="1:12" x14ac:dyDescent="0.25">
      <c r="A9" s="9">
        <v>45658</v>
      </c>
      <c r="B9" t="s">
        <v>113</v>
      </c>
      <c r="C9" t="s">
        <v>114</v>
      </c>
      <c r="D9" t="s">
        <v>69</v>
      </c>
      <c r="E9" t="s">
        <v>2097</v>
      </c>
      <c r="F9" s="8">
        <v>18.3</v>
      </c>
      <c r="G9" s="6">
        <v>28000</v>
      </c>
      <c r="H9" s="8">
        <v>102.6</v>
      </c>
      <c r="I9" s="7">
        <v>1841.54</v>
      </c>
      <c r="J9" s="8">
        <v>10.4</v>
      </c>
      <c r="K9" s="7">
        <v>42700</v>
      </c>
      <c r="L9" s="7">
        <v>44541.54</v>
      </c>
    </row>
    <row r="10" spans="1:12" x14ac:dyDescent="0.25">
      <c r="A10" s="9">
        <v>45658</v>
      </c>
      <c r="B10" t="s">
        <v>113</v>
      </c>
      <c r="C10" t="s">
        <v>114</v>
      </c>
      <c r="D10" t="s">
        <v>69</v>
      </c>
      <c r="E10" t="s">
        <v>2094</v>
      </c>
      <c r="F10" s="8">
        <v>11.1</v>
      </c>
      <c r="G10" s="6">
        <v>41000</v>
      </c>
      <c r="H10" s="8">
        <v>42.6</v>
      </c>
      <c r="I10" s="7">
        <v>1119.6199999999999</v>
      </c>
      <c r="J10" s="8">
        <v>5.2</v>
      </c>
      <c r="K10" s="7">
        <v>37925</v>
      </c>
      <c r="L10" s="7">
        <v>39044.620000000003</v>
      </c>
    </row>
    <row r="11" spans="1:12" x14ac:dyDescent="0.25">
      <c r="A11" s="9">
        <v>45658</v>
      </c>
      <c r="B11" t="s">
        <v>113</v>
      </c>
      <c r="C11" t="s">
        <v>114</v>
      </c>
      <c r="D11" t="s">
        <v>69</v>
      </c>
      <c r="E11" t="s">
        <v>2095</v>
      </c>
      <c r="F11" s="8">
        <v>7.8</v>
      </c>
      <c r="G11" s="6">
        <v>27000</v>
      </c>
      <c r="H11" s="8">
        <v>30.5</v>
      </c>
      <c r="I11" s="7">
        <v>527.88</v>
      </c>
      <c r="J11" s="8">
        <v>4.2</v>
      </c>
      <c r="K11" s="7">
        <v>17550</v>
      </c>
      <c r="L11" s="7">
        <v>18077.88</v>
      </c>
    </row>
    <row r="12" spans="1:12" x14ac:dyDescent="0.25">
      <c r="A12" s="9">
        <v>45658</v>
      </c>
      <c r="B12" t="s">
        <v>113</v>
      </c>
      <c r="C12" t="s">
        <v>114</v>
      </c>
      <c r="D12" t="s">
        <v>69</v>
      </c>
      <c r="E12" t="s">
        <v>2096</v>
      </c>
      <c r="F12" s="8">
        <v>8.8000000000000007</v>
      </c>
      <c r="G12" s="6">
        <v>35000</v>
      </c>
      <c r="H12" s="8">
        <v>47</v>
      </c>
      <c r="I12" s="7">
        <v>1054.49</v>
      </c>
      <c r="J12" s="8">
        <v>4.4000000000000004</v>
      </c>
      <c r="K12" s="7">
        <v>25666.666666666701</v>
      </c>
      <c r="L12" s="7">
        <v>26721.156666666699</v>
      </c>
    </row>
    <row r="13" spans="1:12" x14ac:dyDescent="0.25">
      <c r="A13" s="9">
        <v>45658</v>
      </c>
      <c r="B13" t="s">
        <v>143</v>
      </c>
      <c r="C13" t="s">
        <v>144</v>
      </c>
      <c r="D13" t="s">
        <v>69</v>
      </c>
      <c r="E13" t="s">
        <v>2095</v>
      </c>
      <c r="F13" s="8">
        <v>12.7</v>
      </c>
      <c r="G13" s="6">
        <v>27000</v>
      </c>
      <c r="H13" s="8">
        <v>62.6</v>
      </c>
      <c r="I13" s="7">
        <v>1083.46</v>
      </c>
      <c r="J13" s="8">
        <v>8</v>
      </c>
      <c r="K13" s="7">
        <v>28575</v>
      </c>
      <c r="L13" s="7">
        <v>29658.46</v>
      </c>
    </row>
    <row r="14" spans="1:12" x14ac:dyDescent="0.25">
      <c r="A14" s="9">
        <v>45658</v>
      </c>
      <c r="B14" t="s">
        <v>143</v>
      </c>
      <c r="C14" t="s">
        <v>144</v>
      </c>
      <c r="D14" t="s">
        <v>69</v>
      </c>
      <c r="E14" t="s">
        <v>2093</v>
      </c>
      <c r="F14" s="8">
        <v>18.5</v>
      </c>
      <c r="G14" s="6">
        <v>29000</v>
      </c>
      <c r="H14" s="8">
        <v>84.6</v>
      </c>
      <c r="I14" s="7">
        <v>1572.69</v>
      </c>
      <c r="J14" s="8">
        <v>9.6</v>
      </c>
      <c r="K14" s="7">
        <v>44708.333333333299</v>
      </c>
      <c r="L14" s="7">
        <v>46281.023333333302</v>
      </c>
    </row>
    <row r="15" spans="1:12" x14ac:dyDescent="0.25">
      <c r="A15" s="9">
        <v>45658</v>
      </c>
      <c r="B15" t="s">
        <v>143</v>
      </c>
      <c r="C15" t="s">
        <v>144</v>
      </c>
      <c r="D15" t="s">
        <v>69</v>
      </c>
      <c r="E15" t="s">
        <v>2097</v>
      </c>
      <c r="F15" s="8">
        <v>15</v>
      </c>
      <c r="G15" s="6">
        <v>28000</v>
      </c>
      <c r="H15" s="8">
        <v>25.8</v>
      </c>
      <c r="I15" s="7">
        <v>463.08</v>
      </c>
      <c r="J15" s="8">
        <v>4.9000000000000004</v>
      </c>
      <c r="K15" s="7">
        <v>35000</v>
      </c>
      <c r="L15" s="7">
        <v>35463.08</v>
      </c>
    </row>
    <row r="16" spans="1:12" x14ac:dyDescent="0.25">
      <c r="A16" s="9">
        <v>45658</v>
      </c>
      <c r="B16" t="s">
        <v>143</v>
      </c>
      <c r="C16" t="s">
        <v>144</v>
      </c>
      <c r="D16" t="s">
        <v>69</v>
      </c>
      <c r="E16" t="s">
        <v>2094</v>
      </c>
      <c r="F16" s="8">
        <v>13.4</v>
      </c>
      <c r="G16" s="6">
        <v>41000</v>
      </c>
      <c r="H16" s="8">
        <v>61.4</v>
      </c>
      <c r="I16" s="7">
        <v>1613.72</v>
      </c>
      <c r="J16" s="8">
        <v>6.6</v>
      </c>
      <c r="K16" s="7">
        <v>45783.333333333299</v>
      </c>
      <c r="L16" s="7">
        <v>47397.053333333301</v>
      </c>
    </row>
    <row r="17" spans="1:12" x14ac:dyDescent="0.25">
      <c r="A17" s="9">
        <v>45658</v>
      </c>
      <c r="B17" t="s">
        <v>143</v>
      </c>
      <c r="C17" t="s">
        <v>144</v>
      </c>
      <c r="D17" t="s">
        <v>69</v>
      </c>
      <c r="E17" t="s">
        <v>2096</v>
      </c>
      <c r="F17" s="8">
        <v>16.8</v>
      </c>
      <c r="G17" s="6">
        <v>35000</v>
      </c>
      <c r="H17" s="8">
        <v>54.2</v>
      </c>
      <c r="I17" s="7">
        <v>1216.03</v>
      </c>
      <c r="J17" s="8">
        <v>8.6</v>
      </c>
      <c r="K17" s="7">
        <v>49000</v>
      </c>
      <c r="L17" s="7">
        <v>50216.03</v>
      </c>
    </row>
    <row r="18" spans="1:12" x14ac:dyDescent="0.25">
      <c r="A18" s="9">
        <v>45658</v>
      </c>
      <c r="B18" t="s">
        <v>73</v>
      </c>
      <c r="C18" t="s">
        <v>74</v>
      </c>
      <c r="D18" t="s">
        <v>69</v>
      </c>
      <c r="E18" t="s">
        <v>2096</v>
      </c>
      <c r="F18" s="8">
        <v>8.3000000000000007</v>
      </c>
      <c r="G18" s="6">
        <v>35000</v>
      </c>
      <c r="H18" s="8">
        <v>32.4</v>
      </c>
      <c r="I18" s="7">
        <v>726.92</v>
      </c>
      <c r="J18" s="8">
        <v>5.3</v>
      </c>
      <c r="K18" s="7">
        <v>24208.333333333299</v>
      </c>
      <c r="L18" s="7">
        <v>24935.253333333301</v>
      </c>
    </row>
    <row r="19" spans="1:12" x14ac:dyDescent="0.25">
      <c r="A19" s="9">
        <v>45658</v>
      </c>
      <c r="B19" t="s">
        <v>73</v>
      </c>
      <c r="C19" t="s">
        <v>74</v>
      </c>
      <c r="D19" t="s">
        <v>69</v>
      </c>
      <c r="E19" t="s">
        <v>2092</v>
      </c>
      <c r="F19" s="8">
        <v>18</v>
      </c>
      <c r="G19" s="6">
        <v>43000</v>
      </c>
      <c r="H19" s="8">
        <v>74.3</v>
      </c>
      <c r="I19" s="7">
        <v>2048.0100000000002</v>
      </c>
      <c r="J19" s="8">
        <v>8.3000000000000007</v>
      </c>
      <c r="K19" s="7">
        <v>64500</v>
      </c>
      <c r="L19" s="7">
        <v>66548.009999999995</v>
      </c>
    </row>
    <row r="20" spans="1:12" x14ac:dyDescent="0.25">
      <c r="A20" s="9">
        <v>45658</v>
      </c>
      <c r="B20" t="s">
        <v>73</v>
      </c>
      <c r="C20" t="s">
        <v>74</v>
      </c>
      <c r="D20" t="s">
        <v>69</v>
      </c>
      <c r="E20" t="s">
        <v>2097</v>
      </c>
      <c r="F20" s="8">
        <v>9.5</v>
      </c>
      <c r="G20" s="6">
        <v>28000</v>
      </c>
      <c r="H20" s="8">
        <v>52.1</v>
      </c>
      <c r="I20" s="7">
        <v>935.13</v>
      </c>
      <c r="J20" s="8">
        <v>4.5</v>
      </c>
      <c r="K20" s="7">
        <v>22166.666666666701</v>
      </c>
      <c r="L20" s="7">
        <v>23101.796666666702</v>
      </c>
    </row>
    <row r="21" spans="1:12" x14ac:dyDescent="0.25">
      <c r="A21" s="9">
        <v>45658</v>
      </c>
      <c r="B21" t="s">
        <v>73</v>
      </c>
      <c r="C21" t="s">
        <v>74</v>
      </c>
      <c r="D21" t="s">
        <v>69</v>
      </c>
      <c r="E21" t="s">
        <v>2091</v>
      </c>
      <c r="F21" s="8">
        <v>5.5</v>
      </c>
      <c r="G21" s="6">
        <v>25000</v>
      </c>
      <c r="H21" s="8">
        <v>26.3</v>
      </c>
      <c r="I21" s="7">
        <v>421.47</v>
      </c>
      <c r="J21" s="8">
        <v>2.2999999999999998</v>
      </c>
      <c r="K21" s="7">
        <v>11458.333333333299</v>
      </c>
      <c r="L21" s="7">
        <v>11879.803333333301</v>
      </c>
    </row>
    <row r="22" spans="1:12" x14ac:dyDescent="0.25">
      <c r="A22" s="9">
        <v>45658</v>
      </c>
      <c r="B22" t="s">
        <v>67</v>
      </c>
      <c r="C22" t="s">
        <v>68</v>
      </c>
      <c r="D22" t="s">
        <v>69</v>
      </c>
      <c r="E22" t="s">
        <v>2091</v>
      </c>
      <c r="F22" s="8">
        <v>18.3</v>
      </c>
      <c r="G22" s="6">
        <v>25000</v>
      </c>
      <c r="H22" s="8">
        <v>55.4</v>
      </c>
      <c r="I22" s="7">
        <v>887.82</v>
      </c>
      <c r="J22" s="8">
        <v>9.1999999999999993</v>
      </c>
      <c r="K22" s="7">
        <v>38125</v>
      </c>
      <c r="L22" s="7">
        <v>39012.82</v>
      </c>
    </row>
    <row r="23" spans="1:12" x14ac:dyDescent="0.25">
      <c r="A23" s="9">
        <v>45658</v>
      </c>
      <c r="B23" t="s">
        <v>67</v>
      </c>
      <c r="C23" t="s">
        <v>68</v>
      </c>
      <c r="D23" t="s">
        <v>69</v>
      </c>
      <c r="E23" t="s">
        <v>2092</v>
      </c>
      <c r="F23" s="8">
        <v>19.100000000000001</v>
      </c>
      <c r="G23" s="6">
        <v>43000</v>
      </c>
      <c r="H23" s="8">
        <v>76.8</v>
      </c>
      <c r="I23" s="7">
        <v>2116.92</v>
      </c>
      <c r="J23" s="8">
        <v>10</v>
      </c>
      <c r="K23" s="7">
        <v>68441.666666666701</v>
      </c>
      <c r="L23" s="7">
        <v>70558.586666666699</v>
      </c>
    </row>
    <row r="24" spans="1:12" x14ac:dyDescent="0.25">
      <c r="A24" s="9">
        <v>45658</v>
      </c>
      <c r="B24" t="s">
        <v>67</v>
      </c>
      <c r="C24" t="s">
        <v>68</v>
      </c>
      <c r="D24" t="s">
        <v>69</v>
      </c>
      <c r="E24" t="s">
        <v>2096</v>
      </c>
      <c r="F24" s="8">
        <v>15.4</v>
      </c>
      <c r="G24" s="6">
        <v>35000</v>
      </c>
      <c r="H24" s="8">
        <v>55.4</v>
      </c>
      <c r="I24" s="7">
        <v>1242.95</v>
      </c>
      <c r="J24" s="8">
        <v>5.9</v>
      </c>
      <c r="K24" s="7">
        <v>44916.666666666701</v>
      </c>
      <c r="L24" s="7">
        <v>46159.616666666698</v>
      </c>
    </row>
    <row r="25" spans="1:12" x14ac:dyDescent="0.25">
      <c r="A25" s="9">
        <v>45658</v>
      </c>
      <c r="B25" t="s">
        <v>67</v>
      </c>
      <c r="C25" t="s">
        <v>68</v>
      </c>
      <c r="D25" t="s">
        <v>69</v>
      </c>
      <c r="E25" t="s">
        <v>2095</v>
      </c>
      <c r="F25" s="8">
        <v>4.0999999999999996</v>
      </c>
      <c r="G25" s="6">
        <v>27000</v>
      </c>
      <c r="H25" s="8">
        <v>13.7</v>
      </c>
      <c r="I25" s="7">
        <v>237.12</v>
      </c>
      <c r="J25" s="8">
        <v>2.8</v>
      </c>
      <c r="K25" s="7">
        <v>9225</v>
      </c>
      <c r="L25" s="7">
        <v>9462.1200000000008</v>
      </c>
    </row>
    <row r="26" spans="1:12" x14ac:dyDescent="0.25">
      <c r="A26" s="9">
        <v>45658</v>
      </c>
      <c r="B26" t="s">
        <v>67</v>
      </c>
      <c r="C26" t="s">
        <v>68</v>
      </c>
      <c r="D26" t="s">
        <v>69</v>
      </c>
      <c r="E26" t="s">
        <v>2094</v>
      </c>
      <c r="F26" s="8">
        <v>9.6</v>
      </c>
      <c r="G26" s="6">
        <v>41000</v>
      </c>
      <c r="H26" s="8">
        <v>34.1</v>
      </c>
      <c r="I26" s="7">
        <v>896.22</v>
      </c>
      <c r="J26" s="8">
        <v>4.5999999999999996</v>
      </c>
      <c r="K26" s="7">
        <v>32800</v>
      </c>
      <c r="L26" s="7">
        <v>33696.22</v>
      </c>
    </row>
    <row r="27" spans="1:12" x14ac:dyDescent="0.25">
      <c r="A27" s="9">
        <v>45658</v>
      </c>
      <c r="B27" t="s">
        <v>32</v>
      </c>
      <c r="C27" t="s">
        <v>33</v>
      </c>
      <c r="D27" t="s">
        <v>34</v>
      </c>
      <c r="E27" t="s">
        <v>2097</v>
      </c>
      <c r="F27" s="8">
        <v>17.399999999999999</v>
      </c>
      <c r="G27" s="6">
        <v>28000</v>
      </c>
      <c r="H27" s="8">
        <v>95.3</v>
      </c>
      <c r="I27" s="7">
        <v>1710.51</v>
      </c>
      <c r="J27" s="8">
        <v>8</v>
      </c>
      <c r="K27" s="7">
        <v>40600</v>
      </c>
      <c r="L27" s="7">
        <v>42310.51</v>
      </c>
    </row>
    <row r="28" spans="1:12" x14ac:dyDescent="0.25">
      <c r="A28" s="9">
        <v>45658</v>
      </c>
      <c r="B28" t="s">
        <v>32</v>
      </c>
      <c r="C28" t="s">
        <v>33</v>
      </c>
      <c r="D28" t="s">
        <v>34</v>
      </c>
      <c r="E28" t="s">
        <v>2094</v>
      </c>
      <c r="F28" s="8">
        <v>4</v>
      </c>
      <c r="G28" s="6">
        <v>41000</v>
      </c>
      <c r="H28" s="8">
        <v>6.7</v>
      </c>
      <c r="I28" s="7">
        <v>176.09</v>
      </c>
      <c r="J28" s="8">
        <v>1.8</v>
      </c>
      <c r="K28" s="7">
        <v>13666.666666666701</v>
      </c>
      <c r="L28" s="7">
        <v>13842.756666666701</v>
      </c>
    </row>
    <row r="29" spans="1:12" x14ac:dyDescent="0.25">
      <c r="A29" s="9">
        <v>45658</v>
      </c>
      <c r="B29" t="s">
        <v>32</v>
      </c>
      <c r="C29" t="s">
        <v>33</v>
      </c>
      <c r="D29" t="s">
        <v>34</v>
      </c>
      <c r="E29" t="s">
        <v>2093</v>
      </c>
      <c r="F29" s="8">
        <v>7.2</v>
      </c>
      <c r="G29" s="6">
        <v>29000</v>
      </c>
      <c r="H29" s="8">
        <v>23.6</v>
      </c>
      <c r="I29" s="7">
        <v>438.72</v>
      </c>
      <c r="J29" s="8">
        <v>2.6</v>
      </c>
      <c r="K29" s="7">
        <v>17400</v>
      </c>
      <c r="L29" s="7">
        <v>17838.72</v>
      </c>
    </row>
    <row r="30" spans="1:12" x14ac:dyDescent="0.25">
      <c r="A30" s="9">
        <v>45658</v>
      </c>
      <c r="B30" t="s">
        <v>32</v>
      </c>
      <c r="C30" t="s">
        <v>33</v>
      </c>
      <c r="D30" t="s">
        <v>34</v>
      </c>
      <c r="E30" t="s">
        <v>2095</v>
      </c>
      <c r="F30" s="8">
        <v>13.8</v>
      </c>
      <c r="G30" s="6">
        <v>27000</v>
      </c>
      <c r="H30" s="8">
        <v>51.6</v>
      </c>
      <c r="I30" s="7">
        <v>893.08</v>
      </c>
      <c r="J30" s="8">
        <v>7.4</v>
      </c>
      <c r="K30" s="7">
        <v>31050</v>
      </c>
      <c r="L30" s="7">
        <v>31943.08</v>
      </c>
    </row>
    <row r="31" spans="1:12" x14ac:dyDescent="0.25">
      <c r="A31" s="9">
        <v>45658</v>
      </c>
      <c r="B31" t="s">
        <v>94</v>
      </c>
      <c r="C31" t="s">
        <v>95</v>
      </c>
      <c r="D31" t="s">
        <v>34</v>
      </c>
      <c r="E31" t="s">
        <v>2094</v>
      </c>
      <c r="F31" s="8">
        <v>19.3</v>
      </c>
      <c r="G31" s="6">
        <v>41000</v>
      </c>
      <c r="H31" s="8">
        <v>76.900000000000006</v>
      </c>
      <c r="I31" s="7">
        <v>2021.09</v>
      </c>
      <c r="J31" s="8">
        <v>10</v>
      </c>
      <c r="K31" s="7">
        <v>65941.666666666701</v>
      </c>
      <c r="L31" s="7">
        <v>67962.756666666697</v>
      </c>
    </row>
    <row r="32" spans="1:12" x14ac:dyDescent="0.25">
      <c r="A32" s="9">
        <v>45658</v>
      </c>
      <c r="B32" t="s">
        <v>94</v>
      </c>
      <c r="C32" t="s">
        <v>95</v>
      </c>
      <c r="D32" t="s">
        <v>34</v>
      </c>
      <c r="E32" t="s">
        <v>2092</v>
      </c>
      <c r="F32" s="8">
        <v>11.2</v>
      </c>
      <c r="G32" s="6">
        <v>43000</v>
      </c>
      <c r="H32" s="8">
        <v>75.3</v>
      </c>
      <c r="I32" s="7">
        <v>2075.58</v>
      </c>
      <c r="J32" s="8">
        <v>5.3</v>
      </c>
      <c r="K32" s="7">
        <v>40133.333333333299</v>
      </c>
      <c r="L32" s="7">
        <v>42208.913333333301</v>
      </c>
    </row>
    <row r="33" spans="1:12" x14ac:dyDescent="0.25">
      <c r="A33" s="9">
        <v>45658</v>
      </c>
      <c r="B33" t="s">
        <v>94</v>
      </c>
      <c r="C33" t="s">
        <v>95</v>
      </c>
      <c r="D33" t="s">
        <v>34</v>
      </c>
      <c r="E33" t="s">
        <v>2096</v>
      </c>
      <c r="F33" s="8">
        <v>8.3000000000000007</v>
      </c>
      <c r="G33" s="6">
        <v>35000</v>
      </c>
      <c r="H33" s="8">
        <v>36.700000000000003</v>
      </c>
      <c r="I33" s="7">
        <v>823.4</v>
      </c>
      <c r="J33" s="8">
        <v>3.6</v>
      </c>
      <c r="K33" s="7">
        <v>24208.333333333299</v>
      </c>
      <c r="L33" s="7">
        <v>25031.733333333301</v>
      </c>
    </row>
    <row r="34" spans="1:12" x14ac:dyDescent="0.25">
      <c r="A34" s="9">
        <v>45658</v>
      </c>
      <c r="B34" t="s">
        <v>94</v>
      </c>
      <c r="C34" t="s">
        <v>95</v>
      </c>
      <c r="D34" t="s">
        <v>34</v>
      </c>
      <c r="E34" t="s">
        <v>2093</v>
      </c>
      <c r="F34" s="8">
        <v>18</v>
      </c>
      <c r="G34" s="6">
        <v>29000</v>
      </c>
      <c r="H34" s="8">
        <v>49.1</v>
      </c>
      <c r="I34" s="7">
        <v>912.76</v>
      </c>
      <c r="J34" s="8">
        <v>8.4</v>
      </c>
      <c r="K34" s="7">
        <v>43500</v>
      </c>
      <c r="L34" s="7">
        <v>44412.76</v>
      </c>
    </row>
    <row r="35" spans="1:12" x14ac:dyDescent="0.25">
      <c r="A35" s="9">
        <v>45658</v>
      </c>
      <c r="B35" t="s">
        <v>94</v>
      </c>
      <c r="C35" t="s">
        <v>95</v>
      </c>
      <c r="D35" t="s">
        <v>34</v>
      </c>
      <c r="E35" t="s">
        <v>2095</v>
      </c>
      <c r="F35" s="8">
        <v>6.4</v>
      </c>
      <c r="G35" s="6">
        <v>27000</v>
      </c>
      <c r="H35" s="8">
        <v>21</v>
      </c>
      <c r="I35" s="7">
        <v>363.46</v>
      </c>
      <c r="J35" s="8">
        <v>3.6</v>
      </c>
      <c r="K35" s="7">
        <v>14400</v>
      </c>
      <c r="L35" s="7">
        <v>14763.46</v>
      </c>
    </row>
    <row r="36" spans="1:12" x14ac:dyDescent="0.25">
      <c r="A36" s="9">
        <v>45658</v>
      </c>
      <c r="B36" t="s">
        <v>41</v>
      </c>
      <c r="C36" t="s">
        <v>42</v>
      </c>
      <c r="D36" t="s">
        <v>34</v>
      </c>
      <c r="E36" t="s">
        <v>2093</v>
      </c>
      <c r="F36" s="8">
        <v>15.5</v>
      </c>
      <c r="G36" s="6">
        <v>29000</v>
      </c>
      <c r="H36" s="8">
        <v>116.6</v>
      </c>
      <c r="I36" s="7">
        <v>2167.56</v>
      </c>
      <c r="J36" s="8">
        <v>7</v>
      </c>
      <c r="K36" s="7">
        <v>37458.333333333299</v>
      </c>
      <c r="L36" s="7">
        <v>39625.893333333297</v>
      </c>
    </row>
    <row r="37" spans="1:12" x14ac:dyDescent="0.25">
      <c r="A37" s="9">
        <v>45658</v>
      </c>
      <c r="B37" t="s">
        <v>41</v>
      </c>
      <c r="C37" t="s">
        <v>42</v>
      </c>
      <c r="D37" t="s">
        <v>34</v>
      </c>
      <c r="E37" t="s">
        <v>2092</v>
      </c>
      <c r="F37" s="8">
        <v>6.3</v>
      </c>
      <c r="G37" s="6">
        <v>43000</v>
      </c>
      <c r="H37" s="8">
        <v>21.3</v>
      </c>
      <c r="I37" s="7">
        <v>587.12</v>
      </c>
      <c r="J37" s="8">
        <v>3.1</v>
      </c>
      <c r="K37" s="7">
        <v>22575</v>
      </c>
      <c r="L37" s="7">
        <v>23162.12</v>
      </c>
    </row>
    <row r="38" spans="1:12" x14ac:dyDescent="0.25">
      <c r="A38" s="9">
        <v>45658</v>
      </c>
      <c r="B38" t="s">
        <v>41</v>
      </c>
      <c r="C38" t="s">
        <v>42</v>
      </c>
      <c r="D38" t="s">
        <v>34</v>
      </c>
      <c r="E38" t="s">
        <v>2095</v>
      </c>
      <c r="F38" s="8">
        <v>16.600000000000001</v>
      </c>
      <c r="G38" s="6">
        <v>27000</v>
      </c>
      <c r="H38" s="8">
        <v>76.3</v>
      </c>
      <c r="I38" s="7">
        <v>1320.58</v>
      </c>
      <c r="J38" s="8">
        <v>8.6</v>
      </c>
      <c r="K38" s="7">
        <v>37350</v>
      </c>
      <c r="L38" s="7">
        <v>38670.58</v>
      </c>
    </row>
    <row r="39" spans="1:12" x14ac:dyDescent="0.25">
      <c r="A39" s="9">
        <v>45658</v>
      </c>
      <c r="B39" t="s">
        <v>41</v>
      </c>
      <c r="C39" t="s">
        <v>42</v>
      </c>
      <c r="D39" t="s">
        <v>34</v>
      </c>
      <c r="E39" t="s">
        <v>2091</v>
      </c>
      <c r="F39" s="8">
        <v>7.8</v>
      </c>
      <c r="G39" s="6">
        <v>25000</v>
      </c>
      <c r="H39" s="8">
        <v>46.2</v>
      </c>
      <c r="I39" s="7">
        <v>740.38</v>
      </c>
      <c r="J39" s="8">
        <v>1.5</v>
      </c>
      <c r="K39" s="7">
        <v>16250</v>
      </c>
      <c r="L39" s="7">
        <v>16990.38</v>
      </c>
    </row>
    <row r="40" spans="1:12" x14ac:dyDescent="0.25">
      <c r="A40" s="9">
        <v>45658</v>
      </c>
      <c r="B40" t="s">
        <v>41</v>
      </c>
      <c r="C40" t="s">
        <v>42</v>
      </c>
      <c r="D40" t="s">
        <v>34</v>
      </c>
      <c r="E40" t="s">
        <v>2097</v>
      </c>
      <c r="F40" s="8">
        <v>16.399999999999999</v>
      </c>
      <c r="G40" s="6">
        <v>28000</v>
      </c>
      <c r="H40" s="8">
        <v>6.9</v>
      </c>
      <c r="I40" s="7">
        <v>123.85</v>
      </c>
      <c r="J40" s="8">
        <v>7.7</v>
      </c>
      <c r="K40" s="7">
        <v>38266.666666666701</v>
      </c>
      <c r="L40" s="7">
        <v>38390.516666666699</v>
      </c>
    </row>
    <row r="41" spans="1:12" x14ac:dyDescent="0.25">
      <c r="A41" s="9">
        <v>45658</v>
      </c>
      <c r="B41" t="s">
        <v>41</v>
      </c>
      <c r="C41" t="s">
        <v>42</v>
      </c>
      <c r="D41" t="s">
        <v>34</v>
      </c>
      <c r="E41" t="s">
        <v>2096</v>
      </c>
      <c r="F41" s="8">
        <v>10.199999999999999</v>
      </c>
      <c r="G41" s="6">
        <v>35000</v>
      </c>
      <c r="H41" s="8">
        <v>57.6</v>
      </c>
      <c r="I41" s="7">
        <v>1292.31</v>
      </c>
      <c r="J41" s="8">
        <v>3.5</v>
      </c>
      <c r="K41" s="7">
        <v>29750</v>
      </c>
      <c r="L41" s="7">
        <v>31042.31</v>
      </c>
    </row>
    <row r="42" spans="1:12" x14ac:dyDescent="0.25">
      <c r="A42" s="9">
        <v>45658</v>
      </c>
      <c r="B42" t="s">
        <v>47</v>
      </c>
      <c r="C42" t="s">
        <v>48</v>
      </c>
      <c r="D42" t="s">
        <v>34</v>
      </c>
      <c r="E42" t="s">
        <v>2094</v>
      </c>
      <c r="F42" s="8">
        <v>8</v>
      </c>
      <c r="G42" s="6">
        <v>41000</v>
      </c>
      <c r="H42" s="8">
        <v>0</v>
      </c>
      <c r="I42" s="7">
        <v>0</v>
      </c>
      <c r="J42" s="8">
        <v>4.5999999999999996</v>
      </c>
      <c r="K42" s="7">
        <v>27333.333333333299</v>
      </c>
      <c r="L42" s="7">
        <v>27333.333333333299</v>
      </c>
    </row>
    <row r="43" spans="1:12" x14ac:dyDescent="0.25">
      <c r="A43" s="9">
        <v>45658</v>
      </c>
      <c r="B43" t="s">
        <v>47</v>
      </c>
      <c r="C43" t="s">
        <v>48</v>
      </c>
      <c r="D43" t="s">
        <v>34</v>
      </c>
      <c r="E43" t="s">
        <v>2097</v>
      </c>
      <c r="F43" s="8">
        <v>3.5</v>
      </c>
      <c r="G43" s="6">
        <v>28000</v>
      </c>
      <c r="H43" s="8">
        <v>15.3</v>
      </c>
      <c r="I43" s="7">
        <v>274.62</v>
      </c>
      <c r="J43" s="8">
        <v>0.7</v>
      </c>
      <c r="K43" s="7">
        <v>8166.6666666666697</v>
      </c>
      <c r="L43" s="7">
        <v>8441.2866666666705</v>
      </c>
    </row>
    <row r="44" spans="1:12" x14ac:dyDescent="0.25">
      <c r="A44" s="9">
        <v>45658</v>
      </c>
      <c r="B44" t="s">
        <v>47</v>
      </c>
      <c r="C44" t="s">
        <v>48</v>
      </c>
      <c r="D44" t="s">
        <v>34</v>
      </c>
      <c r="E44" t="s">
        <v>2093</v>
      </c>
      <c r="F44" s="8">
        <v>13.9</v>
      </c>
      <c r="G44" s="6">
        <v>29000</v>
      </c>
      <c r="H44" s="8">
        <v>35.1</v>
      </c>
      <c r="I44" s="7">
        <v>652.5</v>
      </c>
      <c r="J44" s="8">
        <v>6</v>
      </c>
      <c r="K44" s="7">
        <v>33591.666666666701</v>
      </c>
      <c r="L44" s="7">
        <v>34244.166666666701</v>
      </c>
    </row>
    <row r="45" spans="1:12" x14ac:dyDescent="0.25">
      <c r="A45" s="9">
        <v>45658</v>
      </c>
      <c r="B45" t="s">
        <v>47</v>
      </c>
      <c r="C45" t="s">
        <v>48</v>
      </c>
      <c r="D45" t="s">
        <v>34</v>
      </c>
      <c r="E45" t="s">
        <v>2092</v>
      </c>
      <c r="F45" s="8">
        <v>10.199999999999999</v>
      </c>
      <c r="G45" s="6">
        <v>43000</v>
      </c>
      <c r="H45" s="8">
        <v>42.5</v>
      </c>
      <c r="I45" s="7">
        <v>1171.47</v>
      </c>
      <c r="J45" s="8">
        <v>4.5</v>
      </c>
      <c r="K45" s="7">
        <v>36550</v>
      </c>
      <c r="L45" s="7">
        <v>37721.47</v>
      </c>
    </row>
    <row r="46" spans="1:12" x14ac:dyDescent="0.25">
      <c r="A46" s="9">
        <v>45658</v>
      </c>
      <c r="B46" t="s">
        <v>121</v>
      </c>
      <c r="C46" t="s">
        <v>122</v>
      </c>
      <c r="D46" t="s">
        <v>34</v>
      </c>
      <c r="E46" t="s">
        <v>2096</v>
      </c>
      <c r="F46" s="8">
        <v>5.7</v>
      </c>
      <c r="G46" s="6">
        <v>35000</v>
      </c>
      <c r="H46" s="8">
        <v>27</v>
      </c>
      <c r="I46" s="7">
        <v>605.77</v>
      </c>
      <c r="J46" s="8">
        <v>0</v>
      </c>
      <c r="K46" s="7">
        <v>16625</v>
      </c>
      <c r="L46" s="7">
        <v>17230.77</v>
      </c>
    </row>
    <row r="47" spans="1:12" x14ac:dyDescent="0.25">
      <c r="A47" s="9">
        <v>45658</v>
      </c>
      <c r="B47" t="s">
        <v>121</v>
      </c>
      <c r="C47" t="s">
        <v>122</v>
      </c>
      <c r="D47" t="s">
        <v>34</v>
      </c>
      <c r="E47" t="s">
        <v>2093</v>
      </c>
      <c r="F47" s="8">
        <v>10.6</v>
      </c>
      <c r="G47" s="6">
        <v>29000</v>
      </c>
      <c r="H47" s="8">
        <v>28.8</v>
      </c>
      <c r="I47" s="7">
        <v>535.38</v>
      </c>
      <c r="J47" s="8">
        <v>4.2</v>
      </c>
      <c r="K47" s="7">
        <v>25616.666666666701</v>
      </c>
      <c r="L47" s="7">
        <v>26152.046666666702</v>
      </c>
    </row>
    <row r="48" spans="1:12" x14ac:dyDescent="0.25">
      <c r="A48" s="9">
        <v>45658</v>
      </c>
      <c r="B48" t="s">
        <v>121</v>
      </c>
      <c r="C48" t="s">
        <v>122</v>
      </c>
      <c r="D48" t="s">
        <v>34</v>
      </c>
      <c r="E48" t="s">
        <v>2097</v>
      </c>
      <c r="F48" s="8">
        <v>8.3000000000000007</v>
      </c>
      <c r="G48" s="6">
        <v>28000</v>
      </c>
      <c r="H48" s="8">
        <v>30</v>
      </c>
      <c r="I48" s="7">
        <v>538.46</v>
      </c>
      <c r="J48" s="8">
        <v>3.6</v>
      </c>
      <c r="K48" s="7">
        <v>19366.666666666701</v>
      </c>
      <c r="L48" s="7">
        <v>19905.1266666667</v>
      </c>
    </row>
    <row r="49" spans="1:12" x14ac:dyDescent="0.25">
      <c r="A49" s="9">
        <v>45658</v>
      </c>
      <c r="B49" t="s">
        <v>121</v>
      </c>
      <c r="C49" t="s">
        <v>122</v>
      </c>
      <c r="D49" t="s">
        <v>34</v>
      </c>
      <c r="E49" t="s">
        <v>2092</v>
      </c>
      <c r="F49" s="8">
        <v>18.899999999999999</v>
      </c>
      <c r="G49" s="6">
        <v>43000</v>
      </c>
      <c r="H49" s="8">
        <v>98.2</v>
      </c>
      <c r="I49" s="7">
        <v>2706.79</v>
      </c>
      <c r="J49" s="8">
        <v>7.6</v>
      </c>
      <c r="K49" s="7">
        <v>67725</v>
      </c>
      <c r="L49" s="7">
        <v>70431.789999999994</v>
      </c>
    </row>
    <row r="50" spans="1:12" x14ac:dyDescent="0.25">
      <c r="A50" s="9">
        <v>45658</v>
      </c>
      <c r="B50" t="s">
        <v>121</v>
      </c>
      <c r="C50" t="s">
        <v>122</v>
      </c>
      <c r="D50" t="s">
        <v>34</v>
      </c>
      <c r="E50" t="s">
        <v>2094</v>
      </c>
      <c r="F50" s="8">
        <v>10.8</v>
      </c>
      <c r="G50" s="6">
        <v>41000</v>
      </c>
      <c r="H50" s="8">
        <v>43.9</v>
      </c>
      <c r="I50" s="7">
        <v>1153.78</v>
      </c>
      <c r="J50" s="8">
        <v>6</v>
      </c>
      <c r="K50" s="7">
        <v>36900</v>
      </c>
      <c r="L50" s="7">
        <v>38053.78</v>
      </c>
    </row>
    <row r="51" spans="1:12" x14ac:dyDescent="0.25">
      <c r="A51" s="9">
        <v>45658</v>
      </c>
      <c r="B51" t="s">
        <v>201</v>
      </c>
      <c r="C51" t="s">
        <v>202</v>
      </c>
      <c r="D51" t="s">
        <v>64</v>
      </c>
      <c r="E51" t="s">
        <v>2095</v>
      </c>
      <c r="F51" s="8">
        <v>5.8</v>
      </c>
      <c r="G51" s="6">
        <v>27000</v>
      </c>
      <c r="H51" s="8">
        <v>39.4</v>
      </c>
      <c r="I51" s="7">
        <v>681.92</v>
      </c>
      <c r="J51" s="8">
        <v>2.4</v>
      </c>
      <c r="K51" s="7">
        <v>13050</v>
      </c>
      <c r="L51" s="7">
        <v>13731.92</v>
      </c>
    </row>
    <row r="52" spans="1:12" x14ac:dyDescent="0.25">
      <c r="A52" s="9">
        <v>45658</v>
      </c>
      <c r="B52" t="s">
        <v>201</v>
      </c>
      <c r="C52" t="s">
        <v>202</v>
      </c>
      <c r="D52" t="s">
        <v>64</v>
      </c>
      <c r="E52" t="s">
        <v>2092</v>
      </c>
      <c r="F52" s="8">
        <v>5.2</v>
      </c>
      <c r="G52" s="6">
        <v>43000</v>
      </c>
      <c r="H52" s="8">
        <v>23.3</v>
      </c>
      <c r="I52" s="7">
        <v>642.24</v>
      </c>
      <c r="J52" s="8">
        <v>0.8</v>
      </c>
      <c r="K52" s="7">
        <v>18633.333333333299</v>
      </c>
      <c r="L52" s="7">
        <v>19275.573333333301</v>
      </c>
    </row>
    <row r="53" spans="1:12" x14ac:dyDescent="0.25">
      <c r="A53" s="9">
        <v>45658</v>
      </c>
      <c r="B53" t="s">
        <v>201</v>
      </c>
      <c r="C53" t="s">
        <v>202</v>
      </c>
      <c r="D53" t="s">
        <v>64</v>
      </c>
      <c r="E53" t="s">
        <v>2096</v>
      </c>
      <c r="F53" s="8">
        <v>19.3</v>
      </c>
      <c r="G53" s="6">
        <v>35000</v>
      </c>
      <c r="H53" s="8">
        <v>8</v>
      </c>
      <c r="I53" s="7">
        <v>179.49</v>
      </c>
      <c r="J53" s="8">
        <v>10.5</v>
      </c>
      <c r="K53" s="7">
        <v>56291.666666666701</v>
      </c>
      <c r="L53" s="7">
        <v>56471.156666666699</v>
      </c>
    </row>
    <row r="54" spans="1:12" x14ac:dyDescent="0.25">
      <c r="A54" s="9">
        <v>45658</v>
      </c>
      <c r="B54" t="s">
        <v>201</v>
      </c>
      <c r="C54" t="s">
        <v>202</v>
      </c>
      <c r="D54" t="s">
        <v>64</v>
      </c>
      <c r="E54" t="s">
        <v>2094</v>
      </c>
      <c r="F54" s="8">
        <v>5.0999999999999996</v>
      </c>
      <c r="G54" s="6">
        <v>41000</v>
      </c>
      <c r="H54" s="8">
        <v>20.399999999999999</v>
      </c>
      <c r="I54" s="7">
        <v>536.15</v>
      </c>
      <c r="J54" s="8">
        <v>3.7</v>
      </c>
      <c r="K54" s="7">
        <v>17425</v>
      </c>
      <c r="L54" s="7">
        <v>17961.150000000001</v>
      </c>
    </row>
    <row r="55" spans="1:12" x14ac:dyDescent="0.25">
      <c r="A55" s="9">
        <v>45658</v>
      </c>
      <c r="B55" t="s">
        <v>118</v>
      </c>
      <c r="C55" t="s">
        <v>119</v>
      </c>
      <c r="D55" t="s">
        <v>64</v>
      </c>
      <c r="E55" t="s">
        <v>2092</v>
      </c>
      <c r="F55" s="8">
        <v>17.100000000000001</v>
      </c>
      <c r="G55" s="6">
        <v>43000</v>
      </c>
      <c r="H55" s="8">
        <v>33.200000000000003</v>
      </c>
      <c r="I55" s="7">
        <v>915.13</v>
      </c>
      <c r="J55" s="8">
        <v>9.1</v>
      </c>
      <c r="K55" s="7">
        <v>61275</v>
      </c>
      <c r="L55" s="7">
        <v>62190.13</v>
      </c>
    </row>
    <row r="56" spans="1:12" x14ac:dyDescent="0.25">
      <c r="A56" s="9">
        <v>45658</v>
      </c>
      <c r="B56" t="s">
        <v>118</v>
      </c>
      <c r="C56" t="s">
        <v>119</v>
      </c>
      <c r="D56" t="s">
        <v>64</v>
      </c>
      <c r="E56" t="s">
        <v>2096</v>
      </c>
      <c r="F56" s="8">
        <v>9.4</v>
      </c>
      <c r="G56" s="6">
        <v>35000</v>
      </c>
      <c r="H56" s="8">
        <v>64</v>
      </c>
      <c r="I56" s="7">
        <v>1435.9</v>
      </c>
      <c r="J56" s="8">
        <v>5.0999999999999996</v>
      </c>
      <c r="K56" s="7">
        <v>27416.666666666701</v>
      </c>
      <c r="L56" s="7">
        <v>28852.566666666698</v>
      </c>
    </row>
    <row r="57" spans="1:12" x14ac:dyDescent="0.25">
      <c r="A57" s="9">
        <v>45658</v>
      </c>
      <c r="B57" t="s">
        <v>118</v>
      </c>
      <c r="C57" t="s">
        <v>119</v>
      </c>
      <c r="D57" t="s">
        <v>64</v>
      </c>
      <c r="E57" t="s">
        <v>2094</v>
      </c>
      <c r="F57" s="8">
        <v>3.4</v>
      </c>
      <c r="G57" s="6">
        <v>41000</v>
      </c>
      <c r="H57" s="8">
        <v>15</v>
      </c>
      <c r="I57" s="7">
        <v>394.23</v>
      </c>
      <c r="J57" s="8">
        <v>1.7</v>
      </c>
      <c r="K57" s="7">
        <v>11616.666666666701</v>
      </c>
      <c r="L57" s="7">
        <v>12010.8966666667</v>
      </c>
    </row>
    <row r="58" spans="1:12" x14ac:dyDescent="0.25">
      <c r="A58" s="9">
        <v>45658</v>
      </c>
      <c r="B58" t="s">
        <v>118</v>
      </c>
      <c r="C58" t="s">
        <v>119</v>
      </c>
      <c r="D58" t="s">
        <v>64</v>
      </c>
      <c r="E58" t="s">
        <v>2093</v>
      </c>
      <c r="F58" s="8">
        <v>10.4</v>
      </c>
      <c r="G58" s="6">
        <v>29000</v>
      </c>
      <c r="H58" s="8">
        <v>17.100000000000001</v>
      </c>
      <c r="I58" s="7">
        <v>317.88</v>
      </c>
      <c r="J58" s="8">
        <v>6.6</v>
      </c>
      <c r="K58" s="7">
        <v>25133.333333333299</v>
      </c>
      <c r="L58" s="7">
        <v>25451.2133333333</v>
      </c>
    </row>
    <row r="59" spans="1:12" x14ac:dyDescent="0.25">
      <c r="A59" s="9">
        <v>45658</v>
      </c>
      <c r="B59" t="s">
        <v>118</v>
      </c>
      <c r="C59" t="s">
        <v>119</v>
      </c>
      <c r="D59" t="s">
        <v>64</v>
      </c>
      <c r="E59" t="s">
        <v>2095</v>
      </c>
      <c r="F59" s="8">
        <v>8.5</v>
      </c>
      <c r="G59" s="6">
        <v>27000</v>
      </c>
      <c r="H59" s="8">
        <v>26.2</v>
      </c>
      <c r="I59" s="7">
        <v>453.46</v>
      </c>
      <c r="J59" s="8">
        <v>4.8</v>
      </c>
      <c r="K59" s="7">
        <v>19125</v>
      </c>
      <c r="L59" s="7">
        <v>19578.46</v>
      </c>
    </row>
    <row r="60" spans="1:12" x14ac:dyDescent="0.25">
      <c r="A60" s="9">
        <v>45658</v>
      </c>
      <c r="B60" t="s">
        <v>62</v>
      </c>
      <c r="C60" t="s">
        <v>63</v>
      </c>
      <c r="D60" t="s">
        <v>64</v>
      </c>
      <c r="E60" t="s">
        <v>2094</v>
      </c>
      <c r="F60" s="8">
        <v>8.5</v>
      </c>
      <c r="G60" s="6">
        <v>41000</v>
      </c>
      <c r="H60" s="8">
        <v>14.1</v>
      </c>
      <c r="I60" s="7">
        <v>370.58</v>
      </c>
      <c r="J60" s="8">
        <v>3.1</v>
      </c>
      <c r="K60" s="7">
        <v>29041.666666666701</v>
      </c>
      <c r="L60" s="7">
        <v>29412.246666666699</v>
      </c>
    </row>
    <row r="61" spans="1:12" x14ac:dyDescent="0.25">
      <c r="A61" s="9">
        <v>45658</v>
      </c>
      <c r="B61" t="s">
        <v>62</v>
      </c>
      <c r="C61" t="s">
        <v>63</v>
      </c>
      <c r="D61" t="s">
        <v>64</v>
      </c>
      <c r="E61" t="s">
        <v>2092</v>
      </c>
      <c r="F61" s="8">
        <v>15.9</v>
      </c>
      <c r="G61" s="6">
        <v>43000</v>
      </c>
      <c r="H61" s="8">
        <v>97.8</v>
      </c>
      <c r="I61" s="7">
        <v>2695.77</v>
      </c>
      <c r="J61" s="8">
        <v>7.6</v>
      </c>
      <c r="K61" s="7">
        <v>56975</v>
      </c>
      <c r="L61" s="7">
        <v>59670.77</v>
      </c>
    </row>
    <row r="62" spans="1:12" x14ac:dyDescent="0.25">
      <c r="A62" s="9">
        <v>45658</v>
      </c>
      <c r="B62" t="s">
        <v>62</v>
      </c>
      <c r="C62" t="s">
        <v>63</v>
      </c>
      <c r="D62" t="s">
        <v>64</v>
      </c>
      <c r="E62" t="s">
        <v>2091</v>
      </c>
      <c r="F62" s="8">
        <v>3.7</v>
      </c>
      <c r="G62" s="6">
        <v>25000</v>
      </c>
      <c r="H62" s="8">
        <v>22.9</v>
      </c>
      <c r="I62" s="7">
        <v>366.99</v>
      </c>
      <c r="J62" s="8">
        <v>1.8</v>
      </c>
      <c r="K62" s="7">
        <v>7708.3333333333303</v>
      </c>
      <c r="L62" s="7">
        <v>8075.3233333333301</v>
      </c>
    </row>
    <row r="63" spans="1:12" x14ac:dyDescent="0.25">
      <c r="A63" s="9">
        <v>45658</v>
      </c>
      <c r="B63" t="s">
        <v>62</v>
      </c>
      <c r="C63" t="s">
        <v>63</v>
      </c>
      <c r="D63" t="s">
        <v>64</v>
      </c>
      <c r="E63" t="s">
        <v>2097</v>
      </c>
      <c r="F63" s="8">
        <v>11.7</v>
      </c>
      <c r="G63" s="6">
        <v>28000</v>
      </c>
      <c r="H63" s="8">
        <v>14.5</v>
      </c>
      <c r="I63" s="7">
        <v>260.26</v>
      </c>
      <c r="J63" s="8">
        <v>6.7</v>
      </c>
      <c r="K63" s="7">
        <v>27300</v>
      </c>
      <c r="L63" s="7">
        <v>27560.26</v>
      </c>
    </row>
    <row r="64" spans="1:12" x14ac:dyDescent="0.25">
      <c r="A64" s="9">
        <v>45658</v>
      </c>
      <c r="B64" t="s">
        <v>91</v>
      </c>
      <c r="C64" t="s">
        <v>92</v>
      </c>
      <c r="D64" t="s">
        <v>64</v>
      </c>
      <c r="E64" t="s">
        <v>2095</v>
      </c>
      <c r="F64" s="8">
        <v>5.4</v>
      </c>
      <c r="G64" s="6">
        <v>27000</v>
      </c>
      <c r="H64" s="8">
        <v>16.8</v>
      </c>
      <c r="I64" s="7">
        <v>290.77</v>
      </c>
      <c r="J64" s="8">
        <v>3.4</v>
      </c>
      <c r="K64" s="7">
        <v>12150</v>
      </c>
      <c r="L64" s="7">
        <v>12440.77</v>
      </c>
    </row>
    <row r="65" spans="1:12" x14ac:dyDescent="0.25">
      <c r="A65" s="9">
        <v>45658</v>
      </c>
      <c r="B65" t="s">
        <v>91</v>
      </c>
      <c r="C65" t="s">
        <v>92</v>
      </c>
      <c r="D65" t="s">
        <v>64</v>
      </c>
      <c r="E65" t="s">
        <v>2097</v>
      </c>
      <c r="F65" s="8">
        <v>4.7</v>
      </c>
      <c r="G65" s="6">
        <v>28000</v>
      </c>
      <c r="H65" s="8">
        <v>19</v>
      </c>
      <c r="I65" s="7">
        <v>341.03</v>
      </c>
      <c r="J65" s="8">
        <v>0.8</v>
      </c>
      <c r="K65" s="7">
        <v>10966.666666666701</v>
      </c>
      <c r="L65" s="7">
        <v>11307.696666666699</v>
      </c>
    </row>
    <row r="66" spans="1:12" x14ac:dyDescent="0.25">
      <c r="A66" s="9">
        <v>45658</v>
      </c>
      <c r="B66" t="s">
        <v>91</v>
      </c>
      <c r="C66" t="s">
        <v>92</v>
      </c>
      <c r="D66" t="s">
        <v>64</v>
      </c>
      <c r="E66" t="s">
        <v>2093</v>
      </c>
      <c r="F66" s="8">
        <v>5.8</v>
      </c>
      <c r="G66" s="6">
        <v>29000</v>
      </c>
      <c r="H66" s="8">
        <v>24.6</v>
      </c>
      <c r="I66" s="7">
        <v>457.31</v>
      </c>
      <c r="J66" s="8">
        <v>5.0999999999999996</v>
      </c>
      <c r="K66" s="7">
        <v>14016.666666666701</v>
      </c>
      <c r="L66" s="7">
        <v>14473.9766666667</v>
      </c>
    </row>
    <row r="67" spans="1:12" x14ac:dyDescent="0.25">
      <c r="A67" s="9">
        <v>45658</v>
      </c>
      <c r="B67" t="s">
        <v>91</v>
      </c>
      <c r="C67" t="s">
        <v>92</v>
      </c>
      <c r="D67" t="s">
        <v>64</v>
      </c>
      <c r="E67" t="s">
        <v>2096</v>
      </c>
      <c r="F67" s="8">
        <v>15.1</v>
      </c>
      <c r="G67" s="6">
        <v>35000</v>
      </c>
      <c r="H67" s="8">
        <v>71.599999999999994</v>
      </c>
      <c r="I67" s="7">
        <v>1606.41</v>
      </c>
      <c r="J67" s="8">
        <v>7.5</v>
      </c>
      <c r="K67" s="7">
        <v>44041.666666666701</v>
      </c>
      <c r="L67" s="7">
        <v>45648.076666666697</v>
      </c>
    </row>
    <row r="68" spans="1:12" x14ac:dyDescent="0.25">
      <c r="A68" s="9">
        <v>45658</v>
      </c>
      <c r="B68" t="s">
        <v>91</v>
      </c>
      <c r="C68" t="s">
        <v>92</v>
      </c>
      <c r="D68" t="s">
        <v>64</v>
      </c>
      <c r="E68" t="s">
        <v>2091</v>
      </c>
      <c r="F68" s="8">
        <v>4.5999999999999996</v>
      </c>
      <c r="G68" s="6">
        <v>25000</v>
      </c>
      <c r="H68" s="8">
        <v>25.8</v>
      </c>
      <c r="I68" s="7">
        <v>413.46</v>
      </c>
      <c r="J68" s="8">
        <v>2.5</v>
      </c>
      <c r="K68" s="7">
        <v>9583.3333333333303</v>
      </c>
      <c r="L68" s="7">
        <v>9996.7933333333294</v>
      </c>
    </row>
    <row r="69" spans="1:12" x14ac:dyDescent="0.25">
      <c r="A69" s="9">
        <v>45658</v>
      </c>
      <c r="B69" t="s">
        <v>91</v>
      </c>
      <c r="C69" t="s">
        <v>92</v>
      </c>
      <c r="D69" t="s">
        <v>64</v>
      </c>
      <c r="E69" t="s">
        <v>2094</v>
      </c>
      <c r="F69" s="8">
        <v>9.1</v>
      </c>
      <c r="G69" s="6">
        <v>41000</v>
      </c>
      <c r="H69" s="8">
        <v>39.299999999999997</v>
      </c>
      <c r="I69" s="7">
        <v>1032.8800000000001</v>
      </c>
      <c r="J69" s="8">
        <v>3.5</v>
      </c>
      <c r="K69" s="7">
        <v>31091.666666666701</v>
      </c>
      <c r="L69" s="7">
        <v>32124.546666666702</v>
      </c>
    </row>
    <row r="70" spans="1:12" x14ac:dyDescent="0.25">
      <c r="A70" s="9">
        <v>45658</v>
      </c>
      <c r="B70" t="s">
        <v>80</v>
      </c>
      <c r="C70" t="s">
        <v>81</v>
      </c>
      <c r="D70" t="s">
        <v>64</v>
      </c>
      <c r="E70" t="s">
        <v>2094</v>
      </c>
      <c r="F70" s="8">
        <v>11.4</v>
      </c>
      <c r="G70" s="6">
        <v>41000</v>
      </c>
      <c r="H70" s="8">
        <v>49.6</v>
      </c>
      <c r="I70" s="7">
        <v>1303.5899999999999</v>
      </c>
      <c r="J70" s="8">
        <v>6.7</v>
      </c>
      <c r="K70" s="7">
        <v>38950</v>
      </c>
      <c r="L70" s="7">
        <v>40253.589999999997</v>
      </c>
    </row>
    <row r="71" spans="1:12" x14ac:dyDescent="0.25">
      <c r="A71" s="9">
        <v>45658</v>
      </c>
      <c r="B71" t="s">
        <v>80</v>
      </c>
      <c r="C71" t="s">
        <v>81</v>
      </c>
      <c r="D71" t="s">
        <v>64</v>
      </c>
      <c r="E71" t="s">
        <v>2091</v>
      </c>
      <c r="F71" s="8">
        <v>12.3</v>
      </c>
      <c r="G71" s="6">
        <v>25000</v>
      </c>
      <c r="H71" s="8">
        <v>33.799999999999997</v>
      </c>
      <c r="I71" s="7">
        <v>541.66999999999996</v>
      </c>
      <c r="J71" s="8">
        <v>7.6</v>
      </c>
      <c r="K71" s="7">
        <v>25625</v>
      </c>
      <c r="L71" s="7">
        <v>26166.67</v>
      </c>
    </row>
    <row r="72" spans="1:12" x14ac:dyDescent="0.25">
      <c r="A72" s="9">
        <v>45658</v>
      </c>
      <c r="B72" t="s">
        <v>80</v>
      </c>
      <c r="C72" t="s">
        <v>81</v>
      </c>
      <c r="D72" t="s">
        <v>64</v>
      </c>
      <c r="E72" t="s">
        <v>2096</v>
      </c>
      <c r="F72" s="8">
        <v>11.9</v>
      </c>
      <c r="G72" s="6">
        <v>35000</v>
      </c>
      <c r="H72" s="8">
        <v>46</v>
      </c>
      <c r="I72" s="7">
        <v>1032.05</v>
      </c>
      <c r="J72" s="8">
        <v>5.0999999999999996</v>
      </c>
      <c r="K72" s="7">
        <v>34708.333333333299</v>
      </c>
      <c r="L72" s="7">
        <v>35740.383333333302</v>
      </c>
    </row>
    <row r="73" spans="1:12" x14ac:dyDescent="0.25">
      <c r="A73" s="9">
        <v>45658</v>
      </c>
      <c r="B73" t="s">
        <v>80</v>
      </c>
      <c r="C73" t="s">
        <v>81</v>
      </c>
      <c r="D73" t="s">
        <v>64</v>
      </c>
      <c r="E73" t="s">
        <v>2097</v>
      </c>
      <c r="F73" s="8">
        <v>13.9</v>
      </c>
      <c r="G73" s="6">
        <v>28000</v>
      </c>
      <c r="H73" s="8">
        <v>76.400000000000006</v>
      </c>
      <c r="I73" s="7">
        <v>1371.28</v>
      </c>
      <c r="J73" s="8">
        <v>6.7</v>
      </c>
      <c r="K73" s="7">
        <v>32433.333333333299</v>
      </c>
      <c r="L73" s="7">
        <v>33804.613333333298</v>
      </c>
    </row>
    <row r="74" spans="1:12" x14ac:dyDescent="0.25">
      <c r="A74" s="9">
        <v>45658</v>
      </c>
      <c r="B74" t="s">
        <v>80</v>
      </c>
      <c r="C74" t="s">
        <v>81</v>
      </c>
      <c r="D74" t="s">
        <v>64</v>
      </c>
      <c r="E74" t="s">
        <v>2095</v>
      </c>
      <c r="F74" s="8">
        <v>9.6999999999999993</v>
      </c>
      <c r="G74" s="6">
        <v>27000</v>
      </c>
      <c r="H74" s="8">
        <v>49.9</v>
      </c>
      <c r="I74" s="7">
        <v>863.65</v>
      </c>
      <c r="J74" s="8">
        <v>4.5999999999999996</v>
      </c>
      <c r="K74" s="7">
        <v>21825</v>
      </c>
      <c r="L74" s="7">
        <v>22688.65</v>
      </c>
    </row>
    <row r="75" spans="1:12" x14ac:dyDescent="0.25">
      <c r="A75" s="9">
        <v>45658</v>
      </c>
      <c r="B75" t="s">
        <v>56</v>
      </c>
      <c r="C75" t="s">
        <v>57</v>
      </c>
      <c r="D75" t="s">
        <v>58</v>
      </c>
      <c r="E75" t="s">
        <v>2092</v>
      </c>
      <c r="F75" s="8">
        <v>5.7</v>
      </c>
      <c r="G75" s="6">
        <v>43000</v>
      </c>
      <c r="H75" s="8">
        <v>22.3</v>
      </c>
      <c r="I75" s="7">
        <v>614.67999999999995</v>
      </c>
      <c r="J75" s="8">
        <v>3.3</v>
      </c>
      <c r="K75" s="7">
        <v>20425</v>
      </c>
      <c r="L75" s="7">
        <v>21039.68</v>
      </c>
    </row>
    <row r="76" spans="1:12" x14ac:dyDescent="0.25">
      <c r="A76" s="9">
        <v>45658</v>
      </c>
      <c r="B76" t="s">
        <v>56</v>
      </c>
      <c r="C76" t="s">
        <v>57</v>
      </c>
      <c r="D76" t="s">
        <v>58</v>
      </c>
      <c r="E76" t="s">
        <v>2091</v>
      </c>
      <c r="F76" s="8">
        <v>16</v>
      </c>
      <c r="G76" s="6">
        <v>25000</v>
      </c>
      <c r="H76" s="8">
        <v>71</v>
      </c>
      <c r="I76" s="7">
        <v>1137.82</v>
      </c>
      <c r="J76" s="8">
        <v>6</v>
      </c>
      <c r="K76" s="7">
        <v>33333.333333333299</v>
      </c>
      <c r="L76" s="7">
        <v>34471.153333333299</v>
      </c>
    </row>
    <row r="77" spans="1:12" x14ac:dyDescent="0.25">
      <c r="A77" s="9">
        <v>45658</v>
      </c>
      <c r="B77" t="s">
        <v>56</v>
      </c>
      <c r="C77" t="s">
        <v>57</v>
      </c>
      <c r="D77" t="s">
        <v>58</v>
      </c>
      <c r="E77" t="s">
        <v>2093</v>
      </c>
      <c r="F77" s="8">
        <v>17.8</v>
      </c>
      <c r="G77" s="6">
        <v>29000</v>
      </c>
      <c r="H77" s="8">
        <v>41.3</v>
      </c>
      <c r="I77" s="7">
        <v>767.76</v>
      </c>
      <c r="J77" s="8">
        <v>9.8000000000000007</v>
      </c>
      <c r="K77" s="7">
        <v>43016.666666666701</v>
      </c>
      <c r="L77" s="7">
        <v>43784.426666666703</v>
      </c>
    </row>
    <row r="78" spans="1:12" x14ac:dyDescent="0.25">
      <c r="A78" s="9">
        <v>45658</v>
      </c>
      <c r="B78" t="s">
        <v>56</v>
      </c>
      <c r="C78" t="s">
        <v>57</v>
      </c>
      <c r="D78" t="s">
        <v>58</v>
      </c>
      <c r="E78" t="s">
        <v>2096</v>
      </c>
      <c r="F78" s="8">
        <v>6.9</v>
      </c>
      <c r="G78" s="6">
        <v>35000</v>
      </c>
      <c r="H78" s="8">
        <v>26.2</v>
      </c>
      <c r="I78" s="7">
        <v>587.82000000000005</v>
      </c>
      <c r="J78" s="8">
        <v>2.9</v>
      </c>
      <c r="K78" s="7">
        <v>20125</v>
      </c>
      <c r="L78" s="7">
        <v>20712.82</v>
      </c>
    </row>
    <row r="79" spans="1:12" x14ac:dyDescent="0.25">
      <c r="A79" s="9">
        <v>45658</v>
      </c>
      <c r="B79" t="s">
        <v>77</v>
      </c>
      <c r="C79" t="s">
        <v>78</v>
      </c>
      <c r="D79" t="s">
        <v>58</v>
      </c>
      <c r="E79" t="s">
        <v>2095</v>
      </c>
      <c r="F79" s="8">
        <v>3.9</v>
      </c>
      <c r="G79" s="6">
        <v>27000</v>
      </c>
      <c r="H79" s="8">
        <v>7.7</v>
      </c>
      <c r="I79" s="7">
        <v>133.27000000000001</v>
      </c>
      <c r="J79" s="8">
        <v>0.9</v>
      </c>
      <c r="K79" s="7">
        <v>8775</v>
      </c>
      <c r="L79" s="7">
        <v>8908.27</v>
      </c>
    </row>
    <row r="80" spans="1:12" x14ac:dyDescent="0.25">
      <c r="A80" s="9">
        <v>45658</v>
      </c>
      <c r="B80" t="s">
        <v>77</v>
      </c>
      <c r="C80" t="s">
        <v>78</v>
      </c>
      <c r="D80" t="s">
        <v>58</v>
      </c>
      <c r="E80" t="s">
        <v>2097</v>
      </c>
      <c r="F80" s="8">
        <v>17.3</v>
      </c>
      <c r="G80" s="6">
        <v>28000</v>
      </c>
      <c r="H80" s="8">
        <v>16.7</v>
      </c>
      <c r="I80" s="7">
        <v>299.74</v>
      </c>
      <c r="J80" s="8">
        <v>8.5</v>
      </c>
      <c r="K80" s="7">
        <v>40366.666666666701</v>
      </c>
      <c r="L80" s="7">
        <v>40666.406666666699</v>
      </c>
    </row>
    <row r="81" spans="1:12" x14ac:dyDescent="0.25">
      <c r="A81" s="9">
        <v>45658</v>
      </c>
      <c r="B81" t="s">
        <v>77</v>
      </c>
      <c r="C81" t="s">
        <v>78</v>
      </c>
      <c r="D81" t="s">
        <v>58</v>
      </c>
      <c r="E81" t="s">
        <v>2092</v>
      </c>
      <c r="F81" s="8">
        <v>6.8</v>
      </c>
      <c r="G81" s="6">
        <v>43000</v>
      </c>
      <c r="H81" s="8">
        <v>21.1</v>
      </c>
      <c r="I81" s="7">
        <v>581.6</v>
      </c>
      <c r="J81" s="8">
        <v>2.4</v>
      </c>
      <c r="K81" s="7">
        <v>24366.666666666701</v>
      </c>
      <c r="L81" s="7">
        <v>24948.266666666699</v>
      </c>
    </row>
    <row r="82" spans="1:12" x14ac:dyDescent="0.25">
      <c r="A82" s="9">
        <v>45658</v>
      </c>
      <c r="B82" t="s">
        <v>77</v>
      </c>
      <c r="C82" t="s">
        <v>78</v>
      </c>
      <c r="D82" t="s">
        <v>58</v>
      </c>
      <c r="E82" t="s">
        <v>2091</v>
      </c>
      <c r="F82" s="8">
        <v>3.7</v>
      </c>
      <c r="G82" s="6">
        <v>25000</v>
      </c>
      <c r="H82" s="8">
        <v>14.4</v>
      </c>
      <c r="I82" s="7">
        <v>230.77</v>
      </c>
      <c r="J82" s="8">
        <v>2.2000000000000002</v>
      </c>
      <c r="K82" s="7">
        <v>7708.3333333333303</v>
      </c>
      <c r="L82" s="7">
        <v>7939.1033333333298</v>
      </c>
    </row>
    <row r="83" spans="1:12" x14ac:dyDescent="0.25">
      <c r="A83" s="9">
        <v>45658</v>
      </c>
      <c r="B83" t="s">
        <v>110</v>
      </c>
      <c r="C83" t="s">
        <v>111</v>
      </c>
      <c r="D83" t="s">
        <v>58</v>
      </c>
      <c r="E83" t="s">
        <v>2097</v>
      </c>
      <c r="F83" s="8">
        <v>11.5</v>
      </c>
      <c r="G83" s="6">
        <v>28000</v>
      </c>
      <c r="H83" s="8">
        <v>82.1</v>
      </c>
      <c r="I83" s="7">
        <v>1473.59</v>
      </c>
      <c r="J83" s="8">
        <v>4.2</v>
      </c>
      <c r="K83" s="7">
        <v>26833.333333333299</v>
      </c>
      <c r="L83" s="7">
        <v>28306.9233333333</v>
      </c>
    </row>
    <row r="84" spans="1:12" x14ac:dyDescent="0.25">
      <c r="A84" s="9">
        <v>45658</v>
      </c>
      <c r="B84" t="s">
        <v>110</v>
      </c>
      <c r="C84" t="s">
        <v>111</v>
      </c>
      <c r="D84" t="s">
        <v>58</v>
      </c>
      <c r="E84" t="s">
        <v>2093</v>
      </c>
      <c r="F84" s="8">
        <v>8.5</v>
      </c>
      <c r="G84" s="6">
        <v>29000</v>
      </c>
      <c r="H84" s="8">
        <v>48.8</v>
      </c>
      <c r="I84" s="7">
        <v>907.18</v>
      </c>
      <c r="J84" s="8">
        <v>5.2</v>
      </c>
      <c r="K84" s="7">
        <v>20541.666666666701</v>
      </c>
      <c r="L84" s="7">
        <v>21448.846666666701</v>
      </c>
    </row>
    <row r="85" spans="1:12" x14ac:dyDescent="0.25">
      <c r="A85" s="9">
        <v>45658</v>
      </c>
      <c r="B85" t="s">
        <v>110</v>
      </c>
      <c r="C85" t="s">
        <v>111</v>
      </c>
      <c r="D85" t="s">
        <v>58</v>
      </c>
      <c r="E85" t="s">
        <v>2095</v>
      </c>
      <c r="F85" s="8">
        <v>15.9</v>
      </c>
      <c r="G85" s="6">
        <v>27000</v>
      </c>
      <c r="H85" s="8">
        <v>45</v>
      </c>
      <c r="I85" s="7">
        <v>778.85</v>
      </c>
      <c r="J85" s="8">
        <v>8.1999999999999993</v>
      </c>
      <c r="K85" s="7">
        <v>35775</v>
      </c>
      <c r="L85" s="7">
        <v>36553.85</v>
      </c>
    </row>
    <row r="86" spans="1:12" x14ac:dyDescent="0.25">
      <c r="A86" s="9">
        <v>45658</v>
      </c>
      <c r="B86" t="s">
        <v>110</v>
      </c>
      <c r="C86" t="s">
        <v>111</v>
      </c>
      <c r="D86" t="s">
        <v>58</v>
      </c>
      <c r="E86" t="s">
        <v>2092</v>
      </c>
      <c r="F86" s="8">
        <v>14.4</v>
      </c>
      <c r="G86" s="6">
        <v>43000</v>
      </c>
      <c r="H86" s="8">
        <v>47.7</v>
      </c>
      <c r="I86" s="7">
        <v>1314.81</v>
      </c>
      <c r="J86" s="8">
        <v>7.4</v>
      </c>
      <c r="K86" s="7">
        <v>51600</v>
      </c>
      <c r="L86" s="7">
        <v>52914.81</v>
      </c>
    </row>
    <row r="87" spans="1:12" x14ac:dyDescent="0.25">
      <c r="A87" s="9">
        <v>45658</v>
      </c>
      <c r="B87" t="s">
        <v>85</v>
      </c>
      <c r="C87" t="s">
        <v>86</v>
      </c>
      <c r="D87" t="s">
        <v>58</v>
      </c>
      <c r="E87" t="s">
        <v>2092</v>
      </c>
      <c r="F87" s="8">
        <v>14.4</v>
      </c>
      <c r="G87" s="6">
        <v>43000</v>
      </c>
      <c r="H87" s="8">
        <v>90.2</v>
      </c>
      <c r="I87" s="7">
        <v>2486.2800000000002</v>
      </c>
      <c r="J87" s="8">
        <v>7.8</v>
      </c>
      <c r="K87" s="7">
        <v>51600</v>
      </c>
      <c r="L87" s="7">
        <v>54086.28</v>
      </c>
    </row>
    <row r="88" spans="1:12" x14ac:dyDescent="0.25">
      <c r="A88" s="9">
        <v>45658</v>
      </c>
      <c r="B88" t="s">
        <v>85</v>
      </c>
      <c r="C88" t="s">
        <v>86</v>
      </c>
      <c r="D88" t="s">
        <v>58</v>
      </c>
      <c r="E88" t="s">
        <v>2094</v>
      </c>
      <c r="F88" s="8">
        <v>14.9</v>
      </c>
      <c r="G88" s="6">
        <v>41000</v>
      </c>
      <c r="H88" s="8">
        <v>71</v>
      </c>
      <c r="I88" s="7">
        <v>1866.03</v>
      </c>
      <c r="J88" s="8">
        <v>7</v>
      </c>
      <c r="K88" s="7">
        <v>50908.333333333299</v>
      </c>
      <c r="L88" s="7">
        <v>52774.363333333298</v>
      </c>
    </row>
    <row r="89" spans="1:12" x14ac:dyDescent="0.25">
      <c r="A89" s="9">
        <v>45658</v>
      </c>
      <c r="B89" t="s">
        <v>85</v>
      </c>
      <c r="C89" t="s">
        <v>86</v>
      </c>
      <c r="D89" t="s">
        <v>58</v>
      </c>
      <c r="E89" t="s">
        <v>2096</v>
      </c>
      <c r="F89" s="8">
        <v>12.4</v>
      </c>
      <c r="G89" s="6">
        <v>35000</v>
      </c>
      <c r="H89" s="8">
        <v>22</v>
      </c>
      <c r="I89" s="7">
        <v>493.59</v>
      </c>
      <c r="J89" s="8">
        <v>6</v>
      </c>
      <c r="K89" s="7">
        <v>36166.666666666701</v>
      </c>
      <c r="L89" s="7">
        <v>36660.256666666697</v>
      </c>
    </row>
    <row r="90" spans="1:12" x14ac:dyDescent="0.25">
      <c r="A90" s="9">
        <v>45658</v>
      </c>
      <c r="B90" t="s">
        <v>85</v>
      </c>
      <c r="C90" t="s">
        <v>86</v>
      </c>
      <c r="D90" t="s">
        <v>58</v>
      </c>
      <c r="E90" t="s">
        <v>2091</v>
      </c>
      <c r="F90" s="8">
        <v>3.7</v>
      </c>
      <c r="G90" s="6">
        <v>25000</v>
      </c>
      <c r="H90" s="8">
        <v>21.5</v>
      </c>
      <c r="I90" s="7">
        <v>344.55</v>
      </c>
      <c r="J90" s="8">
        <v>0.3</v>
      </c>
      <c r="K90" s="7">
        <v>7708.3333333333303</v>
      </c>
      <c r="L90" s="7">
        <v>8052.8833333333296</v>
      </c>
    </row>
    <row r="91" spans="1:12" x14ac:dyDescent="0.25">
      <c r="A91" s="9">
        <v>45658</v>
      </c>
      <c r="B91" t="s">
        <v>103</v>
      </c>
      <c r="C91" t="s">
        <v>104</v>
      </c>
      <c r="D91" t="s">
        <v>58</v>
      </c>
      <c r="E91" t="s">
        <v>2091</v>
      </c>
      <c r="F91" s="8">
        <v>14.9</v>
      </c>
      <c r="G91" s="6">
        <v>25000</v>
      </c>
      <c r="H91" s="8">
        <v>36</v>
      </c>
      <c r="I91" s="7">
        <v>576.91999999999996</v>
      </c>
      <c r="J91" s="8">
        <v>7.6</v>
      </c>
      <c r="K91" s="7">
        <v>31041.666666666701</v>
      </c>
      <c r="L91" s="7">
        <v>31618.586666666699</v>
      </c>
    </row>
    <row r="92" spans="1:12" x14ac:dyDescent="0.25">
      <c r="A92" s="9">
        <v>45658</v>
      </c>
      <c r="B92" t="s">
        <v>103</v>
      </c>
      <c r="C92" t="s">
        <v>104</v>
      </c>
      <c r="D92" t="s">
        <v>58</v>
      </c>
      <c r="E92" t="s">
        <v>2093</v>
      </c>
      <c r="F92" s="8">
        <v>12.9</v>
      </c>
      <c r="G92" s="6">
        <v>29000</v>
      </c>
      <c r="H92" s="8">
        <v>32.5</v>
      </c>
      <c r="I92" s="7">
        <v>604.16999999999996</v>
      </c>
      <c r="J92" s="8">
        <v>5.7</v>
      </c>
      <c r="K92" s="7">
        <v>31175</v>
      </c>
      <c r="L92" s="7">
        <v>31779.17</v>
      </c>
    </row>
    <row r="93" spans="1:12" x14ac:dyDescent="0.25">
      <c r="A93" s="9">
        <v>45658</v>
      </c>
      <c r="B93" t="s">
        <v>103</v>
      </c>
      <c r="C93" t="s">
        <v>104</v>
      </c>
      <c r="D93" t="s">
        <v>58</v>
      </c>
      <c r="E93" t="s">
        <v>2095</v>
      </c>
      <c r="F93" s="8">
        <v>9.3000000000000007</v>
      </c>
      <c r="G93" s="6">
        <v>27000</v>
      </c>
      <c r="H93" s="8">
        <v>31.3</v>
      </c>
      <c r="I93" s="7">
        <v>541.73</v>
      </c>
      <c r="J93" s="8">
        <v>3.3</v>
      </c>
      <c r="K93" s="7">
        <v>20925</v>
      </c>
      <c r="L93" s="7">
        <v>21466.73</v>
      </c>
    </row>
    <row r="94" spans="1:12" x14ac:dyDescent="0.25">
      <c r="A94" s="9">
        <v>45658</v>
      </c>
      <c r="B94" t="s">
        <v>103</v>
      </c>
      <c r="C94" t="s">
        <v>104</v>
      </c>
      <c r="D94" t="s">
        <v>58</v>
      </c>
      <c r="E94" t="s">
        <v>2096</v>
      </c>
      <c r="F94" s="8">
        <v>18.3</v>
      </c>
      <c r="G94" s="6">
        <v>35000</v>
      </c>
      <c r="H94" s="8">
        <v>46.5</v>
      </c>
      <c r="I94" s="7">
        <v>1043.27</v>
      </c>
      <c r="J94" s="8">
        <v>9.9</v>
      </c>
      <c r="K94" s="7">
        <v>53375</v>
      </c>
      <c r="L94" s="7">
        <v>54418.27</v>
      </c>
    </row>
    <row r="95" spans="1:12" x14ac:dyDescent="0.25">
      <c r="A95" s="9">
        <v>45658</v>
      </c>
      <c r="B95" t="s">
        <v>103</v>
      </c>
      <c r="C95" t="s">
        <v>104</v>
      </c>
      <c r="D95" t="s">
        <v>58</v>
      </c>
      <c r="E95" t="s">
        <v>2097</v>
      </c>
      <c r="F95" s="8">
        <v>5.8</v>
      </c>
      <c r="G95" s="6">
        <v>28000</v>
      </c>
      <c r="H95" s="8">
        <v>11.8</v>
      </c>
      <c r="I95" s="7">
        <v>211.79</v>
      </c>
      <c r="J95" s="8">
        <v>1.3</v>
      </c>
      <c r="K95" s="7">
        <v>13533.333333333299</v>
      </c>
      <c r="L95" s="7">
        <v>13745.1233333333</v>
      </c>
    </row>
    <row r="96" spans="1:12" x14ac:dyDescent="0.25">
      <c r="A96" s="9">
        <v>45658</v>
      </c>
      <c r="B96" t="s">
        <v>103</v>
      </c>
      <c r="C96" t="s">
        <v>104</v>
      </c>
      <c r="D96" t="s">
        <v>58</v>
      </c>
      <c r="E96" t="s">
        <v>2092</v>
      </c>
      <c r="F96" s="8">
        <v>6.6</v>
      </c>
      <c r="G96" s="6">
        <v>43000</v>
      </c>
      <c r="H96" s="8">
        <v>20.2</v>
      </c>
      <c r="I96" s="7">
        <v>556.79</v>
      </c>
      <c r="J96" s="8">
        <v>4</v>
      </c>
      <c r="K96" s="7">
        <v>23650</v>
      </c>
      <c r="L96" s="7">
        <v>24206.79</v>
      </c>
    </row>
    <row r="97" spans="1:12" x14ac:dyDescent="0.25">
      <c r="A97" s="9">
        <v>45689</v>
      </c>
      <c r="B97" t="s">
        <v>100</v>
      </c>
      <c r="C97" t="s">
        <v>101</v>
      </c>
      <c r="D97" t="s">
        <v>69</v>
      </c>
      <c r="E97" t="s">
        <v>2091</v>
      </c>
      <c r="F97" s="8">
        <v>11.7</v>
      </c>
      <c r="G97" s="6">
        <v>25000</v>
      </c>
      <c r="H97" s="8">
        <v>43.3</v>
      </c>
      <c r="I97" s="7">
        <v>693.91</v>
      </c>
      <c r="J97" s="8">
        <v>5.4</v>
      </c>
      <c r="K97" s="7">
        <v>24375</v>
      </c>
      <c r="L97" s="7">
        <v>25068.91</v>
      </c>
    </row>
    <row r="98" spans="1:12" x14ac:dyDescent="0.25">
      <c r="A98" s="9">
        <v>45689</v>
      </c>
      <c r="B98" t="s">
        <v>100</v>
      </c>
      <c r="C98" t="s">
        <v>101</v>
      </c>
      <c r="D98" t="s">
        <v>69</v>
      </c>
      <c r="E98" t="s">
        <v>2095</v>
      </c>
      <c r="F98" s="8">
        <v>5.7</v>
      </c>
      <c r="G98" s="6">
        <v>27000</v>
      </c>
      <c r="H98" s="8">
        <v>23.2</v>
      </c>
      <c r="I98" s="7">
        <v>401.54</v>
      </c>
      <c r="J98" s="8">
        <v>1.1000000000000001</v>
      </c>
      <c r="K98" s="7">
        <v>12825</v>
      </c>
      <c r="L98" s="7">
        <v>13226.54</v>
      </c>
    </row>
    <row r="99" spans="1:12" x14ac:dyDescent="0.25">
      <c r="A99" s="9">
        <v>45689</v>
      </c>
      <c r="B99" t="s">
        <v>100</v>
      </c>
      <c r="C99" t="s">
        <v>101</v>
      </c>
      <c r="D99" t="s">
        <v>69</v>
      </c>
      <c r="E99" t="s">
        <v>2092</v>
      </c>
      <c r="F99" s="8">
        <v>6.4</v>
      </c>
      <c r="G99" s="6">
        <v>43000</v>
      </c>
      <c r="H99" s="8">
        <v>30.3</v>
      </c>
      <c r="I99" s="7">
        <v>835.19</v>
      </c>
      <c r="J99" s="8">
        <v>3.6</v>
      </c>
      <c r="K99" s="7">
        <v>22933.333333333299</v>
      </c>
      <c r="L99" s="7">
        <v>23768.523333333302</v>
      </c>
    </row>
    <row r="100" spans="1:12" x14ac:dyDescent="0.25">
      <c r="A100" s="9">
        <v>45689</v>
      </c>
      <c r="B100" t="s">
        <v>100</v>
      </c>
      <c r="C100" t="s">
        <v>101</v>
      </c>
      <c r="D100" t="s">
        <v>69</v>
      </c>
      <c r="E100" t="s">
        <v>2094</v>
      </c>
      <c r="F100" s="8">
        <v>13.3</v>
      </c>
      <c r="G100" s="6">
        <v>41000</v>
      </c>
      <c r="H100" s="8">
        <v>45</v>
      </c>
      <c r="I100" s="7">
        <v>1182.69</v>
      </c>
      <c r="J100" s="8">
        <v>7.7</v>
      </c>
      <c r="K100" s="7">
        <v>45441.666666666701</v>
      </c>
      <c r="L100" s="7">
        <v>46624.356666666703</v>
      </c>
    </row>
    <row r="101" spans="1:12" x14ac:dyDescent="0.25">
      <c r="A101" s="9">
        <v>45689</v>
      </c>
      <c r="B101" t="s">
        <v>100</v>
      </c>
      <c r="C101" t="s">
        <v>101</v>
      </c>
      <c r="D101" t="s">
        <v>69</v>
      </c>
      <c r="E101" t="s">
        <v>2093</v>
      </c>
      <c r="F101" s="8">
        <v>8.6999999999999993</v>
      </c>
      <c r="G101" s="6">
        <v>29000</v>
      </c>
      <c r="H101" s="8">
        <v>20.100000000000001</v>
      </c>
      <c r="I101" s="7">
        <v>373.65</v>
      </c>
      <c r="J101" s="8">
        <v>5.5</v>
      </c>
      <c r="K101" s="7">
        <v>21025</v>
      </c>
      <c r="L101" s="7">
        <v>21398.65</v>
      </c>
    </row>
    <row r="102" spans="1:12" x14ac:dyDescent="0.25">
      <c r="A102" s="9">
        <v>45689</v>
      </c>
      <c r="B102" t="s">
        <v>100</v>
      </c>
      <c r="C102" t="s">
        <v>101</v>
      </c>
      <c r="D102" t="s">
        <v>69</v>
      </c>
      <c r="E102" t="s">
        <v>2096</v>
      </c>
      <c r="F102" s="8">
        <v>8.6</v>
      </c>
      <c r="G102" s="6">
        <v>35000</v>
      </c>
      <c r="H102" s="8">
        <v>36.4</v>
      </c>
      <c r="I102" s="7">
        <v>816.67</v>
      </c>
      <c r="J102" s="8">
        <v>4</v>
      </c>
      <c r="K102" s="7">
        <v>25083.333333333299</v>
      </c>
      <c r="L102" s="7">
        <v>25900.003333333301</v>
      </c>
    </row>
    <row r="103" spans="1:12" x14ac:dyDescent="0.25">
      <c r="A103" s="9">
        <v>45689</v>
      </c>
      <c r="B103" t="s">
        <v>113</v>
      </c>
      <c r="C103" t="s">
        <v>114</v>
      </c>
      <c r="D103" t="s">
        <v>69</v>
      </c>
      <c r="E103" t="s">
        <v>2096</v>
      </c>
      <c r="F103" s="8">
        <v>10.6</v>
      </c>
      <c r="G103" s="6">
        <v>35000</v>
      </c>
      <c r="H103" s="8">
        <v>42.1</v>
      </c>
      <c r="I103" s="7">
        <v>944.55</v>
      </c>
      <c r="J103" s="8">
        <v>5.2</v>
      </c>
      <c r="K103" s="7">
        <v>30916.666666666701</v>
      </c>
      <c r="L103" s="7">
        <v>31861.2166666667</v>
      </c>
    </row>
    <row r="104" spans="1:12" x14ac:dyDescent="0.25">
      <c r="A104" s="9">
        <v>45689</v>
      </c>
      <c r="B104" t="s">
        <v>113</v>
      </c>
      <c r="C104" t="s">
        <v>114</v>
      </c>
      <c r="D104" t="s">
        <v>69</v>
      </c>
      <c r="E104" t="s">
        <v>2091</v>
      </c>
      <c r="F104" s="8">
        <v>19.5</v>
      </c>
      <c r="G104" s="6">
        <v>25000</v>
      </c>
      <c r="H104" s="8">
        <v>113.7</v>
      </c>
      <c r="I104" s="7">
        <v>1822.12</v>
      </c>
      <c r="J104" s="8">
        <v>8.6999999999999993</v>
      </c>
      <c r="K104" s="7">
        <v>40625</v>
      </c>
      <c r="L104" s="7">
        <v>42447.12</v>
      </c>
    </row>
    <row r="105" spans="1:12" x14ac:dyDescent="0.25">
      <c r="A105" s="9">
        <v>45689</v>
      </c>
      <c r="B105" t="s">
        <v>113</v>
      </c>
      <c r="C105" t="s">
        <v>114</v>
      </c>
      <c r="D105" t="s">
        <v>69</v>
      </c>
      <c r="E105" t="s">
        <v>2094</v>
      </c>
      <c r="F105" s="8">
        <v>14.4</v>
      </c>
      <c r="G105" s="6">
        <v>41000</v>
      </c>
      <c r="H105" s="8">
        <v>41.1</v>
      </c>
      <c r="I105" s="7">
        <v>1080.19</v>
      </c>
      <c r="J105" s="8">
        <v>8.1999999999999993</v>
      </c>
      <c r="K105" s="7">
        <v>49200</v>
      </c>
      <c r="L105" s="7">
        <v>50280.19</v>
      </c>
    </row>
    <row r="106" spans="1:12" x14ac:dyDescent="0.25">
      <c r="A106" s="9">
        <v>45689</v>
      </c>
      <c r="B106" t="s">
        <v>113</v>
      </c>
      <c r="C106" t="s">
        <v>114</v>
      </c>
      <c r="D106" t="s">
        <v>69</v>
      </c>
      <c r="E106" t="s">
        <v>2097</v>
      </c>
      <c r="F106" s="8">
        <v>16.100000000000001</v>
      </c>
      <c r="G106" s="6">
        <v>28000</v>
      </c>
      <c r="H106" s="8">
        <v>50</v>
      </c>
      <c r="I106" s="7">
        <v>897.44</v>
      </c>
      <c r="J106" s="8">
        <v>9</v>
      </c>
      <c r="K106" s="7">
        <v>37566.666666666701</v>
      </c>
      <c r="L106" s="7">
        <v>38464.106666666703</v>
      </c>
    </row>
    <row r="107" spans="1:12" x14ac:dyDescent="0.25">
      <c r="A107" s="9">
        <v>45689</v>
      </c>
      <c r="B107" t="s">
        <v>113</v>
      </c>
      <c r="C107" t="s">
        <v>114</v>
      </c>
      <c r="D107" t="s">
        <v>69</v>
      </c>
      <c r="E107" t="s">
        <v>2095</v>
      </c>
      <c r="F107" s="8">
        <v>6.5</v>
      </c>
      <c r="G107" s="6">
        <v>27000</v>
      </c>
      <c r="H107" s="8">
        <v>42.6</v>
      </c>
      <c r="I107" s="7">
        <v>737.31</v>
      </c>
      <c r="J107" s="8">
        <v>2.8</v>
      </c>
      <c r="K107" s="7">
        <v>14625</v>
      </c>
      <c r="L107" s="7">
        <v>15362.31</v>
      </c>
    </row>
    <row r="108" spans="1:12" x14ac:dyDescent="0.25">
      <c r="A108" s="9">
        <v>45689</v>
      </c>
      <c r="B108" t="s">
        <v>143</v>
      </c>
      <c r="C108" t="s">
        <v>144</v>
      </c>
      <c r="D108" t="s">
        <v>69</v>
      </c>
      <c r="E108" t="s">
        <v>2091</v>
      </c>
      <c r="F108" s="8">
        <v>6.4</v>
      </c>
      <c r="G108" s="6">
        <v>25000</v>
      </c>
      <c r="H108" s="8">
        <v>32.1</v>
      </c>
      <c r="I108" s="7">
        <v>514.41999999999996</v>
      </c>
      <c r="J108" s="8">
        <v>2</v>
      </c>
      <c r="K108" s="7">
        <v>13333.333333333299</v>
      </c>
      <c r="L108" s="7">
        <v>13847.753333333299</v>
      </c>
    </row>
    <row r="109" spans="1:12" x14ac:dyDescent="0.25">
      <c r="A109" s="9">
        <v>45689</v>
      </c>
      <c r="B109" t="s">
        <v>143</v>
      </c>
      <c r="C109" t="s">
        <v>144</v>
      </c>
      <c r="D109" t="s">
        <v>69</v>
      </c>
      <c r="E109" t="s">
        <v>2096</v>
      </c>
      <c r="F109" s="8">
        <v>12.7</v>
      </c>
      <c r="G109" s="6">
        <v>35000</v>
      </c>
      <c r="H109" s="8">
        <v>65.2</v>
      </c>
      <c r="I109" s="7">
        <v>1462.82</v>
      </c>
      <c r="J109" s="8">
        <v>6.5</v>
      </c>
      <c r="K109" s="7">
        <v>37041.666666666701</v>
      </c>
      <c r="L109" s="7">
        <v>38504.4866666667</v>
      </c>
    </row>
    <row r="110" spans="1:12" x14ac:dyDescent="0.25">
      <c r="A110" s="9">
        <v>45689</v>
      </c>
      <c r="B110" t="s">
        <v>143</v>
      </c>
      <c r="C110" t="s">
        <v>144</v>
      </c>
      <c r="D110" t="s">
        <v>69</v>
      </c>
      <c r="E110" t="s">
        <v>2097</v>
      </c>
      <c r="F110" s="8">
        <v>15.7</v>
      </c>
      <c r="G110" s="6">
        <v>28000</v>
      </c>
      <c r="H110" s="8">
        <v>73.900000000000006</v>
      </c>
      <c r="I110" s="7">
        <v>1326.41</v>
      </c>
      <c r="J110" s="8">
        <v>7.2</v>
      </c>
      <c r="K110" s="7">
        <v>36633.333333333299</v>
      </c>
      <c r="L110" s="7">
        <v>37959.743333333303</v>
      </c>
    </row>
    <row r="111" spans="1:12" x14ac:dyDescent="0.25">
      <c r="A111" s="9">
        <v>45689</v>
      </c>
      <c r="B111" t="s">
        <v>143</v>
      </c>
      <c r="C111" t="s">
        <v>144</v>
      </c>
      <c r="D111" t="s">
        <v>69</v>
      </c>
      <c r="E111" t="s">
        <v>2093</v>
      </c>
      <c r="F111" s="8">
        <v>17.2</v>
      </c>
      <c r="G111" s="6">
        <v>29000</v>
      </c>
      <c r="H111" s="8">
        <v>25.9</v>
      </c>
      <c r="I111" s="7">
        <v>481.47</v>
      </c>
      <c r="J111" s="8">
        <v>9.1</v>
      </c>
      <c r="K111" s="7">
        <v>41566.666666666701</v>
      </c>
      <c r="L111" s="7">
        <v>42048.136666666702</v>
      </c>
    </row>
    <row r="112" spans="1:12" x14ac:dyDescent="0.25">
      <c r="A112" s="9">
        <v>45689</v>
      </c>
      <c r="B112" t="s">
        <v>73</v>
      </c>
      <c r="C112" t="s">
        <v>74</v>
      </c>
      <c r="D112" t="s">
        <v>69</v>
      </c>
      <c r="E112" t="s">
        <v>2093</v>
      </c>
      <c r="F112" s="8">
        <v>14</v>
      </c>
      <c r="G112" s="6">
        <v>29000</v>
      </c>
      <c r="H112" s="8">
        <v>12.7</v>
      </c>
      <c r="I112" s="7">
        <v>236.09</v>
      </c>
      <c r="J112" s="8">
        <v>6.7</v>
      </c>
      <c r="K112" s="7">
        <v>33833.333333333299</v>
      </c>
      <c r="L112" s="7">
        <v>34069.423333333303</v>
      </c>
    </row>
    <row r="113" spans="1:12" x14ac:dyDescent="0.25">
      <c r="A113" s="9">
        <v>45689</v>
      </c>
      <c r="B113" t="s">
        <v>73</v>
      </c>
      <c r="C113" t="s">
        <v>74</v>
      </c>
      <c r="D113" t="s">
        <v>69</v>
      </c>
      <c r="E113" t="s">
        <v>2092</v>
      </c>
      <c r="F113" s="8">
        <v>6.9</v>
      </c>
      <c r="G113" s="6">
        <v>43000</v>
      </c>
      <c r="H113" s="8">
        <v>37.299999999999997</v>
      </c>
      <c r="I113" s="7">
        <v>1028.1400000000001</v>
      </c>
      <c r="J113" s="8">
        <v>3.6</v>
      </c>
      <c r="K113" s="7">
        <v>24725</v>
      </c>
      <c r="L113" s="7">
        <v>25753.14</v>
      </c>
    </row>
    <row r="114" spans="1:12" x14ac:dyDescent="0.25">
      <c r="A114" s="9">
        <v>45689</v>
      </c>
      <c r="B114" t="s">
        <v>73</v>
      </c>
      <c r="C114" t="s">
        <v>74</v>
      </c>
      <c r="D114" t="s">
        <v>69</v>
      </c>
      <c r="E114" t="s">
        <v>2094</v>
      </c>
      <c r="F114" s="8">
        <v>18.100000000000001</v>
      </c>
      <c r="G114" s="6">
        <v>41000</v>
      </c>
      <c r="H114" s="8">
        <v>125.3</v>
      </c>
      <c r="I114" s="7">
        <v>3293.14</v>
      </c>
      <c r="J114" s="8">
        <v>10.1</v>
      </c>
      <c r="K114" s="7">
        <v>61841.666666666701</v>
      </c>
      <c r="L114" s="7">
        <v>65134.8066666667</v>
      </c>
    </row>
    <row r="115" spans="1:12" x14ac:dyDescent="0.25">
      <c r="A115" s="9">
        <v>45689</v>
      </c>
      <c r="B115" t="s">
        <v>73</v>
      </c>
      <c r="C115" t="s">
        <v>74</v>
      </c>
      <c r="D115" t="s">
        <v>69</v>
      </c>
      <c r="E115" t="s">
        <v>2095</v>
      </c>
      <c r="F115" s="8">
        <v>17.3</v>
      </c>
      <c r="G115" s="6">
        <v>27000</v>
      </c>
      <c r="H115" s="8">
        <v>52.2</v>
      </c>
      <c r="I115" s="7">
        <v>903.46</v>
      </c>
      <c r="J115" s="8">
        <v>8.6999999999999993</v>
      </c>
      <c r="K115" s="7">
        <v>38925</v>
      </c>
      <c r="L115" s="7">
        <v>39828.46</v>
      </c>
    </row>
    <row r="116" spans="1:12" x14ac:dyDescent="0.25">
      <c r="A116" s="9">
        <v>45689</v>
      </c>
      <c r="B116" t="s">
        <v>73</v>
      </c>
      <c r="C116" t="s">
        <v>74</v>
      </c>
      <c r="D116" t="s">
        <v>69</v>
      </c>
      <c r="E116" t="s">
        <v>2097</v>
      </c>
      <c r="F116" s="8">
        <v>6.7</v>
      </c>
      <c r="G116" s="6">
        <v>28000</v>
      </c>
      <c r="H116" s="8">
        <v>26.3</v>
      </c>
      <c r="I116" s="7">
        <v>472.05</v>
      </c>
      <c r="J116" s="8">
        <v>1.8</v>
      </c>
      <c r="K116" s="7">
        <v>15633.333333333299</v>
      </c>
      <c r="L116" s="7">
        <v>16105.3833333333</v>
      </c>
    </row>
    <row r="117" spans="1:12" x14ac:dyDescent="0.25">
      <c r="A117" s="9">
        <v>45689</v>
      </c>
      <c r="B117" t="s">
        <v>73</v>
      </c>
      <c r="C117" t="s">
        <v>74</v>
      </c>
      <c r="D117" t="s">
        <v>69</v>
      </c>
      <c r="E117" t="s">
        <v>2091</v>
      </c>
      <c r="F117" s="8">
        <v>3.4</v>
      </c>
      <c r="G117" s="6">
        <v>25000</v>
      </c>
      <c r="H117" s="8">
        <v>8.8000000000000007</v>
      </c>
      <c r="I117" s="7">
        <v>141.03</v>
      </c>
      <c r="J117" s="8">
        <v>1.1000000000000001</v>
      </c>
      <c r="K117" s="7">
        <v>7083.3333333333303</v>
      </c>
      <c r="L117" s="7">
        <v>7224.36333333333</v>
      </c>
    </row>
    <row r="118" spans="1:12" x14ac:dyDescent="0.25">
      <c r="A118" s="9">
        <v>45689</v>
      </c>
      <c r="B118" t="s">
        <v>67</v>
      </c>
      <c r="C118" t="s">
        <v>68</v>
      </c>
      <c r="D118" t="s">
        <v>69</v>
      </c>
      <c r="E118" t="s">
        <v>2093</v>
      </c>
      <c r="F118" s="8">
        <v>11.5</v>
      </c>
      <c r="G118" s="6">
        <v>29000</v>
      </c>
      <c r="H118" s="8">
        <v>10.9</v>
      </c>
      <c r="I118" s="7">
        <v>202.63</v>
      </c>
      <c r="J118" s="8">
        <v>5.8</v>
      </c>
      <c r="K118" s="7">
        <v>27791.666666666701</v>
      </c>
      <c r="L118" s="7">
        <v>27994.296666666702</v>
      </c>
    </row>
    <row r="119" spans="1:12" x14ac:dyDescent="0.25">
      <c r="A119" s="9">
        <v>45689</v>
      </c>
      <c r="B119" t="s">
        <v>67</v>
      </c>
      <c r="C119" t="s">
        <v>68</v>
      </c>
      <c r="D119" t="s">
        <v>69</v>
      </c>
      <c r="E119" t="s">
        <v>2097</v>
      </c>
      <c r="F119" s="8">
        <v>15.2</v>
      </c>
      <c r="G119" s="6">
        <v>28000</v>
      </c>
      <c r="H119" s="8">
        <v>55.1</v>
      </c>
      <c r="I119" s="7">
        <v>988.97</v>
      </c>
      <c r="J119" s="8">
        <v>5.9</v>
      </c>
      <c r="K119" s="7">
        <v>35466.666666666701</v>
      </c>
      <c r="L119" s="7">
        <v>36455.636666666702</v>
      </c>
    </row>
    <row r="120" spans="1:12" x14ac:dyDescent="0.25">
      <c r="A120" s="9">
        <v>45689</v>
      </c>
      <c r="B120" t="s">
        <v>67</v>
      </c>
      <c r="C120" t="s">
        <v>68</v>
      </c>
      <c r="D120" t="s">
        <v>69</v>
      </c>
      <c r="E120" t="s">
        <v>2094</v>
      </c>
      <c r="F120" s="8">
        <v>15.2</v>
      </c>
      <c r="G120" s="6">
        <v>41000</v>
      </c>
      <c r="H120" s="8">
        <v>70</v>
      </c>
      <c r="I120" s="7">
        <v>1839.74</v>
      </c>
      <c r="J120" s="8">
        <v>8.3000000000000007</v>
      </c>
      <c r="K120" s="7">
        <v>51933.333333333299</v>
      </c>
      <c r="L120" s="7">
        <v>53773.073333333297</v>
      </c>
    </row>
    <row r="121" spans="1:12" x14ac:dyDescent="0.25">
      <c r="A121" s="9">
        <v>45689</v>
      </c>
      <c r="B121" t="s">
        <v>67</v>
      </c>
      <c r="C121" t="s">
        <v>68</v>
      </c>
      <c r="D121" t="s">
        <v>69</v>
      </c>
      <c r="E121" t="s">
        <v>2095</v>
      </c>
      <c r="F121" s="8">
        <v>10.8</v>
      </c>
      <c r="G121" s="6">
        <v>27000</v>
      </c>
      <c r="H121" s="8">
        <v>46.9</v>
      </c>
      <c r="I121" s="7">
        <v>811.73</v>
      </c>
      <c r="J121" s="8">
        <v>5.0999999999999996</v>
      </c>
      <c r="K121" s="7">
        <v>24300</v>
      </c>
      <c r="L121" s="7">
        <v>25111.73</v>
      </c>
    </row>
    <row r="122" spans="1:12" x14ac:dyDescent="0.25">
      <c r="A122" s="9">
        <v>45689</v>
      </c>
      <c r="B122" t="s">
        <v>32</v>
      </c>
      <c r="C122" t="s">
        <v>33</v>
      </c>
      <c r="D122" t="s">
        <v>34</v>
      </c>
      <c r="E122" t="s">
        <v>2092</v>
      </c>
      <c r="F122" s="8">
        <v>13.1</v>
      </c>
      <c r="G122" s="6">
        <v>43000</v>
      </c>
      <c r="H122" s="8">
        <v>64</v>
      </c>
      <c r="I122" s="7">
        <v>1764.1</v>
      </c>
      <c r="J122" s="8">
        <v>7.2</v>
      </c>
      <c r="K122" s="7">
        <v>46941.666666666701</v>
      </c>
      <c r="L122" s="7">
        <v>48705.766666666699</v>
      </c>
    </row>
    <row r="123" spans="1:12" x14ac:dyDescent="0.25">
      <c r="A123" s="9">
        <v>45689</v>
      </c>
      <c r="B123" t="s">
        <v>32</v>
      </c>
      <c r="C123" t="s">
        <v>33</v>
      </c>
      <c r="D123" t="s">
        <v>34</v>
      </c>
      <c r="E123" t="s">
        <v>2093</v>
      </c>
      <c r="F123" s="8">
        <v>16.5</v>
      </c>
      <c r="G123" s="6">
        <v>29000</v>
      </c>
      <c r="H123" s="8">
        <v>73.599999999999994</v>
      </c>
      <c r="I123" s="7">
        <v>1368.21</v>
      </c>
      <c r="J123" s="8">
        <v>7.4</v>
      </c>
      <c r="K123" s="7">
        <v>39875</v>
      </c>
      <c r="L123" s="7">
        <v>41243.21</v>
      </c>
    </row>
    <row r="124" spans="1:12" x14ac:dyDescent="0.25">
      <c r="A124" s="9">
        <v>45689</v>
      </c>
      <c r="B124" t="s">
        <v>32</v>
      </c>
      <c r="C124" t="s">
        <v>33</v>
      </c>
      <c r="D124" t="s">
        <v>34</v>
      </c>
      <c r="E124" t="s">
        <v>2096</v>
      </c>
      <c r="F124" s="8">
        <v>14.3</v>
      </c>
      <c r="G124" s="6">
        <v>35000</v>
      </c>
      <c r="H124" s="8">
        <v>63.1</v>
      </c>
      <c r="I124" s="7">
        <v>1415.71</v>
      </c>
      <c r="J124" s="8">
        <v>8.3000000000000007</v>
      </c>
      <c r="K124" s="7">
        <v>41708.333333333299</v>
      </c>
      <c r="L124" s="7">
        <v>43124.043333333299</v>
      </c>
    </row>
    <row r="125" spans="1:12" x14ac:dyDescent="0.25">
      <c r="A125" s="9">
        <v>45689</v>
      </c>
      <c r="B125" t="s">
        <v>32</v>
      </c>
      <c r="C125" t="s">
        <v>33</v>
      </c>
      <c r="D125" t="s">
        <v>34</v>
      </c>
      <c r="E125" t="s">
        <v>2097</v>
      </c>
      <c r="F125" s="8">
        <v>18.899999999999999</v>
      </c>
      <c r="G125" s="6">
        <v>28000</v>
      </c>
      <c r="H125" s="8">
        <v>58.7</v>
      </c>
      <c r="I125" s="7">
        <v>1053.5899999999999</v>
      </c>
      <c r="J125" s="8">
        <v>11.5</v>
      </c>
      <c r="K125" s="7">
        <v>44100</v>
      </c>
      <c r="L125" s="7">
        <v>45153.59</v>
      </c>
    </row>
    <row r="126" spans="1:12" x14ac:dyDescent="0.25">
      <c r="A126" s="9">
        <v>45689</v>
      </c>
      <c r="B126" t="s">
        <v>32</v>
      </c>
      <c r="C126" t="s">
        <v>33</v>
      </c>
      <c r="D126" t="s">
        <v>34</v>
      </c>
      <c r="E126" t="s">
        <v>2094</v>
      </c>
      <c r="F126" s="8">
        <v>4.3</v>
      </c>
      <c r="G126" s="6">
        <v>41000</v>
      </c>
      <c r="H126" s="8">
        <v>13.8</v>
      </c>
      <c r="I126" s="7">
        <v>362.69</v>
      </c>
      <c r="J126" s="8">
        <v>2.2000000000000002</v>
      </c>
      <c r="K126" s="7">
        <v>14691.666666666701</v>
      </c>
      <c r="L126" s="7">
        <v>15054.356666666699</v>
      </c>
    </row>
    <row r="127" spans="1:12" x14ac:dyDescent="0.25">
      <c r="A127" s="9">
        <v>45689</v>
      </c>
      <c r="B127" t="s">
        <v>94</v>
      </c>
      <c r="C127" t="s">
        <v>95</v>
      </c>
      <c r="D127" t="s">
        <v>34</v>
      </c>
      <c r="E127" t="s">
        <v>2091</v>
      </c>
      <c r="F127" s="8">
        <v>17.600000000000001</v>
      </c>
      <c r="G127" s="6">
        <v>25000</v>
      </c>
      <c r="H127" s="8">
        <v>52.6</v>
      </c>
      <c r="I127" s="7">
        <v>842.95</v>
      </c>
      <c r="J127" s="8">
        <v>9</v>
      </c>
      <c r="K127" s="7">
        <v>36666.666666666701</v>
      </c>
      <c r="L127" s="7">
        <v>37509.616666666698</v>
      </c>
    </row>
    <row r="128" spans="1:12" x14ac:dyDescent="0.25">
      <c r="A128" s="9">
        <v>45689</v>
      </c>
      <c r="B128" t="s">
        <v>94</v>
      </c>
      <c r="C128" t="s">
        <v>95</v>
      </c>
      <c r="D128" t="s">
        <v>34</v>
      </c>
      <c r="E128" t="s">
        <v>2097</v>
      </c>
      <c r="F128" s="8">
        <v>19.100000000000001</v>
      </c>
      <c r="G128" s="6">
        <v>28000</v>
      </c>
      <c r="H128" s="8">
        <v>26.5</v>
      </c>
      <c r="I128" s="7">
        <v>475.64</v>
      </c>
      <c r="J128" s="8">
        <v>9</v>
      </c>
      <c r="K128" s="7">
        <v>44566.666666666701</v>
      </c>
      <c r="L128" s="7">
        <v>45042.3066666667</v>
      </c>
    </row>
    <row r="129" spans="1:12" x14ac:dyDescent="0.25">
      <c r="A129" s="9">
        <v>45689</v>
      </c>
      <c r="B129" t="s">
        <v>94</v>
      </c>
      <c r="C129" t="s">
        <v>95</v>
      </c>
      <c r="D129" t="s">
        <v>34</v>
      </c>
      <c r="E129" t="s">
        <v>2092</v>
      </c>
      <c r="F129" s="8">
        <v>18.8</v>
      </c>
      <c r="G129" s="6">
        <v>43000</v>
      </c>
      <c r="H129" s="8">
        <v>44.4</v>
      </c>
      <c r="I129" s="7">
        <v>1223.8499999999999</v>
      </c>
      <c r="J129" s="8">
        <v>9.5</v>
      </c>
      <c r="K129" s="7">
        <v>67366.666666666701</v>
      </c>
      <c r="L129" s="7">
        <v>68590.516666666706</v>
      </c>
    </row>
    <row r="130" spans="1:12" x14ac:dyDescent="0.25">
      <c r="A130" s="9">
        <v>45689</v>
      </c>
      <c r="B130" t="s">
        <v>94</v>
      </c>
      <c r="C130" t="s">
        <v>95</v>
      </c>
      <c r="D130" t="s">
        <v>34</v>
      </c>
      <c r="E130" t="s">
        <v>2095</v>
      </c>
      <c r="F130" s="8">
        <v>8.1999999999999993</v>
      </c>
      <c r="G130" s="6">
        <v>27000</v>
      </c>
      <c r="H130" s="8">
        <v>45</v>
      </c>
      <c r="I130" s="7">
        <v>778.85</v>
      </c>
      <c r="J130" s="8">
        <v>4.7</v>
      </c>
      <c r="K130" s="7">
        <v>18450</v>
      </c>
      <c r="L130" s="7">
        <v>19228.849999999999</v>
      </c>
    </row>
    <row r="131" spans="1:12" x14ac:dyDescent="0.25">
      <c r="A131" s="9">
        <v>45689</v>
      </c>
      <c r="B131" t="s">
        <v>41</v>
      </c>
      <c r="C131" t="s">
        <v>42</v>
      </c>
      <c r="D131" t="s">
        <v>34</v>
      </c>
      <c r="E131" t="s">
        <v>2095</v>
      </c>
      <c r="F131" s="8">
        <v>9.3000000000000007</v>
      </c>
      <c r="G131" s="6">
        <v>27000</v>
      </c>
      <c r="H131" s="8">
        <v>4.0999999999999996</v>
      </c>
      <c r="I131" s="7">
        <v>70.959999999999994</v>
      </c>
      <c r="J131" s="8">
        <v>6.7</v>
      </c>
      <c r="K131" s="7">
        <v>20925</v>
      </c>
      <c r="L131" s="7">
        <v>20995.96</v>
      </c>
    </row>
    <row r="132" spans="1:12" x14ac:dyDescent="0.25">
      <c r="A132" s="9">
        <v>45689</v>
      </c>
      <c r="B132" t="s">
        <v>41</v>
      </c>
      <c r="C132" t="s">
        <v>42</v>
      </c>
      <c r="D132" t="s">
        <v>34</v>
      </c>
      <c r="E132" t="s">
        <v>2092</v>
      </c>
      <c r="F132" s="8">
        <v>14</v>
      </c>
      <c r="G132" s="6">
        <v>43000</v>
      </c>
      <c r="H132" s="8">
        <v>62.2</v>
      </c>
      <c r="I132" s="7">
        <v>1714.49</v>
      </c>
      <c r="J132" s="8">
        <v>6.2</v>
      </c>
      <c r="K132" s="7">
        <v>50166.666666666701</v>
      </c>
      <c r="L132" s="7">
        <v>51881.156666666699</v>
      </c>
    </row>
    <row r="133" spans="1:12" x14ac:dyDescent="0.25">
      <c r="A133" s="9">
        <v>45689</v>
      </c>
      <c r="B133" t="s">
        <v>41</v>
      </c>
      <c r="C133" t="s">
        <v>42</v>
      </c>
      <c r="D133" t="s">
        <v>34</v>
      </c>
      <c r="E133" t="s">
        <v>2093</v>
      </c>
      <c r="F133" s="8">
        <v>19.5</v>
      </c>
      <c r="G133" s="6">
        <v>29000</v>
      </c>
      <c r="H133" s="8">
        <v>82.6</v>
      </c>
      <c r="I133" s="7">
        <v>1535.51</v>
      </c>
      <c r="J133" s="8">
        <v>9.9</v>
      </c>
      <c r="K133" s="7">
        <v>47125</v>
      </c>
      <c r="L133" s="7">
        <v>48660.51</v>
      </c>
    </row>
    <row r="134" spans="1:12" x14ac:dyDescent="0.25">
      <c r="A134" s="9">
        <v>45689</v>
      </c>
      <c r="B134" t="s">
        <v>41</v>
      </c>
      <c r="C134" t="s">
        <v>42</v>
      </c>
      <c r="D134" t="s">
        <v>34</v>
      </c>
      <c r="E134" t="s">
        <v>2091</v>
      </c>
      <c r="F134" s="8">
        <v>15.6</v>
      </c>
      <c r="G134" s="6">
        <v>25000</v>
      </c>
      <c r="H134" s="8">
        <v>46.8</v>
      </c>
      <c r="I134" s="7">
        <v>750</v>
      </c>
      <c r="J134" s="8">
        <v>8</v>
      </c>
      <c r="K134" s="7">
        <v>32500</v>
      </c>
      <c r="L134" s="7">
        <v>33250</v>
      </c>
    </row>
    <row r="135" spans="1:12" x14ac:dyDescent="0.25">
      <c r="A135" s="9">
        <v>45689</v>
      </c>
      <c r="B135" t="s">
        <v>41</v>
      </c>
      <c r="C135" t="s">
        <v>42</v>
      </c>
      <c r="D135" t="s">
        <v>34</v>
      </c>
      <c r="E135" t="s">
        <v>2096</v>
      </c>
      <c r="F135" s="8">
        <v>9.3000000000000007</v>
      </c>
      <c r="G135" s="6">
        <v>35000</v>
      </c>
      <c r="H135" s="8">
        <v>28.7</v>
      </c>
      <c r="I135" s="7">
        <v>643.91</v>
      </c>
      <c r="J135" s="8">
        <v>4.2</v>
      </c>
      <c r="K135" s="7">
        <v>27125</v>
      </c>
      <c r="L135" s="7">
        <v>27768.91</v>
      </c>
    </row>
    <row r="136" spans="1:12" x14ac:dyDescent="0.25">
      <c r="A136" s="9">
        <v>45689</v>
      </c>
      <c r="B136" t="s">
        <v>47</v>
      </c>
      <c r="C136" t="s">
        <v>48</v>
      </c>
      <c r="D136" t="s">
        <v>34</v>
      </c>
      <c r="E136" t="s">
        <v>2096</v>
      </c>
      <c r="F136" s="8">
        <v>18.3</v>
      </c>
      <c r="G136" s="6">
        <v>35000</v>
      </c>
      <c r="H136" s="8">
        <v>54.4</v>
      </c>
      <c r="I136" s="7">
        <v>1220.51</v>
      </c>
      <c r="J136" s="8">
        <v>7.7</v>
      </c>
      <c r="K136" s="7">
        <v>53375</v>
      </c>
      <c r="L136" s="7">
        <v>54595.51</v>
      </c>
    </row>
    <row r="137" spans="1:12" x14ac:dyDescent="0.25">
      <c r="A137" s="9">
        <v>45689</v>
      </c>
      <c r="B137" t="s">
        <v>47</v>
      </c>
      <c r="C137" t="s">
        <v>48</v>
      </c>
      <c r="D137" t="s">
        <v>34</v>
      </c>
      <c r="E137" t="s">
        <v>2095</v>
      </c>
      <c r="F137" s="8">
        <v>8.1</v>
      </c>
      <c r="G137" s="6">
        <v>27000</v>
      </c>
      <c r="H137" s="8">
        <v>34.200000000000003</v>
      </c>
      <c r="I137" s="7">
        <v>591.91999999999996</v>
      </c>
      <c r="J137" s="8">
        <v>4.5999999999999996</v>
      </c>
      <c r="K137" s="7">
        <v>18225</v>
      </c>
      <c r="L137" s="7">
        <v>18816.919999999998</v>
      </c>
    </row>
    <row r="138" spans="1:12" x14ac:dyDescent="0.25">
      <c r="A138" s="9">
        <v>45689</v>
      </c>
      <c r="B138" t="s">
        <v>47</v>
      </c>
      <c r="C138" t="s">
        <v>48</v>
      </c>
      <c r="D138" t="s">
        <v>34</v>
      </c>
      <c r="E138" t="s">
        <v>2091</v>
      </c>
      <c r="F138" s="8">
        <v>7.5</v>
      </c>
      <c r="G138" s="6">
        <v>25000</v>
      </c>
      <c r="H138" s="8">
        <v>35.799999999999997</v>
      </c>
      <c r="I138" s="7">
        <v>573.72</v>
      </c>
      <c r="J138" s="8">
        <v>4.5999999999999996</v>
      </c>
      <c r="K138" s="7">
        <v>15625</v>
      </c>
      <c r="L138" s="7">
        <v>16198.72</v>
      </c>
    </row>
    <row r="139" spans="1:12" x14ac:dyDescent="0.25">
      <c r="A139" s="9">
        <v>45689</v>
      </c>
      <c r="B139" t="s">
        <v>47</v>
      </c>
      <c r="C139" t="s">
        <v>48</v>
      </c>
      <c r="D139" t="s">
        <v>34</v>
      </c>
      <c r="E139" t="s">
        <v>2094</v>
      </c>
      <c r="F139" s="8">
        <v>18.8</v>
      </c>
      <c r="G139" s="6">
        <v>41000</v>
      </c>
      <c r="H139" s="8">
        <v>84.3</v>
      </c>
      <c r="I139" s="7">
        <v>2215.58</v>
      </c>
      <c r="J139" s="8">
        <v>8.9</v>
      </c>
      <c r="K139" s="7">
        <v>64233.333333333299</v>
      </c>
      <c r="L139" s="7">
        <v>66448.913333333301</v>
      </c>
    </row>
    <row r="140" spans="1:12" x14ac:dyDescent="0.25">
      <c r="A140" s="9">
        <v>45689</v>
      </c>
      <c r="B140" t="s">
        <v>47</v>
      </c>
      <c r="C140" t="s">
        <v>48</v>
      </c>
      <c r="D140" t="s">
        <v>34</v>
      </c>
      <c r="E140" t="s">
        <v>2092</v>
      </c>
      <c r="F140" s="8">
        <v>18.100000000000001</v>
      </c>
      <c r="G140" s="6">
        <v>43000</v>
      </c>
      <c r="H140" s="8">
        <v>95.2</v>
      </c>
      <c r="I140" s="7">
        <v>2624.1</v>
      </c>
      <c r="J140" s="8">
        <v>7.7</v>
      </c>
      <c r="K140" s="7">
        <v>64858.333333333299</v>
      </c>
      <c r="L140" s="7">
        <v>67482.433333333407</v>
      </c>
    </row>
    <row r="141" spans="1:12" x14ac:dyDescent="0.25">
      <c r="A141" s="9">
        <v>45689</v>
      </c>
      <c r="B141" t="s">
        <v>121</v>
      </c>
      <c r="C141" t="s">
        <v>122</v>
      </c>
      <c r="D141" t="s">
        <v>34</v>
      </c>
      <c r="E141" t="s">
        <v>2091</v>
      </c>
      <c r="F141" s="8">
        <v>6</v>
      </c>
      <c r="G141" s="6">
        <v>25000</v>
      </c>
      <c r="H141" s="8">
        <v>15.9</v>
      </c>
      <c r="I141" s="7">
        <v>254.81</v>
      </c>
      <c r="J141" s="8">
        <v>2</v>
      </c>
      <c r="K141" s="7">
        <v>12500</v>
      </c>
      <c r="L141" s="7">
        <v>12754.81</v>
      </c>
    </row>
    <row r="142" spans="1:12" x14ac:dyDescent="0.25">
      <c r="A142" s="9">
        <v>45689</v>
      </c>
      <c r="B142" t="s">
        <v>121</v>
      </c>
      <c r="C142" t="s">
        <v>122</v>
      </c>
      <c r="D142" t="s">
        <v>34</v>
      </c>
      <c r="E142" t="s">
        <v>2095</v>
      </c>
      <c r="F142" s="8">
        <v>4.9000000000000004</v>
      </c>
      <c r="G142" s="6">
        <v>27000</v>
      </c>
      <c r="H142" s="8">
        <v>27.5</v>
      </c>
      <c r="I142" s="7">
        <v>475.96</v>
      </c>
      <c r="J142" s="8">
        <v>3.4</v>
      </c>
      <c r="K142" s="7">
        <v>11025</v>
      </c>
      <c r="L142" s="7">
        <v>11500.96</v>
      </c>
    </row>
    <row r="143" spans="1:12" x14ac:dyDescent="0.25">
      <c r="A143" s="9">
        <v>45689</v>
      </c>
      <c r="B143" t="s">
        <v>121</v>
      </c>
      <c r="C143" t="s">
        <v>122</v>
      </c>
      <c r="D143" t="s">
        <v>34</v>
      </c>
      <c r="E143" t="s">
        <v>2097</v>
      </c>
      <c r="F143" s="8">
        <v>15.3</v>
      </c>
      <c r="G143" s="6">
        <v>28000</v>
      </c>
      <c r="H143" s="8">
        <v>72.400000000000006</v>
      </c>
      <c r="I143" s="7">
        <v>1299.49</v>
      </c>
      <c r="J143" s="8">
        <v>8.6999999999999993</v>
      </c>
      <c r="K143" s="7">
        <v>35700</v>
      </c>
      <c r="L143" s="7">
        <v>36999.49</v>
      </c>
    </row>
    <row r="144" spans="1:12" x14ac:dyDescent="0.25">
      <c r="A144" s="9">
        <v>45689</v>
      </c>
      <c r="B144" t="s">
        <v>121</v>
      </c>
      <c r="C144" t="s">
        <v>122</v>
      </c>
      <c r="D144" t="s">
        <v>34</v>
      </c>
      <c r="E144" t="s">
        <v>2096</v>
      </c>
      <c r="F144" s="8">
        <v>10.7</v>
      </c>
      <c r="G144" s="6">
        <v>35000</v>
      </c>
      <c r="H144" s="8">
        <v>28.7</v>
      </c>
      <c r="I144" s="7">
        <v>643.91</v>
      </c>
      <c r="J144" s="8">
        <v>5.7</v>
      </c>
      <c r="K144" s="7">
        <v>31208.333333333299</v>
      </c>
      <c r="L144" s="7">
        <v>31852.243333333299</v>
      </c>
    </row>
    <row r="145" spans="1:12" x14ac:dyDescent="0.25">
      <c r="A145" s="9">
        <v>45689</v>
      </c>
      <c r="B145" t="s">
        <v>201</v>
      </c>
      <c r="C145" t="s">
        <v>202</v>
      </c>
      <c r="D145" t="s">
        <v>64</v>
      </c>
      <c r="E145" t="s">
        <v>2095</v>
      </c>
      <c r="F145" s="8">
        <v>4.0999999999999996</v>
      </c>
      <c r="G145" s="6">
        <v>27000</v>
      </c>
      <c r="H145" s="8">
        <v>15.6</v>
      </c>
      <c r="I145" s="7">
        <v>270</v>
      </c>
      <c r="J145" s="8">
        <v>2.9</v>
      </c>
      <c r="K145" s="7">
        <v>9225</v>
      </c>
      <c r="L145" s="7">
        <v>9495</v>
      </c>
    </row>
    <row r="146" spans="1:12" x14ac:dyDescent="0.25">
      <c r="A146" s="9">
        <v>45689</v>
      </c>
      <c r="B146" t="s">
        <v>201</v>
      </c>
      <c r="C146" t="s">
        <v>202</v>
      </c>
      <c r="D146" t="s">
        <v>64</v>
      </c>
      <c r="E146" t="s">
        <v>2092</v>
      </c>
      <c r="F146" s="8">
        <v>14.8</v>
      </c>
      <c r="G146" s="6">
        <v>43000</v>
      </c>
      <c r="H146" s="8">
        <v>56.6</v>
      </c>
      <c r="I146" s="7">
        <v>1560.13</v>
      </c>
      <c r="J146" s="8">
        <v>7</v>
      </c>
      <c r="K146" s="7">
        <v>53033.333333333299</v>
      </c>
      <c r="L146" s="7">
        <v>54593.463333333297</v>
      </c>
    </row>
    <row r="147" spans="1:12" x14ac:dyDescent="0.25">
      <c r="A147" s="9">
        <v>45689</v>
      </c>
      <c r="B147" t="s">
        <v>201</v>
      </c>
      <c r="C147" t="s">
        <v>202</v>
      </c>
      <c r="D147" t="s">
        <v>64</v>
      </c>
      <c r="E147" t="s">
        <v>2094</v>
      </c>
      <c r="F147" s="8">
        <v>6.7</v>
      </c>
      <c r="G147" s="6">
        <v>41000</v>
      </c>
      <c r="H147" s="8">
        <v>32.200000000000003</v>
      </c>
      <c r="I147" s="7">
        <v>846.28</v>
      </c>
      <c r="J147" s="8">
        <v>4.2</v>
      </c>
      <c r="K147" s="7">
        <v>22891.666666666701</v>
      </c>
      <c r="L147" s="7">
        <v>23737.946666666699</v>
      </c>
    </row>
    <row r="148" spans="1:12" x14ac:dyDescent="0.25">
      <c r="A148" s="9">
        <v>45689</v>
      </c>
      <c r="B148" t="s">
        <v>201</v>
      </c>
      <c r="C148" t="s">
        <v>202</v>
      </c>
      <c r="D148" t="s">
        <v>64</v>
      </c>
      <c r="E148" t="s">
        <v>2097</v>
      </c>
      <c r="F148" s="8">
        <v>9.8000000000000007</v>
      </c>
      <c r="G148" s="6">
        <v>28000</v>
      </c>
      <c r="H148" s="8">
        <v>29.4</v>
      </c>
      <c r="I148" s="7">
        <v>527.69000000000005</v>
      </c>
      <c r="J148" s="8">
        <v>4.8</v>
      </c>
      <c r="K148" s="7">
        <v>22866.666666666701</v>
      </c>
      <c r="L148" s="7">
        <v>23394.356666666699</v>
      </c>
    </row>
    <row r="149" spans="1:12" x14ac:dyDescent="0.25">
      <c r="A149" s="9">
        <v>45689</v>
      </c>
      <c r="B149" t="s">
        <v>201</v>
      </c>
      <c r="C149" t="s">
        <v>202</v>
      </c>
      <c r="D149" t="s">
        <v>64</v>
      </c>
      <c r="E149" t="s">
        <v>2091</v>
      </c>
      <c r="F149" s="8">
        <v>9.4</v>
      </c>
      <c r="G149" s="6">
        <v>25000</v>
      </c>
      <c r="H149" s="8">
        <v>22.7</v>
      </c>
      <c r="I149" s="7">
        <v>363.78</v>
      </c>
      <c r="J149" s="8">
        <v>2.2000000000000002</v>
      </c>
      <c r="K149" s="7">
        <v>19583.333333333299</v>
      </c>
      <c r="L149" s="7">
        <v>19947.113333333298</v>
      </c>
    </row>
    <row r="150" spans="1:12" x14ac:dyDescent="0.25">
      <c r="A150" s="9">
        <v>45689</v>
      </c>
      <c r="B150" t="s">
        <v>201</v>
      </c>
      <c r="C150" t="s">
        <v>202</v>
      </c>
      <c r="D150" t="s">
        <v>64</v>
      </c>
      <c r="E150" t="s">
        <v>2093</v>
      </c>
      <c r="F150" s="8">
        <v>3.6</v>
      </c>
      <c r="G150" s="6">
        <v>29000</v>
      </c>
      <c r="H150" s="8">
        <v>15.5</v>
      </c>
      <c r="I150" s="7">
        <v>288.14</v>
      </c>
      <c r="J150" s="8">
        <v>2.4</v>
      </c>
      <c r="K150" s="7">
        <v>8700</v>
      </c>
      <c r="L150" s="7">
        <v>8988.14</v>
      </c>
    </row>
    <row r="151" spans="1:12" x14ac:dyDescent="0.25">
      <c r="A151" s="9">
        <v>45689</v>
      </c>
      <c r="B151" t="s">
        <v>118</v>
      </c>
      <c r="C151" t="s">
        <v>119</v>
      </c>
      <c r="D151" t="s">
        <v>64</v>
      </c>
      <c r="E151" t="s">
        <v>2097</v>
      </c>
      <c r="F151" s="8">
        <v>12.8</v>
      </c>
      <c r="G151" s="6">
        <v>28000</v>
      </c>
      <c r="H151" s="8">
        <v>56.2</v>
      </c>
      <c r="I151" s="7">
        <v>1008.72</v>
      </c>
      <c r="J151" s="8">
        <v>4.5</v>
      </c>
      <c r="K151" s="7">
        <v>29866.666666666701</v>
      </c>
      <c r="L151" s="7">
        <v>30875.386666666702</v>
      </c>
    </row>
    <row r="152" spans="1:12" x14ac:dyDescent="0.25">
      <c r="A152" s="9">
        <v>45689</v>
      </c>
      <c r="B152" t="s">
        <v>118</v>
      </c>
      <c r="C152" t="s">
        <v>119</v>
      </c>
      <c r="D152" t="s">
        <v>64</v>
      </c>
      <c r="E152" t="s">
        <v>2096</v>
      </c>
      <c r="F152" s="8">
        <v>3.7</v>
      </c>
      <c r="G152" s="6">
        <v>35000</v>
      </c>
      <c r="H152" s="8">
        <v>12.9</v>
      </c>
      <c r="I152" s="7">
        <v>289.42</v>
      </c>
      <c r="J152" s="8">
        <v>0</v>
      </c>
      <c r="K152" s="7">
        <v>10791.666666666701</v>
      </c>
      <c r="L152" s="7">
        <v>11081.086666666701</v>
      </c>
    </row>
    <row r="153" spans="1:12" x14ac:dyDescent="0.25">
      <c r="A153" s="9">
        <v>45689</v>
      </c>
      <c r="B153" t="s">
        <v>118</v>
      </c>
      <c r="C153" t="s">
        <v>119</v>
      </c>
      <c r="D153" t="s">
        <v>64</v>
      </c>
      <c r="E153" t="s">
        <v>2095</v>
      </c>
      <c r="F153" s="8">
        <v>4.0999999999999996</v>
      </c>
      <c r="G153" s="6">
        <v>27000</v>
      </c>
      <c r="H153" s="8">
        <v>24.8</v>
      </c>
      <c r="I153" s="7">
        <v>429.23</v>
      </c>
      <c r="J153" s="8">
        <v>1</v>
      </c>
      <c r="K153" s="7">
        <v>9225</v>
      </c>
      <c r="L153" s="7">
        <v>9654.23</v>
      </c>
    </row>
    <row r="154" spans="1:12" x14ac:dyDescent="0.25">
      <c r="A154" s="9">
        <v>45689</v>
      </c>
      <c r="B154" t="s">
        <v>118</v>
      </c>
      <c r="C154" t="s">
        <v>119</v>
      </c>
      <c r="D154" t="s">
        <v>64</v>
      </c>
      <c r="E154" t="s">
        <v>2093</v>
      </c>
      <c r="F154" s="8">
        <v>16.100000000000001</v>
      </c>
      <c r="G154" s="6">
        <v>29000</v>
      </c>
      <c r="H154" s="8">
        <v>94.7</v>
      </c>
      <c r="I154" s="7">
        <v>1760.45</v>
      </c>
      <c r="J154" s="8">
        <v>9</v>
      </c>
      <c r="K154" s="7">
        <v>38908.333333333299</v>
      </c>
      <c r="L154" s="7">
        <v>40668.783333333296</v>
      </c>
    </row>
    <row r="155" spans="1:12" x14ac:dyDescent="0.25">
      <c r="A155" s="9">
        <v>45689</v>
      </c>
      <c r="B155" t="s">
        <v>118</v>
      </c>
      <c r="C155" t="s">
        <v>119</v>
      </c>
      <c r="D155" t="s">
        <v>64</v>
      </c>
      <c r="E155" t="s">
        <v>2091</v>
      </c>
      <c r="F155" s="8">
        <v>7.8</v>
      </c>
      <c r="G155" s="6">
        <v>25000</v>
      </c>
      <c r="H155" s="8">
        <v>20.7</v>
      </c>
      <c r="I155" s="7">
        <v>331.73</v>
      </c>
      <c r="J155" s="8">
        <v>2.8</v>
      </c>
      <c r="K155" s="7">
        <v>16250</v>
      </c>
      <c r="L155" s="7">
        <v>16581.73</v>
      </c>
    </row>
    <row r="156" spans="1:12" x14ac:dyDescent="0.25">
      <c r="A156" s="9">
        <v>45689</v>
      </c>
      <c r="B156" t="s">
        <v>62</v>
      </c>
      <c r="C156" t="s">
        <v>63</v>
      </c>
      <c r="D156" t="s">
        <v>64</v>
      </c>
      <c r="E156" t="s">
        <v>2095</v>
      </c>
      <c r="F156" s="8">
        <v>14.4</v>
      </c>
      <c r="G156" s="6">
        <v>27000</v>
      </c>
      <c r="H156" s="8">
        <v>65.2</v>
      </c>
      <c r="I156" s="7">
        <v>1128.46</v>
      </c>
      <c r="J156" s="8">
        <v>6.4</v>
      </c>
      <c r="K156" s="7">
        <v>32400</v>
      </c>
      <c r="L156" s="7">
        <v>33528.46</v>
      </c>
    </row>
    <row r="157" spans="1:12" x14ac:dyDescent="0.25">
      <c r="A157" s="9">
        <v>45689</v>
      </c>
      <c r="B157" t="s">
        <v>62</v>
      </c>
      <c r="C157" t="s">
        <v>63</v>
      </c>
      <c r="D157" t="s">
        <v>64</v>
      </c>
      <c r="E157" t="s">
        <v>2096</v>
      </c>
      <c r="F157" s="8">
        <v>19.399999999999999</v>
      </c>
      <c r="G157" s="6">
        <v>35000</v>
      </c>
      <c r="H157" s="8">
        <v>80.599999999999994</v>
      </c>
      <c r="I157" s="7">
        <v>1808.33</v>
      </c>
      <c r="J157" s="8">
        <v>9.1999999999999993</v>
      </c>
      <c r="K157" s="7">
        <v>56583.333333333299</v>
      </c>
      <c r="L157" s="7">
        <v>58391.663333333301</v>
      </c>
    </row>
    <row r="158" spans="1:12" x14ac:dyDescent="0.25">
      <c r="A158" s="9">
        <v>45689</v>
      </c>
      <c r="B158" t="s">
        <v>62</v>
      </c>
      <c r="C158" t="s">
        <v>63</v>
      </c>
      <c r="D158" t="s">
        <v>64</v>
      </c>
      <c r="E158" t="s">
        <v>2093</v>
      </c>
      <c r="F158" s="8">
        <v>6.2</v>
      </c>
      <c r="G158" s="6">
        <v>29000</v>
      </c>
      <c r="H158" s="8">
        <v>8.1999999999999993</v>
      </c>
      <c r="I158" s="7">
        <v>152.44</v>
      </c>
      <c r="J158" s="8">
        <v>0.9</v>
      </c>
      <c r="K158" s="7">
        <v>14983.333333333299</v>
      </c>
      <c r="L158" s="7">
        <v>15135.7733333333</v>
      </c>
    </row>
    <row r="159" spans="1:12" x14ac:dyDescent="0.25">
      <c r="A159" s="9">
        <v>45689</v>
      </c>
      <c r="B159" t="s">
        <v>62</v>
      </c>
      <c r="C159" t="s">
        <v>63</v>
      </c>
      <c r="D159" t="s">
        <v>64</v>
      </c>
      <c r="E159" t="s">
        <v>2094</v>
      </c>
      <c r="F159" s="8">
        <v>14.7</v>
      </c>
      <c r="G159" s="6">
        <v>41000</v>
      </c>
      <c r="H159" s="8">
        <v>63.8</v>
      </c>
      <c r="I159" s="7">
        <v>1676.79</v>
      </c>
      <c r="J159" s="8">
        <v>6.8</v>
      </c>
      <c r="K159" s="7">
        <v>50225</v>
      </c>
      <c r="L159" s="7">
        <v>51901.79</v>
      </c>
    </row>
    <row r="160" spans="1:12" x14ac:dyDescent="0.25">
      <c r="A160" s="9">
        <v>45689</v>
      </c>
      <c r="B160" t="s">
        <v>62</v>
      </c>
      <c r="C160" t="s">
        <v>63</v>
      </c>
      <c r="D160" t="s">
        <v>64</v>
      </c>
      <c r="E160" t="s">
        <v>2091</v>
      </c>
      <c r="F160" s="8">
        <v>16.8</v>
      </c>
      <c r="G160" s="6">
        <v>25000</v>
      </c>
      <c r="H160" s="8">
        <v>53.3</v>
      </c>
      <c r="I160" s="7">
        <v>854.17</v>
      </c>
      <c r="J160" s="8">
        <v>9.1</v>
      </c>
      <c r="K160" s="7">
        <v>35000</v>
      </c>
      <c r="L160" s="7">
        <v>35854.17</v>
      </c>
    </row>
    <row r="161" spans="1:12" x14ac:dyDescent="0.25">
      <c r="A161" s="9">
        <v>45689</v>
      </c>
      <c r="B161" t="s">
        <v>91</v>
      </c>
      <c r="C161" t="s">
        <v>92</v>
      </c>
      <c r="D161" t="s">
        <v>64</v>
      </c>
      <c r="E161" t="s">
        <v>2091</v>
      </c>
      <c r="F161" s="8">
        <v>7.9</v>
      </c>
      <c r="G161" s="6">
        <v>25000</v>
      </c>
      <c r="H161" s="8">
        <v>45.5</v>
      </c>
      <c r="I161" s="7">
        <v>729.17</v>
      </c>
      <c r="J161" s="8">
        <v>3.7</v>
      </c>
      <c r="K161" s="7">
        <v>16458.333333333299</v>
      </c>
      <c r="L161" s="7">
        <v>17187.503333333301</v>
      </c>
    </row>
    <row r="162" spans="1:12" x14ac:dyDescent="0.25">
      <c r="A162" s="9">
        <v>45689</v>
      </c>
      <c r="B162" t="s">
        <v>91</v>
      </c>
      <c r="C162" t="s">
        <v>92</v>
      </c>
      <c r="D162" t="s">
        <v>64</v>
      </c>
      <c r="E162" t="s">
        <v>2092</v>
      </c>
      <c r="F162" s="8">
        <v>4.5</v>
      </c>
      <c r="G162" s="6">
        <v>43000</v>
      </c>
      <c r="H162" s="8">
        <v>15.7</v>
      </c>
      <c r="I162" s="7">
        <v>432.76</v>
      </c>
      <c r="J162" s="8">
        <v>2.8</v>
      </c>
      <c r="K162" s="7">
        <v>16125</v>
      </c>
      <c r="L162" s="7">
        <v>16557.759999999998</v>
      </c>
    </row>
    <row r="163" spans="1:12" x14ac:dyDescent="0.25">
      <c r="A163" s="9">
        <v>45689</v>
      </c>
      <c r="B163" t="s">
        <v>91</v>
      </c>
      <c r="C163" t="s">
        <v>92</v>
      </c>
      <c r="D163" t="s">
        <v>64</v>
      </c>
      <c r="E163" t="s">
        <v>2096</v>
      </c>
      <c r="F163" s="8">
        <v>9.1999999999999993</v>
      </c>
      <c r="G163" s="6">
        <v>35000</v>
      </c>
      <c r="H163" s="8">
        <v>18.100000000000001</v>
      </c>
      <c r="I163" s="7">
        <v>406.09</v>
      </c>
      <c r="J163" s="8">
        <v>4.8</v>
      </c>
      <c r="K163" s="7">
        <v>26833.333333333299</v>
      </c>
      <c r="L163" s="7">
        <v>27239.4233333333</v>
      </c>
    </row>
    <row r="164" spans="1:12" x14ac:dyDescent="0.25">
      <c r="A164" s="9">
        <v>45689</v>
      </c>
      <c r="B164" t="s">
        <v>91</v>
      </c>
      <c r="C164" t="s">
        <v>92</v>
      </c>
      <c r="D164" t="s">
        <v>64</v>
      </c>
      <c r="E164" t="s">
        <v>2095</v>
      </c>
      <c r="F164" s="8">
        <v>17</v>
      </c>
      <c r="G164" s="6">
        <v>27000</v>
      </c>
      <c r="H164" s="8">
        <v>82.1</v>
      </c>
      <c r="I164" s="7">
        <v>1420.96</v>
      </c>
      <c r="J164" s="8">
        <v>9.1999999999999993</v>
      </c>
      <c r="K164" s="7">
        <v>38250</v>
      </c>
      <c r="L164" s="7">
        <v>39670.959999999999</v>
      </c>
    </row>
    <row r="165" spans="1:12" x14ac:dyDescent="0.25">
      <c r="A165" s="9">
        <v>45689</v>
      </c>
      <c r="B165" t="s">
        <v>91</v>
      </c>
      <c r="C165" t="s">
        <v>92</v>
      </c>
      <c r="D165" t="s">
        <v>64</v>
      </c>
      <c r="E165" t="s">
        <v>2097</v>
      </c>
      <c r="F165" s="8">
        <v>12.3</v>
      </c>
      <c r="G165" s="6">
        <v>28000</v>
      </c>
      <c r="H165" s="8">
        <v>13.5</v>
      </c>
      <c r="I165" s="7">
        <v>242.31</v>
      </c>
      <c r="J165" s="8">
        <v>5.4</v>
      </c>
      <c r="K165" s="7">
        <v>28700</v>
      </c>
      <c r="L165" s="7">
        <v>28942.31</v>
      </c>
    </row>
    <row r="166" spans="1:12" x14ac:dyDescent="0.25">
      <c r="A166" s="9">
        <v>45689</v>
      </c>
      <c r="B166" t="s">
        <v>91</v>
      </c>
      <c r="C166" t="s">
        <v>92</v>
      </c>
      <c r="D166" t="s">
        <v>64</v>
      </c>
      <c r="E166" t="s">
        <v>2094</v>
      </c>
      <c r="F166" s="8">
        <v>9.3000000000000007</v>
      </c>
      <c r="G166" s="6">
        <v>41000</v>
      </c>
      <c r="H166" s="8">
        <v>24.9</v>
      </c>
      <c r="I166" s="7">
        <v>654.41999999999996</v>
      </c>
      <c r="J166" s="8">
        <v>4.7</v>
      </c>
      <c r="K166" s="7">
        <v>31775</v>
      </c>
      <c r="L166" s="7">
        <v>32429.42</v>
      </c>
    </row>
    <row r="167" spans="1:12" x14ac:dyDescent="0.25">
      <c r="A167" s="9">
        <v>45689</v>
      </c>
      <c r="B167" t="s">
        <v>80</v>
      </c>
      <c r="C167" t="s">
        <v>81</v>
      </c>
      <c r="D167" t="s">
        <v>64</v>
      </c>
      <c r="E167" t="s">
        <v>2095</v>
      </c>
      <c r="F167" s="8">
        <v>15.5</v>
      </c>
      <c r="G167" s="6">
        <v>27000</v>
      </c>
      <c r="H167" s="8">
        <v>73.2</v>
      </c>
      <c r="I167" s="7">
        <v>1266.92</v>
      </c>
      <c r="J167" s="8">
        <v>9.1999999999999993</v>
      </c>
      <c r="K167" s="7">
        <v>34875</v>
      </c>
      <c r="L167" s="7">
        <v>36141.919999999998</v>
      </c>
    </row>
    <row r="168" spans="1:12" x14ac:dyDescent="0.25">
      <c r="A168" s="9">
        <v>45689</v>
      </c>
      <c r="B168" t="s">
        <v>80</v>
      </c>
      <c r="C168" t="s">
        <v>81</v>
      </c>
      <c r="D168" t="s">
        <v>64</v>
      </c>
      <c r="E168" t="s">
        <v>2092</v>
      </c>
      <c r="F168" s="8">
        <v>8.9</v>
      </c>
      <c r="G168" s="6">
        <v>43000</v>
      </c>
      <c r="H168" s="8">
        <v>29</v>
      </c>
      <c r="I168" s="7">
        <v>799.36</v>
      </c>
      <c r="J168" s="8">
        <v>4</v>
      </c>
      <c r="K168" s="7">
        <v>31891.666666666701</v>
      </c>
      <c r="L168" s="7">
        <v>32691.026666666701</v>
      </c>
    </row>
    <row r="169" spans="1:12" x14ac:dyDescent="0.25">
      <c r="A169" s="9">
        <v>45689</v>
      </c>
      <c r="B169" t="s">
        <v>80</v>
      </c>
      <c r="C169" t="s">
        <v>81</v>
      </c>
      <c r="D169" t="s">
        <v>64</v>
      </c>
      <c r="E169" t="s">
        <v>2097</v>
      </c>
      <c r="F169" s="8">
        <v>6</v>
      </c>
      <c r="G169" s="6">
        <v>28000</v>
      </c>
      <c r="H169" s="8">
        <v>34.299999999999997</v>
      </c>
      <c r="I169" s="7">
        <v>615.64</v>
      </c>
      <c r="J169" s="8">
        <v>3.3</v>
      </c>
      <c r="K169" s="7">
        <v>14000</v>
      </c>
      <c r="L169" s="7">
        <v>14615.64</v>
      </c>
    </row>
    <row r="170" spans="1:12" x14ac:dyDescent="0.25">
      <c r="A170" s="9">
        <v>45689</v>
      </c>
      <c r="B170" t="s">
        <v>80</v>
      </c>
      <c r="C170" t="s">
        <v>81</v>
      </c>
      <c r="D170" t="s">
        <v>64</v>
      </c>
      <c r="E170" t="s">
        <v>2093</v>
      </c>
      <c r="F170" s="8">
        <v>9.8000000000000007</v>
      </c>
      <c r="G170" s="6">
        <v>29000</v>
      </c>
      <c r="H170" s="8">
        <v>57.8</v>
      </c>
      <c r="I170" s="7">
        <v>1074.49</v>
      </c>
      <c r="J170" s="8">
        <v>5.2</v>
      </c>
      <c r="K170" s="7">
        <v>23683.333333333299</v>
      </c>
      <c r="L170" s="7">
        <v>24757.823333333301</v>
      </c>
    </row>
    <row r="171" spans="1:12" x14ac:dyDescent="0.25">
      <c r="A171" s="9">
        <v>45689</v>
      </c>
      <c r="B171" t="s">
        <v>80</v>
      </c>
      <c r="C171" t="s">
        <v>81</v>
      </c>
      <c r="D171" t="s">
        <v>64</v>
      </c>
      <c r="E171" t="s">
        <v>2096</v>
      </c>
      <c r="F171" s="8">
        <v>10.9</v>
      </c>
      <c r="G171" s="6">
        <v>35000</v>
      </c>
      <c r="H171" s="8">
        <v>24.7</v>
      </c>
      <c r="I171" s="7">
        <v>554.16999999999996</v>
      </c>
      <c r="J171" s="8">
        <v>4.0999999999999996</v>
      </c>
      <c r="K171" s="7">
        <v>31791.666666666701</v>
      </c>
      <c r="L171" s="7">
        <v>32345.836666666699</v>
      </c>
    </row>
    <row r="172" spans="1:12" x14ac:dyDescent="0.25">
      <c r="A172" s="9">
        <v>45689</v>
      </c>
      <c r="B172" t="s">
        <v>56</v>
      </c>
      <c r="C172" t="s">
        <v>57</v>
      </c>
      <c r="D172" t="s">
        <v>58</v>
      </c>
      <c r="E172" t="s">
        <v>2097</v>
      </c>
      <c r="F172" s="8">
        <v>12.2</v>
      </c>
      <c r="G172" s="6">
        <v>28000</v>
      </c>
      <c r="H172" s="8">
        <v>20.399999999999999</v>
      </c>
      <c r="I172" s="7">
        <v>366.15</v>
      </c>
      <c r="J172" s="8">
        <v>6.8</v>
      </c>
      <c r="K172" s="7">
        <v>28466.666666666701</v>
      </c>
      <c r="L172" s="7">
        <v>28832.816666666698</v>
      </c>
    </row>
    <row r="173" spans="1:12" x14ac:dyDescent="0.25">
      <c r="A173" s="9">
        <v>45689</v>
      </c>
      <c r="B173" t="s">
        <v>56</v>
      </c>
      <c r="C173" t="s">
        <v>57</v>
      </c>
      <c r="D173" t="s">
        <v>58</v>
      </c>
      <c r="E173" t="s">
        <v>2094</v>
      </c>
      <c r="F173" s="8">
        <v>9.1</v>
      </c>
      <c r="G173" s="6">
        <v>41000</v>
      </c>
      <c r="H173" s="8">
        <v>52.6</v>
      </c>
      <c r="I173" s="7">
        <v>1382.44</v>
      </c>
      <c r="J173" s="8">
        <v>6.4</v>
      </c>
      <c r="K173" s="7">
        <v>31091.666666666701</v>
      </c>
      <c r="L173" s="7">
        <v>32474.106666666699</v>
      </c>
    </row>
    <row r="174" spans="1:12" x14ac:dyDescent="0.25">
      <c r="A174" s="9">
        <v>45689</v>
      </c>
      <c r="B174" t="s">
        <v>56</v>
      </c>
      <c r="C174" t="s">
        <v>57</v>
      </c>
      <c r="D174" t="s">
        <v>58</v>
      </c>
      <c r="E174" t="s">
        <v>2093</v>
      </c>
      <c r="F174" s="8">
        <v>10.3</v>
      </c>
      <c r="G174" s="6">
        <v>29000</v>
      </c>
      <c r="H174" s="8">
        <v>54.2</v>
      </c>
      <c r="I174" s="7">
        <v>1007.56</v>
      </c>
      <c r="J174" s="8">
        <v>6.3</v>
      </c>
      <c r="K174" s="7">
        <v>24891.666666666701</v>
      </c>
      <c r="L174" s="7">
        <v>25899.226666666698</v>
      </c>
    </row>
    <row r="175" spans="1:12" x14ac:dyDescent="0.25">
      <c r="A175" s="9">
        <v>45689</v>
      </c>
      <c r="B175" t="s">
        <v>56</v>
      </c>
      <c r="C175" t="s">
        <v>57</v>
      </c>
      <c r="D175" t="s">
        <v>58</v>
      </c>
      <c r="E175" t="s">
        <v>2096</v>
      </c>
      <c r="F175" s="8">
        <v>13.2</v>
      </c>
      <c r="G175" s="6">
        <v>35000</v>
      </c>
      <c r="H175" s="8">
        <v>41.3</v>
      </c>
      <c r="I175" s="7">
        <v>926.6</v>
      </c>
      <c r="J175" s="8">
        <v>5.4</v>
      </c>
      <c r="K175" s="7">
        <v>38500</v>
      </c>
      <c r="L175" s="7">
        <v>39426.6</v>
      </c>
    </row>
    <row r="176" spans="1:12" x14ac:dyDescent="0.25">
      <c r="A176" s="9">
        <v>45689</v>
      </c>
      <c r="B176" t="s">
        <v>56</v>
      </c>
      <c r="C176" t="s">
        <v>57</v>
      </c>
      <c r="D176" t="s">
        <v>58</v>
      </c>
      <c r="E176" t="s">
        <v>2095</v>
      </c>
      <c r="F176" s="8">
        <v>18</v>
      </c>
      <c r="G176" s="6">
        <v>27000</v>
      </c>
      <c r="H176" s="8">
        <v>95</v>
      </c>
      <c r="I176" s="7">
        <v>1644.23</v>
      </c>
      <c r="J176" s="8">
        <v>9.4</v>
      </c>
      <c r="K176" s="7">
        <v>40500</v>
      </c>
      <c r="L176" s="7">
        <v>42144.23</v>
      </c>
    </row>
    <row r="177" spans="1:12" x14ac:dyDescent="0.25">
      <c r="A177" s="9">
        <v>45689</v>
      </c>
      <c r="B177" t="s">
        <v>77</v>
      </c>
      <c r="C177" t="s">
        <v>78</v>
      </c>
      <c r="D177" t="s">
        <v>58</v>
      </c>
      <c r="E177" t="s">
        <v>2094</v>
      </c>
      <c r="F177" s="8">
        <v>17.7</v>
      </c>
      <c r="G177" s="6">
        <v>41000</v>
      </c>
      <c r="H177" s="8">
        <v>73.7</v>
      </c>
      <c r="I177" s="7">
        <v>1936.99</v>
      </c>
      <c r="J177" s="8">
        <v>9.1999999999999993</v>
      </c>
      <c r="K177" s="7">
        <v>60475</v>
      </c>
      <c r="L177" s="7">
        <v>62411.99</v>
      </c>
    </row>
    <row r="178" spans="1:12" x14ac:dyDescent="0.25">
      <c r="A178" s="9">
        <v>45689</v>
      </c>
      <c r="B178" t="s">
        <v>77</v>
      </c>
      <c r="C178" t="s">
        <v>78</v>
      </c>
      <c r="D178" t="s">
        <v>58</v>
      </c>
      <c r="E178" t="s">
        <v>2095</v>
      </c>
      <c r="F178" s="8">
        <v>5.8</v>
      </c>
      <c r="G178" s="6">
        <v>27000</v>
      </c>
      <c r="H178" s="8">
        <v>26</v>
      </c>
      <c r="I178" s="7">
        <v>450</v>
      </c>
      <c r="J178" s="8">
        <v>4.2</v>
      </c>
      <c r="K178" s="7">
        <v>13050</v>
      </c>
      <c r="L178" s="7">
        <v>13500</v>
      </c>
    </row>
    <row r="179" spans="1:12" x14ac:dyDescent="0.25">
      <c r="A179" s="9">
        <v>45689</v>
      </c>
      <c r="B179" t="s">
        <v>77</v>
      </c>
      <c r="C179" t="s">
        <v>78</v>
      </c>
      <c r="D179" t="s">
        <v>58</v>
      </c>
      <c r="E179" t="s">
        <v>2096</v>
      </c>
      <c r="F179" s="8">
        <v>3.7</v>
      </c>
      <c r="G179" s="6">
        <v>35000</v>
      </c>
      <c r="H179" s="8">
        <v>22</v>
      </c>
      <c r="I179" s="7">
        <v>493.59</v>
      </c>
      <c r="J179" s="8">
        <v>2.4</v>
      </c>
      <c r="K179" s="7">
        <v>10791.666666666701</v>
      </c>
      <c r="L179" s="7">
        <v>11285.256666666701</v>
      </c>
    </row>
    <row r="180" spans="1:12" x14ac:dyDescent="0.25">
      <c r="A180" s="9">
        <v>45689</v>
      </c>
      <c r="B180" t="s">
        <v>77</v>
      </c>
      <c r="C180" t="s">
        <v>78</v>
      </c>
      <c r="D180" t="s">
        <v>58</v>
      </c>
      <c r="E180" t="s">
        <v>2092</v>
      </c>
      <c r="F180" s="8">
        <v>11.6</v>
      </c>
      <c r="G180" s="6">
        <v>43000</v>
      </c>
      <c r="H180" s="8">
        <v>61.1</v>
      </c>
      <c r="I180" s="7">
        <v>1684.17</v>
      </c>
      <c r="J180" s="8">
        <v>6.3</v>
      </c>
      <c r="K180" s="7">
        <v>41566.666666666701</v>
      </c>
      <c r="L180" s="7">
        <v>43250.836666666699</v>
      </c>
    </row>
    <row r="181" spans="1:12" x14ac:dyDescent="0.25">
      <c r="A181" s="9">
        <v>45689</v>
      </c>
      <c r="B181" t="s">
        <v>77</v>
      </c>
      <c r="C181" t="s">
        <v>78</v>
      </c>
      <c r="D181" t="s">
        <v>58</v>
      </c>
      <c r="E181" t="s">
        <v>2097</v>
      </c>
      <c r="F181" s="8">
        <v>17.600000000000001</v>
      </c>
      <c r="G181" s="6">
        <v>28000</v>
      </c>
      <c r="H181" s="8">
        <v>58.2</v>
      </c>
      <c r="I181" s="7">
        <v>1044.6199999999999</v>
      </c>
      <c r="J181" s="8">
        <v>9.6</v>
      </c>
      <c r="K181" s="7">
        <v>41066.666666666701</v>
      </c>
      <c r="L181" s="7">
        <v>42111.286666666703</v>
      </c>
    </row>
    <row r="182" spans="1:12" x14ac:dyDescent="0.25">
      <c r="A182" s="9">
        <v>45689</v>
      </c>
      <c r="B182" t="s">
        <v>110</v>
      </c>
      <c r="C182" t="s">
        <v>111</v>
      </c>
      <c r="D182" t="s">
        <v>58</v>
      </c>
      <c r="E182" t="s">
        <v>2093</v>
      </c>
      <c r="F182" s="8">
        <v>19.600000000000001</v>
      </c>
      <c r="G182" s="6">
        <v>29000</v>
      </c>
      <c r="H182" s="8">
        <v>37.4</v>
      </c>
      <c r="I182" s="7">
        <v>695.26</v>
      </c>
      <c r="J182" s="8">
        <v>10.9</v>
      </c>
      <c r="K182" s="7">
        <v>47366.666666666701</v>
      </c>
      <c r="L182" s="7">
        <v>48061.926666666703</v>
      </c>
    </row>
    <row r="183" spans="1:12" x14ac:dyDescent="0.25">
      <c r="A183" s="9">
        <v>45689</v>
      </c>
      <c r="B183" t="s">
        <v>110</v>
      </c>
      <c r="C183" t="s">
        <v>111</v>
      </c>
      <c r="D183" t="s">
        <v>58</v>
      </c>
      <c r="E183" t="s">
        <v>2092</v>
      </c>
      <c r="F183" s="8">
        <v>16.5</v>
      </c>
      <c r="G183" s="6">
        <v>43000</v>
      </c>
      <c r="H183" s="8">
        <v>36.4</v>
      </c>
      <c r="I183" s="7">
        <v>1003.33</v>
      </c>
      <c r="J183" s="8">
        <v>8.5</v>
      </c>
      <c r="K183" s="7">
        <v>59125</v>
      </c>
      <c r="L183" s="7">
        <v>60128.33</v>
      </c>
    </row>
    <row r="184" spans="1:12" x14ac:dyDescent="0.25">
      <c r="A184" s="9">
        <v>45689</v>
      </c>
      <c r="B184" t="s">
        <v>110</v>
      </c>
      <c r="C184" t="s">
        <v>111</v>
      </c>
      <c r="D184" t="s">
        <v>58</v>
      </c>
      <c r="E184" t="s">
        <v>2094</v>
      </c>
      <c r="F184" s="8">
        <v>17</v>
      </c>
      <c r="G184" s="6">
        <v>41000</v>
      </c>
      <c r="H184" s="8">
        <v>46.4</v>
      </c>
      <c r="I184" s="7">
        <v>1219.49</v>
      </c>
      <c r="J184" s="8">
        <v>9.1</v>
      </c>
      <c r="K184" s="7">
        <v>58083.333333333299</v>
      </c>
      <c r="L184" s="7">
        <v>59302.823333333297</v>
      </c>
    </row>
    <row r="185" spans="1:12" x14ac:dyDescent="0.25">
      <c r="A185" s="9">
        <v>45689</v>
      </c>
      <c r="B185" t="s">
        <v>110</v>
      </c>
      <c r="C185" t="s">
        <v>111</v>
      </c>
      <c r="D185" t="s">
        <v>58</v>
      </c>
      <c r="E185" t="s">
        <v>2097</v>
      </c>
      <c r="F185" s="8">
        <v>9.6999999999999993</v>
      </c>
      <c r="G185" s="6">
        <v>28000</v>
      </c>
      <c r="H185" s="8">
        <v>38.299999999999997</v>
      </c>
      <c r="I185" s="7">
        <v>687.44</v>
      </c>
      <c r="J185" s="8">
        <v>3.3</v>
      </c>
      <c r="K185" s="7">
        <v>22633.333333333299</v>
      </c>
      <c r="L185" s="7">
        <v>23320.773333333302</v>
      </c>
    </row>
    <row r="186" spans="1:12" x14ac:dyDescent="0.25">
      <c r="A186" s="9">
        <v>45689</v>
      </c>
      <c r="B186" t="s">
        <v>110</v>
      </c>
      <c r="C186" t="s">
        <v>111</v>
      </c>
      <c r="D186" t="s">
        <v>58</v>
      </c>
      <c r="E186" t="s">
        <v>2095</v>
      </c>
      <c r="F186" s="8">
        <v>17</v>
      </c>
      <c r="G186" s="6">
        <v>27000</v>
      </c>
      <c r="H186" s="8">
        <v>78.7</v>
      </c>
      <c r="I186" s="7">
        <v>1362.12</v>
      </c>
      <c r="J186" s="8">
        <v>7.9</v>
      </c>
      <c r="K186" s="7">
        <v>38250</v>
      </c>
      <c r="L186" s="7">
        <v>39612.120000000003</v>
      </c>
    </row>
    <row r="187" spans="1:12" x14ac:dyDescent="0.25">
      <c r="A187" s="9">
        <v>45689</v>
      </c>
      <c r="B187" t="s">
        <v>110</v>
      </c>
      <c r="C187" t="s">
        <v>111</v>
      </c>
      <c r="D187" t="s">
        <v>58</v>
      </c>
      <c r="E187" t="s">
        <v>2091</v>
      </c>
      <c r="F187" s="8">
        <v>18</v>
      </c>
      <c r="G187" s="6">
        <v>25000</v>
      </c>
      <c r="H187" s="8">
        <v>95.8</v>
      </c>
      <c r="I187" s="7">
        <v>1535.26</v>
      </c>
      <c r="J187" s="8">
        <v>9</v>
      </c>
      <c r="K187" s="7">
        <v>37500</v>
      </c>
      <c r="L187" s="7">
        <v>39035.26</v>
      </c>
    </row>
    <row r="188" spans="1:12" x14ac:dyDescent="0.25">
      <c r="A188" s="9">
        <v>45689</v>
      </c>
      <c r="B188" t="s">
        <v>85</v>
      </c>
      <c r="C188" t="s">
        <v>86</v>
      </c>
      <c r="D188" t="s">
        <v>58</v>
      </c>
      <c r="E188" t="s">
        <v>2092</v>
      </c>
      <c r="F188" s="8">
        <v>7.3</v>
      </c>
      <c r="G188" s="6">
        <v>43000</v>
      </c>
      <c r="H188" s="8">
        <v>33.5</v>
      </c>
      <c r="I188" s="7">
        <v>923.4</v>
      </c>
      <c r="J188" s="8">
        <v>2.7</v>
      </c>
      <c r="K188" s="7">
        <v>26158.333333333299</v>
      </c>
      <c r="L188" s="7">
        <v>27081.733333333301</v>
      </c>
    </row>
    <row r="189" spans="1:12" x14ac:dyDescent="0.25">
      <c r="A189" s="9">
        <v>45689</v>
      </c>
      <c r="B189" t="s">
        <v>85</v>
      </c>
      <c r="C189" t="s">
        <v>86</v>
      </c>
      <c r="D189" t="s">
        <v>58</v>
      </c>
      <c r="E189" t="s">
        <v>2091</v>
      </c>
      <c r="F189" s="8">
        <v>12.4</v>
      </c>
      <c r="G189" s="6">
        <v>25000</v>
      </c>
      <c r="H189" s="8">
        <v>38.6</v>
      </c>
      <c r="I189" s="7">
        <v>618.59</v>
      </c>
      <c r="J189" s="8">
        <v>5.7</v>
      </c>
      <c r="K189" s="7">
        <v>25833.333333333299</v>
      </c>
      <c r="L189" s="7">
        <v>26451.9233333333</v>
      </c>
    </row>
    <row r="190" spans="1:12" x14ac:dyDescent="0.25">
      <c r="A190" s="9">
        <v>45689</v>
      </c>
      <c r="B190" t="s">
        <v>85</v>
      </c>
      <c r="C190" t="s">
        <v>86</v>
      </c>
      <c r="D190" t="s">
        <v>58</v>
      </c>
      <c r="E190" t="s">
        <v>2097</v>
      </c>
      <c r="F190" s="8">
        <v>19</v>
      </c>
      <c r="G190" s="6">
        <v>28000</v>
      </c>
      <c r="H190" s="8">
        <v>100.4</v>
      </c>
      <c r="I190" s="7">
        <v>1802.05</v>
      </c>
      <c r="J190" s="8">
        <v>11.2</v>
      </c>
      <c r="K190" s="7">
        <v>44333.333333333299</v>
      </c>
      <c r="L190" s="7">
        <v>46135.383333333302</v>
      </c>
    </row>
    <row r="191" spans="1:12" x14ac:dyDescent="0.25">
      <c r="A191" s="9">
        <v>45689</v>
      </c>
      <c r="B191" t="s">
        <v>85</v>
      </c>
      <c r="C191" t="s">
        <v>86</v>
      </c>
      <c r="D191" t="s">
        <v>58</v>
      </c>
      <c r="E191" t="s">
        <v>2095</v>
      </c>
      <c r="F191" s="8">
        <v>15.6</v>
      </c>
      <c r="G191" s="6">
        <v>27000</v>
      </c>
      <c r="H191" s="8">
        <v>43.6</v>
      </c>
      <c r="I191" s="7">
        <v>754.62</v>
      </c>
      <c r="J191" s="8">
        <v>8.9</v>
      </c>
      <c r="K191" s="7">
        <v>35100</v>
      </c>
      <c r="L191" s="7">
        <v>35854.620000000003</v>
      </c>
    </row>
    <row r="192" spans="1:12" x14ac:dyDescent="0.25">
      <c r="A192" s="9">
        <v>45689</v>
      </c>
      <c r="B192" t="s">
        <v>85</v>
      </c>
      <c r="C192" t="s">
        <v>86</v>
      </c>
      <c r="D192" t="s">
        <v>58</v>
      </c>
      <c r="E192" t="s">
        <v>2094</v>
      </c>
      <c r="F192" s="8">
        <v>14.6</v>
      </c>
      <c r="G192" s="6">
        <v>41000</v>
      </c>
      <c r="H192" s="8">
        <v>10.9</v>
      </c>
      <c r="I192" s="7">
        <v>286.47000000000003</v>
      </c>
      <c r="J192" s="8">
        <v>6.1</v>
      </c>
      <c r="K192" s="7">
        <v>49883.333333333299</v>
      </c>
      <c r="L192" s="7">
        <v>50169.803333333301</v>
      </c>
    </row>
    <row r="193" spans="1:12" x14ac:dyDescent="0.25">
      <c r="A193" s="9">
        <v>45689</v>
      </c>
      <c r="B193" t="s">
        <v>85</v>
      </c>
      <c r="C193" t="s">
        <v>86</v>
      </c>
      <c r="D193" t="s">
        <v>58</v>
      </c>
      <c r="E193" t="s">
        <v>2096</v>
      </c>
      <c r="F193" s="8">
        <v>16.399999999999999</v>
      </c>
      <c r="G193" s="6">
        <v>35000</v>
      </c>
      <c r="H193" s="8">
        <v>42</v>
      </c>
      <c r="I193" s="7">
        <v>942.31</v>
      </c>
      <c r="J193" s="8">
        <v>6.8</v>
      </c>
      <c r="K193" s="7">
        <v>47833.333333333299</v>
      </c>
      <c r="L193" s="7">
        <v>48775.643333333297</v>
      </c>
    </row>
    <row r="194" spans="1:12" x14ac:dyDescent="0.25">
      <c r="A194" s="9">
        <v>45689</v>
      </c>
      <c r="B194" t="s">
        <v>103</v>
      </c>
      <c r="C194" t="s">
        <v>104</v>
      </c>
      <c r="D194" t="s">
        <v>58</v>
      </c>
      <c r="E194" t="s">
        <v>2091</v>
      </c>
      <c r="F194" s="8">
        <v>14.2</v>
      </c>
      <c r="G194" s="6">
        <v>25000</v>
      </c>
      <c r="H194" s="8">
        <v>23.1</v>
      </c>
      <c r="I194" s="7">
        <v>370.19</v>
      </c>
      <c r="J194" s="8">
        <v>7.5</v>
      </c>
      <c r="K194" s="7">
        <v>29583.333333333299</v>
      </c>
      <c r="L194" s="7">
        <v>29953.523333333302</v>
      </c>
    </row>
    <row r="195" spans="1:12" x14ac:dyDescent="0.25">
      <c r="A195" s="9">
        <v>45689</v>
      </c>
      <c r="B195" t="s">
        <v>103</v>
      </c>
      <c r="C195" t="s">
        <v>104</v>
      </c>
      <c r="D195" t="s">
        <v>58</v>
      </c>
      <c r="E195" t="s">
        <v>2094</v>
      </c>
      <c r="F195" s="8">
        <v>9.6999999999999993</v>
      </c>
      <c r="G195" s="6">
        <v>41000</v>
      </c>
      <c r="H195" s="8">
        <v>35.700000000000003</v>
      </c>
      <c r="I195" s="7">
        <v>938.27</v>
      </c>
      <c r="J195" s="8">
        <v>5.2</v>
      </c>
      <c r="K195" s="7">
        <v>33141.666666666701</v>
      </c>
      <c r="L195" s="7">
        <v>34079.936666666697</v>
      </c>
    </row>
    <row r="196" spans="1:12" x14ac:dyDescent="0.25">
      <c r="A196" s="9">
        <v>45689</v>
      </c>
      <c r="B196" t="s">
        <v>103</v>
      </c>
      <c r="C196" t="s">
        <v>104</v>
      </c>
      <c r="D196" t="s">
        <v>58</v>
      </c>
      <c r="E196" t="s">
        <v>2095</v>
      </c>
      <c r="F196" s="8">
        <v>12.8</v>
      </c>
      <c r="G196" s="6">
        <v>27000</v>
      </c>
      <c r="H196" s="8">
        <v>64.5</v>
      </c>
      <c r="I196" s="7">
        <v>1116.3499999999999</v>
      </c>
      <c r="J196" s="8">
        <v>6.7</v>
      </c>
      <c r="K196" s="7">
        <v>28800</v>
      </c>
      <c r="L196" s="7">
        <v>29916.35</v>
      </c>
    </row>
    <row r="197" spans="1:12" x14ac:dyDescent="0.25">
      <c r="A197" s="9">
        <v>45689</v>
      </c>
      <c r="B197" t="s">
        <v>103</v>
      </c>
      <c r="C197" t="s">
        <v>104</v>
      </c>
      <c r="D197" t="s">
        <v>58</v>
      </c>
      <c r="E197" t="s">
        <v>2096</v>
      </c>
      <c r="F197" s="8">
        <v>15.7</v>
      </c>
      <c r="G197" s="6">
        <v>35000</v>
      </c>
      <c r="H197" s="8">
        <v>78.3</v>
      </c>
      <c r="I197" s="7">
        <v>1756.73</v>
      </c>
      <c r="J197" s="8">
        <v>7.8</v>
      </c>
      <c r="K197" s="7">
        <v>45791.666666666701</v>
      </c>
      <c r="L197" s="7">
        <v>47548.396666666697</v>
      </c>
    </row>
    <row r="198" spans="1:12" x14ac:dyDescent="0.25">
      <c r="A198" s="9">
        <v>45689</v>
      </c>
      <c r="B198" t="s">
        <v>103</v>
      </c>
      <c r="C198" t="s">
        <v>104</v>
      </c>
      <c r="D198" t="s">
        <v>58</v>
      </c>
      <c r="E198" t="s">
        <v>2092</v>
      </c>
      <c r="F198" s="8">
        <v>14.7</v>
      </c>
      <c r="G198" s="6">
        <v>43000</v>
      </c>
      <c r="H198" s="8">
        <v>32.6</v>
      </c>
      <c r="I198" s="7">
        <v>898.59</v>
      </c>
      <c r="J198" s="8">
        <v>8.4</v>
      </c>
      <c r="K198" s="7">
        <v>52675</v>
      </c>
      <c r="L198" s="7">
        <v>53573.59</v>
      </c>
    </row>
    <row r="199" spans="1:12" x14ac:dyDescent="0.25">
      <c r="A199" s="9">
        <v>45717</v>
      </c>
      <c r="B199" t="s">
        <v>100</v>
      </c>
      <c r="C199" t="s">
        <v>101</v>
      </c>
      <c r="D199" t="s">
        <v>69</v>
      </c>
      <c r="E199" t="s">
        <v>2093</v>
      </c>
      <c r="F199" s="8">
        <v>17.2</v>
      </c>
      <c r="G199" s="6">
        <v>29000</v>
      </c>
      <c r="H199" s="8">
        <v>53.6</v>
      </c>
      <c r="I199" s="7">
        <v>996.41</v>
      </c>
      <c r="J199" s="8">
        <v>7.7</v>
      </c>
      <c r="K199" s="7">
        <v>41566.666666666701</v>
      </c>
      <c r="L199" s="7">
        <v>42563.076666666697</v>
      </c>
    </row>
    <row r="200" spans="1:12" x14ac:dyDescent="0.25">
      <c r="A200" s="9">
        <v>45717</v>
      </c>
      <c r="B200" t="s">
        <v>100</v>
      </c>
      <c r="C200" t="s">
        <v>101</v>
      </c>
      <c r="D200" t="s">
        <v>69</v>
      </c>
      <c r="E200" t="s">
        <v>2095</v>
      </c>
      <c r="F200" s="8">
        <v>18.2</v>
      </c>
      <c r="G200" s="6">
        <v>27000</v>
      </c>
      <c r="H200" s="8">
        <v>67.900000000000006</v>
      </c>
      <c r="I200" s="7">
        <v>1175.19</v>
      </c>
      <c r="J200" s="8">
        <v>8.1999999999999993</v>
      </c>
      <c r="K200" s="7">
        <v>40950</v>
      </c>
      <c r="L200" s="7">
        <v>42125.19</v>
      </c>
    </row>
    <row r="201" spans="1:12" x14ac:dyDescent="0.25">
      <c r="A201" s="9">
        <v>45717</v>
      </c>
      <c r="B201" t="s">
        <v>100</v>
      </c>
      <c r="C201" t="s">
        <v>101</v>
      </c>
      <c r="D201" t="s">
        <v>69</v>
      </c>
      <c r="E201" t="s">
        <v>2096</v>
      </c>
      <c r="F201" s="8">
        <v>6.2</v>
      </c>
      <c r="G201" s="6">
        <v>35000</v>
      </c>
      <c r="H201" s="8">
        <v>20.9</v>
      </c>
      <c r="I201" s="7">
        <v>468.91</v>
      </c>
      <c r="J201" s="8">
        <v>3.4</v>
      </c>
      <c r="K201" s="7">
        <v>18083.333333333299</v>
      </c>
      <c r="L201" s="7">
        <v>18552.243333333299</v>
      </c>
    </row>
    <row r="202" spans="1:12" x14ac:dyDescent="0.25">
      <c r="A202" s="9">
        <v>45717</v>
      </c>
      <c r="B202" t="s">
        <v>100</v>
      </c>
      <c r="C202" t="s">
        <v>101</v>
      </c>
      <c r="D202" t="s">
        <v>69</v>
      </c>
      <c r="E202" t="s">
        <v>2097</v>
      </c>
      <c r="F202" s="8">
        <v>3</v>
      </c>
      <c r="G202" s="6">
        <v>28000</v>
      </c>
      <c r="H202" s="8">
        <v>13.6</v>
      </c>
      <c r="I202" s="7">
        <v>244.1</v>
      </c>
      <c r="J202" s="8">
        <v>0.6</v>
      </c>
      <c r="K202" s="7">
        <v>7000</v>
      </c>
      <c r="L202" s="7">
        <v>7244.1</v>
      </c>
    </row>
    <row r="203" spans="1:12" x14ac:dyDescent="0.25">
      <c r="A203" s="9">
        <v>45717</v>
      </c>
      <c r="B203" t="s">
        <v>113</v>
      </c>
      <c r="C203" t="s">
        <v>114</v>
      </c>
      <c r="D203" t="s">
        <v>69</v>
      </c>
      <c r="E203" t="s">
        <v>2097</v>
      </c>
      <c r="F203" s="8">
        <v>7.1</v>
      </c>
      <c r="G203" s="6">
        <v>28000</v>
      </c>
      <c r="H203" s="8">
        <v>23.2</v>
      </c>
      <c r="I203" s="7">
        <v>416.41</v>
      </c>
      <c r="J203" s="8">
        <v>4.5999999999999996</v>
      </c>
      <c r="K203" s="7">
        <v>16566.666666666701</v>
      </c>
      <c r="L203" s="7">
        <v>16983.0766666667</v>
      </c>
    </row>
    <row r="204" spans="1:12" x14ac:dyDescent="0.25">
      <c r="A204" s="9">
        <v>45717</v>
      </c>
      <c r="B204" t="s">
        <v>113</v>
      </c>
      <c r="C204" t="s">
        <v>114</v>
      </c>
      <c r="D204" t="s">
        <v>69</v>
      </c>
      <c r="E204" t="s">
        <v>2091</v>
      </c>
      <c r="F204" s="8">
        <v>9.9</v>
      </c>
      <c r="G204" s="6">
        <v>25000</v>
      </c>
      <c r="H204" s="8">
        <v>47</v>
      </c>
      <c r="I204" s="7">
        <v>753.21</v>
      </c>
      <c r="J204" s="8">
        <v>7</v>
      </c>
      <c r="K204" s="7">
        <v>20625</v>
      </c>
      <c r="L204" s="7">
        <v>21378.21</v>
      </c>
    </row>
    <row r="205" spans="1:12" x14ac:dyDescent="0.25">
      <c r="A205" s="9">
        <v>45717</v>
      </c>
      <c r="B205" t="s">
        <v>113</v>
      </c>
      <c r="C205" t="s">
        <v>114</v>
      </c>
      <c r="D205" t="s">
        <v>69</v>
      </c>
      <c r="E205" t="s">
        <v>2096</v>
      </c>
      <c r="F205" s="8">
        <v>17</v>
      </c>
      <c r="G205" s="6">
        <v>35000</v>
      </c>
      <c r="H205" s="8">
        <v>98.1</v>
      </c>
      <c r="I205" s="7">
        <v>2200.96</v>
      </c>
      <c r="J205" s="8">
        <v>9.6</v>
      </c>
      <c r="K205" s="7">
        <v>49583.333333333299</v>
      </c>
      <c r="L205" s="7">
        <v>51784.293333333299</v>
      </c>
    </row>
    <row r="206" spans="1:12" x14ac:dyDescent="0.25">
      <c r="A206" s="9">
        <v>45717</v>
      </c>
      <c r="B206" t="s">
        <v>113</v>
      </c>
      <c r="C206" t="s">
        <v>114</v>
      </c>
      <c r="D206" t="s">
        <v>69</v>
      </c>
      <c r="E206" t="s">
        <v>2093</v>
      </c>
      <c r="F206" s="8">
        <v>12.2</v>
      </c>
      <c r="G206" s="6">
        <v>29000</v>
      </c>
      <c r="H206" s="8">
        <v>23.4</v>
      </c>
      <c r="I206" s="7">
        <v>435</v>
      </c>
      <c r="J206" s="8">
        <v>6.9</v>
      </c>
      <c r="K206" s="7">
        <v>29483.333333333299</v>
      </c>
      <c r="L206" s="7">
        <v>29918.333333333299</v>
      </c>
    </row>
    <row r="207" spans="1:12" x14ac:dyDescent="0.25">
      <c r="A207" s="9">
        <v>45717</v>
      </c>
      <c r="B207" t="s">
        <v>113</v>
      </c>
      <c r="C207" t="s">
        <v>114</v>
      </c>
      <c r="D207" t="s">
        <v>69</v>
      </c>
      <c r="E207" t="s">
        <v>2095</v>
      </c>
      <c r="F207" s="8">
        <v>4.5999999999999996</v>
      </c>
      <c r="G207" s="6">
        <v>27000</v>
      </c>
      <c r="H207" s="8">
        <v>18</v>
      </c>
      <c r="I207" s="7">
        <v>311.54000000000002</v>
      </c>
      <c r="J207" s="8">
        <v>1.7</v>
      </c>
      <c r="K207" s="7">
        <v>10350</v>
      </c>
      <c r="L207" s="7">
        <v>10661.54</v>
      </c>
    </row>
    <row r="208" spans="1:12" x14ac:dyDescent="0.25">
      <c r="A208" s="9">
        <v>45717</v>
      </c>
      <c r="B208" t="s">
        <v>113</v>
      </c>
      <c r="C208" t="s">
        <v>114</v>
      </c>
      <c r="D208" t="s">
        <v>69</v>
      </c>
      <c r="E208" t="s">
        <v>2092</v>
      </c>
      <c r="F208" s="8">
        <v>16.8</v>
      </c>
      <c r="G208" s="6">
        <v>43000</v>
      </c>
      <c r="H208" s="8">
        <v>71.400000000000006</v>
      </c>
      <c r="I208" s="7">
        <v>1968.08</v>
      </c>
      <c r="J208" s="8">
        <v>9.3000000000000007</v>
      </c>
      <c r="K208" s="7">
        <v>60200</v>
      </c>
      <c r="L208" s="7">
        <v>62168.08</v>
      </c>
    </row>
    <row r="209" spans="1:12" x14ac:dyDescent="0.25">
      <c r="A209" s="9">
        <v>45717</v>
      </c>
      <c r="B209" t="s">
        <v>143</v>
      </c>
      <c r="C209" t="s">
        <v>144</v>
      </c>
      <c r="D209" t="s">
        <v>69</v>
      </c>
      <c r="E209" t="s">
        <v>2091</v>
      </c>
      <c r="F209" s="8">
        <v>6.5</v>
      </c>
      <c r="G209" s="6">
        <v>25000</v>
      </c>
      <c r="H209" s="8">
        <v>30.9</v>
      </c>
      <c r="I209" s="7">
        <v>495.19</v>
      </c>
      <c r="J209" s="8">
        <v>2.4</v>
      </c>
      <c r="K209" s="7">
        <v>13541.666666666701</v>
      </c>
      <c r="L209" s="7">
        <v>14036.856666666699</v>
      </c>
    </row>
    <row r="210" spans="1:12" x14ac:dyDescent="0.25">
      <c r="A210" s="9">
        <v>45717</v>
      </c>
      <c r="B210" t="s">
        <v>143</v>
      </c>
      <c r="C210" t="s">
        <v>144</v>
      </c>
      <c r="D210" t="s">
        <v>69</v>
      </c>
      <c r="E210" t="s">
        <v>2097</v>
      </c>
      <c r="F210" s="8">
        <v>17.100000000000001</v>
      </c>
      <c r="G210" s="6">
        <v>28000</v>
      </c>
      <c r="H210" s="8">
        <v>87.4</v>
      </c>
      <c r="I210" s="7">
        <v>1568.72</v>
      </c>
      <c r="J210" s="8">
        <v>7.9</v>
      </c>
      <c r="K210" s="7">
        <v>39900</v>
      </c>
      <c r="L210" s="7">
        <v>41468.720000000001</v>
      </c>
    </row>
    <row r="211" spans="1:12" x14ac:dyDescent="0.25">
      <c r="A211" s="9">
        <v>45717</v>
      </c>
      <c r="B211" t="s">
        <v>143</v>
      </c>
      <c r="C211" t="s">
        <v>144</v>
      </c>
      <c r="D211" t="s">
        <v>69</v>
      </c>
      <c r="E211" t="s">
        <v>2094</v>
      </c>
      <c r="F211" s="8">
        <v>14.6</v>
      </c>
      <c r="G211" s="6">
        <v>41000</v>
      </c>
      <c r="H211" s="8">
        <v>63.1</v>
      </c>
      <c r="I211" s="7">
        <v>1658.4</v>
      </c>
      <c r="J211" s="8">
        <v>7</v>
      </c>
      <c r="K211" s="7">
        <v>49883.333333333299</v>
      </c>
      <c r="L211" s="7">
        <v>51541.733333333301</v>
      </c>
    </row>
    <row r="212" spans="1:12" x14ac:dyDescent="0.25">
      <c r="A212" s="9">
        <v>45717</v>
      </c>
      <c r="B212" t="s">
        <v>143</v>
      </c>
      <c r="C212" t="s">
        <v>144</v>
      </c>
      <c r="D212" t="s">
        <v>69</v>
      </c>
      <c r="E212" t="s">
        <v>2095</v>
      </c>
      <c r="F212" s="8">
        <v>4.0999999999999996</v>
      </c>
      <c r="G212" s="6">
        <v>27000</v>
      </c>
      <c r="H212" s="8">
        <v>15.1</v>
      </c>
      <c r="I212" s="7">
        <v>261.35000000000002</v>
      </c>
      <c r="J212" s="8">
        <v>2.8</v>
      </c>
      <c r="K212" s="7">
        <v>9225</v>
      </c>
      <c r="L212" s="7">
        <v>9486.35</v>
      </c>
    </row>
    <row r="213" spans="1:12" x14ac:dyDescent="0.25">
      <c r="A213" s="9">
        <v>45717</v>
      </c>
      <c r="B213" t="s">
        <v>73</v>
      </c>
      <c r="C213" t="s">
        <v>74</v>
      </c>
      <c r="D213" t="s">
        <v>69</v>
      </c>
      <c r="E213" t="s">
        <v>2091</v>
      </c>
      <c r="F213" s="8">
        <v>14.9</v>
      </c>
      <c r="G213" s="6">
        <v>25000</v>
      </c>
      <c r="H213" s="8">
        <v>36.4</v>
      </c>
      <c r="I213" s="7">
        <v>583.33000000000004</v>
      </c>
      <c r="J213" s="8">
        <v>9.4</v>
      </c>
      <c r="K213" s="7">
        <v>31041.666666666701</v>
      </c>
      <c r="L213" s="7">
        <v>31624.996666666699</v>
      </c>
    </row>
    <row r="214" spans="1:12" x14ac:dyDescent="0.25">
      <c r="A214" s="9">
        <v>45717</v>
      </c>
      <c r="B214" t="s">
        <v>73</v>
      </c>
      <c r="C214" t="s">
        <v>74</v>
      </c>
      <c r="D214" t="s">
        <v>69</v>
      </c>
      <c r="E214" t="s">
        <v>2096</v>
      </c>
      <c r="F214" s="8">
        <v>8.1</v>
      </c>
      <c r="G214" s="6">
        <v>35000</v>
      </c>
      <c r="H214" s="8">
        <v>10.3</v>
      </c>
      <c r="I214" s="7">
        <v>231.09</v>
      </c>
      <c r="J214" s="8">
        <v>3.5</v>
      </c>
      <c r="K214" s="7">
        <v>23625</v>
      </c>
      <c r="L214" s="7">
        <v>23856.09</v>
      </c>
    </row>
    <row r="215" spans="1:12" x14ac:dyDescent="0.25">
      <c r="A215" s="9">
        <v>45717</v>
      </c>
      <c r="B215" t="s">
        <v>73</v>
      </c>
      <c r="C215" t="s">
        <v>74</v>
      </c>
      <c r="D215" t="s">
        <v>69</v>
      </c>
      <c r="E215" t="s">
        <v>2094</v>
      </c>
      <c r="F215" s="8">
        <v>9.6</v>
      </c>
      <c r="G215" s="6">
        <v>41000</v>
      </c>
      <c r="H215" s="8">
        <v>43.7</v>
      </c>
      <c r="I215" s="7">
        <v>1148.53</v>
      </c>
      <c r="J215" s="8">
        <v>5.4</v>
      </c>
      <c r="K215" s="7">
        <v>32800</v>
      </c>
      <c r="L215" s="7">
        <v>33948.53</v>
      </c>
    </row>
    <row r="216" spans="1:12" x14ac:dyDescent="0.25">
      <c r="A216" s="9">
        <v>45717</v>
      </c>
      <c r="B216" t="s">
        <v>73</v>
      </c>
      <c r="C216" t="s">
        <v>74</v>
      </c>
      <c r="D216" t="s">
        <v>69</v>
      </c>
      <c r="E216" t="s">
        <v>2095</v>
      </c>
      <c r="F216" s="8">
        <v>6.5</v>
      </c>
      <c r="G216" s="6">
        <v>27000</v>
      </c>
      <c r="H216" s="8">
        <v>25</v>
      </c>
      <c r="I216" s="7">
        <v>432.69</v>
      </c>
      <c r="J216" s="8">
        <v>3.2</v>
      </c>
      <c r="K216" s="7">
        <v>14625</v>
      </c>
      <c r="L216" s="7">
        <v>15057.69</v>
      </c>
    </row>
    <row r="217" spans="1:12" x14ac:dyDescent="0.25">
      <c r="A217" s="9">
        <v>45717</v>
      </c>
      <c r="B217" t="s">
        <v>73</v>
      </c>
      <c r="C217" t="s">
        <v>74</v>
      </c>
      <c r="D217" t="s">
        <v>69</v>
      </c>
      <c r="E217" t="s">
        <v>2097</v>
      </c>
      <c r="F217" s="8">
        <v>10.3</v>
      </c>
      <c r="G217" s="6">
        <v>28000</v>
      </c>
      <c r="H217" s="8">
        <v>47.5</v>
      </c>
      <c r="I217" s="7">
        <v>852.56</v>
      </c>
      <c r="J217" s="8">
        <v>4.9000000000000004</v>
      </c>
      <c r="K217" s="7">
        <v>24033.333333333299</v>
      </c>
      <c r="L217" s="7">
        <v>24885.893333333301</v>
      </c>
    </row>
    <row r="218" spans="1:12" x14ac:dyDescent="0.25">
      <c r="A218" s="9">
        <v>45717</v>
      </c>
      <c r="B218" t="s">
        <v>67</v>
      </c>
      <c r="C218" t="s">
        <v>68</v>
      </c>
      <c r="D218" t="s">
        <v>69</v>
      </c>
      <c r="E218" t="s">
        <v>2096</v>
      </c>
      <c r="F218" s="8">
        <v>19.600000000000001</v>
      </c>
      <c r="G218" s="6">
        <v>35000</v>
      </c>
      <c r="H218" s="8">
        <v>119.4</v>
      </c>
      <c r="I218" s="7">
        <v>2678.85</v>
      </c>
      <c r="J218" s="8">
        <v>10.6</v>
      </c>
      <c r="K218" s="7">
        <v>57166.666666666701</v>
      </c>
      <c r="L218" s="7">
        <v>59845.516666666699</v>
      </c>
    </row>
    <row r="219" spans="1:12" x14ac:dyDescent="0.25">
      <c r="A219" s="9">
        <v>45717</v>
      </c>
      <c r="B219" t="s">
        <v>67</v>
      </c>
      <c r="C219" t="s">
        <v>68</v>
      </c>
      <c r="D219" t="s">
        <v>69</v>
      </c>
      <c r="E219" t="s">
        <v>2095</v>
      </c>
      <c r="F219" s="8">
        <v>11.5</v>
      </c>
      <c r="G219" s="6">
        <v>27000</v>
      </c>
      <c r="H219" s="8">
        <v>61.1</v>
      </c>
      <c r="I219" s="7">
        <v>1057.5</v>
      </c>
      <c r="J219" s="8">
        <v>4.8</v>
      </c>
      <c r="K219" s="7">
        <v>25875</v>
      </c>
      <c r="L219" s="7">
        <v>26932.5</v>
      </c>
    </row>
    <row r="220" spans="1:12" x14ac:dyDescent="0.25">
      <c r="A220" s="9">
        <v>45717</v>
      </c>
      <c r="B220" t="s">
        <v>67</v>
      </c>
      <c r="C220" t="s">
        <v>68</v>
      </c>
      <c r="D220" t="s">
        <v>69</v>
      </c>
      <c r="E220" t="s">
        <v>2092</v>
      </c>
      <c r="F220" s="8">
        <v>9</v>
      </c>
      <c r="G220" s="6">
        <v>43000</v>
      </c>
      <c r="H220" s="8">
        <v>34.9</v>
      </c>
      <c r="I220" s="7">
        <v>961.99</v>
      </c>
      <c r="J220" s="8">
        <v>4.2</v>
      </c>
      <c r="K220" s="7">
        <v>32250</v>
      </c>
      <c r="L220" s="7">
        <v>33211.99</v>
      </c>
    </row>
    <row r="221" spans="1:12" x14ac:dyDescent="0.25">
      <c r="A221" s="9">
        <v>45717</v>
      </c>
      <c r="B221" t="s">
        <v>67</v>
      </c>
      <c r="C221" t="s">
        <v>68</v>
      </c>
      <c r="D221" t="s">
        <v>69</v>
      </c>
      <c r="E221" t="s">
        <v>2091</v>
      </c>
      <c r="F221" s="8">
        <v>7.3</v>
      </c>
      <c r="G221" s="6">
        <v>25000</v>
      </c>
      <c r="H221" s="8">
        <v>18.2</v>
      </c>
      <c r="I221" s="7">
        <v>291.67</v>
      </c>
      <c r="J221" s="8">
        <v>4</v>
      </c>
      <c r="K221" s="7">
        <v>15208.333333333299</v>
      </c>
      <c r="L221" s="7">
        <v>15500.003333333299</v>
      </c>
    </row>
    <row r="222" spans="1:12" x14ac:dyDescent="0.25">
      <c r="A222" s="9">
        <v>45717</v>
      </c>
      <c r="B222" t="s">
        <v>67</v>
      </c>
      <c r="C222" t="s">
        <v>68</v>
      </c>
      <c r="D222" t="s">
        <v>69</v>
      </c>
      <c r="E222" t="s">
        <v>2094</v>
      </c>
      <c r="F222" s="8">
        <v>11.1</v>
      </c>
      <c r="G222" s="6">
        <v>41000</v>
      </c>
      <c r="H222" s="8">
        <v>35.4</v>
      </c>
      <c r="I222" s="7">
        <v>930.38</v>
      </c>
      <c r="J222" s="8">
        <v>6.2</v>
      </c>
      <c r="K222" s="7">
        <v>37925</v>
      </c>
      <c r="L222" s="7">
        <v>38855.379999999997</v>
      </c>
    </row>
    <row r="223" spans="1:12" x14ac:dyDescent="0.25">
      <c r="A223" s="9">
        <v>45717</v>
      </c>
      <c r="B223" t="s">
        <v>67</v>
      </c>
      <c r="C223" t="s">
        <v>68</v>
      </c>
      <c r="D223" t="s">
        <v>69</v>
      </c>
      <c r="E223" t="s">
        <v>2093</v>
      </c>
      <c r="F223" s="8">
        <v>16.600000000000001</v>
      </c>
      <c r="G223" s="6">
        <v>29000</v>
      </c>
      <c r="H223" s="8">
        <v>39.799999999999997</v>
      </c>
      <c r="I223" s="7">
        <v>739.87</v>
      </c>
      <c r="J223" s="8">
        <v>10</v>
      </c>
      <c r="K223" s="7">
        <v>40116.666666666701</v>
      </c>
      <c r="L223" s="7">
        <v>40856.536666666703</v>
      </c>
    </row>
    <row r="224" spans="1:12" x14ac:dyDescent="0.25">
      <c r="A224" s="9">
        <v>45717</v>
      </c>
      <c r="B224" t="s">
        <v>32</v>
      </c>
      <c r="C224" t="s">
        <v>33</v>
      </c>
      <c r="D224" t="s">
        <v>34</v>
      </c>
      <c r="E224" t="s">
        <v>2097</v>
      </c>
      <c r="F224" s="8">
        <v>19.899999999999999</v>
      </c>
      <c r="G224" s="6">
        <v>28000</v>
      </c>
      <c r="H224" s="8">
        <v>52.8</v>
      </c>
      <c r="I224" s="7">
        <v>947.69</v>
      </c>
      <c r="J224" s="8">
        <v>10.199999999999999</v>
      </c>
      <c r="K224" s="7">
        <v>46433.333333333299</v>
      </c>
      <c r="L224" s="7">
        <v>47381.023333333302</v>
      </c>
    </row>
    <row r="225" spans="1:12" x14ac:dyDescent="0.25">
      <c r="A225" s="9">
        <v>45717</v>
      </c>
      <c r="B225" t="s">
        <v>32</v>
      </c>
      <c r="C225" t="s">
        <v>33</v>
      </c>
      <c r="D225" t="s">
        <v>34</v>
      </c>
      <c r="E225" t="s">
        <v>2091</v>
      </c>
      <c r="F225" s="8">
        <v>9.5</v>
      </c>
      <c r="G225" s="6">
        <v>25000</v>
      </c>
      <c r="H225" s="8">
        <v>49.3</v>
      </c>
      <c r="I225" s="7">
        <v>790.06</v>
      </c>
      <c r="J225" s="8">
        <v>4.2</v>
      </c>
      <c r="K225" s="7">
        <v>19791.666666666701</v>
      </c>
      <c r="L225" s="7">
        <v>20581.726666666698</v>
      </c>
    </row>
    <row r="226" spans="1:12" x14ac:dyDescent="0.25">
      <c r="A226" s="9">
        <v>45717</v>
      </c>
      <c r="B226" t="s">
        <v>32</v>
      </c>
      <c r="C226" t="s">
        <v>33</v>
      </c>
      <c r="D226" t="s">
        <v>34</v>
      </c>
      <c r="E226" t="s">
        <v>2096</v>
      </c>
      <c r="F226" s="8">
        <v>19.399999999999999</v>
      </c>
      <c r="G226" s="6">
        <v>35000</v>
      </c>
      <c r="H226" s="8">
        <v>102.4</v>
      </c>
      <c r="I226" s="7">
        <v>2297.44</v>
      </c>
      <c r="J226" s="8">
        <v>8.5</v>
      </c>
      <c r="K226" s="7">
        <v>56583.333333333299</v>
      </c>
      <c r="L226" s="7">
        <v>58880.773333333302</v>
      </c>
    </row>
    <row r="227" spans="1:12" x14ac:dyDescent="0.25">
      <c r="A227" s="9">
        <v>45717</v>
      </c>
      <c r="B227" t="s">
        <v>32</v>
      </c>
      <c r="C227" t="s">
        <v>33</v>
      </c>
      <c r="D227" t="s">
        <v>34</v>
      </c>
      <c r="E227" t="s">
        <v>2094</v>
      </c>
      <c r="F227" s="8">
        <v>15.9</v>
      </c>
      <c r="G227" s="6">
        <v>41000</v>
      </c>
      <c r="H227" s="8">
        <v>98.2</v>
      </c>
      <c r="I227" s="7">
        <v>2580.9</v>
      </c>
      <c r="J227" s="8">
        <v>8</v>
      </c>
      <c r="K227" s="7">
        <v>54325</v>
      </c>
      <c r="L227" s="7">
        <v>56905.9</v>
      </c>
    </row>
    <row r="228" spans="1:12" x14ac:dyDescent="0.25">
      <c r="A228" s="9">
        <v>45717</v>
      </c>
      <c r="B228" t="s">
        <v>32</v>
      </c>
      <c r="C228" t="s">
        <v>33</v>
      </c>
      <c r="D228" t="s">
        <v>34</v>
      </c>
      <c r="E228" t="s">
        <v>2092</v>
      </c>
      <c r="F228" s="8">
        <v>4.5</v>
      </c>
      <c r="G228" s="6">
        <v>43000</v>
      </c>
      <c r="H228" s="8">
        <v>14</v>
      </c>
      <c r="I228" s="7">
        <v>385.9</v>
      </c>
      <c r="J228" s="8">
        <v>2</v>
      </c>
      <c r="K228" s="7">
        <v>16125</v>
      </c>
      <c r="L228" s="7">
        <v>16510.900000000001</v>
      </c>
    </row>
    <row r="229" spans="1:12" x14ac:dyDescent="0.25">
      <c r="A229" s="9">
        <v>45717</v>
      </c>
      <c r="B229" t="s">
        <v>32</v>
      </c>
      <c r="C229" t="s">
        <v>33</v>
      </c>
      <c r="D229" t="s">
        <v>34</v>
      </c>
      <c r="E229" t="s">
        <v>2093</v>
      </c>
      <c r="F229" s="8">
        <v>7.3</v>
      </c>
      <c r="G229" s="6">
        <v>29000</v>
      </c>
      <c r="H229" s="8">
        <v>38.1</v>
      </c>
      <c r="I229" s="7">
        <v>708.27</v>
      </c>
      <c r="J229" s="8">
        <v>3.1</v>
      </c>
      <c r="K229" s="7">
        <v>17641.666666666701</v>
      </c>
      <c r="L229" s="7">
        <v>18349.936666666701</v>
      </c>
    </row>
    <row r="230" spans="1:12" x14ac:dyDescent="0.25">
      <c r="A230" s="9">
        <v>45717</v>
      </c>
      <c r="B230" t="s">
        <v>94</v>
      </c>
      <c r="C230" t="s">
        <v>95</v>
      </c>
      <c r="D230" t="s">
        <v>34</v>
      </c>
      <c r="E230" t="s">
        <v>2091</v>
      </c>
      <c r="F230" s="8">
        <v>9.5</v>
      </c>
      <c r="G230" s="6">
        <v>25000</v>
      </c>
      <c r="H230" s="8">
        <v>27.3</v>
      </c>
      <c r="I230" s="7">
        <v>437.5</v>
      </c>
      <c r="J230" s="8">
        <v>4.5</v>
      </c>
      <c r="K230" s="7">
        <v>19791.666666666701</v>
      </c>
      <c r="L230" s="7">
        <v>20229.166666666701</v>
      </c>
    </row>
    <row r="231" spans="1:12" x14ac:dyDescent="0.25">
      <c r="A231" s="9">
        <v>45717</v>
      </c>
      <c r="B231" t="s">
        <v>94</v>
      </c>
      <c r="C231" t="s">
        <v>95</v>
      </c>
      <c r="D231" t="s">
        <v>34</v>
      </c>
      <c r="E231" t="s">
        <v>2093</v>
      </c>
      <c r="F231" s="8">
        <v>8.6999999999999993</v>
      </c>
      <c r="G231" s="6">
        <v>29000</v>
      </c>
      <c r="H231" s="8">
        <v>19.399999999999999</v>
      </c>
      <c r="I231" s="7">
        <v>360.64</v>
      </c>
      <c r="J231" s="8">
        <v>6.2</v>
      </c>
      <c r="K231" s="7">
        <v>21025</v>
      </c>
      <c r="L231" s="7">
        <v>21385.64</v>
      </c>
    </row>
    <row r="232" spans="1:12" x14ac:dyDescent="0.25">
      <c r="A232" s="9">
        <v>45717</v>
      </c>
      <c r="B232" t="s">
        <v>94</v>
      </c>
      <c r="C232" t="s">
        <v>95</v>
      </c>
      <c r="D232" t="s">
        <v>34</v>
      </c>
      <c r="E232" t="s">
        <v>2097</v>
      </c>
      <c r="F232" s="8">
        <v>13.3</v>
      </c>
      <c r="G232" s="6">
        <v>28000</v>
      </c>
      <c r="H232" s="8">
        <v>41.9</v>
      </c>
      <c r="I232" s="7">
        <v>752.05</v>
      </c>
      <c r="J232" s="8">
        <v>7.5</v>
      </c>
      <c r="K232" s="7">
        <v>31033.333333333299</v>
      </c>
      <c r="L232" s="7">
        <v>31785.383333333299</v>
      </c>
    </row>
    <row r="233" spans="1:12" x14ac:dyDescent="0.25">
      <c r="A233" s="9">
        <v>45717</v>
      </c>
      <c r="B233" t="s">
        <v>94</v>
      </c>
      <c r="C233" t="s">
        <v>95</v>
      </c>
      <c r="D233" t="s">
        <v>34</v>
      </c>
      <c r="E233" t="s">
        <v>2096</v>
      </c>
      <c r="F233" s="8">
        <v>11</v>
      </c>
      <c r="G233" s="6">
        <v>35000</v>
      </c>
      <c r="H233" s="8">
        <v>47.5</v>
      </c>
      <c r="I233" s="7">
        <v>1065.71</v>
      </c>
      <c r="J233" s="8">
        <v>4.5</v>
      </c>
      <c r="K233" s="7">
        <v>32083.333333333299</v>
      </c>
      <c r="L233" s="7">
        <v>33149.043333333299</v>
      </c>
    </row>
    <row r="234" spans="1:12" x14ac:dyDescent="0.25">
      <c r="A234" s="9">
        <v>45717</v>
      </c>
      <c r="B234" t="s">
        <v>41</v>
      </c>
      <c r="C234" t="s">
        <v>42</v>
      </c>
      <c r="D234" t="s">
        <v>34</v>
      </c>
      <c r="E234" t="s">
        <v>2094</v>
      </c>
      <c r="F234" s="8">
        <v>10</v>
      </c>
      <c r="G234" s="6">
        <v>41000</v>
      </c>
      <c r="H234" s="8">
        <v>39.9</v>
      </c>
      <c r="I234" s="7">
        <v>1048.6500000000001</v>
      </c>
      <c r="J234" s="8">
        <v>5.8</v>
      </c>
      <c r="K234" s="7">
        <v>34166.666666666701</v>
      </c>
      <c r="L234" s="7">
        <v>35215.316666666702</v>
      </c>
    </row>
    <row r="235" spans="1:12" x14ac:dyDescent="0.25">
      <c r="A235" s="9">
        <v>45717</v>
      </c>
      <c r="B235" t="s">
        <v>41</v>
      </c>
      <c r="C235" t="s">
        <v>42</v>
      </c>
      <c r="D235" t="s">
        <v>34</v>
      </c>
      <c r="E235" t="s">
        <v>2092</v>
      </c>
      <c r="F235" s="8">
        <v>3.2</v>
      </c>
      <c r="G235" s="6">
        <v>43000</v>
      </c>
      <c r="H235" s="8">
        <v>11.9</v>
      </c>
      <c r="I235" s="7">
        <v>328.01</v>
      </c>
      <c r="J235" s="8">
        <v>2.8</v>
      </c>
      <c r="K235" s="7">
        <v>11466.666666666701</v>
      </c>
      <c r="L235" s="7">
        <v>11794.676666666701</v>
      </c>
    </row>
    <row r="236" spans="1:12" x14ac:dyDescent="0.25">
      <c r="A236" s="9">
        <v>45717</v>
      </c>
      <c r="B236" t="s">
        <v>41</v>
      </c>
      <c r="C236" t="s">
        <v>42</v>
      </c>
      <c r="D236" t="s">
        <v>34</v>
      </c>
      <c r="E236" t="s">
        <v>2096</v>
      </c>
      <c r="F236" s="8">
        <v>5.2</v>
      </c>
      <c r="G236" s="6">
        <v>35000</v>
      </c>
      <c r="H236" s="8">
        <v>28.8</v>
      </c>
      <c r="I236" s="7">
        <v>646.15</v>
      </c>
      <c r="J236" s="8">
        <v>3.5</v>
      </c>
      <c r="K236" s="7">
        <v>15166.666666666701</v>
      </c>
      <c r="L236" s="7">
        <v>15812.8166666667</v>
      </c>
    </row>
    <row r="237" spans="1:12" x14ac:dyDescent="0.25">
      <c r="A237" s="9">
        <v>45717</v>
      </c>
      <c r="B237" t="s">
        <v>41</v>
      </c>
      <c r="C237" t="s">
        <v>42</v>
      </c>
      <c r="D237" t="s">
        <v>34</v>
      </c>
      <c r="E237" t="s">
        <v>2093</v>
      </c>
      <c r="F237" s="8">
        <v>17.7</v>
      </c>
      <c r="G237" s="6">
        <v>29000</v>
      </c>
      <c r="H237" s="8">
        <v>58.6</v>
      </c>
      <c r="I237" s="7">
        <v>1089.3599999999999</v>
      </c>
      <c r="J237" s="8">
        <v>7.8</v>
      </c>
      <c r="K237" s="7">
        <v>42775</v>
      </c>
      <c r="L237" s="7">
        <v>43864.36</v>
      </c>
    </row>
    <row r="238" spans="1:12" x14ac:dyDescent="0.25">
      <c r="A238" s="9">
        <v>45717</v>
      </c>
      <c r="B238" t="s">
        <v>41</v>
      </c>
      <c r="C238" t="s">
        <v>42</v>
      </c>
      <c r="D238" t="s">
        <v>34</v>
      </c>
      <c r="E238" t="s">
        <v>2097</v>
      </c>
      <c r="F238" s="8">
        <v>16.3</v>
      </c>
      <c r="G238" s="6">
        <v>28000</v>
      </c>
      <c r="H238" s="8">
        <v>50.2</v>
      </c>
      <c r="I238" s="7">
        <v>901.03</v>
      </c>
      <c r="J238" s="8">
        <v>8.3000000000000007</v>
      </c>
      <c r="K238" s="7">
        <v>38033.333333333299</v>
      </c>
      <c r="L238" s="7">
        <v>38934.363333333298</v>
      </c>
    </row>
    <row r="239" spans="1:12" x14ac:dyDescent="0.25">
      <c r="A239" s="9">
        <v>45717</v>
      </c>
      <c r="B239" t="s">
        <v>47</v>
      </c>
      <c r="C239" t="s">
        <v>48</v>
      </c>
      <c r="D239" t="s">
        <v>34</v>
      </c>
      <c r="E239" t="s">
        <v>2096</v>
      </c>
      <c r="F239" s="8">
        <v>14.9</v>
      </c>
      <c r="G239" s="6">
        <v>35000</v>
      </c>
      <c r="H239" s="8">
        <v>71.8</v>
      </c>
      <c r="I239" s="7">
        <v>1610.9</v>
      </c>
      <c r="J239" s="8">
        <v>5.3</v>
      </c>
      <c r="K239" s="7">
        <v>43458.333333333299</v>
      </c>
      <c r="L239" s="7">
        <v>45069.233333333301</v>
      </c>
    </row>
    <row r="240" spans="1:12" x14ac:dyDescent="0.25">
      <c r="A240" s="9">
        <v>45717</v>
      </c>
      <c r="B240" t="s">
        <v>47</v>
      </c>
      <c r="C240" t="s">
        <v>48</v>
      </c>
      <c r="D240" t="s">
        <v>34</v>
      </c>
      <c r="E240" t="s">
        <v>2091</v>
      </c>
      <c r="F240" s="8">
        <v>9.6</v>
      </c>
      <c r="G240" s="6">
        <v>25000</v>
      </c>
      <c r="H240" s="8">
        <v>38.299999999999997</v>
      </c>
      <c r="I240" s="7">
        <v>613.78</v>
      </c>
      <c r="J240" s="8">
        <v>5</v>
      </c>
      <c r="K240" s="7">
        <v>20000</v>
      </c>
      <c r="L240" s="7">
        <v>20613.78</v>
      </c>
    </row>
    <row r="241" spans="1:12" x14ac:dyDescent="0.25">
      <c r="A241" s="9">
        <v>45717</v>
      </c>
      <c r="B241" t="s">
        <v>47</v>
      </c>
      <c r="C241" t="s">
        <v>48</v>
      </c>
      <c r="D241" t="s">
        <v>34</v>
      </c>
      <c r="E241" t="s">
        <v>2092</v>
      </c>
      <c r="F241" s="8">
        <v>18.7</v>
      </c>
      <c r="G241" s="6">
        <v>43000</v>
      </c>
      <c r="H241" s="8">
        <v>67</v>
      </c>
      <c r="I241" s="7">
        <v>1846.79</v>
      </c>
      <c r="J241" s="8">
        <v>10.6</v>
      </c>
      <c r="K241" s="7">
        <v>67008.333333333299</v>
      </c>
      <c r="L241" s="7">
        <v>68855.123333333293</v>
      </c>
    </row>
    <row r="242" spans="1:12" x14ac:dyDescent="0.25">
      <c r="A242" s="9">
        <v>45717</v>
      </c>
      <c r="B242" t="s">
        <v>47</v>
      </c>
      <c r="C242" t="s">
        <v>48</v>
      </c>
      <c r="D242" t="s">
        <v>34</v>
      </c>
      <c r="E242" t="s">
        <v>2093</v>
      </c>
      <c r="F242" s="8">
        <v>14.1</v>
      </c>
      <c r="G242" s="6">
        <v>29000</v>
      </c>
      <c r="H242" s="8">
        <v>65.3</v>
      </c>
      <c r="I242" s="7">
        <v>1213.9100000000001</v>
      </c>
      <c r="J242" s="8">
        <v>8.4</v>
      </c>
      <c r="K242" s="7">
        <v>34075</v>
      </c>
      <c r="L242" s="7">
        <v>35288.910000000003</v>
      </c>
    </row>
    <row r="243" spans="1:12" x14ac:dyDescent="0.25">
      <c r="A243" s="9">
        <v>45717</v>
      </c>
      <c r="B243" t="s">
        <v>47</v>
      </c>
      <c r="C243" t="s">
        <v>48</v>
      </c>
      <c r="D243" t="s">
        <v>34</v>
      </c>
      <c r="E243" t="s">
        <v>2097</v>
      </c>
      <c r="F243" s="8">
        <v>3.8</v>
      </c>
      <c r="G243" s="6">
        <v>28000</v>
      </c>
      <c r="H243" s="8">
        <v>14</v>
      </c>
      <c r="I243" s="7">
        <v>251.28</v>
      </c>
      <c r="J243" s="8">
        <v>2.8</v>
      </c>
      <c r="K243" s="7">
        <v>8866.6666666666697</v>
      </c>
      <c r="L243" s="7">
        <v>9117.9466666666704</v>
      </c>
    </row>
    <row r="244" spans="1:12" x14ac:dyDescent="0.25">
      <c r="A244" s="9">
        <v>45717</v>
      </c>
      <c r="B244" t="s">
        <v>47</v>
      </c>
      <c r="C244" t="s">
        <v>48</v>
      </c>
      <c r="D244" t="s">
        <v>34</v>
      </c>
      <c r="E244" t="s">
        <v>2094</v>
      </c>
      <c r="F244" s="8">
        <v>13</v>
      </c>
      <c r="G244" s="6">
        <v>41000</v>
      </c>
      <c r="H244" s="8">
        <v>83.9</v>
      </c>
      <c r="I244" s="7">
        <v>2205.06</v>
      </c>
      <c r="J244" s="8">
        <v>7.8</v>
      </c>
      <c r="K244" s="7">
        <v>44416.666666666701</v>
      </c>
      <c r="L244" s="7">
        <v>46621.726666666698</v>
      </c>
    </row>
    <row r="245" spans="1:12" x14ac:dyDescent="0.25">
      <c r="A245" s="9">
        <v>45717</v>
      </c>
      <c r="B245" t="s">
        <v>121</v>
      </c>
      <c r="C245" t="s">
        <v>122</v>
      </c>
      <c r="D245" t="s">
        <v>34</v>
      </c>
      <c r="E245" t="s">
        <v>2092</v>
      </c>
      <c r="F245" s="8">
        <v>3.7</v>
      </c>
      <c r="G245" s="6">
        <v>43000</v>
      </c>
      <c r="H245" s="8">
        <v>8.6999999999999993</v>
      </c>
      <c r="I245" s="7">
        <v>239.81</v>
      </c>
      <c r="J245" s="8">
        <v>1.6</v>
      </c>
      <c r="K245" s="7">
        <v>13258.333333333299</v>
      </c>
      <c r="L245" s="7">
        <v>13498.143333333301</v>
      </c>
    </row>
    <row r="246" spans="1:12" x14ac:dyDescent="0.25">
      <c r="A246" s="9">
        <v>45717</v>
      </c>
      <c r="B246" t="s">
        <v>121</v>
      </c>
      <c r="C246" t="s">
        <v>122</v>
      </c>
      <c r="D246" t="s">
        <v>34</v>
      </c>
      <c r="E246" t="s">
        <v>2096</v>
      </c>
      <c r="F246" s="8">
        <v>13.2</v>
      </c>
      <c r="G246" s="6">
        <v>35000</v>
      </c>
      <c r="H246" s="8">
        <v>46</v>
      </c>
      <c r="I246" s="7">
        <v>1032.05</v>
      </c>
      <c r="J246" s="8">
        <v>7.1</v>
      </c>
      <c r="K246" s="7">
        <v>38500</v>
      </c>
      <c r="L246" s="7">
        <v>39532.050000000003</v>
      </c>
    </row>
    <row r="247" spans="1:12" x14ac:dyDescent="0.25">
      <c r="A247" s="9">
        <v>45717</v>
      </c>
      <c r="B247" t="s">
        <v>121</v>
      </c>
      <c r="C247" t="s">
        <v>122</v>
      </c>
      <c r="D247" t="s">
        <v>34</v>
      </c>
      <c r="E247" t="s">
        <v>2093</v>
      </c>
      <c r="F247" s="8">
        <v>10.3</v>
      </c>
      <c r="G247" s="6">
        <v>29000</v>
      </c>
      <c r="H247" s="8">
        <v>51.8</v>
      </c>
      <c r="I247" s="7">
        <v>962.95</v>
      </c>
      <c r="J247" s="8">
        <v>4.3</v>
      </c>
      <c r="K247" s="7">
        <v>24891.666666666701</v>
      </c>
      <c r="L247" s="7">
        <v>25854.616666666701</v>
      </c>
    </row>
    <row r="248" spans="1:12" x14ac:dyDescent="0.25">
      <c r="A248" s="9">
        <v>45717</v>
      </c>
      <c r="B248" t="s">
        <v>121</v>
      </c>
      <c r="C248" t="s">
        <v>122</v>
      </c>
      <c r="D248" t="s">
        <v>34</v>
      </c>
      <c r="E248" t="s">
        <v>2095</v>
      </c>
      <c r="F248" s="8">
        <v>14.7</v>
      </c>
      <c r="G248" s="6">
        <v>27000</v>
      </c>
      <c r="H248" s="8">
        <v>60.3</v>
      </c>
      <c r="I248" s="7">
        <v>1043.6500000000001</v>
      </c>
      <c r="J248" s="8">
        <v>5.3</v>
      </c>
      <c r="K248" s="7">
        <v>33075</v>
      </c>
      <c r="L248" s="7">
        <v>34118.65</v>
      </c>
    </row>
    <row r="249" spans="1:12" x14ac:dyDescent="0.25">
      <c r="A249" s="9">
        <v>45717</v>
      </c>
      <c r="B249" t="s">
        <v>121</v>
      </c>
      <c r="C249" t="s">
        <v>122</v>
      </c>
      <c r="D249" t="s">
        <v>34</v>
      </c>
      <c r="E249" t="s">
        <v>2097</v>
      </c>
      <c r="F249" s="8">
        <v>19.5</v>
      </c>
      <c r="G249" s="6">
        <v>28000</v>
      </c>
      <c r="H249" s="8">
        <v>120.2</v>
      </c>
      <c r="I249" s="7">
        <v>2157.44</v>
      </c>
      <c r="J249" s="8">
        <v>9.1999999999999993</v>
      </c>
      <c r="K249" s="7">
        <v>45500</v>
      </c>
      <c r="L249" s="7">
        <v>47657.440000000002</v>
      </c>
    </row>
    <row r="250" spans="1:12" x14ac:dyDescent="0.25">
      <c r="A250" s="9">
        <v>45717</v>
      </c>
      <c r="B250" t="s">
        <v>121</v>
      </c>
      <c r="C250" t="s">
        <v>122</v>
      </c>
      <c r="D250" t="s">
        <v>34</v>
      </c>
      <c r="E250" t="s">
        <v>2091</v>
      </c>
      <c r="F250" s="8">
        <v>4.3</v>
      </c>
      <c r="G250" s="6">
        <v>25000</v>
      </c>
      <c r="H250" s="8">
        <v>17.600000000000001</v>
      </c>
      <c r="I250" s="7">
        <v>282.05</v>
      </c>
      <c r="J250" s="8">
        <v>1.8</v>
      </c>
      <c r="K250" s="7">
        <v>8958.3333333333303</v>
      </c>
      <c r="L250" s="7">
        <v>9240.3833333333296</v>
      </c>
    </row>
    <row r="251" spans="1:12" x14ac:dyDescent="0.25">
      <c r="A251" s="9">
        <v>45717</v>
      </c>
      <c r="B251" t="s">
        <v>201</v>
      </c>
      <c r="C251" t="s">
        <v>202</v>
      </c>
      <c r="D251" t="s">
        <v>64</v>
      </c>
      <c r="E251" t="s">
        <v>2096</v>
      </c>
      <c r="F251" s="8">
        <v>16.7</v>
      </c>
      <c r="G251" s="6">
        <v>35000</v>
      </c>
      <c r="H251" s="8">
        <v>95.5</v>
      </c>
      <c r="I251" s="7">
        <v>2142.63</v>
      </c>
      <c r="J251" s="8">
        <v>5.5</v>
      </c>
      <c r="K251" s="7">
        <v>48708.333333333299</v>
      </c>
      <c r="L251" s="7">
        <v>50850.963333333297</v>
      </c>
    </row>
    <row r="252" spans="1:12" x14ac:dyDescent="0.25">
      <c r="A252" s="9">
        <v>45717</v>
      </c>
      <c r="B252" t="s">
        <v>201</v>
      </c>
      <c r="C252" t="s">
        <v>202</v>
      </c>
      <c r="D252" t="s">
        <v>64</v>
      </c>
      <c r="E252" t="s">
        <v>2093</v>
      </c>
      <c r="F252" s="8">
        <v>18.399999999999999</v>
      </c>
      <c r="G252" s="6">
        <v>29000</v>
      </c>
      <c r="H252" s="8">
        <v>73.099999999999994</v>
      </c>
      <c r="I252" s="7">
        <v>1358.91</v>
      </c>
      <c r="J252" s="8">
        <v>9.1</v>
      </c>
      <c r="K252" s="7">
        <v>44466.666666666701</v>
      </c>
      <c r="L252" s="7">
        <v>45825.576666666697</v>
      </c>
    </row>
    <row r="253" spans="1:12" x14ac:dyDescent="0.25">
      <c r="A253" s="9">
        <v>45717</v>
      </c>
      <c r="B253" t="s">
        <v>201</v>
      </c>
      <c r="C253" t="s">
        <v>202</v>
      </c>
      <c r="D253" t="s">
        <v>64</v>
      </c>
      <c r="E253" t="s">
        <v>2091</v>
      </c>
      <c r="F253" s="8">
        <v>16.100000000000001</v>
      </c>
      <c r="G253" s="6">
        <v>25000</v>
      </c>
      <c r="H253" s="8">
        <v>53.4</v>
      </c>
      <c r="I253" s="7">
        <v>855.77</v>
      </c>
      <c r="J253" s="8">
        <v>9.8000000000000007</v>
      </c>
      <c r="K253" s="7">
        <v>33541.666666666701</v>
      </c>
      <c r="L253" s="7">
        <v>34397.436666666697</v>
      </c>
    </row>
    <row r="254" spans="1:12" x14ac:dyDescent="0.25">
      <c r="A254" s="9">
        <v>45717</v>
      </c>
      <c r="B254" t="s">
        <v>201</v>
      </c>
      <c r="C254" t="s">
        <v>202</v>
      </c>
      <c r="D254" t="s">
        <v>64</v>
      </c>
      <c r="E254" t="s">
        <v>2097</v>
      </c>
      <c r="F254" s="8">
        <v>3.7</v>
      </c>
      <c r="G254" s="6">
        <v>28000</v>
      </c>
      <c r="H254" s="8">
        <v>9.9</v>
      </c>
      <c r="I254" s="7">
        <v>177.69</v>
      </c>
      <c r="J254" s="8">
        <v>2.6</v>
      </c>
      <c r="K254" s="7">
        <v>8633.3333333333303</v>
      </c>
      <c r="L254" s="7">
        <v>8811.0233333333308</v>
      </c>
    </row>
    <row r="255" spans="1:12" x14ac:dyDescent="0.25">
      <c r="A255" s="9">
        <v>45717</v>
      </c>
      <c r="B255" t="s">
        <v>201</v>
      </c>
      <c r="C255" t="s">
        <v>202</v>
      </c>
      <c r="D255" t="s">
        <v>64</v>
      </c>
      <c r="E255" t="s">
        <v>2094</v>
      </c>
      <c r="F255" s="8">
        <v>6.1</v>
      </c>
      <c r="G255" s="6">
        <v>41000</v>
      </c>
      <c r="H255" s="8">
        <v>27.7</v>
      </c>
      <c r="I255" s="7">
        <v>728.01</v>
      </c>
      <c r="J255" s="8">
        <v>4.3</v>
      </c>
      <c r="K255" s="7">
        <v>20841.666666666701</v>
      </c>
      <c r="L255" s="7">
        <v>21569.676666666699</v>
      </c>
    </row>
    <row r="256" spans="1:12" x14ac:dyDescent="0.25">
      <c r="A256" s="9">
        <v>45717</v>
      </c>
      <c r="B256" t="s">
        <v>118</v>
      </c>
      <c r="C256" t="s">
        <v>119</v>
      </c>
      <c r="D256" t="s">
        <v>64</v>
      </c>
      <c r="E256" t="s">
        <v>2097</v>
      </c>
      <c r="F256" s="8">
        <v>15.1</v>
      </c>
      <c r="G256" s="6">
        <v>28000</v>
      </c>
      <c r="H256" s="8">
        <v>45.3</v>
      </c>
      <c r="I256" s="7">
        <v>813.08</v>
      </c>
      <c r="J256" s="8">
        <v>6.8</v>
      </c>
      <c r="K256" s="7">
        <v>35233.333333333299</v>
      </c>
      <c r="L256" s="7">
        <v>36046.413333333301</v>
      </c>
    </row>
    <row r="257" spans="1:12" x14ac:dyDescent="0.25">
      <c r="A257" s="9">
        <v>45717</v>
      </c>
      <c r="B257" t="s">
        <v>118</v>
      </c>
      <c r="C257" t="s">
        <v>119</v>
      </c>
      <c r="D257" t="s">
        <v>64</v>
      </c>
      <c r="E257" t="s">
        <v>2095</v>
      </c>
      <c r="F257" s="8">
        <v>16.7</v>
      </c>
      <c r="G257" s="6">
        <v>27000</v>
      </c>
      <c r="H257" s="8">
        <v>94.3</v>
      </c>
      <c r="I257" s="7">
        <v>1632.12</v>
      </c>
      <c r="J257" s="8">
        <v>8.8000000000000007</v>
      </c>
      <c r="K257" s="7">
        <v>37575</v>
      </c>
      <c r="L257" s="7">
        <v>39207.120000000003</v>
      </c>
    </row>
    <row r="258" spans="1:12" x14ac:dyDescent="0.25">
      <c r="A258" s="9">
        <v>45717</v>
      </c>
      <c r="B258" t="s">
        <v>118</v>
      </c>
      <c r="C258" t="s">
        <v>119</v>
      </c>
      <c r="D258" t="s">
        <v>64</v>
      </c>
      <c r="E258" t="s">
        <v>2092</v>
      </c>
      <c r="F258" s="8">
        <v>19.100000000000001</v>
      </c>
      <c r="G258" s="6">
        <v>43000</v>
      </c>
      <c r="H258" s="8">
        <v>32.1</v>
      </c>
      <c r="I258" s="7">
        <v>884.81</v>
      </c>
      <c r="J258" s="8">
        <v>9</v>
      </c>
      <c r="K258" s="7">
        <v>68441.666666666701</v>
      </c>
      <c r="L258" s="7">
        <v>69326.476666666698</v>
      </c>
    </row>
    <row r="259" spans="1:12" x14ac:dyDescent="0.25">
      <c r="A259" s="9">
        <v>45717</v>
      </c>
      <c r="B259" t="s">
        <v>118</v>
      </c>
      <c r="C259" t="s">
        <v>119</v>
      </c>
      <c r="D259" t="s">
        <v>64</v>
      </c>
      <c r="E259" t="s">
        <v>2096</v>
      </c>
      <c r="F259" s="8">
        <v>5</v>
      </c>
      <c r="G259" s="6">
        <v>35000</v>
      </c>
      <c r="H259" s="8">
        <v>22.9</v>
      </c>
      <c r="I259" s="7">
        <v>513.78</v>
      </c>
      <c r="J259" s="8">
        <v>3.3</v>
      </c>
      <c r="K259" s="7">
        <v>14583.333333333299</v>
      </c>
      <c r="L259" s="7">
        <v>15097.1133333333</v>
      </c>
    </row>
    <row r="260" spans="1:12" x14ac:dyDescent="0.25">
      <c r="A260" s="9">
        <v>45717</v>
      </c>
      <c r="B260" t="s">
        <v>118</v>
      </c>
      <c r="C260" t="s">
        <v>119</v>
      </c>
      <c r="D260" t="s">
        <v>64</v>
      </c>
      <c r="E260" t="s">
        <v>2091</v>
      </c>
      <c r="F260" s="8">
        <v>5.8</v>
      </c>
      <c r="G260" s="6">
        <v>25000</v>
      </c>
      <c r="H260" s="8">
        <v>17.3</v>
      </c>
      <c r="I260" s="7">
        <v>277.24</v>
      </c>
      <c r="J260" s="8">
        <v>0</v>
      </c>
      <c r="K260" s="7">
        <v>12083.333333333299</v>
      </c>
      <c r="L260" s="7">
        <v>12360.573333333299</v>
      </c>
    </row>
    <row r="261" spans="1:12" x14ac:dyDescent="0.25">
      <c r="A261" s="9">
        <v>45717</v>
      </c>
      <c r="B261" t="s">
        <v>62</v>
      </c>
      <c r="C261" t="s">
        <v>63</v>
      </c>
      <c r="D261" t="s">
        <v>64</v>
      </c>
      <c r="E261" t="s">
        <v>2095</v>
      </c>
      <c r="F261" s="8">
        <v>10.4</v>
      </c>
      <c r="G261" s="6">
        <v>27000</v>
      </c>
      <c r="H261" s="8">
        <v>49.8</v>
      </c>
      <c r="I261" s="7">
        <v>861.92</v>
      </c>
      <c r="J261" s="8">
        <v>4</v>
      </c>
      <c r="K261" s="7">
        <v>23400</v>
      </c>
      <c r="L261" s="7">
        <v>24261.919999999998</v>
      </c>
    </row>
    <row r="262" spans="1:12" x14ac:dyDescent="0.25">
      <c r="A262" s="9">
        <v>45717</v>
      </c>
      <c r="B262" t="s">
        <v>62</v>
      </c>
      <c r="C262" t="s">
        <v>63</v>
      </c>
      <c r="D262" t="s">
        <v>64</v>
      </c>
      <c r="E262" t="s">
        <v>2092</v>
      </c>
      <c r="F262" s="8">
        <v>9.1999999999999993</v>
      </c>
      <c r="G262" s="6">
        <v>43000</v>
      </c>
      <c r="H262" s="8">
        <v>9</v>
      </c>
      <c r="I262" s="7">
        <v>248.08</v>
      </c>
      <c r="J262" s="8">
        <v>1.8</v>
      </c>
      <c r="K262" s="7">
        <v>32966.666666666701</v>
      </c>
      <c r="L262" s="7">
        <v>33214.746666666702</v>
      </c>
    </row>
    <row r="263" spans="1:12" x14ac:dyDescent="0.25">
      <c r="A263" s="9">
        <v>45717</v>
      </c>
      <c r="B263" t="s">
        <v>62</v>
      </c>
      <c r="C263" t="s">
        <v>63</v>
      </c>
      <c r="D263" t="s">
        <v>64</v>
      </c>
      <c r="E263" t="s">
        <v>2097</v>
      </c>
      <c r="F263" s="8">
        <v>14.9</v>
      </c>
      <c r="G263" s="6">
        <v>28000</v>
      </c>
      <c r="H263" s="8">
        <v>77.8</v>
      </c>
      <c r="I263" s="7">
        <v>1396.41</v>
      </c>
      <c r="J263" s="8">
        <v>7.6</v>
      </c>
      <c r="K263" s="7">
        <v>34766.666666666701</v>
      </c>
      <c r="L263" s="7">
        <v>36163.076666666697</v>
      </c>
    </row>
    <row r="264" spans="1:12" x14ac:dyDescent="0.25">
      <c r="A264" s="9">
        <v>45717</v>
      </c>
      <c r="B264" t="s">
        <v>62</v>
      </c>
      <c r="C264" t="s">
        <v>63</v>
      </c>
      <c r="D264" t="s">
        <v>64</v>
      </c>
      <c r="E264" t="s">
        <v>2091</v>
      </c>
      <c r="F264" s="8">
        <v>3.3</v>
      </c>
      <c r="G264" s="6">
        <v>25000</v>
      </c>
      <c r="H264" s="8">
        <v>12.1</v>
      </c>
      <c r="I264" s="7">
        <v>193.91</v>
      </c>
      <c r="J264" s="8">
        <v>3</v>
      </c>
      <c r="K264" s="7">
        <v>6875</v>
      </c>
      <c r="L264" s="7">
        <v>7068.91</v>
      </c>
    </row>
    <row r="265" spans="1:12" x14ac:dyDescent="0.25">
      <c r="A265" s="9">
        <v>45717</v>
      </c>
      <c r="B265" t="s">
        <v>91</v>
      </c>
      <c r="C265" t="s">
        <v>92</v>
      </c>
      <c r="D265" t="s">
        <v>64</v>
      </c>
      <c r="E265" t="s">
        <v>2095</v>
      </c>
      <c r="F265" s="8">
        <v>3.6</v>
      </c>
      <c r="G265" s="6">
        <v>27000</v>
      </c>
      <c r="H265" s="8">
        <v>17.8</v>
      </c>
      <c r="I265" s="7">
        <v>308.08</v>
      </c>
      <c r="J265" s="8">
        <v>3.4</v>
      </c>
      <c r="K265" s="7">
        <v>8100</v>
      </c>
      <c r="L265" s="7">
        <v>8408.08</v>
      </c>
    </row>
    <row r="266" spans="1:12" x14ac:dyDescent="0.25">
      <c r="A266" s="9">
        <v>45717</v>
      </c>
      <c r="B266" t="s">
        <v>91</v>
      </c>
      <c r="C266" t="s">
        <v>92</v>
      </c>
      <c r="D266" t="s">
        <v>64</v>
      </c>
      <c r="E266" t="s">
        <v>2094</v>
      </c>
      <c r="F266" s="8">
        <v>10.4</v>
      </c>
      <c r="G266" s="6">
        <v>41000</v>
      </c>
      <c r="H266" s="8">
        <v>19.899999999999999</v>
      </c>
      <c r="I266" s="7">
        <v>523.01</v>
      </c>
      <c r="J266" s="8">
        <v>5.2</v>
      </c>
      <c r="K266" s="7">
        <v>35533.333333333299</v>
      </c>
      <c r="L266" s="7">
        <v>36056.343333333301</v>
      </c>
    </row>
    <row r="267" spans="1:12" x14ac:dyDescent="0.25">
      <c r="A267" s="9">
        <v>45717</v>
      </c>
      <c r="B267" t="s">
        <v>91</v>
      </c>
      <c r="C267" t="s">
        <v>92</v>
      </c>
      <c r="D267" t="s">
        <v>64</v>
      </c>
      <c r="E267" t="s">
        <v>2092</v>
      </c>
      <c r="F267" s="8">
        <v>14.9</v>
      </c>
      <c r="G267" s="6">
        <v>43000</v>
      </c>
      <c r="H267" s="8">
        <v>23.5</v>
      </c>
      <c r="I267" s="7">
        <v>647.76</v>
      </c>
      <c r="J267" s="8">
        <v>7.2</v>
      </c>
      <c r="K267" s="7">
        <v>53391.666666666701</v>
      </c>
      <c r="L267" s="7">
        <v>54039.426666666703</v>
      </c>
    </row>
    <row r="268" spans="1:12" x14ac:dyDescent="0.25">
      <c r="A268" s="9">
        <v>45717</v>
      </c>
      <c r="B268" t="s">
        <v>91</v>
      </c>
      <c r="C268" t="s">
        <v>92</v>
      </c>
      <c r="D268" t="s">
        <v>64</v>
      </c>
      <c r="E268" t="s">
        <v>2091</v>
      </c>
      <c r="F268" s="8">
        <v>4.0999999999999996</v>
      </c>
      <c r="G268" s="6">
        <v>25000</v>
      </c>
      <c r="H268" s="8">
        <v>14.9</v>
      </c>
      <c r="I268" s="7">
        <v>238.78</v>
      </c>
      <c r="J268" s="8">
        <v>2.7</v>
      </c>
      <c r="K268" s="7">
        <v>8541.6666666666697</v>
      </c>
      <c r="L268" s="7">
        <v>8780.4466666666704</v>
      </c>
    </row>
    <row r="269" spans="1:12" x14ac:dyDescent="0.25">
      <c r="A269" s="9">
        <v>45717</v>
      </c>
      <c r="B269" t="s">
        <v>91</v>
      </c>
      <c r="C269" t="s">
        <v>92</v>
      </c>
      <c r="D269" t="s">
        <v>64</v>
      </c>
      <c r="E269" t="s">
        <v>2093</v>
      </c>
      <c r="F269" s="8">
        <v>4.5</v>
      </c>
      <c r="G269" s="6">
        <v>29000</v>
      </c>
      <c r="H269" s="8">
        <v>18.3</v>
      </c>
      <c r="I269" s="7">
        <v>340.19</v>
      </c>
      <c r="J269" s="8">
        <v>2.9</v>
      </c>
      <c r="K269" s="7">
        <v>10875</v>
      </c>
      <c r="L269" s="7">
        <v>11215.19</v>
      </c>
    </row>
    <row r="270" spans="1:12" x14ac:dyDescent="0.25">
      <c r="A270" s="9">
        <v>45717</v>
      </c>
      <c r="B270" t="s">
        <v>91</v>
      </c>
      <c r="C270" t="s">
        <v>92</v>
      </c>
      <c r="D270" t="s">
        <v>64</v>
      </c>
      <c r="E270" t="s">
        <v>2097</v>
      </c>
      <c r="F270" s="8">
        <v>17.899999999999999</v>
      </c>
      <c r="G270" s="6">
        <v>28000</v>
      </c>
      <c r="H270" s="8">
        <v>90.5</v>
      </c>
      <c r="I270" s="7">
        <v>1624.36</v>
      </c>
      <c r="J270" s="8">
        <v>11.1</v>
      </c>
      <c r="K270" s="7">
        <v>41766.666666666701</v>
      </c>
      <c r="L270" s="7">
        <v>43391.026666666701</v>
      </c>
    </row>
    <row r="271" spans="1:12" x14ac:dyDescent="0.25">
      <c r="A271" s="9">
        <v>45717</v>
      </c>
      <c r="B271" t="s">
        <v>80</v>
      </c>
      <c r="C271" t="s">
        <v>81</v>
      </c>
      <c r="D271" t="s">
        <v>64</v>
      </c>
      <c r="E271" t="s">
        <v>2094</v>
      </c>
      <c r="F271" s="8">
        <v>3.4</v>
      </c>
      <c r="G271" s="6">
        <v>41000</v>
      </c>
      <c r="H271" s="8">
        <v>12</v>
      </c>
      <c r="I271" s="7">
        <v>315.38</v>
      </c>
      <c r="J271" s="8">
        <v>0.8</v>
      </c>
      <c r="K271" s="7">
        <v>11616.666666666701</v>
      </c>
      <c r="L271" s="7">
        <v>11932.0466666667</v>
      </c>
    </row>
    <row r="272" spans="1:12" x14ac:dyDescent="0.25">
      <c r="A272" s="9">
        <v>45717</v>
      </c>
      <c r="B272" t="s">
        <v>80</v>
      </c>
      <c r="C272" t="s">
        <v>81</v>
      </c>
      <c r="D272" t="s">
        <v>64</v>
      </c>
      <c r="E272" t="s">
        <v>2096</v>
      </c>
      <c r="F272" s="8">
        <v>4.5</v>
      </c>
      <c r="G272" s="6">
        <v>35000</v>
      </c>
      <c r="H272" s="8">
        <v>19.7</v>
      </c>
      <c r="I272" s="7">
        <v>441.99</v>
      </c>
      <c r="J272" s="8">
        <v>1.4</v>
      </c>
      <c r="K272" s="7">
        <v>13125</v>
      </c>
      <c r="L272" s="7">
        <v>13566.99</v>
      </c>
    </row>
    <row r="273" spans="1:12" x14ac:dyDescent="0.25">
      <c r="A273" s="9">
        <v>45717</v>
      </c>
      <c r="B273" t="s">
        <v>80</v>
      </c>
      <c r="C273" t="s">
        <v>81</v>
      </c>
      <c r="D273" t="s">
        <v>64</v>
      </c>
      <c r="E273" t="s">
        <v>2095</v>
      </c>
      <c r="F273" s="8">
        <v>6.2</v>
      </c>
      <c r="G273" s="6">
        <v>27000</v>
      </c>
      <c r="H273" s="8">
        <v>38.6</v>
      </c>
      <c r="I273" s="7">
        <v>668.08</v>
      </c>
      <c r="J273" s="8">
        <v>2.8</v>
      </c>
      <c r="K273" s="7">
        <v>13950</v>
      </c>
      <c r="L273" s="7">
        <v>14618.08</v>
      </c>
    </row>
    <row r="274" spans="1:12" x14ac:dyDescent="0.25">
      <c r="A274" s="9">
        <v>45717</v>
      </c>
      <c r="B274" t="s">
        <v>80</v>
      </c>
      <c r="C274" t="s">
        <v>81</v>
      </c>
      <c r="D274" t="s">
        <v>64</v>
      </c>
      <c r="E274" t="s">
        <v>2093</v>
      </c>
      <c r="F274" s="8">
        <v>6.3</v>
      </c>
      <c r="G274" s="6">
        <v>29000</v>
      </c>
      <c r="H274" s="8">
        <v>19.899999999999999</v>
      </c>
      <c r="I274" s="7">
        <v>369.94</v>
      </c>
      <c r="J274" s="8">
        <v>2.7</v>
      </c>
      <c r="K274" s="7">
        <v>15225</v>
      </c>
      <c r="L274" s="7">
        <v>15594.94</v>
      </c>
    </row>
    <row r="275" spans="1:12" x14ac:dyDescent="0.25">
      <c r="A275" s="9">
        <v>45717</v>
      </c>
      <c r="B275" t="s">
        <v>80</v>
      </c>
      <c r="C275" t="s">
        <v>81</v>
      </c>
      <c r="D275" t="s">
        <v>64</v>
      </c>
      <c r="E275" t="s">
        <v>2091</v>
      </c>
      <c r="F275" s="8">
        <v>14.2</v>
      </c>
      <c r="G275" s="6">
        <v>25000</v>
      </c>
      <c r="H275" s="8">
        <v>72.099999999999994</v>
      </c>
      <c r="I275" s="7">
        <v>1155.45</v>
      </c>
      <c r="J275" s="8">
        <v>6.9</v>
      </c>
      <c r="K275" s="7">
        <v>29583.333333333299</v>
      </c>
      <c r="L275" s="7">
        <v>30738.7833333333</v>
      </c>
    </row>
    <row r="276" spans="1:12" x14ac:dyDescent="0.25">
      <c r="A276" s="9">
        <v>45717</v>
      </c>
      <c r="B276" t="s">
        <v>80</v>
      </c>
      <c r="C276" t="s">
        <v>81</v>
      </c>
      <c r="D276" t="s">
        <v>64</v>
      </c>
      <c r="E276" t="s">
        <v>2097</v>
      </c>
      <c r="F276" s="8">
        <v>12.3</v>
      </c>
      <c r="G276" s="6">
        <v>28000</v>
      </c>
      <c r="H276" s="8">
        <v>37.4</v>
      </c>
      <c r="I276" s="7">
        <v>671.28</v>
      </c>
      <c r="J276" s="8">
        <v>7.8</v>
      </c>
      <c r="K276" s="7">
        <v>28700</v>
      </c>
      <c r="L276" s="7">
        <v>29371.279999999999</v>
      </c>
    </row>
    <row r="277" spans="1:12" x14ac:dyDescent="0.25">
      <c r="A277" s="9">
        <v>45717</v>
      </c>
      <c r="B277" t="s">
        <v>56</v>
      </c>
      <c r="C277" t="s">
        <v>57</v>
      </c>
      <c r="D277" t="s">
        <v>58</v>
      </c>
      <c r="E277" t="s">
        <v>2094</v>
      </c>
      <c r="F277" s="8">
        <v>5</v>
      </c>
      <c r="G277" s="6">
        <v>41000</v>
      </c>
      <c r="H277" s="8">
        <v>13.6</v>
      </c>
      <c r="I277" s="7">
        <v>357.44</v>
      </c>
      <c r="J277" s="8">
        <v>2.5</v>
      </c>
      <c r="K277" s="7">
        <v>17083.333333333299</v>
      </c>
      <c r="L277" s="7">
        <v>17440.773333333302</v>
      </c>
    </row>
    <row r="278" spans="1:12" x14ac:dyDescent="0.25">
      <c r="A278" s="9">
        <v>45717</v>
      </c>
      <c r="B278" t="s">
        <v>56</v>
      </c>
      <c r="C278" t="s">
        <v>57</v>
      </c>
      <c r="D278" t="s">
        <v>58</v>
      </c>
      <c r="E278" t="s">
        <v>2096</v>
      </c>
      <c r="F278" s="8">
        <v>3.7</v>
      </c>
      <c r="G278" s="6">
        <v>35000</v>
      </c>
      <c r="H278" s="8">
        <v>18.399999999999999</v>
      </c>
      <c r="I278" s="7">
        <v>412.82</v>
      </c>
      <c r="J278" s="8">
        <v>0.2</v>
      </c>
      <c r="K278" s="7">
        <v>10791.666666666701</v>
      </c>
      <c r="L278" s="7">
        <v>11204.4866666667</v>
      </c>
    </row>
    <row r="279" spans="1:12" x14ac:dyDescent="0.25">
      <c r="A279" s="9">
        <v>45717</v>
      </c>
      <c r="B279" t="s">
        <v>56</v>
      </c>
      <c r="C279" t="s">
        <v>57</v>
      </c>
      <c r="D279" t="s">
        <v>58</v>
      </c>
      <c r="E279" t="s">
        <v>2091</v>
      </c>
      <c r="F279" s="8">
        <v>6.4</v>
      </c>
      <c r="G279" s="6">
        <v>25000</v>
      </c>
      <c r="H279" s="8">
        <v>30.2</v>
      </c>
      <c r="I279" s="7">
        <v>483.97</v>
      </c>
      <c r="J279" s="8">
        <v>2.1</v>
      </c>
      <c r="K279" s="7">
        <v>13333.333333333299</v>
      </c>
      <c r="L279" s="7">
        <v>13817.303333333301</v>
      </c>
    </row>
    <row r="280" spans="1:12" x14ac:dyDescent="0.25">
      <c r="A280" s="9">
        <v>45717</v>
      </c>
      <c r="B280" t="s">
        <v>56</v>
      </c>
      <c r="C280" t="s">
        <v>57</v>
      </c>
      <c r="D280" t="s">
        <v>58</v>
      </c>
      <c r="E280" t="s">
        <v>2093</v>
      </c>
      <c r="F280" s="8">
        <v>8.1</v>
      </c>
      <c r="G280" s="6">
        <v>29000</v>
      </c>
      <c r="H280" s="8">
        <v>42.4</v>
      </c>
      <c r="I280" s="7">
        <v>788.21</v>
      </c>
      <c r="J280" s="8">
        <v>3.1</v>
      </c>
      <c r="K280" s="7">
        <v>19575</v>
      </c>
      <c r="L280" s="7">
        <v>20363.21</v>
      </c>
    </row>
    <row r="281" spans="1:12" x14ac:dyDescent="0.25">
      <c r="A281" s="9">
        <v>45717</v>
      </c>
      <c r="B281" t="s">
        <v>56</v>
      </c>
      <c r="C281" t="s">
        <v>57</v>
      </c>
      <c r="D281" t="s">
        <v>58</v>
      </c>
      <c r="E281" t="s">
        <v>2097</v>
      </c>
      <c r="F281" s="8">
        <v>15.7</v>
      </c>
      <c r="G281" s="6">
        <v>28000</v>
      </c>
      <c r="H281" s="8">
        <v>79.099999999999994</v>
      </c>
      <c r="I281" s="7">
        <v>1419.74</v>
      </c>
      <c r="J281" s="8">
        <v>9</v>
      </c>
      <c r="K281" s="7">
        <v>36633.333333333299</v>
      </c>
      <c r="L281" s="7">
        <v>38053.073333333297</v>
      </c>
    </row>
    <row r="282" spans="1:12" x14ac:dyDescent="0.25">
      <c r="A282" s="9">
        <v>45717</v>
      </c>
      <c r="B282" t="s">
        <v>56</v>
      </c>
      <c r="C282" t="s">
        <v>57</v>
      </c>
      <c r="D282" t="s">
        <v>58</v>
      </c>
      <c r="E282" t="s">
        <v>2095</v>
      </c>
      <c r="F282" s="8">
        <v>9.6</v>
      </c>
      <c r="G282" s="6">
        <v>27000</v>
      </c>
      <c r="H282" s="8">
        <v>50.8</v>
      </c>
      <c r="I282" s="7">
        <v>879.23</v>
      </c>
      <c r="J282" s="8">
        <v>5.0999999999999996</v>
      </c>
      <c r="K282" s="7">
        <v>21600</v>
      </c>
      <c r="L282" s="7">
        <v>22479.23</v>
      </c>
    </row>
    <row r="283" spans="1:12" x14ac:dyDescent="0.25">
      <c r="A283" s="9">
        <v>45717</v>
      </c>
      <c r="B283" t="s">
        <v>77</v>
      </c>
      <c r="C283" t="s">
        <v>78</v>
      </c>
      <c r="D283" t="s">
        <v>58</v>
      </c>
      <c r="E283" t="s">
        <v>2091</v>
      </c>
      <c r="F283" s="8">
        <v>14.3</v>
      </c>
      <c r="G283" s="6">
        <v>25000</v>
      </c>
      <c r="H283" s="8">
        <v>52.2</v>
      </c>
      <c r="I283" s="7">
        <v>836.54</v>
      </c>
      <c r="J283" s="8">
        <v>6.6</v>
      </c>
      <c r="K283" s="7">
        <v>29791.666666666701</v>
      </c>
      <c r="L283" s="7">
        <v>30628.206666666701</v>
      </c>
    </row>
    <row r="284" spans="1:12" x14ac:dyDescent="0.25">
      <c r="A284" s="9">
        <v>45717</v>
      </c>
      <c r="B284" t="s">
        <v>77</v>
      </c>
      <c r="C284" t="s">
        <v>78</v>
      </c>
      <c r="D284" t="s">
        <v>58</v>
      </c>
      <c r="E284" t="s">
        <v>2092</v>
      </c>
      <c r="F284" s="8">
        <v>13</v>
      </c>
      <c r="G284" s="6">
        <v>43000</v>
      </c>
      <c r="H284" s="8">
        <v>80.7</v>
      </c>
      <c r="I284" s="7">
        <v>2224.42</v>
      </c>
      <c r="J284" s="8">
        <v>5.8</v>
      </c>
      <c r="K284" s="7">
        <v>46583.333333333299</v>
      </c>
      <c r="L284" s="7">
        <v>48807.753333333298</v>
      </c>
    </row>
    <row r="285" spans="1:12" x14ac:dyDescent="0.25">
      <c r="A285" s="9">
        <v>45717</v>
      </c>
      <c r="B285" t="s">
        <v>77</v>
      </c>
      <c r="C285" t="s">
        <v>78</v>
      </c>
      <c r="D285" t="s">
        <v>58</v>
      </c>
      <c r="E285" t="s">
        <v>2097</v>
      </c>
      <c r="F285" s="8">
        <v>3.2</v>
      </c>
      <c r="G285" s="6">
        <v>28000</v>
      </c>
      <c r="H285" s="8">
        <v>7.8</v>
      </c>
      <c r="I285" s="7">
        <v>140</v>
      </c>
      <c r="J285" s="8">
        <v>2.2999999999999998</v>
      </c>
      <c r="K285" s="7">
        <v>7466.6666666666697</v>
      </c>
      <c r="L285" s="7">
        <v>7606.6666666666697</v>
      </c>
    </row>
    <row r="286" spans="1:12" x14ac:dyDescent="0.25">
      <c r="A286" s="9">
        <v>45717</v>
      </c>
      <c r="B286" t="s">
        <v>77</v>
      </c>
      <c r="C286" t="s">
        <v>78</v>
      </c>
      <c r="D286" t="s">
        <v>58</v>
      </c>
      <c r="E286" t="s">
        <v>2095</v>
      </c>
      <c r="F286" s="8">
        <v>18</v>
      </c>
      <c r="G286" s="6">
        <v>27000</v>
      </c>
      <c r="H286" s="8">
        <v>50.5</v>
      </c>
      <c r="I286" s="7">
        <v>874.04</v>
      </c>
      <c r="J286" s="8">
        <v>8</v>
      </c>
      <c r="K286" s="7">
        <v>40500</v>
      </c>
      <c r="L286" s="7">
        <v>41374.04</v>
      </c>
    </row>
    <row r="287" spans="1:12" x14ac:dyDescent="0.25">
      <c r="A287" s="9">
        <v>45717</v>
      </c>
      <c r="B287" t="s">
        <v>77</v>
      </c>
      <c r="C287" t="s">
        <v>78</v>
      </c>
      <c r="D287" t="s">
        <v>58</v>
      </c>
      <c r="E287" t="s">
        <v>2094</v>
      </c>
      <c r="F287" s="8">
        <v>5.3</v>
      </c>
      <c r="G287" s="6">
        <v>41000</v>
      </c>
      <c r="H287" s="8">
        <v>9.6999999999999993</v>
      </c>
      <c r="I287" s="7">
        <v>254.94</v>
      </c>
      <c r="J287" s="8">
        <v>2.2000000000000002</v>
      </c>
      <c r="K287" s="7">
        <v>18108.333333333299</v>
      </c>
      <c r="L287" s="7">
        <v>18363.273333333302</v>
      </c>
    </row>
    <row r="288" spans="1:12" x14ac:dyDescent="0.25">
      <c r="A288" s="9">
        <v>45717</v>
      </c>
      <c r="B288" t="s">
        <v>110</v>
      </c>
      <c r="C288" t="s">
        <v>111</v>
      </c>
      <c r="D288" t="s">
        <v>58</v>
      </c>
      <c r="E288" t="s">
        <v>2097</v>
      </c>
      <c r="F288" s="8">
        <v>14.3</v>
      </c>
      <c r="G288" s="6">
        <v>28000</v>
      </c>
      <c r="H288" s="8">
        <v>55.4</v>
      </c>
      <c r="I288" s="7">
        <v>994.36</v>
      </c>
      <c r="J288" s="8">
        <v>7.4</v>
      </c>
      <c r="K288" s="7">
        <v>33366.666666666701</v>
      </c>
      <c r="L288" s="7">
        <v>34361.026666666701</v>
      </c>
    </row>
    <row r="289" spans="1:12" x14ac:dyDescent="0.25">
      <c r="A289" s="9">
        <v>45717</v>
      </c>
      <c r="B289" t="s">
        <v>110</v>
      </c>
      <c r="C289" t="s">
        <v>111</v>
      </c>
      <c r="D289" t="s">
        <v>58</v>
      </c>
      <c r="E289" t="s">
        <v>2096</v>
      </c>
      <c r="F289" s="8">
        <v>11.1</v>
      </c>
      <c r="G289" s="6">
        <v>35000</v>
      </c>
      <c r="H289" s="8">
        <v>60.2</v>
      </c>
      <c r="I289" s="7">
        <v>1350.64</v>
      </c>
      <c r="J289" s="8">
        <v>6.1</v>
      </c>
      <c r="K289" s="7">
        <v>32375</v>
      </c>
      <c r="L289" s="7">
        <v>33725.64</v>
      </c>
    </row>
    <row r="290" spans="1:12" x14ac:dyDescent="0.25">
      <c r="A290" s="9">
        <v>45717</v>
      </c>
      <c r="B290" t="s">
        <v>110</v>
      </c>
      <c r="C290" t="s">
        <v>111</v>
      </c>
      <c r="D290" t="s">
        <v>58</v>
      </c>
      <c r="E290" t="s">
        <v>2093</v>
      </c>
      <c r="F290" s="8">
        <v>6.6</v>
      </c>
      <c r="G290" s="6">
        <v>29000</v>
      </c>
      <c r="H290" s="8">
        <v>24.5</v>
      </c>
      <c r="I290" s="7">
        <v>455.45</v>
      </c>
      <c r="J290" s="8">
        <v>3.1</v>
      </c>
      <c r="K290" s="7">
        <v>15950</v>
      </c>
      <c r="L290" s="7">
        <v>16405.45</v>
      </c>
    </row>
    <row r="291" spans="1:12" x14ac:dyDescent="0.25">
      <c r="A291" s="9">
        <v>45717</v>
      </c>
      <c r="B291" t="s">
        <v>110</v>
      </c>
      <c r="C291" t="s">
        <v>111</v>
      </c>
      <c r="D291" t="s">
        <v>58</v>
      </c>
      <c r="E291" t="s">
        <v>2092</v>
      </c>
      <c r="F291" s="8">
        <v>5.9</v>
      </c>
      <c r="G291" s="6">
        <v>43000</v>
      </c>
      <c r="H291" s="8">
        <v>28.1</v>
      </c>
      <c r="I291" s="7">
        <v>774.55</v>
      </c>
      <c r="J291" s="8">
        <v>4.2</v>
      </c>
      <c r="K291" s="7">
        <v>21141.666666666701</v>
      </c>
      <c r="L291" s="7">
        <v>21916.2166666667</v>
      </c>
    </row>
    <row r="292" spans="1:12" x14ac:dyDescent="0.25">
      <c r="A292" s="9">
        <v>45717</v>
      </c>
      <c r="B292" t="s">
        <v>85</v>
      </c>
      <c r="C292" t="s">
        <v>86</v>
      </c>
      <c r="D292" t="s">
        <v>58</v>
      </c>
      <c r="E292" t="s">
        <v>2095</v>
      </c>
      <c r="F292" s="8">
        <v>17.600000000000001</v>
      </c>
      <c r="G292" s="6">
        <v>27000</v>
      </c>
      <c r="H292" s="8">
        <v>73.7</v>
      </c>
      <c r="I292" s="7">
        <v>1275.58</v>
      </c>
      <c r="J292" s="8">
        <v>8.3000000000000007</v>
      </c>
      <c r="K292" s="7">
        <v>39600</v>
      </c>
      <c r="L292" s="7">
        <v>40875.58</v>
      </c>
    </row>
    <row r="293" spans="1:12" x14ac:dyDescent="0.25">
      <c r="A293" s="9">
        <v>45717</v>
      </c>
      <c r="B293" t="s">
        <v>85</v>
      </c>
      <c r="C293" t="s">
        <v>86</v>
      </c>
      <c r="D293" t="s">
        <v>58</v>
      </c>
      <c r="E293" t="s">
        <v>2097</v>
      </c>
      <c r="F293" s="8">
        <v>5.5</v>
      </c>
      <c r="G293" s="6">
        <v>28000</v>
      </c>
      <c r="H293" s="8">
        <v>13.8</v>
      </c>
      <c r="I293" s="7">
        <v>247.69</v>
      </c>
      <c r="J293" s="8">
        <v>1.3</v>
      </c>
      <c r="K293" s="7">
        <v>12833.333333333299</v>
      </c>
      <c r="L293" s="7">
        <v>13081.0233333333</v>
      </c>
    </row>
    <row r="294" spans="1:12" x14ac:dyDescent="0.25">
      <c r="A294" s="9">
        <v>45717</v>
      </c>
      <c r="B294" t="s">
        <v>85</v>
      </c>
      <c r="C294" t="s">
        <v>86</v>
      </c>
      <c r="D294" t="s">
        <v>58</v>
      </c>
      <c r="E294" t="s">
        <v>2092</v>
      </c>
      <c r="F294" s="8">
        <v>15.9</v>
      </c>
      <c r="G294" s="6">
        <v>43000</v>
      </c>
      <c r="H294" s="8">
        <v>79.5</v>
      </c>
      <c r="I294" s="7">
        <v>2191.35</v>
      </c>
      <c r="J294" s="8">
        <v>8.5</v>
      </c>
      <c r="K294" s="7">
        <v>56975</v>
      </c>
      <c r="L294" s="7">
        <v>59166.35</v>
      </c>
    </row>
    <row r="295" spans="1:12" x14ac:dyDescent="0.25">
      <c r="A295" s="9">
        <v>45717</v>
      </c>
      <c r="B295" t="s">
        <v>85</v>
      </c>
      <c r="C295" t="s">
        <v>86</v>
      </c>
      <c r="D295" t="s">
        <v>58</v>
      </c>
      <c r="E295" t="s">
        <v>2091</v>
      </c>
      <c r="F295" s="8">
        <v>11.1</v>
      </c>
      <c r="G295" s="6">
        <v>25000</v>
      </c>
      <c r="H295" s="8">
        <v>54</v>
      </c>
      <c r="I295" s="7">
        <v>865.38</v>
      </c>
      <c r="J295" s="8">
        <v>5.4</v>
      </c>
      <c r="K295" s="7">
        <v>23125</v>
      </c>
      <c r="L295" s="7">
        <v>23990.38</v>
      </c>
    </row>
    <row r="296" spans="1:12" x14ac:dyDescent="0.25">
      <c r="A296" s="9">
        <v>45717</v>
      </c>
      <c r="B296" t="s">
        <v>85</v>
      </c>
      <c r="C296" t="s">
        <v>86</v>
      </c>
      <c r="D296" t="s">
        <v>58</v>
      </c>
      <c r="E296" t="s">
        <v>2096</v>
      </c>
      <c r="F296" s="8">
        <v>19.8</v>
      </c>
      <c r="G296" s="6">
        <v>35000</v>
      </c>
      <c r="H296" s="8">
        <v>121</v>
      </c>
      <c r="I296" s="7">
        <v>2714.74</v>
      </c>
      <c r="J296" s="8">
        <v>9.4</v>
      </c>
      <c r="K296" s="7">
        <v>57750</v>
      </c>
      <c r="L296" s="7">
        <v>60464.74</v>
      </c>
    </row>
    <row r="297" spans="1:12" x14ac:dyDescent="0.25">
      <c r="A297" s="9">
        <v>45717</v>
      </c>
      <c r="B297" t="s">
        <v>85</v>
      </c>
      <c r="C297" t="s">
        <v>86</v>
      </c>
      <c r="D297" t="s">
        <v>58</v>
      </c>
      <c r="E297" t="s">
        <v>2094</v>
      </c>
      <c r="F297" s="8">
        <v>4.2</v>
      </c>
      <c r="G297" s="6">
        <v>41000</v>
      </c>
      <c r="H297" s="8">
        <v>22.8</v>
      </c>
      <c r="I297" s="7">
        <v>599.23</v>
      </c>
      <c r="J297" s="8">
        <v>2.1</v>
      </c>
      <c r="K297" s="7">
        <v>14350</v>
      </c>
      <c r="L297" s="7">
        <v>14949.23</v>
      </c>
    </row>
    <row r="298" spans="1:12" x14ac:dyDescent="0.25">
      <c r="A298" s="9">
        <v>45717</v>
      </c>
      <c r="B298" t="s">
        <v>103</v>
      </c>
      <c r="C298" t="s">
        <v>104</v>
      </c>
      <c r="D298" t="s">
        <v>58</v>
      </c>
      <c r="E298" t="s">
        <v>2093</v>
      </c>
      <c r="F298" s="8">
        <v>18.899999999999999</v>
      </c>
      <c r="G298" s="6">
        <v>29000</v>
      </c>
      <c r="H298" s="8">
        <v>58.4</v>
      </c>
      <c r="I298" s="7">
        <v>1085.6400000000001</v>
      </c>
      <c r="J298" s="8">
        <v>10</v>
      </c>
      <c r="K298" s="7">
        <v>45675</v>
      </c>
      <c r="L298" s="7">
        <v>46760.639999999999</v>
      </c>
    </row>
    <row r="299" spans="1:12" x14ac:dyDescent="0.25">
      <c r="A299" s="9">
        <v>45717</v>
      </c>
      <c r="B299" t="s">
        <v>103</v>
      </c>
      <c r="C299" t="s">
        <v>104</v>
      </c>
      <c r="D299" t="s">
        <v>58</v>
      </c>
      <c r="E299" t="s">
        <v>2095</v>
      </c>
      <c r="F299" s="8">
        <v>17.100000000000001</v>
      </c>
      <c r="G299" s="6">
        <v>27000</v>
      </c>
      <c r="H299" s="8">
        <v>78.900000000000006</v>
      </c>
      <c r="I299" s="7">
        <v>1365.58</v>
      </c>
      <c r="J299" s="8">
        <v>8.9</v>
      </c>
      <c r="K299" s="7">
        <v>38475</v>
      </c>
      <c r="L299" s="7">
        <v>39840.58</v>
      </c>
    </row>
    <row r="300" spans="1:12" x14ac:dyDescent="0.25">
      <c r="A300" s="9">
        <v>45717</v>
      </c>
      <c r="B300" t="s">
        <v>103</v>
      </c>
      <c r="C300" t="s">
        <v>104</v>
      </c>
      <c r="D300" t="s">
        <v>58</v>
      </c>
      <c r="E300" t="s">
        <v>2096</v>
      </c>
      <c r="F300" s="8">
        <v>9.9</v>
      </c>
      <c r="G300" s="6">
        <v>35000</v>
      </c>
      <c r="H300" s="8">
        <v>40.799999999999997</v>
      </c>
      <c r="I300" s="7">
        <v>915.38</v>
      </c>
      <c r="J300" s="8">
        <v>4.9000000000000004</v>
      </c>
      <c r="K300" s="7">
        <v>28875</v>
      </c>
      <c r="L300" s="7">
        <v>29790.38</v>
      </c>
    </row>
    <row r="301" spans="1:12" x14ac:dyDescent="0.25">
      <c r="A301" s="9">
        <v>45717</v>
      </c>
      <c r="B301" t="s">
        <v>103</v>
      </c>
      <c r="C301" t="s">
        <v>104</v>
      </c>
      <c r="D301" t="s">
        <v>58</v>
      </c>
      <c r="E301" t="s">
        <v>2094</v>
      </c>
      <c r="F301" s="8">
        <v>15.8</v>
      </c>
      <c r="G301" s="6">
        <v>41000</v>
      </c>
      <c r="H301" s="8">
        <v>119.8</v>
      </c>
      <c r="I301" s="7">
        <v>3148.59</v>
      </c>
      <c r="J301" s="8">
        <v>9.1</v>
      </c>
      <c r="K301" s="7">
        <v>53983.333333333299</v>
      </c>
      <c r="L301" s="7">
        <v>57131.923333333303</v>
      </c>
    </row>
    <row r="302" spans="1:12" x14ac:dyDescent="0.25">
      <c r="A302" s="9">
        <v>45748</v>
      </c>
      <c r="B302" t="s">
        <v>100</v>
      </c>
      <c r="C302" t="s">
        <v>101</v>
      </c>
      <c r="D302" t="s">
        <v>69</v>
      </c>
      <c r="E302" t="s">
        <v>2097</v>
      </c>
      <c r="F302" s="8">
        <v>6.3</v>
      </c>
      <c r="G302" s="6">
        <v>28000</v>
      </c>
      <c r="H302" s="8">
        <v>32</v>
      </c>
      <c r="I302" s="7">
        <v>574.36</v>
      </c>
      <c r="J302" s="8">
        <v>3.3</v>
      </c>
      <c r="K302" s="7">
        <v>14700</v>
      </c>
      <c r="L302" s="7">
        <v>15274.36</v>
      </c>
    </row>
    <row r="303" spans="1:12" x14ac:dyDescent="0.25">
      <c r="A303" s="9">
        <v>45748</v>
      </c>
      <c r="B303" t="s">
        <v>100</v>
      </c>
      <c r="C303" t="s">
        <v>101</v>
      </c>
      <c r="D303" t="s">
        <v>69</v>
      </c>
      <c r="E303" t="s">
        <v>2094</v>
      </c>
      <c r="F303" s="8">
        <v>15.4</v>
      </c>
      <c r="G303" s="6">
        <v>41000</v>
      </c>
      <c r="H303" s="8">
        <v>84.9</v>
      </c>
      <c r="I303" s="7">
        <v>2231.35</v>
      </c>
      <c r="J303" s="8">
        <v>8.1999999999999993</v>
      </c>
      <c r="K303" s="7">
        <v>52616.666666666701</v>
      </c>
      <c r="L303" s="7">
        <v>54848.016666666699</v>
      </c>
    </row>
    <row r="304" spans="1:12" x14ac:dyDescent="0.25">
      <c r="A304" s="9">
        <v>45748</v>
      </c>
      <c r="B304" t="s">
        <v>100</v>
      </c>
      <c r="C304" t="s">
        <v>101</v>
      </c>
      <c r="D304" t="s">
        <v>69</v>
      </c>
      <c r="E304" t="s">
        <v>2096</v>
      </c>
      <c r="F304" s="8">
        <v>9.4</v>
      </c>
      <c r="G304" s="6">
        <v>35000</v>
      </c>
      <c r="H304" s="8">
        <v>38</v>
      </c>
      <c r="I304" s="7">
        <v>852.56</v>
      </c>
      <c r="J304" s="8">
        <v>4.4000000000000004</v>
      </c>
      <c r="K304" s="7">
        <v>27416.666666666701</v>
      </c>
      <c r="L304" s="7">
        <v>28269.226666666698</v>
      </c>
    </row>
    <row r="305" spans="1:12" x14ac:dyDescent="0.25">
      <c r="A305" s="9">
        <v>45748</v>
      </c>
      <c r="B305" t="s">
        <v>100</v>
      </c>
      <c r="C305" t="s">
        <v>101</v>
      </c>
      <c r="D305" t="s">
        <v>69</v>
      </c>
      <c r="E305" t="s">
        <v>2091</v>
      </c>
      <c r="F305" s="8">
        <v>10.6</v>
      </c>
      <c r="G305" s="6">
        <v>25000</v>
      </c>
      <c r="H305" s="8">
        <v>41.1</v>
      </c>
      <c r="I305" s="7">
        <v>658.65</v>
      </c>
      <c r="J305" s="8">
        <v>2.1</v>
      </c>
      <c r="K305" s="7">
        <v>22083.333333333299</v>
      </c>
      <c r="L305" s="7">
        <v>22741.983333333301</v>
      </c>
    </row>
    <row r="306" spans="1:12" x14ac:dyDescent="0.25">
      <c r="A306" s="9">
        <v>45748</v>
      </c>
      <c r="B306" t="s">
        <v>113</v>
      </c>
      <c r="C306" t="s">
        <v>114</v>
      </c>
      <c r="D306" t="s">
        <v>69</v>
      </c>
      <c r="E306" t="s">
        <v>2095</v>
      </c>
      <c r="F306" s="8">
        <v>14</v>
      </c>
      <c r="G306" s="6">
        <v>27000</v>
      </c>
      <c r="H306" s="8">
        <v>60.4</v>
      </c>
      <c r="I306" s="7">
        <v>1045.3800000000001</v>
      </c>
      <c r="J306" s="8">
        <v>6.5</v>
      </c>
      <c r="K306" s="7">
        <v>31500</v>
      </c>
      <c r="L306" s="7">
        <v>32545.38</v>
      </c>
    </row>
    <row r="307" spans="1:12" x14ac:dyDescent="0.25">
      <c r="A307" s="9">
        <v>45748</v>
      </c>
      <c r="B307" t="s">
        <v>113</v>
      </c>
      <c r="C307" t="s">
        <v>114</v>
      </c>
      <c r="D307" t="s">
        <v>69</v>
      </c>
      <c r="E307" t="s">
        <v>2093</v>
      </c>
      <c r="F307" s="8">
        <v>15.8</v>
      </c>
      <c r="G307" s="6">
        <v>29000</v>
      </c>
      <c r="H307" s="8">
        <v>100.9</v>
      </c>
      <c r="I307" s="7">
        <v>1875.71</v>
      </c>
      <c r="J307" s="8">
        <v>7.9</v>
      </c>
      <c r="K307" s="7">
        <v>38183.333333333299</v>
      </c>
      <c r="L307" s="7">
        <v>40059.043333333299</v>
      </c>
    </row>
    <row r="308" spans="1:12" x14ac:dyDescent="0.25">
      <c r="A308" s="9">
        <v>45748</v>
      </c>
      <c r="B308" t="s">
        <v>113</v>
      </c>
      <c r="C308" t="s">
        <v>114</v>
      </c>
      <c r="D308" t="s">
        <v>69</v>
      </c>
      <c r="E308" t="s">
        <v>2096</v>
      </c>
      <c r="F308" s="8">
        <v>5.7</v>
      </c>
      <c r="G308" s="6">
        <v>35000</v>
      </c>
      <c r="H308" s="8">
        <v>12.6</v>
      </c>
      <c r="I308" s="7">
        <v>282.69</v>
      </c>
      <c r="J308" s="8">
        <v>2.8</v>
      </c>
      <c r="K308" s="7">
        <v>16625</v>
      </c>
      <c r="L308" s="7">
        <v>16907.689999999999</v>
      </c>
    </row>
    <row r="309" spans="1:12" x14ac:dyDescent="0.25">
      <c r="A309" s="9">
        <v>45748</v>
      </c>
      <c r="B309" t="s">
        <v>113</v>
      </c>
      <c r="C309" t="s">
        <v>114</v>
      </c>
      <c r="D309" t="s">
        <v>69</v>
      </c>
      <c r="E309" t="s">
        <v>2092</v>
      </c>
      <c r="F309" s="8">
        <v>13.2</v>
      </c>
      <c r="G309" s="6">
        <v>43000</v>
      </c>
      <c r="H309" s="8">
        <v>32.1</v>
      </c>
      <c r="I309" s="7">
        <v>884.81</v>
      </c>
      <c r="J309" s="8">
        <v>7.1</v>
      </c>
      <c r="K309" s="7">
        <v>47300</v>
      </c>
      <c r="L309" s="7">
        <v>48184.81</v>
      </c>
    </row>
    <row r="310" spans="1:12" x14ac:dyDescent="0.25">
      <c r="A310" s="9">
        <v>45748</v>
      </c>
      <c r="B310" t="s">
        <v>143</v>
      </c>
      <c r="C310" t="s">
        <v>144</v>
      </c>
      <c r="D310" t="s">
        <v>69</v>
      </c>
      <c r="E310" t="s">
        <v>2096</v>
      </c>
      <c r="F310" s="8">
        <v>4.0999999999999996</v>
      </c>
      <c r="G310" s="6">
        <v>35000</v>
      </c>
      <c r="H310" s="8">
        <v>18.2</v>
      </c>
      <c r="I310" s="7">
        <v>408.33</v>
      </c>
      <c r="J310" s="8">
        <v>3</v>
      </c>
      <c r="K310" s="7">
        <v>11958.333333333299</v>
      </c>
      <c r="L310" s="7">
        <v>12366.663333333299</v>
      </c>
    </row>
    <row r="311" spans="1:12" x14ac:dyDescent="0.25">
      <c r="A311" s="9">
        <v>45748</v>
      </c>
      <c r="B311" t="s">
        <v>143</v>
      </c>
      <c r="C311" t="s">
        <v>144</v>
      </c>
      <c r="D311" t="s">
        <v>69</v>
      </c>
      <c r="E311" t="s">
        <v>2091</v>
      </c>
      <c r="F311" s="8">
        <v>4.4000000000000004</v>
      </c>
      <c r="G311" s="6">
        <v>25000</v>
      </c>
      <c r="H311" s="8">
        <v>12.4</v>
      </c>
      <c r="I311" s="7">
        <v>198.72</v>
      </c>
      <c r="J311" s="8">
        <v>2.2000000000000002</v>
      </c>
      <c r="K311" s="7">
        <v>9166.6666666666697</v>
      </c>
      <c r="L311" s="7">
        <v>9365.3866666666709</v>
      </c>
    </row>
    <row r="312" spans="1:12" x14ac:dyDescent="0.25">
      <c r="A312" s="9">
        <v>45748</v>
      </c>
      <c r="B312" t="s">
        <v>143</v>
      </c>
      <c r="C312" t="s">
        <v>144</v>
      </c>
      <c r="D312" t="s">
        <v>69</v>
      </c>
      <c r="E312" t="s">
        <v>2097</v>
      </c>
      <c r="F312" s="8">
        <v>18.2</v>
      </c>
      <c r="G312" s="6">
        <v>28000</v>
      </c>
      <c r="H312" s="8">
        <v>35.5</v>
      </c>
      <c r="I312" s="7">
        <v>637.17999999999995</v>
      </c>
      <c r="J312" s="8">
        <v>9.8000000000000007</v>
      </c>
      <c r="K312" s="7">
        <v>42466.666666666701</v>
      </c>
      <c r="L312" s="7">
        <v>43103.846666666701</v>
      </c>
    </row>
    <row r="313" spans="1:12" x14ac:dyDescent="0.25">
      <c r="A313" s="9">
        <v>45748</v>
      </c>
      <c r="B313" t="s">
        <v>143</v>
      </c>
      <c r="C313" t="s">
        <v>144</v>
      </c>
      <c r="D313" t="s">
        <v>69</v>
      </c>
      <c r="E313" t="s">
        <v>2095</v>
      </c>
      <c r="F313" s="8">
        <v>5.5</v>
      </c>
      <c r="G313" s="6">
        <v>27000</v>
      </c>
      <c r="H313" s="8">
        <v>26.3</v>
      </c>
      <c r="I313" s="7">
        <v>455.19</v>
      </c>
      <c r="J313" s="8">
        <v>3.2</v>
      </c>
      <c r="K313" s="7">
        <v>12375</v>
      </c>
      <c r="L313" s="7">
        <v>12830.19</v>
      </c>
    </row>
    <row r="314" spans="1:12" x14ac:dyDescent="0.25">
      <c r="A314" s="9">
        <v>45748</v>
      </c>
      <c r="B314" t="s">
        <v>143</v>
      </c>
      <c r="C314" t="s">
        <v>144</v>
      </c>
      <c r="D314" t="s">
        <v>69</v>
      </c>
      <c r="E314" t="s">
        <v>2093</v>
      </c>
      <c r="F314" s="8">
        <v>13.9</v>
      </c>
      <c r="G314" s="6">
        <v>29000</v>
      </c>
      <c r="H314" s="8">
        <v>55.6</v>
      </c>
      <c r="I314" s="7">
        <v>1033.5899999999999</v>
      </c>
      <c r="J314" s="8">
        <v>7.4</v>
      </c>
      <c r="K314" s="7">
        <v>33591.666666666701</v>
      </c>
      <c r="L314" s="7">
        <v>34625.256666666697</v>
      </c>
    </row>
    <row r="315" spans="1:12" x14ac:dyDescent="0.25">
      <c r="A315" s="9">
        <v>45748</v>
      </c>
      <c r="B315" t="s">
        <v>73</v>
      </c>
      <c r="C315" t="s">
        <v>74</v>
      </c>
      <c r="D315" t="s">
        <v>69</v>
      </c>
      <c r="E315" t="s">
        <v>2094</v>
      </c>
      <c r="F315" s="8">
        <v>16.7</v>
      </c>
      <c r="G315" s="6">
        <v>41000</v>
      </c>
      <c r="H315" s="8">
        <v>107</v>
      </c>
      <c r="I315" s="7">
        <v>2812.18</v>
      </c>
      <c r="J315" s="8">
        <v>8.1</v>
      </c>
      <c r="K315" s="7">
        <v>57058.333333333299</v>
      </c>
      <c r="L315" s="7">
        <v>59870.5133333333</v>
      </c>
    </row>
    <row r="316" spans="1:12" x14ac:dyDescent="0.25">
      <c r="A316" s="9">
        <v>45748</v>
      </c>
      <c r="B316" t="s">
        <v>73</v>
      </c>
      <c r="C316" t="s">
        <v>74</v>
      </c>
      <c r="D316" t="s">
        <v>69</v>
      </c>
      <c r="E316" t="s">
        <v>2096</v>
      </c>
      <c r="F316" s="8">
        <v>18.600000000000001</v>
      </c>
      <c r="G316" s="6">
        <v>35000</v>
      </c>
      <c r="H316" s="8">
        <v>78.3</v>
      </c>
      <c r="I316" s="7">
        <v>1756.73</v>
      </c>
      <c r="J316" s="8">
        <v>8.1999999999999993</v>
      </c>
      <c r="K316" s="7">
        <v>54250</v>
      </c>
      <c r="L316" s="7">
        <v>56006.73</v>
      </c>
    </row>
    <row r="317" spans="1:12" x14ac:dyDescent="0.25">
      <c r="A317" s="9">
        <v>45748</v>
      </c>
      <c r="B317" t="s">
        <v>73</v>
      </c>
      <c r="C317" t="s">
        <v>74</v>
      </c>
      <c r="D317" t="s">
        <v>69</v>
      </c>
      <c r="E317" t="s">
        <v>2097</v>
      </c>
      <c r="F317" s="8">
        <v>8.1999999999999993</v>
      </c>
      <c r="G317" s="6">
        <v>28000</v>
      </c>
      <c r="H317" s="8">
        <v>22.1</v>
      </c>
      <c r="I317" s="7">
        <v>396.67</v>
      </c>
      <c r="J317" s="8">
        <v>4.2</v>
      </c>
      <c r="K317" s="7">
        <v>19133.333333333299</v>
      </c>
      <c r="L317" s="7">
        <v>19530.003333333301</v>
      </c>
    </row>
    <row r="318" spans="1:12" x14ac:dyDescent="0.25">
      <c r="A318" s="9">
        <v>45748</v>
      </c>
      <c r="B318" t="s">
        <v>73</v>
      </c>
      <c r="C318" t="s">
        <v>74</v>
      </c>
      <c r="D318" t="s">
        <v>69</v>
      </c>
      <c r="E318" t="s">
        <v>2095</v>
      </c>
      <c r="F318" s="8">
        <v>12.1</v>
      </c>
      <c r="G318" s="6">
        <v>27000</v>
      </c>
      <c r="H318" s="8">
        <v>68.400000000000006</v>
      </c>
      <c r="I318" s="7">
        <v>1183.8499999999999</v>
      </c>
      <c r="J318" s="8">
        <v>5.8</v>
      </c>
      <c r="K318" s="7">
        <v>27225</v>
      </c>
      <c r="L318" s="7">
        <v>28408.85</v>
      </c>
    </row>
    <row r="319" spans="1:12" x14ac:dyDescent="0.25">
      <c r="A319" s="9">
        <v>45748</v>
      </c>
      <c r="B319" t="s">
        <v>73</v>
      </c>
      <c r="C319" t="s">
        <v>74</v>
      </c>
      <c r="D319" t="s">
        <v>69</v>
      </c>
      <c r="E319" t="s">
        <v>2092</v>
      </c>
      <c r="F319" s="8">
        <v>8.6</v>
      </c>
      <c r="G319" s="6">
        <v>43000</v>
      </c>
      <c r="H319" s="8">
        <v>31.4</v>
      </c>
      <c r="I319" s="7">
        <v>865.51</v>
      </c>
      <c r="J319" s="8">
        <v>3.9</v>
      </c>
      <c r="K319" s="7">
        <v>30816.666666666701</v>
      </c>
      <c r="L319" s="7">
        <v>31682.176666666699</v>
      </c>
    </row>
    <row r="320" spans="1:12" x14ac:dyDescent="0.25">
      <c r="A320" s="9">
        <v>45748</v>
      </c>
      <c r="B320" t="s">
        <v>67</v>
      </c>
      <c r="C320" t="s">
        <v>68</v>
      </c>
      <c r="D320" t="s">
        <v>69</v>
      </c>
      <c r="E320" t="s">
        <v>2097</v>
      </c>
      <c r="F320" s="8">
        <v>15.9</v>
      </c>
      <c r="G320" s="6">
        <v>28000</v>
      </c>
      <c r="H320" s="8">
        <v>50.8</v>
      </c>
      <c r="I320" s="7">
        <v>911.79</v>
      </c>
      <c r="J320" s="8">
        <v>8.1999999999999993</v>
      </c>
      <c r="K320" s="7">
        <v>37100</v>
      </c>
      <c r="L320" s="7">
        <v>38011.79</v>
      </c>
    </row>
    <row r="321" spans="1:12" x14ac:dyDescent="0.25">
      <c r="A321" s="9">
        <v>45748</v>
      </c>
      <c r="B321" t="s">
        <v>67</v>
      </c>
      <c r="C321" t="s">
        <v>68</v>
      </c>
      <c r="D321" t="s">
        <v>69</v>
      </c>
      <c r="E321" t="s">
        <v>2096</v>
      </c>
      <c r="F321" s="8">
        <v>17.3</v>
      </c>
      <c r="G321" s="6">
        <v>35000</v>
      </c>
      <c r="H321" s="8">
        <v>30.3</v>
      </c>
      <c r="I321" s="7">
        <v>679.81</v>
      </c>
      <c r="J321" s="8">
        <v>9.9</v>
      </c>
      <c r="K321" s="7">
        <v>50458.333333333299</v>
      </c>
      <c r="L321" s="7">
        <v>51138.143333333297</v>
      </c>
    </row>
    <row r="322" spans="1:12" x14ac:dyDescent="0.25">
      <c r="A322" s="9">
        <v>45748</v>
      </c>
      <c r="B322" t="s">
        <v>67</v>
      </c>
      <c r="C322" t="s">
        <v>68</v>
      </c>
      <c r="D322" t="s">
        <v>69</v>
      </c>
      <c r="E322" t="s">
        <v>2092</v>
      </c>
      <c r="F322" s="8">
        <v>13</v>
      </c>
      <c r="G322" s="6">
        <v>43000</v>
      </c>
      <c r="H322" s="8">
        <v>39</v>
      </c>
      <c r="I322" s="7">
        <v>1075</v>
      </c>
      <c r="J322" s="8">
        <v>7.2</v>
      </c>
      <c r="K322" s="7">
        <v>46583.333333333299</v>
      </c>
      <c r="L322" s="7">
        <v>47658.333333333299</v>
      </c>
    </row>
    <row r="323" spans="1:12" x14ac:dyDescent="0.25">
      <c r="A323" s="9">
        <v>45748</v>
      </c>
      <c r="B323" t="s">
        <v>67</v>
      </c>
      <c r="C323" t="s">
        <v>68</v>
      </c>
      <c r="D323" t="s">
        <v>69</v>
      </c>
      <c r="E323" t="s">
        <v>2095</v>
      </c>
      <c r="F323" s="8">
        <v>12.5</v>
      </c>
      <c r="G323" s="6">
        <v>27000</v>
      </c>
      <c r="H323" s="8">
        <v>26.2</v>
      </c>
      <c r="I323" s="7">
        <v>453.46</v>
      </c>
      <c r="J323" s="8">
        <v>6.9</v>
      </c>
      <c r="K323" s="7">
        <v>28125</v>
      </c>
      <c r="L323" s="7">
        <v>28578.46</v>
      </c>
    </row>
    <row r="324" spans="1:12" x14ac:dyDescent="0.25">
      <c r="A324" s="9">
        <v>45748</v>
      </c>
      <c r="B324" t="s">
        <v>67</v>
      </c>
      <c r="C324" t="s">
        <v>68</v>
      </c>
      <c r="D324" t="s">
        <v>69</v>
      </c>
      <c r="E324" t="s">
        <v>2093</v>
      </c>
      <c r="F324" s="8">
        <v>14.6</v>
      </c>
      <c r="G324" s="6">
        <v>29000</v>
      </c>
      <c r="H324" s="8">
        <v>73.099999999999994</v>
      </c>
      <c r="I324" s="7">
        <v>1358.91</v>
      </c>
      <c r="J324" s="8">
        <v>7.7</v>
      </c>
      <c r="K324" s="7">
        <v>35283.333333333299</v>
      </c>
      <c r="L324" s="7">
        <v>36642.243333333303</v>
      </c>
    </row>
    <row r="325" spans="1:12" x14ac:dyDescent="0.25">
      <c r="A325" s="9">
        <v>45748</v>
      </c>
      <c r="B325" t="s">
        <v>32</v>
      </c>
      <c r="C325" t="s">
        <v>33</v>
      </c>
      <c r="D325" t="s">
        <v>34</v>
      </c>
      <c r="E325" t="s">
        <v>2095</v>
      </c>
      <c r="F325" s="8">
        <v>14.8</v>
      </c>
      <c r="G325" s="6">
        <v>27000</v>
      </c>
      <c r="H325" s="8">
        <v>37.1</v>
      </c>
      <c r="I325" s="7">
        <v>642.12</v>
      </c>
      <c r="J325" s="8">
        <v>7.6</v>
      </c>
      <c r="K325" s="7">
        <v>33300</v>
      </c>
      <c r="L325" s="7">
        <v>33942.120000000003</v>
      </c>
    </row>
    <row r="326" spans="1:12" x14ac:dyDescent="0.25">
      <c r="A326" s="9">
        <v>45748</v>
      </c>
      <c r="B326" t="s">
        <v>32</v>
      </c>
      <c r="C326" t="s">
        <v>33</v>
      </c>
      <c r="D326" t="s">
        <v>34</v>
      </c>
      <c r="E326" t="s">
        <v>2092</v>
      </c>
      <c r="F326" s="8">
        <v>19.600000000000001</v>
      </c>
      <c r="G326" s="6">
        <v>43000</v>
      </c>
      <c r="H326" s="8">
        <v>43.6</v>
      </c>
      <c r="I326" s="7">
        <v>1201.79</v>
      </c>
      <c r="J326" s="8">
        <v>9.5</v>
      </c>
      <c r="K326" s="7">
        <v>70233.333333333299</v>
      </c>
      <c r="L326" s="7">
        <v>71435.123333333293</v>
      </c>
    </row>
    <row r="327" spans="1:12" x14ac:dyDescent="0.25">
      <c r="A327" s="9">
        <v>45748</v>
      </c>
      <c r="B327" t="s">
        <v>32</v>
      </c>
      <c r="C327" t="s">
        <v>33</v>
      </c>
      <c r="D327" t="s">
        <v>34</v>
      </c>
      <c r="E327" t="s">
        <v>2093</v>
      </c>
      <c r="F327" s="8">
        <v>12.1</v>
      </c>
      <c r="G327" s="6">
        <v>29000</v>
      </c>
      <c r="H327" s="8">
        <v>67.099999999999994</v>
      </c>
      <c r="I327" s="7">
        <v>1247.3699999999999</v>
      </c>
      <c r="J327" s="8">
        <v>6.8</v>
      </c>
      <c r="K327" s="7">
        <v>29241.666666666701</v>
      </c>
      <c r="L327" s="7">
        <v>30489.0366666667</v>
      </c>
    </row>
    <row r="328" spans="1:12" x14ac:dyDescent="0.25">
      <c r="A328" s="9">
        <v>45748</v>
      </c>
      <c r="B328" t="s">
        <v>32</v>
      </c>
      <c r="C328" t="s">
        <v>33</v>
      </c>
      <c r="D328" t="s">
        <v>34</v>
      </c>
      <c r="E328" t="s">
        <v>2096</v>
      </c>
      <c r="F328" s="8">
        <v>13.5</v>
      </c>
      <c r="G328" s="6">
        <v>35000</v>
      </c>
      <c r="H328" s="8">
        <v>54.3</v>
      </c>
      <c r="I328" s="7">
        <v>1218.27</v>
      </c>
      <c r="J328" s="8">
        <v>5.8</v>
      </c>
      <c r="K328" s="7">
        <v>39375</v>
      </c>
      <c r="L328" s="7">
        <v>40593.269999999997</v>
      </c>
    </row>
    <row r="329" spans="1:12" x14ac:dyDescent="0.25">
      <c r="A329" s="9">
        <v>45748</v>
      </c>
      <c r="B329" t="s">
        <v>32</v>
      </c>
      <c r="C329" t="s">
        <v>33</v>
      </c>
      <c r="D329" t="s">
        <v>34</v>
      </c>
      <c r="E329" t="s">
        <v>2097</v>
      </c>
      <c r="F329" s="8">
        <v>4.0999999999999996</v>
      </c>
      <c r="G329" s="6">
        <v>28000</v>
      </c>
      <c r="H329" s="8">
        <v>20.399999999999999</v>
      </c>
      <c r="I329" s="7">
        <v>366.15</v>
      </c>
      <c r="J329" s="8">
        <v>2.1</v>
      </c>
      <c r="K329" s="7">
        <v>9566.6666666666697</v>
      </c>
      <c r="L329" s="7">
        <v>9932.8166666666693</v>
      </c>
    </row>
    <row r="330" spans="1:12" x14ac:dyDescent="0.25">
      <c r="A330" s="9">
        <v>45748</v>
      </c>
      <c r="B330" t="s">
        <v>32</v>
      </c>
      <c r="C330" t="s">
        <v>33</v>
      </c>
      <c r="D330" t="s">
        <v>34</v>
      </c>
      <c r="E330" t="s">
        <v>2091</v>
      </c>
      <c r="F330" s="8">
        <v>13.7</v>
      </c>
      <c r="G330" s="6">
        <v>25000</v>
      </c>
      <c r="H330" s="8">
        <v>7.1</v>
      </c>
      <c r="I330" s="7">
        <v>113.78</v>
      </c>
      <c r="J330" s="8">
        <v>7.6</v>
      </c>
      <c r="K330" s="7">
        <v>28541.666666666701</v>
      </c>
      <c r="L330" s="7">
        <v>28655.446666666699</v>
      </c>
    </row>
    <row r="331" spans="1:12" x14ac:dyDescent="0.25">
      <c r="A331" s="9">
        <v>45748</v>
      </c>
      <c r="B331" t="s">
        <v>94</v>
      </c>
      <c r="C331" t="s">
        <v>95</v>
      </c>
      <c r="D331" t="s">
        <v>34</v>
      </c>
      <c r="E331" t="s">
        <v>2097</v>
      </c>
      <c r="F331" s="8">
        <v>18.8</v>
      </c>
      <c r="G331" s="6">
        <v>28000</v>
      </c>
      <c r="H331" s="8">
        <v>74.5</v>
      </c>
      <c r="I331" s="7">
        <v>1337.18</v>
      </c>
      <c r="J331" s="8">
        <v>10.6</v>
      </c>
      <c r="K331" s="7">
        <v>43866.666666666701</v>
      </c>
      <c r="L331" s="7">
        <v>45203.846666666701</v>
      </c>
    </row>
    <row r="332" spans="1:12" x14ac:dyDescent="0.25">
      <c r="A332" s="9">
        <v>45748</v>
      </c>
      <c r="B332" t="s">
        <v>94</v>
      </c>
      <c r="C332" t="s">
        <v>95</v>
      </c>
      <c r="D332" t="s">
        <v>34</v>
      </c>
      <c r="E332" t="s">
        <v>2094</v>
      </c>
      <c r="F332" s="8">
        <v>8.5</v>
      </c>
      <c r="G332" s="6">
        <v>41000</v>
      </c>
      <c r="H332" s="8">
        <v>20</v>
      </c>
      <c r="I332" s="7">
        <v>525.64</v>
      </c>
      <c r="J332" s="8">
        <v>1.1000000000000001</v>
      </c>
      <c r="K332" s="7">
        <v>29041.666666666701</v>
      </c>
      <c r="L332" s="7">
        <v>29567.3066666667</v>
      </c>
    </row>
    <row r="333" spans="1:12" x14ac:dyDescent="0.25">
      <c r="A333" s="9">
        <v>45748</v>
      </c>
      <c r="B333" t="s">
        <v>94</v>
      </c>
      <c r="C333" t="s">
        <v>95</v>
      </c>
      <c r="D333" t="s">
        <v>34</v>
      </c>
      <c r="E333" t="s">
        <v>2092</v>
      </c>
      <c r="F333" s="8">
        <v>7.1</v>
      </c>
      <c r="G333" s="6">
        <v>43000</v>
      </c>
      <c r="H333" s="8">
        <v>31.4</v>
      </c>
      <c r="I333" s="7">
        <v>865.51</v>
      </c>
      <c r="J333" s="8">
        <v>3.8</v>
      </c>
      <c r="K333" s="7">
        <v>25441.666666666701</v>
      </c>
      <c r="L333" s="7">
        <v>26307.176666666699</v>
      </c>
    </row>
    <row r="334" spans="1:12" x14ac:dyDescent="0.25">
      <c r="A334" s="9">
        <v>45748</v>
      </c>
      <c r="B334" t="s">
        <v>94</v>
      </c>
      <c r="C334" t="s">
        <v>95</v>
      </c>
      <c r="D334" t="s">
        <v>34</v>
      </c>
      <c r="E334" t="s">
        <v>2093</v>
      </c>
      <c r="F334" s="8">
        <v>6.3</v>
      </c>
      <c r="G334" s="6">
        <v>29000</v>
      </c>
      <c r="H334" s="8">
        <v>9.1999999999999993</v>
      </c>
      <c r="I334" s="7">
        <v>171.03</v>
      </c>
      <c r="J334" s="8">
        <v>2.2000000000000002</v>
      </c>
      <c r="K334" s="7">
        <v>15225</v>
      </c>
      <c r="L334" s="7">
        <v>15396.03</v>
      </c>
    </row>
    <row r="335" spans="1:12" x14ac:dyDescent="0.25">
      <c r="A335" s="9">
        <v>45748</v>
      </c>
      <c r="B335" t="s">
        <v>94</v>
      </c>
      <c r="C335" t="s">
        <v>95</v>
      </c>
      <c r="D335" t="s">
        <v>34</v>
      </c>
      <c r="E335" t="s">
        <v>2096</v>
      </c>
      <c r="F335" s="8">
        <v>19.5</v>
      </c>
      <c r="G335" s="6">
        <v>35000</v>
      </c>
      <c r="H335" s="8">
        <v>158.6</v>
      </c>
      <c r="I335" s="7">
        <v>3558.33</v>
      </c>
      <c r="J335" s="8">
        <v>9.4</v>
      </c>
      <c r="K335" s="7">
        <v>56875</v>
      </c>
      <c r="L335" s="7">
        <v>60433.33</v>
      </c>
    </row>
    <row r="336" spans="1:12" x14ac:dyDescent="0.25">
      <c r="A336" s="9">
        <v>45748</v>
      </c>
      <c r="B336" t="s">
        <v>41</v>
      </c>
      <c r="C336" t="s">
        <v>42</v>
      </c>
      <c r="D336" t="s">
        <v>34</v>
      </c>
      <c r="E336" t="s">
        <v>2097</v>
      </c>
      <c r="F336" s="8">
        <v>7.7</v>
      </c>
      <c r="G336" s="6">
        <v>28000</v>
      </c>
      <c r="H336" s="8">
        <v>39.200000000000003</v>
      </c>
      <c r="I336" s="7">
        <v>703.59</v>
      </c>
      <c r="J336" s="8">
        <v>3.2</v>
      </c>
      <c r="K336" s="7">
        <v>17966.666666666701</v>
      </c>
      <c r="L336" s="7">
        <v>18670.256666666701</v>
      </c>
    </row>
    <row r="337" spans="1:12" x14ac:dyDescent="0.25">
      <c r="A337" s="9">
        <v>45748</v>
      </c>
      <c r="B337" t="s">
        <v>41</v>
      </c>
      <c r="C337" t="s">
        <v>42</v>
      </c>
      <c r="D337" t="s">
        <v>34</v>
      </c>
      <c r="E337" t="s">
        <v>2094</v>
      </c>
      <c r="F337" s="8">
        <v>13.2</v>
      </c>
      <c r="G337" s="6">
        <v>41000</v>
      </c>
      <c r="H337" s="8">
        <v>11.4</v>
      </c>
      <c r="I337" s="7">
        <v>299.62</v>
      </c>
      <c r="J337" s="8">
        <v>6.4</v>
      </c>
      <c r="K337" s="7">
        <v>45100</v>
      </c>
      <c r="L337" s="7">
        <v>45399.62</v>
      </c>
    </row>
    <row r="338" spans="1:12" x14ac:dyDescent="0.25">
      <c r="A338" s="9">
        <v>45748</v>
      </c>
      <c r="B338" t="s">
        <v>41</v>
      </c>
      <c r="C338" t="s">
        <v>42</v>
      </c>
      <c r="D338" t="s">
        <v>34</v>
      </c>
      <c r="E338" t="s">
        <v>2092</v>
      </c>
      <c r="F338" s="8">
        <v>14.4</v>
      </c>
      <c r="G338" s="6">
        <v>43000</v>
      </c>
      <c r="H338" s="8">
        <v>51.9</v>
      </c>
      <c r="I338" s="7">
        <v>1430.58</v>
      </c>
      <c r="J338" s="8">
        <v>6.8</v>
      </c>
      <c r="K338" s="7">
        <v>51600</v>
      </c>
      <c r="L338" s="7">
        <v>53030.58</v>
      </c>
    </row>
    <row r="339" spans="1:12" x14ac:dyDescent="0.25">
      <c r="A339" s="9">
        <v>45748</v>
      </c>
      <c r="B339" t="s">
        <v>41</v>
      </c>
      <c r="C339" t="s">
        <v>42</v>
      </c>
      <c r="D339" t="s">
        <v>34</v>
      </c>
      <c r="E339" t="s">
        <v>2096</v>
      </c>
      <c r="F339" s="8">
        <v>6.2</v>
      </c>
      <c r="G339" s="6">
        <v>35000</v>
      </c>
      <c r="H339" s="8">
        <v>23.7</v>
      </c>
      <c r="I339" s="7">
        <v>531.73</v>
      </c>
      <c r="J339" s="8">
        <v>3.4</v>
      </c>
      <c r="K339" s="7">
        <v>18083.333333333299</v>
      </c>
      <c r="L339" s="7">
        <v>18615.063333333299</v>
      </c>
    </row>
    <row r="340" spans="1:12" x14ac:dyDescent="0.25">
      <c r="A340" s="9">
        <v>45748</v>
      </c>
      <c r="B340" t="s">
        <v>47</v>
      </c>
      <c r="C340" t="s">
        <v>48</v>
      </c>
      <c r="D340" t="s">
        <v>34</v>
      </c>
      <c r="E340" t="s">
        <v>2097</v>
      </c>
      <c r="F340" s="8">
        <v>15.1</v>
      </c>
      <c r="G340" s="6">
        <v>28000</v>
      </c>
      <c r="H340" s="8">
        <v>57</v>
      </c>
      <c r="I340" s="7">
        <v>1023.08</v>
      </c>
      <c r="J340" s="8">
        <v>6.3</v>
      </c>
      <c r="K340" s="7">
        <v>35233.333333333299</v>
      </c>
      <c r="L340" s="7">
        <v>36256.413333333301</v>
      </c>
    </row>
    <row r="341" spans="1:12" x14ac:dyDescent="0.25">
      <c r="A341" s="9">
        <v>45748</v>
      </c>
      <c r="B341" t="s">
        <v>47</v>
      </c>
      <c r="C341" t="s">
        <v>48</v>
      </c>
      <c r="D341" t="s">
        <v>34</v>
      </c>
      <c r="E341" t="s">
        <v>2093</v>
      </c>
      <c r="F341" s="8">
        <v>12.4</v>
      </c>
      <c r="G341" s="6">
        <v>29000</v>
      </c>
      <c r="H341" s="8">
        <v>58.6</v>
      </c>
      <c r="I341" s="7">
        <v>1089.3599999999999</v>
      </c>
      <c r="J341" s="8">
        <v>4.3</v>
      </c>
      <c r="K341" s="7">
        <v>29966.666666666701</v>
      </c>
      <c r="L341" s="7">
        <v>31056.026666666701</v>
      </c>
    </row>
    <row r="342" spans="1:12" x14ac:dyDescent="0.25">
      <c r="A342" s="9">
        <v>45748</v>
      </c>
      <c r="B342" t="s">
        <v>47</v>
      </c>
      <c r="C342" t="s">
        <v>48</v>
      </c>
      <c r="D342" t="s">
        <v>34</v>
      </c>
      <c r="E342" t="s">
        <v>2094</v>
      </c>
      <c r="F342" s="8">
        <v>6.5</v>
      </c>
      <c r="G342" s="6">
        <v>41000</v>
      </c>
      <c r="H342" s="8">
        <v>6</v>
      </c>
      <c r="I342" s="7">
        <v>157.69</v>
      </c>
      <c r="J342" s="8">
        <v>4</v>
      </c>
      <c r="K342" s="7">
        <v>22208.333333333299</v>
      </c>
      <c r="L342" s="7">
        <v>22366.023333333302</v>
      </c>
    </row>
    <row r="343" spans="1:12" x14ac:dyDescent="0.25">
      <c r="A343" s="9">
        <v>45748</v>
      </c>
      <c r="B343" t="s">
        <v>47</v>
      </c>
      <c r="C343" t="s">
        <v>48</v>
      </c>
      <c r="D343" t="s">
        <v>34</v>
      </c>
      <c r="E343" t="s">
        <v>2095</v>
      </c>
      <c r="F343" s="8">
        <v>10.9</v>
      </c>
      <c r="G343" s="6">
        <v>27000</v>
      </c>
      <c r="H343" s="8">
        <v>51.9</v>
      </c>
      <c r="I343" s="7">
        <v>898.27</v>
      </c>
      <c r="J343" s="8">
        <v>5.4</v>
      </c>
      <c r="K343" s="7">
        <v>24525</v>
      </c>
      <c r="L343" s="7">
        <v>25423.27</v>
      </c>
    </row>
    <row r="344" spans="1:12" x14ac:dyDescent="0.25">
      <c r="A344" s="9">
        <v>45748</v>
      </c>
      <c r="B344" t="s">
        <v>47</v>
      </c>
      <c r="C344" t="s">
        <v>48</v>
      </c>
      <c r="D344" t="s">
        <v>34</v>
      </c>
      <c r="E344" t="s">
        <v>2092</v>
      </c>
      <c r="F344" s="8">
        <v>11.8</v>
      </c>
      <c r="G344" s="6">
        <v>43000</v>
      </c>
      <c r="H344" s="8">
        <v>22.5</v>
      </c>
      <c r="I344" s="7">
        <v>620.19000000000005</v>
      </c>
      <c r="J344" s="8">
        <v>5.2</v>
      </c>
      <c r="K344" s="7">
        <v>42283.333333333299</v>
      </c>
      <c r="L344" s="7">
        <v>42903.523333333302</v>
      </c>
    </row>
    <row r="345" spans="1:12" x14ac:dyDescent="0.25">
      <c r="A345" s="9">
        <v>45748</v>
      </c>
      <c r="B345" t="s">
        <v>47</v>
      </c>
      <c r="C345" t="s">
        <v>48</v>
      </c>
      <c r="D345" t="s">
        <v>34</v>
      </c>
      <c r="E345" t="s">
        <v>2096</v>
      </c>
      <c r="F345" s="8">
        <v>5</v>
      </c>
      <c r="G345" s="6">
        <v>35000</v>
      </c>
      <c r="H345" s="8">
        <v>18</v>
      </c>
      <c r="I345" s="7">
        <v>403.85</v>
      </c>
      <c r="J345" s="8">
        <v>0.9</v>
      </c>
      <c r="K345" s="7">
        <v>14583.333333333299</v>
      </c>
      <c r="L345" s="7">
        <v>14987.1833333333</v>
      </c>
    </row>
    <row r="346" spans="1:12" x14ac:dyDescent="0.25">
      <c r="A346" s="9">
        <v>45748</v>
      </c>
      <c r="B346" t="s">
        <v>121</v>
      </c>
      <c r="C346" t="s">
        <v>122</v>
      </c>
      <c r="D346" t="s">
        <v>34</v>
      </c>
      <c r="E346" t="s">
        <v>2094</v>
      </c>
      <c r="F346" s="8">
        <v>6.1</v>
      </c>
      <c r="G346" s="6">
        <v>41000</v>
      </c>
      <c r="H346" s="8">
        <v>17.600000000000001</v>
      </c>
      <c r="I346" s="7">
        <v>462.56</v>
      </c>
      <c r="J346" s="8">
        <v>3.7</v>
      </c>
      <c r="K346" s="7">
        <v>20841.666666666701</v>
      </c>
      <c r="L346" s="7">
        <v>21304.226666666698</v>
      </c>
    </row>
    <row r="347" spans="1:12" x14ac:dyDescent="0.25">
      <c r="A347" s="9">
        <v>45748</v>
      </c>
      <c r="B347" t="s">
        <v>121</v>
      </c>
      <c r="C347" t="s">
        <v>122</v>
      </c>
      <c r="D347" t="s">
        <v>34</v>
      </c>
      <c r="E347" t="s">
        <v>2095</v>
      </c>
      <c r="F347" s="8">
        <v>14</v>
      </c>
      <c r="G347" s="6">
        <v>27000</v>
      </c>
      <c r="H347" s="8">
        <v>86</v>
      </c>
      <c r="I347" s="7">
        <v>1488.46</v>
      </c>
      <c r="J347" s="8">
        <v>6.6</v>
      </c>
      <c r="K347" s="7">
        <v>31500</v>
      </c>
      <c r="L347" s="7">
        <v>32988.46</v>
      </c>
    </row>
    <row r="348" spans="1:12" x14ac:dyDescent="0.25">
      <c r="A348" s="9">
        <v>45748</v>
      </c>
      <c r="B348" t="s">
        <v>121</v>
      </c>
      <c r="C348" t="s">
        <v>122</v>
      </c>
      <c r="D348" t="s">
        <v>34</v>
      </c>
      <c r="E348" t="s">
        <v>2093</v>
      </c>
      <c r="F348" s="8">
        <v>11.4</v>
      </c>
      <c r="G348" s="6">
        <v>29000</v>
      </c>
      <c r="H348" s="8">
        <v>58.5</v>
      </c>
      <c r="I348" s="7">
        <v>1087.5</v>
      </c>
      <c r="J348" s="8">
        <v>3.8</v>
      </c>
      <c r="K348" s="7">
        <v>27550</v>
      </c>
      <c r="L348" s="7">
        <v>28637.5</v>
      </c>
    </row>
    <row r="349" spans="1:12" x14ac:dyDescent="0.25">
      <c r="A349" s="9">
        <v>45748</v>
      </c>
      <c r="B349" t="s">
        <v>121</v>
      </c>
      <c r="C349" t="s">
        <v>122</v>
      </c>
      <c r="D349" t="s">
        <v>34</v>
      </c>
      <c r="E349" t="s">
        <v>2092</v>
      </c>
      <c r="F349" s="8">
        <v>7.2</v>
      </c>
      <c r="G349" s="6">
        <v>43000</v>
      </c>
      <c r="H349" s="8">
        <v>35.9</v>
      </c>
      <c r="I349" s="7">
        <v>989.55</v>
      </c>
      <c r="J349" s="8">
        <v>2.8</v>
      </c>
      <c r="K349" s="7">
        <v>25800</v>
      </c>
      <c r="L349" s="7">
        <v>26789.55</v>
      </c>
    </row>
    <row r="350" spans="1:12" x14ac:dyDescent="0.25">
      <c r="A350" s="9">
        <v>45748</v>
      </c>
      <c r="B350" t="s">
        <v>121</v>
      </c>
      <c r="C350" t="s">
        <v>122</v>
      </c>
      <c r="D350" t="s">
        <v>34</v>
      </c>
      <c r="E350" t="s">
        <v>2097</v>
      </c>
      <c r="F350" s="8">
        <v>11.2</v>
      </c>
      <c r="G350" s="6">
        <v>28000</v>
      </c>
      <c r="H350" s="8">
        <v>50</v>
      </c>
      <c r="I350" s="7">
        <v>897.44</v>
      </c>
      <c r="J350" s="8">
        <v>5.4</v>
      </c>
      <c r="K350" s="7">
        <v>26133.333333333299</v>
      </c>
      <c r="L350" s="7">
        <v>27030.773333333302</v>
      </c>
    </row>
    <row r="351" spans="1:12" x14ac:dyDescent="0.25">
      <c r="A351" s="9">
        <v>45748</v>
      </c>
      <c r="B351" t="s">
        <v>121</v>
      </c>
      <c r="C351" t="s">
        <v>122</v>
      </c>
      <c r="D351" t="s">
        <v>34</v>
      </c>
      <c r="E351" t="s">
        <v>2096</v>
      </c>
      <c r="F351" s="8">
        <v>7.6</v>
      </c>
      <c r="G351" s="6">
        <v>35000</v>
      </c>
      <c r="H351" s="8">
        <v>45.5</v>
      </c>
      <c r="I351" s="7">
        <v>1020.83</v>
      </c>
      <c r="J351" s="8">
        <v>2.9</v>
      </c>
      <c r="K351" s="7">
        <v>22166.666666666701</v>
      </c>
      <c r="L351" s="7">
        <v>23187.496666666699</v>
      </c>
    </row>
    <row r="352" spans="1:12" x14ac:dyDescent="0.25">
      <c r="A352" s="9">
        <v>45748</v>
      </c>
      <c r="B352" t="s">
        <v>201</v>
      </c>
      <c r="C352" t="s">
        <v>202</v>
      </c>
      <c r="D352" t="s">
        <v>64</v>
      </c>
      <c r="E352" t="s">
        <v>2096</v>
      </c>
      <c r="F352" s="8">
        <v>7.3</v>
      </c>
      <c r="G352" s="6">
        <v>35000</v>
      </c>
      <c r="H352" s="8">
        <v>36.1</v>
      </c>
      <c r="I352" s="7">
        <v>809.94</v>
      </c>
      <c r="J352" s="8">
        <v>3.4</v>
      </c>
      <c r="K352" s="7">
        <v>21291.666666666701</v>
      </c>
      <c r="L352" s="7">
        <v>22101.606666666699</v>
      </c>
    </row>
    <row r="353" spans="1:12" x14ac:dyDescent="0.25">
      <c r="A353" s="9">
        <v>45748</v>
      </c>
      <c r="B353" t="s">
        <v>201</v>
      </c>
      <c r="C353" t="s">
        <v>202</v>
      </c>
      <c r="D353" t="s">
        <v>64</v>
      </c>
      <c r="E353" t="s">
        <v>2092</v>
      </c>
      <c r="F353" s="8">
        <v>19.399999999999999</v>
      </c>
      <c r="G353" s="6">
        <v>43000</v>
      </c>
      <c r="H353" s="8">
        <v>73</v>
      </c>
      <c r="I353" s="7">
        <v>2012.18</v>
      </c>
      <c r="J353" s="8">
        <v>9.5</v>
      </c>
      <c r="K353" s="7">
        <v>69516.666666666701</v>
      </c>
      <c r="L353" s="7">
        <v>71528.846666666694</v>
      </c>
    </row>
    <row r="354" spans="1:12" x14ac:dyDescent="0.25">
      <c r="A354" s="9">
        <v>45748</v>
      </c>
      <c r="B354" t="s">
        <v>201</v>
      </c>
      <c r="C354" t="s">
        <v>202</v>
      </c>
      <c r="D354" t="s">
        <v>64</v>
      </c>
      <c r="E354" t="s">
        <v>2094</v>
      </c>
      <c r="F354" s="8">
        <v>16.8</v>
      </c>
      <c r="G354" s="6">
        <v>41000</v>
      </c>
      <c r="H354" s="8">
        <v>45.9</v>
      </c>
      <c r="I354" s="7">
        <v>1206.3499999999999</v>
      </c>
      <c r="J354" s="8">
        <v>8.4</v>
      </c>
      <c r="K354" s="7">
        <v>57400</v>
      </c>
      <c r="L354" s="7">
        <v>58606.35</v>
      </c>
    </row>
    <row r="355" spans="1:12" x14ac:dyDescent="0.25">
      <c r="A355" s="9">
        <v>45748</v>
      </c>
      <c r="B355" t="s">
        <v>201</v>
      </c>
      <c r="C355" t="s">
        <v>202</v>
      </c>
      <c r="D355" t="s">
        <v>64</v>
      </c>
      <c r="E355" t="s">
        <v>2093</v>
      </c>
      <c r="F355" s="8">
        <v>19.7</v>
      </c>
      <c r="G355" s="6">
        <v>29000</v>
      </c>
      <c r="H355" s="8">
        <v>76.900000000000006</v>
      </c>
      <c r="I355" s="7">
        <v>1429.55</v>
      </c>
      <c r="J355" s="8">
        <v>10.1</v>
      </c>
      <c r="K355" s="7">
        <v>47608.333333333299</v>
      </c>
      <c r="L355" s="7">
        <v>49037.883333333302</v>
      </c>
    </row>
    <row r="356" spans="1:12" x14ac:dyDescent="0.25">
      <c r="A356" s="9">
        <v>45748</v>
      </c>
      <c r="B356" t="s">
        <v>201</v>
      </c>
      <c r="C356" t="s">
        <v>202</v>
      </c>
      <c r="D356" t="s">
        <v>64</v>
      </c>
      <c r="E356" t="s">
        <v>2097</v>
      </c>
      <c r="F356" s="8">
        <v>3.1</v>
      </c>
      <c r="G356" s="6">
        <v>28000</v>
      </c>
      <c r="H356" s="8">
        <v>12.8</v>
      </c>
      <c r="I356" s="7">
        <v>229.74</v>
      </c>
      <c r="J356" s="8">
        <v>2.2999999999999998</v>
      </c>
      <c r="K356" s="7">
        <v>7233.3333333333303</v>
      </c>
      <c r="L356" s="7">
        <v>7463.0733333333301</v>
      </c>
    </row>
    <row r="357" spans="1:12" x14ac:dyDescent="0.25">
      <c r="A357" s="9">
        <v>45748</v>
      </c>
      <c r="B357" t="s">
        <v>201</v>
      </c>
      <c r="C357" t="s">
        <v>202</v>
      </c>
      <c r="D357" t="s">
        <v>64</v>
      </c>
      <c r="E357" t="s">
        <v>2091</v>
      </c>
      <c r="F357" s="8">
        <v>6.2</v>
      </c>
      <c r="G357" s="6">
        <v>25000</v>
      </c>
      <c r="H357" s="8">
        <v>33.4</v>
      </c>
      <c r="I357" s="7">
        <v>535.26</v>
      </c>
      <c r="J357" s="8">
        <v>2</v>
      </c>
      <c r="K357" s="7">
        <v>12916.666666666701</v>
      </c>
      <c r="L357" s="7">
        <v>13451.926666666701</v>
      </c>
    </row>
    <row r="358" spans="1:12" x14ac:dyDescent="0.25">
      <c r="A358" s="9">
        <v>45748</v>
      </c>
      <c r="B358" t="s">
        <v>118</v>
      </c>
      <c r="C358" t="s">
        <v>119</v>
      </c>
      <c r="D358" t="s">
        <v>64</v>
      </c>
      <c r="E358" t="s">
        <v>2096</v>
      </c>
      <c r="F358" s="8">
        <v>12.6</v>
      </c>
      <c r="G358" s="6">
        <v>35000</v>
      </c>
      <c r="H358" s="8">
        <v>66.8</v>
      </c>
      <c r="I358" s="7">
        <v>1498.72</v>
      </c>
      <c r="J358" s="8">
        <v>5.0999999999999996</v>
      </c>
      <c r="K358" s="7">
        <v>36750</v>
      </c>
      <c r="L358" s="7">
        <v>38248.720000000001</v>
      </c>
    </row>
    <row r="359" spans="1:12" x14ac:dyDescent="0.25">
      <c r="A359" s="9">
        <v>45748</v>
      </c>
      <c r="B359" t="s">
        <v>118</v>
      </c>
      <c r="C359" t="s">
        <v>119</v>
      </c>
      <c r="D359" t="s">
        <v>64</v>
      </c>
      <c r="E359" t="s">
        <v>2097</v>
      </c>
      <c r="F359" s="8">
        <v>6.4</v>
      </c>
      <c r="G359" s="6">
        <v>28000</v>
      </c>
      <c r="H359" s="8">
        <v>31.2</v>
      </c>
      <c r="I359" s="7">
        <v>560</v>
      </c>
      <c r="J359" s="8">
        <v>3.8</v>
      </c>
      <c r="K359" s="7">
        <v>14933.333333333299</v>
      </c>
      <c r="L359" s="7">
        <v>15493.333333333299</v>
      </c>
    </row>
    <row r="360" spans="1:12" x14ac:dyDescent="0.25">
      <c r="A360" s="9">
        <v>45748</v>
      </c>
      <c r="B360" t="s">
        <v>118</v>
      </c>
      <c r="C360" t="s">
        <v>119</v>
      </c>
      <c r="D360" t="s">
        <v>64</v>
      </c>
      <c r="E360" t="s">
        <v>2092</v>
      </c>
      <c r="F360" s="8">
        <v>3.9</v>
      </c>
      <c r="G360" s="6">
        <v>43000</v>
      </c>
      <c r="H360" s="8">
        <v>4.4000000000000004</v>
      </c>
      <c r="I360" s="7">
        <v>121.28</v>
      </c>
      <c r="J360" s="8">
        <v>2</v>
      </c>
      <c r="K360" s="7">
        <v>13975</v>
      </c>
      <c r="L360" s="7">
        <v>14096.28</v>
      </c>
    </row>
    <row r="361" spans="1:12" x14ac:dyDescent="0.25">
      <c r="A361" s="9">
        <v>45748</v>
      </c>
      <c r="B361" t="s">
        <v>118</v>
      </c>
      <c r="C361" t="s">
        <v>119</v>
      </c>
      <c r="D361" t="s">
        <v>64</v>
      </c>
      <c r="E361" t="s">
        <v>2094</v>
      </c>
      <c r="F361" s="8">
        <v>10.3</v>
      </c>
      <c r="G361" s="6">
        <v>41000</v>
      </c>
      <c r="H361" s="8">
        <v>34</v>
      </c>
      <c r="I361" s="7">
        <v>893.59</v>
      </c>
      <c r="J361" s="8">
        <v>4.4000000000000004</v>
      </c>
      <c r="K361" s="7">
        <v>35191.666666666701</v>
      </c>
      <c r="L361" s="7">
        <v>36085.256666666697</v>
      </c>
    </row>
    <row r="362" spans="1:12" x14ac:dyDescent="0.25">
      <c r="A362" s="9">
        <v>45748</v>
      </c>
      <c r="B362" t="s">
        <v>118</v>
      </c>
      <c r="C362" t="s">
        <v>119</v>
      </c>
      <c r="D362" t="s">
        <v>64</v>
      </c>
      <c r="E362" t="s">
        <v>2095</v>
      </c>
      <c r="F362" s="8">
        <v>19.7</v>
      </c>
      <c r="G362" s="6">
        <v>27000</v>
      </c>
      <c r="H362" s="8">
        <v>118.7</v>
      </c>
      <c r="I362" s="7">
        <v>2054.42</v>
      </c>
      <c r="J362" s="8">
        <v>9.1999999999999993</v>
      </c>
      <c r="K362" s="7">
        <v>44325</v>
      </c>
      <c r="L362" s="7">
        <v>46379.42</v>
      </c>
    </row>
    <row r="363" spans="1:12" x14ac:dyDescent="0.25">
      <c r="A363" s="9">
        <v>45748</v>
      </c>
      <c r="B363" t="s">
        <v>62</v>
      </c>
      <c r="C363" t="s">
        <v>63</v>
      </c>
      <c r="D363" t="s">
        <v>64</v>
      </c>
      <c r="E363" t="s">
        <v>2091</v>
      </c>
      <c r="F363" s="8">
        <v>5.4</v>
      </c>
      <c r="G363" s="6">
        <v>25000</v>
      </c>
      <c r="H363" s="8">
        <v>15.1</v>
      </c>
      <c r="I363" s="7">
        <v>241.99</v>
      </c>
      <c r="J363" s="8">
        <v>2.8</v>
      </c>
      <c r="K363" s="7">
        <v>11250</v>
      </c>
      <c r="L363" s="7">
        <v>11491.99</v>
      </c>
    </row>
    <row r="364" spans="1:12" x14ac:dyDescent="0.25">
      <c r="A364" s="9">
        <v>45748</v>
      </c>
      <c r="B364" t="s">
        <v>62</v>
      </c>
      <c r="C364" t="s">
        <v>63</v>
      </c>
      <c r="D364" t="s">
        <v>64</v>
      </c>
      <c r="E364" t="s">
        <v>2096</v>
      </c>
      <c r="F364" s="8">
        <v>5.0999999999999996</v>
      </c>
      <c r="G364" s="6">
        <v>35000</v>
      </c>
      <c r="H364" s="8">
        <v>25.6</v>
      </c>
      <c r="I364" s="7">
        <v>574.36</v>
      </c>
      <c r="J364" s="8">
        <v>2.4</v>
      </c>
      <c r="K364" s="7">
        <v>14875</v>
      </c>
      <c r="L364" s="7">
        <v>15449.36</v>
      </c>
    </row>
    <row r="365" spans="1:12" x14ac:dyDescent="0.25">
      <c r="A365" s="9">
        <v>45748</v>
      </c>
      <c r="B365" t="s">
        <v>62</v>
      </c>
      <c r="C365" t="s">
        <v>63</v>
      </c>
      <c r="D365" t="s">
        <v>64</v>
      </c>
      <c r="E365" t="s">
        <v>2095</v>
      </c>
      <c r="F365" s="8">
        <v>15.9</v>
      </c>
      <c r="G365" s="6">
        <v>27000</v>
      </c>
      <c r="H365" s="8">
        <v>91.4</v>
      </c>
      <c r="I365" s="7">
        <v>1581.92</v>
      </c>
      <c r="J365" s="8">
        <v>8.5</v>
      </c>
      <c r="K365" s="7">
        <v>35775</v>
      </c>
      <c r="L365" s="7">
        <v>37356.92</v>
      </c>
    </row>
    <row r="366" spans="1:12" x14ac:dyDescent="0.25">
      <c r="A366" s="9">
        <v>45748</v>
      </c>
      <c r="B366" t="s">
        <v>62</v>
      </c>
      <c r="C366" t="s">
        <v>63</v>
      </c>
      <c r="D366" t="s">
        <v>64</v>
      </c>
      <c r="E366" t="s">
        <v>2092</v>
      </c>
      <c r="F366" s="8">
        <v>19.899999999999999</v>
      </c>
      <c r="G366" s="6">
        <v>43000</v>
      </c>
      <c r="H366" s="8">
        <v>14.6</v>
      </c>
      <c r="I366" s="7">
        <v>402.44</v>
      </c>
      <c r="J366" s="8">
        <v>9.4</v>
      </c>
      <c r="K366" s="7">
        <v>71308.333333333299</v>
      </c>
      <c r="L366" s="7">
        <v>71710.773333333302</v>
      </c>
    </row>
    <row r="367" spans="1:12" x14ac:dyDescent="0.25">
      <c r="A367" s="9">
        <v>45748</v>
      </c>
      <c r="B367" t="s">
        <v>62</v>
      </c>
      <c r="C367" t="s">
        <v>63</v>
      </c>
      <c r="D367" t="s">
        <v>64</v>
      </c>
      <c r="E367" t="s">
        <v>2093</v>
      </c>
      <c r="F367" s="8">
        <v>3.7</v>
      </c>
      <c r="G367" s="6">
        <v>29000</v>
      </c>
      <c r="H367" s="8">
        <v>11.7</v>
      </c>
      <c r="I367" s="7">
        <v>217.5</v>
      </c>
      <c r="J367" s="8">
        <v>2.2999999999999998</v>
      </c>
      <c r="K367" s="7">
        <v>8941.6666666666697</v>
      </c>
      <c r="L367" s="7">
        <v>9159.1666666666697</v>
      </c>
    </row>
    <row r="368" spans="1:12" x14ac:dyDescent="0.25">
      <c r="A368" s="9">
        <v>45748</v>
      </c>
      <c r="B368" t="s">
        <v>62</v>
      </c>
      <c r="C368" t="s">
        <v>63</v>
      </c>
      <c r="D368" t="s">
        <v>64</v>
      </c>
      <c r="E368" t="s">
        <v>2097</v>
      </c>
      <c r="F368" s="8">
        <v>4.2</v>
      </c>
      <c r="G368" s="6">
        <v>28000</v>
      </c>
      <c r="H368" s="8">
        <v>0.3</v>
      </c>
      <c r="I368" s="7">
        <v>5.38</v>
      </c>
      <c r="J368" s="8">
        <v>4.5999999999999996</v>
      </c>
      <c r="K368" s="7">
        <v>9800</v>
      </c>
      <c r="L368" s="7">
        <v>9805.3799999999992</v>
      </c>
    </row>
    <row r="369" spans="1:12" x14ac:dyDescent="0.25">
      <c r="A369" s="9">
        <v>45748</v>
      </c>
      <c r="B369" t="s">
        <v>91</v>
      </c>
      <c r="C369" t="s">
        <v>92</v>
      </c>
      <c r="D369" t="s">
        <v>64</v>
      </c>
      <c r="E369" t="s">
        <v>2092</v>
      </c>
      <c r="F369" s="8">
        <v>16.3</v>
      </c>
      <c r="G369" s="6">
        <v>43000</v>
      </c>
      <c r="H369" s="8">
        <v>78.2</v>
      </c>
      <c r="I369" s="7">
        <v>2155.5100000000002</v>
      </c>
      <c r="J369" s="8">
        <v>8.3000000000000007</v>
      </c>
      <c r="K369" s="7">
        <v>58408.333333333299</v>
      </c>
      <c r="L369" s="7">
        <v>60563.843333333301</v>
      </c>
    </row>
    <row r="370" spans="1:12" x14ac:dyDescent="0.25">
      <c r="A370" s="9">
        <v>45748</v>
      </c>
      <c r="B370" t="s">
        <v>91</v>
      </c>
      <c r="C370" t="s">
        <v>92</v>
      </c>
      <c r="D370" t="s">
        <v>64</v>
      </c>
      <c r="E370" t="s">
        <v>2097</v>
      </c>
      <c r="F370" s="8">
        <v>18.7</v>
      </c>
      <c r="G370" s="6">
        <v>28000</v>
      </c>
      <c r="H370" s="8">
        <v>107.9</v>
      </c>
      <c r="I370" s="7">
        <v>1936.67</v>
      </c>
      <c r="J370" s="8">
        <v>11.7</v>
      </c>
      <c r="K370" s="7">
        <v>43633.333333333299</v>
      </c>
      <c r="L370" s="7">
        <v>45570.003333333298</v>
      </c>
    </row>
    <row r="371" spans="1:12" x14ac:dyDescent="0.25">
      <c r="A371" s="9">
        <v>45748</v>
      </c>
      <c r="B371" t="s">
        <v>91</v>
      </c>
      <c r="C371" t="s">
        <v>92</v>
      </c>
      <c r="D371" t="s">
        <v>64</v>
      </c>
      <c r="E371" t="s">
        <v>2094</v>
      </c>
      <c r="F371" s="8">
        <v>14.7</v>
      </c>
      <c r="G371" s="6">
        <v>41000</v>
      </c>
      <c r="H371" s="8">
        <v>78</v>
      </c>
      <c r="I371" s="7">
        <v>2050</v>
      </c>
      <c r="J371" s="8">
        <v>8.3000000000000007</v>
      </c>
      <c r="K371" s="7">
        <v>50225</v>
      </c>
      <c r="L371" s="7">
        <v>52275</v>
      </c>
    </row>
    <row r="372" spans="1:12" x14ac:dyDescent="0.25">
      <c r="A372" s="9">
        <v>45748</v>
      </c>
      <c r="B372" t="s">
        <v>91</v>
      </c>
      <c r="C372" t="s">
        <v>92</v>
      </c>
      <c r="D372" t="s">
        <v>64</v>
      </c>
      <c r="E372" t="s">
        <v>2093</v>
      </c>
      <c r="F372" s="8">
        <v>6.5</v>
      </c>
      <c r="G372" s="6">
        <v>29000</v>
      </c>
      <c r="H372" s="8">
        <v>27.3</v>
      </c>
      <c r="I372" s="7">
        <v>507.5</v>
      </c>
      <c r="J372" s="8">
        <v>3.1</v>
      </c>
      <c r="K372" s="7">
        <v>15708.333333333299</v>
      </c>
      <c r="L372" s="7">
        <v>16215.833333333299</v>
      </c>
    </row>
    <row r="373" spans="1:12" x14ac:dyDescent="0.25">
      <c r="A373" s="9">
        <v>45748</v>
      </c>
      <c r="B373" t="s">
        <v>80</v>
      </c>
      <c r="C373" t="s">
        <v>81</v>
      </c>
      <c r="D373" t="s">
        <v>64</v>
      </c>
      <c r="E373" t="s">
        <v>2092</v>
      </c>
      <c r="F373" s="8">
        <v>7.8</v>
      </c>
      <c r="G373" s="6">
        <v>43000</v>
      </c>
      <c r="H373" s="8">
        <v>25.6</v>
      </c>
      <c r="I373" s="7">
        <v>705.64</v>
      </c>
      <c r="J373" s="8">
        <v>3.1</v>
      </c>
      <c r="K373" s="7">
        <v>27950</v>
      </c>
      <c r="L373" s="7">
        <v>28655.64</v>
      </c>
    </row>
    <row r="374" spans="1:12" x14ac:dyDescent="0.25">
      <c r="A374" s="9">
        <v>45748</v>
      </c>
      <c r="B374" t="s">
        <v>80</v>
      </c>
      <c r="C374" t="s">
        <v>81</v>
      </c>
      <c r="D374" t="s">
        <v>64</v>
      </c>
      <c r="E374" t="s">
        <v>2091</v>
      </c>
      <c r="F374" s="8">
        <v>7.1</v>
      </c>
      <c r="G374" s="6">
        <v>25000</v>
      </c>
      <c r="H374" s="8">
        <v>21.1</v>
      </c>
      <c r="I374" s="7">
        <v>338.14</v>
      </c>
      <c r="J374" s="8">
        <v>2.2000000000000002</v>
      </c>
      <c r="K374" s="7">
        <v>14791.666666666701</v>
      </c>
      <c r="L374" s="7">
        <v>15129.8066666667</v>
      </c>
    </row>
    <row r="375" spans="1:12" x14ac:dyDescent="0.25">
      <c r="A375" s="9">
        <v>45748</v>
      </c>
      <c r="B375" t="s">
        <v>80</v>
      </c>
      <c r="C375" t="s">
        <v>81</v>
      </c>
      <c r="D375" t="s">
        <v>64</v>
      </c>
      <c r="E375" t="s">
        <v>2095</v>
      </c>
      <c r="F375" s="8">
        <v>6.7</v>
      </c>
      <c r="G375" s="6">
        <v>27000</v>
      </c>
      <c r="H375" s="8">
        <v>26</v>
      </c>
      <c r="I375" s="7">
        <v>450</v>
      </c>
      <c r="J375" s="8">
        <v>1.7</v>
      </c>
      <c r="K375" s="7">
        <v>15075</v>
      </c>
      <c r="L375" s="7">
        <v>15525</v>
      </c>
    </row>
    <row r="376" spans="1:12" x14ac:dyDescent="0.25">
      <c r="A376" s="9">
        <v>45748</v>
      </c>
      <c r="B376" t="s">
        <v>80</v>
      </c>
      <c r="C376" t="s">
        <v>81</v>
      </c>
      <c r="D376" t="s">
        <v>64</v>
      </c>
      <c r="E376" t="s">
        <v>2097</v>
      </c>
      <c r="F376" s="8">
        <v>13.3</v>
      </c>
      <c r="G376" s="6">
        <v>28000</v>
      </c>
      <c r="H376" s="8">
        <v>57</v>
      </c>
      <c r="I376" s="7">
        <v>1023.08</v>
      </c>
      <c r="J376" s="8">
        <v>6.6</v>
      </c>
      <c r="K376" s="7">
        <v>31033.333333333299</v>
      </c>
      <c r="L376" s="7">
        <v>32056.413333333301</v>
      </c>
    </row>
    <row r="377" spans="1:12" x14ac:dyDescent="0.25">
      <c r="A377" s="9">
        <v>45748</v>
      </c>
      <c r="B377" t="s">
        <v>80</v>
      </c>
      <c r="C377" t="s">
        <v>81</v>
      </c>
      <c r="D377" t="s">
        <v>64</v>
      </c>
      <c r="E377" t="s">
        <v>2093</v>
      </c>
      <c r="F377" s="8">
        <v>15.8</v>
      </c>
      <c r="G377" s="6">
        <v>29000</v>
      </c>
      <c r="H377" s="8">
        <v>66.7</v>
      </c>
      <c r="I377" s="7">
        <v>1239.94</v>
      </c>
      <c r="J377" s="8">
        <v>7.4</v>
      </c>
      <c r="K377" s="7">
        <v>38183.333333333299</v>
      </c>
      <c r="L377" s="7">
        <v>39423.273333333302</v>
      </c>
    </row>
    <row r="378" spans="1:12" x14ac:dyDescent="0.25">
      <c r="A378" s="9">
        <v>45748</v>
      </c>
      <c r="B378" t="s">
        <v>80</v>
      </c>
      <c r="C378" t="s">
        <v>81</v>
      </c>
      <c r="D378" t="s">
        <v>64</v>
      </c>
      <c r="E378" t="s">
        <v>2094</v>
      </c>
      <c r="F378" s="8">
        <v>18.8</v>
      </c>
      <c r="G378" s="6">
        <v>41000</v>
      </c>
      <c r="H378" s="8">
        <v>162</v>
      </c>
      <c r="I378" s="7">
        <v>4257.6899999999996</v>
      </c>
      <c r="J378" s="8">
        <v>10.8</v>
      </c>
      <c r="K378" s="7">
        <v>64233.333333333299</v>
      </c>
      <c r="L378" s="7">
        <v>68491.023333333302</v>
      </c>
    </row>
    <row r="379" spans="1:12" x14ac:dyDescent="0.25">
      <c r="A379" s="9">
        <v>45748</v>
      </c>
      <c r="B379" t="s">
        <v>56</v>
      </c>
      <c r="C379" t="s">
        <v>57</v>
      </c>
      <c r="D379" t="s">
        <v>58</v>
      </c>
      <c r="E379" t="s">
        <v>2097</v>
      </c>
      <c r="F379" s="8">
        <v>12.9</v>
      </c>
      <c r="G379" s="6">
        <v>28000</v>
      </c>
      <c r="H379" s="8">
        <v>27.5</v>
      </c>
      <c r="I379" s="7">
        <v>493.59</v>
      </c>
      <c r="J379" s="8">
        <v>6.7</v>
      </c>
      <c r="K379" s="7">
        <v>30100</v>
      </c>
      <c r="L379" s="7">
        <v>30593.59</v>
      </c>
    </row>
    <row r="380" spans="1:12" x14ac:dyDescent="0.25">
      <c r="A380" s="9">
        <v>45748</v>
      </c>
      <c r="B380" t="s">
        <v>56</v>
      </c>
      <c r="C380" t="s">
        <v>57</v>
      </c>
      <c r="D380" t="s">
        <v>58</v>
      </c>
      <c r="E380" t="s">
        <v>2093</v>
      </c>
      <c r="F380" s="8">
        <v>16</v>
      </c>
      <c r="G380" s="6">
        <v>29000</v>
      </c>
      <c r="H380" s="8">
        <v>49.4</v>
      </c>
      <c r="I380" s="7">
        <v>918.33</v>
      </c>
      <c r="J380" s="8">
        <v>7</v>
      </c>
      <c r="K380" s="7">
        <v>38666.666666666701</v>
      </c>
      <c r="L380" s="7">
        <v>39584.996666666702</v>
      </c>
    </row>
    <row r="381" spans="1:12" x14ac:dyDescent="0.25">
      <c r="A381" s="9">
        <v>45748</v>
      </c>
      <c r="B381" t="s">
        <v>56</v>
      </c>
      <c r="C381" t="s">
        <v>57</v>
      </c>
      <c r="D381" t="s">
        <v>58</v>
      </c>
      <c r="E381" t="s">
        <v>2095</v>
      </c>
      <c r="F381" s="8">
        <v>5.9</v>
      </c>
      <c r="G381" s="6">
        <v>27000</v>
      </c>
      <c r="H381" s="8">
        <v>11.7</v>
      </c>
      <c r="I381" s="7">
        <v>202.5</v>
      </c>
      <c r="J381" s="8">
        <v>3.4</v>
      </c>
      <c r="K381" s="7">
        <v>13275</v>
      </c>
      <c r="L381" s="7">
        <v>13477.5</v>
      </c>
    </row>
    <row r="382" spans="1:12" x14ac:dyDescent="0.25">
      <c r="A382" s="9">
        <v>45748</v>
      </c>
      <c r="B382" t="s">
        <v>56</v>
      </c>
      <c r="C382" t="s">
        <v>57</v>
      </c>
      <c r="D382" t="s">
        <v>58</v>
      </c>
      <c r="E382" t="s">
        <v>2091</v>
      </c>
      <c r="F382" s="8">
        <v>19.399999999999999</v>
      </c>
      <c r="G382" s="6">
        <v>25000</v>
      </c>
      <c r="H382" s="8">
        <v>57.8</v>
      </c>
      <c r="I382" s="7">
        <v>926.28</v>
      </c>
      <c r="J382" s="8">
        <v>10.7</v>
      </c>
      <c r="K382" s="7">
        <v>40416.666666666701</v>
      </c>
      <c r="L382" s="7">
        <v>41342.946666666699</v>
      </c>
    </row>
    <row r="383" spans="1:12" x14ac:dyDescent="0.25">
      <c r="A383" s="9">
        <v>45748</v>
      </c>
      <c r="B383" t="s">
        <v>56</v>
      </c>
      <c r="C383" t="s">
        <v>57</v>
      </c>
      <c r="D383" t="s">
        <v>58</v>
      </c>
      <c r="E383" t="s">
        <v>2094</v>
      </c>
      <c r="F383" s="8">
        <v>9.5</v>
      </c>
      <c r="G383" s="6">
        <v>41000</v>
      </c>
      <c r="H383" s="8">
        <v>52.2</v>
      </c>
      <c r="I383" s="7">
        <v>1371.92</v>
      </c>
      <c r="J383" s="8">
        <v>6.1</v>
      </c>
      <c r="K383" s="7">
        <v>32458.333333333299</v>
      </c>
      <c r="L383" s="7">
        <v>33830.253333333298</v>
      </c>
    </row>
    <row r="384" spans="1:12" x14ac:dyDescent="0.25">
      <c r="A384" s="9">
        <v>45748</v>
      </c>
      <c r="B384" t="s">
        <v>77</v>
      </c>
      <c r="C384" t="s">
        <v>78</v>
      </c>
      <c r="D384" t="s">
        <v>58</v>
      </c>
      <c r="E384" t="s">
        <v>2092</v>
      </c>
      <c r="F384" s="8">
        <v>16.8</v>
      </c>
      <c r="G384" s="6">
        <v>43000</v>
      </c>
      <c r="H384" s="8">
        <v>45.7</v>
      </c>
      <c r="I384" s="7">
        <v>1259.68</v>
      </c>
      <c r="J384" s="8">
        <v>8.9</v>
      </c>
      <c r="K384" s="7">
        <v>60200</v>
      </c>
      <c r="L384" s="7">
        <v>61459.68</v>
      </c>
    </row>
    <row r="385" spans="1:12" x14ac:dyDescent="0.25">
      <c r="A385" s="9">
        <v>45748</v>
      </c>
      <c r="B385" t="s">
        <v>77</v>
      </c>
      <c r="C385" t="s">
        <v>78</v>
      </c>
      <c r="D385" t="s">
        <v>58</v>
      </c>
      <c r="E385" t="s">
        <v>2091</v>
      </c>
      <c r="F385" s="8">
        <v>5.0999999999999996</v>
      </c>
      <c r="G385" s="6">
        <v>25000</v>
      </c>
      <c r="H385" s="8">
        <v>25.2</v>
      </c>
      <c r="I385" s="7">
        <v>403.85</v>
      </c>
      <c r="J385" s="8">
        <v>2.1</v>
      </c>
      <c r="K385" s="7">
        <v>10625</v>
      </c>
      <c r="L385" s="7">
        <v>11028.85</v>
      </c>
    </row>
    <row r="386" spans="1:12" x14ac:dyDescent="0.25">
      <c r="A386" s="9">
        <v>45748</v>
      </c>
      <c r="B386" t="s">
        <v>77</v>
      </c>
      <c r="C386" t="s">
        <v>78</v>
      </c>
      <c r="D386" t="s">
        <v>58</v>
      </c>
      <c r="E386" t="s">
        <v>2093</v>
      </c>
      <c r="F386" s="8">
        <v>7.2</v>
      </c>
      <c r="G386" s="6">
        <v>29000</v>
      </c>
      <c r="H386" s="8">
        <v>20.5</v>
      </c>
      <c r="I386" s="7">
        <v>381.09</v>
      </c>
      <c r="J386" s="8">
        <v>5.2</v>
      </c>
      <c r="K386" s="7">
        <v>17400</v>
      </c>
      <c r="L386" s="7">
        <v>17781.09</v>
      </c>
    </row>
    <row r="387" spans="1:12" x14ac:dyDescent="0.25">
      <c r="A387" s="9">
        <v>45748</v>
      </c>
      <c r="B387" t="s">
        <v>77</v>
      </c>
      <c r="C387" t="s">
        <v>78</v>
      </c>
      <c r="D387" t="s">
        <v>58</v>
      </c>
      <c r="E387" t="s">
        <v>2095</v>
      </c>
      <c r="F387" s="8">
        <v>9.9</v>
      </c>
      <c r="G387" s="6">
        <v>27000</v>
      </c>
      <c r="H387" s="8">
        <v>43</v>
      </c>
      <c r="I387" s="7">
        <v>744.23</v>
      </c>
      <c r="J387" s="8">
        <v>5.6</v>
      </c>
      <c r="K387" s="7">
        <v>22275</v>
      </c>
      <c r="L387" s="7">
        <v>23019.23</v>
      </c>
    </row>
    <row r="388" spans="1:12" x14ac:dyDescent="0.25">
      <c r="A388" s="9">
        <v>45748</v>
      </c>
      <c r="B388" t="s">
        <v>77</v>
      </c>
      <c r="C388" t="s">
        <v>78</v>
      </c>
      <c r="D388" t="s">
        <v>58</v>
      </c>
      <c r="E388" t="s">
        <v>2094</v>
      </c>
      <c r="F388" s="8">
        <v>7.1</v>
      </c>
      <c r="G388" s="6">
        <v>41000</v>
      </c>
      <c r="H388" s="8">
        <v>19.600000000000001</v>
      </c>
      <c r="I388" s="7">
        <v>515.13</v>
      </c>
      <c r="J388" s="8">
        <v>2.2999999999999998</v>
      </c>
      <c r="K388" s="7">
        <v>24258.333333333299</v>
      </c>
      <c r="L388" s="7">
        <v>24773.4633333333</v>
      </c>
    </row>
    <row r="389" spans="1:12" x14ac:dyDescent="0.25">
      <c r="A389" s="9">
        <v>45748</v>
      </c>
      <c r="B389" t="s">
        <v>77</v>
      </c>
      <c r="C389" t="s">
        <v>78</v>
      </c>
      <c r="D389" t="s">
        <v>58</v>
      </c>
      <c r="E389" t="s">
        <v>2097</v>
      </c>
      <c r="F389" s="8">
        <v>13.4</v>
      </c>
      <c r="G389" s="6">
        <v>28000</v>
      </c>
      <c r="H389" s="8">
        <v>42.2</v>
      </c>
      <c r="I389" s="7">
        <v>757.44</v>
      </c>
      <c r="J389" s="8">
        <v>6.6</v>
      </c>
      <c r="K389" s="7">
        <v>31266.666666666701</v>
      </c>
      <c r="L389" s="7">
        <v>32024.106666666699</v>
      </c>
    </row>
    <row r="390" spans="1:12" x14ac:dyDescent="0.25">
      <c r="A390" s="9">
        <v>45748</v>
      </c>
      <c r="B390" t="s">
        <v>110</v>
      </c>
      <c r="C390" t="s">
        <v>111</v>
      </c>
      <c r="D390" t="s">
        <v>58</v>
      </c>
      <c r="E390" t="s">
        <v>2093</v>
      </c>
      <c r="F390" s="8">
        <v>7.1</v>
      </c>
      <c r="G390" s="6">
        <v>29000</v>
      </c>
      <c r="H390" s="8">
        <v>17.100000000000001</v>
      </c>
      <c r="I390" s="7">
        <v>317.88</v>
      </c>
      <c r="J390" s="8">
        <v>3.5</v>
      </c>
      <c r="K390" s="7">
        <v>17158.333333333299</v>
      </c>
      <c r="L390" s="7">
        <v>17476.2133333333</v>
      </c>
    </row>
    <row r="391" spans="1:12" x14ac:dyDescent="0.25">
      <c r="A391" s="9">
        <v>45748</v>
      </c>
      <c r="B391" t="s">
        <v>110</v>
      </c>
      <c r="C391" t="s">
        <v>111</v>
      </c>
      <c r="D391" t="s">
        <v>58</v>
      </c>
      <c r="E391" t="s">
        <v>2094</v>
      </c>
      <c r="F391" s="8">
        <v>8.1999999999999993</v>
      </c>
      <c r="G391" s="6">
        <v>41000</v>
      </c>
      <c r="H391" s="8">
        <v>12</v>
      </c>
      <c r="I391" s="7">
        <v>315.38</v>
      </c>
      <c r="J391" s="8">
        <v>3</v>
      </c>
      <c r="K391" s="7">
        <v>28016.666666666701</v>
      </c>
      <c r="L391" s="7">
        <v>28332.046666666702</v>
      </c>
    </row>
    <row r="392" spans="1:12" x14ac:dyDescent="0.25">
      <c r="A392" s="9">
        <v>45748</v>
      </c>
      <c r="B392" t="s">
        <v>110</v>
      </c>
      <c r="C392" t="s">
        <v>111</v>
      </c>
      <c r="D392" t="s">
        <v>58</v>
      </c>
      <c r="E392" t="s">
        <v>2091</v>
      </c>
      <c r="F392" s="8">
        <v>12.9</v>
      </c>
      <c r="G392" s="6">
        <v>25000</v>
      </c>
      <c r="H392" s="8">
        <v>64.599999999999994</v>
      </c>
      <c r="I392" s="7">
        <v>1035.26</v>
      </c>
      <c r="J392" s="8">
        <v>7.1</v>
      </c>
      <c r="K392" s="7">
        <v>26875</v>
      </c>
      <c r="L392" s="7">
        <v>27910.26</v>
      </c>
    </row>
    <row r="393" spans="1:12" x14ac:dyDescent="0.25">
      <c r="A393" s="9">
        <v>45748</v>
      </c>
      <c r="B393" t="s">
        <v>110</v>
      </c>
      <c r="C393" t="s">
        <v>111</v>
      </c>
      <c r="D393" t="s">
        <v>58</v>
      </c>
      <c r="E393" t="s">
        <v>2092</v>
      </c>
      <c r="F393" s="8">
        <v>13.2</v>
      </c>
      <c r="G393" s="6">
        <v>43000</v>
      </c>
      <c r="H393" s="8">
        <v>45</v>
      </c>
      <c r="I393" s="7">
        <v>1240.3800000000001</v>
      </c>
      <c r="J393" s="8">
        <v>5.6</v>
      </c>
      <c r="K393" s="7">
        <v>47300</v>
      </c>
      <c r="L393" s="7">
        <v>48540.38</v>
      </c>
    </row>
    <row r="394" spans="1:12" x14ac:dyDescent="0.25">
      <c r="A394" s="9">
        <v>45748</v>
      </c>
      <c r="B394" t="s">
        <v>85</v>
      </c>
      <c r="C394" t="s">
        <v>86</v>
      </c>
      <c r="D394" t="s">
        <v>58</v>
      </c>
      <c r="E394" t="s">
        <v>2096</v>
      </c>
      <c r="F394" s="8">
        <v>9.9</v>
      </c>
      <c r="G394" s="6">
        <v>35000</v>
      </c>
      <c r="H394" s="8">
        <v>24.3</v>
      </c>
      <c r="I394" s="7">
        <v>545.19000000000005</v>
      </c>
      <c r="J394" s="8">
        <v>4.5999999999999996</v>
      </c>
      <c r="K394" s="7">
        <v>28875</v>
      </c>
      <c r="L394" s="7">
        <v>29420.19</v>
      </c>
    </row>
    <row r="395" spans="1:12" x14ac:dyDescent="0.25">
      <c r="A395" s="9">
        <v>45748</v>
      </c>
      <c r="B395" t="s">
        <v>85</v>
      </c>
      <c r="C395" t="s">
        <v>86</v>
      </c>
      <c r="D395" t="s">
        <v>58</v>
      </c>
      <c r="E395" t="s">
        <v>2093</v>
      </c>
      <c r="F395" s="8">
        <v>10.6</v>
      </c>
      <c r="G395" s="6">
        <v>29000</v>
      </c>
      <c r="H395" s="8">
        <v>52.6</v>
      </c>
      <c r="I395" s="7">
        <v>977.82</v>
      </c>
      <c r="J395" s="8">
        <v>6.2</v>
      </c>
      <c r="K395" s="7">
        <v>25616.666666666701</v>
      </c>
      <c r="L395" s="7">
        <v>26594.4866666667</v>
      </c>
    </row>
    <row r="396" spans="1:12" x14ac:dyDescent="0.25">
      <c r="A396" s="9">
        <v>45748</v>
      </c>
      <c r="B396" t="s">
        <v>85</v>
      </c>
      <c r="C396" t="s">
        <v>86</v>
      </c>
      <c r="D396" t="s">
        <v>58</v>
      </c>
      <c r="E396" t="s">
        <v>2095</v>
      </c>
      <c r="F396" s="8">
        <v>5.6</v>
      </c>
      <c r="G396" s="6">
        <v>27000</v>
      </c>
      <c r="H396" s="8">
        <v>18.2</v>
      </c>
      <c r="I396" s="7">
        <v>315</v>
      </c>
      <c r="J396" s="8">
        <v>1.6</v>
      </c>
      <c r="K396" s="7">
        <v>12600</v>
      </c>
      <c r="L396" s="7">
        <v>12915</v>
      </c>
    </row>
    <row r="397" spans="1:12" x14ac:dyDescent="0.25">
      <c r="A397" s="9">
        <v>45748</v>
      </c>
      <c r="B397" t="s">
        <v>85</v>
      </c>
      <c r="C397" t="s">
        <v>86</v>
      </c>
      <c r="D397" t="s">
        <v>58</v>
      </c>
      <c r="E397" t="s">
        <v>2091</v>
      </c>
      <c r="F397" s="8">
        <v>18.100000000000001</v>
      </c>
      <c r="G397" s="6">
        <v>25000</v>
      </c>
      <c r="H397" s="8">
        <v>79.7</v>
      </c>
      <c r="I397" s="7">
        <v>1277.24</v>
      </c>
      <c r="J397" s="8">
        <v>8.1999999999999993</v>
      </c>
      <c r="K397" s="7">
        <v>37708.333333333299</v>
      </c>
      <c r="L397" s="7">
        <v>38985.573333333297</v>
      </c>
    </row>
    <row r="398" spans="1:12" x14ac:dyDescent="0.25">
      <c r="A398" s="9">
        <v>45748</v>
      </c>
      <c r="B398" t="s">
        <v>85</v>
      </c>
      <c r="C398" t="s">
        <v>86</v>
      </c>
      <c r="D398" t="s">
        <v>58</v>
      </c>
      <c r="E398" t="s">
        <v>2097</v>
      </c>
      <c r="F398" s="8">
        <v>17.5</v>
      </c>
      <c r="G398" s="6">
        <v>28000</v>
      </c>
      <c r="H398" s="8">
        <v>56.4</v>
      </c>
      <c r="I398" s="7">
        <v>1012.31</v>
      </c>
      <c r="J398" s="8">
        <v>10.1</v>
      </c>
      <c r="K398" s="7">
        <v>40833.333333333299</v>
      </c>
      <c r="L398" s="7">
        <v>41845.643333333297</v>
      </c>
    </row>
    <row r="399" spans="1:12" x14ac:dyDescent="0.25">
      <c r="A399" s="9">
        <v>45748</v>
      </c>
      <c r="B399" t="s">
        <v>103</v>
      </c>
      <c r="C399" t="s">
        <v>104</v>
      </c>
      <c r="D399" t="s">
        <v>58</v>
      </c>
      <c r="E399" t="s">
        <v>2091</v>
      </c>
      <c r="F399" s="8">
        <v>11.4</v>
      </c>
      <c r="G399" s="6">
        <v>25000</v>
      </c>
      <c r="H399" s="8">
        <v>59.7</v>
      </c>
      <c r="I399" s="7">
        <v>956.73</v>
      </c>
      <c r="J399" s="8">
        <v>5.9</v>
      </c>
      <c r="K399" s="7">
        <v>23750</v>
      </c>
      <c r="L399" s="7">
        <v>24706.73</v>
      </c>
    </row>
    <row r="400" spans="1:12" x14ac:dyDescent="0.25">
      <c r="A400" s="9">
        <v>45748</v>
      </c>
      <c r="B400" t="s">
        <v>103</v>
      </c>
      <c r="C400" t="s">
        <v>104</v>
      </c>
      <c r="D400" t="s">
        <v>58</v>
      </c>
      <c r="E400" t="s">
        <v>2092</v>
      </c>
      <c r="F400" s="8">
        <v>16.399999999999999</v>
      </c>
      <c r="G400" s="6">
        <v>43000</v>
      </c>
      <c r="H400" s="8">
        <v>34.299999999999997</v>
      </c>
      <c r="I400" s="7">
        <v>945.45</v>
      </c>
      <c r="J400" s="8">
        <v>8.4</v>
      </c>
      <c r="K400" s="7">
        <v>58766.666666666701</v>
      </c>
      <c r="L400" s="7">
        <v>59712.116666666698</v>
      </c>
    </row>
    <row r="401" spans="1:12" x14ac:dyDescent="0.25">
      <c r="A401" s="9">
        <v>45748</v>
      </c>
      <c r="B401" t="s">
        <v>103</v>
      </c>
      <c r="C401" t="s">
        <v>104</v>
      </c>
      <c r="D401" t="s">
        <v>58</v>
      </c>
      <c r="E401" t="s">
        <v>2094</v>
      </c>
      <c r="F401" s="8">
        <v>11.9</v>
      </c>
      <c r="G401" s="6">
        <v>41000</v>
      </c>
      <c r="H401" s="8">
        <v>66.599999999999994</v>
      </c>
      <c r="I401" s="7">
        <v>1750.38</v>
      </c>
      <c r="J401" s="8">
        <v>5.6</v>
      </c>
      <c r="K401" s="7">
        <v>40658.333333333299</v>
      </c>
      <c r="L401" s="7">
        <v>42408.713333333297</v>
      </c>
    </row>
    <row r="402" spans="1:12" x14ac:dyDescent="0.25">
      <c r="A402" s="9">
        <v>45748</v>
      </c>
      <c r="B402" t="s">
        <v>103</v>
      </c>
      <c r="C402" t="s">
        <v>104</v>
      </c>
      <c r="D402" t="s">
        <v>58</v>
      </c>
      <c r="E402" t="s">
        <v>2093</v>
      </c>
      <c r="F402" s="8">
        <v>8.5</v>
      </c>
      <c r="G402" s="6">
        <v>29000</v>
      </c>
      <c r="H402" s="8">
        <v>51.2</v>
      </c>
      <c r="I402" s="7">
        <v>951.79</v>
      </c>
      <c r="J402" s="8">
        <v>5.5</v>
      </c>
      <c r="K402" s="7">
        <v>20541.666666666701</v>
      </c>
      <c r="L402" s="7">
        <v>21493.456666666701</v>
      </c>
    </row>
    <row r="403" spans="1:12" x14ac:dyDescent="0.25">
      <c r="A403" s="9">
        <v>45748</v>
      </c>
      <c r="B403" t="s">
        <v>103</v>
      </c>
      <c r="C403" t="s">
        <v>104</v>
      </c>
      <c r="D403" t="s">
        <v>58</v>
      </c>
      <c r="E403" t="s">
        <v>2095</v>
      </c>
      <c r="F403" s="8">
        <v>11.5</v>
      </c>
      <c r="G403" s="6">
        <v>27000</v>
      </c>
      <c r="H403" s="8">
        <v>74.7</v>
      </c>
      <c r="I403" s="7">
        <v>1292.8800000000001</v>
      </c>
      <c r="J403" s="8">
        <v>6.1</v>
      </c>
      <c r="K403" s="7">
        <v>25875</v>
      </c>
      <c r="L403" s="7">
        <v>27167.88</v>
      </c>
    </row>
    <row r="404" spans="1:12" x14ac:dyDescent="0.25">
      <c r="A404" s="9">
        <v>45778</v>
      </c>
      <c r="B404" t="s">
        <v>100</v>
      </c>
      <c r="C404" t="s">
        <v>101</v>
      </c>
      <c r="D404" t="s">
        <v>69</v>
      </c>
      <c r="E404" t="s">
        <v>2096</v>
      </c>
      <c r="F404" s="8">
        <v>15</v>
      </c>
      <c r="G404" s="6">
        <v>35000</v>
      </c>
      <c r="H404" s="8">
        <v>73.2</v>
      </c>
      <c r="I404" s="7">
        <v>1642.31</v>
      </c>
      <c r="J404" s="8">
        <v>8.9</v>
      </c>
      <c r="K404" s="7">
        <v>43750</v>
      </c>
      <c r="L404" s="7">
        <v>45392.31</v>
      </c>
    </row>
    <row r="405" spans="1:12" x14ac:dyDescent="0.25">
      <c r="A405" s="9">
        <v>45778</v>
      </c>
      <c r="B405" t="s">
        <v>100</v>
      </c>
      <c r="C405" t="s">
        <v>101</v>
      </c>
      <c r="D405" t="s">
        <v>69</v>
      </c>
      <c r="E405" t="s">
        <v>2097</v>
      </c>
      <c r="F405" s="8">
        <v>13.2</v>
      </c>
      <c r="G405" s="6">
        <v>28000</v>
      </c>
      <c r="H405" s="8">
        <v>61.7</v>
      </c>
      <c r="I405" s="7">
        <v>1107.44</v>
      </c>
      <c r="J405" s="8">
        <v>6.1</v>
      </c>
      <c r="K405" s="7">
        <v>30800</v>
      </c>
      <c r="L405" s="7">
        <v>31907.439999999999</v>
      </c>
    </row>
    <row r="406" spans="1:12" x14ac:dyDescent="0.25">
      <c r="A406" s="9">
        <v>45778</v>
      </c>
      <c r="B406" t="s">
        <v>100</v>
      </c>
      <c r="C406" t="s">
        <v>101</v>
      </c>
      <c r="D406" t="s">
        <v>69</v>
      </c>
      <c r="E406" t="s">
        <v>2092</v>
      </c>
      <c r="F406" s="8">
        <v>14.9</v>
      </c>
      <c r="G406" s="6">
        <v>43000</v>
      </c>
      <c r="H406" s="8">
        <v>49.6</v>
      </c>
      <c r="I406" s="7">
        <v>1367.18</v>
      </c>
      <c r="J406" s="8">
        <v>7.7</v>
      </c>
      <c r="K406" s="7">
        <v>53391.666666666701</v>
      </c>
      <c r="L406" s="7">
        <v>54758.846666666701</v>
      </c>
    </row>
    <row r="407" spans="1:12" x14ac:dyDescent="0.25">
      <c r="A407" s="9">
        <v>45778</v>
      </c>
      <c r="B407" t="s">
        <v>100</v>
      </c>
      <c r="C407" t="s">
        <v>101</v>
      </c>
      <c r="D407" t="s">
        <v>69</v>
      </c>
      <c r="E407" t="s">
        <v>2093</v>
      </c>
      <c r="F407" s="8">
        <v>9.4</v>
      </c>
      <c r="G407" s="6">
        <v>29000</v>
      </c>
      <c r="H407" s="8">
        <v>19.399999999999999</v>
      </c>
      <c r="I407" s="7">
        <v>360.64</v>
      </c>
      <c r="J407" s="8">
        <v>4.5999999999999996</v>
      </c>
      <c r="K407" s="7">
        <v>22716.666666666701</v>
      </c>
      <c r="L407" s="7">
        <v>23077.3066666667</v>
      </c>
    </row>
    <row r="408" spans="1:12" x14ac:dyDescent="0.25">
      <c r="A408" s="9">
        <v>45778</v>
      </c>
      <c r="B408" t="s">
        <v>100</v>
      </c>
      <c r="C408" t="s">
        <v>101</v>
      </c>
      <c r="D408" t="s">
        <v>69</v>
      </c>
      <c r="E408" t="s">
        <v>2095</v>
      </c>
      <c r="F408" s="8">
        <v>16.399999999999999</v>
      </c>
      <c r="G408" s="6">
        <v>27000</v>
      </c>
      <c r="H408" s="8">
        <v>92.6</v>
      </c>
      <c r="I408" s="7">
        <v>1602.69</v>
      </c>
      <c r="J408" s="8">
        <v>6</v>
      </c>
      <c r="K408" s="7">
        <v>36900</v>
      </c>
      <c r="L408" s="7">
        <v>38502.69</v>
      </c>
    </row>
    <row r="409" spans="1:12" x14ac:dyDescent="0.25">
      <c r="A409" s="9">
        <v>45778</v>
      </c>
      <c r="B409" t="s">
        <v>100</v>
      </c>
      <c r="C409" t="s">
        <v>101</v>
      </c>
      <c r="D409" t="s">
        <v>69</v>
      </c>
      <c r="E409" t="s">
        <v>2091</v>
      </c>
      <c r="F409" s="8">
        <v>6.5</v>
      </c>
      <c r="G409" s="6">
        <v>25000</v>
      </c>
      <c r="H409" s="8">
        <v>41</v>
      </c>
      <c r="I409" s="7">
        <v>657.05</v>
      </c>
      <c r="J409" s="8">
        <v>4.4000000000000004</v>
      </c>
      <c r="K409" s="7">
        <v>13541.666666666701</v>
      </c>
      <c r="L409" s="7">
        <v>14198.7166666667</v>
      </c>
    </row>
    <row r="410" spans="1:12" x14ac:dyDescent="0.25">
      <c r="A410" s="9">
        <v>45778</v>
      </c>
      <c r="B410" t="s">
        <v>113</v>
      </c>
      <c r="C410" t="s">
        <v>114</v>
      </c>
      <c r="D410" t="s">
        <v>69</v>
      </c>
      <c r="E410" t="s">
        <v>2094</v>
      </c>
      <c r="F410" s="8">
        <v>7.9</v>
      </c>
      <c r="G410" s="6">
        <v>41000</v>
      </c>
      <c r="H410" s="8">
        <v>26.2</v>
      </c>
      <c r="I410" s="7">
        <v>688.59</v>
      </c>
      <c r="J410" s="8">
        <v>4.5</v>
      </c>
      <c r="K410" s="7">
        <v>26991.666666666701</v>
      </c>
      <c r="L410" s="7">
        <v>27680.256666666701</v>
      </c>
    </row>
    <row r="411" spans="1:12" x14ac:dyDescent="0.25">
      <c r="A411" s="9">
        <v>45778</v>
      </c>
      <c r="B411" t="s">
        <v>113</v>
      </c>
      <c r="C411" t="s">
        <v>114</v>
      </c>
      <c r="D411" t="s">
        <v>69</v>
      </c>
      <c r="E411" t="s">
        <v>2096</v>
      </c>
      <c r="F411" s="8">
        <v>6.9</v>
      </c>
      <c r="G411" s="6">
        <v>35000</v>
      </c>
      <c r="H411" s="8">
        <v>27.6</v>
      </c>
      <c r="I411" s="7">
        <v>619.23</v>
      </c>
      <c r="J411" s="8">
        <v>4.7</v>
      </c>
      <c r="K411" s="7">
        <v>20125</v>
      </c>
      <c r="L411" s="7">
        <v>20744.23</v>
      </c>
    </row>
    <row r="412" spans="1:12" x14ac:dyDescent="0.25">
      <c r="A412" s="9">
        <v>45778</v>
      </c>
      <c r="B412" t="s">
        <v>113</v>
      </c>
      <c r="C412" t="s">
        <v>114</v>
      </c>
      <c r="D412" t="s">
        <v>69</v>
      </c>
      <c r="E412" t="s">
        <v>2097</v>
      </c>
      <c r="F412" s="8">
        <v>13.2</v>
      </c>
      <c r="G412" s="6">
        <v>28000</v>
      </c>
      <c r="H412" s="8">
        <v>72.3</v>
      </c>
      <c r="I412" s="7">
        <v>1297.69</v>
      </c>
      <c r="J412" s="8">
        <v>5.2</v>
      </c>
      <c r="K412" s="7">
        <v>30800</v>
      </c>
      <c r="L412" s="7">
        <v>32097.69</v>
      </c>
    </row>
    <row r="413" spans="1:12" x14ac:dyDescent="0.25">
      <c r="A413" s="9">
        <v>45778</v>
      </c>
      <c r="B413" t="s">
        <v>113</v>
      </c>
      <c r="C413" t="s">
        <v>114</v>
      </c>
      <c r="D413" t="s">
        <v>69</v>
      </c>
      <c r="E413" t="s">
        <v>2093</v>
      </c>
      <c r="F413" s="8">
        <v>11</v>
      </c>
      <c r="G413" s="6">
        <v>29000</v>
      </c>
      <c r="H413" s="8">
        <v>53.7</v>
      </c>
      <c r="I413" s="7">
        <v>998.27</v>
      </c>
      <c r="J413" s="8">
        <v>5.3</v>
      </c>
      <c r="K413" s="7">
        <v>26583.333333333299</v>
      </c>
      <c r="L413" s="7">
        <v>27581.6033333333</v>
      </c>
    </row>
    <row r="414" spans="1:12" x14ac:dyDescent="0.25">
      <c r="A414" s="9">
        <v>45778</v>
      </c>
      <c r="B414" t="s">
        <v>113</v>
      </c>
      <c r="C414" t="s">
        <v>114</v>
      </c>
      <c r="D414" t="s">
        <v>69</v>
      </c>
      <c r="E414" t="s">
        <v>2092</v>
      </c>
      <c r="F414" s="8">
        <v>3.4</v>
      </c>
      <c r="G414" s="6">
        <v>43000</v>
      </c>
      <c r="H414" s="8">
        <v>14</v>
      </c>
      <c r="I414" s="7">
        <v>385.9</v>
      </c>
      <c r="J414" s="8">
        <v>1</v>
      </c>
      <c r="K414" s="7">
        <v>12183.333333333299</v>
      </c>
      <c r="L414" s="7">
        <v>12569.233333333301</v>
      </c>
    </row>
    <row r="415" spans="1:12" x14ac:dyDescent="0.25">
      <c r="A415" s="9">
        <v>45778</v>
      </c>
      <c r="B415" t="s">
        <v>143</v>
      </c>
      <c r="C415" t="s">
        <v>144</v>
      </c>
      <c r="D415" t="s">
        <v>69</v>
      </c>
      <c r="E415" t="s">
        <v>2093</v>
      </c>
      <c r="F415" s="8">
        <v>9.6</v>
      </c>
      <c r="G415" s="6">
        <v>29000</v>
      </c>
      <c r="H415" s="8">
        <v>63.6</v>
      </c>
      <c r="I415" s="7">
        <v>1182.31</v>
      </c>
      <c r="J415" s="8">
        <v>5.8</v>
      </c>
      <c r="K415" s="7">
        <v>23200</v>
      </c>
      <c r="L415" s="7">
        <v>24382.31</v>
      </c>
    </row>
    <row r="416" spans="1:12" x14ac:dyDescent="0.25">
      <c r="A416" s="9">
        <v>45778</v>
      </c>
      <c r="B416" t="s">
        <v>143</v>
      </c>
      <c r="C416" t="s">
        <v>144</v>
      </c>
      <c r="D416" t="s">
        <v>69</v>
      </c>
      <c r="E416" t="s">
        <v>2095</v>
      </c>
      <c r="F416" s="8">
        <v>8.9</v>
      </c>
      <c r="G416" s="6">
        <v>27000</v>
      </c>
      <c r="H416" s="8">
        <v>25.7</v>
      </c>
      <c r="I416" s="7">
        <v>444.81</v>
      </c>
      <c r="J416" s="8">
        <v>3.1</v>
      </c>
      <c r="K416" s="7">
        <v>20025</v>
      </c>
      <c r="L416" s="7">
        <v>20469.810000000001</v>
      </c>
    </row>
    <row r="417" spans="1:12" x14ac:dyDescent="0.25">
      <c r="A417" s="9">
        <v>45778</v>
      </c>
      <c r="B417" t="s">
        <v>143</v>
      </c>
      <c r="C417" t="s">
        <v>144</v>
      </c>
      <c r="D417" t="s">
        <v>69</v>
      </c>
      <c r="E417" t="s">
        <v>2091</v>
      </c>
      <c r="F417" s="8">
        <v>9.5</v>
      </c>
      <c r="G417" s="6">
        <v>25000</v>
      </c>
      <c r="H417" s="8">
        <v>32.5</v>
      </c>
      <c r="I417" s="7">
        <v>520.83000000000004</v>
      </c>
      <c r="J417" s="8">
        <v>5.2</v>
      </c>
      <c r="K417" s="7">
        <v>19791.666666666701</v>
      </c>
      <c r="L417" s="7">
        <v>20312.496666666699</v>
      </c>
    </row>
    <row r="418" spans="1:12" x14ac:dyDescent="0.25">
      <c r="A418" s="9">
        <v>45778</v>
      </c>
      <c r="B418" t="s">
        <v>143</v>
      </c>
      <c r="C418" t="s">
        <v>144</v>
      </c>
      <c r="D418" t="s">
        <v>69</v>
      </c>
      <c r="E418" t="s">
        <v>2096</v>
      </c>
      <c r="F418" s="8">
        <v>11.3</v>
      </c>
      <c r="G418" s="6">
        <v>35000</v>
      </c>
      <c r="H418" s="8">
        <v>49.3</v>
      </c>
      <c r="I418" s="7">
        <v>1106.0899999999999</v>
      </c>
      <c r="J418" s="8">
        <v>6.9</v>
      </c>
      <c r="K418" s="7">
        <v>32958.333333333299</v>
      </c>
      <c r="L418" s="7">
        <v>34064.423333333303</v>
      </c>
    </row>
    <row r="419" spans="1:12" x14ac:dyDescent="0.25">
      <c r="A419" s="9">
        <v>45778</v>
      </c>
      <c r="B419" t="s">
        <v>143</v>
      </c>
      <c r="C419" t="s">
        <v>144</v>
      </c>
      <c r="D419" t="s">
        <v>69</v>
      </c>
      <c r="E419" t="s">
        <v>2094</v>
      </c>
      <c r="F419" s="8">
        <v>15.3</v>
      </c>
      <c r="G419" s="6">
        <v>41000</v>
      </c>
      <c r="H419" s="8">
        <v>79.3</v>
      </c>
      <c r="I419" s="7">
        <v>2084.17</v>
      </c>
      <c r="J419" s="8">
        <v>8.6</v>
      </c>
      <c r="K419" s="7">
        <v>52275</v>
      </c>
      <c r="L419" s="7">
        <v>54359.17</v>
      </c>
    </row>
    <row r="420" spans="1:12" x14ac:dyDescent="0.25">
      <c r="A420" s="9">
        <v>45778</v>
      </c>
      <c r="B420" t="s">
        <v>143</v>
      </c>
      <c r="C420" t="s">
        <v>144</v>
      </c>
      <c r="D420" t="s">
        <v>69</v>
      </c>
      <c r="E420" t="s">
        <v>2092</v>
      </c>
      <c r="F420" s="8">
        <v>18.5</v>
      </c>
      <c r="G420" s="6">
        <v>43000</v>
      </c>
      <c r="H420" s="8">
        <v>83.1</v>
      </c>
      <c r="I420" s="7">
        <v>2290.58</v>
      </c>
      <c r="J420" s="8">
        <v>7.9</v>
      </c>
      <c r="K420" s="7">
        <v>66291.666666666701</v>
      </c>
      <c r="L420" s="7">
        <v>68582.246666666702</v>
      </c>
    </row>
    <row r="421" spans="1:12" x14ac:dyDescent="0.25">
      <c r="A421" s="9">
        <v>45778</v>
      </c>
      <c r="B421" t="s">
        <v>73</v>
      </c>
      <c r="C421" t="s">
        <v>74</v>
      </c>
      <c r="D421" t="s">
        <v>69</v>
      </c>
      <c r="E421" t="s">
        <v>2096</v>
      </c>
      <c r="F421" s="8">
        <v>7.6</v>
      </c>
      <c r="G421" s="6">
        <v>35000</v>
      </c>
      <c r="H421" s="8">
        <v>28.2</v>
      </c>
      <c r="I421" s="7">
        <v>632.69000000000005</v>
      </c>
      <c r="J421" s="8">
        <v>4.9000000000000004</v>
      </c>
      <c r="K421" s="7">
        <v>22166.666666666701</v>
      </c>
      <c r="L421" s="7">
        <v>22799.356666666699</v>
      </c>
    </row>
    <row r="422" spans="1:12" x14ac:dyDescent="0.25">
      <c r="A422" s="9">
        <v>45778</v>
      </c>
      <c r="B422" t="s">
        <v>73</v>
      </c>
      <c r="C422" t="s">
        <v>74</v>
      </c>
      <c r="D422" t="s">
        <v>69</v>
      </c>
      <c r="E422" t="s">
        <v>2094</v>
      </c>
      <c r="F422" s="8">
        <v>18.5</v>
      </c>
      <c r="G422" s="6">
        <v>41000</v>
      </c>
      <c r="H422" s="8">
        <v>72.599999999999994</v>
      </c>
      <c r="I422" s="7">
        <v>1908.08</v>
      </c>
      <c r="J422" s="8">
        <v>9.8000000000000007</v>
      </c>
      <c r="K422" s="7">
        <v>63208.333333333299</v>
      </c>
      <c r="L422" s="7">
        <v>65116.413333333301</v>
      </c>
    </row>
    <row r="423" spans="1:12" x14ac:dyDescent="0.25">
      <c r="A423" s="9">
        <v>45778</v>
      </c>
      <c r="B423" t="s">
        <v>73</v>
      </c>
      <c r="C423" t="s">
        <v>74</v>
      </c>
      <c r="D423" t="s">
        <v>69</v>
      </c>
      <c r="E423" t="s">
        <v>2095</v>
      </c>
      <c r="F423" s="8">
        <v>7.4</v>
      </c>
      <c r="G423" s="6">
        <v>27000</v>
      </c>
      <c r="H423" s="8">
        <v>26.1</v>
      </c>
      <c r="I423" s="7">
        <v>451.73</v>
      </c>
      <c r="J423" s="8">
        <v>2.7</v>
      </c>
      <c r="K423" s="7">
        <v>16650</v>
      </c>
      <c r="L423" s="7">
        <v>17101.73</v>
      </c>
    </row>
    <row r="424" spans="1:12" x14ac:dyDescent="0.25">
      <c r="A424" s="9">
        <v>45778</v>
      </c>
      <c r="B424" t="s">
        <v>73</v>
      </c>
      <c r="C424" t="s">
        <v>74</v>
      </c>
      <c r="D424" t="s">
        <v>69</v>
      </c>
      <c r="E424" t="s">
        <v>2093</v>
      </c>
      <c r="F424" s="8">
        <v>5.7</v>
      </c>
      <c r="G424" s="6">
        <v>29000</v>
      </c>
      <c r="H424" s="8">
        <v>21.7</v>
      </c>
      <c r="I424" s="7">
        <v>403.4</v>
      </c>
      <c r="J424" s="8">
        <v>3.2</v>
      </c>
      <c r="K424" s="7">
        <v>13775</v>
      </c>
      <c r="L424" s="7">
        <v>14178.4</v>
      </c>
    </row>
    <row r="425" spans="1:12" x14ac:dyDescent="0.25">
      <c r="A425" s="9">
        <v>45778</v>
      </c>
      <c r="B425" t="s">
        <v>67</v>
      </c>
      <c r="C425" t="s">
        <v>68</v>
      </c>
      <c r="D425" t="s">
        <v>69</v>
      </c>
      <c r="E425" t="s">
        <v>2097</v>
      </c>
      <c r="F425" s="8">
        <v>17.399999999999999</v>
      </c>
      <c r="G425" s="6">
        <v>28000</v>
      </c>
      <c r="H425" s="8">
        <v>52.5</v>
      </c>
      <c r="I425" s="7">
        <v>942.31</v>
      </c>
      <c r="J425" s="8">
        <v>8.5</v>
      </c>
      <c r="K425" s="7">
        <v>40600</v>
      </c>
      <c r="L425" s="7">
        <v>41542.31</v>
      </c>
    </row>
    <row r="426" spans="1:12" x14ac:dyDescent="0.25">
      <c r="A426" s="9">
        <v>45778</v>
      </c>
      <c r="B426" t="s">
        <v>67</v>
      </c>
      <c r="C426" t="s">
        <v>68</v>
      </c>
      <c r="D426" t="s">
        <v>69</v>
      </c>
      <c r="E426" t="s">
        <v>2092</v>
      </c>
      <c r="F426" s="8">
        <v>19.600000000000001</v>
      </c>
      <c r="G426" s="6">
        <v>43000</v>
      </c>
      <c r="H426" s="8">
        <v>50.8</v>
      </c>
      <c r="I426" s="7">
        <v>1400.26</v>
      </c>
      <c r="J426" s="8">
        <v>10.9</v>
      </c>
      <c r="K426" s="7">
        <v>70233.333333333299</v>
      </c>
      <c r="L426" s="7">
        <v>71633.593333333294</v>
      </c>
    </row>
    <row r="427" spans="1:12" x14ac:dyDescent="0.25">
      <c r="A427" s="9">
        <v>45778</v>
      </c>
      <c r="B427" t="s">
        <v>67</v>
      </c>
      <c r="C427" t="s">
        <v>68</v>
      </c>
      <c r="D427" t="s">
        <v>69</v>
      </c>
      <c r="E427" t="s">
        <v>2095</v>
      </c>
      <c r="F427" s="8">
        <v>9.1999999999999993</v>
      </c>
      <c r="G427" s="6">
        <v>27000</v>
      </c>
      <c r="H427" s="8">
        <v>32.700000000000003</v>
      </c>
      <c r="I427" s="7">
        <v>565.96</v>
      </c>
      <c r="J427" s="8">
        <v>6.1</v>
      </c>
      <c r="K427" s="7">
        <v>20700</v>
      </c>
      <c r="L427" s="7">
        <v>21265.96</v>
      </c>
    </row>
    <row r="428" spans="1:12" x14ac:dyDescent="0.25">
      <c r="A428" s="9">
        <v>45778</v>
      </c>
      <c r="B428" t="s">
        <v>67</v>
      </c>
      <c r="C428" t="s">
        <v>68</v>
      </c>
      <c r="D428" t="s">
        <v>69</v>
      </c>
      <c r="E428" t="s">
        <v>2093</v>
      </c>
      <c r="F428" s="8">
        <v>15.9</v>
      </c>
      <c r="G428" s="6">
        <v>29000</v>
      </c>
      <c r="H428" s="8">
        <v>100.1</v>
      </c>
      <c r="I428" s="7">
        <v>1860.83</v>
      </c>
      <c r="J428" s="8">
        <v>7.9</v>
      </c>
      <c r="K428" s="7">
        <v>38425</v>
      </c>
      <c r="L428" s="7">
        <v>40285.83</v>
      </c>
    </row>
    <row r="429" spans="1:12" x14ac:dyDescent="0.25">
      <c r="A429" s="9">
        <v>45778</v>
      </c>
      <c r="B429" t="s">
        <v>32</v>
      </c>
      <c r="C429" t="s">
        <v>33</v>
      </c>
      <c r="D429" t="s">
        <v>34</v>
      </c>
      <c r="E429" t="s">
        <v>2095</v>
      </c>
      <c r="F429" s="8">
        <v>7.3</v>
      </c>
      <c r="G429" s="6">
        <v>27000</v>
      </c>
      <c r="H429" s="8">
        <v>18.2</v>
      </c>
      <c r="I429" s="7">
        <v>315</v>
      </c>
      <c r="J429" s="8">
        <v>1.6</v>
      </c>
      <c r="K429" s="7">
        <v>16425</v>
      </c>
      <c r="L429" s="7">
        <v>16740</v>
      </c>
    </row>
    <row r="430" spans="1:12" x14ac:dyDescent="0.25">
      <c r="A430" s="9">
        <v>45778</v>
      </c>
      <c r="B430" t="s">
        <v>32</v>
      </c>
      <c r="C430" t="s">
        <v>33</v>
      </c>
      <c r="D430" t="s">
        <v>34</v>
      </c>
      <c r="E430" t="s">
        <v>2093</v>
      </c>
      <c r="F430" s="8">
        <v>11.9</v>
      </c>
      <c r="G430" s="6">
        <v>29000</v>
      </c>
      <c r="H430" s="8">
        <v>21.3</v>
      </c>
      <c r="I430" s="7">
        <v>395.96</v>
      </c>
      <c r="J430" s="8">
        <v>4.5999999999999996</v>
      </c>
      <c r="K430" s="7">
        <v>28758.333333333299</v>
      </c>
      <c r="L430" s="7">
        <v>29154.293333333299</v>
      </c>
    </row>
    <row r="431" spans="1:12" x14ac:dyDescent="0.25">
      <c r="A431" s="9">
        <v>45778</v>
      </c>
      <c r="B431" t="s">
        <v>32</v>
      </c>
      <c r="C431" t="s">
        <v>33</v>
      </c>
      <c r="D431" t="s">
        <v>34</v>
      </c>
      <c r="E431" t="s">
        <v>2091</v>
      </c>
      <c r="F431" s="8">
        <v>7.3</v>
      </c>
      <c r="G431" s="6">
        <v>25000</v>
      </c>
      <c r="H431" s="8">
        <v>44.3</v>
      </c>
      <c r="I431" s="7">
        <v>709.94</v>
      </c>
      <c r="J431" s="8">
        <v>3.8</v>
      </c>
      <c r="K431" s="7">
        <v>15208.333333333299</v>
      </c>
      <c r="L431" s="7">
        <v>15918.2733333333</v>
      </c>
    </row>
    <row r="432" spans="1:12" x14ac:dyDescent="0.25">
      <c r="A432" s="9">
        <v>45778</v>
      </c>
      <c r="B432" t="s">
        <v>32</v>
      </c>
      <c r="C432" t="s">
        <v>33</v>
      </c>
      <c r="D432" t="s">
        <v>34</v>
      </c>
      <c r="E432" t="s">
        <v>2092</v>
      </c>
      <c r="F432" s="8">
        <v>5.5</v>
      </c>
      <c r="G432" s="6">
        <v>43000</v>
      </c>
      <c r="H432" s="8">
        <v>25.2</v>
      </c>
      <c r="I432" s="7">
        <v>694.62</v>
      </c>
      <c r="J432" s="8">
        <v>0.5</v>
      </c>
      <c r="K432" s="7">
        <v>19708.333333333299</v>
      </c>
      <c r="L432" s="7">
        <v>20402.953333333298</v>
      </c>
    </row>
    <row r="433" spans="1:12" x14ac:dyDescent="0.25">
      <c r="A433" s="9">
        <v>45778</v>
      </c>
      <c r="B433" t="s">
        <v>94</v>
      </c>
      <c r="C433" t="s">
        <v>95</v>
      </c>
      <c r="D433" t="s">
        <v>34</v>
      </c>
      <c r="E433" t="s">
        <v>2097</v>
      </c>
      <c r="F433" s="8">
        <v>6.9</v>
      </c>
      <c r="G433" s="6">
        <v>28000</v>
      </c>
      <c r="H433" s="8">
        <v>15.2</v>
      </c>
      <c r="I433" s="7">
        <v>272.82</v>
      </c>
      <c r="J433" s="8">
        <v>4.3</v>
      </c>
      <c r="K433" s="7">
        <v>16100</v>
      </c>
      <c r="L433" s="7">
        <v>16372.82</v>
      </c>
    </row>
    <row r="434" spans="1:12" x14ac:dyDescent="0.25">
      <c r="A434" s="9">
        <v>45778</v>
      </c>
      <c r="B434" t="s">
        <v>94</v>
      </c>
      <c r="C434" t="s">
        <v>95</v>
      </c>
      <c r="D434" t="s">
        <v>34</v>
      </c>
      <c r="E434" t="s">
        <v>2096</v>
      </c>
      <c r="F434" s="8">
        <v>8.3000000000000007</v>
      </c>
      <c r="G434" s="6">
        <v>35000</v>
      </c>
      <c r="H434" s="8">
        <v>36.799999999999997</v>
      </c>
      <c r="I434" s="7">
        <v>825.64</v>
      </c>
      <c r="J434" s="8">
        <v>4</v>
      </c>
      <c r="K434" s="7">
        <v>24208.333333333299</v>
      </c>
      <c r="L434" s="7">
        <v>25033.973333333299</v>
      </c>
    </row>
    <row r="435" spans="1:12" x14ac:dyDescent="0.25">
      <c r="A435" s="9">
        <v>45778</v>
      </c>
      <c r="B435" t="s">
        <v>94</v>
      </c>
      <c r="C435" t="s">
        <v>95</v>
      </c>
      <c r="D435" t="s">
        <v>34</v>
      </c>
      <c r="E435" t="s">
        <v>2094</v>
      </c>
      <c r="F435" s="8">
        <v>11.8</v>
      </c>
      <c r="G435" s="6">
        <v>41000</v>
      </c>
      <c r="H435" s="8">
        <v>57.2</v>
      </c>
      <c r="I435" s="7">
        <v>1503.33</v>
      </c>
      <c r="J435" s="8">
        <v>7.5</v>
      </c>
      <c r="K435" s="7">
        <v>40316.666666666701</v>
      </c>
      <c r="L435" s="7">
        <v>41819.996666666702</v>
      </c>
    </row>
    <row r="436" spans="1:12" x14ac:dyDescent="0.25">
      <c r="A436" s="9">
        <v>45778</v>
      </c>
      <c r="B436" t="s">
        <v>94</v>
      </c>
      <c r="C436" t="s">
        <v>95</v>
      </c>
      <c r="D436" t="s">
        <v>34</v>
      </c>
      <c r="E436" t="s">
        <v>2093</v>
      </c>
      <c r="F436" s="8">
        <v>6.9</v>
      </c>
      <c r="G436" s="6">
        <v>29000</v>
      </c>
      <c r="H436" s="8">
        <v>25.3</v>
      </c>
      <c r="I436" s="7">
        <v>470.32</v>
      </c>
      <c r="J436" s="8">
        <v>3.5</v>
      </c>
      <c r="K436" s="7">
        <v>16675</v>
      </c>
      <c r="L436" s="7">
        <v>17145.32</v>
      </c>
    </row>
    <row r="437" spans="1:12" x14ac:dyDescent="0.25">
      <c r="A437" s="9">
        <v>45778</v>
      </c>
      <c r="B437" t="s">
        <v>41</v>
      </c>
      <c r="C437" t="s">
        <v>42</v>
      </c>
      <c r="D437" t="s">
        <v>34</v>
      </c>
      <c r="E437" t="s">
        <v>2092</v>
      </c>
      <c r="F437" s="8">
        <v>7.9</v>
      </c>
      <c r="G437" s="6">
        <v>43000</v>
      </c>
      <c r="H437" s="8">
        <v>33.9</v>
      </c>
      <c r="I437" s="7">
        <v>934.42</v>
      </c>
      <c r="J437" s="8">
        <v>6.3</v>
      </c>
      <c r="K437" s="7">
        <v>28308.333333333299</v>
      </c>
      <c r="L437" s="7">
        <v>29242.753333333301</v>
      </c>
    </row>
    <row r="438" spans="1:12" x14ac:dyDescent="0.25">
      <c r="A438" s="9">
        <v>45778</v>
      </c>
      <c r="B438" t="s">
        <v>41</v>
      </c>
      <c r="C438" t="s">
        <v>42</v>
      </c>
      <c r="D438" t="s">
        <v>34</v>
      </c>
      <c r="E438" t="s">
        <v>2091</v>
      </c>
      <c r="F438" s="8">
        <v>11</v>
      </c>
      <c r="G438" s="6">
        <v>25000</v>
      </c>
      <c r="H438" s="8">
        <v>9.4</v>
      </c>
      <c r="I438" s="7">
        <v>150.63999999999999</v>
      </c>
      <c r="J438" s="8">
        <v>6.2</v>
      </c>
      <c r="K438" s="7">
        <v>22916.666666666701</v>
      </c>
      <c r="L438" s="7">
        <v>23067.3066666667</v>
      </c>
    </row>
    <row r="439" spans="1:12" x14ac:dyDescent="0.25">
      <c r="A439" s="9">
        <v>45778</v>
      </c>
      <c r="B439" t="s">
        <v>41</v>
      </c>
      <c r="C439" t="s">
        <v>42</v>
      </c>
      <c r="D439" t="s">
        <v>34</v>
      </c>
      <c r="E439" t="s">
        <v>2097</v>
      </c>
      <c r="F439" s="8">
        <v>10.199999999999999</v>
      </c>
      <c r="G439" s="6">
        <v>28000</v>
      </c>
      <c r="H439" s="8">
        <v>39</v>
      </c>
      <c r="I439" s="7">
        <v>700</v>
      </c>
      <c r="J439" s="8">
        <v>5.7</v>
      </c>
      <c r="K439" s="7">
        <v>23800</v>
      </c>
      <c r="L439" s="7">
        <v>24500</v>
      </c>
    </row>
    <row r="440" spans="1:12" x14ac:dyDescent="0.25">
      <c r="A440" s="9">
        <v>45778</v>
      </c>
      <c r="B440" t="s">
        <v>41</v>
      </c>
      <c r="C440" t="s">
        <v>42</v>
      </c>
      <c r="D440" t="s">
        <v>34</v>
      </c>
      <c r="E440" t="s">
        <v>2093</v>
      </c>
      <c r="F440" s="8">
        <v>5.9</v>
      </c>
      <c r="G440" s="6">
        <v>29000</v>
      </c>
      <c r="H440" s="8">
        <v>17.8</v>
      </c>
      <c r="I440" s="7">
        <v>330.9</v>
      </c>
      <c r="J440" s="8">
        <v>2.9</v>
      </c>
      <c r="K440" s="7">
        <v>14258.333333333299</v>
      </c>
      <c r="L440" s="7">
        <v>14589.233333333301</v>
      </c>
    </row>
    <row r="441" spans="1:12" x14ac:dyDescent="0.25">
      <c r="A441" s="9">
        <v>45778</v>
      </c>
      <c r="B441" t="s">
        <v>47</v>
      </c>
      <c r="C441" t="s">
        <v>48</v>
      </c>
      <c r="D441" t="s">
        <v>34</v>
      </c>
      <c r="E441" t="s">
        <v>2097</v>
      </c>
      <c r="F441" s="8">
        <v>4.0999999999999996</v>
      </c>
      <c r="G441" s="6">
        <v>28000</v>
      </c>
      <c r="H441" s="8">
        <v>20.8</v>
      </c>
      <c r="I441" s="7">
        <v>373.33</v>
      </c>
      <c r="J441" s="8">
        <v>5.2</v>
      </c>
      <c r="K441" s="7">
        <v>9566.6666666666697</v>
      </c>
      <c r="L441" s="7">
        <v>9939.9966666666696</v>
      </c>
    </row>
    <row r="442" spans="1:12" x14ac:dyDescent="0.25">
      <c r="A442" s="9">
        <v>45778</v>
      </c>
      <c r="B442" t="s">
        <v>47</v>
      </c>
      <c r="C442" t="s">
        <v>48</v>
      </c>
      <c r="D442" t="s">
        <v>34</v>
      </c>
      <c r="E442" t="s">
        <v>2093</v>
      </c>
      <c r="F442" s="8">
        <v>4.7</v>
      </c>
      <c r="G442" s="6">
        <v>29000</v>
      </c>
      <c r="H442" s="8">
        <v>24.5</v>
      </c>
      <c r="I442" s="7">
        <v>455.45</v>
      </c>
      <c r="J442" s="8">
        <v>1.5</v>
      </c>
      <c r="K442" s="7">
        <v>11358.333333333299</v>
      </c>
      <c r="L442" s="7">
        <v>11813.7833333333</v>
      </c>
    </row>
    <row r="443" spans="1:12" x14ac:dyDescent="0.25">
      <c r="A443" s="9">
        <v>45778</v>
      </c>
      <c r="B443" t="s">
        <v>47</v>
      </c>
      <c r="C443" t="s">
        <v>48</v>
      </c>
      <c r="D443" t="s">
        <v>34</v>
      </c>
      <c r="E443" t="s">
        <v>2092</v>
      </c>
      <c r="F443" s="8">
        <v>16.899999999999999</v>
      </c>
      <c r="G443" s="6">
        <v>43000</v>
      </c>
      <c r="H443" s="8">
        <v>56.9</v>
      </c>
      <c r="I443" s="7">
        <v>1568.4</v>
      </c>
      <c r="J443" s="8">
        <v>8</v>
      </c>
      <c r="K443" s="7">
        <v>60558.333333333299</v>
      </c>
      <c r="L443" s="7">
        <v>62126.733333333301</v>
      </c>
    </row>
    <row r="444" spans="1:12" x14ac:dyDescent="0.25">
      <c r="A444" s="9">
        <v>45778</v>
      </c>
      <c r="B444" t="s">
        <v>47</v>
      </c>
      <c r="C444" t="s">
        <v>48</v>
      </c>
      <c r="D444" t="s">
        <v>34</v>
      </c>
      <c r="E444" t="s">
        <v>2091</v>
      </c>
      <c r="F444" s="8">
        <v>6</v>
      </c>
      <c r="G444" s="6">
        <v>25000</v>
      </c>
      <c r="H444" s="8">
        <v>7.8</v>
      </c>
      <c r="I444" s="7">
        <v>125</v>
      </c>
      <c r="J444" s="8">
        <v>2.7</v>
      </c>
      <c r="K444" s="7">
        <v>12500</v>
      </c>
      <c r="L444" s="7">
        <v>12625</v>
      </c>
    </row>
    <row r="445" spans="1:12" x14ac:dyDescent="0.25">
      <c r="A445" s="9">
        <v>45778</v>
      </c>
      <c r="B445" t="s">
        <v>121</v>
      </c>
      <c r="C445" t="s">
        <v>122</v>
      </c>
      <c r="D445" t="s">
        <v>34</v>
      </c>
      <c r="E445" t="s">
        <v>2097</v>
      </c>
      <c r="F445" s="8">
        <v>15.3</v>
      </c>
      <c r="G445" s="6">
        <v>28000</v>
      </c>
      <c r="H445" s="8">
        <v>78</v>
      </c>
      <c r="I445" s="7">
        <v>1400</v>
      </c>
      <c r="J445" s="8">
        <v>6.4</v>
      </c>
      <c r="K445" s="7">
        <v>35700</v>
      </c>
      <c r="L445" s="7">
        <v>37100</v>
      </c>
    </row>
    <row r="446" spans="1:12" x14ac:dyDescent="0.25">
      <c r="A446" s="9">
        <v>45778</v>
      </c>
      <c r="B446" t="s">
        <v>121</v>
      </c>
      <c r="C446" t="s">
        <v>122</v>
      </c>
      <c r="D446" t="s">
        <v>34</v>
      </c>
      <c r="E446" t="s">
        <v>2096</v>
      </c>
      <c r="F446" s="8">
        <v>5.6</v>
      </c>
      <c r="G446" s="6">
        <v>35000</v>
      </c>
      <c r="H446" s="8">
        <v>31.2</v>
      </c>
      <c r="I446" s="7">
        <v>700</v>
      </c>
      <c r="J446" s="8">
        <v>3.3</v>
      </c>
      <c r="K446" s="7">
        <v>16333.333333333299</v>
      </c>
      <c r="L446" s="7">
        <v>17033.333333333299</v>
      </c>
    </row>
    <row r="447" spans="1:12" x14ac:dyDescent="0.25">
      <c r="A447" s="9">
        <v>45778</v>
      </c>
      <c r="B447" t="s">
        <v>121</v>
      </c>
      <c r="C447" t="s">
        <v>122</v>
      </c>
      <c r="D447" t="s">
        <v>34</v>
      </c>
      <c r="E447" t="s">
        <v>2092</v>
      </c>
      <c r="F447" s="8">
        <v>18.8</v>
      </c>
      <c r="G447" s="6">
        <v>43000</v>
      </c>
      <c r="H447" s="8">
        <v>54.5</v>
      </c>
      <c r="I447" s="7">
        <v>1502.24</v>
      </c>
      <c r="J447" s="8">
        <v>9.3000000000000007</v>
      </c>
      <c r="K447" s="7">
        <v>67366.666666666701</v>
      </c>
      <c r="L447" s="7">
        <v>68868.906666666706</v>
      </c>
    </row>
    <row r="448" spans="1:12" x14ac:dyDescent="0.25">
      <c r="A448" s="9">
        <v>45778</v>
      </c>
      <c r="B448" t="s">
        <v>121</v>
      </c>
      <c r="C448" t="s">
        <v>122</v>
      </c>
      <c r="D448" t="s">
        <v>34</v>
      </c>
      <c r="E448" t="s">
        <v>2094</v>
      </c>
      <c r="F448" s="8">
        <v>7.2</v>
      </c>
      <c r="G448" s="6">
        <v>41000</v>
      </c>
      <c r="H448" s="8">
        <v>46.1</v>
      </c>
      <c r="I448" s="7">
        <v>1211.5999999999999</v>
      </c>
      <c r="J448" s="8">
        <v>4.3</v>
      </c>
      <c r="K448" s="7">
        <v>24600</v>
      </c>
      <c r="L448" s="7">
        <v>25811.599999999999</v>
      </c>
    </row>
    <row r="449" spans="1:12" x14ac:dyDescent="0.25">
      <c r="A449" s="9">
        <v>45778</v>
      </c>
      <c r="B449" t="s">
        <v>201</v>
      </c>
      <c r="C449" t="s">
        <v>202</v>
      </c>
      <c r="D449" t="s">
        <v>64</v>
      </c>
      <c r="E449" t="s">
        <v>2094</v>
      </c>
      <c r="F449" s="8">
        <v>11.5</v>
      </c>
      <c r="G449" s="6">
        <v>41000</v>
      </c>
      <c r="H449" s="8">
        <v>46.2</v>
      </c>
      <c r="I449" s="7">
        <v>1214.23</v>
      </c>
      <c r="J449" s="8">
        <v>5.5</v>
      </c>
      <c r="K449" s="7">
        <v>39291.666666666701</v>
      </c>
      <c r="L449" s="7">
        <v>40505.896666666697</v>
      </c>
    </row>
    <row r="450" spans="1:12" x14ac:dyDescent="0.25">
      <c r="A450" s="9">
        <v>45778</v>
      </c>
      <c r="B450" t="s">
        <v>201</v>
      </c>
      <c r="C450" t="s">
        <v>202</v>
      </c>
      <c r="D450" t="s">
        <v>64</v>
      </c>
      <c r="E450" t="s">
        <v>2093</v>
      </c>
      <c r="F450" s="8">
        <v>18.2</v>
      </c>
      <c r="G450" s="6">
        <v>29000</v>
      </c>
      <c r="H450" s="8">
        <v>74.900000000000006</v>
      </c>
      <c r="I450" s="7">
        <v>1392.37</v>
      </c>
      <c r="J450" s="8">
        <v>8.6</v>
      </c>
      <c r="K450" s="7">
        <v>43983.333333333299</v>
      </c>
      <c r="L450" s="7">
        <v>45375.703333333302</v>
      </c>
    </row>
    <row r="451" spans="1:12" x14ac:dyDescent="0.25">
      <c r="A451" s="9">
        <v>45778</v>
      </c>
      <c r="B451" t="s">
        <v>201</v>
      </c>
      <c r="C451" t="s">
        <v>202</v>
      </c>
      <c r="D451" t="s">
        <v>64</v>
      </c>
      <c r="E451" t="s">
        <v>2097</v>
      </c>
      <c r="F451" s="8">
        <v>9.6999999999999993</v>
      </c>
      <c r="G451" s="6">
        <v>28000</v>
      </c>
      <c r="H451" s="8">
        <v>8.1999999999999993</v>
      </c>
      <c r="I451" s="7">
        <v>147.18</v>
      </c>
      <c r="J451" s="8">
        <v>6.9</v>
      </c>
      <c r="K451" s="7">
        <v>22633.333333333299</v>
      </c>
      <c r="L451" s="7">
        <v>22780.5133333333</v>
      </c>
    </row>
    <row r="452" spans="1:12" x14ac:dyDescent="0.25">
      <c r="A452" s="9">
        <v>45778</v>
      </c>
      <c r="B452" t="s">
        <v>201</v>
      </c>
      <c r="C452" t="s">
        <v>202</v>
      </c>
      <c r="D452" t="s">
        <v>64</v>
      </c>
      <c r="E452" t="s">
        <v>2091</v>
      </c>
      <c r="F452" s="8">
        <v>5.8</v>
      </c>
      <c r="G452" s="6">
        <v>25000</v>
      </c>
      <c r="H452" s="8">
        <v>24.6</v>
      </c>
      <c r="I452" s="7">
        <v>394.23</v>
      </c>
      <c r="J452" s="8">
        <v>3.3</v>
      </c>
      <c r="K452" s="7">
        <v>12083.333333333299</v>
      </c>
      <c r="L452" s="7">
        <v>12477.563333333301</v>
      </c>
    </row>
    <row r="453" spans="1:12" x14ac:dyDescent="0.25">
      <c r="A453" s="9">
        <v>45778</v>
      </c>
      <c r="B453" t="s">
        <v>118</v>
      </c>
      <c r="C453" t="s">
        <v>119</v>
      </c>
      <c r="D453" t="s">
        <v>64</v>
      </c>
      <c r="E453" t="s">
        <v>2093</v>
      </c>
      <c r="F453" s="8">
        <v>16.3</v>
      </c>
      <c r="G453" s="6">
        <v>29000</v>
      </c>
      <c r="H453" s="8">
        <v>63.8</v>
      </c>
      <c r="I453" s="7">
        <v>1186.03</v>
      </c>
      <c r="J453" s="8">
        <v>7.4</v>
      </c>
      <c r="K453" s="7">
        <v>39391.666666666701</v>
      </c>
      <c r="L453" s="7">
        <v>40577.696666666699</v>
      </c>
    </row>
    <row r="454" spans="1:12" x14ac:dyDescent="0.25">
      <c r="A454" s="9">
        <v>45778</v>
      </c>
      <c r="B454" t="s">
        <v>118</v>
      </c>
      <c r="C454" t="s">
        <v>119</v>
      </c>
      <c r="D454" t="s">
        <v>64</v>
      </c>
      <c r="E454" t="s">
        <v>2097</v>
      </c>
      <c r="F454" s="8">
        <v>10.9</v>
      </c>
      <c r="G454" s="6">
        <v>28000</v>
      </c>
      <c r="H454" s="8">
        <v>40.6</v>
      </c>
      <c r="I454" s="7">
        <v>728.72</v>
      </c>
      <c r="J454" s="8">
        <v>3.9</v>
      </c>
      <c r="K454" s="7">
        <v>25433.333333333299</v>
      </c>
      <c r="L454" s="7">
        <v>26162.053333333301</v>
      </c>
    </row>
    <row r="455" spans="1:12" x14ac:dyDescent="0.25">
      <c r="A455" s="9">
        <v>45778</v>
      </c>
      <c r="B455" t="s">
        <v>118</v>
      </c>
      <c r="C455" t="s">
        <v>119</v>
      </c>
      <c r="D455" t="s">
        <v>64</v>
      </c>
      <c r="E455" t="s">
        <v>2095</v>
      </c>
      <c r="F455" s="8">
        <v>10.7</v>
      </c>
      <c r="G455" s="6">
        <v>27000</v>
      </c>
      <c r="H455" s="8">
        <v>79.3</v>
      </c>
      <c r="I455" s="7">
        <v>1372.5</v>
      </c>
      <c r="J455" s="8">
        <v>4.0999999999999996</v>
      </c>
      <c r="K455" s="7">
        <v>24075</v>
      </c>
      <c r="L455" s="7">
        <v>25447.5</v>
      </c>
    </row>
    <row r="456" spans="1:12" x14ac:dyDescent="0.25">
      <c r="A456" s="9">
        <v>45778</v>
      </c>
      <c r="B456" t="s">
        <v>118</v>
      </c>
      <c r="C456" t="s">
        <v>119</v>
      </c>
      <c r="D456" t="s">
        <v>64</v>
      </c>
      <c r="E456" t="s">
        <v>2094</v>
      </c>
      <c r="F456" s="8">
        <v>15.1</v>
      </c>
      <c r="G456" s="6">
        <v>41000</v>
      </c>
      <c r="H456" s="8">
        <v>37</v>
      </c>
      <c r="I456" s="7">
        <v>972.44</v>
      </c>
      <c r="J456" s="8">
        <v>7.1</v>
      </c>
      <c r="K456" s="7">
        <v>51591.666666666701</v>
      </c>
      <c r="L456" s="7">
        <v>52564.106666666703</v>
      </c>
    </row>
    <row r="457" spans="1:12" x14ac:dyDescent="0.25">
      <c r="A457" s="9">
        <v>45778</v>
      </c>
      <c r="B457" t="s">
        <v>118</v>
      </c>
      <c r="C457" t="s">
        <v>119</v>
      </c>
      <c r="D457" t="s">
        <v>64</v>
      </c>
      <c r="E457" t="s">
        <v>2096</v>
      </c>
      <c r="F457" s="8">
        <v>15.1</v>
      </c>
      <c r="G457" s="6">
        <v>35000</v>
      </c>
      <c r="H457" s="8">
        <v>89.6</v>
      </c>
      <c r="I457" s="7">
        <v>2010.26</v>
      </c>
      <c r="J457" s="8">
        <v>7.6</v>
      </c>
      <c r="K457" s="7">
        <v>44041.666666666701</v>
      </c>
      <c r="L457" s="7">
        <v>46051.926666666703</v>
      </c>
    </row>
    <row r="458" spans="1:12" x14ac:dyDescent="0.25">
      <c r="A458" s="9">
        <v>45778</v>
      </c>
      <c r="B458" t="s">
        <v>62</v>
      </c>
      <c r="C458" t="s">
        <v>63</v>
      </c>
      <c r="D458" t="s">
        <v>64</v>
      </c>
      <c r="E458" t="s">
        <v>2095</v>
      </c>
      <c r="F458" s="8">
        <v>19.7</v>
      </c>
      <c r="G458" s="6">
        <v>27000</v>
      </c>
      <c r="H458" s="8">
        <v>42.3</v>
      </c>
      <c r="I458" s="7">
        <v>732.12</v>
      </c>
      <c r="J458" s="8">
        <v>11.1</v>
      </c>
      <c r="K458" s="7">
        <v>44325</v>
      </c>
      <c r="L458" s="7">
        <v>45057.120000000003</v>
      </c>
    </row>
    <row r="459" spans="1:12" x14ac:dyDescent="0.25">
      <c r="A459" s="9">
        <v>45778</v>
      </c>
      <c r="B459" t="s">
        <v>62</v>
      </c>
      <c r="C459" t="s">
        <v>63</v>
      </c>
      <c r="D459" t="s">
        <v>64</v>
      </c>
      <c r="E459" t="s">
        <v>2092</v>
      </c>
      <c r="F459" s="8">
        <v>5.3</v>
      </c>
      <c r="G459" s="6">
        <v>43000</v>
      </c>
      <c r="H459" s="8">
        <v>27</v>
      </c>
      <c r="I459" s="7">
        <v>744.23</v>
      </c>
      <c r="J459" s="8">
        <v>3.2</v>
      </c>
      <c r="K459" s="7">
        <v>18991.666666666701</v>
      </c>
      <c r="L459" s="7">
        <v>19735.8966666667</v>
      </c>
    </row>
    <row r="460" spans="1:12" x14ac:dyDescent="0.25">
      <c r="A460" s="9">
        <v>45778</v>
      </c>
      <c r="B460" t="s">
        <v>62</v>
      </c>
      <c r="C460" t="s">
        <v>63</v>
      </c>
      <c r="D460" t="s">
        <v>64</v>
      </c>
      <c r="E460" t="s">
        <v>2091</v>
      </c>
      <c r="F460" s="8">
        <v>7.9</v>
      </c>
      <c r="G460" s="6">
        <v>25000</v>
      </c>
      <c r="H460" s="8">
        <v>40.1</v>
      </c>
      <c r="I460" s="7">
        <v>642.63</v>
      </c>
      <c r="J460" s="8">
        <v>6.3</v>
      </c>
      <c r="K460" s="7">
        <v>16458.333333333299</v>
      </c>
      <c r="L460" s="7">
        <v>17100.9633333333</v>
      </c>
    </row>
    <row r="461" spans="1:12" x14ac:dyDescent="0.25">
      <c r="A461" s="9">
        <v>45778</v>
      </c>
      <c r="B461" t="s">
        <v>62</v>
      </c>
      <c r="C461" t="s">
        <v>63</v>
      </c>
      <c r="D461" t="s">
        <v>64</v>
      </c>
      <c r="E461" t="s">
        <v>2097</v>
      </c>
      <c r="F461" s="8">
        <v>12</v>
      </c>
      <c r="G461" s="6">
        <v>28000</v>
      </c>
      <c r="H461" s="8">
        <v>87.3</v>
      </c>
      <c r="I461" s="7">
        <v>1566.92</v>
      </c>
      <c r="J461" s="8">
        <v>5.3</v>
      </c>
      <c r="K461" s="7">
        <v>28000</v>
      </c>
      <c r="L461" s="7">
        <v>29566.92</v>
      </c>
    </row>
    <row r="462" spans="1:12" x14ac:dyDescent="0.25">
      <c r="A462" s="9">
        <v>45778</v>
      </c>
      <c r="B462" t="s">
        <v>91</v>
      </c>
      <c r="C462" t="s">
        <v>92</v>
      </c>
      <c r="D462" t="s">
        <v>64</v>
      </c>
      <c r="E462" t="s">
        <v>2095</v>
      </c>
      <c r="F462" s="8">
        <v>10.9</v>
      </c>
      <c r="G462" s="6">
        <v>27000</v>
      </c>
      <c r="H462" s="8">
        <v>70.2</v>
      </c>
      <c r="I462" s="7">
        <v>1215</v>
      </c>
      <c r="J462" s="8">
        <v>5.8</v>
      </c>
      <c r="K462" s="7">
        <v>24525</v>
      </c>
      <c r="L462" s="7">
        <v>25740</v>
      </c>
    </row>
    <row r="463" spans="1:12" x14ac:dyDescent="0.25">
      <c r="A463" s="9">
        <v>45778</v>
      </c>
      <c r="B463" t="s">
        <v>91</v>
      </c>
      <c r="C463" t="s">
        <v>92</v>
      </c>
      <c r="D463" t="s">
        <v>64</v>
      </c>
      <c r="E463" t="s">
        <v>2096</v>
      </c>
      <c r="F463" s="8">
        <v>14</v>
      </c>
      <c r="G463" s="6">
        <v>35000</v>
      </c>
      <c r="H463" s="8">
        <v>66.5</v>
      </c>
      <c r="I463" s="7">
        <v>1491.99</v>
      </c>
      <c r="J463" s="8">
        <v>5.3</v>
      </c>
      <c r="K463" s="7">
        <v>40833.333333333299</v>
      </c>
      <c r="L463" s="7">
        <v>42325.323333333297</v>
      </c>
    </row>
    <row r="464" spans="1:12" x14ac:dyDescent="0.25">
      <c r="A464" s="9">
        <v>45778</v>
      </c>
      <c r="B464" t="s">
        <v>91</v>
      </c>
      <c r="C464" t="s">
        <v>92</v>
      </c>
      <c r="D464" t="s">
        <v>64</v>
      </c>
      <c r="E464" t="s">
        <v>2092</v>
      </c>
      <c r="F464" s="8">
        <v>11.8</v>
      </c>
      <c r="G464" s="6">
        <v>43000</v>
      </c>
      <c r="H464" s="8">
        <v>44.2</v>
      </c>
      <c r="I464" s="7">
        <v>1218.33</v>
      </c>
      <c r="J464" s="8">
        <v>5.0999999999999996</v>
      </c>
      <c r="K464" s="7">
        <v>42283.333333333299</v>
      </c>
      <c r="L464" s="7">
        <v>43501.663333333301</v>
      </c>
    </row>
    <row r="465" spans="1:12" x14ac:dyDescent="0.25">
      <c r="A465" s="9">
        <v>45778</v>
      </c>
      <c r="B465" t="s">
        <v>91</v>
      </c>
      <c r="C465" t="s">
        <v>92</v>
      </c>
      <c r="D465" t="s">
        <v>64</v>
      </c>
      <c r="E465" t="s">
        <v>2097</v>
      </c>
      <c r="F465" s="8">
        <v>16.399999999999999</v>
      </c>
      <c r="G465" s="6">
        <v>28000</v>
      </c>
      <c r="H465" s="8">
        <v>86</v>
      </c>
      <c r="I465" s="7">
        <v>1543.59</v>
      </c>
      <c r="J465" s="8">
        <v>9.3000000000000007</v>
      </c>
      <c r="K465" s="7">
        <v>38266.666666666701</v>
      </c>
      <c r="L465" s="7">
        <v>39810.256666666697</v>
      </c>
    </row>
    <row r="466" spans="1:12" x14ac:dyDescent="0.25">
      <c r="A466" s="9">
        <v>45778</v>
      </c>
      <c r="B466" t="s">
        <v>91</v>
      </c>
      <c r="C466" t="s">
        <v>92</v>
      </c>
      <c r="D466" t="s">
        <v>64</v>
      </c>
      <c r="E466" t="s">
        <v>2094</v>
      </c>
      <c r="F466" s="8">
        <v>12.8</v>
      </c>
      <c r="G466" s="6">
        <v>41000</v>
      </c>
      <c r="H466" s="8">
        <v>11.4</v>
      </c>
      <c r="I466" s="7">
        <v>299.62</v>
      </c>
      <c r="J466" s="8">
        <v>6.4</v>
      </c>
      <c r="K466" s="7">
        <v>43733.333333333299</v>
      </c>
      <c r="L466" s="7">
        <v>44032.953333333302</v>
      </c>
    </row>
    <row r="467" spans="1:12" x14ac:dyDescent="0.25">
      <c r="A467" s="9">
        <v>45778</v>
      </c>
      <c r="B467" t="s">
        <v>80</v>
      </c>
      <c r="C467" t="s">
        <v>81</v>
      </c>
      <c r="D467" t="s">
        <v>64</v>
      </c>
      <c r="E467" t="s">
        <v>2096</v>
      </c>
      <c r="F467" s="8">
        <v>5.0999999999999996</v>
      </c>
      <c r="G467" s="6">
        <v>35000</v>
      </c>
      <c r="H467" s="8">
        <v>29</v>
      </c>
      <c r="I467" s="7">
        <v>650.64</v>
      </c>
      <c r="J467" s="8">
        <v>2.4</v>
      </c>
      <c r="K467" s="7">
        <v>14875</v>
      </c>
      <c r="L467" s="7">
        <v>15525.64</v>
      </c>
    </row>
    <row r="468" spans="1:12" x14ac:dyDescent="0.25">
      <c r="A468" s="9">
        <v>45778</v>
      </c>
      <c r="B468" t="s">
        <v>80</v>
      </c>
      <c r="C468" t="s">
        <v>81</v>
      </c>
      <c r="D468" t="s">
        <v>64</v>
      </c>
      <c r="E468" t="s">
        <v>2094</v>
      </c>
      <c r="F468" s="8">
        <v>3.6</v>
      </c>
      <c r="G468" s="6">
        <v>41000</v>
      </c>
      <c r="H468" s="8">
        <v>18.3</v>
      </c>
      <c r="I468" s="7">
        <v>480.96</v>
      </c>
      <c r="J468" s="8">
        <v>2.2000000000000002</v>
      </c>
      <c r="K468" s="7">
        <v>12300</v>
      </c>
      <c r="L468" s="7">
        <v>12780.96</v>
      </c>
    </row>
    <row r="469" spans="1:12" x14ac:dyDescent="0.25">
      <c r="A469" s="9">
        <v>45778</v>
      </c>
      <c r="B469" t="s">
        <v>80</v>
      </c>
      <c r="C469" t="s">
        <v>81</v>
      </c>
      <c r="D469" t="s">
        <v>64</v>
      </c>
      <c r="E469" t="s">
        <v>2092</v>
      </c>
      <c r="F469" s="8">
        <v>4.2</v>
      </c>
      <c r="G469" s="6">
        <v>43000</v>
      </c>
      <c r="H469" s="8">
        <v>19</v>
      </c>
      <c r="I469" s="7">
        <v>523.72</v>
      </c>
      <c r="J469" s="8">
        <v>1.8</v>
      </c>
      <c r="K469" s="7">
        <v>15050</v>
      </c>
      <c r="L469" s="7">
        <v>15573.72</v>
      </c>
    </row>
    <row r="470" spans="1:12" x14ac:dyDescent="0.25">
      <c r="A470" s="9">
        <v>45778</v>
      </c>
      <c r="B470" t="s">
        <v>80</v>
      </c>
      <c r="C470" t="s">
        <v>81</v>
      </c>
      <c r="D470" t="s">
        <v>64</v>
      </c>
      <c r="E470" t="s">
        <v>2097</v>
      </c>
      <c r="F470" s="8">
        <v>19.899999999999999</v>
      </c>
      <c r="G470" s="6">
        <v>28000</v>
      </c>
      <c r="H470" s="8">
        <v>43.3</v>
      </c>
      <c r="I470" s="7">
        <v>777.18</v>
      </c>
      <c r="J470" s="8">
        <v>8.8000000000000007</v>
      </c>
      <c r="K470" s="7">
        <v>46433.333333333299</v>
      </c>
      <c r="L470" s="7">
        <v>47210.5133333333</v>
      </c>
    </row>
    <row r="471" spans="1:12" x14ac:dyDescent="0.25">
      <c r="A471" s="9">
        <v>45778</v>
      </c>
      <c r="B471" t="s">
        <v>80</v>
      </c>
      <c r="C471" t="s">
        <v>81</v>
      </c>
      <c r="D471" t="s">
        <v>64</v>
      </c>
      <c r="E471" t="s">
        <v>2091</v>
      </c>
      <c r="F471" s="8">
        <v>17.3</v>
      </c>
      <c r="G471" s="6">
        <v>25000</v>
      </c>
      <c r="H471" s="8">
        <v>87.6</v>
      </c>
      <c r="I471" s="7">
        <v>1403.85</v>
      </c>
      <c r="J471" s="8">
        <v>8.6999999999999993</v>
      </c>
      <c r="K471" s="7">
        <v>36041.666666666701</v>
      </c>
      <c r="L471" s="7">
        <v>37445.516666666699</v>
      </c>
    </row>
    <row r="472" spans="1:12" x14ac:dyDescent="0.25">
      <c r="A472" s="9">
        <v>45778</v>
      </c>
      <c r="B472" t="s">
        <v>80</v>
      </c>
      <c r="C472" t="s">
        <v>81</v>
      </c>
      <c r="D472" t="s">
        <v>64</v>
      </c>
      <c r="E472" t="s">
        <v>2093</v>
      </c>
      <c r="F472" s="8">
        <v>5</v>
      </c>
      <c r="G472" s="6">
        <v>29000</v>
      </c>
      <c r="H472" s="8">
        <v>19</v>
      </c>
      <c r="I472" s="7">
        <v>353.21</v>
      </c>
      <c r="J472" s="8">
        <v>2.1</v>
      </c>
      <c r="K472" s="7">
        <v>12083.333333333299</v>
      </c>
      <c r="L472" s="7">
        <v>12436.5433333333</v>
      </c>
    </row>
    <row r="473" spans="1:12" x14ac:dyDescent="0.25">
      <c r="A473" s="9">
        <v>45778</v>
      </c>
      <c r="B473" t="s">
        <v>56</v>
      </c>
      <c r="C473" t="s">
        <v>57</v>
      </c>
      <c r="D473" t="s">
        <v>58</v>
      </c>
      <c r="E473" t="s">
        <v>2096</v>
      </c>
      <c r="F473" s="8">
        <v>8.3000000000000007</v>
      </c>
      <c r="G473" s="6">
        <v>35000</v>
      </c>
      <c r="H473" s="8">
        <v>29.4</v>
      </c>
      <c r="I473" s="7">
        <v>659.62</v>
      </c>
      <c r="J473" s="8">
        <v>5.2</v>
      </c>
      <c r="K473" s="7">
        <v>24208.333333333299</v>
      </c>
      <c r="L473" s="7">
        <v>24867.953333333298</v>
      </c>
    </row>
    <row r="474" spans="1:12" x14ac:dyDescent="0.25">
      <c r="A474" s="9">
        <v>45778</v>
      </c>
      <c r="B474" t="s">
        <v>56</v>
      </c>
      <c r="C474" t="s">
        <v>57</v>
      </c>
      <c r="D474" t="s">
        <v>58</v>
      </c>
      <c r="E474" t="s">
        <v>2097</v>
      </c>
      <c r="F474" s="8">
        <v>6.4</v>
      </c>
      <c r="G474" s="6">
        <v>28000</v>
      </c>
      <c r="H474" s="8">
        <v>22.4</v>
      </c>
      <c r="I474" s="7">
        <v>402.05</v>
      </c>
      <c r="J474" s="8">
        <v>1.9</v>
      </c>
      <c r="K474" s="7">
        <v>14933.333333333299</v>
      </c>
      <c r="L474" s="7">
        <v>15335.3833333333</v>
      </c>
    </row>
    <row r="475" spans="1:12" x14ac:dyDescent="0.25">
      <c r="A475" s="9">
        <v>45778</v>
      </c>
      <c r="B475" t="s">
        <v>56</v>
      </c>
      <c r="C475" t="s">
        <v>57</v>
      </c>
      <c r="D475" t="s">
        <v>58</v>
      </c>
      <c r="E475" t="s">
        <v>2094</v>
      </c>
      <c r="F475" s="8">
        <v>3.3</v>
      </c>
      <c r="G475" s="6">
        <v>41000</v>
      </c>
      <c r="H475" s="8">
        <v>16.899999999999999</v>
      </c>
      <c r="I475" s="7">
        <v>444.17</v>
      </c>
      <c r="J475" s="8">
        <v>1.4</v>
      </c>
      <c r="K475" s="7">
        <v>11275</v>
      </c>
      <c r="L475" s="7">
        <v>11719.17</v>
      </c>
    </row>
    <row r="476" spans="1:12" x14ac:dyDescent="0.25">
      <c r="A476" s="9">
        <v>45778</v>
      </c>
      <c r="B476" t="s">
        <v>56</v>
      </c>
      <c r="C476" t="s">
        <v>57</v>
      </c>
      <c r="D476" t="s">
        <v>58</v>
      </c>
      <c r="E476" t="s">
        <v>2092</v>
      </c>
      <c r="F476" s="8">
        <v>10.4</v>
      </c>
      <c r="G476" s="6">
        <v>43000</v>
      </c>
      <c r="H476" s="8">
        <v>42.1</v>
      </c>
      <c r="I476" s="7">
        <v>1160.45</v>
      </c>
      <c r="J476" s="8">
        <v>6.8</v>
      </c>
      <c r="K476" s="7">
        <v>37266.666666666701</v>
      </c>
      <c r="L476" s="7">
        <v>38427.116666666698</v>
      </c>
    </row>
    <row r="477" spans="1:12" x14ac:dyDescent="0.25">
      <c r="A477" s="9">
        <v>45778</v>
      </c>
      <c r="B477" t="s">
        <v>56</v>
      </c>
      <c r="C477" t="s">
        <v>57</v>
      </c>
      <c r="D477" t="s">
        <v>58</v>
      </c>
      <c r="E477" t="s">
        <v>2091</v>
      </c>
      <c r="F477" s="8">
        <v>13.9</v>
      </c>
      <c r="G477" s="6">
        <v>25000</v>
      </c>
      <c r="H477" s="8">
        <v>55.2</v>
      </c>
      <c r="I477" s="7">
        <v>884.62</v>
      </c>
      <c r="J477" s="8">
        <v>7.2</v>
      </c>
      <c r="K477" s="7">
        <v>28958.333333333299</v>
      </c>
      <c r="L477" s="7">
        <v>29842.953333333298</v>
      </c>
    </row>
    <row r="478" spans="1:12" x14ac:dyDescent="0.25">
      <c r="A478" s="9">
        <v>45778</v>
      </c>
      <c r="B478" t="s">
        <v>77</v>
      </c>
      <c r="C478" t="s">
        <v>78</v>
      </c>
      <c r="D478" t="s">
        <v>58</v>
      </c>
      <c r="E478" t="s">
        <v>2096</v>
      </c>
      <c r="F478" s="8">
        <v>9.6999999999999993</v>
      </c>
      <c r="G478" s="6">
        <v>35000</v>
      </c>
      <c r="H478" s="8">
        <v>21.6</v>
      </c>
      <c r="I478" s="7">
        <v>484.62</v>
      </c>
      <c r="J478" s="8">
        <v>4.5999999999999996</v>
      </c>
      <c r="K478" s="7">
        <v>28291.666666666701</v>
      </c>
      <c r="L478" s="7">
        <v>28776.2866666667</v>
      </c>
    </row>
    <row r="479" spans="1:12" x14ac:dyDescent="0.25">
      <c r="A479" s="9">
        <v>45778</v>
      </c>
      <c r="B479" t="s">
        <v>77</v>
      </c>
      <c r="C479" t="s">
        <v>78</v>
      </c>
      <c r="D479" t="s">
        <v>58</v>
      </c>
      <c r="E479" t="s">
        <v>2092</v>
      </c>
      <c r="F479" s="8">
        <v>5.4</v>
      </c>
      <c r="G479" s="6">
        <v>43000</v>
      </c>
      <c r="H479" s="8">
        <v>26.5</v>
      </c>
      <c r="I479" s="7">
        <v>730.45</v>
      </c>
      <c r="J479" s="8">
        <v>1.1000000000000001</v>
      </c>
      <c r="K479" s="7">
        <v>19350</v>
      </c>
      <c r="L479" s="7">
        <v>20080.45</v>
      </c>
    </row>
    <row r="480" spans="1:12" x14ac:dyDescent="0.25">
      <c r="A480" s="9">
        <v>45778</v>
      </c>
      <c r="B480" t="s">
        <v>77</v>
      </c>
      <c r="C480" t="s">
        <v>78</v>
      </c>
      <c r="D480" t="s">
        <v>58</v>
      </c>
      <c r="E480" t="s">
        <v>2093</v>
      </c>
      <c r="F480" s="8">
        <v>18.3</v>
      </c>
      <c r="G480" s="6">
        <v>29000</v>
      </c>
      <c r="H480" s="8">
        <v>78.7</v>
      </c>
      <c r="I480" s="7">
        <v>1463.01</v>
      </c>
      <c r="J480" s="8">
        <v>9.3000000000000007</v>
      </c>
      <c r="K480" s="7">
        <v>44225</v>
      </c>
      <c r="L480" s="7">
        <v>45688.01</v>
      </c>
    </row>
    <row r="481" spans="1:12" x14ac:dyDescent="0.25">
      <c r="A481" s="9">
        <v>45778</v>
      </c>
      <c r="B481" t="s">
        <v>77</v>
      </c>
      <c r="C481" t="s">
        <v>78</v>
      </c>
      <c r="D481" t="s">
        <v>58</v>
      </c>
      <c r="E481" t="s">
        <v>2094</v>
      </c>
      <c r="F481" s="8">
        <v>18.399999999999999</v>
      </c>
      <c r="G481" s="6">
        <v>41000</v>
      </c>
      <c r="H481" s="8">
        <v>74.7</v>
      </c>
      <c r="I481" s="7">
        <v>1963.27</v>
      </c>
      <c r="J481" s="8">
        <v>10.199999999999999</v>
      </c>
      <c r="K481" s="7">
        <v>62866.666666666701</v>
      </c>
      <c r="L481" s="7">
        <v>64829.936666666697</v>
      </c>
    </row>
    <row r="482" spans="1:12" x14ac:dyDescent="0.25">
      <c r="A482" s="9">
        <v>45778</v>
      </c>
      <c r="B482" t="s">
        <v>110</v>
      </c>
      <c r="C482" t="s">
        <v>111</v>
      </c>
      <c r="D482" t="s">
        <v>58</v>
      </c>
      <c r="E482" t="s">
        <v>2096</v>
      </c>
      <c r="F482" s="8">
        <v>18</v>
      </c>
      <c r="G482" s="6">
        <v>35000</v>
      </c>
      <c r="H482" s="8">
        <v>81</v>
      </c>
      <c r="I482" s="7">
        <v>1817.31</v>
      </c>
      <c r="J482" s="8">
        <v>10.5</v>
      </c>
      <c r="K482" s="7">
        <v>52500</v>
      </c>
      <c r="L482" s="7">
        <v>54317.31</v>
      </c>
    </row>
    <row r="483" spans="1:12" x14ac:dyDescent="0.25">
      <c r="A483" s="9">
        <v>45778</v>
      </c>
      <c r="B483" t="s">
        <v>110</v>
      </c>
      <c r="C483" t="s">
        <v>111</v>
      </c>
      <c r="D483" t="s">
        <v>58</v>
      </c>
      <c r="E483" t="s">
        <v>2097</v>
      </c>
      <c r="F483" s="8">
        <v>10.9</v>
      </c>
      <c r="G483" s="6">
        <v>28000</v>
      </c>
      <c r="H483" s="8">
        <v>27.4</v>
      </c>
      <c r="I483" s="7">
        <v>491.79</v>
      </c>
      <c r="J483" s="8">
        <v>5.6</v>
      </c>
      <c r="K483" s="7">
        <v>25433.333333333299</v>
      </c>
      <c r="L483" s="7">
        <v>25925.1233333333</v>
      </c>
    </row>
    <row r="484" spans="1:12" x14ac:dyDescent="0.25">
      <c r="A484" s="9">
        <v>45778</v>
      </c>
      <c r="B484" t="s">
        <v>110</v>
      </c>
      <c r="C484" t="s">
        <v>111</v>
      </c>
      <c r="D484" t="s">
        <v>58</v>
      </c>
      <c r="E484" t="s">
        <v>2095</v>
      </c>
      <c r="F484" s="8">
        <v>10.1</v>
      </c>
      <c r="G484" s="6">
        <v>27000</v>
      </c>
      <c r="H484" s="8">
        <v>41.7</v>
      </c>
      <c r="I484" s="7">
        <v>721.73</v>
      </c>
      <c r="J484" s="8">
        <v>4</v>
      </c>
      <c r="K484" s="7">
        <v>22725</v>
      </c>
      <c r="L484" s="7">
        <v>23446.73</v>
      </c>
    </row>
    <row r="485" spans="1:12" x14ac:dyDescent="0.25">
      <c r="A485" s="9">
        <v>45778</v>
      </c>
      <c r="B485" t="s">
        <v>110</v>
      </c>
      <c r="C485" t="s">
        <v>111</v>
      </c>
      <c r="D485" t="s">
        <v>58</v>
      </c>
      <c r="E485" t="s">
        <v>2092</v>
      </c>
      <c r="F485" s="8">
        <v>3.9</v>
      </c>
      <c r="G485" s="6">
        <v>43000</v>
      </c>
      <c r="H485" s="8">
        <v>21.2</v>
      </c>
      <c r="I485" s="7">
        <v>584.36</v>
      </c>
      <c r="J485" s="8">
        <v>4.3</v>
      </c>
      <c r="K485" s="7">
        <v>13975</v>
      </c>
      <c r="L485" s="7">
        <v>14559.36</v>
      </c>
    </row>
    <row r="486" spans="1:12" x14ac:dyDescent="0.25">
      <c r="A486" s="9">
        <v>45778</v>
      </c>
      <c r="B486" t="s">
        <v>110</v>
      </c>
      <c r="C486" t="s">
        <v>111</v>
      </c>
      <c r="D486" t="s">
        <v>58</v>
      </c>
      <c r="E486" t="s">
        <v>2093</v>
      </c>
      <c r="F486" s="8">
        <v>19.100000000000001</v>
      </c>
      <c r="G486" s="6">
        <v>29000</v>
      </c>
      <c r="H486" s="8">
        <v>75.900000000000006</v>
      </c>
      <c r="I486" s="7">
        <v>1410.96</v>
      </c>
      <c r="J486" s="8">
        <v>10.1</v>
      </c>
      <c r="K486" s="7">
        <v>46158.333333333299</v>
      </c>
      <c r="L486" s="7">
        <v>47569.293333333299</v>
      </c>
    </row>
    <row r="487" spans="1:12" x14ac:dyDescent="0.25">
      <c r="A487" s="9">
        <v>45778</v>
      </c>
      <c r="B487" t="s">
        <v>85</v>
      </c>
      <c r="C487" t="s">
        <v>86</v>
      </c>
      <c r="D487" t="s">
        <v>58</v>
      </c>
      <c r="E487" t="s">
        <v>2091</v>
      </c>
      <c r="F487" s="8">
        <v>18.5</v>
      </c>
      <c r="G487" s="6">
        <v>25000</v>
      </c>
      <c r="H487" s="8">
        <v>76.3</v>
      </c>
      <c r="I487" s="7">
        <v>1222.76</v>
      </c>
      <c r="J487" s="8">
        <v>8.5</v>
      </c>
      <c r="K487" s="7">
        <v>38541.666666666701</v>
      </c>
      <c r="L487" s="7">
        <v>39764.426666666703</v>
      </c>
    </row>
    <row r="488" spans="1:12" x14ac:dyDescent="0.25">
      <c r="A488" s="9">
        <v>45778</v>
      </c>
      <c r="B488" t="s">
        <v>85</v>
      </c>
      <c r="C488" t="s">
        <v>86</v>
      </c>
      <c r="D488" t="s">
        <v>58</v>
      </c>
      <c r="E488" t="s">
        <v>2094</v>
      </c>
      <c r="F488" s="8">
        <v>18.100000000000001</v>
      </c>
      <c r="G488" s="6">
        <v>41000</v>
      </c>
      <c r="H488" s="8">
        <v>23</v>
      </c>
      <c r="I488" s="7">
        <v>604.49</v>
      </c>
      <c r="J488" s="8">
        <v>8.3000000000000007</v>
      </c>
      <c r="K488" s="7">
        <v>61841.666666666701</v>
      </c>
      <c r="L488" s="7">
        <v>62446.156666666699</v>
      </c>
    </row>
    <row r="489" spans="1:12" x14ac:dyDescent="0.25">
      <c r="A489" s="9">
        <v>45778</v>
      </c>
      <c r="B489" t="s">
        <v>85</v>
      </c>
      <c r="C489" t="s">
        <v>86</v>
      </c>
      <c r="D489" t="s">
        <v>58</v>
      </c>
      <c r="E489" t="s">
        <v>2095</v>
      </c>
      <c r="F489" s="8">
        <v>17.8</v>
      </c>
      <c r="G489" s="6">
        <v>27000</v>
      </c>
      <c r="H489" s="8">
        <v>34</v>
      </c>
      <c r="I489" s="7">
        <v>588.46</v>
      </c>
      <c r="J489" s="8">
        <v>10.6</v>
      </c>
      <c r="K489" s="7">
        <v>40050</v>
      </c>
      <c r="L489" s="7">
        <v>40638.46</v>
      </c>
    </row>
    <row r="490" spans="1:12" x14ac:dyDescent="0.25">
      <c r="A490" s="9">
        <v>45778</v>
      </c>
      <c r="B490" t="s">
        <v>85</v>
      </c>
      <c r="C490" t="s">
        <v>86</v>
      </c>
      <c r="D490" t="s">
        <v>58</v>
      </c>
      <c r="E490" t="s">
        <v>2097</v>
      </c>
      <c r="F490" s="8">
        <v>4.3</v>
      </c>
      <c r="G490" s="6">
        <v>28000</v>
      </c>
      <c r="H490" s="8">
        <v>16.5</v>
      </c>
      <c r="I490" s="7">
        <v>296.14999999999998</v>
      </c>
      <c r="J490" s="8">
        <v>1.8</v>
      </c>
      <c r="K490" s="7">
        <v>10033.333333333299</v>
      </c>
      <c r="L490" s="7">
        <v>10329.483333333301</v>
      </c>
    </row>
    <row r="491" spans="1:12" x14ac:dyDescent="0.25">
      <c r="A491" s="9">
        <v>45778</v>
      </c>
      <c r="B491" t="s">
        <v>85</v>
      </c>
      <c r="C491" t="s">
        <v>86</v>
      </c>
      <c r="D491" t="s">
        <v>58</v>
      </c>
      <c r="E491" t="s">
        <v>2093</v>
      </c>
      <c r="F491" s="8">
        <v>8</v>
      </c>
      <c r="G491" s="6">
        <v>29000</v>
      </c>
      <c r="H491" s="8">
        <v>42.7</v>
      </c>
      <c r="I491" s="7">
        <v>793.78</v>
      </c>
      <c r="J491" s="8">
        <v>2.9</v>
      </c>
      <c r="K491" s="7">
        <v>19333.333333333299</v>
      </c>
      <c r="L491" s="7">
        <v>20127.113333333298</v>
      </c>
    </row>
    <row r="492" spans="1:12" x14ac:dyDescent="0.25">
      <c r="A492" s="9">
        <v>45778</v>
      </c>
      <c r="B492" t="s">
        <v>85</v>
      </c>
      <c r="C492" t="s">
        <v>86</v>
      </c>
      <c r="D492" t="s">
        <v>58</v>
      </c>
      <c r="E492" t="s">
        <v>2092</v>
      </c>
      <c r="F492" s="8">
        <v>17</v>
      </c>
      <c r="G492" s="6">
        <v>43000</v>
      </c>
      <c r="H492" s="8">
        <v>48.4</v>
      </c>
      <c r="I492" s="7">
        <v>1334.1</v>
      </c>
      <c r="J492" s="8">
        <v>8.6</v>
      </c>
      <c r="K492" s="7">
        <v>60916.666666666701</v>
      </c>
      <c r="L492" s="7">
        <v>62250.766666666699</v>
      </c>
    </row>
    <row r="493" spans="1:12" x14ac:dyDescent="0.25">
      <c r="A493" s="9">
        <v>45778</v>
      </c>
      <c r="B493" t="s">
        <v>103</v>
      </c>
      <c r="C493" t="s">
        <v>104</v>
      </c>
      <c r="D493" t="s">
        <v>58</v>
      </c>
      <c r="E493" t="s">
        <v>2096</v>
      </c>
      <c r="F493" s="8">
        <v>6.3</v>
      </c>
      <c r="G493" s="6">
        <v>35000</v>
      </c>
      <c r="H493" s="8">
        <v>34.9</v>
      </c>
      <c r="I493" s="7">
        <v>783.01</v>
      </c>
      <c r="J493" s="8">
        <v>3.7</v>
      </c>
      <c r="K493" s="7">
        <v>18375</v>
      </c>
      <c r="L493" s="7">
        <v>19158.009999999998</v>
      </c>
    </row>
    <row r="494" spans="1:12" x14ac:dyDescent="0.25">
      <c r="A494" s="9">
        <v>45778</v>
      </c>
      <c r="B494" t="s">
        <v>103</v>
      </c>
      <c r="C494" t="s">
        <v>104</v>
      </c>
      <c r="D494" t="s">
        <v>58</v>
      </c>
      <c r="E494" t="s">
        <v>2091</v>
      </c>
      <c r="F494" s="8">
        <v>18.7</v>
      </c>
      <c r="G494" s="6">
        <v>25000</v>
      </c>
      <c r="H494" s="8">
        <v>81.8</v>
      </c>
      <c r="I494" s="7">
        <v>1310.9</v>
      </c>
      <c r="J494" s="8">
        <v>9.4</v>
      </c>
      <c r="K494" s="7">
        <v>38958.333333333299</v>
      </c>
      <c r="L494" s="7">
        <v>40269.233333333301</v>
      </c>
    </row>
    <row r="495" spans="1:12" x14ac:dyDescent="0.25">
      <c r="A495" s="9">
        <v>45778</v>
      </c>
      <c r="B495" t="s">
        <v>103</v>
      </c>
      <c r="C495" t="s">
        <v>104</v>
      </c>
      <c r="D495" t="s">
        <v>58</v>
      </c>
      <c r="E495" t="s">
        <v>2097</v>
      </c>
      <c r="F495" s="8">
        <v>5.8</v>
      </c>
      <c r="G495" s="6">
        <v>28000</v>
      </c>
      <c r="H495" s="8">
        <v>26.7</v>
      </c>
      <c r="I495" s="7">
        <v>479.23</v>
      </c>
      <c r="J495" s="8">
        <v>3.1</v>
      </c>
      <c r="K495" s="7">
        <v>13533.333333333299</v>
      </c>
      <c r="L495" s="7">
        <v>14012.563333333301</v>
      </c>
    </row>
    <row r="496" spans="1:12" x14ac:dyDescent="0.25">
      <c r="A496" s="9">
        <v>45778</v>
      </c>
      <c r="B496" t="s">
        <v>103</v>
      </c>
      <c r="C496" t="s">
        <v>104</v>
      </c>
      <c r="D496" t="s">
        <v>58</v>
      </c>
      <c r="E496" t="s">
        <v>2095</v>
      </c>
      <c r="F496" s="8">
        <v>19.899999999999999</v>
      </c>
      <c r="G496" s="6">
        <v>27000</v>
      </c>
      <c r="H496" s="8">
        <v>48.9</v>
      </c>
      <c r="I496" s="7">
        <v>846.35</v>
      </c>
      <c r="J496" s="8">
        <v>10</v>
      </c>
      <c r="K496" s="7">
        <v>44775</v>
      </c>
      <c r="L496" s="7">
        <v>45621.35</v>
      </c>
    </row>
    <row r="497" spans="1:12" x14ac:dyDescent="0.25">
      <c r="A497" s="9">
        <v>45778</v>
      </c>
      <c r="B497" t="s">
        <v>103</v>
      </c>
      <c r="C497" t="s">
        <v>104</v>
      </c>
      <c r="D497" t="s">
        <v>58</v>
      </c>
      <c r="E497" t="s">
        <v>2093</v>
      </c>
      <c r="F497" s="8">
        <v>5.5</v>
      </c>
      <c r="G497" s="6">
        <v>29000</v>
      </c>
      <c r="H497" s="8">
        <v>13.1</v>
      </c>
      <c r="I497" s="7">
        <v>243.53</v>
      </c>
      <c r="J497" s="8">
        <v>2.8</v>
      </c>
      <c r="K497" s="7">
        <v>13291.666666666701</v>
      </c>
      <c r="L497" s="7">
        <v>13535.196666666699</v>
      </c>
    </row>
    <row r="498" spans="1:12" x14ac:dyDescent="0.25">
      <c r="A498" s="9">
        <v>45778</v>
      </c>
      <c r="B498" t="s">
        <v>103</v>
      </c>
      <c r="C498" t="s">
        <v>104</v>
      </c>
      <c r="D498" t="s">
        <v>58</v>
      </c>
      <c r="E498" t="s">
        <v>2094</v>
      </c>
      <c r="F498" s="8">
        <v>15.1</v>
      </c>
      <c r="G498" s="6">
        <v>41000</v>
      </c>
      <c r="H498" s="8">
        <v>49.5</v>
      </c>
      <c r="I498" s="7">
        <v>1300.96</v>
      </c>
      <c r="J498" s="8">
        <v>10.1</v>
      </c>
      <c r="K498" s="7">
        <v>51591.666666666701</v>
      </c>
      <c r="L498" s="7">
        <v>52892.6266666667</v>
      </c>
    </row>
    <row r="499" spans="1:12" x14ac:dyDescent="0.25">
      <c r="A499" s="9">
        <v>45809</v>
      </c>
      <c r="B499" t="s">
        <v>100</v>
      </c>
      <c r="C499" t="s">
        <v>101</v>
      </c>
      <c r="D499" t="s">
        <v>69</v>
      </c>
      <c r="E499" t="s">
        <v>2091</v>
      </c>
      <c r="F499" s="8">
        <v>11.9</v>
      </c>
      <c r="G499" s="6">
        <v>25000</v>
      </c>
      <c r="H499" s="8">
        <v>46.9</v>
      </c>
      <c r="I499" s="7">
        <v>751.6</v>
      </c>
      <c r="J499" s="8">
        <v>4.5</v>
      </c>
      <c r="K499" s="7">
        <v>24791.666666666701</v>
      </c>
      <c r="L499" s="7">
        <v>25543.266666666699</v>
      </c>
    </row>
    <row r="500" spans="1:12" x14ac:dyDescent="0.25">
      <c r="A500" s="9">
        <v>45809</v>
      </c>
      <c r="B500" t="s">
        <v>100</v>
      </c>
      <c r="C500" t="s">
        <v>101</v>
      </c>
      <c r="D500" t="s">
        <v>69</v>
      </c>
      <c r="E500" t="s">
        <v>2097</v>
      </c>
      <c r="F500" s="8">
        <v>3.4</v>
      </c>
      <c r="G500" s="6">
        <v>28000</v>
      </c>
      <c r="H500" s="8">
        <v>12.9</v>
      </c>
      <c r="I500" s="7">
        <v>231.54</v>
      </c>
      <c r="J500" s="8">
        <v>2.2000000000000002</v>
      </c>
      <c r="K500" s="7">
        <v>7933.3333333333303</v>
      </c>
      <c r="L500" s="7">
        <v>8164.8733333333303</v>
      </c>
    </row>
    <row r="501" spans="1:12" x14ac:dyDescent="0.25">
      <c r="A501" s="9">
        <v>45809</v>
      </c>
      <c r="B501" t="s">
        <v>100</v>
      </c>
      <c r="C501" t="s">
        <v>101</v>
      </c>
      <c r="D501" t="s">
        <v>69</v>
      </c>
      <c r="E501" t="s">
        <v>2092</v>
      </c>
      <c r="F501" s="8">
        <v>9.9</v>
      </c>
      <c r="G501" s="6">
        <v>43000</v>
      </c>
      <c r="H501" s="8">
        <v>64.400000000000006</v>
      </c>
      <c r="I501" s="7">
        <v>1775.13</v>
      </c>
      <c r="J501" s="8">
        <v>4.4000000000000004</v>
      </c>
      <c r="K501" s="7">
        <v>35475</v>
      </c>
      <c r="L501" s="7">
        <v>37250.129999999997</v>
      </c>
    </row>
    <row r="502" spans="1:12" x14ac:dyDescent="0.25">
      <c r="A502" s="9">
        <v>45809</v>
      </c>
      <c r="B502" t="s">
        <v>100</v>
      </c>
      <c r="C502" t="s">
        <v>101</v>
      </c>
      <c r="D502" t="s">
        <v>69</v>
      </c>
      <c r="E502" t="s">
        <v>2093</v>
      </c>
      <c r="F502" s="8">
        <v>16.600000000000001</v>
      </c>
      <c r="G502" s="6">
        <v>29000</v>
      </c>
      <c r="H502" s="8">
        <v>27</v>
      </c>
      <c r="I502" s="7">
        <v>501.92</v>
      </c>
      <c r="J502" s="8">
        <v>9.1</v>
      </c>
      <c r="K502" s="7">
        <v>40116.666666666701</v>
      </c>
      <c r="L502" s="7">
        <v>40618.586666666699</v>
      </c>
    </row>
    <row r="503" spans="1:12" x14ac:dyDescent="0.25">
      <c r="A503" s="9">
        <v>45809</v>
      </c>
      <c r="B503" t="s">
        <v>100</v>
      </c>
      <c r="C503" t="s">
        <v>101</v>
      </c>
      <c r="D503" t="s">
        <v>69</v>
      </c>
      <c r="E503" t="s">
        <v>2094</v>
      </c>
      <c r="F503" s="8">
        <v>10.8</v>
      </c>
      <c r="G503" s="6">
        <v>41000</v>
      </c>
      <c r="H503" s="8">
        <v>20.8</v>
      </c>
      <c r="I503" s="7">
        <v>546.66999999999996</v>
      </c>
      <c r="J503" s="8">
        <v>5</v>
      </c>
      <c r="K503" s="7">
        <v>36900</v>
      </c>
      <c r="L503" s="7">
        <v>37446.67</v>
      </c>
    </row>
    <row r="504" spans="1:12" x14ac:dyDescent="0.25">
      <c r="A504" s="9">
        <v>45809</v>
      </c>
      <c r="B504" t="s">
        <v>113</v>
      </c>
      <c r="C504" t="s">
        <v>114</v>
      </c>
      <c r="D504" t="s">
        <v>69</v>
      </c>
      <c r="E504" t="s">
        <v>2094</v>
      </c>
      <c r="F504" s="8">
        <v>18</v>
      </c>
      <c r="G504" s="6">
        <v>41000</v>
      </c>
      <c r="H504" s="8">
        <v>65</v>
      </c>
      <c r="I504" s="7">
        <v>1708.33</v>
      </c>
      <c r="J504" s="8">
        <v>8.9</v>
      </c>
      <c r="K504" s="7">
        <v>61500</v>
      </c>
      <c r="L504" s="7">
        <v>63208.33</v>
      </c>
    </row>
    <row r="505" spans="1:12" x14ac:dyDescent="0.25">
      <c r="A505" s="9">
        <v>45809</v>
      </c>
      <c r="B505" t="s">
        <v>113</v>
      </c>
      <c r="C505" t="s">
        <v>114</v>
      </c>
      <c r="D505" t="s">
        <v>69</v>
      </c>
      <c r="E505" t="s">
        <v>2097</v>
      </c>
      <c r="F505" s="8">
        <v>15.9</v>
      </c>
      <c r="G505" s="6">
        <v>28000</v>
      </c>
      <c r="H505" s="8">
        <v>80</v>
      </c>
      <c r="I505" s="7">
        <v>1435.9</v>
      </c>
      <c r="J505" s="8">
        <v>7.3</v>
      </c>
      <c r="K505" s="7">
        <v>37100</v>
      </c>
      <c r="L505" s="7">
        <v>38535.9</v>
      </c>
    </row>
    <row r="506" spans="1:12" x14ac:dyDescent="0.25">
      <c r="A506" s="9">
        <v>45809</v>
      </c>
      <c r="B506" t="s">
        <v>113</v>
      </c>
      <c r="C506" t="s">
        <v>114</v>
      </c>
      <c r="D506" t="s">
        <v>69</v>
      </c>
      <c r="E506" t="s">
        <v>2095</v>
      </c>
      <c r="F506" s="8">
        <v>10.4</v>
      </c>
      <c r="G506" s="6">
        <v>27000</v>
      </c>
      <c r="H506" s="8">
        <v>37.299999999999997</v>
      </c>
      <c r="I506" s="7">
        <v>645.58000000000004</v>
      </c>
      <c r="J506" s="8">
        <v>5.2</v>
      </c>
      <c r="K506" s="7">
        <v>23400</v>
      </c>
      <c r="L506" s="7">
        <v>24045.58</v>
      </c>
    </row>
    <row r="507" spans="1:12" x14ac:dyDescent="0.25">
      <c r="A507" s="9">
        <v>45809</v>
      </c>
      <c r="B507" t="s">
        <v>113</v>
      </c>
      <c r="C507" t="s">
        <v>114</v>
      </c>
      <c r="D507" t="s">
        <v>69</v>
      </c>
      <c r="E507" t="s">
        <v>2091</v>
      </c>
      <c r="F507" s="8">
        <v>11.7</v>
      </c>
      <c r="G507" s="6">
        <v>25000</v>
      </c>
      <c r="H507" s="8">
        <v>49.4</v>
      </c>
      <c r="I507" s="7">
        <v>791.67</v>
      </c>
      <c r="J507" s="8">
        <v>5.9</v>
      </c>
      <c r="K507" s="7">
        <v>24375</v>
      </c>
      <c r="L507" s="7">
        <v>25166.67</v>
      </c>
    </row>
    <row r="508" spans="1:12" x14ac:dyDescent="0.25">
      <c r="A508" s="9">
        <v>45809</v>
      </c>
      <c r="B508" t="s">
        <v>113</v>
      </c>
      <c r="C508" t="s">
        <v>114</v>
      </c>
      <c r="D508" t="s">
        <v>69</v>
      </c>
      <c r="E508" t="s">
        <v>2092</v>
      </c>
      <c r="F508" s="8">
        <v>14.3</v>
      </c>
      <c r="G508" s="6">
        <v>43000</v>
      </c>
      <c r="H508" s="8">
        <v>66.599999999999994</v>
      </c>
      <c r="I508" s="7">
        <v>1835.77</v>
      </c>
      <c r="J508" s="8">
        <v>8</v>
      </c>
      <c r="K508" s="7">
        <v>51241.666666666701</v>
      </c>
      <c r="L508" s="7">
        <v>53077.436666666697</v>
      </c>
    </row>
    <row r="509" spans="1:12" x14ac:dyDescent="0.25">
      <c r="A509" s="9">
        <v>45809</v>
      </c>
      <c r="B509" t="s">
        <v>113</v>
      </c>
      <c r="C509" t="s">
        <v>114</v>
      </c>
      <c r="D509" t="s">
        <v>69</v>
      </c>
      <c r="E509" t="s">
        <v>2096</v>
      </c>
      <c r="F509" s="8">
        <v>12.3</v>
      </c>
      <c r="G509" s="6">
        <v>35000</v>
      </c>
      <c r="H509" s="8">
        <v>56.4</v>
      </c>
      <c r="I509" s="7">
        <v>1265.3800000000001</v>
      </c>
      <c r="J509" s="8">
        <v>6.6</v>
      </c>
      <c r="K509" s="7">
        <v>35875</v>
      </c>
      <c r="L509" s="7">
        <v>37140.379999999997</v>
      </c>
    </row>
    <row r="510" spans="1:12" x14ac:dyDescent="0.25">
      <c r="A510" s="9">
        <v>45809</v>
      </c>
      <c r="B510" t="s">
        <v>143</v>
      </c>
      <c r="C510" t="s">
        <v>144</v>
      </c>
      <c r="D510" t="s">
        <v>69</v>
      </c>
      <c r="E510" t="s">
        <v>2092</v>
      </c>
      <c r="F510" s="8">
        <v>14.2</v>
      </c>
      <c r="G510" s="6">
        <v>43000</v>
      </c>
      <c r="H510" s="8">
        <v>23.1</v>
      </c>
      <c r="I510" s="7">
        <v>636.73</v>
      </c>
      <c r="J510" s="8">
        <v>7.2</v>
      </c>
      <c r="K510" s="7">
        <v>50883.333333333299</v>
      </c>
      <c r="L510" s="7">
        <v>51520.063333333303</v>
      </c>
    </row>
    <row r="511" spans="1:12" x14ac:dyDescent="0.25">
      <c r="A511" s="9">
        <v>45809</v>
      </c>
      <c r="B511" t="s">
        <v>143</v>
      </c>
      <c r="C511" t="s">
        <v>144</v>
      </c>
      <c r="D511" t="s">
        <v>69</v>
      </c>
      <c r="E511" t="s">
        <v>2097</v>
      </c>
      <c r="F511" s="8">
        <v>10.5</v>
      </c>
      <c r="G511" s="6">
        <v>28000</v>
      </c>
      <c r="H511" s="8">
        <v>49.6</v>
      </c>
      <c r="I511" s="7">
        <v>890.26</v>
      </c>
      <c r="J511" s="8">
        <v>6</v>
      </c>
      <c r="K511" s="7">
        <v>24500</v>
      </c>
      <c r="L511" s="7">
        <v>25390.26</v>
      </c>
    </row>
    <row r="512" spans="1:12" x14ac:dyDescent="0.25">
      <c r="A512" s="9">
        <v>45809</v>
      </c>
      <c r="B512" t="s">
        <v>143</v>
      </c>
      <c r="C512" t="s">
        <v>144</v>
      </c>
      <c r="D512" t="s">
        <v>69</v>
      </c>
      <c r="E512" t="s">
        <v>2091</v>
      </c>
      <c r="F512" s="8">
        <v>15.3</v>
      </c>
      <c r="G512" s="6">
        <v>25000</v>
      </c>
      <c r="H512" s="8">
        <v>45.3</v>
      </c>
      <c r="I512" s="7">
        <v>725.96</v>
      </c>
      <c r="J512" s="8">
        <v>7</v>
      </c>
      <c r="K512" s="7">
        <v>31875</v>
      </c>
      <c r="L512" s="7">
        <v>32600.959999999999</v>
      </c>
    </row>
    <row r="513" spans="1:12" x14ac:dyDescent="0.25">
      <c r="A513" s="9">
        <v>45809</v>
      </c>
      <c r="B513" t="s">
        <v>143</v>
      </c>
      <c r="C513" t="s">
        <v>144</v>
      </c>
      <c r="D513" t="s">
        <v>69</v>
      </c>
      <c r="E513" t="s">
        <v>2093</v>
      </c>
      <c r="F513" s="8">
        <v>7.5</v>
      </c>
      <c r="G513" s="6">
        <v>29000</v>
      </c>
      <c r="H513" s="8">
        <v>23.5</v>
      </c>
      <c r="I513" s="7">
        <v>436.86</v>
      </c>
      <c r="J513" s="8">
        <v>4.3</v>
      </c>
      <c r="K513" s="7">
        <v>18125</v>
      </c>
      <c r="L513" s="7">
        <v>18561.86</v>
      </c>
    </row>
    <row r="514" spans="1:12" x14ac:dyDescent="0.25">
      <c r="A514" s="9">
        <v>45809</v>
      </c>
      <c r="B514" t="s">
        <v>143</v>
      </c>
      <c r="C514" t="s">
        <v>144</v>
      </c>
      <c r="D514" t="s">
        <v>69</v>
      </c>
      <c r="E514" t="s">
        <v>2096</v>
      </c>
      <c r="F514" s="8">
        <v>5.4</v>
      </c>
      <c r="G514" s="6">
        <v>35000</v>
      </c>
      <c r="H514" s="8">
        <v>30</v>
      </c>
      <c r="I514" s="7">
        <v>673.08</v>
      </c>
      <c r="J514" s="8">
        <v>2.2999999999999998</v>
      </c>
      <c r="K514" s="7">
        <v>15750</v>
      </c>
      <c r="L514" s="7">
        <v>16423.080000000002</v>
      </c>
    </row>
    <row r="515" spans="1:12" x14ac:dyDescent="0.25">
      <c r="A515" s="9">
        <v>45809</v>
      </c>
      <c r="B515" t="s">
        <v>143</v>
      </c>
      <c r="C515" t="s">
        <v>144</v>
      </c>
      <c r="D515" t="s">
        <v>69</v>
      </c>
      <c r="E515" t="s">
        <v>2094</v>
      </c>
      <c r="F515" s="8">
        <v>18.600000000000001</v>
      </c>
      <c r="G515" s="6">
        <v>41000</v>
      </c>
      <c r="H515" s="8">
        <v>99.7</v>
      </c>
      <c r="I515" s="7">
        <v>2620.3200000000002</v>
      </c>
      <c r="J515" s="8">
        <v>9.4</v>
      </c>
      <c r="K515" s="7">
        <v>63550</v>
      </c>
      <c r="L515" s="7">
        <v>66170.320000000007</v>
      </c>
    </row>
    <row r="516" spans="1:12" x14ac:dyDescent="0.25">
      <c r="A516" s="9">
        <v>45809</v>
      </c>
      <c r="B516" t="s">
        <v>73</v>
      </c>
      <c r="C516" t="s">
        <v>74</v>
      </c>
      <c r="D516" t="s">
        <v>69</v>
      </c>
      <c r="E516" t="s">
        <v>2092</v>
      </c>
      <c r="F516" s="8">
        <v>6.7</v>
      </c>
      <c r="G516" s="6">
        <v>43000</v>
      </c>
      <c r="H516" s="8">
        <v>25.6</v>
      </c>
      <c r="I516" s="7">
        <v>705.64</v>
      </c>
      <c r="J516" s="8">
        <v>3.1</v>
      </c>
      <c r="K516" s="7">
        <v>24008.333333333299</v>
      </c>
      <c r="L516" s="7">
        <v>24713.973333333299</v>
      </c>
    </row>
    <row r="517" spans="1:12" x14ac:dyDescent="0.25">
      <c r="A517" s="9">
        <v>45809</v>
      </c>
      <c r="B517" t="s">
        <v>73</v>
      </c>
      <c r="C517" t="s">
        <v>74</v>
      </c>
      <c r="D517" t="s">
        <v>69</v>
      </c>
      <c r="E517" t="s">
        <v>2096</v>
      </c>
      <c r="F517" s="8">
        <v>3.7</v>
      </c>
      <c r="G517" s="6">
        <v>35000</v>
      </c>
      <c r="H517" s="8">
        <v>18.899999999999999</v>
      </c>
      <c r="I517" s="7">
        <v>424.04</v>
      </c>
      <c r="J517" s="8">
        <v>2.2000000000000002</v>
      </c>
      <c r="K517" s="7">
        <v>10791.666666666701</v>
      </c>
      <c r="L517" s="7">
        <v>11215.7066666667</v>
      </c>
    </row>
    <row r="518" spans="1:12" x14ac:dyDescent="0.25">
      <c r="A518" s="9">
        <v>45809</v>
      </c>
      <c r="B518" t="s">
        <v>73</v>
      </c>
      <c r="C518" t="s">
        <v>74</v>
      </c>
      <c r="D518" t="s">
        <v>69</v>
      </c>
      <c r="E518" t="s">
        <v>2094</v>
      </c>
      <c r="F518" s="8">
        <v>3.2</v>
      </c>
      <c r="G518" s="6">
        <v>41000</v>
      </c>
      <c r="H518" s="8">
        <v>23.7</v>
      </c>
      <c r="I518" s="7">
        <v>622.88</v>
      </c>
      <c r="J518" s="8">
        <v>0.7</v>
      </c>
      <c r="K518" s="7">
        <v>10933.333333333299</v>
      </c>
      <c r="L518" s="7">
        <v>11556.2133333333</v>
      </c>
    </row>
    <row r="519" spans="1:12" x14ac:dyDescent="0.25">
      <c r="A519" s="9">
        <v>45809</v>
      </c>
      <c r="B519" t="s">
        <v>73</v>
      </c>
      <c r="C519" t="s">
        <v>74</v>
      </c>
      <c r="D519" t="s">
        <v>69</v>
      </c>
      <c r="E519" t="s">
        <v>2095</v>
      </c>
      <c r="F519" s="8">
        <v>5.3</v>
      </c>
      <c r="G519" s="6">
        <v>27000</v>
      </c>
      <c r="H519" s="8">
        <v>25.3</v>
      </c>
      <c r="I519" s="7">
        <v>437.88</v>
      </c>
      <c r="J519" s="8">
        <v>2.1</v>
      </c>
      <c r="K519" s="7">
        <v>11925</v>
      </c>
      <c r="L519" s="7">
        <v>12362.88</v>
      </c>
    </row>
    <row r="520" spans="1:12" x14ac:dyDescent="0.25">
      <c r="A520" s="9">
        <v>45809</v>
      </c>
      <c r="B520" t="s">
        <v>67</v>
      </c>
      <c r="C520" t="s">
        <v>68</v>
      </c>
      <c r="D520" t="s">
        <v>69</v>
      </c>
      <c r="E520" t="s">
        <v>2092</v>
      </c>
      <c r="F520" s="8">
        <v>12.3</v>
      </c>
      <c r="G520" s="6">
        <v>43000</v>
      </c>
      <c r="H520" s="8">
        <v>33.200000000000003</v>
      </c>
      <c r="I520" s="7">
        <v>915.13</v>
      </c>
      <c r="J520" s="8">
        <v>6.1</v>
      </c>
      <c r="K520" s="7">
        <v>44075</v>
      </c>
      <c r="L520" s="7">
        <v>44990.13</v>
      </c>
    </row>
    <row r="521" spans="1:12" x14ac:dyDescent="0.25">
      <c r="A521" s="9">
        <v>45809</v>
      </c>
      <c r="B521" t="s">
        <v>67</v>
      </c>
      <c r="C521" t="s">
        <v>68</v>
      </c>
      <c r="D521" t="s">
        <v>69</v>
      </c>
      <c r="E521" t="s">
        <v>2093</v>
      </c>
      <c r="F521" s="8">
        <v>7.3</v>
      </c>
      <c r="G521" s="6">
        <v>29000</v>
      </c>
      <c r="H521" s="8">
        <v>30.7</v>
      </c>
      <c r="I521" s="7">
        <v>570.71</v>
      </c>
      <c r="J521" s="8">
        <v>6.6</v>
      </c>
      <c r="K521" s="7">
        <v>17641.666666666701</v>
      </c>
      <c r="L521" s="7">
        <v>18212.3766666667</v>
      </c>
    </row>
    <row r="522" spans="1:12" x14ac:dyDescent="0.25">
      <c r="A522" s="9">
        <v>45809</v>
      </c>
      <c r="B522" t="s">
        <v>67</v>
      </c>
      <c r="C522" t="s">
        <v>68</v>
      </c>
      <c r="D522" t="s">
        <v>69</v>
      </c>
      <c r="E522" t="s">
        <v>2096</v>
      </c>
      <c r="F522" s="8">
        <v>18.600000000000001</v>
      </c>
      <c r="G522" s="6">
        <v>35000</v>
      </c>
      <c r="H522" s="8">
        <v>69.3</v>
      </c>
      <c r="I522" s="7">
        <v>1554.81</v>
      </c>
      <c r="J522" s="8">
        <v>8.1999999999999993</v>
      </c>
      <c r="K522" s="7">
        <v>54250</v>
      </c>
      <c r="L522" s="7">
        <v>55804.81</v>
      </c>
    </row>
    <row r="523" spans="1:12" x14ac:dyDescent="0.25">
      <c r="A523" s="9">
        <v>45809</v>
      </c>
      <c r="B523" t="s">
        <v>67</v>
      </c>
      <c r="C523" t="s">
        <v>68</v>
      </c>
      <c r="D523" t="s">
        <v>69</v>
      </c>
      <c r="E523" t="s">
        <v>2095</v>
      </c>
      <c r="F523" s="8">
        <v>3</v>
      </c>
      <c r="G523" s="6">
        <v>27000</v>
      </c>
      <c r="H523" s="8">
        <v>13.2</v>
      </c>
      <c r="I523" s="7">
        <v>228.46</v>
      </c>
      <c r="J523" s="8">
        <v>0</v>
      </c>
      <c r="K523" s="7">
        <v>6750</v>
      </c>
      <c r="L523" s="7">
        <v>6978.46</v>
      </c>
    </row>
    <row r="524" spans="1:12" x14ac:dyDescent="0.25">
      <c r="A524" s="9">
        <v>45809</v>
      </c>
      <c r="B524" t="s">
        <v>67</v>
      </c>
      <c r="C524" t="s">
        <v>68</v>
      </c>
      <c r="D524" t="s">
        <v>69</v>
      </c>
      <c r="E524" t="s">
        <v>2097</v>
      </c>
      <c r="F524" s="8">
        <v>4.0999999999999996</v>
      </c>
      <c r="G524" s="6">
        <v>28000</v>
      </c>
      <c r="H524" s="8">
        <v>15.8</v>
      </c>
      <c r="I524" s="7">
        <v>283.58999999999997</v>
      </c>
      <c r="J524" s="8">
        <v>2.1</v>
      </c>
      <c r="K524" s="7">
        <v>9566.6666666666697</v>
      </c>
      <c r="L524" s="7">
        <v>9850.2566666666698</v>
      </c>
    </row>
    <row r="525" spans="1:12" x14ac:dyDescent="0.25">
      <c r="A525" s="9">
        <v>45809</v>
      </c>
      <c r="B525" t="s">
        <v>32</v>
      </c>
      <c r="C525" t="s">
        <v>33</v>
      </c>
      <c r="D525" t="s">
        <v>34</v>
      </c>
      <c r="E525" t="s">
        <v>2094</v>
      </c>
      <c r="F525" s="8">
        <v>6.7</v>
      </c>
      <c r="G525" s="6">
        <v>41000</v>
      </c>
      <c r="H525" s="8">
        <v>34.799999999999997</v>
      </c>
      <c r="I525" s="7">
        <v>914.62</v>
      </c>
      <c r="J525" s="8">
        <v>4.3</v>
      </c>
      <c r="K525" s="7">
        <v>22891.666666666701</v>
      </c>
      <c r="L525" s="7">
        <v>23806.2866666667</v>
      </c>
    </row>
    <row r="526" spans="1:12" x14ac:dyDescent="0.25">
      <c r="A526" s="9">
        <v>45809</v>
      </c>
      <c r="B526" t="s">
        <v>32</v>
      </c>
      <c r="C526" t="s">
        <v>33</v>
      </c>
      <c r="D526" t="s">
        <v>34</v>
      </c>
      <c r="E526" t="s">
        <v>2095</v>
      </c>
      <c r="F526" s="8">
        <v>18.600000000000001</v>
      </c>
      <c r="G526" s="6">
        <v>27000</v>
      </c>
      <c r="H526" s="8">
        <v>60.4</v>
      </c>
      <c r="I526" s="7">
        <v>1045.3800000000001</v>
      </c>
      <c r="J526" s="8">
        <v>9.1</v>
      </c>
      <c r="K526" s="7">
        <v>41850</v>
      </c>
      <c r="L526" s="7">
        <v>42895.38</v>
      </c>
    </row>
    <row r="527" spans="1:12" x14ac:dyDescent="0.25">
      <c r="A527" s="9">
        <v>45809</v>
      </c>
      <c r="B527" t="s">
        <v>32</v>
      </c>
      <c r="C527" t="s">
        <v>33</v>
      </c>
      <c r="D527" t="s">
        <v>34</v>
      </c>
      <c r="E527" t="s">
        <v>2096</v>
      </c>
      <c r="F527" s="8">
        <v>5.8</v>
      </c>
      <c r="G527" s="6">
        <v>35000</v>
      </c>
      <c r="H527" s="8">
        <v>16.5</v>
      </c>
      <c r="I527" s="7">
        <v>370.19</v>
      </c>
      <c r="J527" s="8">
        <v>1.8</v>
      </c>
      <c r="K527" s="7">
        <v>16916.666666666701</v>
      </c>
      <c r="L527" s="7">
        <v>17286.856666666699</v>
      </c>
    </row>
    <row r="528" spans="1:12" x14ac:dyDescent="0.25">
      <c r="A528" s="9">
        <v>45809</v>
      </c>
      <c r="B528" t="s">
        <v>32</v>
      </c>
      <c r="C528" t="s">
        <v>33</v>
      </c>
      <c r="D528" t="s">
        <v>34</v>
      </c>
      <c r="E528" t="s">
        <v>2091</v>
      </c>
      <c r="F528" s="8">
        <v>14.4</v>
      </c>
      <c r="G528" s="6">
        <v>25000</v>
      </c>
      <c r="H528" s="8">
        <v>64.3</v>
      </c>
      <c r="I528" s="7">
        <v>1030.45</v>
      </c>
      <c r="J528" s="8">
        <v>5.9</v>
      </c>
      <c r="K528" s="7">
        <v>30000</v>
      </c>
      <c r="L528" s="7">
        <v>31030.45</v>
      </c>
    </row>
    <row r="529" spans="1:12" x14ac:dyDescent="0.25">
      <c r="A529" s="9">
        <v>45809</v>
      </c>
      <c r="B529" t="s">
        <v>94</v>
      </c>
      <c r="C529" t="s">
        <v>95</v>
      </c>
      <c r="D529" t="s">
        <v>34</v>
      </c>
      <c r="E529" t="s">
        <v>2091</v>
      </c>
      <c r="F529" s="8">
        <v>13.5</v>
      </c>
      <c r="G529" s="6">
        <v>25000</v>
      </c>
      <c r="H529" s="8">
        <v>45.6</v>
      </c>
      <c r="I529" s="7">
        <v>730.77</v>
      </c>
      <c r="J529" s="8">
        <v>5.8</v>
      </c>
      <c r="K529" s="7">
        <v>28125</v>
      </c>
      <c r="L529" s="7">
        <v>28855.77</v>
      </c>
    </row>
    <row r="530" spans="1:12" x14ac:dyDescent="0.25">
      <c r="A530" s="9">
        <v>45809</v>
      </c>
      <c r="B530" t="s">
        <v>94</v>
      </c>
      <c r="C530" t="s">
        <v>95</v>
      </c>
      <c r="D530" t="s">
        <v>34</v>
      </c>
      <c r="E530" t="s">
        <v>2095</v>
      </c>
      <c r="F530" s="8">
        <v>19.7</v>
      </c>
      <c r="G530" s="6">
        <v>27000</v>
      </c>
      <c r="H530" s="8">
        <v>95</v>
      </c>
      <c r="I530" s="7">
        <v>1644.23</v>
      </c>
      <c r="J530" s="8">
        <v>11.7</v>
      </c>
      <c r="K530" s="7">
        <v>44325</v>
      </c>
      <c r="L530" s="7">
        <v>45969.23</v>
      </c>
    </row>
    <row r="531" spans="1:12" x14ac:dyDescent="0.25">
      <c r="A531" s="9">
        <v>45809</v>
      </c>
      <c r="B531" t="s">
        <v>94</v>
      </c>
      <c r="C531" t="s">
        <v>95</v>
      </c>
      <c r="D531" t="s">
        <v>34</v>
      </c>
      <c r="E531" t="s">
        <v>2096</v>
      </c>
      <c r="F531" s="8">
        <v>17.5</v>
      </c>
      <c r="G531" s="6">
        <v>35000</v>
      </c>
      <c r="H531" s="8">
        <v>35.799999999999997</v>
      </c>
      <c r="I531" s="7">
        <v>803.21</v>
      </c>
      <c r="J531" s="8">
        <v>6.9</v>
      </c>
      <c r="K531" s="7">
        <v>51041.666666666701</v>
      </c>
      <c r="L531" s="7">
        <v>51844.8766666667</v>
      </c>
    </row>
    <row r="532" spans="1:12" x14ac:dyDescent="0.25">
      <c r="A532" s="9">
        <v>45809</v>
      </c>
      <c r="B532" t="s">
        <v>94</v>
      </c>
      <c r="C532" t="s">
        <v>95</v>
      </c>
      <c r="D532" t="s">
        <v>34</v>
      </c>
      <c r="E532" t="s">
        <v>2094</v>
      </c>
      <c r="F532" s="8">
        <v>19.2</v>
      </c>
      <c r="G532" s="6">
        <v>41000</v>
      </c>
      <c r="H532" s="8">
        <v>73.2</v>
      </c>
      <c r="I532" s="7">
        <v>1923.85</v>
      </c>
      <c r="J532" s="8">
        <v>9.6</v>
      </c>
      <c r="K532" s="7">
        <v>65600</v>
      </c>
      <c r="L532" s="7">
        <v>67523.850000000006</v>
      </c>
    </row>
    <row r="533" spans="1:12" x14ac:dyDescent="0.25">
      <c r="A533" s="9">
        <v>45809</v>
      </c>
      <c r="B533" t="s">
        <v>41</v>
      </c>
      <c r="C533" t="s">
        <v>42</v>
      </c>
      <c r="D533" t="s">
        <v>34</v>
      </c>
      <c r="E533" t="s">
        <v>2092</v>
      </c>
      <c r="F533" s="8">
        <v>14.3</v>
      </c>
      <c r="G533" s="6">
        <v>43000</v>
      </c>
      <c r="H533" s="8">
        <v>61.9</v>
      </c>
      <c r="I533" s="7">
        <v>1706.22</v>
      </c>
      <c r="J533" s="8">
        <v>6.7</v>
      </c>
      <c r="K533" s="7">
        <v>51241.666666666701</v>
      </c>
      <c r="L533" s="7">
        <v>52947.886666666702</v>
      </c>
    </row>
    <row r="534" spans="1:12" x14ac:dyDescent="0.25">
      <c r="A534" s="9">
        <v>45809</v>
      </c>
      <c r="B534" t="s">
        <v>41</v>
      </c>
      <c r="C534" t="s">
        <v>42</v>
      </c>
      <c r="D534" t="s">
        <v>34</v>
      </c>
      <c r="E534" t="s">
        <v>2097</v>
      </c>
      <c r="F534" s="8">
        <v>12</v>
      </c>
      <c r="G534" s="6">
        <v>28000</v>
      </c>
      <c r="H534" s="8">
        <v>44.4</v>
      </c>
      <c r="I534" s="7">
        <v>796.92</v>
      </c>
      <c r="J534" s="8">
        <v>6.4</v>
      </c>
      <c r="K534" s="7">
        <v>28000</v>
      </c>
      <c r="L534" s="7">
        <v>28796.92</v>
      </c>
    </row>
    <row r="535" spans="1:12" x14ac:dyDescent="0.25">
      <c r="A535" s="9">
        <v>45809</v>
      </c>
      <c r="B535" t="s">
        <v>41</v>
      </c>
      <c r="C535" t="s">
        <v>42</v>
      </c>
      <c r="D535" t="s">
        <v>34</v>
      </c>
      <c r="E535" t="s">
        <v>2095</v>
      </c>
      <c r="F535" s="8">
        <v>14.4</v>
      </c>
      <c r="G535" s="6">
        <v>27000</v>
      </c>
      <c r="H535" s="8">
        <v>80.099999999999994</v>
      </c>
      <c r="I535" s="7">
        <v>1386.35</v>
      </c>
      <c r="J535" s="8">
        <v>5.2</v>
      </c>
      <c r="K535" s="7">
        <v>32400</v>
      </c>
      <c r="L535" s="7">
        <v>33786.35</v>
      </c>
    </row>
    <row r="536" spans="1:12" x14ac:dyDescent="0.25">
      <c r="A536" s="9">
        <v>45809</v>
      </c>
      <c r="B536" t="s">
        <v>41</v>
      </c>
      <c r="C536" t="s">
        <v>42</v>
      </c>
      <c r="D536" t="s">
        <v>34</v>
      </c>
      <c r="E536" t="s">
        <v>2094</v>
      </c>
      <c r="F536" s="8">
        <v>17.2</v>
      </c>
      <c r="G536" s="6">
        <v>41000</v>
      </c>
      <c r="H536" s="8">
        <v>59.3</v>
      </c>
      <c r="I536" s="7">
        <v>1558.53</v>
      </c>
      <c r="J536" s="8">
        <v>8.8000000000000007</v>
      </c>
      <c r="K536" s="7">
        <v>58766.666666666701</v>
      </c>
      <c r="L536" s="7">
        <v>60325.196666666699</v>
      </c>
    </row>
    <row r="537" spans="1:12" x14ac:dyDescent="0.25">
      <c r="A537" s="9">
        <v>45809</v>
      </c>
      <c r="B537" t="s">
        <v>41</v>
      </c>
      <c r="C537" t="s">
        <v>42</v>
      </c>
      <c r="D537" t="s">
        <v>34</v>
      </c>
      <c r="E537" t="s">
        <v>2096</v>
      </c>
      <c r="F537" s="8">
        <v>13</v>
      </c>
      <c r="G537" s="6">
        <v>35000</v>
      </c>
      <c r="H537" s="8">
        <v>34.1</v>
      </c>
      <c r="I537" s="7">
        <v>765.06</v>
      </c>
      <c r="J537" s="8">
        <v>8.1999999999999993</v>
      </c>
      <c r="K537" s="7">
        <v>37916.666666666701</v>
      </c>
      <c r="L537" s="7">
        <v>38681.726666666698</v>
      </c>
    </row>
    <row r="538" spans="1:12" x14ac:dyDescent="0.25">
      <c r="A538" s="9">
        <v>45809</v>
      </c>
      <c r="B538" t="s">
        <v>47</v>
      </c>
      <c r="C538" t="s">
        <v>48</v>
      </c>
      <c r="D538" t="s">
        <v>34</v>
      </c>
      <c r="E538" t="s">
        <v>2094</v>
      </c>
      <c r="F538" s="8">
        <v>11.2</v>
      </c>
      <c r="G538" s="6">
        <v>41000</v>
      </c>
      <c r="H538" s="8">
        <v>34.1</v>
      </c>
      <c r="I538" s="7">
        <v>896.22</v>
      </c>
      <c r="J538" s="8">
        <v>5.6</v>
      </c>
      <c r="K538" s="7">
        <v>38266.666666666701</v>
      </c>
      <c r="L538" s="7">
        <v>39162.886666666702</v>
      </c>
    </row>
    <row r="539" spans="1:12" x14ac:dyDescent="0.25">
      <c r="A539" s="9">
        <v>45809</v>
      </c>
      <c r="B539" t="s">
        <v>47</v>
      </c>
      <c r="C539" t="s">
        <v>48</v>
      </c>
      <c r="D539" t="s">
        <v>34</v>
      </c>
      <c r="E539" t="s">
        <v>2092</v>
      </c>
      <c r="F539" s="8">
        <v>8.6</v>
      </c>
      <c r="G539" s="6">
        <v>43000</v>
      </c>
      <c r="H539" s="8">
        <v>41.6</v>
      </c>
      <c r="I539" s="7">
        <v>1146.67</v>
      </c>
      <c r="J539" s="8">
        <v>3.7</v>
      </c>
      <c r="K539" s="7">
        <v>30816.666666666701</v>
      </c>
      <c r="L539" s="7">
        <v>31963.336666666699</v>
      </c>
    </row>
    <row r="540" spans="1:12" x14ac:dyDescent="0.25">
      <c r="A540" s="9">
        <v>45809</v>
      </c>
      <c r="B540" t="s">
        <v>47</v>
      </c>
      <c r="C540" t="s">
        <v>48</v>
      </c>
      <c r="D540" t="s">
        <v>34</v>
      </c>
      <c r="E540" t="s">
        <v>2093</v>
      </c>
      <c r="F540" s="8">
        <v>11.7</v>
      </c>
      <c r="G540" s="6">
        <v>29000</v>
      </c>
      <c r="H540" s="8">
        <v>14.4</v>
      </c>
      <c r="I540" s="7">
        <v>267.69</v>
      </c>
      <c r="J540" s="8">
        <v>5.4</v>
      </c>
      <c r="K540" s="7">
        <v>28275</v>
      </c>
      <c r="L540" s="7">
        <v>28542.69</v>
      </c>
    </row>
    <row r="541" spans="1:12" x14ac:dyDescent="0.25">
      <c r="A541" s="9">
        <v>45809</v>
      </c>
      <c r="B541" t="s">
        <v>47</v>
      </c>
      <c r="C541" t="s">
        <v>48</v>
      </c>
      <c r="D541" t="s">
        <v>34</v>
      </c>
      <c r="E541" t="s">
        <v>2095</v>
      </c>
      <c r="F541" s="8">
        <v>11.5</v>
      </c>
      <c r="G541" s="6">
        <v>27000</v>
      </c>
      <c r="H541" s="8">
        <v>63.8</v>
      </c>
      <c r="I541" s="7">
        <v>1104.23</v>
      </c>
      <c r="J541" s="8">
        <v>5.4</v>
      </c>
      <c r="K541" s="7">
        <v>25875</v>
      </c>
      <c r="L541" s="7">
        <v>26979.23</v>
      </c>
    </row>
    <row r="542" spans="1:12" x14ac:dyDescent="0.25">
      <c r="A542" s="9">
        <v>45809</v>
      </c>
      <c r="B542" t="s">
        <v>47</v>
      </c>
      <c r="C542" t="s">
        <v>48</v>
      </c>
      <c r="D542" t="s">
        <v>34</v>
      </c>
      <c r="E542" t="s">
        <v>2091</v>
      </c>
      <c r="F542" s="8">
        <v>15.3</v>
      </c>
      <c r="G542" s="6">
        <v>25000</v>
      </c>
      <c r="H542" s="8">
        <v>41.8</v>
      </c>
      <c r="I542" s="7">
        <v>669.87</v>
      </c>
      <c r="J542" s="8">
        <v>8.6</v>
      </c>
      <c r="K542" s="7">
        <v>31875</v>
      </c>
      <c r="L542" s="7">
        <v>32544.87</v>
      </c>
    </row>
    <row r="543" spans="1:12" x14ac:dyDescent="0.25">
      <c r="A543" s="9">
        <v>45809</v>
      </c>
      <c r="B543" t="s">
        <v>47</v>
      </c>
      <c r="C543" t="s">
        <v>48</v>
      </c>
      <c r="D543" t="s">
        <v>34</v>
      </c>
      <c r="E543" t="s">
        <v>2096</v>
      </c>
      <c r="F543" s="8">
        <v>9.9</v>
      </c>
      <c r="G543" s="6">
        <v>35000</v>
      </c>
      <c r="H543" s="8">
        <v>34.700000000000003</v>
      </c>
      <c r="I543" s="7">
        <v>778.53</v>
      </c>
      <c r="J543" s="8">
        <v>4.4000000000000004</v>
      </c>
      <c r="K543" s="7">
        <v>28875</v>
      </c>
      <c r="L543" s="7">
        <v>29653.53</v>
      </c>
    </row>
    <row r="544" spans="1:12" x14ac:dyDescent="0.25">
      <c r="A544" s="9">
        <v>45809</v>
      </c>
      <c r="B544" t="s">
        <v>121</v>
      </c>
      <c r="C544" t="s">
        <v>122</v>
      </c>
      <c r="D544" t="s">
        <v>34</v>
      </c>
      <c r="E544" t="s">
        <v>2094</v>
      </c>
      <c r="F544" s="8">
        <v>17.399999999999999</v>
      </c>
      <c r="G544" s="6">
        <v>41000</v>
      </c>
      <c r="H544" s="8">
        <v>73.5</v>
      </c>
      <c r="I544" s="7">
        <v>1931.73</v>
      </c>
      <c r="J544" s="8">
        <v>9.5</v>
      </c>
      <c r="K544" s="7">
        <v>59450</v>
      </c>
      <c r="L544" s="7">
        <v>61381.73</v>
      </c>
    </row>
    <row r="545" spans="1:12" x14ac:dyDescent="0.25">
      <c r="A545" s="9">
        <v>45809</v>
      </c>
      <c r="B545" t="s">
        <v>121</v>
      </c>
      <c r="C545" t="s">
        <v>122</v>
      </c>
      <c r="D545" t="s">
        <v>34</v>
      </c>
      <c r="E545" t="s">
        <v>2097</v>
      </c>
      <c r="F545" s="8">
        <v>6.7</v>
      </c>
      <c r="G545" s="6">
        <v>28000</v>
      </c>
      <c r="H545" s="8">
        <v>50.7</v>
      </c>
      <c r="I545" s="7">
        <v>910</v>
      </c>
      <c r="J545" s="8">
        <v>4.2</v>
      </c>
      <c r="K545" s="7">
        <v>15633.333333333299</v>
      </c>
      <c r="L545" s="7">
        <v>16543.333333333299</v>
      </c>
    </row>
    <row r="546" spans="1:12" x14ac:dyDescent="0.25">
      <c r="A546" s="9">
        <v>45809</v>
      </c>
      <c r="B546" t="s">
        <v>121</v>
      </c>
      <c r="C546" t="s">
        <v>122</v>
      </c>
      <c r="D546" t="s">
        <v>34</v>
      </c>
      <c r="E546" t="s">
        <v>2091</v>
      </c>
      <c r="F546" s="8">
        <v>19.3</v>
      </c>
      <c r="G546" s="6">
        <v>25000</v>
      </c>
      <c r="H546" s="8">
        <v>110.8</v>
      </c>
      <c r="I546" s="7">
        <v>1775.64</v>
      </c>
      <c r="J546" s="8">
        <v>9.1</v>
      </c>
      <c r="K546" s="7">
        <v>40208.333333333299</v>
      </c>
      <c r="L546" s="7">
        <v>41983.973333333299</v>
      </c>
    </row>
    <row r="547" spans="1:12" x14ac:dyDescent="0.25">
      <c r="A547" s="9">
        <v>45809</v>
      </c>
      <c r="B547" t="s">
        <v>121</v>
      </c>
      <c r="C547" t="s">
        <v>122</v>
      </c>
      <c r="D547" t="s">
        <v>34</v>
      </c>
      <c r="E547" t="s">
        <v>2093</v>
      </c>
      <c r="F547" s="8">
        <v>10.9</v>
      </c>
      <c r="G547" s="6">
        <v>29000</v>
      </c>
      <c r="H547" s="8">
        <v>26.8</v>
      </c>
      <c r="I547" s="7">
        <v>498.21</v>
      </c>
      <c r="J547" s="8">
        <v>5.5</v>
      </c>
      <c r="K547" s="7">
        <v>26341.666666666701</v>
      </c>
      <c r="L547" s="7">
        <v>26839.8766666667</v>
      </c>
    </row>
    <row r="548" spans="1:12" x14ac:dyDescent="0.25">
      <c r="A548" s="9">
        <v>45809</v>
      </c>
      <c r="B548" t="s">
        <v>121</v>
      </c>
      <c r="C548" t="s">
        <v>122</v>
      </c>
      <c r="D548" t="s">
        <v>34</v>
      </c>
      <c r="E548" t="s">
        <v>2095</v>
      </c>
      <c r="F548" s="8">
        <v>5.6</v>
      </c>
      <c r="G548" s="6">
        <v>27000</v>
      </c>
      <c r="H548" s="8">
        <v>23.3</v>
      </c>
      <c r="I548" s="7">
        <v>403.27</v>
      </c>
      <c r="J548" s="8">
        <v>1.7</v>
      </c>
      <c r="K548" s="7">
        <v>12600</v>
      </c>
      <c r="L548" s="7">
        <v>13003.27</v>
      </c>
    </row>
    <row r="549" spans="1:12" x14ac:dyDescent="0.25">
      <c r="A549" s="9">
        <v>45809</v>
      </c>
      <c r="B549" t="s">
        <v>121</v>
      </c>
      <c r="C549" t="s">
        <v>122</v>
      </c>
      <c r="D549" t="s">
        <v>34</v>
      </c>
      <c r="E549" t="s">
        <v>2092</v>
      </c>
      <c r="F549" s="8">
        <v>4.7</v>
      </c>
      <c r="G549" s="6">
        <v>43000</v>
      </c>
      <c r="H549" s="8">
        <v>17.600000000000001</v>
      </c>
      <c r="I549" s="7">
        <v>485.13</v>
      </c>
      <c r="J549" s="8">
        <v>2.7</v>
      </c>
      <c r="K549" s="7">
        <v>16841.666666666701</v>
      </c>
      <c r="L549" s="7">
        <v>17326.796666666702</v>
      </c>
    </row>
    <row r="550" spans="1:12" x14ac:dyDescent="0.25">
      <c r="A550" s="9">
        <v>45809</v>
      </c>
      <c r="B550" t="s">
        <v>201</v>
      </c>
      <c r="C550" t="s">
        <v>202</v>
      </c>
      <c r="D550" t="s">
        <v>64</v>
      </c>
      <c r="E550" t="s">
        <v>2092</v>
      </c>
      <c r="F550" s="8">
        <v>8.1</v>
      </c>
      <c r="G550" s="6">
        <v>43000</v>
      </c>
      <c r="H550" s="8">
        <v>36.799999999999997</v>
      </c>
      <c r="I550" s="7">
        <v>1014.36</v>
      </c>
      <c r="J550" s="8">
        <v>4.5999999999999996</v>
      </c>
      <c r="K550" s="7">
        <v>29025</v>
      </c>
      <c r="L550" s="7">
        <v>30039.360000000001</v>
      </c>
    </row>
    <row r="551" spans="1:12" x14ac:dyDescent="0.25">
      <c r="A551" s="9">
        <v>45809</v>
      </c>
      <c r="B551" t="s">
        <v>201</v>
      </c>
      <c r="C551" t="s">
        <v>202</v>
      </c>
      <c r="D551" t="s">
        <v>64</v>
      </c>
      <c r="E551" t="s">
        <v>2094</v>
      </c>
      <c r="F551" s="8">
        <v>7.1</v>
      </c>
      <c r="G551" s="6">
        <v>41000</v>
      </c>
      <c r="H551" s="8">
        <v>31.5</v>
      </c>
      <c r="I551" s="7">
        <v>827.88</v>
      </c>
      <c r="J551" s="8">
        <v>3</v>
      </c>
      <c r="K551" s="7">
        <v>24258.333333333299</v>
      </c>
      <c r="L551" s="7">
        <v>25086.2133333333</v>
      </c>
    </row>
    <row r="552" spans="1:12" x14ac:dyDescent="0.25">
      <c r="A552" s="9">
        <v>45809</v>
      </c>
      <c r="B552" t="s">
        <v>201</v>
      </c>
      <c r="C552" t="s">
        <v>202</v>
      </c>
      <c r="D552" t="s">
        <v>64</v>
      </c>
      <c r="E552" t="s">
        <v>2096</v>
      </c>
      <c r="F552" s="8">
        <v>13.6</v>
      </c>
      <c r="G552" s="6">
        <v>35000</v>
      </c>
      <c r="H552" s="8">
        <v>43.9</v>
      </c>
      <c r="I552" s="7">
        <v>984.94</v>
      </c>
      <c r="J552" s="8">
        <v>5.6</v>
      </c>
      <c r="K552" s="7">
        <v>39666.666666666701</v>
      </c>
      <c r="L552" s="7">
        <v>40651.606666666703</v>
      </c>
    </row>
    <row r="553" spans="1:12" x14ac:dyDescent="0.25">
      <c r="A553" s="9">
        <v>45809</v>
      </c>
      <c r="B553" t="s">
        <v>201</v>
      </c>
      <c r="C553" t="s">
        <v>202</v>
      </c>
      <c r="D553" t="s">
        <v>64</v>
      </c>
      <c r="E553" t="s">
        <v>2097</v>
      </c>
      <c r="F553" s="8">
        <v>19.100000000000001</v>
      </c>
      <c r="G553" s="6">
        <v>28000</v>
      </c>
      <c r="H553" s="8">
        <v>127.5</v>
      </c>
      <c r="I553" s="7">
        <v>2288.46</v>
      </c>
      <c r="J553" s="8">
        <v>9.6</v>
      </c>
      <c r="K553" s="7">
        <v>44566.666666666701</v>
      </c>
      <c r="L553" s="7">
        <v>46855.1266666667</v>
      </c>
    </row>
    <row r="554" spans="1:12" x14ac:dyDescent="0.25">
      <c r="A554" s="9">
        <v>45809</v>
      </c>
      <c r="B554" t="s">
        <v>201</v>
      </c>
      <c r="C554" t="s">
        <v>202</v>
      </c>
      <c r="D554" t="s">
        <v>64</v>
      </c>
      <c r="E554" t="s">
        <v>2093</v>
      </c>
      <c r="F554" s="8">
        <v>14.3</v>
      </c>
      <c r="G554" s="6">
        <v>29000</v>
      </c>
      <c r="H554" s="8">
        <v>52.4</v>
      </c>
      <c r="I554" s="7">
        <v>974.1</v>
      </c>
      <c r="J554" s="8">
        <v>6.2</v>
      </c>
      <c r="K554" s="7">
        <v>34558.333333333299</v>
      </c>
      <c r="L554" s="7">
        <v>35532.433333333298</v>
      </c>
    </row>
    <row r="555" spans="1:12" x14ac:dyDescent="0.25">
      <c r="A555" s="9">
        <v>45809</v>
      </c>
      <c r="B555" t="s">
        <v>201</v>
      </c>
      <c r="C555" t="s">
        <v>202</v>
      </c>
      <c r="D555" t="s">
        <v>64</v>
      </c>
      <c r="E555" t="s">
        <v>2095</v>
      </c>
      <c r="F555" s="8">
        <v>16.2</v>
      </c>
      <c r="G555" s="6">
        <v>27000</v>
      </c>
      <c r="H555" s="8">
        <v>136.1</v>
      </c>
      <c r="I555" s="7">
        <v>2355.58</v>
      </c>
      <c r="J555" s="8">
        <v>7</v>
      </c>
      <c r="K555" s="7">
        <v>36450</v>
      </c>
      <c r="L555" s="7">
        <v>38805.58</v>
      </c>
    </row>
    <row r="556" spans="1:12" x14ac:dyDescent="0.25">
      <c r="A556" s="9">
        <v>45809</v>
      </c>
      <c r="B556" t="s">
        <v>118</v>
      </c>
      <c r="C556" t="s">
        <v>119</v>
      </c>
      <c r="D556" t="s">
        <v>64</v>
      </c>
      <c r="E556" t="s">
        <v>2096</v>
      </c>
      <c r="F556" s="8">
        <v>10</v>
      </c>
      <c r="G556" s="6">
        <v>35000</v>
      </c>
      <c r="H556" s="8">
        <v>33.6</v>
      </c>
      <c r="I556" s="7">
        <v>753.85</v>
      </c>
      <c r="J556" s="8">
        <v>5.4</v>
      </c>
      <c r="K556" s="7">
        <v>29166.666666666701</v>
      </c>
      <c r="L556" s="7">
        <v>29920.516666666699</v>
      </c>
    </row>
    <row r="557" spans="1:12" x14ac:dyDescent="0.25">
      <c r="A557" s="9">
        <v>45809</v>
      </c>
      <c r="B557" t="s">
        <v>118</v>
      </c>
      <c r="C557" t="s">
        <v>119</v>
      </c>
      <c r="D557" t="s">
        <v>64</v>
      </c>
      <c r="E557" t="s">
        <v>2097</v>
      </c>
      <c r="F557" s="8">
        <v>19.600000000000001</v>
      </c>
      <c r="G557" s="6">
        <v>28000</v>
      </c>
      <c r="H557" s="8">
        <v>96</v>
      </c>
      <c r="I557" s="7">
        <v>1723.08</v>
      </c>
      <c r="J557" s="8">
        <v>10.8</v>
      </c>
      <c r="K557" s="7">
        <v>45733.333333333299</v>
      </c>
      <c r="L557" s="7">
        <v>47456.413333333301</v>
      </c>
    </row>
    <row r="558" spans="1:12" x14ac:dyDescent="0.25">
      <c r="A558" s="9">
        <v>45809</v>
      </c>
      <c r="B558" t="s">
        <v>118</v>
      </c>
      <c r="C558" t="s">
        <v>119</v>
      </c>
      <c r="D558" t="s">
        <v>64</v>
      </c>
      <c r="E558" t="s">
        <v>2095</v>
      </c>
      <c r="F558" s="8">
        <v>8.6999999999999993</v>
      </c>
      <c r="G558" s="6">
        <v>27000</v>
      </c>
      <c r="H558" s="8">
        <v>58.4</v>
      </c>
      <c r="I558" s="7">
        <v>1010.77</v>
      </c>
      <c r="J558" s="8">
        <v>4.9000000000000004</v>
      </c>
      <c r="K558" s="7">
        <v>19575</v>
      </c>
      <c r="L558" s="7">
        <v>20585.77</v>
      </c>
    </row>
    <row r="559" spans="1:12" x14ac:dyDescent="0.25">
      <c r="A559" s="9">
        <v>45809</v>
      </c>
      <c r="B559" t="s">
        <v>118</v>
      </c>
      <c r="C559" t="s">
        <v>119</v>
      </c>
      <c r="D559" t="s">
        <v>64</v>
      </c>
      <c r="E559" t="s">
        <v>2093</v>
      </c>
      <c r="F559" s="8">
        <v>9.3000000000000007</v>
      </c>
      <c r="G559" s="6">
        <v>29000</v>
      </c>
      <c r="H559" s="8">
        <v>22.5</v>
      </c>
      <c r="I559" s="7">
        <v>418.27</v>
      </c>
      <c r="J559" s="8">
        <v>4.4000000000000004</v>
      </c>
      <c r="K559" s="7">
        <v>22475</v>
      </c>
      <c r="L559" s="7">
        <v>22893.27</v>
      </c>
    </row>
    <row r="560" spans="1:12" x14ac:dyDescent="0.25">
      <c r="A560" s="9">
        <v>45809</v>
      </c>
      <c r="B560" t="s">
        <v>62</v>
      </c>
      <c r="C560" t="s">
        <v>63</v>
      </c>
      <c r="D560" t="s">
        <v>64</v>
      </c>
      <c r="E560" t="s">
        <v>2093</v>
      </c>
      <c r="F560" s="8">
        <v>6.6</v>
      </c>
      <c r="G560" s="6">
        <v>29000</v>
      </c>
      <c r="H560" s="8">
        <v>29.4</v>
      </c>
      <c r="I560" s="7">
        <v>546.54</v>
      </c>
      <c r="J560" s="8">
        <v>5.4</v>
      </c>
      <c r="K560" s="7">
        <v>15950</v>
      </c>
      <c r="L560" s="7">
        <v>16496.54</v>
      </c>
    </row>
    <row r="561" spans="1:12" x14ac:dyDescent="0.25">
      <c r="A561" s="9">
        <v>45809</v>
      </c>
      <c r="B561" t="s">
        <v>62</v>
      </c>
      <c r="C561" t="s">
        <v>63</v>
      </c>
      <c r="D561" t="s">
        <v>64</v>
      </c>
      <c r="E561" t="s">
        <v>2096</v>
      </c>
      <c r="F561" s="8">
        <v>10.3</v>
      </c>
      <c r="G561" s="6">
        <v>35000</v>
      </c>
      <c r="H561" s="8">
        <v>19.600000000000001</v>
      </c>
      <c r="I561" s="7">
        <v>439.74</v>
      </c>
      <c r="J561" s="8">
        <v>6.4</v>
      </c>
      <c r="K561" s="7">
        <v>30041.666666666701</v>
      </c>
      <c r="L561" s="7">
        <v>30481.406666666699</v>
      </c>
    </row>
    <row r="562" spans="1:12" x14ac:dyDescent="0.25">
      <c r="A562" s="9">
        <v>45809</v>
      </c>
      <c r="B562" t="s">
        <v>62</v>
      </c>
      <c r="C562" t="s">
        <v>63</v>
      </c>
      <c r="D562" t="s">
        <v>64</v>
      </c>
      <c r="E562" t="s">
        <v>2095</v>
      </c>
      <c r="F562" s="8">
        <v>7</v>
      </c>
      <c r="G562" s="6">
        <v>27000</v>
      </c>
      <c r="H562" s="8">
        <v>29.9</v>
      </c>
      <c r="I562" s="7">
        <v>517.5</v>
      </c>
      <c r="J562" s="8">
        <v>4.3</v>
      </c>
      <c r="K562" s="7">
        <v>15750</v>
      </c>
      <c r="L562" s="7">
        <v>16267.5</v>
      </c>
    </row>
    <row r="563" spans="1:12" x14ac:dyDescent="0.25">
      <c r="A563" s="9">
        <v>45809</v>
      </c>
      <c r="B563" t="s">
        <v>62</v>
      </c>
      <c r="C563" t="s">
        <v>63</v>
      </c>
      <c r="D563" t="s">
        <v>64</v>
      </c>
      <c r="E563" t="s">
        <v>2092</v>
      </c>
      <c r="F563" s="8">
        <v>7.1</v>
      </c>
      <c r="G563" s="6">
        <v>43000</v>
      </c>
      <c r="H563" s="8">
        <v>27.3</v>
      </c>
      <c r="I563" s="7">
        <v>752.5</v>
      </c>
      <c r="J563" s="8">
        <v>2.7</v>
      </c>
      <c r="K563" s="7">
        <v>25441.666666666701</v>
      </c>
      <c r="L563" s="7">
        <v>26194.166666666701</v>
      </c>
    </row>
    <row r="564" spans="1:12" x14ac:dyDescent="0.25">
      <c r="A564" s="9">
        <v>45809</v>
      </c>
      <c r="B564" t="s">
        <v>62</v>
      </c>
      <c r="C564" t="s">
        <v>63</v>
      </c>
      <c r="D564" t="s">
        <v>64</v>
      </c>
      <c r="E564" t="s">
        <v>2094</v>
      </c>
      <c r="F564" s="8">
        <v>16.7</v>
      </c>
      <c r="G564" s="6">
        <v>41000</v>
      </c>
      <c r="H564" s="8">
        <v>85.6</v>
      </c>
      <c r="I564" s="7">
        <v>2249.7399999999998</v>
      </c>
      <c r="J564" s="8">
        <v>9</v>
      </c>
      <c r="K564" s="7">
        <v>57058.333333333299</v>
      </c>
      <c r="L564" s="7">
        <v>59308.073333333297</v>
      </c>
    </row>
    <row r="565" spans="1:12" x14ac:dyDescent="0.25">
      <c r="A565" s="9">
        <v>45809</v>
      </c>
      <c r="B565" t="s">
        <v>91</v>
      </c>
      <c r="C565" t="s">
        <v>92</v>
      </c>
      <c r="D565" t="s">
        <v>64</v>
      </c>
      <c r="E565" t="s">
        <v>2093</v>
      </c>
      <c r="F565" s="8">
        <v>4.7</v>
      </c>
      <c r="G565" s="6">
        <v>29000</v>
      </c>
      <c r="H565" s="8">
        <v>25.7</v>
      </c>
      <c r="I565" s="7">
        <v>477.76</v>
      </c>
      <c r="J565" s="8">
        <v>2.2999999999999998</v>
      </c>
      <c r="K565" s="7">
        <v>11358.333333333299</v>
      </c>
      <c r="L565" s="7">
        <v>11836.0933333333</v>
      </c>
    </row>
    <row r="566" spans="1:12" x14ac:dyDescent="0.25">
      <c r="A566" s="9">
        <v>45809</v>
      </c>
      <c r="B566" t="s">
        <v>91</v>
      </c>
      <c r="C566" t="s">
        <v>92</v>
      </c>
      <c r="D566" t="s">
        <v>64</v>
      </c>
      <c r="E566" t="s">
        <v>2092</v>
      </c>
      <c r="F566" s="8">
        <v>4.4000000000000004</v>
      </c>
      <c r="G566" s="6">
        <v>43000</v>
      </c>
      <c r="H566" s="8">
        <v>13.6</v>
      </c>
      <c r="I566" s="7">
        <v>374.87</v>
      </c>
      <c r="J566" s="8">
        <v>0.6</v>
      </c>
      <c r="K566" s="7">
        <v>15766.666666666701</v>
      </c>
      <c r="L566" s="7">
        <v>16141.5366666667</v>
      </c>
    </row>
    <row r="567" spans="1:12" x14ac:dyDescent="0.25">
      <c r="A567" s="9">
        <v>45809</v>
      </c>
      <c r="B567" t="s">
        <v>91</v>
      </c>
      <c r="C567" t="s">
        <v>92</v>
      </c>
      <c r="D567" t="s">
        <v>64</v>
      </c>
      <c r="E567" t="s">
        <v>2094</v>
      </c>
      <c r="F567" s="8">
        <v>15.5</v>
      </c>
      <c r="G567" s="6">
        <v>41000</v>
      </c>
      <c r="H567" s="8">
        <v>81.099999999999994</v>
      </c>
      <c r="I567" s="7">
        <v>2131.4699999999998</v>
      </c>
      <c r="J567" s="8">
        <v>8.1999999999999993</v>
      </c>
      <c r="K567" s="7">
        <v>52958.333333333299</v>
      </c>
      <c r="L567" s="7">
        <v>55089.803333333301</v>
      </c>
    </row>
    <row r="568" spans="1:12" x14ac:dyDescent="0.25">
      <c r="A568" s="9">
        <v>45809</v>
      </c>
      <c r="B568" t="s">
        <v>91</v>
      </c>
      <c r="C568" t="s">
        <v>92</v>
      </c>
      <c r="D568" t="s">
        <v>64</v>
      </c>
      <c r="E568" t="s">
        <v>2096</v>
      </c>
      <c r="F568" s="8">
        <v>5.6</v>
      </c>
      <c r="G568" s="6">
        <v>35000</v>
      </c>
      <c r="H568" s="8">
        <v>14.3</v>
      </c>
      <c r="I568" s="7">
        <v>320.83</v>
      </c>
      <c r="J568" s="8">
        <v>2.2999999999999998</v>
      </c>
      <c r="K568" s="7">
        <v>16333.333333333299</v>
      </c>
      <c r="L568" s="7">
        <v>16654.163333333301</v>
      </c>
    </row>
    <row r="569" spans="1:12" x14ac:dyDescent="0.25">
      <c r="A569" s="9">
        <v>45809</v>
      </c>
      <c r="B569" t="s">
        <v>91</v>
      </c>
      <c r="C569" t="s">
        <v>92</v>
      </c>
      <c r="D569" t="s">
        <v>64</v>
      </c>
      <c r="E569" t="s">
        <v>2091</v>
      </c>
      <c r="F569" s="8">
        <v>10.3</v>
      </c>
      <c r="G569" s="6">
        <v>25000</v>
      </c>
      <c r="H569" s="8">
        <v>34</v>
      </c>
      <c r="I569" s="7">
        <v>544.87</v>
      </c>
      <c r="J569" s="8">
        <v>3.7</v>
      </c>
      <c r="K569" s="7">
        <v>21458.333333333299</v>
      </c>
      <c r="L569" s="7">
        <v>22003.203333333298</v>
      </c>
    </row>
    <row r="570" spans="1:12" x14ac:dyDescent="0.25">
      <c r="A570" s="9">
        <v>45809</v>
      </c>
      <c r="B570" t="s">
        <v>80</v>
      </c>
      <c r="C570" t="s">
        <v>81</v>
      </c>
      <c r="D570" t="s">
        <v>64</v>
      </c>
      <c r="E570" t="s">
        <v>2097</v>
      </c>
      <c r="F570" s="8">
        <v>3</v>
      </c>
      <c r="G570" s="6">
        <v>28000</v>
      </c>
      <c r="H570" s="8">
        <v>8.3000000000000007</v>
      </c>
      <c r="I570" s="7">
        <v>148.97</v>
      </c>
      <c r="J570" s="8">
        <v>0.4</v>
      </c>
      <c r="K570" s="7">
        <v>7000</v>
      </c>
      <c r="L570" s="7">
        <v>7148.97</v>
      </c>
    </row>
    <row r="571" spans="1:12" x14ac:dyDescent="0.25">
      <c r="A571" s="9">
        <v>45809</v>
      </c>
      <c r="B571" t="s">
        <v>80</v>
      </c>
      <c r="C571" t="s">
        <v>81</v>
      </c>
      <c r="D571" t="s">
        <v>64</v>
      </c>
      <c r="E571" t="s">
        <v>2095</v>
      </c>
      <c r="F571" s="8">
        <v>6</v>
      </c>
      <c r="G571" s="6">
        <v>27000</v>
      </c>
      <c r="H571" s="8">
        <v>20.3</v>
      </c>
      <c r="I571" s="7">
        <v>351.35</v>
      </c>
      <c r="J571" s="8">
        <v>2.2999999999999998</v>
      </c>
      <c r="K571" s="7">
        <v>13500</v>
      </c>
      <c r="L571" s="7">
        <v>13851.35</v>
      </c>
    </row>
    <row r="572" spans="1:12" x14ac:dyDescent="0.25">
      <c r="A572" s="9">
        <v>45809</v>
      </c>
      <c r="B572" t="s">
        <v>80</v>
      </c>
      <c r="C572" t="s">
        <v>81</v>
      </c>
      <c r="D572" t="s">
        <v>64</v>
      </c>
      <c r="E572" t="s">
        <v>2093</v>
      </c>
      <c r="F572" s="8">
        <v>5.3</v>
      </c>
      <c r="G572" s="6">
        <v>29000</v>
      </c>
      <c r="H572" s="8">
        <v>8.3000000000000007</v>
      </c>
      <c r="I572" s="7">
        <v>154.29</v>
      </c>
      <c r="J572" s="8">
        <v>4.7</v>
      </c>
      <c r="K572" s="7">
        <v>12808.333333333299</v>
      </c>
      <c r="L572" s="7">
        <v>12962.6233333333</v>
      </c>
    </row>
    <row r="573" spans="1:12" x14ac:dyDescent="0.25">
      <c r="A573" s="9">
        <v>45809</v>
      </c>
      <c r="B573" t="s">
        <v>80</v>
      </c>
      <c r="C573" t="s">
        <v>81</v>
      </c>
      <c r="D573" t="s">
        <v>64</v>
      </c>
      <c r="E573" t="s">
        <v>2091</v>
      </c>
      <c r="F573" s="8">
        <v>19.7</v>
      </c>
      <c r="G573" s="6">
        <v>25000</v>
      </c>
      <c r="H573" s="8">
        <v>115.8</v>
      </c>
      <c r="I573" s="7">
        <v>1855.77</v>
      </c>
      <c r="J573" s="8">
        <v>9.1</v>
      </c>
      <c r="K573" s="7">
        <v>41041.666666666701</v>
      </c>
      <c r="L573" s="7">
        <v>42897.436666666697</v>
      </c>
    </row>
    <row r="574" spans="1:12" x14ac:dyDescent="0.25">
      <c r="A574" s="9">
        <v>45809</v>
      </c>
      <c r="B574" t="s">
        <v>56</v>
      </c>
      <c r="C574" t="s">
        <v>57</v>
      </c>
      <c r="D574" t="s">
        <v>58</v>
      </c>
      <c r="E574" t="s">
        <v>2095</v>
      </c>
      <c r="F574" s="8">
        <v>5.8</v>
      </c>
      <c r="G574" s="6">
        <v>27000</v>
      </c>
      <c r="H574" s="8">
        <v>25.6</v>
      </c>
      <c r="I574" s="7">
        <v>443.08</v>
      </c>
      <c r="J574" s="8">
        <v>3.3</v>
      </c>
      <c r="K574" s="7">
        <v>13050</v>
      </c>
      <c r="L574" s="7">
        <v>13493.08</v>
      </c>
    </row>
    <row r="575" spans="1:12" x14ac:dyDescent="0.25">
      <c r="A575" s="9">
        <v>45809</v>
      </c>
      <c r="B575" t="s">
        <v>56</v>
      </c>
      <c r="C575" t="s">
        <v>57</v>
      </c>
      <c r="D575" t="s">
        <v>58</v>
      </c>
      <c r="E575" t="s">
        <v>2097</v>
      </c>
      <c r="F575" s="8">
        <v>8.3000000000000007</v>
      </c>
      <c r="G575" s="6">
        <v>28000</v>
      </c>
      <c r="H575" s="8">
        <v>48</v>
      </c>
      <c r="I575" s="7">
        <v>861.54</v>
      </c>
      <c r="J575" s="8">
        <v>3.3</v>
      </c>
      <c r="K575" s="7">
        <v>19366.666666666701</v>
      </c>
      <c r="L575" s="7">
        <v>20228.206666666701</v>
      </c>
    </row>
    <row r="576" spans="1:12" x14ac:dyDescent="0.25">
      <c r="A576" s="9">
        <v>45809</v>
      </c>
      <c r="B576" t="s">
        <v>56</v>
      </c>
      <c r="C576" t="s">
        <v>57</v>
      </c>
      <c r="D576" t="s">
        <v>58</v>
      </c>
      <c r="E576" t="s">
        <v>2094</v>
      </c>
      <c r="F576" s="8">
        <v>4.7</v>
      </c>
      <c r="G576" s="6">
        <v>41000</v>
      </c>
      <c r="H576" s="8">
        <v>26.5</v>
      </c>
      <c r="I576" s="7">
        <v>696.47</v>
      </c>
      <c r="J576" s="8">
        <v>1.8</v>
      </c>
      <c r="K576" s="7">
        <v>16058.333333333299</v>
      </c>
      <c r="L576" s="7">
        <v>16754.803333333301</v>
      </c>
    </row>
    <row r="577" spans="1:12" x14ac:dyDescent="0.25">
      <c r="A577" s="9">
        <v>45809</v>
      </c>
      <c r="B577" t="s">
        <v>56</v>
      </c>
      <c r="C577" t="s">
        <v>57</v>
      </c>
      <c r="D577" t="s">
        <v>58</v>
      </c>
      <c r="E577" t="s">
        <v>2091</v>
      </c>
      <c r="F577" s="8">
        <v>19.899999999999999</v>
      </c>
      <c r="G577" s="6">
        <v>25000</v>
      </c>
      <c r="H577" s="8">
        <v>39.700000000000003</v>
      </c>
      <c r="I577" s="7">
        <v>636.22</v>
      </c>
      <c r="J577" s="8">
        <v>10.7</v>
      </c>
      <c r="K577" s="7">
        <v>41458.333333333299</v>
      </c>
      <c r="L577" s="7">
        <v>42094.553333333301</v>
      </c>
    </row>
    <row r="578" spans="1:12" x14ac:dyDescent="0.25">
      <c r="A578" s="9">
        <v>45809</v>
      </c>
      <c r="B578" t="s">
        <v>56</v>
      </c>
      <c r="C578" t="s">
        <v>57</v>
      </c>
      <c r="D578" t="s">
        <v>58</v>
      </c>
      <c r="E578" t="s">
        <v>2096</v>
      </c>
      <c r="F578" s="8">
        <v>4.4000000000000004</v>
      </c>
      <c r="G578" s="6">
        <v>35000</v>
      </c>
      <c r="H578" s="8">
        <v>26.1</v>
      </c>
      <c r="I578" s="7">
        <v>585.58000000000004</v>
      </c>
      <c r="J578" s="8">
        <v>4.8</v>
      </c>
      <c r="K578" s="7">
        <v>12833.333333333299</v>
      </c>
      <c r="L578" s="7">
        <v>13418.913333333299</v>
      </c>
    </row>
    <row r="579" spans="1:12" x14ac:dyDescent="0.25">
      <c r="A579" s="9">
        <v>45809</v>
      </c>
      <c r="B579" t="s">
        <v>77</v>
      </c>
      <c r="C579" t="s">
        <v>78</v>
      </c>
      <c r="D579" t="s">
        <v>58</v>
      </c>
      <c r="E579" t="s">
        <v>2092</v>
      </c>
      <c r="F579" s="8">
        <v>18.2</v>
      </c>
      <c r="G579" s="6">
        <v>43000</v>
      </c>
      <c r="H579" s="8">
        <v>40</v>
      </c>
      <c r="I579" s="7">
        <v>1102.56</v>
      </c>
      <c r="J579" s="8">
        <v>9.8000000000000007</v>
      </c>
      <c r="K579" s="7">
        <v>65216.666666666701</v>
      </c>
      <c r="L579" s="7">
        <v>66319.226666666698</v>
      </c>
    </row>
    <row r="580" spans="1:12" x14ac:dyDescent="0.25">
      <c r="A580" s="9">
        <v>45809</v>
      </c>
      <c r="B580" t="s">
        <v>77</v>
      </c>
      <c r="C580" t="s">
        <v>78</v>
      </c>
      <c r="D580" t="s">
        <v>58</v>
      </c>
      <c r="E580" t="s">
        <v>2091</v>
      </c>
      <c r="F580" s="8">
        <v>17</v>
      </c>
      <c r="G580" s="6">
        <v>25000</v>
      </c>
      <c r="H580" s="8">
        <v>57.6</v>
      </c>
      <c r="I580" s="7">
        <v>923.08</v>
      </c>
      <c r="J580" s="8">
        <v>9.3000000000000007</v>
      </c>
      <c r="K580" s="7">
        <v>35416.666666666701</v>
      </c>
      <c r="L580" s="7">
        <v>36339.746666666702</v>
      </c>
    </row>
    <row r="581" spans="1:12" x14ac:dyDescent="0.25">
      <c r="A581" s="9">
        <v>45809</v>
      </c>
      <c r="B581" t="s">
        <v>77</v>
      </c>
      <c r="C581" t="s">
        <v>78</v>
      </c>
      <c r="D581" t="s">
        <v>58</v>
      </c>
      <c r="E581" t="s">
        <v>2093</v>
      </c>
      <c r="F581" s="8">
        <v>11.3</v>
      </c>
      <c r="G581" s="6">
        <v>29000</v>
      </c>
      <c r="H581" s="8">
        <v>20.3</v>
      </c>
      <c r="I581" s="7">
        <v>377.37</v>
      </c>
      <c r="J581" s="8">
        <v>4.4000000000000004</v>
      </c>
      <c r="K581" s="7">
        <v>27308.333333333299</v>
      </c>
      <c r="L581" s="7">
        <v>27685.703333333298</v>
      </c>
    </row>
    <row r="582" spans="1:12" x14ac:dyDescent="0.25">
      <c r="A582" s="9">
        <v>45809</v>
      </c>
      <c r="B582" t="s">
        <v>77</v>
      </c>
      <c r="C582" t="s">
        <v>78</v>
      </c>
      <c r="D582" t="s">
        <v>58</v>
      </c>
      <c r="E582" t="s">
        <v>2097</v>
      </c>
      <c r="F582" s="8">
        <v>7.5</v>
      </c>
      <c r="G582" s="6">
        <v>28000</v>
      </c>
      <c r="H582" s="8">
        <v>21.3</v>
      </c>
      <c r="I582" s="7">
        <v>382.31</v>
      </c>
      <c r="J582" s="8">
        <v>3.8</v>
      </c>
      <c r="K582" s="7">
        <v>17500</v>
      </c>
      <c r="L582" s="7">
        <v>17882.310000000001</v>
      </c>
    </row>
    <row r="583" spans="1:12" x14ac:dyDescent="0.25">
      <c r="A583" s="9">
        <v>45809</v>
      </c>
      <c r="B583" t="s">
        <v>110</v>
      </c>
      <c r="C583" t="s">
        <v>111</v>
      </c>
      <c r="D583" t="s">
        <v>58</v>
      </c>
      <c r="E583" t="s">
        <v>2092</v>
      </c>
      <c r="F583" s="8">
        <v>4.0999999999999996</v>
      </c>
      <c r="G583" s="6">
        <v>43000</v>
      </c>
      <c r="H583" s="8">
        <v>12.5</v>
      </c>
      <c r="I583" s="7">
        <v>344.55</v>
      </c>
      <c r="J583" s="8">
        <v>2.7</v>
      </c>
      <c r="K583" s="7">
        <v>14691.666666666701</v>
      </c>
      <c r="L583" s="7">
        <v>15036.2166666667</v>
      </c>
    </row>
    <row r="584" spans="1:12" x14ac:dyDescent="0.25">
      <c r="A584" s="9">
        <v>45809</v>
      </c>
      <c r="B584" t="s">
        <v>110</v>
      </c>
      <c r="C584" t="s">
        <v>111</v>
      </c>
      <c r="D584" t="s">
        <v>58</v>
      </c>
      <c r="E584" t="s">
        <v>2097</v>
      </c>
      <c r="F584" s="8">
        <v>13.3</v>
      </c>
      <c r="G584" s="6">
        <v>28000</v>
      </c>
      <c r="H584" s="8">
        <v>73.7</v>
      </c>
      <c r="I584" s="7">
        <v>1322.82</v>
      </c>
      <c r="J584" s="8">
        <v>7.2</v>
      </c>
      <c r="K584" s="7">
        <v>31033.333333333299</v>
      </c>
      <c r="L584" s="7">
        <v>32356.153333333299</v>
      </c>
    </row>
    <row r="585" spans="1:12" x14ac:dyDescent="0.25">
      <c r="A585" s="9">
        <v>45809</v>
      </c>
      <c r="B585" t="s">
        <v>110</v>
      </c>
      <c r="C585" t="s">
        <v>111</v>
      </c>
      <c r="D585" t="s">
        <v>58</v>
      </c>
      <c r="E585" t="s">
        <v>2091</v>
      </c>
      <c r="F585" s="8">
        <v>7.4</v>
      </c>
      <c r="G585" s="6">
        <v>25000</v>
      </c>
      <c r="H585" s="8">
        <v>47.6</v>
      </c>
      <c r="I585" s="7">
        <v>762.82</v>
      </c>
      <c r="J585" s="8">
        <v>4.0999999999999996</v>
      </c>
      <c r="K585" s="7">
        <v>15416.666666666701</v>
      </c>
      <c r="L585" s="7">
        <v>16179.4866666667</v>
      </c>
    </row>
    <row r="586" spans="1:12" x14ac:dyDescent="0.25">
      <c r="A586" s="9">
        <v>45809</v>
      </c>
      <c r="B586" t="s">
        <v>110</v>
      </c>
      <c r="C586" t="s">
        <v>111</v>
      </c>
      <c r="D586" t="s">
        <v>58</v>
      </c>
      <c r="E586" t="s">
        <v>2094</v>
      </c>
      <c r="F586" s="8">
        <v>13.9</v>
      </c>
      <c r="G586" s="6">
        <v>41000</v>
      </c>
      <c r="H586" s="8">
        <v>30.2</v>
      </c>
      <c r="I586" s="7">
        <v>793.72</v>
      </c>
      <c r="J586" s="8">
        <v>8.3000000000000007</v>
      </c>
      <c r="K586" s="7">
        <v>47491.666666666701</v>
      </c>
      <c r="L586" s="7">
        <v>48285.386666666702</v>
      </c>
    </row>
    <row r="587" spans="1:12" x14ac:dyDescent="0.25">
      <c r="A587" s="9">
        <v>45809</v>
      </c>
      <c r="B587" t="s">
        <v>110</v>
      </c>
      <c r="C587" t="s">
        <v>111</v>
      </c>
      <c r="D587" t="s">
        <v>58</v>
      </c>
      <c r="E587" t="s">
        <v>2095</v>
      </c>
      <c r="F587" s="8">
        <v>14.9</v>
      </c>
      <c r="G587" s="6">
        <v>27000</v>
      </c>
      <c r="H587" s="8">
        <v>46.1</v>
      </c>
      <c r="I587" s="7">
        <v>797.88</v>
      </c>
      <c r="J587" s="8">
        <v>8.4</v>
      </c>
      <c r="K587" s="7">
        <v>33525</v>
      </c>
      <c r="L587" s="7">
        <v>34322.879999999997</v>
      </c>
    </row>
    <row r="588" spans="1:12" x14ac:dyDescent="0.25">
      <c r="A588" s="9">
        <v>45809</v>
      </c>
      <c r="B588" t="s">
        <v>85</v>
      </c>
      <c r="C588" t="s">
        <v>86</v>
      </c>
      <c r="D588" t="s">
        <v>58</v>
      </c>
      <c r="E588" t="s">
        <v>2096</v>
      </c>
      <c r="F588" s="8">
        <v>3.5</v>
      </c>
      <c r="G588" s="6">
        <v>35000</v>
      </c>
      <c r="H588" s="8">
        <v>22.3</v>
      </c>
      <c r="I588" s="7">
        <v>500.32</v>
      </c>
      <c r="J588" s="8">
        <v>2.2000000000000002</v>
      </c>
      <c r="K588" s="7">
        <v>10208.333333333299</v>
      </c>
      <c r="L588" s="7">
        <v>10708.653333333301</v>
      </c>
    </row>
    <row r="589" spans="1:12" x14ac:dyDescent="0.25">
      <c r="A589" s="9">
        <v>45809</v>
      </c>
      <c r="B589" t="s">
        <v>85</v>
      </c>
      <c r="C589" t="s">
        <v>86</v>
      </c>
      <c r="D589" t="s">
        <v>58</v>
      </c>
      <c r="E589" t="s">
        <v>2092</v>
      </c>
      <c r="F589" s="8">
        <v>17.5</v>
      </c>
      <c r="G589" s="6">
        <v>43000</v>
      </c>
      <c r="H589" s="8">
        <v>30.7</v>
      </c>
      <c r="I589" s="7">
        <v>846.22</v>
      </c>
      <c r="J589" s="8">
        <v>7.8</v>
      </c>
      <c r="K589" s="7">
        <v>62708.333333333299</v>
      </c>
      <c r="L589" s="7">
        <v>63554.553333333301</v>
      </c>
    </row>
    <row r="590" spans="1:12" x14ac:dyDescent="0.25">
      <c r="A590" s="9">
        <v>45809</v>
      </c>
      <c r="B590" t="s">
        <v>85</v>
      </c>
      <c r="C590" t="s">
        <v>86</v>
      </c>
      <c r="D590" t="s">
        <v>58</v>
      </c>
      <c r="E590" t="s">
        <v>2093</v>
      </c>
      <c r="F590" s="8">
        <v>14.3</v>
      </c>
      <c r="G590" s="6">
        <v>29000</v>
      </c>
      <c r="H590" s="8">
        <v>85.6</v>
      </c>
      <c r="I590" s="7">
        <v>1591.28</v>
      </c>
      <c r="J590" s="8">
        <v>7</v>
      </c>
      <c r="K590" s="7">
        <v>34558.333333333299</v>
      </c>
      <c r="L590" s="7">
        <v>36149.613333333298</v>
      </c>
    </row>
    <row r="591" spans="1:12" x14ac:dyDescent="0.25">
      <c r="A591" s="9">
        <v>45809</v>
      </c>
      <c r="B591" t="s">
        <v>85</v>
      </c>
      <c r="C591" t="s">
        <v>86</v>
      </c>
      <c r="D591" t="s">
        <v>58</v>
      </c>
      <c r="E591" t="s">
        <v>2094</v>
      </c>
      <c r="F591" s="8">
        <v>14.8</v>
      </c>
      <c r="G591" s="6">
        <v>41000</v>
      </c>
      <c r="H591" s="8">
        <v>61</v>
      </c>
      <c r="I591" s="7">
        <v>1603.21</v>
      </c>
      <c r="J591" s="8">
        <v>8.1999999999999993</v>
      </c>
      <c r="K591" s="7">
        <v>50566.666666666701</v>
      </c>
      <c r="L591" s="7">
        <v>52169.8766666667</v>
      </c>
    </row>
    <row r="592" spans="1:12" x14ac:dyDescent="0.25">
      <c r="A592" s="9">
        <v>45809</v>
      </c>
      <c r="B592" t="s">
        <v>103</v>
      </c>
      <c r="C592" t="s">
        <v>104</v>
      </c>
      <c r="D592" t="s">
        <v>58</v>
      </c>
      <c r="E592" t="s">
        <v>2094</v>
      </c>
      <c r="F592" s="8">
        <v>15</v>
      </c>
      <c r="G592" s="6">
        <v>41000</v>
      </c>
      <c r="H592" s="8">
        <v>75.7</v>
      </c>
      <c r="I592" s="7">
        <v>1989.55</v>
      </c>
      <c r="J592" s="8">
        <v>7.8</v>
      </c>
      <c r="K592" s="7">
        <v>51250</v>
      </c>
      <c r="L592" s="7">
        <v>53239.55</v>
      </c>
    </row>
    <row r="593" spans="1:12" x14ac:dyDescent="0.25">
      <c r="A593" s="9">
        <v>45809</v>
      </c>
      <c r="B593" t="s">
        <v>103</v>
      </c>
      <c r="C593" t="s">
        <v>104</v>
      </c>
      <c r="D593" t="s">
        <v>58</v>
      </c>
      <c r="E593" t="s">
        <v>2092</v>
      </c>
      <c r="F593" s="8">
        <v>9.8000000000000007</v>
      </c>
      <c r="G593" s="6">
        <v>43000</v>
      </c>
      <c r="H593" s="8">
        <v>36.1</v>
      </c>
      <c r="I593" s="7">
        <v>995.06</v>
      </c>
      <c r="J593" s="8">
        <v>4.5999999999999996</v>
      </c>
      <c r="K593" s="7">
        <v>35116.666666666701</v>
      </c>
      <c r="L593" s="7">
        <v>36111.726666666698</v>
      </c>
    </row>
    <row r="594" spans="1:12" x14ac:dyDescent="0.25">
      <c r="A594" s="9">
        <v>45809</v>
      </c>
      <c r="B594" t="s">
        <v>103</v>
      </c>
      <c r="C594" t="s">
        <v>104</v>
      </c>
      <c r="D594" t="s">
        <v>58</v>
      </c>
      <c r="E594" t="s">
        <v>2097</v>
      </c>
      <c r="F594" s="8">
        <v>16.7</v>
      </c>
      <c r="G594" s="6">
        <v>28000</v>
      </c>
      <c r="H594" s="8">
        <v>88.3</v>
      </c>
      <c r="I594" s="7">
        <v>1584.87</v>
      </c>
      <c r="J594" s="8">
        <v>8.9</v>
      </c>
      <c r="K594" s="7">
        <v>38966.666666666701</v>
      </c>
      <c r="L594" s="7">
        <v>40551.536666666703</v>
      </c>
    </row>
    <row r="595" spans="1:12" x14ac:dyDescent="0.25">
      <c r="A595" s="9">
        <v>45809</v>
      </c>
      <c r="B595" t="s">
        <v>103</v>
      </c>
      <c r="C595" t="s">
        <v>104</v>
      </c>
      <c r="D595" t="s">
        <v>58</v>
      </c>
      <c r="E595" t="s">
        <v>2095</v>
      </c>
      <c r="F595" s="8">
        <v>7</v>
      </c>
      <c r="G595" s="6">
        <v>27000</v>
      </c>
      <c r="H595" s="8">
        <v>25.3</v>
      </c>
      <c r="I595" s="7">
        <v>437.88</v>
      </c>
      <c r="J595" s="8">
        <v>4.5999999999999996</v>
      </c>
      <c r="K595" s="7">
        <v>15750</v>
      </c>
      <c r="L595" s="7">
        <v>16187.88</v>
      </c>
    </row>
    <row r="596" spans="1:12" x14ac:dyDescent="0.25">
      <c r="A596" s="9">
        <v>45809</v>
      </c>
      <c r="B596" t="s">
        <v>103</v>
      </c>
      <c r="C596" t="s">
        <v>104</v>
      </c>
      <c r="D596" t="s">
        <v>58</v>
      </c>
      <c r="E596" t="s">
        <v>2096</v>
      </c>
      <c r="F596" s="8">
        <v>19.7</v>
      </c>
      <c r="G596" s="6">
        <v>35000</v>
      </c>
      <c r="H596" s="8">
        <v>75</v>
      </c>
      <c r="I596" s="7">
        <v>1682.69</v>
      </c>
      <c r="J596" s="8">
        <v>9</v>
      </c>
      <c r="K596" s="7">
        <v>57458.333333333299</v>
      </c>
      <c r="L596" s="7">
        <v>59141.023333333302</v>
      </c>
    </row>
    <row r="597" spans="1:12" x14ac:dyDescent="0.25">
      <c r="A597" s="9">
        <v>45839</v>
      </c>
      <c r="B597" t="s">
        <v>100</v>
      </c>
      <c r="C597" t="s">
        <v>101</v>
      </c>
      <c r="D597" t="s">
        <v>69</v>
      </c>
      <c r="E597" t="s">
        <v>2095</v>
      </c>
      <c r="F597" s="8">
        <v>5.5</v>
      </c>
      <c r="G597" s="6">
        <v>27000</v>
      </c>
      <c r="H597" s="8">
        <v>15.7</v>
      </c>
      <c r="I597" s="7">
        <v>271.73</v>
      </c>
      <c r="J597" s="8">
        <v>1.8</v>
      </c>
      <c r="K597" s="7">
        <v>12375</v>
      </c>
      <c r="L597" s="7">
        <v>12646.73</v>
      </c>
    </row>
    <row r="598" spans="1:12" x14ac:dyDescent="0.25">
      <c r="A598" s="9">
        <v>45839</v>
      </c>
      <c r="B598" t="s">
        <v>100</v>
      </c>
      <c r="C598" t="s">
        <v>101</v>
      </c>
      <c r="D598" t="s">
        <v>69</v>
      </c>
      <c r="E598" t="s">
        <v>2094</v>
      </c>
      <c r="F598" s="8">
        <v>5.6</v>
      </c>
      <c r="G598" s="6">
        <v>41000</v>
      </c>
      <c r="H598" s="8">
        <v>20.100000000000001</v>
      </c>
      <c r="I598" s="7">
        <v>528.27</v>
      </c>
      <c r="J598" s="8">
        <v>4</v>
      </c>
      <c r="K598" s="7">
        <v>19133.333333333299</v>
      </c>
      <c r="L598" s="7">
        <v>19661.6033333333</v>
      </c>
    </row>
    <row r="599" spans="1:12" x14ac:dyDescent="0.25">
      <c r="A599" s="9">
        <v>45839</v>
      </c>
      <c r="B599" t="s">
        <v>100</v>
      </c>
      <c r="C599" t="s">
        <v>101</v>
      </c>
      <c r="D599" t="s">
        <v>69</v>
      </c>
      <c r="E599" t="s">
        <v>2093</v>
      </c>
      <c r="F599" s="8">
        <v>4.4000000000000004</v>
      </c>
      <c r="G599" s="6">
        <v>29000</v>
      </c>
      <c r="H599" s="8">
        <v>12.3</v>
      </c>
      <c r="I599" s="7">
        <v>228.65</v>
      </c>
      <c r="J599" s="8">
        <v>2.4</v>
      </c>
      <c r="K599" s="7">
        <v>10633.333333333299</v>
      </c>
      <c r="L599" s="7">
        <v>10861.983333333301</v>
      </c>
    </row>
    <row r="600" spans="1:12" x14ac:dyDescent="0.25">
      <c r="A600" s="9">
        <v>45839</v>
      </c>
      <c r="B600" t="s">
        <v>100</v>
      </c>
      <c r="C600" t="s">
        <v>101</v>
      </c>
      <c r="D600" t="s">
        <v>69</v>
      </c>
      <c r="E600" t="s">
        <v>2092</v>
      </c>
      <c r="F600" s="8">
        <v>13</v>
      </c>
      <c r="G600" s="6">
        <v>43000</v>
      </c>
      <c r="H600" s="8">
        <v>39.200000000000003</v>
      </c>
      <c r="I600" s="7">
        <v>1080.51</v>
      </c>
      <c r="J600" s="8">
        <v>6.2</v>
      </c>
      <c r="K600" s="7">
        <v>46583.333333333299</v>
      </c>
      <c r="L600" s="7">
        <v>47663.843333333301</v>
      </c>
    </row>
    <row r="601" spans="1:12" x14ac:dyDescent="0.25">
      <c r="A601" s="9">
        <v>45839</v>
      </c>
      <c r="B601" t="s">
        <v>100</v>
      </c>
      <c r="C601" t="s">
        <v>101</v>
      </c>
      <c r="D601" t="s">
        <v>69</v>
      </c>
      <c r="E601" t="s">
        <v>2096</v>
      </c>
      <c r="F601" s="8">
        <v>5</v>
      </c>
      <c r="G601" s="6">
        <v>35000</v>
      </c>
      <c r="H601" s="8">
        <v>8.6999999999999993</v>
      </c>
      <c r="I601" s="7">
        <v>195.19</v>
      </c>
      <c r="J601" s="8">
        <v>2.2999999999999998</v>
      </c>
      <c r="K601" s="7">
        <v>14583.333333333299</v>
      </c>
      <c r="L601" s="7">
        <v>14778.5233333333</v>
      </c>
    </row>
    <row r="602" spans="1:12" x14ac:dyDescent="0.25">
      <c r="A602" s="9">
        <v>45839</v>
      </c>
      <c r="B602" t="s">
        <v>113</v>
      </c>
      <c r="C602" t="s">
        <v>114</v>
      </c>
      <c r="D602" t="s">
        <v>69</v>
      </c>
      <c r="E602" t="s">
        <v>2096</v>
      </c>
      <c r="F602" s="8">
        <v>7.8</v>
      </c>
      <c r="G602" s="6">
        <v>35000</v>
      </c>
      <c r="H602" s="8">
        <v>28.9</v>
      </c>
      <c r="I602" s="7">
        <v>648.4</v>
      </c>
      <c r="J602" s="8">
        <v>4.4000000000000004</v>
      </c>
      <c r="K602" s="7">
        <v>22750</v>
      </c>
      <c r="L602" s="7">
        <v>23398.400000000001</v>
      </c>
    </row>
    <row r="603" spans="1:12" x14ac:dyDescent="0.25">
      <c r="A603" s="9">
        <v>45839</v>
      </c>
      <c r="B603" t="s">
        <v>113</v>
      </c>
      <c r="C603" t="s">
        <v>114</v>
      </c>
      <c r="D603" t="s">
        <v>69</v>
      </c>
      <c r="E603" t="s">
        <v>2093</v>
      </c>
      <c r="F603" s="8">
        <v>8.6999999999999993</v>
      </c>
      <c r="G603" s="6">
        <v>29000</v>
      </c>
      <c r="H603" s="8">
        <v>37.700000000000003</v>
      </c>
      <c r="I603" s="7">
        <v>700.83</v>
      </c>
      <c r="J603" s="8">
        <v>3.2</v>
      </c>
      <c r="K603" s="7">
        <v>21025</v>
      </c>
      <c r="L603" s="7">
        <v>21725.83</v>
      </c>
    </row>
    <row r="604" spans="1:12" x14ac:dyDescent="0.25">
      <c r="A604" s="9">
        <v>45839</v>
      </c>
      <c r="B604" t="s">
        <v>113</v>
      </c>
      <c r="C604" t="s">
        <v>114</v>
      </c>
      <c r="D604" t="s">
        <v>69</v>
      </c>
      <c r="E604" t="s">
        <v>2095</v>
      </c>
      <c r="F604" s="8">
        <v>8.4</v>
      </c>
      <c r="G604" s="6">
        <v>27000</v>
      </c>
      <c r="H604" s="8">
        <v>47.3</v>
      </c>
      <c r="I604" s="7">
        <v>818.65</v>
      </c>
      <c r="J604" s="8">
        <v>4.4000000000000004</v>
      </c>
      <c r="K604" s="7">
        <v>18900</v>
      </c>
      <c r="L604" s="7">
        <v>19718.650000000001</v>
      </c>
    </row>
    <row r="605" spans="1:12" x14ac:dyDescent="0.25">
      <c r="A605" s="9">
        <v>45839</v>
      </c>
      <c r="B605" t="s">
        <v>113</v>
      </c>
      <c r="C605" t="s">
        <v>114</v>
      </c>
      <c r="D605" t="s">
        <v>69</v>
      </c>
      <c r="E605" t="s">
        <v>2091</v>
      </c>
      <c r="F605" s="8">
        <v>7.1</v>
      </c>
      <c r="G605" s="6">
        <v>25000</v>
      </c>
      <c r="H605" s="8">
        <v>30.5</v>
      </c>
      <c r="I605" s="7">
        <v>488.78</v>
      </c>
      <c r="J605" s="8">
        <v>3.5</v>
      </c>
      <c r="K605" s="7">
        <v>14791.666666666701</v>
      </c>
      <c r="L605" s="7">
        <v>15280.446666666699</v>
      </c>
    </row>
    <row r="606" spans="1:12" x14ac:dyDescent="0.25">
      <c r="A606" s="9">
        <v>45839</v>
      </c>
      <c r="B606" t="s">
        <v>143</v>
      </c>
      <c r="C606" t="s">
        <v>144</v>
      </c>
      <c r="D606" t="s">
        <v>69</v>
      </c>
      <c r="E606" t="s">
        <v>2096</v>
      </c>
      <c r="F606" s="8">
        <v>6.6</v>
      </c>
      <c r="G606" s="6">
        <v>35000</v>
      </c>
      <c r="H606" s="8">
        <v>21.3</v>
      </c>
      <c r="I606" s="7">
        <v>477.88</v>
      </c>
      <c r="J606" s="8">
        <v>3.5</v>
      </c>
      <c r="K606" s="7">
        <v>19250</v>
      </c>
      <c r="L606" s="7">
        <v>19727.88</v>
      </c>
    </row>
    <row r="607" spans="1:12" x14ac:dyDescent="0.25">
      <c r="A607" s="9">
        <v>45839</v>
      </c>
      <c r="B607" t="s">
        <v>143</v>
      </c>
      <c r="C607" t="s">
        <v>144</v>
      </c>
      <c r="D607" t="s">
        <v>69</v>
      </c>
      <c r="E607" t="s">
        <v>2097</v>
      </c>
      <c r="F607" s="8">
        <v>11</v>
      </c>
      <c r="G607" s="6">
        <v>28000</v>
      </c>
      <c r="H607" s="8">
        <v>51.8</v>
      </c>
      <c r="I607" s="7">
        <v>929.74</v>
      </c>
      <c r="J607" s="8">
        <v>3.8</v>
      </c>
      <c r="K607" s="7">
        <v>25666.666666666701</v>
      </c>
      <c r="L607" s="7">
        <v>26596.406666666699</v>
      </c>
    </row>
    <row r="608" spans="1:12" x14ac:dyDescent="0.25">
      <c r="A608" s="9">
        <v>45839</v>
      </c>
      <c r="B608" t="s">
        <v>143</v>
      </c>
      <c r="C608" t="s">
        <v>144</v>
      </c>
      <c r="D608" t="s">
        <v>69</v>
      </c>
      <c r="E608" t="s">
        <v>2091</v>
      </c>
      <c r="F608" s="8">
        <v>3.6</v>
      </c>
      <c r="G608" s="6">
        <v>25000</v>
      </c>
      <c r="H608" s="8">
        <v>11.5</v>
      </c>
      <c r="I608" s="7">
        <v>184.29</v>
      </c>
      <c r="J608" s="8">
        <v>1.5</v>
      </c>
      <c r="K608" s="7">
        <v>7500</v>
      </c>
      <c r="L608" s="7">
        <v>7684.29</v>
      </c>
    </row>
    <row r="609" spans="1:12" x14ac:dyDescent="0.25">
      <c r="A609" s="9">
        <v>45839</v>
      </c>
      <c r="B609" t="s">
        <v>143</v>
      </c>
      <c r="C609" t="s">
        <v>144</v>
      </c>
      <c r="D609" t="s">
        <v>69</v>
      </c>
      <c r="E609" t="s">
        <v>2094</v>
      </c>
      <c r="F609" s="8">
        <v>5.7</v>
      </c>
      <c r="G609" s="6">
        <v>41000</v>
      </c>
      <c r="H609" s="8">
        <v>25</v>
      </c>
      <c r="I609" s="7">
        <v>657.05</v>
      </c>
      <c r="J609" s="8">
        <v>4</v>
      </c>
      <c r="K609" s="7">
        <v>19475</v>
      </c>
      <c r="L609" s="7">
        <v>20132.05</v>
      </c>
    </row>
    <row r="610" spans="1:12" x14ac:dyDescent="0.25">
      <c r="A610" s="9">
        <v>45839</v>
      </c>
      <c r="B610" t="s">
        <v>143</v>
      </c>
      <c r="C610" t="s">
        <v>144</v>
      </c>
      <c r="D610" t="s">
        <v>69</v>
      </c>
      <c r="E610" t="s">
        <v>2095</v>
      </c>
      <c r="F610" s="8">
        <v>6.3</v>
      </c>
      <c r="G610" s="6">
        <v>27000</v>
      </c>
      <c r="H610" s="8">
        <v>17.899999999999999</v>
      </c>
      <c r="I610" s="7">
        <v>309.81</v>
      </c>
      <c r="J610" s="8">
        <v>2.7</v>
      </c>
      <c r="K610" s="7">
        <v>14175</v>
      </c>
      <c r="L610" s="7">
        <v>14484.81</v>
      </c>
    </row>
    <row r="611" spans="1:12" x14ac:dyDescent="0.25">
      <c r="A611" s="9">
        <v>45839</v>
      </c>
      <c r="B611" t="s">
        <v>73</v>
      </c>
      <c r="C611" t="s">
        <v>74</v>
      </c>
      <c r="D611" t="s">
        <v>69</v>
      </c>
      <c r="E611" t="s">
        <v>2091</v>
      </c>
      <c r="F611" s="8">
        <v>6.2</v>
      </c>
      <c r="G611" s="6">
        <v>25000</v>
      </c>
      <c r="H611" s="8">
        <v>20</v>
      </c>
      <c r="I611" s="7">
        <v>320.51</v>
      </c>
      <c r="J611" s="8">
        <v>2.2999999999999998</v>
      </c>
      <c r="K611" s="7">
        <v>12916.666666666701</v>
      </c>
      <c r="L611" s="7">
        <v>13237.176666666701</v>
      </c>
    </row>
    <row r="612" spans="1:12" x14ac:dyDescent="0.25">
      <c r="A612" s="9">
        <v>45839</v>
      </c>
      <c r="B612" t="s">
        <v>73</v>
      </c>
      <c r="C612" t="s">
        <v>74</v>
      </c>
      <c r="D612" t="s">
        <v>69</v>
      </c>
      <c r="E612" t="s">
        <v>2097</v>
      </c>
      <c r="F612" s="8">
        <v>11.5</v>
      </c>
      <c r="G612" s="6">
        <v>28000</v>
      </c>
      <c r="H612" s="8">
        <v>40</v>
      </c>
      <c r="I612" s="7">
        <v>717.95</v>
      </c>
      <c r="J612" s="8">
        <v>6.5</v>
      </c>
      <c r="K612" s="7">
        <v>26833.333333333299</v>
      </c>
      <c r="L612" s="7">
        <v>27551.2833333333</v>
      </c>
    </row>
    <row r="613" spans="1:12" x14ac:dyDescent="0.25">
      <c r="A613" s="9">
        <v>45839</v>
      </c>
      <c r="B613" t="s">
        <v>73</v>
      </c>
      <c r="C613" t="s">
        <v>74</v>
      </c>
      <c r="D613" t="s">
        <v>69</v>
      </c>
      <c r="E613" t="s">
        <v>2094</v>
      </c>
      <c r="F613" s="8">
        <v>14.2</v>
      </c>
      <c r="G613" s="6">
        <v>41000</v>
      </c>
      <c r="H613" s="8">
        <v>34.4</v>
      </c>
      <c r="I613" s="7">
        <v>904.1</v>
      </c>
      <c r="J613" s="8">
        <v>7.5</v>
      </c>
      <c r="K613" s="7">
        <v>48516.666666666701</v>
      </c>
      <c r="L613" s="7">
        <v>49420.766666666699</v>
      </c>
    </row>
    <row r="614" spans="1:12" x14ac:dyDescent="0.25">
      <c r="A614" s="9">
        <v>45839</v>
      </c>
      <c r="B614" t="s">
        <v>73</v>
      </c>
      <c r="C614" t="s">
        <v>74</v>
      </c>
      <c r="D614" t="s">
        <v>69</v>
      </c>
      <c r="E614" t="s">
        <v>2096</v>
      </c>
      <c r="F614" s="8">
        <v>9.8000000000000007</v>
      </c>
      <c r="G614" s="6">
        <v>35000</v>
      </c>
      <c r="H614" s="8">
        <v>14.2</v>
      </c>
      <c r="I614" s="7">
        <v>318.58999999999997</v>
      </c>
      <c r="J614" s="8">
        <v>4.3</v>
      </c>
      <c r="K614" s="7">
        <v>28583.333333333299</v>
      </c>
      <c r="L614" s="7">
        <v>28901.9233333333</v>
      </c>
    </row>
    <row r="615" spans="1:12" x14ac:dyDescent="0.25">
      <c r="A615" s="9">
        <v>45839</v>
      </c>
      <c r="B615" t="s">
        <v>67</v>
      </c>
      <c r="C615" t="s">
        <v>68</v>
      </c>
      <c r="D615" t="s">
        <v>69</v>
      </c>
      <c r="E615" t="s">
        <v>2097</v>
      </c>
      <c r="F615" s="8">
        <v>14.2</v>
      </c>
      <c r="G615" s="6">
        <v>28000</v>
      </c>
      <c r="H615" s="8">
        <v>49.8</v>
      </c>
      <c r="I615" s="7">
        <v>893.85</v>
      </c>
      <c r="J615" s="8">
        <v>8.8000000000000007</v>
      </c>
      <c r="K615" s="7">
        <v>33133.333333333299</v>
      </c>
      <c r="L615" s="7">
        <v>34027.183333333298</v>
      </c>
    </row>
    <row r="616" spans="1:12" x14ac:dyDescent="0.25">
      <c r="A616" s="9">
        <v>45839</v>
      </c>
      <c r="B616" t="s">
        <v>67</v>
      </c>
      <c r="C616" t="s">
        <v>68</v>
      </c>
      <c r="D616" t="s">
        <v>69</v>
      </c>
      <c r="E616" t="s">
        <v>2094</v>
      </c>
      <c r="F616" s="8">
        <v>19.3</v>
      </c>
      <c r="G616" s="6">
        <v>41000</v>
      </c>
      <c r="H616" s="8">
        <v>69.2</v>
      </c>
      <c r="I616" s="7">
        <v>1818.72</v>
      </c>
      <c r="J616" s="8">
        <v>7.4</v>
      </c>
      <c r="K616" s="7">
        <v>65941.666666666701</v>
      </c>
      <c r="L616" s="7">
        <v>67760.386666666702</v>
      </c>
    </row>
    <row r="617" spans="1:12" x14ac:dyDescent="0.25">
      <c r="A617" s="9">
        <v>45839</v>
      </c>
      <c r="B617" t="s">
        <v>67</v>
      </c>
      <c r="C617" t="s">
        <v>68</v>
      </c>
      <c r="D617" t="s">
        <v>69</v>
      </c>
      <c r="E617" t="s">
        <v>2096</v>
      </c>
      <c r="F617" s="8">
        <v>15.8</v>
      </c>
      <c r="G617" s="6">
        <v>35000</v>
      </c>
      <c r="H617" s="8">
        <v>15.8</v>
      </c>
      <c r="I617" s="7">
        <v>354.49</v>
      </c>
      <c r="J617" s="8">
        <v>7.9</v>
      </c>
      <c r="K617" s="7">
        <v>46083.333333333299</v>
      </c>
      <c r="L617" s="7">
        <v>46437.823333333297</v>
      </c>
    </row>
    <row r="618" spans="1:12" x14ac:dyDescent="0.25">
      <c r="A618" s="9">
        <v>45839</v>
      </c>
      <c r="B618" t="s">
        <v>67</v>
      </c>
      <c r="C618" t="s">
        <v>68</v>
      </c>
      <c r="D618" t="s">
        <v>69</v>
      </c>
      <c r="E618" t="s">
        <v>2093</v>
      </c>
      <c r="F618" s="8">
        <v>17.8</v>
      </c>
      <c r="G618" s="6">
        <v>29000</v>
      </c>
      <c r="H618" s="8">
        <v>87.6</v>
      </c>
      <c r="I618" s="7">
        <v>1628.46</v>
      </c>
      <c r="J618" s="8">
        <v>9.3000000000000007</v>
      </c>
      <c r="K618" s="7">
        <v>43016.666666666701</v>
      </c>
      <c r="L618" s="7">
        <v>44645.1266666667</v>
      </c>
    </row>
    <row r="619" spans="1:12" x14ac:dyDescent="0.25">
      <c r="A619" s="9">
        <v>45839</v>
      </c>
      <c r="B619" t="s">
        <v>67</v>
      </c>
      <c r="C619" t="s">
        <v>68</v>
      </c>
      <c r="D619" t="s">
        <v>69</v>
      </c>
      <c r="E619" t="s">
        <v>2092</v>
      </c>
      <c r="F619" s="8">
        <v>6.1</v>
      </c>
      <c r="G619" s="6">
        <v>43000</v>
      </c>
      <c r="H619" s="8">
        <v>25.9</v>
      </c>
      <c r="I619" s="7">
        <v>713.91</v>
      </c>
      <c r="J619" s="8">
        <v>4.2</v>
      </c>
      <c r="K619" s="7">
        <v>21858.333333333299</v>
      </c>
      <c r="L619" s="7">
        <v>22572.243333333299</v>
      </c>
    </row>
    <row r="620" spans="1:12" x14ac:dyDescent="0.25">
      <c r="A620" s="9">
        <v>45839</v>
      </c>
      <c r="B620" t="s">
        <v>67</v>
      </c>
      <c r="C620" t="s">
        <v>68</v>
      </c>
      <c r="D620" t="s">
        <v>69</v>
      </c>
      <c r="E620" t="s">
        <v>2095</v>
      </c>
      <c r="F620" s="8">
        <v>17.8</v>
      </c>
      <c r="G620" s="6">
        <v>27000</v>
      </c>
      <c r="H620" s="8">
        <v>56.8</v>
      </c>
      <c r="I620" s="7">
        <v>983.08</v>
      </c>
      <c r="J620" s="8">
        <v>9.8000000000000007</v>
      </c>
      <c r="K620" s="7">
        <v>40050</v>
      </c>
      <c r="L620" s="7">
        <v>41033.08</v>
      </c>
    </row>
    <row r="621" spans="1:12" x14ac:dyDescent="0.25">
      <c r="A621" s="9">
        <v>45839</v>
      </c>
      <c r="B621" t="s">
        <v>32</v>
      </c>
      <c r="C621" t="s">
        <v>33</v>
      </c>
      <c r="D621" t="s">
        <v>34</v>
      </c>
      <c r="E621" t="s">
        <v>2094</v>
      </c>
      <c r="F621" s="8">
        <v>17.899999999999999</v>
      </c>
      <c r="G621" s="6">
        <v>41000</v>
      </c>
      <c r="H621" s="8">
        <v>27.8</v>
      </c>
      <c r="I621" s="7">
        <v>730.64</v>
      </c>
      <c r="J621" s="8">
        <v>8</v>
      </c>
      <c r="K621" s="7">
        <v>61158.333333333299</v>
      </c>
      <c r="L621" s="7">
        <v>61888.973333333299</v>
      </c>
    </row>
    <row r="622" spans="1:12" x14ac:dyDescent="0.25">
      <c r="A622" s="9">
        <v>45839</v>
      </c>
      <c r="B622" t="s">
        <v>32</v>
      </c>
      <c r="C622" t="s">
        <v>33</v>
      </c>
      <c r="D622" t="s">
        <v>34</v>
      </c>
      <c r="E622" t="s">
        <v>2096</v>
      </c>
      <c r="F622" s="8">
        <v>8.6999999999999993</v>
      </c>
      <c r="G622" s="6">
        <v>35000</v>
      </c>
      <c r="H622" s="8">
        <v>11.2</v>
      </c>
      <c r="I622" s="7">
        <v>251.28</v>
      </c>
      <c r="J622" s="8">
        <v>4.0999999999999996</v>
      </c>
      <c r="K622" s="7">
        <v>25375</v>
      </c>
      <c r="L622" s="7">
        <v>25626.28</v>
      </c>
    </row>
    <row r="623" spans="1:12" x14ac:dyDescent="0.25">
      <c r="A623" s="9">
        <v>45839</v>
      </c>
      <c r="B623" t="s">
        <v>32</v>
      </c>
      <c r="C623" t="s">
        <v>33</v>
      </c>
      <c r="D623" t="s">
        <v>34</v>
      </c>
      <c r="E623" t="s">
        <v>2091</v>
      </c>
      <c r="F623" s="8">
        <v>3.7</v>
      </c>
      <c r="G623" s="6">
        <v>25000</v>
      </c>
      <c r="H623" s="8">
        <v>14.5</v>
      </c>
      <c r="I623" s="7">
        <v>232.37</v>
      </c>
      <c r="J623" s="8">
        <v>2</v>
      </c>
      <c r="K623" s="7">
        <v>7708.3333333333303</v>
      </c>
      <c r="L623" s="7">
        <v>7940.7033333333302</v>
      </c>
    </row>
    <row r="624" spans="1:12" x14ac:dyDescent="0.25">
      <c r="A624" s="9">
        <v>45839</v>
      </c>
      <c r="B624" t="s">
        <v>32</v>
      </c>
      <c r="C624" t="s">
        <v>33</v>
      </c>
      <c r="D624" t="s">
        <v>34</v>
      </c>
      <c r="E624" t="s">
        <v>2095</v>
      </c>
      <c r="F624" s="8">
        <v>5.4</v>
      </c>
      <c r="G624" s="6">
        <v>27000</v>
      </c>
      <c r="H624" s="8">
        <v>22.1</v>
      </c>
      <c r="I624" s="7">
        <v>382.5</v>
      </c>
      <c r="J624" s="8">
        <v>1.8</v>
      </c>
      <c r="K624" s="7">
        <v>12150</v>
      </c>
      <c r="L624" s="7">
        <v>12532.5</v>
      </c>
    </row>
    <row r="625" spans="1:12" x14ac:dyDescent="0.25">
      <c r="A625" s="9">
        <v>45839</v>
      </c>
      <c r="B625" t="s">
        <v>94</v>
      </c>
      <c r="C625" t="s">
        <v>95</v>
      </c>
      <c r="D625" t="s">
        <v>34</v>
      </c>
      <c r="E625" t="s">
        <v>2092</v>
      </c>
      <c r="F625" s="8">
        <v>10.1</v>
      </c>
      <c r="G625" s="6">
        <v>43000</v>
      </c>
      <c r="H625" s="8">
        <v>37.5</v>
      </c>
      <c r="I625" s="7">
        <v>1033.6500000000001</v>
      </c>
      <c r="J625" s="8">
        <v>3.6</v>
      </c>
      <c r="K625" s="7">
        <v>36191.666666666701</v>
      </c>
      <c r="L625" s="7">
        <v>37225.316666666702</v>
      </c>
    </row>
    <row r="626" spans="1:12" x14ac:dyDescent="0.25">
      <c r="A626" s="9">
        <v>45839</v>
      </c>
      <c r="B626" t="s">
        <v>94</v>
      </c>
      <c r="C626" t="s">
        <v>95</v>
      </c>
      <c r="D626" t="s">
        <v>34</v>
      </c>
      <c r="E626" t="s">
        <v>2096</v>
      </c>
      <c r="F626" s="8">
        <v>16.100000000000001</v>
      </c>
      <c r="G626" s="6">
        <v>35000</v>
      </c>
      <c r="H626" s="8">
        <v>97.3</v>
      </c>
      <c r="I626" s="7">
        <v>2183.0100000000002</v>
      </c>
      <c r="J626" s="8">
        <v>7.7</v>
      </c>
      <c r="K626" s="7">
        <v>46958.333333333299</v>
      </c>
      <c r="L626" s="7">
        <v>49141.343333333301</v>
      </c>
    </row>
    <row r="627" spans="1:12" x14ac:dyDescent="0.25">
      <c r="A627" s="9">
        <v>45839</v>
      </c>
      <c r="B627" t="s">
        <v>94</v>
      </c>
      <c r="C627" t="s">
        <v>95</v>
      </c>
      <c r="D627" t="s">
        <v>34</v>
      </c>
      <c r="E627" t="s">
        <v>2094</v>
      </c>
      <c r="F627" s="8">
        <v>13.7</v>
      </c>
      <c r="G627" s="6">
        <v>41000</v>
      </c>
      <c r="H627" s="8">
        <v>44.8</v>
      </c>
      <c r="I627" s="7">
        <v>1177.44</v>
      </c>
      <c r="J627" s="8">
        <v>8.4</v>
      </c>
      <c r="K627" s="7">
        <v>46808.333333333299</v>
      </c>
      <c r="L627" s="7">
        <v>47985.773333333302</v>
      </c>
    </row>
    <row r="628" spans="1:12" x14ac:dyDescent="0.25">
      <c r="A628" s="9">
        <v>45839</v>
      </c>
      <c r="B628" t="s">
        <v>94</v>
      </c>
      <c r="C628" t="s">
        <v>95</v>
      </c>
      <c r="D628" t="s">
        <v>34</v>
      </c>
      <c r="E628" t="s">
        <v>2093</v>
      </c>
      <c r="F628" s="8">
        <v>15.1</v>
      </c>
      <c r="G628" s="6">
        <v>29000</v>
      </c>
      <c r="H628" s="8">
        <v>32.299999999999997</v>
      </c>
      <c r="I628" s="7">
        <v>600.45000000000005</v>
      </c>
      <c r="J628" s="8">
        <v>6.4</v>
      </c>
      <c r="K628" s="7">
        <v>36491.666666666701</v>
      </c>
      <c r="L628" s="7">
        <v>37092.116666666698</v>
      </c>
    </row>
    <row r="629" spans="1:12" x14ac:dyDescent="0.25">
      <c r="A629" s="9">
        <v>45839</v>
      </c>
      <c r="B629" t="s">
        <v>94</v>
      </c>
      <c r="C629" t="s">
        <v>95</v>
      </c>
      <c r="D629" t="s">
        <v>34</v>
      </c>
      <c r="E629" t="s">
        <v>2097</v>
      </c>
      <c r="F629" s="8">
        <v>16.600000000000001</v>
      </c>
      <c r="G629" s="6">
        <v>28000</v>
      </c>
      <c r="H629" s="8">
        <v>39.1</v>
      </c>
      <c r="I629" s="7">
        <v>701.79</v>
      </c>
      <c r="J629" s="8">
        <v>8.1999999999999993</v>
      </c>
      <c r="K629" s="7">
        <v>38733.333333333299</v>
      </c>
      <c r="L629" s="7">
        <v>39435.1233333333</v>
      </c>
    </row>
    <row r="630" spans="1:12" x14ac:dyDescent="0.25">
      <c r="A630" s="9">
        <v>45839</v>
      </c>
      <c r="B630" t="s">
        <v>94</v>
      </c>
      <c r="C630" t="s">
        <v>95</v>
      </c>
      <c r="D630" t="s">
        <v>34</v>
      </c>
      <c r="E630" t="s">
        <v>2091</v>
      </c>
      <c r="F630" s="8">
        <v>9.3000000000000007</v>
      </c>
      <c r="G630" s="6">
        <v>25000</v>
      </c>
      <c r="H630" s="8">
        <v>43.2</v>
      </c>
      <c r="I630" s="7">
        <v>692.31</v>
      </c>
      <c r="J630" s="8">
        <v>5.4</v>
      </c>
      <c r="K630" s="7">
        <v>19375</v>
      </c>
      <c r="L630" s="7">
        <v>20067.310000000001</v>
      </c>
    </row>
    <row r="631" spans="1:12" x14ac:dyDescent="0.25">
      <c r="A631" s="9">
        <v>45839</v>
      </c>
      <c r="B631" t="s">
        <v>41</v>
      </c>
      <c r="C631" t="s">
        <v>42</v>
      </c>
      <c r="D631" t="s">
        <v>34</v>
      </c>
      <c r="E631" t="s">
        <v>2091</v>
      </c>
      <c r="F631" s="8">
        <v>6.6</v>
      </c>
      <c r="G631" s="6">
        <v>25000</v>
      </c>
      <c r="H631" s="8">
        <v>51.9</v>
      </c>
      <c r="I631" s="7">
        <v>831.73</v>
      </c>
      <c r="J631" s="8">
        <v>1.1000000000000001</v>
      </c>
      <c r="K631" s="7">
        <v>13750</v>
      </c>
      <c r="L631" s="7">
        <v>14581.73</v>
      </c>
    </row>
    <row r="632" spans="1:12" x14ac:dyDescent="0.25">
      <c r="A632" s="9">
        <v>45839</v>
      </c>
      <c r="B632" t="s">
        <v>41</v>
      </c>
      <c r="C632" t="s">
        <v>42</v>
      </c>
      <c r="D632" t="s">
        <v>34</v>
      </c>
      <c r="E632" t="s">
        <v>2096</v>
      </c>
      <c r="F632" s="8">
        <v>8.6999999999999993</v>
      </c>
      <c r="G632" s="6">
        <v>35000</v>
      </c>
      <c r="H632" s="8">
        <v>42.7</v>
      </c>
      <c r="I632" s="7">
        <v>958.01</v>
      </c>
      <c r="J632" s="8">
        <v>3.8</v>
      </c>
      <c r="K632" s="7">
        <v>25375</v>
      </c>
      <c r="L632" s="7">
        <v>26333.01</v>
      </c>
    </row>
    <row r="633" spans="1:12" x14ac:dyDescent="0.25">
      <c r="A633" s="9">
        <v>45839</v>
      </c>
      <c r="B633" t="s">
        <v>41</v>
      </c>
      <c r="C633" t="s">
        <v>42</v>
      </c>
      <c r="D633" t="s">
        <v>34</v>
      </c>
      <c r="E633" t="s">
        <v>2092</v>
      </c>
      <c r="F633" s="8">
        <v>14.2</v>
      </c>
      <c r="G633" s="6">
        <v>43000</v>
      </c>
      <c r="H633" s="8">
        <v>44.3</v>
      </c>
      <c r="I633" s="7">
        <v>1221.0899999999999</v>
      </c>
      <c r="J633" s="8">
        <v>6.5</v>
      </c>
      <c r="K633" s="7">
        <v>50883.333333333299</v>
      </c>
      <c r="L633" s="7">
        <v>52104.423333333303</v>
      </c>
    </row>
    <row r="634" spans="1:12" x14ac:dyDescent="0.25">
      <c r="A634" s="9">
        <v>45839</v>
      </c>
      <c r="B634" t="s">
        <v>41</v>
      </c>
      <c r="C634" t="s">
        <v>42</v>
      </c>
      <c r="D634" t="s">
        <v>34</v>
      </c>
      <c r="E634" t="s">
        <v>2093</v>
      </c>
      <c r="F634" s="8">
        <v>15.5</v>
      </c>
      <c r="G634" s="6">
        <v>29000</v>
      </c>
      <c r="H634" s="8">
        <v>40.9</v>
      </c>
      <c r="I634" s="7">
        <v>760.32</v>
      </c>
      <c r="J634" s="8">
        <v>9.4</v>
      </c>
      <c r="K634" s="7">
        <v>37458.333333333299</v>
      </c>
      <c r="L634" s="7">
        <v>38218.653333333299</v>
      </c>
    </row>
    <row r="635" spans="1:12" x14ac:dyDescent="0.25">
      <c r="A635" s="9">
        <v>45839</v>
      </c>
      <c r="B635" t="s">
        <v>47</v>
      </c>
      <c r="C635" t="s">
        <v>48</v>
      </c>
      <c r="D635" t="s">
        <v>34</v>
      </c>
      <c r="E635" t="s">
        <v>2094</v>
      </c>
      <c r="F635" s="8">
        <v>10.7</v>
      </c>
      <c r="G635" s="6">
        <v>41000</v>
      </c>
      <c r="H635" s="8">
        <v>56.3</v>
      </c>
      <c r="I635" s="7">
        <v>1479.68</v>
      </c>
      <c r="J635" s="8">
        <v>5.4</v>
      </c>
      <c r="K635" s="7">
        <v>36558.333333333299</v>
      </c>
      <c r="L635" s="7">
        <v>38038.0133333333</v>
      </c>
    </row>
    <row r="636" spans="1:12" x14ac:dyDescent="0.25">
      <c r="A636" s="9">
        <v>45839</v>
      </c>
      <c r="B636" t="s">
        <v>47</v>
      </c>
      <c r="C636" t="s">
        <v>48</v>
      </c>
      <c r="D636" t="s">
        <v>34</v>
      </c>
      <c r="E636" t="s">
        <v>2092</v>
      </c>
      <c r="F636" s="8">
        <v>15.2</v>
      </c>
      <c r="G636" s="6">
        <v>43000</v>
      </c>
      <c r="H636" s="8">
        <v>91.6</v>
      </c>
      <c r="I636" s="7">
        <v>2524.87</v>
      </c>
      <c r="J636" s="8">
        <v>6.1</v>
      </c>
      <c r="K636" s="7">
        <v>54466.666666666701</v>
      </c>
      <c r="L636" s="7">
        <v>56991.536666666703</v>
      </c>
    </row>
    <row r="637" spans="1:12" x14ac:dyDescent="0.25">
      <c r="A637" s="9">
        <v>45839</v>
      </c>
      <c r="B637" t="s">
        <v>47</v>
      </c>
      <c r="C637" t="s">
        <v>48</v>
      </c>
      <c r="D637" t="s">
        <v>34</v>
      </c>
      <c r="E637" t="s">
        <v>2096</v>
      </c>
      <c r="F637" s="8">
        <v>12.3</v>
      </c>
      <c r="G637" s="6">
        <v>35000</v>
      </c>
      <c r="H637" s="8">
        <v>24.6</v>
      </c>
      <c r="I637" s="7">
        <v>551.91999999999996</v>
      </c>
      <c r="J637" s="8">
        <v>4</v>
      </c>
      <c r="K637" s="7">
        <v>35875</v>
      </c>
      <c r="L637" s="7">
        <v>36426.92</v>
      </c>
    </row>
    <row r="638" spans="1:12" x14ac:dyDescent="0.25">
      <c r="A638" s="9">
        <v>45839</v>
      </c>
      <c r="B638" t="s">
        <v>47</v>
      </c>
      <c r="C638" t="s">
        <v>48</v>
      </c>
      <c r="D638" t="s">
        <v>34</v>
      </c>
      <c r="E638" t="s">
        <v>2093</v>
      </c>
      <c r="F638" s="8">
        <v>12.2</v>
      </c>
      <c r="G638" s="6">
        <v>29000</v>
      </c>
      <c r="H638" s="8">
        <v>36</v>
      </c>
      <c r="I638" s="7">
        <v>669.23</v>
      </c>
      <c r="J638" s="8">
        <v>6.3</v>
      </c>
      <c r="K638" s="7">
        <v>29483.333333333299</v>
      </c>
      <c r="L638" s="7">
        <v>30152.563333333299</v>
      </c>
    </row>
    <row r="639" spans="1:12" x14ac:dyDescent="0.25">
      <c r="A639" s="9">
        <v>45839</v>
      </c>
      <c r="B639" t="s">
        <v>47</v>
      </c>
      <c r="C639" t="s">
        <v>48</v>
      </c>
      <c r="D639" t="s">
        <v>34</v>
      </c>
      <c r="E639" t="s">
        <v>2095</v>
      </c>
      <c r="F639" s="8">
        <v>15.8</v>
      </c>
      <c r="G639" s="6">
        <v>27000</v>
      </c>
      <c r="H639" s="8">
        <v>65.599999999999994</v>
      </c>
      <c r="I639" s="7">
        <v>1135.3800000000001</v>
      </c>
      <c r="J639" s="8">
        <v>8</v>
      </c>
      <c r="K639" s="7">
        <v>35550</v>
      </c>
      <c r="L639" s="7">
        <v>36685.379999999997</v>
      </c>
    </row>
    <row r="640" spans="1:12" x14ac:dyDescent="0.25">
      <c r="A640" s="9">
        <v>45839</v>
      </c>
      <c r="B640" t="s">
        <v>47</v>
      </c>
      <c r="C640" t="s">
        <v>48</v>
      </c>
      <c r="D640" t="s">
        <v>34</v>
      </c>
      <c r="E640" t="s">
        <v>2091</v>
      </c>
      <c r="F640" s="8">
        <v>3.8</v>
      </c>
      <c r="G640" s="6">
        <v>25000</v>
      </c>
      <c r="H640" s="8">
        <v>7.2</v>
      </c>
      <c r="I640" s="7">
        <v>115.38</v>
      </c>
      <c r="J640" s="8">
        <v>2.7</v>
      </c>
      <c r="K640" s="7">
        <v>7916.6666666666697</v>
      </c>
      <c r="L640" s="7">
        <v>8032.0466666666698</v>
      </c>
    </row>
    <row r="641" spans="1:12" x14ac:dyDescent="0.25">
      <c r="A641" s="9">
        <v>45839</v>
      </c>
      <c r="B641" t="s">
        <v>121</v>
      </c>
      <c r="C641" t="s">
        <v>122</v>
      </c>
      <c r="D641" t="s">
        <v>34</v>
      </c>
      <c r="E641" t="s">
        <v>2091</v>
      </c>
      <c r="F641" s="8">
        <v>17.100000000000001</v>
      </c>
      <c r="G641" s="6">
        <v>25000</v>
      </c>
      <c r="H641" s="8">
        <v>74.5</v>
      </c>
      <c r="I641" s="7">
        <v>1193.9100000000001</v>
      </c>
      <c r="J641" s="8">
        <v>9.3000000000000007</v>
      </c>
      <c r="K641" s="7">
        <v>35625</v>
      </c>
      <c r="L641" s="7">
        <v>36818.910000000003</v>
      </c>
    </row>
    <row r="642" spans="1:12" x14ac:dyDescent="0.25">
      <c r="A642" s="9">
        <v>45839</v>
      </c>
      <c r="B642" t="s">
        <v>121</v>
      </c>
      <c r="C642" t="s">
        <v>122</v>
      </c>
      <c r="D642" t="s">
        <v>34</v>
      </c>
      <c r="E642" t="s">
        <v>2096</v>
      </c>
      <c r="F642" s="8">
        <v>10.1</v>
      </c>
      <c r="G642" s="6">
        <v>35000</v>
      </c>
      <c r="H642" s="8">
        <v>11.7</v>
      </c>
      <c r="I642" s="7">
        <v>262.5</v>
      </c>
      <c r="J642" s="8">
        <v>5.4</v>
      </c>
      <c r="K642" s="7">
        <v>29458.333333333299</v>
      </c>
      <c r="L642" s="7">
        <v>29720.833333333299</v>
      </c>
    </row>
    <row r="643" spans="1:12" x14ac:dyDescent="0.25">
      <c r="A643" s="9">
        <v>45839</v>
      </c>
      <c r="B643" t="s">
        <v>121</v>
      </c>
      <c r="C643" t="s">
        <v>122</v>
      </c>
      <c r="D643" t="s">
        <v>34</v>
      </c>
      <c r="E643" t="s">
        <v>2092</v>
      </c>
      <c r="F643" s="8">
        <v>10.9</v>
      </c>
      <c r="G643" s="6">
        <v>43000</v>
      </c>
      <c r="H643" s="8">
        <v>24.2</v>
      </c>
      <c r="I643" s="7">
        <v>667.05</v>
      </c>
      <c r="J643" s="8">
        <v>5.0999999999999996</v>
      </c>
      <c r="K643" s="7">
        <v>39058.333333333299</v>
      </c>
      <c r="L643" s="7">
        <v>39725.383333333302</v>
      </c>
    </row>
    <row r="644" spans="1:12" x14ac:dyDescent="0.25">
      <c r="A644" s="9">
        <v>45839</v>
      </c>
      <c r="B644" t="s">
        <v>121</v>
      </c>
      <c r="C644" t="s">
        <v>122</v>
      </c>
      <c r="D644" t="s">
        <v>34</v>
      </c>
      <c r="E644" t="s">
        <v>2097</v>
      </c>
      <c r="F644" s="8">
        <v>18</v>
      </c>
      <c r="G644" s="6">
        <v>28000</v>
      </c>
      <c r="H644" s="8">
        <v>86.4</v>
      </c>
      <c r="I644" s="7">
        <v>1550.77</v>
      </c>
      <c r="J644" s="8">
        <v>9.1</v>
      </c>
      <c r="K644" s="7">
        <v>42000</v>
      </c>
      <c r="L644" s="7">
        <v>43550.77</v>
      </c>
    </row>
    <row r="645" spans="1:12" x14ac:dyDescent="0.25">
      <c r="A645" s="9">
        <v>45839</v>
      </c>
      <c r="B645" t="s">
        <v>121</v>
      </c>
      <c r="C645" t="s">
        <v>122</v>
      </c>
      <c r="D645" t="s">
        <v>34</v>
      </c>
      <c r="E645" t="s">
        <v>2093</v>
      </c>
      <c r="F645" s="8">
        <v>12.7</v>
      </c>
      <c r="G645" s="6">
        <v>29000</v>
      </c>
      <c r="H645" s="8">
        <v>34.6</v>
      </c>
      <c r="I645" s="7">
        <v>643.21</v>
      </c>
      <c r="J645" s="8">
        <v>6.4</v>
      </c>
      <c r="K645" s="7">
        <v>30691.666666666701</v>
      </c>
      <c r="L645" s="7">
        <v>31334.8766666667</v>
      </c>
    </row>
    <row r="646" spans="1:12" x14ac:dyDescent="0.25">
      <c r="A646" s="9">
        <v>45839</v>
      </c>
      <c r="B646" t="s">
        <v>201</v>
      </c>
      <c r="C646" t="s">
        <v>202</v>
      </c>
      <c r="D646" t="s">
        <v>64</v>
      </c>
      <c r="E646" t="s">
        <v>2097</v>
      </c>
      <c r="F646" s="8">
        <v>8.1</v>
      </c>
      <c r="G646" s="6">
        <v>28000</v>
      </c>
      <c r="H646" s="8">
        <v>13.8</v>
      </c>
      <c r="I646" s="7">
        <v>247.69</v>
      </c>
      <c r="J646" s="8">
        <v>5.2</v>
      </c>
      <c r="K646" s="7">
        <v>18900</v>
      </c>
      <c r="L646" s="7">
        <v>19147.689999999999</v>
      </c>
    </row>
    <row r="647" spans="1:12" x14ac:dyDescent="0.25">
      <c r="A647" s="9">
        <v>45839</v>
      </c>
      <c r="B647" t="s">
        <v>201</v>
      </c>
      <c r="C647" t="s">
        <v>202</v>
      </c>
      <c r="D647" t="s">
        <v>64</v>
      </c>
      <c r="E647" t="s">
        <v>2092</v>
      </c>
      <c r="F647" s="8">
        <v>14.1</v>
      </c>
      <c r="G647" s="6">
        <v>43000</v>
      </c>
      <c r="H647" s="8">
        <v>52.1</v>
      </c>
      <c r="I647" s="7">
        <v>1436.09</v>
      </c>
      <c r="J647" s="8">
        <v>8.1999999999999993</v>
      </c>
      <c r="K647" s="7">
        <v>50525</v>
      </c>
      <c r="L647" s="7">
        <v>51961.09</v>
      </c>
    </row>
    <row r="648" spans="1:12" x14ac:dyDescent="0.25">
      <c r="A648" s="9">
        <v>45839</v>
      </c>
      <c r="B648" t="s">
        <v>201</v>
      </c>
      <c r="C648" t="s">
        <v>202</v>
      </c>
      <c r="D648" t="s">
        <v>64</v>
      </c>
      <c r="E648" t="s">
        <v>2093</v>
      </c>
      <c r="F648" s="8">
        <v>3.7</v>
      </c>
      <c r="G648" s="6">
        <v>29000</v>
      </c>
      <c r="H648" s="8">
        <v>11.9</v>
      </c>
      <c r="I648" s="7">
        <v>221.22</v>
      </c>
      <c r="J648" s="8">
        <v>1.3</v>
      </c>
      <c r="K648" s="7">
        <v>8941.6666666666697</v>
      </c>
      <c r="L648" s="7">
        <v>9162.8866666666709</v>
      </c>
    </row>
    <row r="649" spans="1:12" x14ac:dyDescent="0.25">
      <c r="A649" s="9">
        <v>45839</v>
      </c>
      <c r="B649" t="s">
        <v>201</v>
      </c>
      <c r="C649" t="s">
        <v>202</v>
      </c>
      <c r="D649" t="s">
        <v>64</v>
      </c>
      <c r="E649" t="s">
        <v>2096</v>
      </c>
      <c r="F649" s="8">
        <v>6.9</v>
      </c>
      <c r="G649" s="6">
        <v>35000</v>
      </c>
      <c r="H649" s="8">
        <v>19.7</v>
      </c>
      <c r="I649" s="7">
        <v>441.99</v>
      </c>
      <c r="J649" s="8">
        <v>4.3</v>
      </c>
      <c r="K649" s="7">
        <v>20125</v>
      </c>
      <c r="L649" s="7">
        <v>20566.990000000002</v>
      </c>
    </row>
    <row r="650" spans="1:12" x14ac:dyDescent="0.25">
      <c r="A650" s="9">
        <v>45839</v>
      </c>
      <c r="B650" t="s">
        <v>201</v>
      </c>
      <c r="C650" t="s">
        <v>202</v>
      </c>
      <c r="D650" t="s">
        <v>64</v>
      </c>
      <c r="E650" t="s">
        <v>2095</v>
      </c>
      <c r="F650" s="8">
        <v>18.399999999999999</v>
      </c>
      <c r="G650" s="6">
        <v>27000</v>
      </c>
      <c r="H650" s="8">
        <v>54</v>
      </c>
      <c r="I650" s="7">
        <v>934.62</v>
      </c>
      <c r="J650" s="8">
        <v>9.8000000000000007</v>
      </c>
      <c r="K650" s="7">
        <v>41400</v>
      </c>
      <c r="L650" s="7">
        <v>42334.62</v>
      </c>
    </row>
    <row r="651" spans="1:12" x14ac:dyDescent="0.25">
      <c r="A651" s="9">
        <v>45839</v>
      </c>
      <c r="B651" t="s">
        <v>118</v>
      </c>
      <c r="C651" t="s">
        <v>119</v>
      </c>
      <c r="D651" t="s">
        <v>64</v>
      </c>
      <c r="E651" t="s">
        <v>2096</v>
      </c>
      <c r="F651" s="8">
        <v>6.8</v>
      </c>
      <c r="G651" s="6">
        <v>35000</v>
      </c>
      <c r="H651" s="8">
        <v>23.3</v>
      </c>
      <c r="I651" s="7">
        <v>522.76</v>
      </c>
      <c r="J651" s="8">
        <v>1.4</v>
      </c>
      <c r="K651" s="7">
        <v>19833.333333333299</v>
      </c>
      <c r="L651" s="7">
        <v>20356.093333333301</v>
      </c>
    </row>
    <row r="652" spans="1:12" x14ac:dyDescent="0.25">
      <c r="A652" s="9">
        <v>45839</v>
      </c>
      <c r="B652" t="s">
        <v>118</v>
      </c>
      <c r="C652" t="s">
        <v>119</v>
      </c>
      <c r="D652" t="s">
        <v>64</v>
      </c>
      <c r="E652" t="s">
        <v>2094</v>
      </c>
      <c r="F652" s="8">
        <v>17</v>
      </c>
      <c r="G652" s="6">
        <v>41000</v>
      </c>
      <c r="H652" s="8">
        <v>53.5</v>
      </c>
      <c r="I652" s="7">
        <v>1406.09</v>
      </c>
      <c r="J652" s="8">
        <v>7.3</v>
      </c>
      <c r="K652" s="7">
        <v>58083.333333333299</v>
      </c>
      <c r="L652" s="7">
        <v>59489.423333333303</v>
      </c>
    </row>
    <row r="653" spans="1:12" x14ac:dyDescent="0.25">
      <c r="A653" s="9">
        <v>45839</v>
      </c>
      <c r="B653" t="s">
        <v>118</v>
      </c>
      <c r="C653" t="s">
        <v>119</v>
      </c>
      <c r="D653" t="s">
        <v>64</v>
      </c>
      <c r="E653" t="s">
        <v>2091</v>
      </c>
      <c r="F653" s="8">
        <v>7.1</v>
      </c>
      <c r="G653" s="6">
        <v>25000</v>
      </c>
      <c r="H653" s="8">
        <v>28.8</v>
      </c>
      <c r="I653" s="7">
        <v>461.54</v>
      </c>
      <c r="J653" s="8">
        <v>2.4</v>
      </c>
      <c r="K653" s="7">
        <v>14791.666666666701</v>
      </c>
      <c r="L653" s="7">
        <v>15253.2066666667</v>
      </c>
    </row>
    <row r="654" spans="1:12" x14ac:dyDescent="0.25">
      <c r="A654" s="9">
        <v>45839</v>
      </c>
      <c r="B654" t="s">
        <v>118</v>
      </c>
      <c r="C654" t="s">
        <v>119</v>
      </c>
      <c r="D654" t="s">
        <v>64</v>
      </c>
      <c r="E654" t="s">
        <v>2093</v>
      </c>
      <c r="F654" s="8">
        <v>3</v>
      </c>
      <c r="G654" s="6">
        <v>29000</v>
      </c>
      <c r="H654" s="8">
        <v>16.2</v>
      </c>
      <c r="I654" s="7">
        <v>301.14999999999998</v>
      </c>
      <c r="J654" s="8">
        <v>1.4</v>
      </c>
      <c r="K654" s="7">
        <v>7250</v>
      </c>
      <c r="L654" s="7">
        <v>7551.15</v>
      </c>
    </row>
    <row r="655" spans="1:12" x14ac:dyDescent="0.25">
      <c r="A655" s="9">
        <v>45839</v>
      </c>
      <c r="B655" t="s">
        <v>118</v>
      </c>
      <c r="C655" t="s">
        <v>119</v>
      </c>
      <c r="D655" t="s">
        <v>64</v>
      </c>
      <c r="E655" t="s">
        <v>2092</v>
      </c>
      <c r="F655" s="8">
        <v>3.8</v>
      </c>
      <c r="G655" s="6">
        <v>43000</v>
      </c>
      <c r="H655" s="8">
        <v>14.2</v>
      </c>
      <c r="I655" s="7">
        <v>391.41</v>
      </c>
      <c r="J655" s="8">
        <v>2.6</v>
      </c>
      <c r="K655" s="7">
        <v>13616.666666666701</v>
      </c>
      <c r="L655" s="7">
        <v>14008.0766666667</v>
      </c>
    </row>
    <row r="656" spans="1:12" x14ac:dyDescent="0.25">
      <c r="A656" s="9">
        <v>45839</v>
      </c>
      <c r="B656" t="s">
        <v>62</v>
      </c>
      <c r="C656" t="s">
        <v>63</v>
      </c>
      <c r="D656" t="s">
        <v>64</v>
      </c>
      <c r="E656" t="s">
        <v>2097</v>
      </c>
      <c r="F656" s="8">
        <v>3.3</v>
      </c>
      <c r="G656" s="6">
        <v>28000</v>
      </c>
      <c r="H656" s="8">
        <v>18</v>
      </c>
      <c r="I656" s="7">
        <v>323.08</v>
      </c>
      <c r="J656" s="8">
        <v>1.6</v>
      </c>
      <c r="K656" s="7">
        <v>7700</v>
      </c>
      <c r="L656" s="7">
        <v>8023.08</v>
      </c>
    </row>
    <row r="657" spans="1:12" x14ac:dyDescent="0.25">
      <c r="A657" s="9">
        <v>45839</v>
      </c>
      <c r="B657" t="s">
        <v>62</v>
      </c>
      <c r="C657" t="s">
        <v>63</v>
      </c>
      <c r="D657" t="s">
        <v>64</v>
      </c>
      <c r="E657" t="s">
        <v>2094</v>
      </c>
      <c r="F657" s="8">
        <v>17.8</v>
      </c>
      <c r="G657" s="6">
        <v>41000</v>
      </c>
      <c r="H657" s="8">
        <v>50.6</v>
      </c>
      <c r="I657" s="7">
        <v>1329.87</v>
      </c>
      <c r="J657" s="8">
        <v>7.1</v>
      </c>
      <c r="K657" s="7">
        <v>60816.666666666701</v>
      </c>
      <c r="L657" s="7">
        <v>62146.536666666703</v>
      </c>
    </row>
    <row r="658" spans="1:12" x14ac:dyDescent="0.25">
      <c r="A658" s="9">
        <v>45839</v>
      </c>
      <c r="B658" t="s">
        <v>62</v>
      </c>
      <c r="C658" t="s">
        <v>63</v>
      </c>
      <c r="D658" t="s">
        <v>64</v>
      </c>
      <c r="E658" t="s">
        <v>2092</v>
      </c>
      <c r="F658" s="8">
        <v>15.5</v>
      </c>
      <c r="G658" s="6">
        <v>43000</v>
      </c>
      <c r="H658" s="8">
        <v>46</v>
      </c>
      <c r="I658" s="7">
        <v>1267.95</v>
      </c>
      <c r="J658" s="8">
        <v>7.1</v>
      </c>
      <c r="K658" s="7">
        <v>55541.666666666701</v>
      </c>
      <c r="L658" s="7">
        <v>56809.616666666698</v>
      </c>
    </row>
    <row r="659" spans="1:12" x14ac:dyDescent="0.25">
      <c r="A659" s="9">
        <v>45839</v>
      </c>
      <c r="B659" t="s">
        <v>62</v>
      </c>
      <c r="C659" t="s">
        <v>63</v>
      </c>
      <c r="D659" t="s">
        <v>64</v>
      </c>
      <c r="E659" t="s">
        <v>2096</v>
      </c>
      <c r="F659" s="8">
        <v>16</v>
      </c>
      <c r="G659" s="6">
        <v>35000</v>
      </c>
      <c r="H659" s="8">
        <v>66.599999999999994</v>
      </c>
      <c r="I659" s="7">
        <v>1494.23</v>
      </c>
      <c r="J659" s="8">
        <v>7.7</v>
      </c>
      <c r="K659" s="7">
        <v>46666.666666666701</v>
      </c>
      <c r="L659" s="7">
        <v>48160.896666666697</v>
      </c>
    </row>
    <row r="660" spans="1:12" x14ac:dyDescent="0.25">
      <c r="A660" s="9">
        <v>45839</v>
      </c>
      <c r="B660" t="s">
        <v>91</v>
      </c>
      <c r="C660" t="s">
        <v>92</v>
      </c>
      <c r="D660" t="s">
        <v>64</v>
      </c>
      <c r="E660" t="s">
        <v>2097</v>
      </c>
      <c r="F660" s="8">
        <v>6.6</v>
      </c>
      <c r="G660" s="6">
        <v>28000</v>
      </c>
      <c r="H660" s="8">
        <v>33.200000000000003</v>
      </c>
      <c r="I660" s="7">
        <v>595.9</v>
      </c>
      <c r="J660" s="8">
        <v>2.7</v>
      </c>
      <c r="K660" s="7">
        <v>15400</v>
      </c>
      <c r="L660" s="7">
        <v>15995.9</v>
      </c>
    </row>
    <row r="661" spans="1:12" x14ac:dyDescent="0.25">
      <c r="A661" s="9">
        <v>45839</v>
      </c>
      <c r="B661" t="s">
        <v>91</v>
      </c>
      <c r="C661" t="s">
        <v>92</v>
      </c>
      <c r="D661" t="s">
        <v>64</v>
      </c>
      <c r="E661" t="s">
        <v>2092</v>
      </c>
      <c r="F661" s="8">
        <v>14.2</v>
      </c>
      <c r="G661" s="6">
        <v>43000</v>
      </c>
      <c r="H661" s="8">
        <v>55.6</v>
      </c>
      <c r="I661" s="7">
        <v>1532.56</v>
      </c>
      <c r="J661" s="8">
        <v>8.3000000000000007</v>
      </c>
      <c r="K661" s="7">
        <v>50883.333333333299</v>
      </c>
      <c r="L661" s="7">
        <v>52415.893333333297</v>
      </c>
    </row>
    <row r="662" spans="1:12" x14ac:dyDescent="0.25">
      <c r="A662" s="9">
        <v>45839</v>
      </c>
      <c r="B662" t="s">
        <v>91</v>
      </c>
      <c r="C662" t="s">
        <v>92</v>
      </c>
      <c r="D662" t="s">
        <v>64</v>
      </c>
      <c r="E662" t="s">
        <v>2091</v>
      </c>
      <c r="F662" s="8">
        <v>7.9</v>
      </c>
      <c r="G662" s="6">
        <v>25000</v>
      </c>
      <c r="H662" s="8">
        <v>35.700000000000003</v>
      </c>
      <c r="I662" s="7">
        <v>572.12</v>
      </c>
      <c r="J662" s="8">
        <v>3.9</v>
      </c>
      <c r="K662" s="7">
        <v>16458.333333333299</v>
      </c>
      <c r="L662" s="7">
        <v>17030.453333333298</v>
      </c>
    </row>
    <row r="663" spans="1:12" x14ac:dyDescent="0.25">
      <c r="A663" s="9">
        <v>45839</v>
      </c>
      <c r="B663" t="s">
        <v>91</v>
      </c>
      <c r="C663" t="s">
        <v>92</v>
      </c>
      <c r="D663" t="s">
        <v>64</v>
      </c>
      <c r="E663" t="s">
        <v>2096</v>
      </c>
      <c r="F663" s="8">
        <v>5</v>
      </c>
      <c r="G663" s="6">
        <v>35000</v>
      </c>
      <c r="H663" s="8">
        <v>15.5</v>
      </c>
      <c r="I663" s="7">
        <v>347.76</v>
      </c>
      <c r="J663" s="8">
        <v>1.9</v>
      </c>
      <c r="K663" s="7">
        <v>14583.333333333299</v>
      </c>
      <c r="L663" s="7">
        <v>14931.0933333333</v>
      </c>
    </row>
    <row r="664" spans="1:12" x14ac:dyDescent="0.25">
      <c r="A664" s="9">
        <v>45839</v>
      </c>
      <c r="B664" t="s">
        <v>91</v>
      </c>
      <c r="C664" t="s">
        <v>92</v>
      </c>
      <c r="D664" t="s">
        <v>64</v>
      </c>
      <c r="E664" t="s">
        <v>2094</v>
      </c>
      <c r="F664" s="8">
        <v>7</v>
      </c>
      <c r="G664" s="6">
        <v>41000</v>
      </c>
      <c r="H664" s="8">
        <v>19.100000000000001</v>
      </c>
      <c r="I664" s="7">
        <v>501.99</v>
      </c>
      <c r="J664" s="8">
        <v>3</v>
      </c>
      <c r="K664" s="7">
        <v>23916.666666666701</v>
      </c>
      <c r="L664" s="7">
        <v>24418.656666666699</v>
      </c>
    </row>
    <row r="665" spans="1:12" x14ac:dyDescent="0.25">
      <c r="A665" s="9">
        <v>45839</v>
      </c>
      <c r="B665" t="s">
        <v>80</v>
      </c>
      <c r="C665" t="s">
        <v>81</v>
      </c>
      <c r="D665" t="s">
        <v>64</v>
      </c>
      <c r="E665" t="s">
        <v>2092</v>
      </c>
      <c r="F665" s="8">
        <v>14.2</v>
      </c>
      <c r="G665" s="6">
        <v>43000</v>
      </c>
      <c r="H665" s="8">
        <v>72.900000000000006</v>
      </c>
      <c r="I665" s="7">
        <v>2009.42</v>
      </c>
      <c r="J665" s="8">
        <v>6.9</v>
      </c>
      <c r="K665" s="7">
        <v>50883.333333333299</v>
      </c>
      <c r="L665" s="7">
        <v>52892.753333333298</v>
      </c>
    </row>
    <row r="666" spans="1:12" x14ac:dyDescent="0.25">
      <c r="A666" s="9">
        <v>45839</v>
      </c>
      <c r="B666" t="s">
        <v>80</v>
      </c>
      <c r="C666" t="s">
        <v>81</v>
      </c>
      <c r="D666" t="s">
        <v>64</v>
      </c>
      <c r="E666" t="s">
        <v>2095</v>
      </c>
      <c r="F666" s="8">
        <v>3.2</v>
      </c>
      <c r="G666" s="6">
        <v>27000</v>
      </c>
      <c r="H666" s="8">
        <v>6.3</v>
      </c>
      <c r="I666" s="7">
        <v>109.04</v>
      </c>
      <c r="J666" s="8">
        <v>3.4</v>
      </c>
      <c r="K666" s="7">
        <v>7200</v>
      </c>
      <c r="L666" s="7">
        <v>7309.04</v>
      </c>
    </row>
    <row r="667" spans="1:12" x14ac:dyDescent="0.25">
      <c r="A667" s="9">
        <v>45839</v>
      </c>
      <c r="B667" t="s">
        <v>80</v>
      </c>
      <c r="C667" t="s">
        <v>81</v>
      </c>
      <c r="D667" t="s">
        <v>64</v>
      </c>
      <c r="E667" t="s">
        <v>2094</v>
      </c>
      <c r="F667" s="8">
        <v>10.3</v>
      </c>
      <c r="G667" s="6">
        <v>41000</v>
      </c>
      <c r="H667" s="8">
        <v>46.1</v>
      </c>
      <c r="I667" s="7">
        <v>1211.5999999999999</v>
      </c>
      <c r="J667" s="8">
        <v>3.7</v>
      </c>
      <c r="K667" s="7">
        <v>35191.666666666701</v>
      </c>
      <c r="L667" s="7">
        <v>36403.266666666699</v>
      </c>
    </row>
    <row r="668" spans="1:12" x14ac:dyDescent="0.25">
      <c r="A668" s="9">
        <v>45839</v>
      </c>
      <c r="B668" t="s">
        <v>80</v>
      </c>
      <c r="C668" t="s">
        <v>81</v>
      </c>
      <c r="D668" t="s">
        <v>64</v>
      </c>
      <c r="E668" t="s">
        <v>2093</v>
      </c>
      <c r="F668" s="8">
        <v>8.6</v>
      </c>
      <c r="G668" s="6">
        <v>29000</v>
      </c>
      <c r="H668" s="8">
        <v>28.7</v>
      </c>
      <c r="I668" s="7">
        <v>533.53</v>
      </c>
      <c r="J668" s="8">
        <v>4.4000000000000004</v>
      </c>
      <c r="K668" s="7">
        <v>20783.333333333299</v>
      </c>
      <c r="L668" s="7">
        <v>21316.863333333298</v>
      </c>
    </row>
    <row r="669" spans="1:12" x14ac:dyDescent="0.25">
      <c r="A669" s="9">
        <v>45839</v>
      </c>
      <c r="B669" t="s">
        <v>80</v>
      </c>
      <c r="C669" t="s">
        <v>81</v>
      </c>
      <c r="D669" t="s">
        <v>64</v>
      </c>
      <c r="E669" t="s">
        <v>2097</v>
      </c>
      <c r="F669" s="8">
        <v>7.2</v>
      </c>
      <c r="G669" s="6">
        <v>28000</v>
      </c>
      <c r="H669" s="8">
        <v>47.2</v>
      </c>
      <c r="I669" s="7">
        <v>847.18</v>
      </c>
      <c r="J669" s="8">
        <v>2.5</v>
      </c>
      <c r="K669" s="7">
        <v>16800</v>
      </c>
      <c r="L669" s="7">
        <v>17647.18</v>
      </c>
    </row>
    <row r="670" spans="1:12" x14ac:dyDescent="0.25">
      <c r="A670" s="9">
        <v>45839</v>
      </c>
      <c r="B670" t="s">
        <v>56</v>
      </c>
      <c r="C670" t="s">
        <v>57</v>
      </c>
      <c r="D670" t="s">
        <v>58</v>
      </c>
      <c r="E670" t="s">
        <v>2091</v>
      </c>
      <c r="F670" s="8">
        <v>14.2</v>
      </c>
      <c r="G670" s="6">
        <v>25000</v>
      </c>
      <c r="H670" s="8">
        <v>77.599999999999994</v>
      </c>
      <c r="I670" s="7">
        <v>1243.5899999999999</v>
      </c>
      <c r="J670" s="8">
        <v>8.5</v>
      </c>
      <c r="K670" s="7">
        <v>29583.333333333299</v>
      </c>
      <c r="L670" s="7">
        <v>30826.9233333333</v>
      </c>
    </row>
    <row r="671" spans="1:12" x14ac:dyDescent="0.25">
      <c r="A671" s="9">
        <v>45839</v>
      </c>
      <c r="B671" t="s">
        <v>56</v>
      </c>
      <c r="C671" t="s">
        <v>57</v>
      </c>
      <c r="D671" t="s">
        <v>58</v>
      </c>
      <c r="E671" t="s">
        <v>2097</v>
      </c>
      <c r="F671" s="8">
        <v>14.4</v>
      </c>
      <c r="G671" s="6">
        <v>28000</v>
      </c>
      <c r="H671" s="8">
        <v>44</v>
      </c>
      <c r="I671" s="7">
        <v>789.74</v>
      </c>
      <c r="J671" s="8">
        <v>6.9</v>
      </c>
      <c r="K671" s="7">
        <v>33600</v>
      </c>
      <c r="L671" s="7">
        <v>34389.74</v>
      </c>
    </row>
    <row r="672" spans="1:12" x14ac:dyDescent="0.25">
      <c r="A672" s="9">
        <v>45839</v>
      </c>
      <c r="B672" t="s">
        <v>56</v>
      </c>
      <c r="C672" t="s">
        <v>57</v>
      </c>
      <c r="D672" t="s">
        <v>58</v>
      </c>
      <c r="E672" t="s">
        <v>2093</v>
      </c>
      <c r="F672" s="8">
        <v>10.1</v>
      </c>
      <c r="G672" s="6">
        <v>29000</v>
      </c>
      <c r="H672" s="8">
        <v>24.7</v>
      </c>
      <c r="I672" s="7">
        <v>459.17</v>
      </c>
      <c r="J672" s="8">
        <v>4.8</v>
      </c>
      <c r="K672" s="7">
        <v>24408.333333333299</v>
      </c>
      <c r="L672" s="7">
        <v>24867.503333333301</v>
      </c>
    </row>
    <row r="673" spans="1:12" x14ac:dyDescent="0.25">
      <c r="A673" s="9">
        <v>45839</v>
      </c>
      <c r="B673" t="s">
        <v>56</v>
      </c>
      <c r="C673" t="s">
        <v>57</v>
      </c>
      <c r="D673" t="s">
        <v>58</v>
      </c>
      <c r="E673" t="s">
        <v>2094</v>
      </c>
      <c r="F673" s="8">
        <v>18.399999999999999</v>
      </c>
      <c r="G673" s="6">
        <v>41000</v>
      </c>
      <c r="H673" s="8">
        <v>72.599999999999994</v>
      </c>
      <c r="I673" s="7">
        <v>1908.08</v>
      </c>
      <c r="J673" s="8">
        <v>9.9</v>
      </c>
      <c r="K673" s="7">
        <v>62866.666666666701</v>
      </c>
      <c r="L673" s="7">
        <v>64774.746666666702</v>
      </c>
    </row>
    <row r="674" spans="1:12" x14ac:dyDescent="0.25">
      <c r="A674" s="9">
        <v>45839</v>
      </c>
      <c r="B674" t="s">
        <v>56</v>
      </c>
      <c r="C674" t="s">
        <v>57</v>
      </c>
      <c r="D674" t="s">
        <v>58</v>
      </c>
      <c r="E674" t="s">
        <v>2095</v>
      </c>
      <c r="F674" s="8">
        <v>6.5</v>
      </c>
      <c r="G674" s="6">
        <v>27000</v>
      </c>
      <c r="H674" s="8">
        <v>36.6</v>
      </c>
      <c r="I674" s="7">
        <v>633.46</v>
      </c>
      <c r="J674" s="8">
        <v>2.5</v>
      </c>
      <c r="K674" s="7">
        <v>14625</v>
      </c>
      <c r="L674" s="7">
        <v>15258.46</v>
      </c>
    </row>
    <row r="675" spans="1:12" x14ac:dyDescent="0.25">
      <c r="A675" s="9">
        <v>45839</v>
      </c>
      <c r="B675" t="s">
        <v>77</v>
      </c>
      <c r="C675" t="s">
        <v>78</v>
      </c>
      <c r="D675" t="s">
        <v>58</v>
      </c>
      <c r="E675" t="s">
        <v>2094</v>
      </c>
      <c r="F675" s="8">
        <v>20</v>
      </c>
      <c r="G675" s="6">
        <v>41000</v>
      </c>
      <c r="H675" s="8">
        <v>21</v>
      </c>
      <c r="I675" s="7">
        <v>551.91999999999996</v>
      </c>
      <c r="J675" s="8">
        <v>10</v>
      </c>
      <c r="K675" s="7">
        <v>68333.333333333299</v>
      </c>
      <c r="L675" s="7">
        <v>68885.253333333298</v>
      </c>
    </row>
    <row r="676" spans="1:12" x14ac:dyDescent="0.25">
      <c r="A676" s="9">
        <v>45839</v>
      </c>
      <c r="B676" t="s">
        <v>77</v>
      </c>
      <c r="C676" t="s">
        <v>78</v>
      </c>
      <c r="D676" t="s">
        <v>58</v>
      </c>
      <c r="E676" t="s">
        <v>2091</v>
      </c>
      <c r="F676" s="8">
        <v>14.8</v>
      </c>
      <c r="G676" s="6">
        <v>25000</v>
      </c>
      <c r="H676" s="8">
        <v>65.7</v>
      </c>
      <c r="I676" s="7">
        <v>1052.8800000000001</v>
      </c>
      <c r="J676" s="8">
        <v>7.6</v>
      </c>
      <c r="K676" s="7">
        <v>30833.333333333299</v>
      </c>
      <c r="L676" s="7">
        <v>31886.2133333333</v>
      </c>
    </row>
    <row r="677" spans="1:12" x14ac:dyDescent="0.25">
      <c r="A677" s="9">
        <v>45839</v>
      </c>
      <c r="B677" t="s">
        <v>77</v>
      </c>
      <c r="C677" t="s">
        <v>78</v>
      </c>
      <c r="D677" t="s">
        <v>58</v>
      </c>
      <c r="E677" t="s">
        <v>2097</v>
      </c>
      <c r="F677" s="8">
        <v>13.9</v>
      </c>
      <c r="G677" s="6">
        <v>28000</v>
      </c>
      <c r="H677" s="8">
        <v>48.8</v>
      </c>
      <c r="I677" s="7">
        <v>875.9</v>
      </c>
      <c r="J677" s="8">
        <v>7.1</v>
      </c>
      <c r="K677" s="7">
        <v>32433.333333333299</v>
      </c>
      <c r="L677" s="7">
        <v>33309.233333333301</v>
      </c>
    </row>
    <row r="678" spans="1:12" x14ac:dyDescent="0.25">
      <c r="A678" s="9">
        <v>45839</v>
      </c>
      <c r="B678" t="s">
        <v>77</v>
      </c>
      <c r="C678" t="s">
        <v>78</v>
      </c>
      <c r="D678" t="s">
        <v>58</v>
      </c>
      <c r="E678" t="s">
        <v>2092</v>
      </c>
      <c r="F678" s="8">
        <v>4.3</v>
      </c>
      <c r="G678" s="6">
        <v>43000</v>
      </c>
      <c r="H678" s="8">
        <v>27</v>
      </c>
      <c r="I678" s="7">
        <v>744.23</v>
      </c>
      <c r="J678" s="8">
        <v>2.5</v>
      </c>
      <c r="K678" s="7">
        <v>15408.333333333299</v>
      </c>
      <c r="L678" s="7">
        <v>16152.563333333301</v>
      </c>
    </row>
    <row r="679" spans="1:12" x14ac:dyDescent="0.25">
      <c r="A679" s="9">
        <v>45839</v>
      </c>
      <c r="B679" t="s">
        <v>110</v>
      </c>
      <c r="C679" t="s">
        <v>111</v>
      </c>
      <c r="D679" t="s">
        <v>58</v>
      </c>
      <c r="E679" t="s">
        <v>2097</v>
      </c>
      <c r="F679" s="8">
        <v>4.0999999999999996</v>
      </c>
      <c r="G679" s="6">
        <v>28000</v>
      </c>
      <c r="H679" s="8">
        <v>14.1</v>
      </c>
      <c r="I679" s="7">
        <v>253.08</v>
      </c>
      <c r="J679" s="8">
        <v>1.5</v>
      </c>
      <c r="K679" s="7">
        <v>9566.6666666666697</v>
      </c>
      <c r="L679" s="7">
        <v>9819.7466666666696</v>
      </c>
    </row>
    <row r="680" spans="1:12" x14ac:dyDescent="0.25">
      <c r="A680" s="9">
        <v>45839</v>
      </c>
      <c r="B680" t="s">
        <v>110</v>
      </c>
      <c r="C680" t="s">
        <v>111</v>
      </c>
      <c r="D680" t="s">
        <v>58</v>
      </c>
      <c r="E680" t="s">
        <v>2091</v>
      </c>
      <c r="F680" s="8">
        <v>16.100000000000001</v>
      </c>
      <c r="G680" s="6">
        <v>25000</v>
      </c>
      <c r="H680" s="8">
        <v>60.3</v>
      </c>
      <c r="I680" s="7">
        <v>966.35</v>
      </c>
      <c r="J680" s="8">
        <v>9.6999999999999993</v>
      </c>
      <c r="K680" s="7">
        <v>33541.666666666701</v>
      </c>
      <c r="L680" s="7">
        <v>34508.016666666699</v>
      </c>
    </row>
    <row r="681" spans="1:12" x14ac:dyDescent="0.25">
      <c r="A681" s="9">
        <v>45839</v>
      </c>
      <c r="B681" t="s">
        <v>110</v>
      </c>
      <c r="C681" t="s">
        <v>111</v>
      </c>
      <c r="D681" t="s">
        <v>58</v>
      </c>
      <c r="E681" t="s">
        <v>2095</v>
      </c>
      <c r="F681" s="8">
        <v>15.9</v>
      </c>
      <c r="G681" s="6">
        <v>27000</v>
      </c>
      <c r="H681" s="8">
        <v>59.2</v>
      </c>
      <c r="I681" s="7">
        <v>1024.6199999999999</v>
      </c>
      <c r="J681" s="8">
        <v>7.9</v>
      </c>
      <c r="K681" s="7">
        <v>35775</v>
      </c>
      <c r="L681" s="7">
        <v>36799.620000000003</v>
      </c>
    </row>
    <row r="682" spans="1:12" x14ac:dyDescent="0.25">
      <c r="A682" s="9">
        <v>45839</v>
      </c>
      <c r="B682" t="s">
        <v>110</v>
      </c>
      <c r="C682" t="s">
        <v>111</v>
      </c>
      <c r="D682" t="s">
        <v>58</v>
      </c>
      <c r="E682" t="s">
        <v>2093</v>
      </c>
      <c r="F682" s="8">
        <v>7.6</v>
      </c>
      <c r="G682" s="6">
        <v>29000</v>
      </c>
      <c r="H682" s="8">
        <v>24.9</v>
      </c>
      <c r="I682" s="7">
        <v>462.88</v>
      </c>
      <c r="J682" s="8">
        <v>4.9000000000000004</v>
      </c>
      <c r="K682" s="7">
        <v>18366.666666666701</v>
      </c>
      <c r="L682" s="7">
        <v>18829.546666666702</v>
      </c>
    </row>
    <row r="683" spans="1:12" x14ac:dyDescent="0.25">
      <c r="A683" s="9">
        <v>45839</v>
      </c>
      <c r="B683" t="s">
        <v>85</v>
      </c>
      <c r="C683" t="s">
        <v>86</v>
      </c>
      <c r="D683" t="s">
        <v>58</v>
      </c>
      <c r="E683" t="s">
        <v>2091</v>
      </c>
      <c r="F683" s="8">
        <v>11.5</v>
      </c>
      <c r="G683" s="6">
        <v>25000</v>
      </c>
      <c r="H683" s="8">
        <v>79.8</v>
      </c>
      <c r="I683" s="7">
        <v>1278.8499999999999</v>
      </c>
      <c r="J683" s="8">
        <v>6.2</v>
      </c>
      <c r="K683" s="7">
        <v>23958.333333333299</v>
      </c>
      <c r="L683" s="7">
        <v>25237.183333333302</v>
      </c>
    </row>
    <row r="684" spans="1:12" x14ac:dyDescent="0.25">
      <c r="A684" s="9">
        <v>45839</v>
      </c>
      <c r="B684" t="s">
        <v>85</v>
      </c>
      <c r="C684" t="s">
        <v>86</v>
      </c>
      <c r="D684" t="s">
        <v>58</v>
      </c>
      <c r="E684" t="s">
        <v>2096</v>
      </c>
      <c r="F684" s="8">
        <v>17.2</v>
      </c>
      <c r="G684" s="6">
        <v>35000</v>
      </c>
      <c r="H684" s="8">
        <v>70.900000000000006</v>
      </c>
      <c r="I684" s="7">
        <v>1590.71</v>
      </c>
      <c r="J684" s="8">
        <v>8.6</v>
      </c>
      <c r="K684" s="7">
        <v>50166.666666666701</v>
      </c>
      <c r="L684" s="7">
        <v>51757.3766666667</v>
      </c>
    </row>
    <row r="685" spans="1:12" x14ac:dyDescent="0.25">
      <c r="A685" s="9">
        <v>45839</v>
      </c>
      <c r="B685" t="s">
        <v>85</v>
      </c>
      <c r="C685" t="s">
        <v>86</v>
      </c>
      <c r="D685" t="s">
        <v>58</v>
      </c>
      <c r="E685" t="s">
        <v>2094</v>
      </c>
      <c r="F685" s="8">
        <v>12.1</v>
      </c>
      <c r="G685" s="6">
        <v>41000</v>
      </c>
      <c r="H685" s="8">
        <v>5.0999999999999996</v>
      </c>
      <c r="I685" s="7">
        <v>134.04</v>
      </c>
      <c r="J685" s="8">
        <v>6.8</v>
      </c>
      <c r="K685" s="7">
        <v>41341.666666666701</v>
      </c>
      <c r="L685" s="7">
        <v>41475.706666666701</v>
      </c>
    </row>
    <row r="686" spans="1:12" x14ac:dyDescent="0.25">
      <c r="A686" s="9">
        <v>45839</v>
      </c>
      <c r="B686" t="s">
        <v>85</v>
      </c>
      <c r="C686" t="s">
        <v>86</v>
      </c>
      <c r="D686" t="s">
        <v>58</v>
      </c>
      <c r="E686" t="s">
        <v>2097</v>
      </c>
      <c r="F686" s="8">
        <v>11.7</v>
      </c>
      <c r="G686" s="6">
        <v>28000</v>
      </c>
      <c r="H686" s="8">
        <v>49.2</v>
      </c>
      <c r="I686" s="7">
        <v>883.08</v>
      </c>
      <c r="J686" s="8">
        <v>6.3</v>
      </c>
      <c r="K686" s="7">
        <v>27300</v>
      </c>
      <c r="L686" s="7">
        <v>28183.08</v>
      </c>
    </row>
    <row r="687" spans="1:12" x14ac:dyDescent="0.25">
      <c r="A687" s="9">
        <v>45839</v>
      </c>
      <c r="B687" t="s">
        <v>103</v>
      </c>
      <c r="C687" t="s">
        <v>104</v>
      </c>
      <c r="D687" t="s">
        <v>58</v>
      </c>
      <c r="E687" t="s">
        <v>2095</v>
      </c>
      <c r="F687" s="8">
        <v>16.399999999999999</v>
      </c>
      <c r="G687" s="6">
        <v>27000</v>
      </c>
      <c r="H687" s="8">
        <v>48.1</v>
      </c>
      <c r="I687" s="7">
        <v>832.5</v>
      </c>
      <c r="J687" s="8">
        <v>7.8</v>
      </c>
      <c r="K687" s="7">
        <v>36900</v>
      </c>
      <c r="L687" s="7">
        <v>37732.5</v>
      </c>
    </row>
    <row r="688" spans="1:12" x14ac:dyDescent="0.25">
      <c r="A688" s="9">
        <v>45839</v>
      </c>
      <c r="B688" t="s">
        <v>103</v>
      </c>
      <c r="C688" t="s">
        <v>104</v>
      </c>
      <c r="D688" t="s">
        <v>58</v>
      </c>
      <c r="E688" t="s">
        <v>2092</v>
      </c>
      <c r="F688" s="8">
        <v>9</v>
      </c>
      <c r="G688" s="6">
        <v>43000</v>
      </c>
      <c r="H688" s="8">
        <v>30.5</v>
      </c>
      <c r="I688" s="7">
        <v>840.71</v>
      </c>
      <c r="J688" s="8">
        <v>5.5</v>
      </c>
      <c r="K688" s="7">
        <v>32250</v>
      </c>
      <c r="L688" s="7">
        <v>33090.71</v>
      </c>
    </row>
    <row r="689" spans="1:12" x14ac:dyDescent="0.25">
      <c r="A689" s="9">
        <v>45839</v>
      </c>
      <c r="B689" t="s">
        <v>103</v>
      </c>
      <c r="C689" t="s">
        <v>104</v>
      </c>
      <c r="D689" t="s">
        <v>58</v>
      </c>
      <c r="E689" t="s">
        <v>2094</v>
      </c>
      <c r="F689" s="8">
        <v>9.6</v>
      </c>
      <c r="G689" s="6">
        <v>41000</v>
      </c>
      <c r="H689" s="8">
        <v>32.9</v>
      </c>
      <c r="I689" s="7">
        <v>864.68</v>
      </c>
      <c r="J689" s="8">
        <v>6.9</v>
      </c>
      <c r="K689" s="7">
        <v>32800</v>
      </c>
      <c r="L689" s="7">
        <v>33664.68</v>
      </c>
    </row>
    <row r="690" spans="1:12" x14ac:dyDescent="0.25">
      <c r="A690" s="9">
        <v>45839</v>
      </c>
      <c r="B690" t="s">
        <v>103</v>
      </c>
      <c r="C690" t="s">
        <v>104</v>
      </c>
      <c r="D690" t="s">
        <v>58</v>
      </c>
      <c r="E690" t="s">
        <v>2091</v>
      </c>
      <c r="F690" s="8">
        <v>6.2</v>
      </c>
      <c r="G690" s="6">
        <v>25000</v>
      </c>
      <c r="H690" s="8">
        <v>28.8</v>
      </c>
      <c r="I690" s="7">
        <v>461.54</v>
      </c>
      <c r="J690" s="8">
        <v>1.8</v>
      </c>
      <c r="K690" s="7">
        <v>12916.666666666701</v>
      </c>
      <c r="L690" s="7">
        <v>13378.2066666667</v>
      </c>
    </row>
    <row r="691" spans="1:12" x14ac:dyDescent="0.25">
      <c r="A691" s="9">
        <v>45839</v>
      </c>
      <c r="B691" t="s">
        <v>103</v>
      </c>
      <c r="C691" t="s">
        <v>104</v>
      </c>
      <c r="D691" t="s">
        <v>58</v>
      </c>
      <c r="E691" t="s">
        <v>2093</v>
      </c>
      <c r="F691" s="8">
        <v>19.100000000000001</v>
      </c>
      <c r="G691" s="6">
        <v>29000</v>
      </c>
      <c r="H691" s="8">
        <v>72.7</v>
      </c>
      <c r="I691" s="7">
        <v>1351.47</v>
      </c>
      <c r="J691" s="8">
        <v>8.9</v>
      </c>
      <c r="K691" s="7">
        <v>46158.333333333299</v>
      </c>
      <c r="L691" s="7">
        <v>47509.803333333301</v>
      </c>
    </row>
    <row r="692" spans="1:12" x14ac:dyDescent="0.25">
      <c r="A692" s="9">
        <v>45870</v>
      </c>
      <c r="B692" t="s">
        <v>100</v>
      </c>
      <c r="C692" t="s">
        <v>101</v>
      </c>
      <c r="D692" t="s">
        <v>69</v>
      </c>
      <c r="E692" t="s">
        <v>2091</v>
      </c>
      <c r="F692" s="8">
        <v>8.8000000000000007</v>
      </c>
      <c r="G692" s="6">
        <v>25000</v>
      </c>
      <c r="H692" s="8">
        <v>6.2</v>
      </c>
      <c r="I692" s="7">
        <v>99.36</v>
      </c>
      <c r="J692" s="8">
        <v>6</v>
      </c>
      <c r="K692" s="7">
        <v>18333.333333333299</v>
      </c>
      <c r="L692" s="7">
        <v>18432.6933333333</v>
      </c>
    </row>
    <row r="693" spans="1:12" x14ac:dyDescent="0.25">
      <c r="A693" s="9">
        <v>45870</v>
      </c>
      <c r="B693" t="s">
        <v>100</v>
      </c>
      <c r="C693" t="s">
        <v>101</v>
      </c>
      <c r="D693" t="s">
        <v>69</v>
      </c>
      <c r="E693" t="s">
        <v>2092</v>
      </c>
      <c r="F693" s="8">
        <v>11.9</v>
      </c>
      <c r="G693" s="6">
        <v>43000</v>
      </c>
      <c r="H693" s="8">
        <v>60.2</v>
      </c>
      <c r="I693" s="7">
        <v>1659.36</v>
      </c>
      <c r="J693" s="8">
        <v>6.5</v>
      </c>
      <c r="K693" s="7">
        <v>42641.666666666701</v>
      </c>
      <c r="L693" s="7">
        <v>44301.026666666701</v>
      </c>
    </row>
    <row r="694" spans="1:12" x14ac:dyDescent="0.25">
      <c r="A694" s="9">
        <v>45870</v>
      </c>
      <c r="B694" t="s">
        <v>100</v>
      </c>
      <c r="C694" t="s">
        <v>101</v>
      </c>
      <c r="D694" t="s">
        <v>69</v>
      </c>
      <c r="E694" t="s">
        <v>2097</v>
      </c>
      <c r="F694" s="8">
        <v>14.7</v>
      </c>
      <c r="G694" s="6">
        <v>28000</v>
      </c>
      <c r="H694" s="8">
        <v>62.4</v>
      </c>
      <c r="I694" s="7">
        <v>1120</v>
      </c>
      <c r="J694" s="8">
        <v>6</v>
      </c>
      <c r="K694" s="7">
        <v>34300</v>
      </c>
      <c r="L694" s="7">
        <v>35420</v>
      </c>
    </row>
    <row r="695" spans="1:12" x14ac:dyDescent="0.25">
      <c r="A695" s="9">
        <v>45870</v>
      </c>
      <c r="B695" t="s">
        <v>100</v>
      </c>
      <c r="C695" t="s">
        <v>101</v>
      </c>
      <c r="D695" t="s">
        <v>69</v>
      </c>
      <c r="E695" t="s">
        <v>2095</v>
      </c>
      <c r="F695" s="8">
        <v>6.3</v>
      </c>
      <c r="G695" s="6">
        <v>27000</v>
      </c>
      <c r="H695" s="8">
        <v>20.6</v>
      </c>
      <c r="I695" s="7">
        <v>356.54</v>
      </c>
      <c r="J695" s="8">
        <v>4</v>
      </c>
      <c r="K695" s="7">
        <v>14175</v>
      </c>
      <c r="L695" s="7">
        <v>14531.54</v>
      </c>
    </row>
    <row r="696" spans="1:12" x14ac:dyDescent="0.25">
      <c r="A696" s="9">
        <v>45870</v>
      </c>
      <c r="B696" t="s">
        <v>100</v>
      </c>
      <c r="C696" t="s">
        <v>101</v>
      </c>
      <c r="D696" t="s">
        <v>69</v>
      </c>
      <c r="E696" t="s">
        <v>2096</v>
      </c>
      <c r="F696" s="8">
        <v>19.8</v>
      </c>
      <c r="G696" s="6">
        <v>35000</v>
      </c>
      <c r="H696" s="8">
        <v>48</v>
      </c>
      <c r="I696" s="7">
        <v>1076.92</v>
      </c>
      <c r="J696" s="8">
        <v>7.4</v>
      </c>
      <c r="K696" s="7">
        <v>57750</v>
      </c>
      <c r="L696" s="7">
        <v>58826.92</v>
      </c>
    </row>
    <row r="697" spans="1:12" x14ac:dyDescent="0.25">
      <c r="A697" s="9">
        <v>45870</v>
      </c>
      <c r="B697" t="s">
        <v>100</v>
      </c>
      <c r="C697" t="s">
        <v>101</v>
      </c>
      <c r="D697" t="s">
        <v>69</v>
      </c>
      <c r="E697" t="s">
        <v>2094</v>
      </c>
      <c r="F697" s="8">
        <v>15.9</v>
      </c>
      <c r="G697" s="6">
        <v>41000</v>
      </c>
      <c r="H697" s="8">
        <v>58.2</v>
      </c>
      <c r="I697" s="7">
        <v>1529.62</v>
      </c>
      <c r="J697" s="8">
        <v>7.8</v>
      </c>
      <c r="K697" s="7">
        <v>54325</v>
      </c>
      <c r="L697" s="7">
        <v>55854.62</v>
      </c>
    </row>
    <row r="698" spans="1:12" x14ac:dyDescent="0.25">
      <c r="A698" s="9">
        <v>45870</v>
      </c>
      <c r="B698" t="s">
        <v>113</v>
      </c>
      <c r="C698" t="s">
        <v>114</v>
      </c>
      <c r="D698" t="s">
        <v>69</v>
      </c>
      <c r="E698" t="s">
        <v>2091</v>
      </c>
      <c r="F698" s="8">
        <v>16.7</v>
      </c>
      <c r="G698" s="6">
        <v>25000</v>
      </c>
      <c r="H698" s="8">
        <v>70.2</v>
      </c>
      <c r="I698" s="7">
        <v>1125</v>
      </c>
      <c r="J698" s="8">
        <v>9.1</v>
      </c>
      <c r="K698" s="7">
        <v>34791.666666666701</v>
      </c>
      <c r="L698" s="7">
        <v>35916.666666666701</v>
      </c>
    </row>
    <row r="699" spans="1:12" x14ac:dyDescent="0.25">
      <c r="A699" s="9">
        <v>45870</v>
      </c>
      <c r="B699" t="s">
        <v>113</v>
      </c>
      <c r="C699" t="s">
        <v>114</v>
      </c>
      <c r="D699" t="s">
        <v>69</v>
      </c>
      <c r="E699" t="s">
        <v>2094</v>
      </c>
      <c r="F699" s="8">
        <v>16.2</v>
      </c>
      <c r="G699" s="6">
        <v>41000</v>
      </c>
      <c r="H699" s="8">
        <v>80.3</v>
      </c>
      <c r="I699" s="7">
        <v>2110.4499999999998</v>
      </c>
      <c r="J699" s="8">
        <v>8.4</v>
      </c>
      <c r="K699" s="7">
        <v>55350</v>
      </c>
      <c r="L699" s="7">
        <v>57460.45</v>
      </c>
    </row>
    <row r="700" spans="1:12" x14ac:dyDescent="0.25">
      <c r="A700" s="9">
        <v>45870</v>
      </c>
      <c r="B700" t="s">
        <v>113</v>
      </c>
      <c r="C700" t="s">
        <v>114</v>
      </c>
      <c r="D700" t="s">
        <v>69</v>
      </c>
      <c r="E700" t="s">
        <v>2096</v>
      </c>
      <c r="F700" s="8">
        <v>9.8000000000000007</v>
      </c>
      <c r="G700" s="6">
        <v>35000</v>
      </c>
      <c r="H700" s="8">
        <v>56.8</v>
      </c>
      <c r="I700" s="7">
        <v>1274.3599999999999</v>
      </c>
      <c r="J700" s="8">
        <v>3.4</v>
      </c>
      <c r="K700" s="7">
        <v>28583.333333333299</v>
      </c>
      <c r="L700" s="7">
        <v>29857.6933333333</v>
      </c>
    </row>
    <row r="701" spans="1:12" x14ac:dyDescent="0.25">
      <c r="A701" s="9">
        <v>45870</v>
      </c>
      <c r="B701" t="s">
        <v>113</v>
      </c>
      <c r="C701" t="s">
        <v>114</v>
      </c>
      <c r="D701" t="s">
        <v>69</v>
      </c>
      <c r="E701" t="s">
        <v>2092</v>
      </c>
      <c r="F701" s="8">
        <v>5.8</v>
      </c>
      <c r="G701" s="6">
        <v>43000</v>
      </c>
      <c r="H701" s="8">
        <v>27.6</v>
      </c>
      <c r="I701" s="7">
        <v>760.77</v>
      </c>
      <c r="J701" s="8">
        <v>3.5</v>
      </c>
      <c r="K701" s="7">
        <v>20783.333333333299</v>
      </c>
      <c r="L701" s="7">
        <v>21544.1033333333</v>
      </c>
    </row>
    <row r="702" spans="1:12" x14ac:dyDescent="0.25">
      <c r="A702" s="9">
        <v>45870</v>
      </c>
      <c r="B702" t="s">
        <v>113</v>
      </c>
      <c r="C702" t="s">
        <v>114</v>
      </c>
      <c r="D702" t="s">
        <v>69</v>
      </c>
      <c r="E702" t="s">
        <v>2097</v>
      </c>
      <c r="F702" s="8">
        <v>13.6</v>
      </c>
      <c r="G702" s="6">
        <v>28000</v>
      </c>
      <c r="H702" s="8">
        <v>29.1</v>
      </c>
      <c r="I702" s="7">
        <v>522.30999999999995</v>
      </c>
      <c r="J702" s="8">
        <v>5.3</v>
      </c>
      <c r="K702" s="7">
        <v>31733.333333333299</v>
      </c>
      <c r="L702" s="7">
        <v>32255.643333333301</v>
      </c>
    </row>
    <row r="703" spans="1:12" x14ac:dyDescent="0.25">
      <c r="A703" s="9">
        <v>45870</v>
      </c>
      <c r="B703" t="s">
        <v>143</v>
      </c>
      <c r="C703" t="s">
        <v>144</v>
      </c>
      <c r="D703" t="s">
        <v>69</v>
      </c>
      <c r="E703" t="s">
        <v>2097</v>
      </c>
      <c r="F703" s="8">
        <v>18.899999999999999</v>
      </c>
      <c r="G703" s="6">
        <v>28000</v>
      </c>
      <c r="H703" s="8">
        <v>54.5</v>
      </c>
      <c r="I703" s="7">
        <v>978.21</v>
      </c>
      <c r="J703" s="8">
        <v>8.8000000000000007</v>
      </c>
      <c r="K703" s="7">
        <v>44100</v>
      </c>
      <c r="L703" s="7">
        <v>45078.21</v>
      </c>
    </row>
    <row r="704" spans="1:12" x14ac:dyDescent="0.25">
      <c r="A704" s="9">
        <v>45870</v>
      </c>
      <c r="B704" t="s">
        <v>143</v>
      </c>
      <c r="C704" t="s">
        <v>144</v>
      </c>
      <c r="D704" t="s">
        <v>69</v>
      </c>
      <c r="E704" t="s">
        <v>2092</v>
      </c>
      <c r="F704" s="8">
        <v>16.3</v>
      </c>
      <c r="G704" s="6">
        <v>43000</v>
      </c>
      <c r="H704" s="8">
        <v>83.6</v>
      </c>
      <c r="I704" s="7">
        <v>2304.36</v>
      </c>
      <c r="J704" s="8">
        <v>7.5</v>
      </c>
      <c r="K704" s="7">
        <v>58408.333333333299</v>
      </c>
      <c r="L704" s="7">
        <v>60712.6933333333</v>
      </c>
    </row>
    <row r="705" spans="1:12" x14ac:dyDescent="0.25">
      <c r="A705" s="9">
        <v>45870</v>
      </c>
      <c r="B705" t="s">
        <v>143</v>
      </c>
      <c r="C705" t="s">
        <v>144</v>
      </c>
      <c r="D705" t="s">
        <v>69</v>
      </c>
      <c r="E705" t="s">
        <v>2091</v>
      </c>
      <c r="F705" s="8">
        <v>12.5</v>
      </c>
      <c r="G705" s="6">
        <v>25000</v>
      </c>
      <c r="H705" s="8">
        <v>33.9</v>
      </c>
      <c r="I705" s="7">
        <v>543.27</v>
      </c>
      <c r="J705" s="8">
        <v>5.6</v>
      </c>
      <c r="K705" s="7">
        <v>26041.666666666701</v>
      </c>
      <c r="L705" s="7">
        <v>26584.936666666701</v>
      </c>
    </row>
    <row r="706" spans="1:12" x14ac:dyDescent="0.25">
      <c r="A706" s="9">
        <v>45870</v>
      </c>
      <c r="B706" t="s">
        <v>143</v>
      </c>
      <c r="C706" t="s">
        <v>144</v>
      </c>
      <c r="D706" t="s">
        <v>69</v>
      </c>
      <c r="E706" t="s">
        <v>2093</v>
      </c>
      <c r="F706" s="8">
        <v>10.8</v>
      </c>
      <c r="G706" s="6">
        <v>29000</v>
      </c>
      <c r="H706" s="8">
        <v>61.3</v>
      </c>
      <c r="I706" s="7">
        <v>1139.55</v>
      </c>
      <c r="J706" s="8">
        <v>5.4</v>
      </c>
      <c r="K706" s="7">
        <v>26100</v>
      </c>
      <c r="L706" s="7">
        <v>27239.55</v>
      </c>
    </row>
    <row r="707" spans="1:12" x14ac:dyDescent="0.25">
      <c r="A707" s="9">
        <v>45870</v>
      </c>
      <c r="B707" t="s">
        <v>143</v>
      </c>
      <c r="C707" t="s">
        <v>144</v>
      </c>
      <c r="D707" t="s">
        <v>69</v>
      </c>
      <c r="E707" t="s">
        <v>2094</v>
      </c>
      <c r="F707" s="8">
        <v>8.5</v>
      </c>
      <c r="G707" s="6">
        <v>41000</v>
      </c>
      <c r="H707" s="8">
        <v>31.7</v>
      </c>
      <c r="I707" s="7">
        <v>833.14</v>
      </c>
      <c r="J707" s="8">
        <v>4.0999999999999996</v>
      </c>
      <c r="K707" s="7">
        <v>29041.666666666701</v>
      </c>
      <c r="L707" s="7">
        <v>29874.8066666667</v>
      </c>
    </row>
    <row r="708" spans="1:12" x14ac:dyDescent="0.25">
      <c r="A708" s="9">
        <v>45870</v>
      </c>
      <c r="B708" t="s">
        <v>73</v>
      </c>
      <c r="C708" t="s">
        <v>74</v>
      </c>
      <c r="D708" t="s">
        <v>69</v>
      </c>
      <c r="E708" t="s">
        <v>2093</v>
      </c>
      <c r="F708" s="8">
        <v>3.1</v>
      </c>
      <c r="G708" s="6">
        <v>29000</v>
      </c>
      <c r="H708" s="8">
        <v>18.399999999999999</v>
      </c>
      <c r="I708" s="7">
        <v>342.05</v>
      </c>
      <c r="J708" s="8">
        <v>0.8</v>
      </c>
      <c r="K708" s="7">
        <v>7491.6666666666697</v>
      </c>
      <c r="L708" s="7">
        <v>7833.7166666666699</v>
      </c>
    </row>
    <row r="709" spans="1:12" x14ac:dyDescent="0.25">
      <c r="A709" s="9">
        <v>45870</v>
      </c>
      <c r="B709" t="s">
        <v>73</v>
      </c>
      <c r="C709" t="s">
        <v>74</v>
      </c>
      <c r="D709" t="s">
        <v>69</v>
      </c>
      <c r="E709" t="s">
        <v>2091</v>
      </c>
      <c r="F709" s="8">
        <v>9</v>
      </c>
      <c r="G709" s="6">
        <v>25000</v>
      </c>
      <c r="H709" s="8">
        <v>53.8</v>
      </c>
      <c r="I709" s="7">
        <v>862.18</v>
      </c>
      <c r="J709" s="8">
        <v>4.7</v>
      </c>
      <c r="K709" s="7">
        <v>18750</v>
      </c>
      <c r="L709" s="7">
        <v>19612.18</v>
      </c>
    </row>
    <row r="710" spans="1:12" x14ac:dyDescent="0.25">
      <c r="A710" s="9">
        <v>45870</v>
      </c>
      <c r="B710" t="s">
        <v>73</v>
      </c>
      <c r="C710" t="s">
        <v>74</v>
      </c>
      <c r="D710" t="s">
        <v>69</v>
      </c>
      <c r="E710" t="s">
        <v>2095</v>
      </c>
      <c r="F710" s="8">
        <v>19.8</v>
      </c>
      <c r="G710" s="6">
        <v>27000</v>
      </c>
      <c r="H710" s="8">
        <v>74.400000000000006</v>
      </c>
      <c r="I710" s="7">
        <v>1287.69</v>
      </c>
      <c r="J710" s="8">
        <v>12.4</v>
      </c>
      <c r="K710" s="7">
        <v>44550</v>
      </c>
      <c r="L710" s="7">
        <v>45837.69</v>
      </c>
    </row>
    <row r="711" spans="1:12" x14ac:dyDescent="0.25">
      <c r="A711" s="9">
        <v>45870</v>
      </c>
      <c r="B711" t="s">
        <v>73</v>
      </c>
      <c r="C711" t="s">
        <v>74</v>
      </c>
      <c r="D711" t="s">
        <v>69</v>
      </c>
      <c r="E711" t="s">
        <v>2096</v>
      </c>
      <c r="F711" s="8">
        <v>18.899999999999999</v>
      </c>
      <c r="G711" s="6">
        <v>35000</v>
      </c>
      <c r="H711" s="8">
        <v>45.7</v>
      </c>
      <c r="I711" s="7">
        <v>1025.32</v>
      </c>
      <c r="J711" s="8">
        <v>9.1</v>
      </c>
      <c r="K711" s="7">
        <v>55125</v>
      </c>
      <c r="L711" s="7">
        <v>56150.32</v>
      </c>
    </row>
    <row r="712" spans="1:12" x14ac:dyDescent="0.25">
      <c r="A712" s="9">
        <v>45870</v>
      </c>
      <c r="B712" t="s">
        <v>73</v>
      </c>
      <c r="C712" t="s">
        <v>74</v>
      </c>
      <c r="D712" t="s">
        <v>69</v>
      </c>
      <c r="E712" t="s">
        <v>2092</v>
      </c>
      <c r="F712" s="8">
        <v>14</v>
      </c>
      <c r="G712" s="6">
        <v>43000</v>
      </c>
      <c r="H712" s="8">
        <v>30.1</v>
      </c>
      <c r="I712" s="7">
        <v>829.68</v>
      </c>
      <c r="J712" s="8">
        <v>8</v>
      </c>
      <c r="K712" s="7">
        <v>50166.666666666701</v>
      </c>
      <c r="L712" s="7">
        <v>50996.346666666701</v>
      </c>
    </row>
    <row r="713" spans="1:12" x14ac:dyDescent="0.25">
      <c r="A713" s="9">
        <v>45870</v>
      </c>
      <c r="B713" t="s">
        <v>67</v>
      </c>
      <c r="C713" t="s">
        <v>68</v>
      </c>
      <c r="D713" t="s">
        <v>69</v>
      </c>
      <c r="E713" t="s">
        <v>2095</v>
      </c>
      <c r="F713" s="8">
        <v>5.3</v>
      </c>
      <c r="G713" s="6">
        <v>27000</v>
      </c>
      <c r="H713" s="8">
        <v>34.6</v>
      </c>
      <c r="I713" s="7">
        <v>598.85</v>
      </c>
      <c r="J713" s="8">
        <v>4.3</v>
      </c>
      <c r="K713" s="7">
        <v>11925</v>
      </c>
      <c r="L713" s="7">
        <v>12523.85</v>
      </c>
    </row>
    <row r="714" spans="1:12" x14ac:dyDescent="0.25">
      <c r="A714" s="9">
        <v>45870</v>
      </c>
      <c r="B714" t="s">
        <v>67</v>
      </c>
      <c r="C714" t="s">
        <v>68</v>
      </c>
      <c r="D714" t="s">
        <v>69</v>
      </c>
      <c r="E714" t="s">
        <v>2091</v>
      </c>
      <c r="F714" s="8">
        <v>4.5999999999999996</v>
      </c>
      <c r="G714" s="6">
        <v>25000</v>
      </c>
      <c r="H714" s="8">
        <v>26.8</v>
      </c>
      <c r="I714" s="7">
        <v>429.49</v>
      </c>
      <c r="J714" s="8">
        <v>2.1</v>
      </c>
      <c r="K714" s="7">
        <v>9583.3333333333303</v>
      </c>
      <c r="L714" s="7">
        <v>10012.823333333299</v>
      </c>
    </row>
    <row r="715" spans="1:12" x14ac:dyDescent="0.25">
      <c r="A715" s="9">
        <v>45870</v>
      </c>
      <c r="B715" t="s">
        <v>67</v>
      </c>
      <c r="C715" t="s">
        <v>68</v>
      </c>
      <c r="D715" t="s">
        <v>69</v>
      </c>
      <c r="E715" t="s">
        <v>2094</v>
      </c>
      <c r="F715" s="8">
        <v>11.8</v>
      </c>
      <c r="G715" s="6">
        <v>41000</v>
      </c>
      <c r="H715" s="8">
        <v>40.700000000000003</v>
      </c>
      <c r="I715" s="7">
        <v>1069.68</v>
      </c>
      <c r="J715" s="8">
        <v>4.2</v>
      </c>
      <c r="K715" s="7">
        <v>40316.666666666701</v>
      </c>
      <c r="L715" s="7">
        <v>41386.346666666701</v>
      </c>
    </row>
    <row r="716" spans="1:12" x14ac:dyDescent="0.25">
      <c r="A716" s="9">
        <v>45870</v>
      </c>
      <c r="B716" t="s">
        <v>67</v>
      </c>
      <c r="C716" t="s">
        <v>68</v>
      </c>
      <c r="D716" t="s">
        <v>69</v>
      </c>
      <c r="E716" t="s">
        <v>2096</v>
      </c>
      <c r="F716" s="8">
        <v>16</v>
      </c>
      <c r="G716" s="6">
        <v>35000</v>
      </c>
      <c r="H716" s="8">
        <v>112.9</v>
      </c>
      <c r="I716" s="7">
        <v>2533.0100000000002</v>
      </c>
      <c r="J716" s="8">
        <v>8.5</v>
      </c>
      <c r="K716" s="7">
        <v>46666.666666666701</v>
      </c>
      <c r="L716" s="7">
        <v>49199.676666666703</v>
      </c>
    </row>
    <row r="717" spans="1:12" x14ac:dyDescent="0.25">
      <c r="A717" s="9">
        <v>45870</v>
      </c>
      <c r="B717" t="s">
        <v>67</v>
      </c>
      <c r="C717" t="s">
        <v>68</v>
      </c>
      <c r="D717" t="s">
        <v>69</v>
      </c>
      <c r="E717" t="s">
        <v>2097</v>
      </c>
      <c r="F717" s="8">
        <v>13.1</v>
      </c>
      <c r="G717" s="6">
        <v>28000</v>
      </c>
      <c r="H717" s="8">
        <v>42.7</v>
      </c>
      <c r="I717" s="7">
        <v>766.41</v>
      </c>
      <c r="J717" s="8">
        <v>7.9</v>
      </c>
      <c r="K717" s="7">
        <v>30566.666666666701</v>
      </c>
      <c r="L717" s="7">
        <v>31333.0766666667</v>
      </c>
    </row>
    <row r="718" spans="1:12" x14ac:dyDescent="0.25">
      <c r="A718" s="9">
        <v>45870</v>
      </c>
      <c r="B718" t="s">
        <v>32</v>
      </c>
      <c r="C718" t="s">
        <v>33</v>
      </c>
      <c r="D718" t="s">
        <v>34</v>
      </c>
      <c r="E718" t="s">
        <v>2096</v>
      </c>
      <c r="F718" s="8">
        <v>13.6</v>
      </c>
      <c r="G718" s="6">
        <v>35000</v>
      </c>
      <c r="H718" s="8">
        <v>34.6</v>
      </c>
      <c r="I718" s="7">
        <v>776.28</v>
      </c>
      <c r="J718" s="8">
        <v>7.2</v>
      </c>
      <c r="K718" s="7">
        <v>39666.666666666701</v>
      </c>
      <c r="L718" s="7">
        <v>40442.946666666699</v>
      </c>
    </row>
    <row r="719" spans="1:12" x14ac:dyDescent="0.25">
      <c r="A719" s="9">
        <v>45870</v>
      </c>
      <c r="B719" t="s">
        <v>32</v>
      </c>
      <c r="C719" t="s">
        <v>33</v>
      </c>
      <c r="D719" t="s">
        <v>34</v>
      </c>
      <c r="E719" t="s">
        <v>2092</v>
      </c>
      <c r="F719" s="8">
        <v>3.6</v>
      </c>
      <c r="G719" s="6">
        <v>43000</v>
      </c>
      <c r="H719" s="8">
        <v>13.5</v>
      </c>
      <c r="I719" s="7">
        <v>372.12</v>
      </c>
      <c r="J719" s="8">
        <v>2.4</v>
      </c>
      <c r="K719" s="7">
        <v>12900</v>
      </c>
      <c r="L719" s="7">
        <v>13272.12</v>
      </c>
    </row>
    <row r="720" spans="1:12" x14ac:dyDescent="0.25">
      <c r="A720" s="9">
        <v>45870</v>
      </c>
      <c r="B720" t="s">
        <v>32</v>
      </c>
      <c r="C720" t="s">
        <v>33</v>
      </c>
      <c r="D720" t="s">
        <v>34</v>
      </c>
      <c r="E720" t="s">
        <v>2095</v>
      </c>
      <c r="F720" s="8">
        <v>17.2</v>
      </c>
      <c r="G720" s="6">
        <v>27000</v>
      </c>
      <c r="H720" s="8">
        <v>67.2</v>
      </c>
      <c r="I720" s="7">
        <v>1163.08</v>
      </c>
      <c r="J720" s="8">
        <v>7.1</v>
      </c>
      <c r="K720" s="7">
        <v>38700</v>
      </c>
      <c r="L720" s="7">
        <v>39863.08</v>
      </c>
    </row>
    <row r="721" spans="1:12" x14ac:dyDescent="0.25">
      <c r="A721" s="9">
        <v>45870</v>
      </c>
      <c r="B721" t="s">
        <v>32</v>
      </c>
      <c r="C721" t="s">
        <v>33</v>
      </c>
      <c r="D721" t="s">
        <v>34</v>
      </c>
      <c r="E721" t="s">
        <v>2094</v>
      </c>
      <c r="F721" s="8">
        <v>8.4</v>
      </c>
      <c r="G721" s="6">
        <v>41000</v>
      </c>
      <c r="H721" s="8">
        <v>34.6</v>
      </c>
      <c r="I721" s="7">
        <v>909.36</v>
      </c>
      <c r="J721" s="8">
        <v>5.2</v>
      </c>
      <c r="K721" s="7">
        <v>28700</v>
      </c>
      <c r="L721" s="7">
        <v>29609.360000000001</v>
      </c>
    </row>
    <row r="722" spans="1:12" x14ac:dyDescent="0.25">
      <c r="A722" s="9">
        <v>45870</v>
      </c>
      <c r="B722" t="s">
        <v>32</v>
      </c>
      <c r="C722" t="s">
        <v>33</v>
      </c>
      <c r="D722" t="s">
        <v>34</v>
      </c>
      <c r="E722" t="s">
        <v>2091</v>
      </c>
      <c r="F722" s="8">
        <v>8.3000000000000007</v>
      </c>
      <c r="G722" s="6">
        <v>25000</v>
      </c>
      <c r="H722" s="8">
        <v>32.799999999999997</v>
      </c>
      <c r="I722" s="7">
        <v>525.64</v>
      </c>
      <c r="J722" s="8">
        <v>4.9000000000000004</v>
      </c>
      <c r="K722" s="7">
        <v>17291.666666666701</v>
      </c>
      <c r="L722" s="7">
        <v>17817.3066666667</v>
      </c>
    </row>
    <row r="723" spans="1:12" x14ac:dyDescent="0.25">
      <c r="A723" s="9">
        <v>45870</v>
      </c>
      <c r="B723" t="s">
        <v>94</v>
      </c>
      <c r="C723" t="s">
        <v>95</v>
      </c>
      <c r="D723" t="s">
        <v>34</v>
      </c>
      <c r="E723" t="s">
        <v>2094</v>
      </c>
      <c r="F723" s="8">
        <v>14.3</v>
      </c>
      <c r="G723" s="6">
        <v>41000</v>
      </c>
      <c r="H723" s="8">
        <v>34.799999999999997</v>
      </c>
      <c r="I723" s="7">
        <v>914.62</v>
      </c>
      <c r="J723" s="8">
        <v>7.1</v>
      </c>
      <c r="K723" s="7">
        <v>48858.333333333299</v>
      </c>
      <c r="L723" s="7">
        <v>49772.953333333302</v>
      </c>
    </row>
    <row r="724" spans="1:12" x14ac:dyDescent="0.25">
      <c r="A724" s="9">
        <v>45870</v>
      </c>
      <c r="B724" t="s">
        <v>94</v>
      </c>
      <c r="C724" t="s">
        <v>95</v>
      </c>
      <c r="D724" t="s">
        <v>34</v>
      </c>
      <c r="E724" t="s">
        <v>2091</v>
      </c>
      <c r="F724" s="8">
        <v>20</v>
      </c>
      <c r="G724" s="6">
        <v>25000</v>
      </c>
      <c r="H724" s="8">
        <v>61.3</v>
      </c>
      <c r="I724" s="7">
        <v>982.37</v>
      </c>
      <c r="J724" s="8">
        <v>10.7</v>
      </c>
      <c r="K724" s="7">
        <v>41666.666666666701</v>
      </c>
      <c r="L724" s="7">
        <v>42649.036666666703</v>
      </c>
    </row>
    <row r="725" spans="1:12" x14ac:dyDescent="0.25">
      <c r="A725" s="9">
        <v>45870</v>
      </c>
      <c r="B725" t="s">
        <v>94</v>
      </c>
      <c r="C725" t="s">
        <v>95</v>
      </c>
      <c r="D725" t="s">
        <v>34</v>
      </c>
      <c r="E725" t="s">
        <v>2095</v>
      </c>
      <c r="F725" s="8">
        <v>14.8</v>
      </c>
      <c r="G725" s="6">
        <v>27000</v>
      </c>
      <c r="H725" s="8">
        <v>59.9</v>
      </c>
      <c r="I725" s="7">
        <v>1036.73</v>
      </c>
      <c r="J725" s="8">
        <v>8.1</v>
      </c>
      <c r="K725" s="7">
        <v>33300</v>
      </c>
      <c r="L725" s="7">
        <v>34336.730000000003</v>
      </c>
    </row>
    <row r="726" spans="1:12" x14ac:dyDescent="0.25">
      <c r="A726" s="9">
        <v>45870</v>
      </c>
      <c r="B726" t="s">
        <v>94</v>
      </c>
      <c r="C726" t="s">
        <v>95</v>
      </c>
      <c r="D726" t="s">
        <v>34</v>
      </c>
      <c r="E726" t="s">
        <v>2092</v>
      </c>
      <c r="F726" s="8">
        <v>16.899999999999999</v>
      </c>
      <c r="G726" s="6">
        <v>43000</v>
      </c>
      <c r="H726" s="8">
        <v>95.2</v>
      </c>
      <c r="I726" s="7">
        <v>2624.1</v>
      </c>
      <c r="J726" s="8">
        <v>9.1</v>
      </c>
      <c r="K726" s="7">
        <v>60558.333333333299</v>
      </c>
      <c r="L726" s="7">
        <v>63182.433333333298</v>
      </c>
    </row>
    <row r="727" spans="1:12" x14ac:dyDescent="0.25">
      <c r="A727" s="9">
        <v>45870</v>
      </c>
      <c r="B727" t="s">
        <v>94</v>
      </c>
      <c r="C727" t="s">
        <v>95</v>
      </c>
      <c r="D727" t="s">
        <v>34</v>
      </c>
      <c r="E727" t="s">
        <v>2093</v>
      </c>
      <c r="F727" s="8">
        <v>20</v>
      </c>
      <c r="G727" s="6">
        <v>29000</v>
      </c>
      <c r="H727" s="8">
        <v>88.2</v>
      </c>
      <c r="I727" s="7">
        <v>1639.62</v>
      </c>
      <c r="J727" s="8">
        <v>9</v>
      </c>
      <c r="K727" s="7">
        <v>48333.333333333299</v>
      </c>
      <c r="L727" s="7">
        <v>49972.953333333302</v>
      </c>
    </row>
    <row r="728" spans="1:12" x14ac:dyDescent="0.25">
      <c r="A728" s="9">
        <v>45870</v>
      </c>
      <c r="B728" t="s">
        <v>41</v>
      </c>
      <c r="C728" t="s">
        <v>42</v>
      </c>
      <c r="D728" t="s">
        <v>34</v>
      </c>
      <c r="E728" t="s">
        <v>2094</v>
      </c>
      <c r="F728" s="8">
        <v>11.5</v>
      </c>
      <c r="G728" s="6">
        <v>41000</v>
      </c>
      <c r="H728" s="8">
        <v>46</v>
      </c>
      <c r="I728" s="7">
        <v>1208.97</v>
      </c>
      <c r="J728" s="8">
        <v>5.2</v>
      </c>
      <c r="K728" s="7">
        <v>39291.666666666701</v>
      </c>
      <c r="L728" s="7">
        <v>40500.636666666702</v>
      </c>
    </row>
    <row r="729" spans="1:12" x14ac:dyDescent="0.25">
      <c r="A729" s="9">
        <v>45870</v>
      </c>
      <c r="B729" t="s">
        <v>41</v>
      </c>
      <c r="C729" t="s">
        <v>42</v>
      </c>
      <c r="D729" t="s">
        <v>34</v>
      </c>
      <c r="E729" t="s">
        <v>2096</v>
      </c>
      <c r="F729" s="8">
        <v>15.6</v>
      </c>
      <c r="G729" s="6">
        <v>35000</v>
      </c>
      <c r="H729" s="8">
        <v>54.3</v>
      </c>
      <c r="I729" s="7">
        <v>1218.27</v>
      </c>
      <c r="J729" s="8">
        <v>7.4</v>
      </c>
      <c r="K729" s="7">
        <v>45500</v>
      </c>
      <c r="L729" s="7">
        <v>46718.27</v>
      </c>
    </row>
    <row r="730" spans="1:12" x14ac:dyDescent="0.25">
      <c r="A730" s="9">
        <v>45870</v>
      </c>
      <c r="B730" t="s">
        <v>41</v>
      </c>
      <c r="C730" t="s">
        <v>42</v>
      </c>
      <c r="D730" t="s">
        <v>34</v>
      </c>
      <c r="E730" t="s">
        <v>2091</v>
      </c>
      <c r="F730" s="8">
        <v>9.9</v>
      </c>
      <c r="G730" s="6">
        <v>25000</v>
      </c>
      <c r="H730" s="8">
        <v>25</v>
      </c>
      <c r="I730" s="7">
        <v>400.64</v>
      </c>
      <c r="J730" s="8">
        <v>3</v>
      </c>
      <c r="K730" s="7">
        <v>20625</v>
      </c>
      <c r="L730" s="7">
        <v>21025.64</v>
      </c>
    </row>
    <row r="731" spans="1:12" x14ac:dyDescent="0.25">
      <c r="A731" s="9">
        <v>45870</v>
      </c>
      <c r="B731" t="s">
        <v>41</v>
      </c>
      <c r="C731" t="s">
        <v>42</v>
      </c>
      <c r="D731" t="s">
        <v>34</v>
      </c>
      <c r="E731" t="s">
        <v>2097</v>
      </c>
      <c r="F731" s="8">
        <v>3.4</v>
      </c>
      <c r="G731" s="6">
        <v>28000</v>
      </c>
      <c r="H731" s="8">
        <v>10.199999999999999</v>
      </c>
      <c r="I731" s="7">
        <v>183.08</v>
      </c>
      <c r="J731" s="8">
        <v>1.9</v>
      </c>
      <c r="K731" s="7">
        <v>7933.3333333333303</v>
      </c>
      <c r="L731" s="7">
        <v>8116.4133333333302</v>
      </c>
    </row>
    <row r="732" spans="1:12" x14ac:dyDescent="0.25">
      <c r="A732" s="9">
        <v>45870</v>
      </c>
      <c r="B732" t="s">
        <v>41</v>
      </c>
      <c r="C732" t="s">
        <v>42</v>
      </c>
      <c r="D732" t="s">
        <v>34</v>
      </c>
      <c r="E732" t="s">
        <v>2092</v>
      </c>
      <c r="F732" s="8">
        <v>7.8</v>
      </c>
      <c r="G732" s="6">
        <v>43000</v>
      </c>
      <c r="H732" s="8">
        <v>15.4</v>
      </c>
      <c r="I732" s="7">
        <v>424.49</v>
      </c>
      <c r="J732" s="8">
        <v>3.9</v>
      </c>
      <c r="K732" s="7">
        <v>27950</v>
      </c>
      <c r="L732" s="7">
        <v>28374.49</v>
      </c>
    </row>
    <row r="733" spans="1:12" x14ac:dyDescent="0.25">
      <c r="A733" s="9">
        <v>45870</v>
      </c>
      <c r="B733" t="s">
        <v>47</v>
      </c>
      <c r="C733" t="s">
        <v>48</v>
      </c>
      <c r="D733" t="s">
        <v>34</v>
      </c>
      <c r="E733" t="s">
        <v>2095</v>
      </c>
      <c r="F733" s="8">
        <v>9.1999999999999993</v>
      </c>
      <c r="G733" s="6">
        <v>27000</v>
      </c>
      <c r="H733" s="8">
        <v>63</v>
      </c>
      <c r="I733" s="7">
        <v>1090.3800000000001</v>
      </c>
      <c r="J733" s="8">
        <v>5.6</v>
      </c>
      <c r="K733" s="7">
        <v>20700</v>
      </c>
      <c r="L733" s="7">
        <v>21790.38</v>
      </c>
    </row>
    <row r="734" spans="1:12" x14ac:dyDescent="0.25">
      <c r="A734" s="9">
        <v>45870</v>
      </c>
      <c r="B734" t="s">
        <v>47</v>
      </c>
      <c r="C734" t="s">
        <v>48</v>
      </c>
      <c r="D734" t="s">
        <v>34</v>
      </c>
      <c r="E734" t="s">
        <v>2091</v>
      </c>
      <c r="F734" s="8">
        <v>4.5999999999999996</v>
      </c>
      <c r="G734" s="6">
        <v>25000</v>
      </c>
      <c r="H734" s="8">
        <v>29.7</v>
      </c>
      <c r="I734" s="7">
        <v>475.96</v>
      </c>
      <c r="J734" s="8">
        <v>2.7</v>
      </c>
      <c r="K734" s="7">
        <v>9583.3333333333303</v>
      </c>
      <c r="L734" s="7">
        <v>10059.2933333333</v>
      </c>
    </row>
    <row r="735" spans="1:12" x14ac:dyDescent="0.25">
      <c r="A735" s="9">
        <v>45870</v>
      </c>
      <c r="B735" t="s">
        <v>47</v>
      </c>
      <c r="C735" t="s">
        <v>48</v>
      </c>
      <c r="D735" t="s">
        <v>34</v>
      </c>
      <c r="E735" t="s">
        <v>2093</v>
      </c>
      <c r="F735" s="8">
        <v>7.5</v>
      </c>
      <c r="G735" s="6">
        <v>29000</v>
      </c>
      <c r="H735" s="8">
        <v>43.1</v>
      </c>
      <c r="I735" s="7">
        <v>801.22</v>
      </c>
      <c r="J735" s="8">
        <v>3</v>
      </c>
      <c r="K735" s="7">
        <v>18125</v>
      </c>
      <c r="L735" s="7">
        <v>18926.22</v>
      </c>
    </row>
    <row r="736" spans="1:12" x14ac:dyDescent="0.25">
      <c r="A736" s="9">
        <v>45870</v>
      </c>
      <c r="B736" t="s">
        <v>47</v>
      </c>
      <c r="C736" t="s">
        <v>48</v>
      </c>
      <c r="D736" t="s">
        <v>34</v>
      </c>
      <c r="E736" t="s">
        <v>2097</v>
      </c>
      <c r="F736" s="8">
        <v>8.6999999999999993</v>
      </c>
      <c r="G736" s="6">
        <v>28000</v>
      </c>
      <c r="H736" s="8">
        <v>26.4</v>
      </c>
      <c r="I736" s="7">
        <v>473.85</v>
      </c>
      <c r="J736" s="8">
        <v>1.6</v>
      </c>
      <c r="K736" s="7">
        <v>20300</v>
      </c>
      <c r="L736" s="7">
        <v>20773.849999999999</v>
      </c>
    </row>
    <row r="737" spans="1:12" x14ac:dyDescent="0.25">
      <c r="A737" s="9">
        <v>45870</v>
      </c>
      <c r="B737" t="s">
        <v>121</v>
      </c>
      <c r="C737" t="s">
        <v>122</v>
      </c>
      <c r="D737" t="s">
        <v>34</v>
      </c>
      <c r="E737" t="s">
        <v>2093</v>
      </c>
      <c r="F737" s="8">
        <v>6.9</v>
      </c>
      <c r="G737" s="6">
        <v>29000</v>
      </c>
      <c r="H737" s="8">
        <v>39.9</v>
      </c>
      <c r="I737" s="7">
        <v>741.73</v>
      </c>
      <c r="J737" s="8">
        <v>5</v>
      </c>
      <c r="K737" s="7">
        <v>16675</v>
      </c>
      <c r="L737" s="7">
        <v>17416.73</v>
      </c>
    </row>
    <row r="738" spans="1:12" x14ac:dyDescent="0.25">
      <c r="A738" s="9">
        <v>45870</v>
      </c>
      <c r="B738" t="s">
        <v>121</v>
      </c>
      <c r="C738" t="s">
        <v>122</v>
      </c>
      <c r="D738" t="s">
        <v>34</v>
      </c>
      <c r="E738" t="s">
        <v>2092</v>
      </c>
      <c r="F738" s="8">
        <v>7.7</v>
      </c>
      <c r="G738" s="6">
        <v>43000</v>
      </c>
      <c r="H738" s="8">
        <v>24.4</v>
      </c>
      <c r="I738" s="7">
        <v>672.56</v>
      </c>
      <c r="J738" s="8">
        <v>3.6</v>
      </c>
      <c r="K738" s="7">
        <v>27591.666666666701</v>
      </c>
      <c r="L738" s="7">
        <v>28264.226666666698</v>
      </c>
    </row>
    <row r="739" spans="1:12" x14ac:dyDescent="0.25">
      <c r="A739" s="9">
        <v>45870</v>
      </c>
      <c r="B739" t="s">
        <v>121</v>
      </c>
      <c r="C739" t="s">
        <v>122</v>
      </c>
      <c r="D739" t="s">
        <v>34</v>
      </c>
      <c r="E739" t="s">
        <v>2097</v>
      </c>
      <c r="F739" s="8">
        <v>17.3</v>
      </c>
      <c r="G739" s="6">
        <v>28000</v>
      </c>
      <c r="H739" s="8">
        <v>49.6</v>
      </c>
      <c r="I739" s="7">
        <v>890.26</v>
      </c>
      <c r="J739" s="8">
        <v>9</v>
      </c>
      <c r="K739" s="7">
        <v>40366.666666666701</v>
      </c>
      <c r="L739" s="7">
        <v>41256.926666666703</v>
      </c>
    </row>
    <row r="740" spans="1:12" x14ac:dyDescent="0.25">
      <c r="A740" s="9">
        <v>45870</v>
      </c>
      <c r="B740" t="s">
        <v>121</v>
      </c>
      <c r="C740" t="s">
        <v>122</v>
      </c>
      <c r="D740" t="s">
        <v>34</v>
      </c>
      <c r="E740" t="s">
        <v>2091</v>
      </c>
      <c r="F740" s="8">
        <v>12.4</v>
      </c>
      <c r="G740" s="6">
        <v>25000</v>
      </c>
      <c r="H740" s="8">
        <v>70.5</v>
      </c>
      <c r="I740" s="7">
        <v>1129.81</v>
      </c>
      <c r="J740" s="8">
        <v>4.5</v>
      </c>
      <c r="K740" s="7">
        <v>25833.333333333299</v>
      </c>
      <c r="L740" s="7">
        <v>26963.143333333301</v>
      </c>
    </row>
    <row r="741" spans="1:12" x14ac:dyDescent="0.25">
      <c r="A741" s="9">
        <v>45870</v>
      </c>
      <c r="B741" t="s">
        <v>201</v>
      </c>
      <c r="C741" t="s">
        <v>202</v>
      </c>
      <c r="D741" t="s">
        <v>64</v>
      </c>
      <c r="E741" t="s">
        <v>2097</v>
      </c>
      <c r="F741" s="8">
        <v>4.7</v>
      </c>
      <c r="G741" s="6">
        <v>28000</v>
      </c>
      <c r="H741" s="8">
        <v>21.7</v>
      </c>
      <c r="I741" s="7">
        <v>389.49</v>
      </c>
      <c r="J741" s="8">
        <v>2.1</v>
      </c>
      <c r="K741" s="7">
        <v>10966.666666666701</v>
      </c>
      <c r="L741" s="7">
        <v>11356.1566666667</v>
      </c>
    </row>
    <row r="742" spans="1:12" x14ac:dyDescent="0.25">
      <c r="A742" s="9">
        <v>45870</v>
      </c>
      <c r="B742" t="s">
        <v>201</v>
      </c>
      <c r="C742" t="s">
        <v>202</v>
      </c>
      <c r="D742" t="s">
        <v>64</v>
      </c>
      <c r="E742" t="s">
        <v>2091</v>
      </c>
      <c r="F742" s="8">
        <v>9.9</v>
      </c>
      <c r="G742" s="6">
        <v>25000</v>
      </c>
      <c r="H742" s="8">
        <v>41.3</v>
      </c>
      <c r="I742" s="7">
        <v>661.86</v>
      </c>
      <c r="J742" s="8">
        <v>5.4</v>
      </c>
      <c r="K742" s="7">
        <v>20625</v>
      </c>
      <c r="L742" s="7">
        <v>21286.86</v>
      </c>
    </row>
    <row r="743" spans="1:12" x14ac:dyDescent="0.25">
      <c r="A743" s="9">
        <v>45870</v>
      </c>
      <c r="B743" t="s">
        <v>201</v>
      </c>
      <c r="C743" t="s">
        <v>202</v>
      </c>
      <c r="D743" t="s">
        <v>64</v>
      </c>
      <c r="E743" t="s">
        <v>2092</v>
      </c>
      <c r="F743" s="8">
        <v>18.8</v>
      </c>
      <c r="G743" s="6">
        <v>43000</v>
      </c>
      <c r="H743" s="8">
        <v>69.900000000000006</v>
      </c>
      <c r="I743" s="7">
        <v>1926.73</v>
      </c>
      <c r="J743" s="8">
        <v>9.3000000000000007</v>
      </c>
      <c r="K743" s="7">
        <v>67366.666666666701</v>
      </c>
      <c r="L743" s="7">
        <v>69293.396666666697</v>
      </c>
    </row>
    <row r="744" spans="1:12" x14ac:dyDescent="0.25">
      <c r="A744" s="9">
        <v>45870</v>
      </c>
      <c r="B744" t="s">
        <v>201</v>
      </c>
      <c r="C744" t="s">
        <v>202</v>
      </c>
      <c r="D744" t="s">
        <v>64</v>
      </c>
      <c r="E744" t="s">
        <v>2094</v>
      </c>
      <c r="F744" s="8">
        <v>8.3000000000000007</v>
      </c>
      <c r="G744" s="6">
        <v>41000</v>
      </c>
      <c r="H744" s="8">
        <v>30.5</v>
      </c>
      <c r="I744" s="7">
        <v>801.6</v>
      </c>
      <c r="J744" s="8">
        <v>5.0999999999999996</v>
      </c>
      <c r="K744" s="7">
        <v>28358.333333333299</v>
      </c>
      <c r="L744" s="7">
        <v>29159.933333333302</v>
      </c>
    </row>
    <row r="745" spans="1:12" x14ac:dyDescent="0.25">
      <c r="A745" s="9">
        <v>45870</v>
      </c>
      <c r="B745" t="s">
        <v>201</v>
      </c>
      <c r="C745" t="s">
        <v>202</v>
      </c>
      <c r="D745" t="s">
        <v>64</v>
      </c>
      <c r="E745" t="s">
        <v>2096</v>
      </c>
      <c r="F745" s="8">
        <v>17.899999999999999</v>
      </c>
      <c r="G745" s="6">
        <v>35000</v>
      </c>
      <c r="H745" s="8">
        <v>82.8</v>
      </c>
      <c r="I745" s="7">
        <v>1857.69</v>
      </c>
      <c r="J745" s="8">
        <v>9.1999999999999993</v>
      </c>
      <c r="K745" s="7">
        <v>52208.333333333299</v>
      </c>
      <c r="L745" s="7">
        <v>54066.023333333302</v>
      </c>
    </row>
    <row r="746" spans="1:12" x14ac:dyDescent="0.25">
      <c r="A746" s="9">
        <v>45870</v>
      </c>
      <c r="B746" t="s">
        <v>201</v>
      </c>
      <c r="C746" t="s">
        <v>202</v>
      </c>
      <c r="D746" t="s">
        <v>64</v>
      </c>
      <c r="E746" t="s">
        <v>2093</v>
      </c>
      <c r="F746" s="8">
        <v>4.5999999999999996</v>
      </c>
      <c r="G746" s="6">
        <v>29000</v>
      </c>
      <c r="H746" s="8">
        <v>9.6</v>
      </c>
      <c r="I746" s="7">
        <v>178.46</v>
      </c>
      <c r="J746" s="8">
        <v>1.9</v>
      </c>
      <c r="K746" s="7">
        <v>11116.666666666701</v>
      </c>
      <c r="L746" s="7">
        <v>11295.1266666667</v>
      </c>
    </row>
    <row r="747" spans="1:12" x14ac:dyDescent="0.25">
      <c r="A747" s="9">
        <v>45870</v>
      </c>
      <c r="B747" t="s">
        <v>118</v>
      </c>
      <c r="C747" t="s">
        <v>119</v>
      </c>
      <c r="D747" t="s">
        <v>64</v>
      </c>
      <c r="E747" t="s">
        <v>2094</v>
      </c>
      <c r="F747" s="8">
        <v>4.5999999999999996</v>
      </c>
      <c r="G747" s="6">
        <v>41000</v>
      </c>
      <c r="H747" s="8">
        <v>24.6</v>
      </c>
      <c r="I747" s="7">
        <v>646.54</v>
      </c>
      <c r="J747" s="8">
        <v>2.2999999999999998</v>
      </c>
      <c r="K747" s="7">
        <v>15716.666666666701</v>
      </c>
      <c r="L747" s="7">
        <v>16363.2066666667</v>
      </c>
    </row>
    <row r="748" spans="1:12" x14ac:dyDescent="0.25">
      <c r="A748" s="9">
        <v>45870</v>
      </c>
      <c r="B748" t="s">
        <v>118</v>
      </c>
      <c r="C748" t="s">
        <v>119</v>
      </c>
      <c r="D748" t="s">
        <v>64</v>
      </c>
      <c r="E748" t="s">
        <v>2095</v>
      </c>
      <c r="F748" s="8">
        <v>19.100000000000001</v>
      </c>
      <c r="G748" s="6">
        <v>27000</v>
      </c>
      <c r="H748" s="8">
        <v>95.3</v>
      </c>
      <c r="I748" s="7">
        <v>1649.42</v>
      </c>
      <c r="J748" s="8">
        <v>11.3</v>
      </c>
      <c r="K748" s="7">
        <v>42975</v>
      </c>
      <c r="L748" s="7">
        <v>44624.42</v>
      </c>
    </row>
    <row r="749" spans="1:12" x14ac:dyDescent="0.25">
      <c r="A749" s="9">
        <v>45870</v>
      </c>
      <c r="B749" t="s">
        <v>118</v>
      </c>
      <c r="C749" t="s">
        <v>119</v>
      </c>
      <c r="D749" t="s">
        <v>64</v>
      </c>
      <c r="E749" t="s">
        <v>2091</v>
      </c>
      <c r="F749" s="8">
        <v>3.1</v>
      </c>
      <c r="G749" s="6">
        <v>25000</v>
      </c>
      <c r="H749" s="8">
        <v>17.2</v>
      </c>
      <c r="I749" s="7">
        <v>275.64</v>
      </c>
      <c r="J749" s="8">
        <v>1.6</v>
      </c>
      <c r="K749" s="7">
        <v>6458.3333333333303</v>
      </c>
      <c r="L749" s="7">
        <v>6733.9733333333297</v>
      </c>
    </row>
    <row r="750" spans="1:12" x14ac:dyDescent="0.25">
      <c r="A750" s="9">
        <v>45870</v>
      </c>
      <c r="B750" t="s">
        <v>118</v>
      </c>
      <c r="C750" t="s">
        <v>119</v>
      </c>
      <c r="D750" t="s">
        <v>64</v>
      </c>
      <c r="E750" t="s">
        <v>2093</v>
      </c>
      <c r="F750" s="8">
        <v>18.2</v>
      </c>
      <c r="G750" s="6">
        <v>29000</v>
      </c>
      <c r="H750" s="8">
        <v>58.8</v>
      </c>
      <c r="I750" s="7">
        <v>1093.08</v>
      </c>
      <c r="J750" s="8">
        <v>6.5</v>
      </c>
      <c r="K750" s="7">
        <v>43983.333333333299</v>
      </c>
      <c r="L750" s="7">
        <v>45076.413333333301</v>
      </c>
    </row>
    <row r="751" spans="1:12" x14ac:dyDescent="0.25">
      <c r="A751" s="9">
        <v>45870</v>
      </c>
      <c r="B751" t="s">
        <v>118</v>
      </c>
      <c r="C751" t="s">
        <v>119</v>
      </c>
      <c r="D751" t="s">
        <v>64</v>
      </c>
      <c r="E751" t="s">
        <v>2092</v>
      </c>
      <c r="F751" s="8">
        <v>3.7</v>
      </c>
      <c r="G751" s="6">
        <v>43000</v>
      </c>
      <c r="H751" s="8">
        <v>13.9</v>
      </c>
      <c r="I751" s="7">
        <v>383.14</v>
      </c>
      <c r="J751" s="8">
        <v>1.5</v>
      </c>
      <c r="K751" s="7">
        <v>13258.333333333299</v>
      </c>
      <c r="L751" s="7">
        <v>13641.473333333301</v>
      </c>
    </row>
    <row r="752" spans="1:12" x14ac:dyDescent="0.25">
      <c r="A752" s="9">
        <v>45870</v>
      </c>
      <c r="B752" t="s">
        <v>62</v>
      </c>
      <c r="C752" t="s">
        <v>63</v>
      </c>
      <c r="D752" t="s">
        <v>64</v>
      </c>
      <c r="E752" t="s">
        <v>2096</v>
      </c>
      <c r="F752" s="8">
        <v>13</v>
      </c>
      <c r="G752" s="6">
        <v>35000</v>
      </c>
      <c r="H752" s="8">
        <v>59.6</v>
      </c>
      <c r="I752" s="7">
        <v>1337.18</v>
      </c>
      <c r="J752" s="8">
        <v>6.3</v>
      </c>
      <c r="K752" s="7">
        <v>37916.666666666701</v>
      </c>
      <c r="L752" s="7">
        <v>39253.846666666701</v>
      </c>
    </row>
    <row r="753" spans="1:12" x14ac:dyDescent="0.25">
      <c r="A753" s="9">
        <v>45870</v>
      </c>
      <c r="B753" t="s">
        <v>62</v>
      </c>
      <c r="C753" t="s">
        <v>63</v>
      </c>
      <c r="D753" t="s">
        <v>64</v>
      </c>
      <c r="E753" t="s">
        <v>2092</v>
      </c>
      <c r="F753" s="8">
        <v>12.5</v>
      </c>
      <c r="G753" s="6">
        <v>43000</v>
      </c>
      <c r="H753" s="8">
        <v>44</v>
      </c>
      <c r="I753" s="7">
        <v>1212.82</v>
      </c>
      <c r="J753" s="8">
        <v>4.5</v>
      </c>
      <c r="K753" s="7">
        <v>44791.666666666701</v>
      </c>
      <c r="L753" s="7">
        <v>46004.4866666667</v>
      </c>
    </row>
    <row r="754" spans="1:12" x14ac:dyDescent="0.25">
      <c r="A754" s="9">
        <v>45870</v>
      </c>
      <c r="B754" t="s">
        <v>62</v>
      </c>
      <c r="C754" t="s">
        <v>63</v>
      </c>
      <c r="D754" t="s">
        <v>64</v>
      </c>
      <c r="E754" t="s">
        <v>2091</v>
      </c>
      <c r="F754" s="8">
        <v>16.5</v>
      </c>
      <c r="G754" s="6">
        <v>25000</v>
      </c>
      <c r="H754" s="8">
        <v>42.7</v>
      </c>
      <c r="I754" s="7">
        <v>684.29</v>
      </c>
      <c r="J754" s="8">
        <v>8.6999999999999993</v>
      </c>
      <c r="K754" s="7">
        <v>34375</v>
      </c>
      <c r="L754" s="7">
        <v>35059.29</v>
      </c>
    </row>
    <row r="755" spans="1:12" x14ac:dyDescent="0.25">
      <c r="A755" s="9">
        <v>45870</v>
      </c>
      <c r="B755" t="s">
        <v>62</v>
      </c>
      <c r="C755" t="s">
        <v>63</v>
      </c>
      <c r="D755" t="s">
        <v>64</v>
      </c>
      <c r="E755" t="s">
        <v>2094</v>
      </c>
      <c r="F755" s="8">
        <v>4.4000000000000004</v>
      </c>
      <c r="G755" s="6">
        <v>41000</v>
      </c>
      <c r="H755" s="8">
        <v>28.9</v>
      </c>
      <c r="I755" s="7">
        <v>759.55</v>
      </c>
      <c r="J755" s="8">
        <v>2.1</v>
      </c>
      <c r="K755" s="7">
        <v>15033.333333333299</v>
      </c>
      <c r="L755" s="7">
        <v>15792.8833333333</v>
      </c>
    </row>
    <row r="756" spans="1:12" x14ac:dyDescent="0.25">
      <c r="A756" s="9">
        <v>45870</v>
      </c>
      <c r="B756" t="s">
        <v>62</v>
      </c>
      <c r="C756" t="s">
        <v>63</v>
      </c>
      <c r="D756" t="s">
        <v>64</v>
      </c>
      <c r="E756" t="s">
        <v>2095</v>
      </c>
      <c r="F756" s="8">
        <v>5.9</v>
      </c>
      <c r="G756" s="6">
        <v>27000</v>
      </c>
      <c r="H756" s="8">
        <v>26.5</v>
      </c>
      <c r="I756" s="7">
        <v>458.65</v>
      </c>
      <c r="J756" s="8">
        <v>3.9</v>
      </c>
      <c r="K756" s="7">
        <v>13275</v>
      </c>
      <c r="L756" s="7">
        <v>13733.65</v>
      </c>
    </row>
    <row r="757" spans="1:12" x14ac:dyDescent="0.25">
      <c r="A757" s="9">
        <v>45870</v>
      </c>
      <c r="B757" t="s">
        <v>91</v>
      </c>
      <c r="C757" t="s">
        <v>92</v>
      </c>
      <c r="D757" t="s">
        <v>64</v>
      </c>
      <c r="E757" t="s">
        <v>2092</v>
      </c>
      <c r="F757" s="8">
        <v>15.4</v>
      </c>
      <c r="G757" s="6">
        <v>43000</v>
      </c>
      <c r="H757" s="8">
        <v>42.9</v>
      </c>
      <c r="I757" s="7">
        <v>1182.5</v>
      </c>
      <c r="J757" s="8">
        <v>8.1</v>
      </c>
      <c r="K757" s="7">
        <v>55183.333333333299</v>
      </c>
      <c r="L757" s="7">
        <v>56365.833333333299</v>
      </c>
    </row>
    <row r="758" spans="1:12" x14ac:dyDescent="0.25">
      <c r="A758" s="9">
        <v>45870</v>
      </c>
      <c r="B758" t="s">
        <v>91</v>
      </c>
      <c r="C758" t="s">
        <v>92</v>
      </c>
      <c r="D758" t="s">
        <v>64</v>
      </c>
      <c r="E758" t="s">
        <v>2095</v>
      </c>
      <c r="F758" s="8">
        <v>5.2</v>
      </c>
      <c r="G758" s="6">
        <v>27000</v>
      </c>
      <c r="H758" s="8">
        <v>15</v>
      </c>
      <c r="I758" s="7">
        <v>259.62</v>
      </c>
      <c r="J758" s="8">
        <v>3.5</v>
      </c>
      <c r="K758" s="7">
        <v>11700</v>
      </c>
      <c r="L758" s="7">
        <v>11959.62</v>
      </c>
    </row>
    <row r="759" spans="1:12" x14ac:dyDescent="0.25">
      <c r="A759" s="9">
        <v>45870</v>
      </c>
      <c r="B759" t="s">
        <v>91</v>
      </c>
      <c r="C759" t="s">
        <v>92</v>
      </c>
      <c r="D759" t="s">
        <v>64</v>
      </c>
      <c r="E759" t="s">
        <v>2091</v>
      </c>
      <c r="F759" s="8">
        <v>15.5</v>
      </c>
      <c r="G759" s="6">
        <v>25000</v>
      </c>
      <c r="H759" s="8">
        <v>65.5</v>
      </c>
      <c r="I759" s="7">
        <v>1049.68</v>
      </c>
      <c r="J759" s="8">
        <v>8</v>
      </c>
      <c r="K759" s="7">
        <v>32291.666666666701</v>
      </c>
      <c r="L759" s="7">
        <v>33341.346666666701</v>
      </c>
    </row>
    <row r="760" spans="1:12" x14ac:dyDescent="0.25">
      <c r="A760" s="9">
        <v>45870</v>
      </c>
      <c r="B760" t="s">
        <v>91</v>
      </c>
      <c r="C760" t="s">
        <v>92</v>
      </c>
      <c r="D760" t="s">
        <v>64</v>
      </c>
      <c r="E760" t="s">
        <v>2097</v>
      </c>
      <c r="F760" s="8">
        <v>17</v>
      </c>
      <c r="G760" s="6">
        <v>28000</v>
      </c>
      <c r="H760" s="8">
        <v>48</v>
      </c>
      <c r="I760" s="7">
        <v>861.54</v>
      </c>
      <c r="J760" s="8">
        <v>9.1999999999999993</v>
      </c>
      <c r="K760" s="7">
        <v>39666.666666666701</v>
      </c>
      <c r="L760" s="7">
        <v>40528.206666666701</v>
      </c>
    </row>
    <row r="761" spans="1:12" x14ac:dyDescent="0.25">
      <c r="A761" s="9">
        <v>45870</v>
      </c>
      <c r="B761" t="s">
        <v>91</v>
      </c>
      <c r="C761" t="s">
        <v>92</v>
      </c>
      <c r="D761" t="s">
        <v>64</v>
      </c>
      <c r="E761" t="s">
        <v>2093</v>
      </c>
      <c r="F761" s="8">
        <v>14.6</v>
      </c>
      <c r="G761" s="6">
        <v>29000</v>
      </c>
      <c r="H761" s="8">
        <v>104.1</v>
      </c>
      <c r="I761" s="7">
        <v>1935.19</v>
      </c>
      <c r="J761" s="8">
        <v>6.3</v>
      </c>
      <c r="K761" s="7">
        <v>35283.333333333299</v>
      </c>
      <c r="L761" s="7">
        <v>37218.523333333302</v>
      </c>
    </row>
    <row r="762" spans="1:12" x14ac:dyDescent="0.25">
      <c r="A762" s="9">
        <v>45870</v>
      </c>
      <c r="B762" t="s">
        <v>91</v>
      </c>
      <c r="C762" t="s">
        <v>92</v>
      </c>
      <c r="D762" t="s">
        <v>64</v>
      </c>
      <c r="E762" t="s">
        <v>2096</v>
      </c>
      <c r="F762" s="8">
        <v>7.1</v>
      </c>
      <c r="G762" s="6">
        <v>35000</v>
      </c>
      <c r="H762" s="8">
        <v>24.8</v>
      </c>
      <c r="I762" s="7">
        <v>556.41</v>
      </c>
      <c r="J762" s="8">
        <v>3.8</v>
      </c>
      <c r="K762" s="7">
        <v>20708.333333333299</v>
      </c>
      <c r="L762" s="7">
        <v>21264.743333333299</v>
      </c>
    </row>
    <row r="763" spans="1:12" x14ac:dyDescent="0.25">
      <c r="A763" s="9">
        <v>45870</v>
      </c>
      <c r="B763" t="s">
        <v>80</v>
      </c>
      <c r="C763" t="s">
        <v>81</v>
      </c>
      <c r="D763" t="s">
        <v>64</v>
      </c>
      <c r="E763" t="s">
        <v>2091</v>
      </c>
      <c r="F763" s="8">
        <v>16.5</v>
      </c>
      <c r="G763" s="6">
        <v>25000</v>
      </c>
      <c r="H763" s="8">
        <v>85.5</v>
      </c>
      <c r="I763" s="7">
        <v>1370.19</v>
      </c>
      <c r="J763" s="8">
        <v>7.7</v>
      </c>
      <c r="K763" s="7">
        <v>34375</v>
      </c>
      <c r="L763" s="7">
        <v>35745.19</v>
      </c>
    </row>
    <row r="764" spans="1:12" x14ac:dyDescent="0.25">
      <c r="A764" s="9">
        <v>45870</v>
      </c>
      <c r="B764" t="s">
        <v>80</v>
      </c>
      <c r="C764" t="s">
        <v>81</v>
      </c>
      <c r="D764" t="s">
        <v>64</v>
      </c>
      <c r="E764" t="s">
        <v>2095</v>
      </c>
      <c r="F764" s="8">
        <v>16.2</v>
      </c>
      <c r="G764" s="6">
        <v>27000</v>
      </c>
      <c r="H764" s="8">
        <v>0</v>
      </c>
      <c r="I764" s="7">
        <v>0</v>
      </c>
      <c r="J764" s="8">
        <v>9.5</v>
      </c>
      <c r="K764" s="7">
        <v>36450</v>
      </c>
      <c r="L764" s="7">
        <v>36450</v>
      </c>
    </row>
    <row r="765" spans="1:12" x14ac:dyDescent="0.25">
      <c r="A765" s="9">
        <v>45870</v>
      </c>
      <c r="B765" t="s">
        <v>80</v>
      </c>
      <c r="C765" t="s">
        <v>81</v>
      </c>
      <c r="D765" t="s">
        <v>64</v>
      </c>
      <c r="E765" t="s">
        <v>2092</v>
      </c>
      <c r="F765" s="8">
        <v>6.2</v>
      </c>
      <c r="G765" s="6">
        <v>43000</v>
      </c>
      <c r="H765" s="8">
        <v>31.9</v>
      </c>
      <c r="I765" s="7">
        <v>879.29</v>
      </c>
      <c r="J765" s="8">
        <v>1.4</v>
      </c>
      <c r="K765" s="7">
        <v>22216.666666666701</v>
      </c>
      <c r="L765" s="7">
        <v>23095.956666666701</v>
      </c>
    </row>
    <row r="766" spans="1:12" x14ac:dyDescent="0.25">
      <c r="A766" s="9">
        <v>45870</v>
      </c>
      <c r="B766" t="s">
        <v>80</v>
      </c>
      <c r="C766" t="s">
        <v>81</v>
      </c>
      <c r="D766" t="s">
        <v>64</v>
      </c>
      <c r="E766" t="s">
        <v>2094</v>
      </c>
      <c r="F766" s="8">
        <v>12.3</v>
      </c>
      <c r="G766" s="6">
        <v>41000</v>
      </c>
      <c r="H766" s="8">
        <v>38</v>
      </c>
      <c r="I766" s="7">
        <v>998.72</v>
      </c>
      <c r="J766" s="8">
        <v>7.7</v>
      </c>
      <c r="K766" s="7">
        <v>42025</v>
      </c>
      <c r="L766" s="7">
        <v>43023.72</v>
      </c>
    </row>
    <row r="767" spans="1:12" x14ac:dyDescent="0.25">
      <c r="A767" s="9">
        <v>45870</v>
      </c>
      <c r="B767" t="s">
        <v>80</v>
      </c>
      <c r="C767" t="s">
        <v>81</v>
      </c>
      <c r="D767" t="s">
        <v>64</v>
      </c>
      <c r="E767" t="s">
        <v>2096</v>
      </c>
      <c r="F767" s="8">
        <v>4</v>
      </c>
      <c r="G767" s="6">
        <v>35000</v>
      </c>
      <c r="H767" s="8">
        <v>24.7</v>
      </c>
      <c r="I767" s="7">
        <v>554.16999999999996</v>
      </c>
      <c r="J767" s="8">
        <v>2.9</v>
      </c>
      <c r="K767" s="7">
        <v>11666.666666666701</v>
      </c>
      <c r="L767" s="7">
        <v>12220.836666666701</v>
      </c>
    </row>
    <row r="768" spans="1:12" x14ac:dyDescent="0.25">
      <c r="A768" s="9">
        <v>45870</v>
      </c>
      <c r="B768" t="s">
        <v>56</v>
      </c>
      <c r="C768" t="s">
        <v>57</v>
      </c>
      <c r="D768" t="s">
        <v>58</v>
      </c>
      <c r="E768" t="s">
        <v>2092</v>
      </c>
      <c r="F768" s="8">
        <v>17</v>
      </c>
      <c r="G768" s="6">
        <v>43000</v>
      </c>
      <c r="H768" s="8">
        <v>63.5</v>
      </c>
      <c r="I768" s="7">
        <v>1750.32</v>
      </c>
      <c r="J768" s="8">
        <v>8.6</v>
      </c>
      <c r="K768" s="7">
        <v>60916.666666666701</v>
      </c>
      <c r="L768" s="7">
        <v>62666.9866666667</v>
      </c>
    </row>
    <row r="769" spans="1:12" x14ac:dyDescent="0.25">
      <c r="A769" s="9">
        <v>45870</v>
      </c>
      <c r="B769" t="s">
        <v>56</v>
      </c>
      <c r="C769" t="s">
        <v>57</v>
      </c>
      <c r="D769" t="s">
        <v>58</v>
      </c>
      <c r="E769" t="s">
        <v>2095</v>
      </c>
      <c r="F769" s="8">
        <v>8</v>
      </c>
      <c r="G769" s="6">
        <v>27000</v>
      </c>
      <c r="H769" s="8">
        <v>30.4</v>
      </c>
      <c r="I769" s="7">
        <v>526.15</v>
      </c>
      <c r="J769" s="8">
        <v>5.0999999999999996</v>
      </c>
      <c r="K769" s="7">
        <v>18000</v>
      </c>
      <c r="L769" s="7">
        <v>18526.150000000001</v>
      </c>
    </row>
    <row r="770" spans="1:12" x14ac:dyDescent="0.25">
      <c r="A770" s="9">
        <v>45870</v>
      </c>
      <c r="B770" t="s">
        <v>56</v>
      </c>
      <c r="C770" t="s">
        <v>57</v>
      </c>
      <c r="D770" t="s">
        <v>58</v>
      </c>
      <c r="E770" t="s">
        <v>2096</v>
      </c>
      <c r="F770" s="8">
        <v>5.3</v>
      </c>
      <c r="G770" s="6">
        <v>35000</v>
      </c>
      <c r="H770" s="8">
        <v>14.2</v>
      </c>
      <c r="I770" s="7">
        <v>318.58999999999997</v>
      </c>
      <c r="J770" s="8">
        <v>1.8</v>
      </c>
      <c r="K770" s="7">
        <v>15458.333333333299</v>
      </c>
      <c r="L770" s="7">
        <v>15776.9233333333</v>
      </c>
    </row>
    <row r="771" spans="1:12" x14ac:dyDescent="0.25">
      <c r="A771" s="9">
        <v>45870</v>
      </c>
      <c r="B771" t="s">
        <v>56</v>
      </c>
      <c r="C771" t="s">
        <v>57</v>
      </c>
      <c r="D771" t="s">
        <v>58</v>
      </c>
      <c r="E771" t="s">
        <v>2093</v>
      </c>
      <c r="F771" s="8">
        <v>19.600000000000001</v>
      </c>
      <c r="G771" s="6">
        <v>29000</v>
      </c>
      <c r="H771" s="8">
        <v>108.1</v>
      </c>
      <c r="I771" s="7">
        <v>2009.55</v>
      </c>
      <c r="J771" s="8">
        <v>9.8000000000000007</v>
      </c>
      <c r="K771" s="7">
        <v>47366.666666666701</v>
      </c>
      <c r="L771" s="7">
        <v>49376.216666666704</v>
      </c>
    </row>
    <row r="772" spans="1:12" x14ac:dyDescent="0.25">
      <c r="A772" s="9">
        <v>45870</v>
      </c>
      <c r="B772" t="s">
        <v>77</v>
      </c>
      <c r="C772" t="s">
        <v>78</v>
      </c>
      <c r="D772" t="s">
        <v>58</v>
      </c>
      <c r="E772" t="s">
        <v>2092</v>
      </c>
      <c r="F772" s="8">
        <v>17.600000000000001</v>
      </c>
      <c r="G772" s="6">
        <v>43000</v>
      </c>
      <c r="H772" s="8">
        <v>106.8</v>
      </c>
      <c r="I772" s="7">
        <v>2943.85</v>
      </c>
      <c r="J772" s="8">
        <v>8.1</v>
      </c>
      <c r="K772" s="7">
        <v>63066.666666666701</v>
      </c>
      <c r="L772" s="7">
        <v>66010.516666666706</v>
      </c>
    </row>
    <row r="773" spans="1:12" x14ac:dyDescent="0.25">
      <c r="A773" s="9">
        <v>45870</v>
      </c>
      <c r="B773" t="s">
        <v>77</v>
      </c>
      <c r="C773" t="s">
        <v>78</v>
      </c>
      <c r="D773" t="s">
        <v>58</v>
      </c>
      <c r="E773" t="s">
        <v>2094</v>
      </c>
      <c r="F773" s="8">
        <v>5.0999999999999996</v>
      </c>
      <c r="G773" s="6">
        <v>41000</v>
      </c>
      <c r="H773" s="8">
        <v>20</v>
      </c>
      <c r="I773" s="7">
        <v>525.64</v>
      </c>
      <c r="J773" s="8">
        <v>1.6</v>
      </c>
      <c r="K773" s="7">
        <v>17425</v>
      </c>
      <c r="L773" s="7">
        <v>17950.64</v>
      </c>
    </row>
    <row r="774" spans="1:12" x14ac:dyDescent="0.25">
      <c r="A774" s="9">
        <v>45870</v>
      </c>
      <c r="B774" t="s">
        <v>77</v>
      </c>
      <c r="C774" t="s">
        <v>78</v>
      </c>
      <c r="D774" t="s">
        <v>58</v>
      </c>
      <c r="E774" t="s">
        <v>2095</v>
      </c>
      <c r="F774" s="8">
        <v>10.1</v>
      </c>
      <c r="G774" s="6">
        <v>27000</v>
      </c>
      <c r="H774" s="8">
        <v>40.5</v>
      </c>
      <c r="I774" s="7">
        <v>700.96</v>
      </c>
      <c r="J774" s="8">
        <v>3.6</v>
      </c>
      <c r="K774" s="7">
        <v>22725</v>
      </c>
      <c r="L774" s="7">
        <v>23425.96</v>
      </c>
    </row>
    <row r="775" spans="1:12" x14ac:dyDescent="0.25">
      <c r="A775" s="9">
        <v>45870</v>
      </c>
      <c r="B775" t="s">
        <v>77</v>
      </c>
      <c r="C775" t="s">
        <v>78</v>
      </c>
      <c r="D775" t="s">
        <v>58</v>
      </c>
      <c r="E775" t="s">
        <v>2093</v>
      </c>
      <c r="F775" s="8">
        <v>14</v>
      </c>
      <c r="G775" s="6">
        <v>29000</v>
      </c>
      <c r="H775" s="8">
        <v>45.8</v>
      </c>
      <c r="I775" s="7">
        <v>851.41</v>
      </c>
      <c r="J775" s="8">
        <v>5.6</v>
      </c>
      <c r="K775" s="7">
        <v>33833.333333333299</v>
      </c>
      <c r="L775" s="7">
        <v>34684.743333333303</v>
      </c>
    </row>
    <row r="776" spans="1:12" x14ac:dyDescent="0.25">
      <c r="A776" s="9">
        <v>45870</v>
      </c>
      <c r="B776" t="s">
        <v>77</v>
      </c>
      <c r="C776" t="s">
        <v>78</v>
      </c>
      <c r="D776" t="s">
        <v>58</v>
      </c>
      <c r="E776" t="s">
        <v>2097</v>
      </c>
      <c r="F776" s="8">
        <v>11.5</v>
      </c>
      <c r="G776" s="6">
        <v>28000</v>
      </c>
      <c r="H776" s="8">
        <v>58</v>
      </c>
      <c r="I776" s="7">
        <v>1041.03</v>
      </c>
      <c r="J776" s="8">
        <v>6.5</v>
      </c>
      <c r="K776" s="7">
        <v>26833.333333333299</v>
      </c>
      <c r="L776" s="7">
        <v>27874.363333333298</v>
      </c>
    </row>
    <row r="777" spans="1:12" x14ac:dyDescent="0.25">
      <c r="A777" s="9">
        <v>45870</v>
      </c>
      <c r="B777" t="s">
        <v>110</v>
      </c>
      <c r="C777" t="s">
        <v>111</v>
      </c>
      <c r="D777" t="s">
        <v>58</v>
      </c>
      <c r="E777" t="s">
        <v>2096</v>
      </c>
      <c r="F777" s="8">
        <v>14.8</v>
      </c>
      <c r="G777" s="6">
        <v>35000</v>
      </c>
      <c r="H777" s="8">
        <v>20.8</v>
      </c>
      <c r="I777" s="7">
        <v>466.67</v>
      </c>
      <c r="J777" s="8">
        <v>8.6999999999999993</v>
      </c>
      <c r="K777" s="7">
        <v>43166.666666666701</v>
      </c>
      <c r="L777" s="7">
        <v>43633.336666666699</v>
      </c>
    </row>
    <row r="778" spans="1:12" x14ac:dyDescent="0.25">
      <c r="A778" s="9">
        <v>45870</v>
      </c>
      <c r="B778" t="s">
        <v>110</v>
      </c>
      <c r="C778" t="s">
        <v>111</v>
      </c>
      <c r="D778" t="s">
        <v>58</v>
      </c>
      <c r="E778" t="s">
        <v>2092</v>
      </c>
      <c r="F778" s="8">
        <v>12.8</v>
      </c>
      <c r="G778" s="6">
        <v>43000</v>
      </c>
      <c r="H778" s="8">
        <v>99.2</v>
      </c>
      <c r="I778" s="7">
        <v>2734.36</v>
      </c>
      <c r="J778" s="8">
        <v>6.4</v>
      </c>
      <c r="K778" s="7">
        <v>45866.666666666701</v>
      </c>
      <c r="L778" s="7">
        <v>48601.026666666701</v>
      </c>
    </row>
    <row r="779" spans="1:12" x14ac:dyDescent="0.25">
      <c r="A779" s="9">
        <v>45870</v>
      </c>
      <c r="B779" t="s">
        <v>110</v>
      </c>
      <c r="C779" t="s">
        <v>111</v>
      </c>
      <c r="D779" t="s">
        <v>58</v>
      </c>
      <c r="E779" t="s">
        <v>2093</v>
      </c>
      <c r="F779" s="8">
        <v>16.8</v>
      </c>
      <c r="G779" s="6">
        <v>29000</v>
      </c>
      <c r="H779" s="8">
        <v>51</v>
      </c>
      <c r="I779" s="7">
        <v>948.08</v>
      </c>
      <c r="J779" s="8">
        <v>11.2</v>
      </c>
      <c r="K779" s="7">
        <v>40600</v>
      </c>
      <c r="L779" s="7">
        <v>41548.080000000002</v>
      </c>
    </row>
    <row r="780" spans="1:12" x14ac:dyDescent="0.25">
      <c r="A780" s="9">
        <v>45870</v>
      </c>
      <c r="B780" t="s">
        <v>110</v>
      </c>
      <c r="C780" t="s">
        <v>111</v>
      </c>
      <c r="D780" t="s">
        <v>58</v>
      </c>
      <c r="E780" t="s">
        <v>2094</v>
      </c>
      <c r="F780" s="8">
        <v>12.9</v>
      </c>
      <c r="G780" s="6">
        <v>41000</v>
      </c>
      <c r="H780" s="8">
        <v>26.1</v>
      </c>
      <c r="I780" s="7">
        <v>685.96</v>
      </c>
      <c r="J780" s="8">
        <v>6.5</v>
      </c>
      <c r="K780" s="7">
        <v>44075</v>
      </c>
      <c r="L780" s="7">
        <v>44760.959999999999</v>
      </c>
    </row>
    <row r="781" spans="1:12" x14ac:dyDescent="0.25">
      <c r="A781" s="9">
        <v>45870</v>
      </c>
      <c r="B781" t="s">
        <v>85</v>
      </c>
      <c r="C781" t="s">
        <v>86</v>
      </c>
      <c r="D781" t="s">
        <v>58</v>
      </c>
      <c r="E781" t="s">
        <v>2093</v>
      </c>
      <c r="F781" s="8">
        <v>15.4</v>
      </c>
      <c r="G781" s="6">
        <v>29000</v>
      </c>
      <c r="H781" s="8">
        <v>65.7</v>
      </c>
      <c r="I781" s="7">
        <v>1221.3499999999999</v>
      </c>
      <c r="J781" s="8">
        <v>9</v>
      </c>
      <c r="K781" s="7">
        <v>37216.666666666701</v>
      </c>
      <c r="L781" s="7">
        <v>38438.016666666699</v>
      </c>
    </row>
    <row r="782" spans="1:12" x14ac:dyDescent="0.25">
      <c r="A782" s="9">
        <v>45870</v>
      </c>
      <c r="B782" t="s">
        <v>85</v>
      </c>
      <c r="C782" t="s">
        <v>86</v>
      </c>
      <c r="D782" t="s">
        <v>58</v>
      </c>
      <c r="E782" t="s">
        <v>2097</v>
      </c>
      <c r="F782" s="8">
        <v>14.6</v>
      </c>
      <c r="G782" s="6">
        <v>28000</v>
      </c>
      <c r="H782" s="8">
        <v>66.3</v>
      </c>
      <c r="I782" s="7">
        <v>1190</v>
      </c>
      <c r="J782" s="8">
        <v>6.8</v>
      </c>
      <c r="K782" s="7">
        <v>34066.666666666701</v>
      </c>
      <c r="L782" s="7">
        <v>35256.666666666701</v>
      </c>
    </row>
    <row r="783" spans="1:12" x14ac:dyDescent="0.25">
      <c r="A783" s="9">
        <v>45870</v>
      </c>
      <c r="B783" t="s">
        <v>85</v>
      </c>
      <c r="C783" t="s">
        <v>86</v>
      </c>
      <c r="D783" t="s">
        <v>58</v>
      </c>
      <c r="E783" t="s">
        <v>2091</v>
      </c>
      <c r="F783" s="8">
        <v>5.3</v>
      </c>
      <c r="G783" s="6">
        <v>25000</v>
      </c>
      <c r="H783" s="8">
        <v>13.6</v>
      </c>
      <c r="I783" s="7">
        <v>217.95</v>
      </c>
      <c r="J783" s="8">
        <v>2.2999999999999998</v>
      </c>
      <c r="K783" s="7">
        <v>11041.666666666701</v>
      </c>
      <c r="L783" s="7">
        <v>11259.6166666667</v>
      </c>
    </row>
    <row r="784" spans="1:12" x14ac:dyDescent="0.25">
      <c r="A784" s="9">
        <v>45870</v>
      </c>
      <c r="B784" t="s">
        <v>85</v>
      </c>
      <c r="C784" t="s">
        <v>86</v>
      </c>
      <c r="D784" t="s">
        <v>58</v>
      </c>
      <c r="E784" t="s">
        <v>2095</v>
      </c>
      <c r="F784" s="8">
        <v>6.7</v>
      </c>
      <c r="G784" s="6">
        <v>27000</v>
      </c>
      <c r="H784" s="8">
        <v>16.7</v>
      </c>
      <c r="I784" s="7">
        <v>289.04000000000002</v>
      </c>
      <c r="J784" s="8">
        <v>3.4</v>
      </c>
      <c r="K784" s="7">
        <v>15075</v>
      </c>
      <c r="L784" s="7">
        <v>15364.04</v>
      </c>
    </row>
    <row r="785" spans="1:12" x14ac:dyDescent="0.25">
      <c r="A785" s="9">
        <v>45870</v>
      </c>
      <c r="B785" t="s">
        <v>85</v>
      </c>
      <c r="C785" t="s">
        <v>86</v>
      </c>
      <c r="D785" t="s">
        <v>58</v>
      </c>
      <c r="E785" t="s">
        <v>2092</v>
      </c>
      <c r="F785" s="8">
        <v>19.3</v>
      </c>
      <c r="G785" s="6">
        <v>43000</v>
      </c>
      <c r="H785" s="8">
        <v>60.9</v>
      </c>
      <c r="I785" s="7">
        <v>1678.65</v>
      </c>
      <c r="J785" s="8">
        <v>8.1999999999999993</v>
      </c>
      <c r="K785" s="7">
        <v>69158.333333333299</v>
      </c>
      <c r="L785" s="7">
        <v>70836.983333333294</v>
      </c>
    </row>
    <row r="786" spans="1:12" x14ac:dyDescent="0.25">
      <c r="A786" s="9">
        <v>45870</v>
      </c>
      <c r="B786" t="s">
        <v>85</v>
      </c>
      <c r="C786" t="s">
        <v>86</v>
      </c>
      <c r="D786" t="s">
        <v>58</v>
      </c>
      <c r="E786" t="s">
        <v>2094</v>
      </c>
      <c r="F786" s="8">
        <v>12.8</v>
      </c>
      <c r="G786" s="6">
        <v>41000</v>
      </c>
      <c r="H786" s="8">
        <v>75.3</v>
      </c>
      <c r="I786" s="7">
        <v>1979.04</v>
      </c>
      <c r="J786" s="8">
        <v>5.9</v>
      </c>
      <c r="K786" s="7">
        <v>43733.333333333299</v>
      </c>
      <c r="L786" s="7">
        <v>45712.3733333333</v>
      </c>
    </row>
    <row r="787" spans="1:12" x14ac:dyDescent="0.25">
      <c r="A787" s="9">
        <v>45870</v>
      </c>
      <c r="B787" t="s">
        <v>103</v>
      </c>
      <c r="C787" t="s">
        <v>104</v>
      </c>
      <c r="D787" t="s">
        <v>58</v>
      </c>
      <c r="E787" t="s">
        <v>2093</v>
      </c>
      <c r="F787" s="8">
        <v>8.8000000000000007</v>
      </c>
      <c r="G787" s="6">
        <v>29000</v>
      </c>
      <c r="H787" s="8">
        <v>18.5</v>
      </c>
      <c r="I787" s="7">
        <v>343.91</v>
      </c>
      <c r="J787" s="8">
        <v>4.2</v>
      </c>
      <c r="K787" s="7">
        <v>21266.666666666701</v>
      </c>
      <c r="L787" s="7">
        <v>21610.5766666667</v>
      </c>
    </row>
    <row r="788" spans="1:12" x14ac:dyDescent="0.25">
      <c r="A788" s="9">
        <v>45870</v>
      </c>
      <c r="B788" t="s">
        <v>103</v>
      </c>
      <c r="C788" t="s">
        <v>104</v>
      </c>
      <c r="D788" t="s">
        <v>58</v>
      </c>
      <c r="E788" t="s">
        <v>2095</v>
      </c>
      <c r="F788" s="8">
        <v>10.6</v>
      </c>
      <c r="G788" s="6">
        <v>27000</v>
      </c>
      <c r="H788" s="8">
        <v>43.5</v>
      </c>
      <c r="I788" s="7">
        <v>752.88</v>
      </c>
      <c r="J788" s="8">
        <v>3.6</v>
      </c>
      <c r="K788" s="7">
        <v>23850</v>
      </c>
      <c r="L788" s="7">
        <v>24602.880000000001</v>
      </c>
    </row>
    <row r="789" spans="1:12" x14ac:dyDescent="0.25">
      <c r="A789" s="9">
        <v>45870</v>
      </c>
      <c r="B789" t="s">
        <v>103</v>
      </c>
      <c r="C789" t="s">
        <v>104</v>
      </c>
      <c r="D789" t="s">
        <v>58</v>
      </c>
      <c r="E789" t="s">
        <v>2091</v>
      </c>
      <c r="F789" s="8">
        <v>5.5</v>
      </c>
      <c r="G789" s="6">
        <v>25000</v>
      </c>
      <c r="H789" s="8">
        <v>24.7</v>
      </c>
      <c r="I789" s="7">
        <v>395.83</v>
      </c>
      <c r="J789" s="8">
        <v>1.7</v>
      </c>
      <c r="K789" s="7">
        <v>11458.333333333299</v>
      </c>
      <c r="L789" s="7">
        <v>11854.163333333299</v>
      </c>
    </row>
    <row r="790" spans="1:12" x14ac:dyDescent="0.25">
      <c r="A790" s="9">
        <v>45870</v>
      </c>
      <c r="B790" t="s">
        <v>103</v>
      </c>
      <c r="C790" t="s">
        <v>104</v>
      </c>
      <c r="D790" t="s">
        <v>58</v>
      </c>
      <c r="E790" t="s">
        <v>2092</v>
      </c>
      <c r="F790" s="8">
        <v>14</v>
      </c>
      <c r="G790" s="6">
        <v>43000</v>
      </c>
      <c r="H790" s="8">
        <v>91.9</v>
      </c>
      <c r="I790" s="7">
        <v>2533.14</v>
      </c>
      <c r="J790" s="8">
        <v>7.5</v>
      </c>
      <c r="K790" s="7">
        <v>50166.666666666701</v>
      </c>
      <c r="L790" s="7">
        <v>52699.8066666667</v>
      </c>
    </row>
    <row r="791" spans="1:12" x14ac:dyDescent="0.25">
      <c r="A791" s="9">
        <v>45870</v>
      </c>
      <c r="B791" t="s">
        <v>103</v>
      </c>
      <c r="C791" t="s">
        <v>104</v>
      </c>
      <c r="D791" t="s">
        <v>58</v>
      </c>
      <c r="E791" t="s">
        <v>2097</v>
      </c>
      <c r="F791" s="8">
        <v>5.0999999999999996</v>
      </c>
      <c r="G791" s="6">
        <v>28000</v>
      </c>
      <c r="H791" s="8">
        <v>17.3</v>
      </c>
      <c r="I791" s="7">
        <v>310.51</v>
      </c>
      <c r="J791" s="8">
        <v>1.8</v>
      </c>
      <c r="K791" s="7">
        <v>11900</v>
      </c>
      <c r="L791" s="7">
        <v>12210.51</v>
      </c>
    </row>
    <row r="792" spans="1:12" x14ac:dyDescent="0.25">
      <c r="A792" s="9">
        <v>45870</v>
      </c>
      <c r="B792" t="s">
        <v>103</v>
      </c>
      <c r="C792" t="s">
        <v>104</v>
      </c>
      <c r="D792" t="s">
        <v>58</v>
      </c>
      <c r="E792" t="s">
        <v>2096</v>
      </c>
      <c r="F792" s="8">
        <v>9.3000000000000007</v>
      </c>
      <c r="G792" s="6">
        <v>35000</v>
      </c>
      <c r="H792" s="8">
        <v>35.700000000000003</v>
      </c>
      <c r="I792" s="7">
        <v>800.96</v>
      </c>
      <c r="J792" s="8">
        <v>5.3</v>
      </c>
      <c r="K792" s="7">
        <v>27125</v>
      </c>
      <c r="L792" s="7">
        <v>27925.96</v>
      </c>
    </row>
    <row r="793" spans="1:12" x14ac:dyDescent="0.25">
      <c r="A793" s="9">
        <v>45901</v>
      </c>
      <c r="B793" t="s">
        <v>100</v>
      </c>
      <c r="C793" t="s">
        <v>101</v>
      </c>
      <c r="D793" t="s">
        <v>69</v>
      </c>
      <c r="E793" t="s">
        <v>2096</v>
      </c>
      <c r="F793" s="8">
        <v>14.3</v>
      </c>
      <c r="G793" s="6">
        <v>35000</v>
      </c>
      <c r="H793" s="8">
        <v>56.7</v>
      </c>
      <c r="I793" s="7">
        <v>1272.1199999999999</v>
      </c>
      <c r="J793" s="8">
        <v>6.9</v>
      </c>
      <c r="K793" s="7">
        <v>41708.333333333299</v>
      </c>
      <c r="L793" s="7">
        <v>42980.453333333302</v>
      </c>
    </row>
    <row r="794" spans="1:12" x14ac:dyDescent="0.25">
      <c r="A794" s="9">
        <v>45901</v>
      </c>
      <c r="B794" t="s">
        <v>100</v>
      </c>
      <c r="C794" t="s">
        <v>101</v>
      </c>
      <c r="D794" t="s">
        <v>69</v>
      </c>
      <c r="E794" t="s">
        <v>2095</v>
      </c>
      <c r="F794" s="8">
        <v>17.600000000000001</v>
      </c>
      <c r="G794" s="6">
        <v>27000</v>
      </c>
      <c r="H794" s="8">
        <v>71.900000000000006</v>
      </c>
      <c r="I794" s="7">
        <v>1244.42</v>
      </c>
      <c r="J794" s="8">
        <v>8.1999999999999993</v>
      </c>
      <c r="K794" s="7">
        <v>39600</v>
      </c>
      <c r="L794" s="7">
        <v>40844.42</v>
      </c>
    </row>
    <row r="795" spans="1:12" x14ac:dyDescent="0.25">
      <c r="A795" s="9">
        <v>45901</v>
      </c>
      <c r="B795" t="s">
        <v>100</v>
      </c>
      <c r="C795" t="s">
        <v>101</v>
      </c>
      <c r="D795" t="s">
        <v>69</v>
      </c>
      <c r="E795" t="s">
        <v>2092</v>
      </c>
      <c r="F795" s="8">
        <v>5.5</v>
      </c>
      <c r="G795" s="6">
        <v>43000</v>
      </c>
      <c r="H795" s="8">
        <v>19.2</v>
      </c>
      <c r="I795" s="7">
        <v>529.23</v>
      </c>
      <c r="J795" s="8">
        <v>0.7</v>
      </c>
      <c r="K795" s="7">
        <v>19708.333333333299</v>
      </c>
      <c r="L795" s="7">
        <v>20237.563333333299</v>
      </c>
    </row>
    <row r="796" spans="1:12" x14ac:dyDescent="0.25">
      <c r="A796" s="9">
        <v>45901</v>
      </c>
      <c r="B796" t="s">
        <v>100</v>
      </c>
      <c r="C796" t="s">
        <v>101</v>
      </c>
      <c r="D796" t="s">
        <v>69</v>
      </c>
      <c r="E796" t="s">
        <v>2094</v>
      </c>
      <c r="F796" s="8">
        <v>9.6</v>
      </c>
      <c r="G796" s="6">
        <v>41000</v>
      </c>
      <c r="H796" s="8">
        <v>52.4</v>
      </c>
      <c r="I796" s="7">
        <v>1377.18</v>
      </c>
      <c r="J796" s="8">
        <v>5.0999999999999996</v>
      </c>
      <c r="K796" s="7">
        <v>32800</v>
      </c>
      <c r="L796" s="7">
        <v>34177.18</v>
      </c>
    </row>
    <row r="797" spans="1:12" x14ac:dyDescent="0.25">
      <c r="A797" s="9">
        <v>45901</v>
      </c>
      <c r="B797" t="s">
        <v>100</v>
      </c>
      <c r="C797" t="s">
        <v>101</v>
      </c>
      <c r="D797" t="s">
        <v>69</v>
      </c>
      <c r="E797" t="s">
        <v>2093</v>
      </c>
      <c r="F797" s="8">
        <v>6.2</v>
      </c>
      <c r="G797" s="6">
        <v>29000</v>
      </c>
      <c r="H797" s="8">
        <v>17.600000000000001</v>
      </c>
      <c r="I797" s="7">
        <v>327.18</v>
      </c>
      <c r="J797" s="8">
        <v>5</v>
      </c>
      <c r="K797" s="7">
        <v>14983.333333333299</v>
      </c>
      <c r="L797" s="7">
        <v>15310.5133333333</v>
      </c>
    </row>
    <row r="798" spans="1:12" x14ac:dyDescent="0.25">
      <c r="A798" s="9">
        <v>45901</v>
      </c>
      <c r="B798" t="s">
        <v>113</v>
      </c>
      <c r="C798" t="s">
        <v>114</v>
      </c>
      <c r="D798" t="s">
        <v>69</v>
      </c>
      <c r="E798" t="s">
        <v>2097</v>
      </c>
      <c r="F798" s="8">
        <v>10.4</v>
      </c>
      <c r="G798" s="6">
        <v>28000</v>
      </c>
      <c r="H798" s="8">
        <v>43</v>
      </c>
      <c r="I798" s="7">
        <v>771.79</v>
      </c>
      <c r="J798" s="8">
        <v>4.2</v>
      </c>
      <c r="K798" s="7">
        <v>24266.666666666701</v>
      </c>
      <c r="L798" s="7">
        <v>25038.456666666701</v>
      </c>
    </row>
    <row r="799" spans="1:12" x14ac:dyDescent="0.25">
      <c r="A799" s="9">
        <v>45901</v>
      </c>
      <c r="B799" t="s">
        <v>113</v>
      </c>
      <c r="C799" t="s">
        <v>114</v>
      </c>
      <c r="D799" t="s">
        <v>69</v>
      </c>
      <c r="E799" t="s">
        <v>2095</v>
      </c>
      <c r="F799" s="8">
        <v>7.3</v>
      </c>
      <c r="G799" s="6">
        <v>27000</v>
      </c>
      <c r="H799" s="8">
        <v>38.6</v>
      </c>
      <c r="I799" s="7">
        <v>668.08</v>
      </c>
      <c r="J799" s="8">
        <v>4</v>
      </c>
      <c r="K799" s="7">
        <v>16425</v>
      </c>
      <c r="L799" s="7">
        <v>17093.080000000002</v>
      </c>
    </row>
    <row r="800" spans="1:12" x14ac:dyDescent="0.25">
      <c r="A800" s="9">
        <v>45901</v>
      </c>
      <c r="B800" t="s">
        <v>113</v>
      </c>
      <c r="C800" t="s">
        <v>114</v>
      </c>
      <c r="D800" t="s">
        <v>69</v>
      </c>
      <c r="E800" t="s">
        <v>2093</v>
      </c>
      <c r="F800" s="8">
        <v>10.4</v>
      </c>
      <c r="G800" s="6">
        <v>29000</v>
      </c>
      <c r="H800" s="8">
        <v>47.8</v>
      </c>
      <c r="I800" s="7">
        <v>888.59</v>
      </c>
      <c r="J800" s="8">
        <v>4.8</v>
      </c>
      <c r="K800" s="7">
        <v>25133.333333333299</v>
      </c>
      <c r="L800" s="7">
        <v>26021.9233333333</v>
      </c>
    </row>
    <row r="801" spans="1:12" x14ac:dyDescent="0.25">
      <c r="A801" s="9">
        <v>45901</v>
      </c>
      <c r="B801" t="s">
        <v>113</v>
      </c>
      <c r="C801" t="s">
        <v>114</v>
      </c>
      <c r="D801" t="s">
        <v>69</v>
      </c>
      <c r="E801" t="s">
        <v>2096</v>
      </c>
      <c r="F801" s="8">
        <v>5.7</v>
      </c>
      <c r="G801" s="6">
        <v>35000</v>
      </c>
      <c r="H801" s="8">
        <v>26.7</v>
      </c>
      <c r="I801" s="7">
        <v>599.04</v>
      </c>
      <c r="J801" s="8">
        <v>2.6</v>
      </c>
      <c r="K801" s="7">
        <v>16625</v>
      </c>
      <c r="L801" s="7">
        <v>17224.04</v>
      </c>
    </row>
    <row r="802" spans="1:12" x14ac:dyDescent="0.25">
      <c r="A802" s="9">
        <v>45901</v>
      </c>
      <c r="B802" t="s">
        <v>113</v>
      </c>
      <c r="C802" t="s">
        <v>114</v>
      </c>
      <c r="D802" t="s">
        <v>69</v>
      </c>
      <c r="E802" t="s">
        <v>2092</v>
      </c>
      <c r="F802" s="8">
        <v>16.3</v>
      </c>
      <c r="G802" s="6">
        <v>43000</v>
      </c>
      <c r="H802" s="8">
        <v>78.8</v>
      </c>
      <c r="I802" s="7">
        <v>2172.0500000000002</v>
      </c>
      <c r="J802" s="8">
        <v>6.2</v>
      </c>
      <c r="K802" s="7">
        <v>58408.333333333299</v>
      </c>
      <c r="L802" s="7">
        <v>60580.383333333302</v>
      </c>
    </row>
    <row r="803" spans="1:12" x14ac:dyDescent="0.25">
      <c r="A803" s="9">
        <v>45901</v>
      </c>
      <c r="B803" t="s">
        <v>113</v>
      </c>
      <c r="C803" t="s">
        <v>114</v>
      </c>
      <c r="D803" t="s">
        <v>69</v>
      </c>
      <c r="E803" t="s">
        <v>2094</v>
      </c>
      <c r="F803" s="8">
        <v>17.2</v>
      </c>
      <c r="G803" s="6">
        <v>41000</v>
      </c>
      <c r="H803" s="8">
        <v>57.6</v>
      </c>
      <c r="I803" s="7">
        <v>1513.85</v>
      </c>
      <c r="J803" s="8">
        <v>10.3</v>
      </c>
      <c r="K803" s="7">
        <v>58766.666666666701</v>
      </c>
      <c r="L803" s="7">
        <v>60280.516666666699</v>
      </c>
    </row>
    <row r="804" spans="1:12" x14ac:dyDescent="0.25">
      <c r="A804" s="9">
        <v>45901</v>
      </c>
      <c r="B804" t="s">
        <v>143</v>
      </c>
      <c r="C804" t="s">
        <v>144</v>
      </c>
      <c r="D804" t="s">
        <v>69</v>
      </c>
      <c r="E804" t="s">
        <v>2096</v>
      </c>
      <c r="F804" s="8">
        <v>18</v>
      </c>
      <c r="G804" s="6">
        <v>35000</v>
      </c>
      <c r="H804" s="8">
        <v>51.3</v>
      </c>
      <c r="I804" s="7">
        <v>1150.96</v>
      </c>
      <c r="J804" s="8">
        <v>8.4</v>
      </c>
      <c r="K804" s="7">
        <v>52500</v>
      </c>
      <c r="L804" s="7">
        <v>53650.96</v>
      </c>
    </row>
    <row r="805" spans="1:12" x14ac:dyDescent="0.25">
      <c r="A805" s="9">
        <v>45901</v>
      </c>
      <c r="B805" t="s">
        <v>143</v>
      </c>
      <c r="C805" t="s">
        <v>144</v>
      </c>
      <c r="D805" t="s">
        <v>69</v>
      </c>
      <c r="E805" t="s">
        <v>2092</v>
      </c>
      <c r="F805" s="8">
        <v>5.4</v>
      </c>
      <c r="G805" s="6">
        <v>43000</v>
      </c>
      <c r="H805" s="8">
        <v>18</v>
      </c>
      <c r="I805" s="7">
        <v>496.15</v>
      </c>
      <c r="J805" s="8">
        <v>1.5</v>
      </c>
      <c r="K805" s="7">
        <v>19350</v>
      </c>
      <c r="L805" s="7">
        <v>19846.150000000001</v>
      </c>
    </row>
    <row r="806" spans="1:12" x14ac:dyDescent="0.25">
      <c r="A806" s="9">
        <v>45901</v>
      </c>
      <c r="B806" t="s">
        <v>143</v>
      </c>
      <c r="C806" t="s">
        <v>144</v>
      </c>
      <c r="D806" t="s">
        <v>69</v>
      </c>
      <c r="E806" t="s">
        <v>2094</v>
      </c>
      <c r="F806" s="8">
        <v>7.7</v>
      </c>
      <c r="G806" s="6">
        <v>41000</v>
      </c>
      <c r="H806" s="8">
        <v>5.3</v>
      </c>
      <c r="I806" s="7">
        <v>139.29</v>
      </c>
      <c r="J806" s="8">
        <v>3.6</v>
      </c>
      <c r="K806" s="7">
        <v>26308.333333333299</v>
      </c>
      <c r="L806" s="7">
        <v>26447.6233333333</v>
      </c>
    </row>
    <row r="807" spans="1:12" x14ac:dyDescent="0.25">
      <c r="A807" s="9">
        <v>45901</v>
      </c>
      <c r="B807" t="s">
        <v>143</v>
      </c>
      <c r="C807" t="s">
        <v>144</v>
      </c>
      <c r="D807" t="s">
        <v>69</v>
      </c>
      <c r="E807" t="s">
        <v>2093</v>
      </c>
      <c r="F807" s="8">
        <v>10.199999999999999</v>
      </c>
      <c r="G807" s="6">
        <v>29000</v>
      </c>
      <c r="H807" s="8">
        <v>42.9</v>
      </c>
      <c r="I807" s="7">
        <v>797.5</v>
      </c>
      <c r="J807" s="8">
        <v>5</v>
      </c>
      <c r="K807" s="7">
        <v>24650</v>
      </c>
      <c r="L807" s="7">
        <v>25447.5</v>
      </c>
    </row>
    <row r="808" spans="1:12" x14ac:dyDescent="0.25">
      <c r="A808" s="9">
        <v>45901</v>
      </c>
      <c r="B808" t="s">
        <v>143</v>
      </c>
      <c r="C808" t="s">
        <v>144</v>
      </c>
      <c r="D808" t="s">
        <v>69</v>
      </c>
      <c r="E808" t="s">
        <v>2097</v>
      </c>
      <c r="F808" s="8">
        <v>3.2</v>
      </c>
      <c r="G808" s="6">
        <v>28000</v>
      </c>
      <c r="H808" s="8">
        <v>12.1</v>
      </c>
      <c r="I808" s="7">
        <v>217.18</v>
      </c>
      <c r="J808" s="8">
        <v>1.6</v>
      </c>
      <c r="K808" s="7">
        <v>7466.6666666666697</v>
      </c>
      <c r="L808" s="7">
        <v>7683.84666666667</v>
      </c>
    </row>
    <row r="809" spans="1:12" x14ac:dyDescent="0.25">
      <c r="A809" s="9">
        <v>45901</v>
      </c>
      <c r="B809" t="s">
        <v>143</v>
      </c>
      <c r="C809" t="s">
        <v>144</v>
      </c>
      <c r="D809" t="s">
        <v>69</v>
      </c>
      <c r="E809" t="s">
        <v>2091</v>
      </c>
      <c r="F809" s="8">
        <v>16.399999999999999</v>
      </c>
      <c r="G809" s="6">
        <v>25000</v>
      </c>
      <c r="H809" s="8">
        <v>90.8</v>
      </c>
      <c r="I809" s="7">
        <v>1455.13</v>
      </c>
      <c r="J809" s="8">
        <v>8</v>
      </c>
      <c r="K809" s="7">
        <v>34166.666666666701</v>
      </c>
      <c r="L809" s="7">
        <v>35621.796666666698</v>
      </c>
    </row>
    <row r="810" spans="1:12" x14ac:dyDescent="0.25">
      <c r="A810" s="9">
        <v>45901</v>
      </c>
      <c r="B810" t="s">
        <v>73</v>
      </c>
      <c r="C810" t="s">
        <v>74</v>
      </c>
      <c r="D810" t="s">
        <v>69</v>
      </c>
      <c r="E810" t="s">
        <v>2091</v>
      </c>
      <c r="F810" s="8">
        <v>10.6</v>
      </c>
      <c r="G810" s="6">
        <v>25000</v>
      </c>
      <c r="H810" s="8">
        <v>33.299999999999997</v>
      </c>
      <c r="I810" s="7">
        <v>533.65</v>
      </c>
      <c r="J810" s="8">
        <v>5</v>
      </c>
      <c r="K810" s="7">
        <v>22083.333333333299</v>
      </c>
      <c r="L810" s="7">
        <v>22616.983333333301</v>
      </c>
    </row>
    <row r="811" spans="1:12" x14ac:dyDescent="0.25">
      <c r="A811" s="9">
        <v>45901</v>
      </c>
      <c r="B811" t="s">
        <v>73</v>
      </c>
      <c r="C811" t="s">
        <v>74</v>
      </c>
      <c r="D811" t="s">
        <v>69</v>
      </c>
      <c r="E811" t="s">
        <v>2092</v>
      </c>
      <c r="F811" s="8">
        <v>14.7</v>
      </c>
      <c r="G811" s="6">
        <v>43000</v>
      </c>
      <c r="H811" s="8">
        <v>71.599999999999994</v>
      </c>
      <c r="I811" s="7">
        <v>1973.59</v>
      </c>
      <c r="J811" s="8">
        <v>8.8000000000000007</v>
      </c>
      <c r="K811" s="7">
        <v>52675</v>
      </c>
      <c r="L811" s="7">
        <v>54648.59</v>
      </c>
    </row>
    <row r="812" spans="1:12" x14ac:dyDescent="0.25">
      <c r="A812" s="9">
        <v>45901</v>
      </c>
      <c r="B812" t="s">
        <v>73</v>
      </c>
      <c r="C812" t="s">
        <v>74</v>
      </c>
      <c r="D812" t="s">
        <v>69</v>
      </c>
      <c r="E812" t="s">
        <v>2096</v>
      </c>
      <c r="F812" s="8">
        <v>7.7</v>
      </c>
      <c r="G812" s="6">
        <v>35000</v>
      </c>
      <c r="H812" s="8">
        <v>23.5</v>
      </c>
      <c r="I812" s="7">
        <v>527.24</v>
      </c>
      <c r="J812" s="8">
        <v>3.9</v>
      </c>
      <c r="K812" s="7">
        <v>22458.333333333299</v>
      </c>
      <c r="L812" s="7">
        <v>22985.573333333301</v>
      </c>
    </row>
    <row r="813" spans="1:12" x14ac:dyDescent="0.25">
      <c r="A813" s="9">
        <v>45901</v>
      </c>
      <c r="B813" t="s">
        <v>73</v>
      </c>
      <c r="C813" t="s">
        <v>74</v>
      </c>
      <c r="D813" t="s">
        <v>69</v>
      </c>
      <c r="E813" t="s">
        <v>2094</v>
      </c>
      <c r="F813" s="8">
        <v>11.1</v>
      </c>
      <c r="G813" s="6">
        <v>41000</v>
      </c>
      <c r="H813" s="8">
        <v>50</v>
      </c>
      <c r="I813" s="7">
        <v>1314.1</v>
      </c>
      <c r="J813" s="8">
        <v>4.5999999999999996</v>
      </c>
      <c r="K813" s="7">
        <v>37925</v>
      </c>
      <c r="L813" s="7">
        <v>39239.1</v>
      </c>
    </row>
    <row r="814" spans="1:12" x14ac:dyDescent="0.25">
      <c r="A814" s="9">
        <v>45901</v>
      </c>
      <c r="B814" t="s">
        <v>73</v>
      </c>
      <c r="C814" t="s">
        <v>74</v>
      </c>
      <c r="D814" t="s">
        <v>69</v>
      </c>
      <c r="E814" t="s">
        <v>2093</v>
      </c>
      <c r="F814" s="8">
        <v>9.6</v>
      </c>
      <c r="G814" s="6">
        <v>29000</v>
      </c>
      <c r="H814" s="8">
        <v>38.700000000000003</v>
      </c>
      <c r="I814" s="7">
        <v>719.42</v>
      </c>
      <c r="J814" s="8">
        <v>3.3</v>
      </c>
      <c r="K814" s="7">
        <v>23200</v>
      </c>
      <c r="L814" s="7">
        <v>23919.42</v>
      </c>
    </row>
    <row r="815" spans="1:12" x14ac:dyDescent="0.25">
      <c r="A815" s="9">
        <v>45901</v>
      </c>
      <c r="B815" t="s">
        <v>73</v>
      </c>
      <c r="C815" t="s">
        <v>74</v>
      </c>
      <c r="D815" t="s">
        <v>69</v>
      </c>
      <c r="E815" t="s">
        <v>2097</v>
      </c>
      <c r="F815" s="8">
        <v>5.7</v>
      </c>
      <c r="G815" s="6">
        <v>28000</v>
      </c>
      <c r="H815" s="8">
        <v>7.7</v>
      </c>
      <c r="I815" s="7">
        <v>138.21</v>
      </c>
      <c r="J815" s="8">
        <v>3.2</v>
      </c>
      <c r="K815" s="7">
        <v>13300</v>
      </c>
      <c r="L815" s="7">
        <v>13438.21</v>
      </c>
    </row>
    <row r="816" spans="1:12" x14ac:dyDescent="0.25">
      <c r="A816" s="9">
        <v>45901</v>
      </c>
      <c r="B816" t="s">
        <v>67</v>
      </c>
      <c r="C816" t="s">
        <v>68</v>
      </c>
      <c r="D816" t="s">
        <v>69</v>
      </c>
      <c r="E816" t="s">
        <v>2096</v>
      </c>
      <c r="F816" s="8">
        <v>14</v>
      </c>
      <c r="G816" s="6">
        <v>35000</v>
      </c>
      <c r="H816" s="8">
        <v>47.9</v>
      </c>
      <c r="I816" s="7">
        <v>1074.68</v>
      </c>
      <c r="J816" s="8">
        <v>7.2</v>
      </c>
      <c r="K816" s="7">
        <v>40833.333333333299</v>
      </c>
      <c r="L816" s="7">
        <v>41908.0133333333</v>
      </c>
    </row>
    <row r="817" spans="1:12" x14ac:dyDescent="0.25">
      <c r="A817" s="9">
        <v>45901</v>
      </c>
      <c r="B817" t="s">
        <v>67</v>
      </c>
      <c r="C817" t="s">
        <v>68</v>
      </c>
      <c r="D817" t="s">
        <v>69</v>
      </c>
      <c r="E817" t="s">
        <v>2093</v>
      </c>
      <c r="F817" s="8">
        <v>9.5</v>
      </c>
      <c r="G817" s="6">
        <v>29000</v>
      </c>
      <c r="H817" s="8">
        <v>37.700000000000003</v>
      </c>
      <c r="I817" s="7">
        <v>700.83</v>
      </c>
      <c r="J817" s="8">
        <v>3.8</v>
      </c>
      <c r="K817" s="7">
        <v>22958.333333333299</v>
      </c>
      <c r="L817" s="7">
        <v>23659.163333333301</v>
      </c>
    </row>
    <row r="818" spans="1:12" x14ac:dyDescent="0.25">
      <c r="A818" s="9">
        <v>45901</v>
      </c>
      <c r="B818" t="s">
        <v>67</v>
      </c>
      <c r="C818" t="s">
        <v>68</v>
      </c>
      <c r="D818" t="s">
        <v>69</v>
      </c>
      <c r="E818" t="s">
        <v>2091</v>
      </c>
      <c r="F818" s="8">
        <v>19.8</v>
      </c>
      <c r="G818" s="6">
        <v>25000</v>
      </c>
      <c r="H818" s="8">
        <v>77.900000000000006</v>
      </c>
      <c r="I818" s="7">
        <v>1248.4000000000001</v>
      </c>
      <c r="J818" s="8">
        <v>8.6999999999999993</v>
      </c>
      <c r="K818" s="7">
        <v>41250</v>
      </c>
      <c r="L818" s="7">
        <v>42498.400000000001</v>
      </c>
    </row>
    <row r="819" spans="1:12" x14ac:dyDescent="0.25">
      <c r="A819" s="9">
        <v>45901</v>
      </c>
      <c r="B819" t="s">
        <v>67</v>
      </c>
      <c r="C819" t="s">
        <v>68</v>
      </c>
      <c r="D819" t="s">
        <v>69</v>
      </c>
      <c r="E819" t="s">
        <v>2095</v>
      </c>
      <c r="F819" s="8">
        <v>12.4</v>
      </c>
      <c r="G819" s="6">
        <v>27000</v>
      </c>
      <c r="H819" s="8">
        <v>75.5</v>
      </c>
      <c r="I819" s="7">
        <v>1306.73</v>
      </c>
      <c r="J819" s="8">
        <v>4.8</v>
      </c>
      <c r="K819" s="7">
        <v>27900</v>
      </c>
      <c r="L819" s="7">
        <v>29206.73</v>
      </c>
    </row>
    <row r="820" spans="1:12" x14ac:dyDescent="0.25">
      <c r="A820" s="9">
        <v>45901</v>
      </c>
      <c r="B820" t="s">
        <v>32</v>
      </c>
      <c r="C820" t="s">
        <v>33</v>
      </c>
      <c r="D820" t="s">
        <v>34</v>
      </c>
      <c r="E820" t="s">
        <v>2093</v>
      </c>
      <c r="F820" s="8">
        <v>14.7</v>
      </c>
      <c r="G820" s="6">
        <v>29000</v>
      </c>
      <c r="H820" s="8">
        <v>54.5</v>
      </c>
      <c r="I820" s="7">
        <v>1013.14</v>
      </c>
      <c r="J820" s="8">
        <v>6.3</v>
      </c>
      <c r="K820" s="7">
        <v>35525</v>
      </c>
      <c r="L820" s="7">
        <v>36538.14</v>
      </c>
    </row>
    <row r="821" spans="1:12" x14ac:dyDescent="0.25">
      <c r="A821" s="9">
        <v>45901</v>
      </c>
      <c r="B821" t="s">
        <v>32</v>
      </c>
      <c r="C821" t="s">
        <v>33</v>
      </c>
      <c r="D821" t="s">
        <v>34</v>
      </c>
      <c r="E821" t="s">
        <v>2091</v>
      </c>
      <c r="F821" s="8">
        <v>7.6</v>
      </c>
      <c r="G821" s="6">
        <v>25000</v>
      </c>
      <c r="H821" s="8">
        <v>36.9</v>
      </c>
      <c r="I821" s="7">
        <v>591.35</v>
      </c>
      <c r="J821" s="8">
        <v>3.5</v>
      </c>
      <c r="K821" s="7">
        <v>15833.333333333299</v>
      </c>
      <c r="L821" s="7">
        <v>16424.683333333302</v>
      </c>
    </row>
    <row r="822" spans="1:12" x14ac:dyDescent="0.25">
      <c r="A822" s="9">
        <v>45901</v>
      </c>
      <c r="B822" t="s">
        <v>32</v>
      </c>
      <c r="C822" t="s">
        <v>33</v>
      </c>
      <c r="D822" t="s">
        <v>34</v>
      </c>
      <c r="E822" t="s">
        <v>2094</v>
      </c>
      <c r="F822" s="8">
        <v>14.2</v>
      </c>
      <c r="G822" s="6">
        <v>41000</v>
      </c>
      <c r="H822" s="8">
        <v>45.8</v>
      </c>
      <c r="I822" s="7">
        <v>1203.72</v>
      </c>
      <c r="J822" s="8">
        <v>8</v>
      </c>
      <c r="K822" s="7">
        <v>48516.666666666701</v>
      </c>
      <c r="L822" s="7">
        <v>49720.386666666702</v>
      </c>
    </row>
    <row r="823" spans="1:12" x14ac:dyDescent="0.25">
      <c r="A823" s="9">
        <v>45901</v>
      </c>
      <c r="B823" t="s">
        <v>32</v>
      </c>
      <c r="C823" t="s">
        <v>33</v>
      </c>
      <c r="D823" t="s">
        <v>34</v>
      </c>
      <c r="E823" t="s">
        <v>2092</v>
      </c>
      <c r="F823" s="8">
        <v>16.600000000000001</v>
      </c>
      <c r="G823" s="6">
        <v>43000</v>
      </c>
      <c r="H823" s="8">
        <v>67.099999999999994</v>
      </c>
      <c r="I823" s="7">
        <v>1849.55</v>
      </c>
      <c r="J823" s="8">
        <v>8.8000000000000007</v>
      </c>
      <c r="K823" s="7">
        <v>59483.333333333299</v>
      </c>
      <c r="L823" s="7">
        <v>61332.883333333397</v>
      </c>
    </row>
    <row r="824" spans="1:12" x14ac:dyDescent="0.25">
      <c r="A824" s="9">
        <v>45901</v>
      </c>
      <c r="B824" t="s">
        <v>32</v>
      </c>
      <c r="C824" t="s">
        <v>33</v>
      </c>
      <c r="D824" t="s">
        <v>34</v>
      </c>
      <c r="E824" t="s">
        <v>2096</v>
      </c>
      <c r="F824" s="8">
        <v>15.7</v>
      </c>
      <c r="G824" s="6">
        <v>35000</v>
      </c>
      <c r="H824" s="8">
        <v>39.700000000000003</v>
      </c>
      <c r="I824" s="7">
        <v>890.71</v>
      </c>
      <c r="J824" s="8">
        <v>6.4</v>
      </c>
      <c r="K824" s="7">
        <v>45791.666666666701</v>
      </c>
      <c r="L824" s="7">
        <v>46682.3766666667</v>
      </c>
    </row>
    <row r="825" spans="1:12" x14ac:dyDescent="0.25">
      <c r="A825" s="9">
        <v>45901</v>
      </c>
      <c r="B825" t="s">
        <v>32</v>
      </c>
      <c r="C825" t="s">
        <v>33</v>
      </c>
      <c r="D825" t="s">
        <v>34</v>
      </c>
      <c r="E825" t="s">
        <v>2097</v>
      </c>
      <c r="F825" s="8">
        <v>3.3</v>
      </c>
      <c r="G825" s="6">
        <v>28000</v>
      </c>
      <c r="H825" s="8">
        <v>13.7</v>
      </c>
      <c r="I825" s="7">
        <v>245.9</v>
      </c>
      <c r="J825" s="8">
        <v>1.3</v>
      </c>
      <c r="K825" s="7">
        <v>7700</v>
      </c>
      <c r="L825" s="7">
        <v>7945.9</v>
      </c>
    </row>
    <row r="826" spans="1:12" x14ac:dyDescent="0.25">
      <c r="A826" s="9">
        <v>45901</v>
      </c>
      <c r="B826" t="s">
        <v>94</v>
      </c>
      <c r="C826" t="s">
        <v>95</v>
      </c>
      <c r="D826" t="s">
        <v>34</v>
      </c>
      <c r="E826" t="s">
        <v>2091</v>
      </c>
      <c r="F826" s="8">
        <v>13.7</v>
      </c>
      <c r="G826" s="6">
        <v>25000</v>
      </c>
      <c r="H826" s="8">
        <v>67.7</v>
      </c>
      <c r="I826" s="7">
        <v>1084.94</v>
      </c>
      <c r="J826" s="8">
        <v>6.8</v>
      </c>
      <c r="K826" s="7">
        <v>28541.666666666701</v>
      </c>
      <c r="L826" s="7">
        <v>29626.606666666699</v>
      </c>
    </row>
    <row r="827" spans="1:12" x14ac:dyDescent="0.25">
      <c r="A827" s="9">
        <v>45901</v>
      </c>
      <c r="B827" t="s">
        <v>94</v>
      </c>
      <c r="C827" t="s">
        <v>95</v>
      </c>
      <c r="D827" t="s">
        <v>34</v>
      </c>
      <c r="E827" t="s">
        <v>2093</v>
      </c>
      <c r="F827" s="8">
        <v>19.600000000000001</v>
      </c>
      <c r="G827" s="6">
        <v>29000</v>
      </c>
      <c r="H827" s="8">
        <v>84.4</v>
      </c>
      <c r="I827" s="7">
        <v>1568.97</v>
      </c>
      <c r="J827" s="8">
        <v>8.1999999999999993</v>
      </c>
      <c r="K827" s="7">
        <v>47366.666666666701</v>
      </c>
      <c r="L827" s="7">
        <v>48935.636666666702</v>
      </c>
    </row>
    <row r="828" spans="1:12" x14ac:dyDescent="0.25">
      <c r="A828" s="9">
        <v>45901</v>
      </c>
      <c r="B828" t="s">
        <v>94</v>
      </c>
      <c r="C828" t="s">
        <v>95</v>
      </c>
      <c r="D828" t="s">
        <v>34</v>
      </c>
      <c r="E828" t="s">
        <v>2094</v>
      </c>
      <c r="F828" s="8">
        <v>3.1</v>
      </c>
      <c r="G828" s="6">
        <v>41000</v>
      </c>
      <c r="H828" s="8">
        <v>21.2</v>
      </c>
      <c r="I828" s="7">
        <v>557.17999999999995</v>
      </c>
      <c r="J828" s="8">
        <v>1.4</v>
      </c>
      <c r="K828" s="7">
        <v>10591.666666666701</v>
      </c>
      <c r="L828" s="7">
        <v>11148.846666666699</v>
      </c>
    </row>
    <row r="829" spans="1:12" x14ac:dyDescent="0.25">
      <c r="A829" s="9">
        <v>45901</v>
      </c>
      <c r="B829" t="s">
        <v>94</v>
      </c>
      <c r="C829" t="s">
        <v>95</v>
      </c>
      <c r="D829" t="s">
        <v>34</v>
      </c>
      <c r="E829" t="s">
        <v>2092</v>
      </c>
      <c r="F829" s="8">
        <v>19.3</v>
      </c>
      <c r="G829" s="6">
        <v>43000</v>
      </c>
      <c r="H829" s="8">
        <v>97.4</v>
      </c>
      <c r="I829" s="7">
        <v>2684.74</v>
      </c>
      <c r="J829" s="8">
        <v>8.8000000000000007</v>
      </c>
      <c r="K829" s="7">
        <v>69158.333333333299</v>
      </c>
      <c r="L829" s="7">
        <v>71843.073333333305</v>
      </c>
    </row>
    <row r="830" spans="1:12" x14ac:dyDescent="0.25">
      <c r="A830" s="9">
        <v>45901</v>
      </c>
      <c r="B830" t="s">
        <v>94</v>
      </c>
      <c r="C830" t="s">
        <v>95</v>
      </c>
      <c r="D830" t="s">
        <v>34</v>
      </c>
      <c r="E830" t="s">
        <v>2097</v>
      </c>
      <c r="F830" s="8">
        <v>8.6</v>
      </c>
      <c r="G830" s="6">
        <v>28000</v>
      </c>
      <c r="H830" s="8">
        <v>38.4</v>
      </c>
      <c r="I830" s="7">
        <v>689.23</v>
      </c>
      <c r="J830" s="8">
        <v>3</v>
      </c>
      <c r="K830" s="7">
        <v>20066.666666666701</v>
      </c>
      <c r="L830" s="7">
        <v>20755.8966666667</v>
      </c>
    </row>
    <row r="831" spans="1:12" x14ac:dyDescent="0.25">
      <c r="A831" s="9">
        <v>45901</v>
      </c>
      <c r="B831" t="s">
        <v>94</v>
      </c>
      <c r="C831" t="s">
        <v>95</v>
      </c>
      <c r="D831" t="s">
        <v>34</v>
      </c>
      <c r="E831" t="s">
        <v>2096</v>
      </c>
      <c r="F831" s="8">
        <v>14.7</v>
      </c>
      <c r="G831" s="6">
        <v>35000</v>
      </c>
      <c r="H831" s="8">
        <v>68.8</v>
      </c>
      <c r="I831" s="7">
        <v>1543.59</v>
      </c>
      <c r="J831" s="8">
        <v>7</v>
      </c>
      <c r="K831" s="7">
        <v>42875</v>
      </c>
      <c r="L831" s="7">
        <v>44418.59</v>
      </c>
    </row>
    <row r="832" spans="1:12" x14ac:dyDescent="0.25">
      <c r="A832" s="9">
        <v>45901</v>
      </c>
      <c r="B832" t="s">
        <v>41</v>
      </c>
      <c r="C832" t="s">
        <v>42</v>
      </c>
      <c r="D832" t="s">
        <v>34</v>
      </c>
      <c r="E832" t="s">
        <v>2096</v>
      </c>
      <c r="F832" s="8">
        <v>6.2</v>
      </c>
      <c r="G832" s="6">
        <v>35000</v>
      </c>
      <c r="H832" s="8">
        <v>25.1</v>
      </c>
      <c r="I832" s="7">
        <v>563.14</v>
      </c>
      <c r="J832" s="8">
        <v>3.8</v>
      </c>
      <c r="K832" s="7">
        <v>18083.333333333299</v>
      </c>
      <c r="L832" s="7">
        <v>18646.473333333299</v>
      </c>
    </row>
    <row r="833" spans="1:12" x14ac:dyDescent="0.25">
      <c r="A833" s="9">
        <v>45901</v>
      </c>
      <c r="B833" t="s">
        <v>41</v>
      </c>
      <c r="C833" t="s">
        <v>42</v>
      </c>
      <c r="D833" t="s">
        <v>34</v>
      </c>
      <c r="E833" t="s">
        <v>2092</v>
      </c>
      <c r="F833" s="8">
        <v>15.5</v>
      </c>
      <c r="G833" s="6">
        <v>43000</v>
      </c>
      <c r="H833" s="8">
        <v>33.299999999999997</v>
      </c>
      <c r="I833" s="7">
        <v>917.88</v>
      </c>
      <c r="J833" s="8">
        <v>7.1</v>
      </c>
      <c r="K833" s="7">
        <v>55541.666666666701</v>
      </c>
      <c r="L833" s="7">
        <v>56459.546666666698</v>
      </c>
    </row>
    <row r="834" spans="1:12" x14ac:dyDescent="0.25">
      <c r="A834" s="9">
        <v>45901</v>
      </c>
      <c r="B834" t="s">
        <v>41</v>
      </c>
      <c r="C834" t="s">
        <v>42</v>
      </c>
      <c r="D834" t="s">
        <v>34</v>
      </c>
      <c r="E834" t="s">
        <v>2094</v>
      </c>
      <c r="F834" s="8">
        <v>15.3</v>
      </c>
      <c r="G834" s="6">
        <v>41000</v>
      </c>
      <c r="H834" s="8">
        <v>71.7</v>
      </c>
      <c r="I834" s="7">
        <v>1884.42</v>
      </c>
      <c r="J834" s="8">
        <v>9.6999999999999993</v>
      </c>
      <c r="K834" s="7">
        <v>52275</v>
      </c>
      <c r="L834" s="7">
        <v>54159.42</v>
      </c>
    </row>
    <row r="835" spans="1:12" x14ac:dyDescent="0.25">
      <c r="A835" s="9">
        <v>45901</v>
      </c>
      <c r="B835" t="s">
        <v>41</v>
      </c>
      <c r="C835" t="s">
        <v>42</v>
      </c>
      <c r="D835" t="s">
        <v>34</v>
      </c>
      <c r="E835" t="s">
        <v>2091</v>
      </c>
      <c r="F835" s="8">
        <v>10.199999999999999</v>
      </c>
      <c r="G835" s="6">
        <v>25000</v>
      </c>
      <c r="H835" s="8">
        <v>38.700000000000003</v>
      </c>
      <c r="I835" s="7">
        <v>620.19000000000005</v>
      </c>
      <c r="J835" s="8">
        <v>5.7</v>
      </c>
      <c r="K835" s="7">
        <v>21250</v>
      </c>
      <c r="L835" s="7">
        <v>21870.19</v>
      </c>
    </row>
    <row r="836" spans="1:12" x14ac:dyDescent="0.25">
      <c r="A836" s="9">
        <v>45901</v>
      </c>
      <c r="B836" t="s">
        <v>41</v>
      </c>
      <c r="C836" t="s">
        <v>42</v>
      </c>
      <c r="D836" t="s">
        <v>34</v>
      </c>
      <c r="E836" t="s">
        <v>2093</v>
      </c>
      <c r="F836" s="8">
        <v>14.8</v>
      </c>
      <c r="G836" s="6">
        <v>29000</v>
      </c>
      <c r="H836" s="8">
        <v>56.8</v>
      </c>
      <c r="I836" s="7">
        <v>1055.9000000000001</v>
      </c>
      <c r="J836" s="8">
        <v>9.3000000000000007</v>
      </c>
      <c r="K836" s="7">
        <v>35766.666666666701</v>
      </c>
      <c r="L836" s="7">
        <v>36822.566666666702</v>
      </c>
    </row>
    <row r="837" spans="1:12" x14ac:dyDescent="0.25">
      <c r="A837" s="9">
        <v>45901</v>
      </c>
      <c r="B837" t="s">
        <v>41</v>
      </c>
      <c r="C837" t="s">
        <v>42</v>
      </c>
      <c r="D837" t="s">
        <v>34</v>
      </c>
      <c r="E837" t="s">
        <v>2097</v>
      </c>
      <c r="F837" s="8">
        <v>7.6</v>
      </c>
      <c r="G837" s="6">
        <v>28000</v>
      </c>
      <c r="H837" s="8">
        <v>10.5</v>
      </c>
      <c r="I837" s="7">
        <v>188.46</v>
      </c>
      <c r="J837" s="8">
        <v>3.9</v>
      </c>
      <c r="K837" s="7">
        <v>17733.333333333299</v>
      </c>
      <c r="L837" s="7">
        <v>17921.793333333299</v>
      </c>
    </row>
    <row r="838" spans="1:12" x14ac:dyDescent="0.25">
      <c r="A838" s="9">
        <v>45901</v>
      </c>
      <c r="B838" t="s">
        <v>47</v>
      </c>
      <c r="C838" t="s">
        <v>48</v>
      </c>
      <c r="D838" t="s">
        <v>34</v>
      </c>
      <c r="E838" t="s">
        <v>2095</v>
      </c>
      <c r="F838" s="8">
        <v>4.5999999999999996</v>
      </c>
      <c r="G838" s="6">
        <v>27000</v>
      </c>
      <c r="H838" s="8">
        <v>7.2</v>
      </c>
      <c r="I838" s="7">
        <v>124.62</v>
      </c>
      <c r="J838" s="8">
        <v>0</v>
      </c>
      <c r="K838" s="7">
        <v>10350</v>
      </c>
      <c r="L838" s="7">
        <v>10474.620000000001</v>
      </c>
    </row>
    <row r="839" spans="1:12" x14ac:dyDescent="0.25">
      <c r="A839" s="9">
        <v>45901</v>
      </c>
      <c r="B839" t="s">
        <v>47</v>
      </c>
      <c r="C839" t="s">
        <v>48</v>
      </c>
      <c r="D839" t="s">
        <v>34</v>
      </c>
      <c r="E839" t="s">
        <v>2096</v>
      </c>
      <c r="F839" s="8">
        <v>11</v>
      </c>
      <c r="G839" s="6">
        <v>35000</v>
      </c>
      <c r="H839" s="8">
        <v>48.9</v>
      </c>
      <c r="I839" s="7">
        <v>1097.1199999999999</v>
      </c>
      <c r="J839" s="8">
        <v>5.6</v>
      </c>
      <c r="K839" s="7">
        <v>32083.333333333299</v>
      </c>
      <c r="L839" s="7">
        <v>33180.453333333302</v>
      </c>
    </row>
    <row r="840" spans="1:12" x14ac:dyDescent="0.25">
      <c r="A840" s="9">
        <v>45901</v>
      </c>
      <c r="B840" t="s">
        <v>47</v>
      </c>
      <c r="C840" t="s">
        <v>48</v>
      </c>
      <c r="D840" t="s">
        <v>34</v>
      </c>
      <c r="E840" t="s">
        <v>2092</v>
      </c>
      <c r="F840" s="8">
        <v>6.3</v>
      </c>
      <c r="G840" s="6">
        <v>43000</v>
      </c>
      <c r="H840" s="8">
        <v>22.5</v>
      </c>
      <c r="I840" s="7">
        <v>620.19000000000005</v>
      </c>
      <c r="J840" s="8">
        <v>3</v>
      </c>
      <c r="K840" s="7">
        <v>22575</v>
      </c>
      <c r="L840" s="7">
        <v>23195.19</v>
      </c>
    </row>
    <row r="841" spans="1:12" x14ac:dyDescent="0.25">
      <c r="A841" s="9">
        <v>45901</v>
      </c>
      <c r="B841" t="s">
        <v>47</v>
      </c>
      <c r="C841" t="s">
        <v>48</v>
      </c>
      <c r="D841" t="s">
        <v>34</v>
      </c>
      <c r="E841" t="s">
        <v>2094</v>
      </c>
      <c r="F841" s="8">
        <v>7.2</v>
      </c>
      <c r="G841" s="6">
        <v>41000</v>
      </c>
      <c r="H841" s="8">
        <v>62.3</v>
      </c>
      <c r="I841" s="7">
        <v>1637.37</v>
      </c>
      <c r="J841" s="8">
        <v>3.3</v>
      </c>
      <c r="K841" s="7">
        <v>24600</v>
      </c>
      <c r="L841" s="7">
        <v>26237.37</v>
      </c>
    </row>
    <row r="842" spans="1:12" x14ac:dyDescent="0.25">
      <c r="A842" s="9">
        <v>45901</v>
      </c>
      <c r="B842" t="s">
        <v>121</v>
      </c>
      <c r="C842" t="s">
        <v>122</v>
      </c>
      <c r="D842" t="s">
        <v>34</v>
      </c>
      <c r="E842" t="s">
        <v>2097</v>
      </c>
      <c r="F842" s="8">
        <v>15.9</v>
      </c>
      <c r="G842" s="6">
        <v>28000</v>
      </c>
      <c r="H842" s="8">
        <v>75.8</v>
      </c>
      <c r="I842" s="7">
        <v>1360.51</v>
      </c>
      <c r="J842" s="8">
        <v>7.3</v>
      </c>
      <c r="K842" s="7">
        <v>37100</v>
      </c>
      <c r="L842" s="7">
        <v>38460.51</v>
      </c>
    </row>
    <row r="843" spans="1:12" x14ac:dyDescent="0.25">
      <c r="A843" s="9">
        <v>45901</v>
      </c>
      <c r="B843" t="s">
        <v>121</v>
      </c>
      <c r="C843" t="s">
        <v>122</v>
      </c>
      <c r="D843" t="s">
        <v>34</v>
      </c>
      <c r="E843" t="s">
        <v>2094</v>
      </c>
      <c r="F843" s="8">
        <v>12.1</v>
      </c>
      <c r="G843" s="6">
        <v>41000</v>
      </c>
      <c r="H843" s="8">
        <v>53.8</v>
      </c>
      <c r="I843" s="7">
        <v>1413.97</v>
      </c>
      <c r="J843" s="8">
        <v>5.8</v>
      </c>
      <c r="K843" s="7">
        <v>41341.666666666701</v>
      </c>
      <c r="L843" s="7">
        <v>42755.636666666702</v>
      </c>
    </row>
    <row r="844" spans="1:12" x14ac:dyDescent="0.25">
      <c r="A844" s="9">
        <v>45901</v>
      </c>
      <c r="B844" t="s">
        <v>121</v>
      </c>
      <c r="C844" t="s">
        <v>122</v>
      </c>
      <c r="D844" t="s">
        <v>34</v>
      </c>
      <c r="E844" t="s">
        <v>2095</v>
      </c>
      <c r="F844" s="8">
        <v>11.4</v>
      </c>
      <c r="G844" s="6">
        <v>27000</v>
      </c>
      <c r="H844" s="8">
        <v>38.6</v>
      </c>
      <c r="I844" s="7">
        <v>668.08</v>
      </c>
      <c r="J844" s="8">
        <v>7.5</v>
      </c>
      <c r="K844" s="7">
        <v>25650</v>
      </c>
      <c r="L844" s="7">
        <v>26318.080000000002</v>
      </c>
    </row>
    <row r="845" spans="1:12" x14ac:dyDescent="0.25">
      <c r="A845" s="9">
        <v>45901</v>
      </c>
      <c r="B845" t="s">
        <v>121</v>
      </c>
      <c r="C845" t="s">
        <v>122</v>
      </c>
      <c r="D845" t="s">
        <v>34</v>
      </c>
      <c r="E845" t="s">
        <v>2096</v>
      </c>
      <c r="F845" s="8">
        <v>10.3</v>
      </c>
      <c r="G845" s="6">
        <v>35000</v>
      </c>
      <c r="H845" s="8">
        <v>59.4</v>
      </c>
      <c r="I845" s="7">
        <v>1332.69</v>
      </c>
      <c r="J845" s="8">
        <v>5.3</v>
      </c>
      <c r="K845" s="7">
        <v>30041.666666666701</v>
      </c>
      <c r="L845" s="7">
        <v>31374.356666666699</v>
      </c>
    </row>
    <row r="846" spans="1:12" x14ac:dyDescent="0.25">
      <c r="A846" s="9">
        <v>45901</v>
      </c>
      <c r="B846" t="s">
        <v>201</v>
      </c>
      <c r="C846" t="s">
        <v>202</v>
      </c>
      <c r="D846" t="s">
        <v>64</v>
      </c>
      <c r="E846" t="s">
        <v>2091</v>
      </c>
      <c r="F846" s="8">
        <v>6.9</v>
      </c>
      <c r="G846" s="6">
        <v>25000</v>
      </c>
      <c r="H846" s="8">
        <v>3.8</v>
      </c>
      <c r="I846" s="7">
        <v>60.9</v>
      </c>
      <c r="J846" s="8">
        <v>3.1</v>
      </c>
      <c r="K846" s="7">
        <v>14375</v>
      </c>
      <c r="L846" s="7">
        <v>14435.9</v>
      </c>
    </row>
    <row r="847" spans="1:12" x14ac:dyDescent="0.25">
      <c r="A847" s="9">
        <v>45901</v>
      </c>
      <c r="B847" t="s">
        <v>201</v>
      </c>
      <c r="C847" t="s">
        <v>202</v>
      </c>
      <c r="D847" t="s">
        <v>64</v>
      </c>
      <c r="E847" t="s">
        <v>2095</v>
      </c>
      <c r="F847" s="8">
        <v>17.7</v>
      </c>
      <c r="G847" s="6">
        <v>27000</v>
      </c>
      <c r="H847" s="8">
        <v>142.6</v>
      </c>
      <c r="I847" s="7">
        <v>2468.08</v>
      </c>
      <c r="J847" s="8">
        <v>8.6</v>
      </c>
      <c r="K847" s="7">
        <v>39825</v>
      </c>
      <c r="L847" s="7">
        <v>42293.08</v>
      </c>
    </row>
    <row r="848" spans="1:12" x14ac:dyDescent="0.25">
      <c r="A848" s="9">
        <v>45901</v>
      </c>
      <c r="B848" t="s">
        <v>201</v>
      </c>
      <c r="C848" t="s">
        <v>202</v>
      </c>
      <c r="D848" t="s">
        <v>64</v>
      </c>
      <c r="E848" t="s">
        <v>2097</v>
      </c>
      <c r="F848" s="8">
        <v>6.5</v>
      </c>
      <c r="G848" s="6">
        <v>28000</v>
      </c>
      <c r="H848" s="8">
        <v>36.799999999999997</v>
      </c>
      <c r="I848" s="7">
        <v>660.51</v>
      </c>
      <c r="J848" s="8">
        <v>4.7</v>
      </c>
      <c r="K848" s="7">
        <v>15166.666666666701</v>
      </c>
      <c r="L848" s="7">
        <v>15827.176666666701</v>
      </c>
    </row>
    <row r="849" spans="1:12" x14ac:dyDescent="0.25">
      <c r="A849" s="9">
        <v>45901</v>
      </c>
      <c r="B849" t="s">
        <v>201</v>
      </c>
      <c r="C849" t="s">
        <v>202</v>
      </c>
      <c r="D849" t="s">
        <v>64</v>
      </c>
      <c r="E849" t="s">
        <v>2092</v>
      </c>
      <c r="F849" s="8">
        <v>10</v>
      </c>
      <c r="G849" s="6">
        <v>43000</v>
      </c>
      <c r="H849" s="8">
        <v>43.3</v>
      </c>
      <c r="I849" s="7">
        <v>1193.53</v>
      </c>
      <c r="J849" s="8">
        <v>4.2</v>
      </c>
      <c r="K849" s="7">
        <v>35833.333333333299</v>
      </c>
      <c r="L849" s="7">
        <v>37026.863333333298</v>
      </c>
    </row>
    <row r="850" spans="1:12" x14ac:dyDescent="0.25">
      <c r="A850" s="9">
        <v>45901</v>
      </c>
      <c r="B850" t="s">
        <v>201</v>
      </c>
      <c r="C850" t="s">
        <v>202</v>
      </c>
      <c r="D850" t="s">
        <v>64</v>
      </c>
      <c r="E850" t="s">
        <v>2094</v>
      </c>
      <c r="F850" s="8">
        <v>19.899999999999999</v>
      </c>
      <c r="G850" s="6">
        <v>41000</v>
      </c>
      <c r="H850" s="8">
        <v>6.9</v>
      </c>
      <c r="I850" s="7">
        <v>181.35</v>
      </c>
      <c r="J850" s="8">
        <v>10.6</v>
      </c>
      <c r="K850" s="7">
        <v>67991.666666666701</v>
      </c>
      <c r="L850" s="7">
        <v>68173.016666666706</v>
      </c>
    </row>
    <row r="851" spans="1:12" x14ac:dyDescent="0.25">
      <c r="A851" s="9">
        <v>45901</v>
      </c>
      <c r="B851" t="s">
        <v>201</v>
      </c>
      <c r="C851" t="s">
        <v>202</v>
      </c>
      <c r="D851" t="s">
        <v>64</v>
      </c>
      <c r="E851" t="s">
        <v>2096</v>
      </c>
      <c r="F851" s="8">
        <v>4.2</v>
      </c>
      <c r="G851" s="6">
        <v>35000</v>
      </c>
      <c r="H851" s="8">
        <v>11.7</v>
      </c>
      <c r="I851" s="7">
        <v>262.5</v>
      </c>
      <c r="J851" s="8">
        <v>2.2999999999999998</v>
      </c>
      <c r="K851" s="7">
        <v>12250</v>
      </c>
      <c r="L851" s="7">
        <v>12512.5</v>
      </c>
    </row>
    <row r="852" spans="1:12" x14ac:dyDescent="0.25">
      <c r="A852" s="9">
        <v>45901</v>
      </c>
      <c r="B852" t="s">
        <v>118</v>
      </c>
      <c r="C852" t="s">
        <v>119</v>
      </c>
      <c r="D852" t="s">
        <v>64</v>
      </c>
      <c r="E852" t="s">
        <v>2092</v>
      </c>
      <c r="F852" s="8">
        <v>6.7</v>
      </c>
      <c r="G852" s="6">
        <v>43000</v>
      </c>
      <c r="H852" s="8">
        <v>14.2</v>
      </c>
      <c r="I852" s="7">
        <v>391.41</v>
      </c>
      <c r="J852" s="8">
        <v>3.1</v>
      </c>
      <c r="K852" s="7">
        <v>24008.333333333299</v>
      </c>
      <c r="L852" s="7">
        <v>24399.743333333299</v>
      </c>
    </row>
    <row r="853" spans="1:12" x14ac:dyDescent="0.25">
      <c r="A853" s="9">
        <v>45901</v>
      </c>
      <c r="B853" t="s">
        <v>118</v>
      </c>
      <c r="C853" t="s">
        <v>119</v>
      </c>
      <c r="D853" t="s">
        <v>64</v>
      </c>
      <c r="E853" t="s">
        <v>2096</v>
      </c>
      <c r="F853" s="8">
        <v>4.5999999999999996</v>
      </c>
      <c r="G853" s="6">
        <v>35000</v>
      </c>
      <c r="H853" s="8">
        <v>18.600000000000001</v>
      </c>
      <c r="I853" s="7">
        <v>417.31</v>
      </c>
      <c r="J853" s="8">
        <v>2.6</v>
      </c>
      <c r="K853" s="7">
        <v>13416.666666666701</v>
      </c>
      <c r="L853" s="7">
        <v>13833.9766666667</v>
      </c>
    </row>
    <row r="854" spans="1:12" x14ac:dyDescent="0.25">
      <c r="A854" s="9">
        <v>45901</v>
      </c>
      <c r="B854" t="s">
        <v>118</v>
      </c>
      <c r="C854" t="s">
        <v>119</v>
      </c>
      <c r="D854" t="s">
        <v>64</v>
      </c>
      <c r="E854" t="s">
        <v>2093</v>
      </c>
      <c r="F854" s="8">
        <v>7.4</v>
      </c>
      <c r="G854" s="6">
        <v>29000</v>
      </c>
      <c r="H854" s="8">
        <v>17.2</v>
      </c>
      <c r="I854" s="7">
        <v>319.74</v>
      </c>
      <c r="J854" s="8">
        <v>4.9000000000000004</v>
      </c>
      <c r="K854" s="7">
        <v>17883.333333333299</v>
      </c>
      <c r="L854" s="7">
        <v>18203.073333333301</v>
      </c>
    </row>
    <row r="855" spans="1:12" x14ac:dyDescent="0.25">
      <c r="A855" s="9">
        <v>45901</v>
      </c>
      <c r="B855" t="s">
        <v>118</v>
      </c>
      <c r="C855" t="s">
        <v>119</v>
      </c>
      <c r="D855" t="s">
        <v>64</v>
      </c>
      <c r="E855" t="s">
        <v>2097</v>
      </c>
      <c r="F855" s="8">
        <v>18.600000000000001</v>
      </c>
      <c r="G855" s="6">
        <v>28000</v>
      </c>
      <c r="H855" s="8">
        <v>57.7</v>
      </c>
      <c r="I855" s="7">
        <v>1035.6400000000001</v>
      </c>
      <c r="J855" s="8">
        <v>7.6</v>
      </c>
      <c r="K855" s="7">
        <v>43400</v>
      </c>
      <c r="L855" s="7">
        <v>44435.64</v>
      </c>
    </row>
    <row r="856" spans="1:12" x14ac:dyDescent="0.25">
      <c r="A856" s="9">
        <v>45901</v>
      </c>
      <c r="B856" t="s">
        <v>118</v>
      </c>
      <c r="C856" t="s">
        <v>119</v>
      </c>
      <c r="D856" t="s">
        <v>64</v>
      </c>
      <c r="E856" t="s">
        <v>2094</v>
      </c>
      <c r="F856" s="8">
        <v>10</v>
      </c>
      <c r="G856" s="6">
        <v>41000</v>
      </c>
      <c r="H856" s="8">
        <v>38.4</v>
      </c>
      <c r="I856" s="7">
        <v>1009.23</v>
      </c>
      <c r="J856" s="8">
        <v>5</v>
      </c>
      <c r="K856" s="7">
        <v>34166.666666666701</v>
      </c>
      <c r="L856" s="7">
        <v>35175.896666666697</v>
      </c>
    </row>
    <row r="857" spans="1:12" x14ac:dyDescent="0.25">
      <c r="A857" s="9">
        <v>45901</v>
      </c>
      <c r="B857" t="s">
        <v>118</v>
      </c>
      <c r="C857" t="s">
        <v>119</v>
      </c>
      <c r="D857" t="s">
        <v>64</v>
      </c>
      <c r="E857" t="s">
        <v>2091</v>
      </c>
      <c r="F857" s="8">
        <v>19.899999999999999</v>
      </c>
      <c r="G857" s="6">
        <v>25000</v>
      </c>
      <c r="H857" s="8">
        <v>84.4</v>
      </c>
      <c r="I857" s="7">
        <v>1352.56</v>
      </c>
      <c r="J857" s="8">
        <v>11.3</v>
      </c>
      <c r="K857" s="7">
        <v>41458.333333333299</v>
      </c>
      <c r="L857" s="7">
        <v>42810.893333333297</v>
      </c>
    </row>
    <row r="858" spans="1:12" x14ac:dyDescent="0.25">
      <c r="A858" s="9">
        <v>45901</v>
      </c>
      <c r="B858" t="s">
        <v>62</v>
      </c>
      <c r="C858" t="s">
        <v>63</v>
      </c>
      <c r="D858" t="s">
        <v>64</v>
      </c>
      <c r="E858" t="s">
        <v>2092</v>
      </c>
      <c r="F858" s="8">
        <v>13.4</v>
      </c>
      <c r="G858" s="6">
        <v>43000</v>
      </c>
      <c r="H858" s="8">
        <v>48.8</v>
      </c>
      <c r="I858" s="7">
        <v>1345.13</v>
      </c>
      <c r="J858" s="8">
        <v>6.6</v>
      </c>
      <c r="K858" s="7">
        <v>48016.666666666701</v>
      </c>
      <c r="L858" s="7">
        <v>49361.796666666698</v>
      </c>
    </row>
    <row r="859" spans="1:12" x14ac:dyDescent="0.25">
      <c r="A859" s="9">
        <v>45901</v>
      </c>
      <c r="B859" t="s">
        <v>62</v>
      </c>
      <c r="C859" t="s">
        <v>63</v>
      </c>
      <c r="D859" t="s">
        <v>64</v>
      </c>
      <c r="E859" t="s">
        <v>2096</v>
      </c>
      <c r="F859" s="8">
        <v>4.5999999999999996</v>
      </c>
      <c r="G859" s="6">
        <v>35000</v>
      </c>
      <c r="H859" s="8">
        <v>10.8</v>
      </c>
      <c r="I859" s="7">
        <v>242.31</v>
      </c>
      <c r="J859" s="8">
        <v>3.1</v>
      </c>
      <c r="K859" s="7">
        <v>13416.666666666701</v>
      </c>
      <c r="L859" s="7">
        <v>13658.9766666667</v>
      </c>
    </row>
    <row r="860" spans="1:12" x14ac:dyDescent="0.25">
      <c r="A860" s="9">
        <v>45901</v>
      </c>
      <c r="B860" t="s">
        <v>62</v>
      </c>
      <c r="C860" t="s">
        <v>63</v>
      </c>
      <c r="D860" t="s">
        <v>64</v>
      </c>
      <c r="E860" t="s">
        <v>2093</v>
      </c>
      <c r="F860" s="8">
        <v>7.3</v>
      </c>
      <c r="G860" s="6">
        <v>29000</v>
      </c>
      <c r="H860" s="8">
        <v>31.2</v>
      </c>
      <c r="I860" s="7">
        <v>580</v>
      </c>
      <c r="J860" s="8">
        <v>3.2</v>
      </c>
      <c r="K860" s="7">
        <v>17641.666666666701</v>
      </c>
      <c r="L860" s="7">
        <v>18221.666666666701</v>
      </c>
    </row>
    <row r="861" spans="1:12" x14ac:dyDescent="0.25">
      <c r="A861" s="9">
        <v>45901</v>
      </c>
      <c r="B861" t="s">
        <v>62</v>
      </c>
      <c r="C861" t="s">
        <v>63</v>
      </c>
      <c r="D861" t="s">
        <v>64</v>
      </c>
      <c r="E861" t="s">
        <v>2091</v>
      </c>
      <c r="F861" s="8">
        <v>13.2</v>
      </c>
      <c r="G861" s="6">
        <v>25000</v>
      </c>
      <c r="H861" s="8">
        <v>15.1</v>
      </c>
      <c r="I861" s="7">
        <v>241.99</v>
      </c>
      <c r="J861" s="8">
        <v>8</v>
      </c>
      <c r="K861" s="7">
        <v>27500</v>
      </c>
      <c r="L861" s="7">
        <v>27741.99</v>
      </c>
    </row>
    <row r="862" spans="1:12" x14ac:dyDescent="0.25">
      <c r="A862" s="9">
        <v>45901</v>
      </c>
      <c r="B862" t="s">
        <v>62</v>
      </c>
      <c r="C862" t="s">
        <v>63</v>
      </c>
      <c r="D862" t="s">
        <v>64</v>
      </c>
      <c r="E862" t="s">
        <v>2097</v>
      </c>
      <c r="F862" s="8">
        <v>15.7</v>
      </c>
      <c r="G862" s="6">
        <v>28000</v>
      </c>
      <c r="H862" s="8">
        <v>33.9</v>
      </c>
      <c r="I862" s="7">
        <v>608.46</v>
      </c>
      <c r="J862" s="8">
        <v>7.3</v>
      </c>
      <c r="K862" s="7">
        <v>36633.333333333299</v>
      </c>
      <c r="L862" s="7">
        <v>37241.793333333299</v>
      </c>
    </row>
    <row r="863" spans="1:12" x14ac:dyDescent="0.25">
      <c r="A863" s="9">
        <v>45901</v>
      </c>
      <c r="B863" t="s">
        <v>62</v>
      </c>
      <c r="C863" t="s">
        <v>63</v>
      </c>
      <c r="D863" t="s">
        <v>64</v>
      </c>
      <c r="E863" t="s">
        <v>2095</v>
      </c>
      <c r="F863" s="8">
        <v>19</v>
      </c>
      <c r="G863" s="6">
        <v>27000</v>
      </c>
      <c r="H863" s="8">
        <v>86.2</v>
      </c>
      <c r="I863" s="7">
        <v>1491.92</v>
      </c>
      <c r="J863" s="8">
        <v>8.3000000000000007</v>
      </c>
      <c r="K863" s="7">
        <v>42750</v>
      </c>
      <c r="L863" s="7">
        <v>44241.919999999998</v>
      </c>
    </row>
    <row r="864" spans="1:12" x14ac:dyDescent="0.25">
      <c r="A864" s="9">
        <v>45901</v>
      </c>
      <c r="B864" t="s">
        <v>91</v>
      </c>
      <c r="C864" t="s">
        <v>92</v>
      </c>
      <c r="D864" t="s">
        <v>64</v>
      </c>
      <c r="E864" t="s">
        <v>2091</v>
      </c>
      <c r="F864" s="8">
        <v>14.2</v>
      </c>
      <c r="G864" s="6">
        <v>25000</v>
      </c>
      <c r="H864" s="8">
        <v>25</v>
      </c>
      <c r="I864" s="7">
        <v>400.64</v>
      </c>
      <c r="J864" s="8">
        <v>5</v>
      </c>
      <c r="K864" s="7">
        <v>29583.333333333299</v>
      </c>
      <c r="L864" s="7">
        <v>29983.973333333299</v>
      </c>
    </row>
    <row r="865" spans="1:12" x14ac:dyDescent="0.25">
      <c r="A865" s="9">
        <v>45901</v>
      </c>
      <c r="B865" t="s">
        <v>91</v>
      </c>
      <c r="C865" t="s">
        <v>92</v>
      </c>
      <c r="D865" t="s">
        <v>64</v>
      </c>
      <c r="E865" t="s">
        <v>2096</v>
      </c>
      <c r="F865" s="8">
        <v>14.8</v>
      </c>
      <c r="G865" s="6">
        <v>35000</v>
      </c>
      <c r="H865" s="8">
        <v>75.2</v>
      </c>
      <c r="I865" s="7">
        <v>1687.18</v>
      </c>
      <c r="J865" s="8">
        <v>6.9</v>
      </c>
      <c r="K865" s="7">
        <v>43166.666666666701</v>
      </c>
      <c r="L865" s="7">
        <v>44853.846666666701</v>
      </c>
    </row>
    <row r="866" spans="1:12" x14ac:dyDescent="0.25">
      <c r="A866" s="9">
        <v>45901</v>
      </c>
      <c r="B866" t="s">
        <v>91</v>
      </c>
      <c r="C866" t="s">
        <v>92</v>
      </c>
      <c r="D866" t="s">
        <v>64</v>
      </c>
      <c r="E866" t="s">
        <v>2094</v>
      </c>
      <c r="F866" s="8">
        <v>3.1</v>
      </c>
      <c r="G866" s="6">
        <v>41000</v>
      </c>
      <c r="H866" s="8">
        <v>26</v>
      </c>
      <c r="I866" s="7">
        <v>683.33</v>
      </c>
      <c r="J866" s="8">
        <v>0.6</v>
      </c>
      <c r="K866" s="7">
        <v>10591.666666666701</v>
      </c>
      <c r="L866" s="7">
        <v>11274.996666666701</v>
      </c>
    </row>
    <row r="867" spans="1:12" x14ac:dyDescent="0.25">
      <c r="A867" s="9">
        <v>45901</v>
      </c>
      <c r="B867" t="s">
        <v>91</v>
      </c>
      <c r="C867" t="s">
        <v>92</v>
      </c>
      <c r="D867" t="s">
        <v>64</v>
      </c>
      <c r="E867" t="s">
        <v>2093</v>
      </c>
      <c r="F867" s="8">
        <v>17.3</v>
      </c>
      <c r="G867" s="6">
        <v>29000</v>
      </c>
      <c r="H867" s="8">
        <v>45.3</v>
      </c>
      <c r="I867" s="7">
        <v>842.12</v>
      </c>
      <c r="J867" s="8">
        <v>8.1</v>
      </c>
      <c r="K867" s="7">
        <v>41808.333333333299</v>
      </c>
      <c r="L867" s="7">
        <v>42650.453333333302</v>
      </c>
    </row>
    <row r="868" spans="1:12" x14ac:dyDescent="0.25">
      <c r="A868" s="9">
        <v>45901</v>
      </c>
      <c r="B868" t="s">
        <v>80</v>
      </c>
      <c r="C868" t="s">
        <v>81</v>
      </c>
      <c r="D868" t="s">
        <v>64</v>
      </c>
      <c r="E868" t="s">
        <v>2097</v>
      </c>
      <c r="F868" s="8">
        <v>4.5</v>
      </c>
      <c r="G868" s="6">
        <v>28000</v>
      </c>
      <c r="H868" s="8">
        <v>19.600000000000001</v>
      </c>
      <c r="I868" s="7">
        <v>351.79</v>
      </c>
      <c r="J868" s="8">
        <v>1.8</v>
      </c>
      <c r="K868" s="7">
        <v>10500</v>
      </c>
      <c r="L868" s="7">
        <v>10851.79</v>
      </c>
    </row>
    <row r="869" spans="1:12" x14ac:dyDescent="0.25">
      <c r="A869" s="9">
        <v>45901</v>
      </c>
      <c r="B869" t="s">
        <v>80</v>
      </c>
      <c r="C869" t="s">
        <v>81</v>
      </c>
      <c r="D869" t="s">
        <v>64</v>
      </c>
      <c r="E869" t="s">
        <v>2096</v>
      </c>
      <c r="F869" s="8">
        <v>12.9</v>
      </c>
      <c r="G869" s="6">
        <v>35000</v>
      </c>
      <c r="H869" s="8">
        <v>63.4</v>
      </c>
      <c r="I869" s="7">
        <v>1422.44</v>
      </c>
      <c r="J869" s="8">
        <v>5.5</v>
      </c>
      <c r="K869" s="7">
        <v>37625</v>
      </c>
      <c r="L869" s="7">
        <v>39047.440000000002</v>
      </c>
    </row>
    <row r="870" spans="1:12" x14ac:dyDescent="0.25">
      <c r="A870" s="9">
        <v>45901</v>
      </c>
      <c r="B870" t="s">
        <v>80</v>
      </c>
      <c r="C870" t="s">
        <v>81</v>
      </c>
      <c r="D870" t="s">
        <v>64</v>
      </c>
      <c r="E870" t="s">
        <v>2094</v>
      </c>
      <c r="F870" s="8">
        <v>18.7</v>
      </c>
      <c r="G870" s="6">
        <v>41000</v>
      </c>
      <c r="H870" s="8">
        <v>36</v>
      </c>
      <c r="I870" s="7">
        <v>946.15</v>
      </c>
      <c r="J870" s="8">
        <v>7.6</v>
      </c>
      <c r="K870" s="7">
        <v>63891.666666666701</v>
      </c>
      <c r="L870" s="7">
        <v>64837.816666666702</v>
      </c>
    </row>
    <row r="871" spans="1:12" x14ac:dyDescent="0.25">
      <c r="A871" s="9">
        <v>45901</v>
      </c>
      <c r="B871" t="s">
        <v>80</v>
      </c>
      <c r="C871" t="s">
        <v>81</v>
      </c>
      <c r="D871" t="s">
        <v>64</v>
      </c>
      <c r="E871" t="s">
        <v>2091</v>
      </c>
      <c r="F871" s="8">
        <v>7.7</v>
      </c>
      <c r="G871" s="6">
        <v>25000</v>
      </c>
      <c r="H871" s="8">
        <v>5.0999999999999996</v>
      </c>
      <c r="I871" s="7">
        <v>81.73</v>
      </c>
      <c r="J871" s="8">
        <v>3.3</v>
      </c>
      <c r="K871" s="7">
        <v>16041.666666666701</v>
      </c>
      <c r="L871" s="7">
        <v>16123.3966666667</v>
      </c>
    </row>
    <row r="872" spans="1:12" x14ac:dyDescent="0.25">
      <c r="A872" s="9">
        <v>45901</v>
      </c>
      <c r="B872" t="s">
        <v>56</v>
      </c>
      <c r="C872" t="s">
        <v>57</v>
      </c>
      <c r="D872" t="s">
        <v>58</v>
      </c>
      <c r="E872" t="s">
        <v>2095</v>
      </c>
      <c r="F872" s="8">
        <v>14.8</v>
      </c>
      <c r="G872" s="6">
        <v>27000</v>
      </c>
      <c r="H872" s="8">
        <v>52.5</v>
      </c>
      <c r="I872" s="7">
        <v>908.65</v>
      </c>
      <c r="J872" s="8">
        <v>6.8</v>
      </c>
      <c r="K872" s="7">
        <v>33300</v>
      </c>
      <c r="L872" s="7">
        <v>34208.65</v>
      </c>
    </row>
    <row r="873" spans="1:12" x14ac:dyDescent="0.25">
      <c r="A873" s="9">
        <v>45901</v>
      </c>
      <c r="B873" t="s">
        <v>56</v>
      </c>
      <c r="C873" t="s">
        <v>57</v>
      </c>
      <c r="D873" t="s">
        <v>58</v>
      </c>
      <c r="E873" t="s">
        <v>2094</v>
      </c>
      <c r="F873" s="8">
        <v>3.5</v>
      </c>
      <c r="G873" s="6">
        <v>41000</v>
      </c>
      <c r="H873" s="8">
        <v>20.5</v>
      </c>
      <c r="I873" s="7">
        <v>538.78</v>
      </c>
      <c r="J873" s="8">
        <v>3</v>
      </c>
      <c r="K873" s="7">
        <v>11958.333333333299</v>
      </c>
      <c r="L873" s="7">
        <v>12497.1133333333</v>
      </c>
    </row>
    <row r="874" spans="1:12" x14ac:dyDescent="0.25">
      <c r="A874" s="9">
        <v>45901</v>
      </c>
      <c r="B874" t="s">
        <v>56</v>
      </c>
      <c r="C874" t="s">
        <v>57</v>
      </c>
      <c r="D874" t="s">
        <v>58</v>
      </c>
      <c r="E874" t="s">
        <v>2097</v>
      </c>
      <c r="F874" s="8">
        <v>4.7</v>
      </c>
      <c r="G874" s="6">
        <v>28000</v>
      </c>
      <c r="H874" s="8">
        <v>16.399999999999999</v>
      </c>
      <c r="I874" s="7">
        <v>294.36</v>
      </c>
      <c r="J874" s="8">
        <v>0.6</v>
      </c>
      <c r="K874" s="7">
        <v>10966.666666666701</v>
      </c>
      <c r="L874" s="7">
        <v>11261.026666666699</v>
      </c>
    </row>
    <row r="875" spans="1:12" x14ac:dyDescent="0.25">
      <c r="A875" s="9">
        <v>45901</v>
      </c>
      <c r="B875" t="s">
        <v>56</v>
      </c>
      <c r="C875" t="s">
        <v>57</v>
      </c>
      <c r="D875" t="s">
        <v>58</v>
      </c>
      <c r="E875" t="s">
        <v>2096</v>
      </c>
      <c r="F875" s="8">
        <v>13.7</v>
      </c>
      <c r="G875" s="6">
        <v>35000</v>
      </c>
      <c r="H875" s="8">
        <v>43.2</v>
      </c>
      <c r="I875" s="7">
        <v>969.23</v>
      </c>
      <c r="J875" s="8">
        <v>6.3</v>
      </c>
      <c r="K875" s="7">
        <v>39958.333333333299</v>
      </c>
      <c r="L875" s="7">
        <v>40927.563333333303</v>
      </c>
    </row>
    <row r="876" spans="1:12" x14ac:dyDescent="0.25">
      <c r="A876" s="9">
        <v>45901</v>
      </c>
      <c r="B876" t="s">
        <v>56</v>
      </c>
      <c r="C876" t="s">
        <v>57</v>
      </c>
      <c r="D876" t="s">
        <v>58</v>
      </c>
      <c r="E876" t="s">
        <v>2092</v>
      </c>
      <c r="F876" s="8">
        <v>3.4</v>
      </c>
      <c r="G876" s="6">
        <v>43000</v>
      </c>
      <c r="H876" s="8">
        <v>10.199999999999999</v>
      </c>
      <c r="I876" s="7">
        <v>281.14999999999998</v>
      </c>
      <c r="J876" s="8">
        <v>1</v>
      </c>
      <c r="K876" s="7">
        <v>12183.333333333299</v>
      </c>
      <c r="L876" s="7">
        <v>12464.483333333301</v>
      </c>
    </row>
    <row r="877" spans="1:12" x14ac:dyDescent="0.25">
      <c r="A877" s="9">
        <v>45901</v>
      </c>
      <c r="B877" t="s">
        <v>77</v>
      </c>
      <c r="C877" t="s">
        <v>78</v>
      </c>
      <c r="D877" t="s">
        <v>58</v>
      </c>
      <c r="E877" t="s">
        <v>2093</v>
      </c>
      <c r="F877" s="8">
        <v>3.8</v>
      </c>
      <c r="G877" s="6">
        <v>29000</v>
      </c>
      <c r="H877" s="8">
        <v>11.5</v>
      </c>
      <c r="I877" s="7">
        <v>213.78</v>
      </c>
      <c r="J877" s="8">
        <v>1.5</v>
      </c>
      <c r="K877" s="7">
        <v>9183.3333333333303</v>
      </c>
      <c r="L877" s="7">
        <v>9397.1133333333401</v>
      </c>
    </row>
    <row r="878" spans="1:12" x14ac:dyDescent="0.25">
      <c r="A878" s="9">
        <v>45901</v>
      </c>
      <c r="B878" t="s">
        <v>77</v>
      </c>
      <c r="C878" t="s">
        <v>78</v>
      </c>
      <c r="D878" t="s">
        <v>58</v>
      </c>
      <c r="E878" t="s">
        <v>2097</v>
      </c>
      <c r="F878" s="8">
        <v>6</v>
      </c>
      <c r="G878" s="6">
        <v>28000</v>
      </c>
      <c r="H878" s="8">
        <v>18.3</v>
      </c>
      <c r="I878" s="7">
        <v>328.46</v>
      </c>
      <c r="J878" s="8">
        <v>3.2</v>
      </c>
      <c r="K878" s="7">
        <v>14000</v>
      </c>
      <c r="L878" s="7">
        <v>14328.46</v>
      </c>
    </row>
    <row r="879" spans="1:12" x14ac:dyDescent="0.25">
      <c r="A879" s="9">
        <v>45901</v>
      </c>
      <c r="B879" t="s">
        <v>77</v>
      </c>
      <c r="C879" t="s">
        <v>78</v>
      </c>
      <c r="D879" t="s">
        <v>58</v>
      </c>
      <c r="E879" t="s">
        <v>2095</v>
      </c>
      <c r="F879" s="8">
        <v>17.100000000000001</v>
      </c>
      <c r="G879" s="6">
        <v>27000</v>
      </c>
      <c r="H879" s="8">
        <v>77.599999999999994</v>
      </c>
      <c r="I879" s="7">
        <v>1343.08</v>
      </c>
      <c r="J879" s="8">
        <v>7.6</v>
      </c>
      <c r="K879" s="7">
        <v>38475</v>
      </c>
      <c r="L879" s="7">
        <v>39818.080000000002</v>
      </c>
    </row>
    <row r="880" spans="1:12" x14ac:dyDescent="0.25">
      <c r="A880" s="9">
        <v>45901</v>
      </c>
      <c r="B880" t="s">
        <v>77</v>
      </c>
      <c r="C880" t="s">
        <v>78</v>
      </c>
      <c r="D880" t="s">
        <v>58</v>
      </c>
      <c r="E880" t="s">
        <v>2092</v>
      </c>
      <c r="F880" s="8">
        <v>6.4</v>
      </c>
      <c r="G880" s="6">
        <v>43000</v>
      </c>
      <c r="H880" s="8">
        <v>37.799999999999997</v>
      </c>
      <c r="I880" s="7">
        <v>1041.92</v>
      </c>
      <c r="J880" s="8">
        <v>2.2000000000000002</v>
      </c>
      <c r="K880" s="7">
        <v>22933.333333333299</v>
      </c>
      <c r="L880" s="7">
        <v>23975.253333333301</v>
      </c>
    </row>
    <row r="881" spans="1:12" x14ac:dyDescent="0.25">
      <c r="A881" s="9">
        <v>45901</v>
      </c>
      <c r="B881" t="s">
        <v>77</v>
      </c>
      <c r="C881" t="s">
        <v>78</v>
      </c>
      <c r="D881" t="s">
        <v>58</v>
      </c>
      <c r="E881" t="s">
        <v>2094</v>
      </c>
      <c r="F881" s="8">
        <v>8</v>
      </c>
      <c r="G881" s="6">
        <v>41000</v>
      </c>
      <c r="H881" s="8">
        <v>12.6</v>
      </c>
      <c r="I881" s="7">
        <v>331.15</v>
      </c>
      <c r="J881" s="8">
        <v>4.4000000000000004</v>
      </c>
      <c r="K881" s="7">
        <v>27333.333333333299</v>
      </c>
      <c r="L881" s="7">
        <v>27664.483333333301</v>
      </c>
    </row>
    <row r="882" spans="1:12" x14ac:dyDescent="0.25">
      <c r="A882" s="9">
        <v>45901</v>
      </c>
      <c r="B882" t="s">
        <v>110</v>
      </c>
      <c r="C882" t="s">
        <v>111</v>
      </c>
      <c r="D882" t="s">
        <v>58</v>
      </c>
      <c r="E882" t="s">
        <v>2095</v>
      </c>
      <c r="F882" s="8">
        <v>3.5</v>
      </c>
      <c r="G882" s="6">
        <v>27000</v>
      </c>
      <c r="H882" s="8">
        <v>9.6999999999999993</v>
      </c>
      <c r="I882" s="7">
        <v>167.88</v>
      </c>
      <c r="J882" s="8">
        <v>2.1</v>
      </c>
      <c r="K882" s="7">
        <v>7875</v>
      </c>
      <c r="L882" s="7">
        <v>8042.88</v>
      </c>
    </row>
    <row r="883" spans="1:12" x14ac:dyDescent="0.25">
      <c r="A883" s="9">
        <v>45901</v>
      </c>
      <c r="B883" t="s">
        <v>110</v>
      </c>
      <c r="C883" t="s">
        <v>111</v>
      </c>
      <c r="D883" t="s">
        <v>58</v>
      </c>
      <c r="E883" t="s">
        <v>2096</v>
      </c>
      <c r="F883" s="8">
        <v>15.3</v>
      </c>
      <c r="G883" s="6">
        <v>35000</v>
      </c>
      <c r="H883" s="8">
        <v>6</v>
      </c>
      <c r="I883" s="7">
        <v>134.62</v>
      </c>
      <c r="J883" s="8">
        <v>9</v>
      </c>
      <c r="K883" s="7">
        <v>44625</v>
      </c>
      <c r="L883" s="7">
        <v>44759.62</v>
      </c>
    </row>
    <row r="884" spans="1:12" x14ac:dyDescent="0.25">
      <c r="A884" s="9">
        <v>45901</v>
      </c>
      <c r="B884" t="s">
        <v>110</v>
      </c>
      <c r="C884" t="s">
        <v>111</v>
      </c>
      <c r="D884" t="s">
        <v>58</v>
      </c>
      <c r="E884" t="s">
        <v>2093</v>
      </c>
      <c r="F884" s="8">
        <v>15.3</v>
      </c>
      <c r="G884" s="6">
        <v>29000</v>
      </c>
      <c r="H884" s="8">
        <v>76.599999999999994</v>
      </c>
      <c r="I884" s="7">
        <v>1423.97</v>
      </c>
      <c r="J884" s="8">
        <v>6.1</v>
      </c>
      <c r="K884" s="7">
        <v>36975</v>
      </c>
      <c r="L884" s="7">
        <v>38398.97</v>
      </c>
    </row>
    <row r="885" spans="1:12" x14ac:dyDescent="0.25">
      <c r="A885" s="9">
        <v>45901</v>
      </c>
      <c r="B885" t="s">
        <v>110</v>
      </c>
      <c r="C885" t="s">
        <v>111</v>
      </c>
      <c r="D885" t="s">
        <v>58</v>
      </c>
      <c r="E885" t="s">
        <v>2092</v>
      </c>
      <c r="F885" s="8">
        <v>9.1999999999999993</v>
      </c>
      <c r="G885" s="6">
        <v>43000</v>
      </c>
      <c r="H885" s="8">
        <v>16.399999999999999</v>
      </c>
      <c r="I885" s="7">
        <v>452.05</v>
      </c>
      <c r="J885" s="8">
        <v>6.3</v>
      </c>
      <c r="K885" s="7">
        <v>32966.666666666701</v>
      </c>
      <c r="L885" s="7">
        <v>33418.716666666704</v>
      </c>
    </row>
    <row r="886" spans="1:12" x14ac:dyDescent="0.25">
      <c r="A886" s="9">
        <v>45901</v>
      </c>
      <c r="B886" t="s">
        <v>85</v>
      </c>
      <c r="C886" t="s">
        <v>86</v>
      </c>
      <c r="D886" t="s">
        <v>58</v>
      </c>
      <c r="E886" t="s">
        <v>2097</v>
      </c>
      <c r="F886" s="8">
        <v>4.0999999999999996</v>
      </c>
      <c r="G886" s="6">
        <v>28000</v>
      </c>
      <c r="H886" s="8">
        <v>11.9</v>
      </c>
      <c r="I886" s="7">
        <v>213.59</v>
      </c>
      <c r="J886" s="8">
        <v>1.2</v>
      </c>
      <c r="K886" s="7">
        <v>9566.6666666666697</v>
      </c>
      <c r="L886" s="7">
        <v>9780.2566666666698</v>
      </c>
    </row>
    <row r="887" spans="1:12" x14ac:dyDescent="0.25">
      <c r="A887" s="9">
        <v>45901</v>
      </c>
      <c r="B887" t="s">
        <v>85</v>
      </c>
      <c r="C887" t="s">
        <v>86</v>
      </c>
      <c r="D887" t="s">
        <v>58</v>
      </c>
      <c r="E887" t="s">
        <v>2095</v>
      </c>
      <c r="F887" s="8">
        <v>18.3</v>
      </c>
      <c r="G887" s="6">
        <v>27000</v>
      </c>
      <c r="H887" s="8">
        <v>11</v>
      </c>
      <c r="I887" s="7">
        <v>190.38</v>
      </c>
      <c r="J887" s="8">
        <v>8.8000000000000007</v>
      </c>
      <c r="K887" s="7">
        <v>41175</v>
      </c>
      <c r="L887" s="7">
        <v>41365.379999999997</v>
      </c>
    </row>
    <row r="888" spans="1:12" x14ac:dyDescent="0.25">
      <c r="A888" s="9">
        <v>45901</v>
      </c>
      <c r="B888" t="s">
        <v>85</v>
      </c>
      <c r="C888" t="s">
        <v>86</v>
      </c>
      <c r="D888" t="s">
        <v>58</v>
      </c>
      <c r="E888" t="s">
        <v>2096</v>
      </c>
      <c r="F888" s="8">
        <v>11.1</v>
      </c>
      <c r="G888" s="6">
        <v>35000</v>
      </c>
      <c r="H888" s="8">
        <v>40.6</v>
      </c>
      <c r="I888" s="7">
        <v>910.9</v>
      </c>
      <c r="J888" s="8">
        <v>6.3</v>
      </c>
      <c r="K888" s="7">
        <v>32375</v>
      </c>
      <c r="L888" s="7">
        <v>33285.9</v>
      </c>
    </row>
    <row r="889" spans="1:12" x14ac:dyDescent="0.25">
      <c r="A889" s="9">
        <v>45901</v>
      </c>
      <c r="B889" t="s">
        <v>85</v>
      </c>
      <c r="C889" t="s">
        <v>86</v>
      </c>
      <c r="D889" t="s">
        <v>58</v>
      </c>
      <c r="E889" t="s">
        <v>2093</v>
      </c>
      <c r="F889" s="8">
        <v>3.1</v>
      </c>
      <c r="G889" s="6">
        <v>29000</v>
      </c>
      <c r="H889" s="8">
        <v>5.9</v>
      </c>
      <c r="I889" s="7">
        <v>109.68</v>
      </c>
      <c r="J889" s="8">
        <v>0</v>
      </c>
      <c r="K889" s="7">
        <v>7491.6666666666697</v>
      </c>
      <c r="L889" s="7">
        <v>7601.34666666667</v>
      </c>
    </row>
    <row r="890" spans="1:12" x14ac:dyDescent="0.25">
      <c r="A890" s="9">
        <v>45901</v>
      </c>
      <c r="B890" t="s">
        <v>85</v>
      </c>
      <c r="C890" t="s">
        <v>86</v>
      </c>
      <c r="D890" t="s">
        <v>58</v>
      </c>
      <c r="E890" t="s">
        <v>2094</v>
      </c>
      <c r="F890" s="8">
        <v>9.4</v>
      </c>
      <c r="G890" s="6">
        <v>41000</v>
      </c>
      <c r="H890" s="8">
        <v>44</v>
      </c>
      <c r="I890" s="7">
        <v>1156.4100000000001</v>
      </c>
      <c r="J890" s="8">
        <v>5.7</v>
      </c>
      <c r="K890" s="7">
        <v>32116.666666666701</v>
      </c>
      <c r="L890" s="7">
        <v>33273.076666666697</v>
      </c>
    </row>
    <row r="891" spans="1:12" x14ac:dyDescent="0.25">
      <c r="A891" s="9">
        <v>45901</v>
      </c>
      <c r="B891" t="s">
        <v>103</v>
      </c>
      <c r="C891" t="s">
        <v>104</v>
      </c>
      <c r="D891" t="s">
        <v>58</v>
      </c>
      <c r="E891" t="s">
        <v>2093</v>
      </c>
      <c r="F891" s="8">
        <v>6.6</v>
      </c>
      <c r="G891" s="6">
        <v>29000</v>
      </c>
      <c r="H891" s="8">
        <v>10.8</v>
      </c>
      <c r="I891" s="7">
        <v>200.77</v>
      </c>
      <c r="J891" s="8">
        <v>4.4000000000000004</v>
      </c>
      <c r="K891" s="7">
        <v>15950</v>
      </c>
      <c r="L891" s="7">
        <v>16150.77</v>
      </c>
    </row>
    <row r="892" spans="1:12" x14ac:dyDescent="0.25">
      <c r="A892" s="9">
        <v>45901</v>
      </c>
      <c r="B892" t="s">
        <v>103</v>
      </c>
      <c r="C892" t="s">
        <v>104</v>
      </c>
      <c r="D892" t="s">
        <v>58</v>
      </c>
      <c r="E892" t="s">
        <v>2095</v>
      </c>
      <c r="F892" s="8">
        <v>5.6</v>
      </c>
      <c r="G892" s="6">
        <v>27000</v>
      </c>
      <c r="H892" s="8">
        <v>22.7</v>
      </c>
      <c r="I892" s="7">
        <v>392.88</v>
      </c>
      <c r="J892" s="8">
        <v>3.9</v>
      </c>
      <c r="K892" s="7">
        <v>12600</v>
      </c>
      <c r="L892" s="7">
        <v>12992.88</v>
      </c>
    </row>
    <row r="893" spans="1:12" x14ac:dyDescent="0.25">
      <c r="A893" s="9">
        <v>45901</v>
      </c>
      <c r="B893" t="s">
        <v>103</v>
      </c>
      <c r="C893" t="s">
        <v>104</v>
      </c>
      <c r="D893" t="s">
        <v>58</v>
      </c>
      <c r="E893" t="s">
        <v>2096</v>
      </c>
      <c r="F893" s="8">
        <v>4.8</v>
      </c>
      <c r="G893" s="6">
        <v>35000</v>
      </c>
      <c r="H893" s="8">
        <v>18.7</v>
      </c>
      <c r="I893" s="7">
        <v>419.55</v>
      </c>
      <c r="J893" s="8">
        <v>0</v>
      </c>
      <c r="K893" s="7">
        <v>14000</v>
      </c>
      <c r="L893" s="7">
        <v>14419.55</v>
      </c>
    </row>
    <row r="894" spans="1:12" x14ac:dyDescent="0.25">
      <c r="A894" s="9">
        <v>45901</v>
      </c>
      <c r="B894" t="s">
        <v>103</v>
      </c>
      <c r="C894" t="s">
        <v>104</v>
      </c>
      <c r="D894" t="s">
        <v>58</v>
      </c>
      <c r="E894" t="s">
        <v>2091</v>
      </c>
      <c r="F894" s="8">
        <v>6.9</v>
      </c>
      <c r="G894" s="6">
        <v>25000</v>
      </c>
      <c r="H894" s="8">
        <v>26</v>
      </c>
      <c r="I894" s="7">
        <v>416.67</v>
      </c>
      <c r="J894" s="8">
        <v>4.5</v>
      </c>
      <c r="K894" s="7">
        <v>14375</v>
      </c>
      <c r="L894" s="7">
        <v>14791.67</v>
      </c>
    </row>
    <row r="895" spans="1:12" x14ac:dyDescent="0.25">
      <c r="A895" s="9">
        <v>45901</v>
      </c>
      <c r="B895" t="s">
        <v>103</v>
      </c>
      <c r="C895" t="s">
        <v>104</v>
      </c>
      <c r="D895" t="s">
        <v>58</v>
      </c>
      <c r="E895" t="s">
        <v>2092</v>
      </c>
      <c r="F895" s="8">
        <v>16.8</v>
      </c>
      <c r="G895" s="6">
        <v>43000</v>
      </c>
      <c r="H895" s="8">
        <v>44.7</v>
      </c>
      <c r="I895" s="7">
        <v>1232.1199999999999</v>
      </c>
      <c r="J895" s="8">
        <v>8</v>
      </c>
      <c r="K895" s="7">
        <v>60200</v>
      </c>
      <c r="L895" s="7">
        <v>61432.12</v>
      </c>
    </row>
    <row r="896" spans="1:12" x14ac:dyDescent="0.25">
      <c r="A896" s="9">
        <v>45901</v>
      </c>
      <c r="B896" t="s">
        <v>103</v>
      </c>
      <c r="C896" t="s">
        <v>104</v>
      </c>
      <c r="D896" t="s">
        <v>58</v>
      </c>
      <c r="E896" t="s">
        <v>2094</v>
      </c>
      <c r="F896" s="8">
        <v>7.5</v>
      </c>
      <c r="G896" s="6">
        <v>41000</v>
      </c>
      <c r="H896" s="8">
        <v>28</v>
      </c>
      <c r="I896" s="7">
        <v>735.9</v>
      </c>
      <c r="J896" s="8">
        <v>0.9</v>
      </c>
      <c r="K896" s="7">
        <v>25625</v>
      </c>
      <c r="L896" s="7">
        <v>26360.9</v>
      </c>
    </row>
    <row r="897" spans="1:12" x14ac:dyDescent="0.25">
      <c r="A897" s="9">
        <v>45931</v>
      </c>
      <c r="B897" t="s">
        <v>100</v>
      </c>
      <c r="C897" t="s">
        <v>101</v>
      </c>
      <c r="D897" t="s">
        <v>69</v>
      </c>
      <c r="E897" t="s">
        <v>2095</v>
      </c>
      <c r="F897" s="8">
        <v>17.100000000000001</v>
      </c>
      <c r="G897" s="6">
        <v>27000</v>
      </c>
      <c r="H897" s="8">
        <v>111.3</v>
      </c>
      <c r="I897" s="7">
        <v>1926.35</v>
      </c>
      <c r="J897" s="8">
        <v>7.6</v>
      </c>
      <c r="K897" s="7">
        <v>38475</v>
      </c>
      <c r="L897" s="7">
        <v>40401.35</v>
      </c>
    </row>
    <row r="898" spans="1:12" x14ac:dyDescent="0.25">
      <c r="A898" s="9">
        <v>45931</v>
      </c>
      <c r="B898" t="s">
        <v>100</v>
      </c>
      <c r="C898" t="s">
        <v>101</v>
      </c>
      <c r="D898" t="s">
        <v>69</v>
      </c>
      <c r="E898" t="s">
        <v>2092</v>
      </c>
      <c r="F898" s="8">
        <v>13.1</v>
      </c>
      <c r="G898" s="6">
        <v>43000</v>
      </c>
      <c r="H898" s="8">
        <v>62.3</v>
      </c>
      <c r="I898" s="7">
        <v>1717.24</v>
      </c>
      <c r="J898" s="8">
        <v>6.5</v>
      </c>
      <c r="K898" s="7">
        <v>46941.666666666701</v>
      </c>
      <c r="L898" s="7">
        <v>48658.906666666699</v>
      </c>
    </row>
    <row r="899" spans="1:12" x14ac:dyDescent="0.25">
      <c r="A899" s="9">
        <v>45931</v>
      </c>
      <c r="B899" t="s">
        <v>100</v>
      </c>
      <c r="C899" t="s">
        <v>101</v>
      </c>
      <c r="D899" t="s">
        <v>69</v>
      </c>
      <c r="E899" t="s">
        <v>2097</v>
      </c>
      <c r="F899" s="8">
        <v>14.2</v>
      </c>
      <c r="G899" s="6">
        <v>28000</v>
      </c>
      <c r="H899" s="8">
        <v>83.6</v>
      </c>
      <c r="I899" s="7">
        <v>1500.51</v>
      </c>
      <c r="J899" s="8">
        <v>7.5</v>
      </c>
      <c r="K899" s="7">
        <v>33133.333333333299</v>
      </c>
      <c r="L899" s="7">
        <v>34633.843333333301</v>
      </c>
    </row>
    <row r="900" spans="1:12" x14ac:dyDescent="0.25">
      <c r="A900" s="9">
        <v>45931</v>
      </c>
      <c r="B900" t="s">
        <v>100</v>
      </c>
      <c r="C900" t="s">
        <v>101</v>
      </c>
      <c r="D900" t="s">
        <v>69</v>
      </c>
      <c r="E900" t="s">
        <v>2094</v>
      </c>
      <c r="F900" s="8">
        <v>6.7</v>
      </c>
      <c r="G900" s="6">
        <v>41000</v>
      </c>
      <c r="H900" s="8">
        <v>24.4</v>
      </c>
      <c r="I900" s="7">
        <v>641.28</v>
      </c>
      <c r="J900" s="8">
        <v>2.5</v>
      </c>
      <c r="K900" s="7">
        <v>22891.666666666701</v>
      </c>
      <c r="L900" s="7">
        <v>23532.946666666699</v>
      </c>
    </row>
    <row r="901" spans="1:12" x14ac:dyDescent="0.25">
      <c r="A901" s="9">
        <v>45931</v>
      </c>
      <c r="B901" t="s">
        <v>100</v>
      </c>
      <c r="C901" t="s">
        <v>101</v>
      </c>
      <c r="D901" t="s">
        <v>69</v>
      </c>
      <c r="E901" t="s">
        <v>2093</v>
      </c>
      <c r="F901" s="8">
        <v>10.6</v>
      </c>
      <c r="G901" s="6">
        <v>29000</v>
      </c>
      <c r="H901" s="8">
        <v>55.1</v>
      </c>
      <c r="I901" s="7">
        <v>1024.29</v>
      </c>
      <c r="J901" s="8">
        <v>3.4</v>
      </c>
      <c r="K901" s="7">
        <v>25616.666666666701</v>
      </c>
      <c r="L901" s="7">
        <v>26640.956666666701</v>
      </c>
    </row>
    <row r="902" spans="1:12" x14ac:dyDescent="0.25">
      <c r="A902" s="9">
        <v>45931</v>
      </c>
      <c r="B902" t="s">
        <v>100</v>
      </c>
      <c r="C902" t="s">
        <v>101</v>
      </c>
      <c r="D902" t="s">
        <v>69</v>
      </c>
      <c r="E902" t="s">
        <v>2091</v>
      </c>
      <c r="F902" s="8">
        <v>5.9</v>
      </c>
      <c r="G902" s="6">
        <v>25000</v>
      </c>
      <c r="H902" s="8">
        <v>29.3</v>
      </c>
      <c r="I902" s="7">
        <v>469.55</v>
      </c>
      <c r="J902" s="8">
        <v>1.9</v>
      </c>
      <c r="K902" s="7">
        <v>12291.666666666701</v>
      </c>
      <c r="L902" s="7">
        <v>12761.2166666667</v>
      </c>
    </row>
    <row r="903" spans="1:12" x14ac:dyDescent="0.25">
      <c r="A903" s="9">
        <v>45931</v>
      </c>
      <c r="B903" t="s">
        <v>113</v>
      </c>
      <c r="C903" t="s">
        <v>114</v>
      </c>
      <c r="D903" t="s">
        <v>69</v>
      </c>
      <c r="E903" t="s">
        <v>2094</v>
      </c>
      <c r="F903" s="8">
        <v>16.600000000000001</v>
      </c>
      <c r="G903" s="6">
        <v>41000</v>
      </c>
      <c r="H903" s="8">
        <v>97.6</v>
      </c>
      <c r="I903" s="7">
        <v>2565.13</v>
      </c>
      <c r="J903" s="8">
        <v>8.5</v>
      </c>
      <c r="K903" s="7">
        <v>56716.666666666701</v>
      </c>
      <c r="L903" s="7">
        <v>59281.796666666698</v>
      </c>
    </row>
    <row r="904" spans="1:12" x14ac:dyDescent="0.25">
      <c r="A904" s="9">
        <v>45931</v>
      </c>
      <c r="B904" t="s">
        <v>113</v>
      </c>
      <c r="C904" t="s">
        <v>114</v>
      </c>
      <c r="D904" t="s">
        <v>69</v>
      </c>
      <c r="E904" t="s">
        <v>2097</v>
      </c>
      <c r="F904" s="8">
        <v>17.2</v>
      </c>
      <c r="G904" s="6">
        <v>28000</v>
      </c>
      <c r="H904" s="8">
        <v>85.4</v>
      </c>
      <c r="I904" s="7">
        <v>1532.82</v>
      </c>
      <c r="J904" s="8">
        <v>8.6999999999999993</v>
      </c>
      <c r="K904" s="7">
        <v>40133.333333333299</v>
      </c>
      <c r="L904" s="7">
        <v>41666.153333333299</v>
      </c>
    </row>
    <row r="905" spans="1:12" x14ac:dyDescent="0.25">
      <c r="A905" s="9">
        <v>45931</v>
      </c>
      <c r="B905" t="s">
        <v>113</v>
      </c>
      <c r="C905" t="s">
        <v>114</v>
      </c>
      <c r="D905" t="s">
        <v>69</v>
      </c>
      <c r="E905" t="s">
        <v>2095</v>
      </c>
      <c r="F905" s="8">
        <v>6.3</v>
      </c>
      <c r="G905" s="6">
        <v>27000</v>
      </c>
      <c r="H905" s="8">
        <v>8.6</v>
      </c>
      <c r="I905" s="7">
        <v>148.85</v>
      </c>
      <c r="J905" s="8">
        <v>2.2999999999999998</v>
      </c>
      <c r="K905" s="7">
        <v>14175</v>
      </c>
      <c r="L905" s="7">
        <v>14323.85</v>
      </c>
    </row>
    <row r="906" spans="1:12" x14ac:dyDescent="0.25">
      <c r="A906" s="9">
        <v>45931</v>
      </c>
      <c r="B906" t="s">
        <v>113</v>
      </c>
      <c r="C906" t="s">
        <v>114</v>
      </c>
      <c r="D906" t="s">
        <v>69</v>
      </c>
      <c r="E906" t="s">
        <v>2093</v>
      </c>
      <c r="F906" s="8">
        <v>8</v>
      </c>
      <c r="G906" s="6">
        <v>29000</v>
      </c>
      <c r="H906" s="8">
        <v>40.1</v>
      </c>
      <c r="I906" s="7">
        <v>745.45</v>
      </c>
      <c r="J906" s="8">
        <v>4.2</v>
      </c>
      <c r="K906" s="7">
        <v>19333.333333333299</v>
      </c>
      <c r="L906" s="7">
        <v>20078.7833333333</v>
      </c>
    </row>
    <row r="907" spans="1:12" x14ac:dyDescent="0.25">
      <c r="A907" s="9">
        <v>45931</v>
      </c>
      <c r="B907" t="s">
        <v>113</v>
      </c>
      <c r="C907" t="s">
        <v>114</v>
      </c>
      <c r="D907" t="s">
        <v>69</v>
      </c>
      <c r="E907" t="s">
        <v>2092</v>
      </c>
      <c r="F907" s="8">
        <v>16.100000000000001</v>
      </c>
      <c r="G907" s="6">
        <v>43000</v>
      </c>
      <c r="H907" s="8">
        <v>92.9</v>
      </c>
      <c r="I907" s="7">
        <v>2560.71</v>
      </c>
      <c r="J907" s="8">
        <v>8.5</v>
      </c>
      <c r="K907" s="7">
        <v>57691.666666666701</v>
      </c>
      <c r="L907" s="7">
        <v>60252.3766666667</v>
      </c>
    </row>
    <row r="908" spans="1:12" x14ac:dyDescent="0.25">
      <c r="A908" s="9">
        <v>45931</v>
      </c>
      <c r="B908" t="s">
        <v>143</v>
      </c>
      <c r="C908" t="s">
        <v>144</v>
      </c>
      <c r="D908" t="s">
        <v>69</v>
      </c>
      <c r="E908" t="s">
        <v>2091</v>
      </c>
      <c r="F908" s="8">
        <v>6.9</v>
      </c>
      <c r="G908" s="6">
        <v>25000</v>
      </c>
      <c r="H908" s="8">
        <v>17.600000000000001</v>
      </c>
      <c r="I908" s="7">
        <v>282.05</v>
      </c>
      <c r="J908" s="8">
        <v>2.7</v>
      </c>
      <c r="K908" s="7">
        <v>14375</v>
      </c>
      <c r="L908" s="7">
        <v>14657.05</v>
      </c>
    </row>
    <row r="909" spans="1:12" x14ac:dyDescent="0.25">
      <c r="A909" s="9">
        <v>45931</v>
      </c>
      <c r="B909" t="s">
        <v>143</v>
      </c>
      <c r="C909" t="s">
        <v>144</v>
      </c>
      <c r="D909" t="s">
        <v>69</v>
      </c>
      <c r="E909" t="s">
        <v>2092</v>
      </c>
      <c r="F909" s="8">
        <v>14.9</v>
      </c>
      <c r="G909" s="6">
        <v>43000</v>
      </c>
      <c r="H909" s="8">
        <v>61.9</v>
      </c>
      <c r="I909" s="7">
        <v>1706.22</v>
      </c>
      <c r="J909" s="8">
        <v>5.0999999999999996</v>
      </c>
      <c r="K909" s="7">
        <v>53391.666666666701</v>
      </c>
      <c r="L909" s="7">
        <v>55097.886666666702</v>
      </c>
    </row>
    <row r="910" spans="1:12" x14ac:dyDescent="0.25">
      <c r="A910" s="9">
        <v>45931</v>
      </c>
      <c r="B910" t="s">
        <v>143</v>
      </c>
      <c r="C910" t="s">
        <v>144</v>
      </c>
      <c r="D910" t="s">
        <v>69</v>
      </c>
      <c r="E910" t="s">
        <v>2097</v>
      </c>
      <c r="F910" s="8">
        <v>19.100000000000001</v>
      </c>
      <c r="G910" s="6">
        <v>28000</v>
      </c>
      <c r="H910" s="8">
        <v>124.3</v>
      </c>
      <c r="I910" s="7">
        <v>2231.0300000000002</v>
      </c>
      <c r="J910" s="8">
        <v>10</v>
      </c>
      <c r="K910" s="7">
        <v>44566.666666666701</v>
      </c>
      <c r="L910" s="7">
        <v>46797.696666666699</v>
      </c>
    </row>
    <row r="911" spans="1:12" x14ac:dyDescent="0.25">
      <c r="A911" s="9">
        <v>45931</v>
      </c>
      <c r="B911" t="s">
        <v>143</v>
      </c>
      <c r="C911" t="s">
        <v>144</v>
      </c>
      <c r="D911" t="s">
        <v>69</v>
      </c>
      <c r="E911" t="s">
        <v>2093</v>
      </c>
      <c r="F911" s="8">
        <v>4.9000000000000004</v>
      </c>
      <c r="G911" s="6">
        <v>29000</v>
      </c>
      <c r="H911" s="8">
        <v>28.6</v>
      </c>
      <c r="I911" s="7">
        <v>531.66999999999996</v>
      </c>
      <c r="J911" s="8">
        <v>0.9</v>
      </c>
      <c r="K911" s="7">
        <v>11841.666666666701</v>
      </c>
      <c r="L911" s="7">
        <v>12373.336666666701</v>
      </c>
    </row>
    <row r="912" spans="1:12" x14ac:dyDescent="0.25">
      <c r="A912" s="9">
        <v>45931</v>
      </c>
      <c r="B912" t="s">
        <v>143</v>
      </c>
      <c r="C912" t="s">
        <v>144</v>
      </c>
      <c r="D912" t="s">
        <v>69</v>
      </c>
      <c r="E912" t="s">
        <v>2095</v>
      </c>
      <c r="F912" s="8">
        <v>11.1</v>
      </c>
      <c r="G912" s="6">
        <v>27000</v>
      </c>
      <c r="H912" s="8">
        <v>65.099999999999994</v>
      </c>
      <c r="I912" s="7">
        <v>1126.73</v>
      </c>
      <c r="J912" s="8">
        <v>7.8</v>
      </c>
      <c r="K912" s="7">
        <v>24975</v>
      </c>
      <c r="L912" s="7">
        <v>26101.73</v>
      </c>
    </row>
    <row r="913" spans="1:12" x14ac:dyDescent="0.25">
      <c r="A913" s="9">
        <v>45931</v>
      </c>
      <c r="B913" t="s">
        <v>73</v>
      </c>
      <c r="C913" t="s">
        <v>74</v>
      </c>
      <c r="D913" t="s">
        <v>69</v>
      </c>
      <c r="E913" t="s">
        <v>2092</v>
      </c>
      <c r="F913" s="8">
        <v>12.2</v>
      </c>
      <c r="G913" s="6">
        <v>43000</v>
      </c>
      <c r="H913" s="8">
        <v>24.6</v>
      </c>
      <c r="I913" s="7">
        <v>678.08</v>
      </c>
      <c r="J913" s="8">
        <v>6.9</v>
      </c>
      <c r="K913" s="7">
        <v>43716.666666666701</v>
      </c>
      <c r="L913" s="7">
        <v>44394.746666666702</v>
      </c>
    </row>
    <row r="914" spans="1:12" x14ac:dyDescent="0.25">
      <c r="A914" s="9">
        <v>45931</v>
      </c>
      <c r="B914" t="s">
        <v>73</v>
      </c>
      <c r="C914" t="s">
        <v>74</v>
      </c>
      <c r="D914" t="s">
        <v>69</v>
      </c>
      <c r="E914" t="s">
        <v>2095</v>
      </c>
      <c r="F914" s="8">
        <v>6.9</v>
      </c>
      <c r="G914" s="6">
        <v>27000</v>
      </c>
      <c r="H914" s="8">
        <v>27.6</v>
      </c>
      <c r="I914" s="7">
        <v>477.69</v>
      </c>
      <c r="J914" s="8">
        <v>1.9</v>
      </c>
      <c r="K914" s="7">
        <v>15525</v>
      </c>
      <c r="L914" s="7">
        <v>16002.69</v>
      </c>
    </row>
    <row r="915" spans="1:12" x14ac:dyDescent="0.25">
      <c r="A915" s="9">
        <v>45931</v>
      </c>
      <c r="B915" t="s">
        <v>73</v>
      </c>
      <c r="C915" t="s">
        <v>74</v>
      </c>
      <c r="D915" t="s">
        <v>69</v>
      </c>
      <c r="E915" t="s">
        <v>2093</v>
      </c>
      <c r="F915" s="8">
        <v>5.0999999999999996</v>
      </c>
      <c r="G915" s="6">
        <v>29000</v>
      </c>
      <c r="H915" s="8">
        <v>24.2</v>
      </c>
      <c r="I915" s="7">
        <v>449.87</v>
      </c>
      <c r="J915" s="8">
        <v>3.4</v>
      </c>
      <c r="K915" s="7">
        <v>12325</v>
      </c>
      <c r="L915" s="7">
        <v>12774.87</v>
      </c>
    </row>
    <row r="916" spans="1:12" x14ac:dyDescent="0.25">
      <c r="A916" s="9">
        <v>45931</v>
      </c>
      <c r="B916" t="s">
        <v>73</v>
      </c>
      <c r="C916" t="s">
        <v>74</v>
      </c>
      <c r="D916" t="s">
        <v>69</v>
      </c>
      <c r="E916" t="s">
        <v>2091</v>
      </c>
      <c r="F916" s="8">
        <v>18.399999999999999</v>
      </c>
      <c r="G916" s="6">
        <v>25000</v>
      </c>
      <c r="H916" s="8">
        <v>57</v>
      </c>
      <c r="I916" s="7">
        <v>913.46</v>
      </c>
      <c r="J916" s="8">
        <v>10.4</v>
      </c>
      <c r="K916" s="7">
        <v>38333.333333333299</v>
      </c>
      <c r="L916" s="7">
        <v>39246.793333333299</v>
      </c>
    </row>
    <row r="917" spans="1:12" x14ac:dyDescent="0.25">
      <c r="A917" s="9">
        <v>45931</v>
      </c>
      <c r="B917" t="s">
        <v>73</v>
      </c>
      <c r="C917" t="s">
        <v>74</v>
      </c>
      <c r="D917" t="s">
        <v>69</v>
      </c>
      <c r="E917" t="s">
        <v>2094</v>
      </c>
      <c r="F917" s="8">
        <v>11.6</v>
      </c>
      <c r="G917" s="6">
        <v>41000</v>
      </c>
      <c r="H917" s="8">
        <v>17.399999999999999</v>
      </c>
      <c r="I917" s="7">
        <v>457.31</v>
      </c>
      <c r="J917" s="8">
        <v>4.3</v>
      </c>
      <c r="K917" s="7">
        <v>39633.333333333299</v>
      </c>
      <c r="L917" s="7">
        <v>40090.643333333297</v>
      </c>
    </row>
    <row r="918" spans="1:12" x14ac:dyDescent="0.25">
      <c r="A918" s="9">
        <v>45931</v>
      </c>
      <c r="B918" t="s">
        <v>73</v>
      </c>
      <c r="C918" t="s">
        <v>74</v>
      </c>
      <c r="D918" t="s">
        <v>69</v>
      </c>
      <c r="E918" t="s">
        <v>2096</v>
      </c>
      <c r="F918" s="8">
        <v>13.3</v>
      </c>
      <c r="G918" s="6">
        <v>35000</v>
      </c>
      <c r="H918" s="8">
        <v>55.9</v>
      </c>
      <c r="I918" s="7">
        <v>1254.17</v>
      </c>
      <c r="J918" s="8">
        <v>6.7</v>
      </c>
      <c r="K918" s="7">
        <v>38791.666666666701</v>
      </c>
      <c r="L918" s="7">
        <v>40045.836666666699</v>
      </c>
    </row>
    <row r="919" spans="1:12" x14ac:dyDescent="0.25">
      <c r="A919" s="9">
        <v>45931</v>
      </c>
      <c r="B919" t="s">
        <v>67</v>
      </c>
      <c r="C919" t="s">
        <v>68</v>
      </c>
      <c r="D919" t="s">
        <v>69</v>
      </c>
      <c r="E919" t="s">
        <v>2093</v>
      </c>
      <c r="F919" s="8">
        <v>8.8000000000000007</v>
      </c>
      <c r="G919" s="6">
        <v>29000</v>
      </c>
      <c r="H919" s="8">
        <v>25.7</v>
      </c>
      <c r="I919" s="7">
        <v>477.76</v>
      </c>
      <c r="J919" s="8">
        <v>5.2</v>
      </c>
      <c r="K919" s="7">
        <v>21266.666666666701</v>
      </c>
      <c r="L919" s="7">
        <v>21744.426666666699</v>
      </c>
    </row>
    <row r="920" spans="1:12" x14ac:dyDescent="0.25">
      <c r="A920" s="9">
        <v>45931</v>
      </c>
      <c r="B920" t="s">
        <v>67</v>
      </c>
      <c r="C920" t="s">
        <v>68</v>
      </c>
      <c r="D920" t="s">
        <v>69</v>
      </c>
      <c r="E920" t="s">
        <v>2092</v>
      </c>
      <c r="F920" s="8">
        <v>12.1</v>
      </c>
      <c r="G920" s="6">
        <v>43000</v>
      </c>
      <c r="H920" s="8">
        <v>58</v>
      </c>
      <c r="I920" s="7">
        <v>1598.72</v>
      </c>
      <c r="J920" s="8">
        <v>6.9</v>
      </c>
      <c r="K920" s="7">
        <v>43358.333333333299</v>
      </c>
      <c r="L920" s="7">
        <v>44957.053333333301</v>
      </c>
    </row>
    <row r="921" spans="1:12" x14ac:dyDescent="0.25">
      <c r="A921" s="9">
        <v>45931</v>
      </c>
      <c r="B921" t="s">
        <v>67</v>
      </c>
      <c r="C921" t="s">
        <v>68</v>
      </c>
      <c r="D921" t="s">
        <v>69</v>
      </c>
      <c r="E921" t="s">
        <v>2095</v>
      </c>
      <c r="F921" s="8">
        <v>7.4</v>
      </c>
      <c r="G921" s="6">
        <v>27000</v>
      </c>
      <c r="H921" s="8">
        <v>28.2</v>
      </c>
      <c r="I921" s="7">
        <v>488.08</v>
      </c>
      <c r="J921" s="8">
        <v>4.3</v>
      </c>
      <c r="K921" s="7">
        <v>16650</v>
      </c>
      <c r="L921" s="7">
        <v>17138.080000000002</v>
      </c>
    </row>
    <row r="922" spans="1:12" x14ac:dyDescent="0.25">
      <c r="A922" s="9">
        <v>45931</v>
      </c>
      <c r="B922" t="s">
        <v>67</v>
      </c>
      <c r="C922" t="s">
        <v>68</v>
      </c>
      <c r="D922" t="s">
        <v>69</v>
      </c>
      <c r="E922" t="s">
        <v>2091</v>
      </c>
      <c r="F922" s="8">
        <v>8.6</v>
      </c>
      <c r="G922" s="6">
        <v>25000</v>
      </c>
      <c r="H922" s="8">
        <v>28.7</v>
      </c>
      <c r="I922" s="7">
        <v>459.94</v>
      </c>
      <c r="J922" s="8">
        <v>6.4</v>
      </c>
      <c r="K922" s="7">
        <v>17916.666666666701</v>
      </c>
      <c r="L922" s="7">
        <v>18376.606666666699</v>
      </c>
    </row>
    <row r="923" spans="1:12" x14ac:dyDescent="0.25">
      <c r="A923" s="9">
        <v>45931</v>
      </c>
      <c r="B923" t="s">
        <v>32</v>
      </c>
      <c r="C923" t="s">
        <v>33</v>
      </c>
      <c r="D923" t="s">
        <v>34</v>
      </c>
      <c r="E923" t="s">
        <v>2097</v>
      </c>
      <c r="F923" s="8">
        <v>11.3</v>
      </c>
      <c r="G923" s="6">
        <v>28000</v>
      </c>
      <c r="H923" s="8">
        <v>31.4</v>
      </c>
      <c r="I923" s="7">
        <v>563.59</v>
      </c>
      <c r="J923" s="8">
        <v>7.8</v>
      </c>
      <c r="K923" s="7">
        <v>26366.666666666701</v>
      </c>
      <c r="L923" s="7">
        <v>26930.256666666701</v>
      </c>
    </row>
    <row r="924" spans="1:12" x14ac:dyDescent="0.25">
      <c r="A924" s="9">
        <v>45931</v>
      </c>
      <c r="B924" t="s">
        <v>32</v>
      </c>
      <c r="C924" t="s">
        <v>33</v>
      </c>
      <c r="D924" t="s">
        <v>34</v>
      </c>
      <c r="E924" t="s">
        <v>2093</v>
      </c>
      <c r="F924" s="8">
        <v>17.2</v>
      </c>
      <c r="G924" s="6">
        <v>29000</v>
      </c>
      <c r="H924" s="8">
        <v>69.7</v>
      </c>
      <c r="I924" s="7">
        <v>1295.71</v>
      </c>
      <c r="J924" s="8">
        <v>7.2</v>
      </c>
      <c r="K924" s="7">
        <v>41566.666666666701</v>
      </c>
      <c r="L924" s="7">
        <v>42862.3766666667</v>
      </c>
    </row>
    <row r="925" spans="1:12" x14ac:dyDescent="0.25">
      <c r="A925" s="9">
        <v>45931</v>
      </c>
      <c r="B925" t="s">
        <v>32</v>
      </c>
      <c r="C925" t="s">
        <v>33</v>
      </c>
      <c r="D925" t="s">
        <v>34</v>
      </c>
      <c r="E925" t="s">
        <v>2091</v>
      </c>
      <c r="F925" s="8">
        <v>5.4</v>
      </c>
      <c r="G925" s="6">
        <v>25000</v>
      </c>
      <c r="H925" s="8">
        <v>32.700000000000003</v>
      </c>
      <c r="I925" s="7">
        <v>524.04</v>
      </c>
      <c r="J925" s="8">
        <v>2.8</v>
      </c>
      <c r="K925" s="7">
        <v>11250</v>
      </c>
      <c r="L925" s="7">
        <v>11774.04</v>
      </c>
    </row>
    <row r="926" spans="1:12" x14ac:dyDescent="0.25">
      <c r="A926" s="9">
        <v>45931</v>
      </c>
      <c r="B926" t="s">
        <v>32</v>
      </c>
      <c r="C926" t="s">
        <v>33</v>
      </c>
      <c r="D926" t="s">
        <v>34</v>
      </c>
      <c r="E926" t="s">
        <v>2096</v>
      </c>
      <c r="F926" s="8">
        <v>16.399999999999999</v>
      </c>
      <c r="G926" s="6">
        <v>35000</v>
      </c>
      <c r="H926" s="8">
        <v>86.5</v>
      </c>
      <c r="I926" s="7">
        <v>1940.71</v>
      </c>
      <c r="J926" s="8">
        <v>9.4</v>
      </c>
      <c r="K926" s="7">
        <v>47833.333333333299</v>
      </c>
      <c r="L926" s="7">
        <v>49774.043333333299</v>
      </c>
    </row>
    <row r="927" spans="1:12" x14ac:dyDescent="0.25">
      <c r="A927" s="9">
        <v>45931</v>
      </c>
      <c r="B927" t="s">
        <v>94</v>
      </c>
      <c r="C927" t="s">
        <v>95</v>
      </c>
      <c r="D927" t="s">
        <v>34</v>
      </c>
      <c r="E927" t="s">
        <v>2095</v>
      </c>
      <c r="F927" s="8">
        <v>4.2</v>
      </c>
      <c r="G927" s="6">
        <v>27000</v>
      </c>
      <c r="H927" s="8">
        <v>18.899999999999999</v>
      </c>
      <c r="I927" s="7">
        <v>327.12</v>
      </c>
      <c r="J927" s="8">
        <v>1.5</v>
      </c>
      <c r="K927" s="7">
        <v>9450</v>
      </c>
      <c r="L927" s="7">
        <v>9777.1200000000008</v>
      </c>
    </row>
    <row r="928" spans="1:12" x14ac:dyDescent="0.25">
      <c r="A928" s="9">
        <v>45931</v>
      </c>
      <c r="B928" t="s">
        <v>94</v>
      </c>
      <c r="C928" t="s">
        <v>95</v>
      </c>
      <c r="D928" t="s">
        <v>34</v>
      </c>
      <c r="E928" t="s">
        <v>2091</v>
      </c>
      <c r="F928" s="8">
        <v>15.3</v>
      </c>
      <c r="G928" s="6">
        <v>25000</v>
      </c>
      <c r="H928" s="8">
        <v>83.6</v>
      </c>
      <c r="I928" s="7">
        <v>1339.74</v>
      </c>
      <c r="J928" s="8">
        <v>7.7</v>
      </c>
      <c r="K928" s="7">
        <v>31875</v>
      </c>
      <c r="L928" s="7">
        <v>33214.74</v>
      </c>
    </row>
    <row r="929" spans="1:12" x14ac:dyDescent="0.25">
      <c r="A929" s="9">
        <v>45931</v>
      </c>
      <c r="B929" t="s">
        <v>94</v>
      </c>
      <c r="C929" t="s">
        <v>95</v>
      </c>
      <c r="D929" t="s">
        <v>34</v>
      </c>
      <c r="E929" t="s">
        <v>2092</v>
      </c>
      <c r="F929" s="8">
        <v>12.3</v>
      </c>
      <c r="G929" s="6">
        <v>43000</v>
      </c>
      <c r="H929" s="8">
        <v>61.9</v>
      </c>
      <c r="I929" s="7">
        <v>1706.22</v>
      </c>
      <c r="J929" s="8">
        <v>4</v>
      </c>
      <c r="K929" s="7">
        <v>44075</v>
      </c>
      <c r="L929" s="7">
        <v>45781.22</v>
      </c>
    </row>
    <row r="930" spans="1:12" x14ac:dyDescent="0.25">
      <c r="A930" s="9">
        <v>45931</v>
      </c>
      <c r="B930" t="s">
        <v>94</v>
      </c>
      <c r="C930" t="s">
        <v>95</v>
      </c>
      <c r="D930" t="s">
        <v>34</v>
      </c>
      <c r="E930" t="s">
        <v>2093</v>
      </c>
      <c r="F930" s="8">
        <v>15.5</v>
      </c>
      <c r="G930" s="6">
        <v>29000</v>
      </c>
      <c r="H930" s="8">
        <v>72.400000000000006</v>
      </c>
      <c r="I930" s="7">
        <v>1345.9</v>
      </c>
      <c r="J930" s="8">
        <v>7.1</v>
      </c>
      <c r="K930" s="7">
        <v>37458.333333333299</v>
      </c>
      <c r="L930" s="7">
        <v>38804.233333333301</v>
      </c>
    </row>
    <row r="931" spans="1:12" x14ac:dyDescent="0.25">
      <c r="A931" s="9">
        <v>45931</v>
      </c>
      <c r="B931" t="s">
        <v>94</v>
      </c>
      <c r="C931" t="s">
        <v>95</v>
      </c>
      <c r="D931" t="s">
        <v>34</v>
      </c>
      <c r="E931" t="s">
        <v>2094</v>
      </c>
      <c r="F931" s="8">
        <v>8.5</v>
      </c>
      <c r="G931" s="6">
        <v>41000</v>
      </c>
      <c r="H931" s="8">
        <v>55.1</v>
      </c>
      <c r="I931" s="7">
        <v>1448.14</v>
      </c>
      <c r="J931" s="8">
        <v>4.9000000000000004</v>
      </c>
      <c r="K931" s="7">
        <v>29041.666666666701</v>
      </c>
      <c r="L931" s="7">
        <v>30489.8066666667</v>
      </c>
    </row>
    <row r="932" spans="1:12" x14ac:dyDescent="0.25">
      <c r="A932" s="9">
        <v>45931</v>
      </c>
      <c r="B932" t="s">
        <v>94</v>
      </c>
      <c r="C932" t="s">
        <v>95</v>
      </c>
      <c r="D932" t="s">
        <v>34</v>
      </c>
      <c r="E932" t="s">
        <v>2096</v>
      </c>
      <c r="F932" s="8">
        <v>5.8</v>
      </c>
      <c r="G932" s="6">
        <v>35000</v>
      </c>
      <c r="H932" s="8">
        <v>25.3</v>
      </c>
      <c r="I932" s="7">
        <v>567.63</v>
      </c>
      <c r="J932" s="8">
        <v>3.4</v>
      </c>
      <c r="K932" s="7">
        <v>16916.666666666701</v>
      </c>
      <c r="L932" s="7">
        <v>17484.296666666702</v>
      </c>
    </row>
    <row r="933" spans="1:12" x14ac:dyDescent="0.25">
      <c r="A933" s="9">
        <v>45931</v>
      </c>
      <c r="B933" t="s">
        <v>41</v>
      </c>
      <c r="C933" t="s">
        <v>42</v>
      </c>
      <c r="D933" t="s">
        <v>34</v>
      </c>
      <c r="E933" t="s">
        <v>2097</v>
      </c>
      <c r="F933" s="8">
        <v>16.3</v>
      </c>
      <c r="G933" s="6">
        <v>28000</v>
      </c>
      <c r="H933" s="8">
        <v>40.799999999999997</v>
      </c>
      <c r="I933" s="7">
        <v>732.31</v>
      </c>
      <c r="J933" s="8">
        <v>9.8000000000000007</v>
      </c>
      <c r="K933" s="7">
        <v>38033.333333333299</v>
      </c>
      <c r="L933" s="7">
        <v>38765.643333333297</v>
      </c>
    </row>
    <row r="934" spans="1:12" x14ac:dyDescent="0.25">
      <c r="A934" s="9">
        <v>45931</v>
      </c>
      <c r="B934" t="s">
        <v>41</v>
      </c>
      <c r="C934" t="s">
        <v>42</v>
      </c>
      <c r="D934" t="s">
        <v>34</v>
      </c>
      <c r="E934" t="s">
        <v>2094</v>
      </c>
      <c r="F934" s="8">
        <v>16.2</v>
      </c>
      <c r="G934" s="6">
        <v>41000</v>
      </c>
      <c r="H934" s="8">
        <v>113.2</v>
      </c>
      <c r="I934" s="7">
        <v>2975.13</v>
      </c>
      <c r="J934" s="8">
        <v>8.5</v>
      </c>
      <c r="K934" s="7">
        <v>55350</v>
      </c>
      <c r="L934" s="7">
        <v>58325.13</v>
      </c>
    </row>
    <row r="935" spans="1:12" x14ac:dyDescent="0.25">
      <c r="A935" s="9">
        <v>45931</v>
      </c>
      <c r="B935" t="s">
        <v>41</v>
      </c>
      <c r="C935" t="s">
        <v>42</v>
      </c>
      <c r="D935" t="s">
        <v>34</v>
      </c>
      <c r="E935" t="s">
        <v>2091</v>
      </c>
      <c r="F935" s="8">
        <v>14.7</v>
      </c>
      <c r="G935" s="6">
        <v>25000</v>
      </c>
      <c r="H935" s="8">
        <v>93.9</v>
      </c>
      <c r="I935" s="7">
        <v>1504.81</v>
      </c>
      <c r="J935" s="8">
        <v>6.8</v>
      </c>
      <c r="K935" s="7">
        <v>30625</v>
      </c>
      <c r="L935" s="7">
        <v>32129.81</v>
      </c>
    </row>
    <row r="936" spans="1:12" x14ac:dyDescent="0.25">
      <c r="A936" s="9">
        <v>45931</v>
      </c>
      <c r="B936" t="s">
        <v>41</v>
      </c>
      <c r="C936" t="s">
        <v>42</v>
      </c>
      <c r="D936" t="s">
        <v>34</v>
      </c>
      <c r="E936" t="s">
        <v>2092</v>
      </c>
      <c r="F936" s="8">
        <v>17.7</v>
      </c>
      <c r="G936" s="6">
        <v>43000</v>
      </c>
      <c r="H936" s="8">
        <v>49.6</v>
      </c>
      <c r="I936" s="7">
        <v>1367.18</v>
      </c>
      <c r="J936" s="8">
        <v>8.9</v>
      </c>
      <c r="K936" s="7">
        <v>63425</v>
      </c>
      <c r="L936" s="7">
        <v>64792.18</v>
      </c>
    </row>
    <row r="937" spans="1:12" x14ac:dyDescent="0.25">
      <c r="A937" s="9">
        <v>45931</v>
      </c>
      <c r="B937" t="s">
        <v>41</v>
      </c>
      <c r="C937" t="s">
        <v>42</v>
      </c>
      <c r="D937" t="s">
        <v>34</v>
      </c>
      <c r="E937" t="s">
        <v>2096</v>
      </c>
      <c r="F937" s="8">
        <v>15.3</v>
      </c>
      <c r="G937" s="6">
        <v>35000</v>
      </c>
      <c r="H937" s="8">
        <v>71.2</v>
      </c>
      <c r="I937" s="7">
        <v>1597.44</v>
      </c>
      <c r="J937" s="8">
        <v>7.3</v>
      </c>
      <c r="K937" s="7">
        <v>44625</v>
      </c>
      <c r="L937" s="7">
        <v>46222.44</v>
      </c>
    </row>
    <row r="938" spans="1:12" x14ac:dyDescent="0.25">
      <c r="A938" s="9">
        <v>45931</v>
      </c>
      <c r="B938" t="s">
        <v>47</v>
      </c>
      <c r="C938" t="s">
        <v>48</v>
      </c>
      <c r="D938" t="s">
        <v>34</v>
      </c>
      <c r="E938" t="s">
        <v>2094</v>
      </c>
      <c r="F938" s="8">
        <v>4.4000000000000004</v>
      </c>
      <c r="G938" s="6">
        <v>41000</v>
      </c>
      <c r="H938" s="8">
        <v>21.1</v>
      </c>
      <c r="I938" s="7">
        <v>554.54999999999995</v>
      </c>
      <c r="J938" s="8">
        <v>2.5</v>
      </c>
      <c r="K938" s="7">
        <v>15033.333333333299</v>
      </c>
      <c r="L938" s="7">
        <v>15587.8833333333</v>
      </c>
    </row>
    <row r="939" spans="1:12" x14ac:dyDescent="0.25">
      <c r="A939" s="9">
        <v>45931</v>
      </c>
      <c r="B939" t="s">
        <v>47</v>
      </c>
      <c r="C939" t="s">
        <v>48</v>
      </c>
      <c r="D939" t="s">
        <v>34</v>
      </c>
      <c r="E939" t="s">
        <v>2093</v>
      </c>
      <c r="F939" s="8">
        <v>6.2</v>
      </c>
      <c r="G939" s="6">
        <v>29000</v>
      </c>
      <c r="H939" s="8">
        <v>15.5</v>
      </c>
      <c r="I939" s="7">
        <v>288.14</v>
      </c>
      <c r="J939" s="8">
        <v>3.6</v>
      </c>
      <c r="K939" s="7">
        <v>14983.333333333299</v>
      </c>
      <c r="L939" s="7">
        <v>15271.473333333301</v>
      </c>
    </row>
    <row r="940" spans="1:12" x14ac:dyDescent="0.25">
      <c r="A940" s="9">
        <v>45931</v>
      </c>
      <c r="B940" t="s">
        <v>47</v>
      </c>
      <c r="C940" t="s">
        <v>48</v>
      </c>
      <c r="D940" t="s">
        <v>34</v>
      </c>
      <c r="E940" t="s">
        <v>2092</v>
      </c>
      <c r="F940" s="8">
        <v>19.2</v>
      </c>
      <c r="G940" s="6">
        <v>43000</v>
      </c>
      <c r="H940" s="8">
        <v>101.7</v>
      </c>
      <c r="I940" s="7">
        <v>2803.27</v>
      </c>
      <c r="J940" s="8">
        <v>9.8000000000000007</v>
      </c>
      <c r="K940" s="7">
        <v>68800</v>
      </c>
      <c r="L940" s="7">
        <v>71603.27</v>
      </c>
    </row>
    <row r="941" spans="1:12" x14ac:dyDescent="0.25">
      <c r="A941" s="9">
        <v>45931</v>
      </c>
      <c r="B941" t="s">
        <v>47</v>
      </c>
      <c r="C941" t="s">
        <v>48</v>
      </c>
      <c r="D941" t="s">
        <v>34</v>
      </c>
      <c r="E941" t="s">
        <v>2091</v>
      </c>
      <c r="F941" s="8">
        <v>4.7</v>
      </c>
      <c r="G941" s="6">
        <v>25000</v>
      </c>
      <c r="H941" s="8">
        <v>26.9</v>
      </c>
      <c r="I941" s="7">
        <v>431.09</v>
      </c>
      <c r="J941" s="8">
        <v>1.1000000000000001</v>
      </c>
      <c r="K941" s="7">
        <v>9791.6666666666697</v>
      </c>
      <c r="L941" s="7">
        <v>10222.756666666701</v>
      </c>
    </row>
    <row r="942" spans="1:12" x14ac:dyDescent="0.25">
      <c r="A942" s="9">
        <v>45931</v>
      </c>
      <c r="B942" t="s">
        <v>121</v>
      </c>
      <c r="C942" t="s">
        <v>122</v>
      </c>
      <c r="D942" t="s">
        <v>34</v>
      </c>
      <c r="E942" t="s">
        <v>2095</v>
      </c>
      <c r="F942" s="8">
        <v>19.8</v>
      </c>
      <c r="G942" s="6">
        <v>27000</v>
      </c>
      <c r="H942" s="8">
        <v>93.1</v>
      </c>
      <c r="I942" s="7">
        <v>1611.35</v>
      </c>
      <c r="J942" s="8">
        <v>8.6999999999999993</v>
      </c>
      <c r="K942" s="7">
        <v>44550</v>
      </c>
      <c r="L942" s="7">
        <v>46161.35</v>
      </c>
    </row>
    <row r="943" spans="1:12" x14ac:dyDescent="0.25">
      <c r="A943" s="9">
        <v>45931</v>
      </c>
      <c r="B943" t="s">
        <v>121</v>
      </c>
      <c r="C943" t="s">
        <v>122</v>
      </c>
      <c r="D943" t="s">
        <v>34</v>
      </c>
      <c r="E943" t="s">
        <v>2094</v>
      </c>
      <c r="F943" s="8">
        <v>8.3000000000000007</v>
      </c>
      <c r="G943" s="6">
        <v>41000</v>
      </c>
      <c r="H943" s="8">
        <v>19.3</v>
      </c>
      <c r="I943" s="7">
        <v>507.24</v>
      </c>
      <c r="J943" s="8">
        <v>3.5</v>
      </c>
      <c r="K943" s="7">
        <v>28358.333333333299</v>
      </c>
      <c r="L943" s="7">
        <v>28865.573333333301</v>
      </c>
    </row>
    <row r="944" spans="1:12" x14ac:dyDescent="0.25">
      <c r="A944" s="9">
        <v>45931</v>
      </c>
      <c r="B944" t="s">
        <v>121</v>
      </c>
      <c r="C944" t="s">
        <v>122</v>
      </c>
      <c r="D944" t="s">
        <v>34</v>
      </c>
      <c r="E944" t="s">
        <v>2091</v>
      </c>
      <c r="F944" s="8">
        <v>14.4</v>
      </c>
      <c r="G944" s="6">
        <v>25000</v>
      </c>
      <c r="H944" s="8">
        <v>37.299999999999997</v>
      </c>
      <c r="I944" s="7">
        <v>597.76</v>
      </c>
      <c r="J944" s="8">
        <v>6.7</v>
      </c>
      <c r="K944" s="7">
        <v>30000</v>
      </c>
      <c r="L944" s="7">
        <v>30597.759999999998</v>
      </c>
    </row>
    <row r="945" spans="1:12" x14ac:dyDescent="0.25">
      <c r="A945" s="9">
        <v>45931</v>
      </c>
      <c r="B945" t="s">
        <v>121</v>
      </c>
      <c r="C945" t="s">
        <v>122</v>
      </c>
      <c r="D945" t="s">
        <v>34</v>
      </c>
      <c r="E945" t="s">
        <v>2092</v>
      </c>
      <c r="F945" s="8">
        <v>16.5</v>
      </c>
      <c r="G945" s="6">
        <v>43000</v>
      </c>
      <c r="H945" s="8">
        <v>60.7</v>
      </c>
      <c r="I945" s="7">
        <v>1673.14</v>
      </c>
      <c r="J945" s="8">
        <v>9.1</v>
      </c>
      <c r="K945" s="7">
        <v>59125</v>
      </c>
      <c r="L945" s="7">
        <v>60798.14</v>
      </c>
    </row>
    <row r="946" spans="1:12" x14ac:dyDescent="0.25">
      <c r="A946" s="9">
        <v>45931</v>
      </c>
      <c r="B946" t="s">
        <v>121</v>
      </c>
      <c r="C946" t="s">
        <v>122</v>
      </c>
      <c r="D946" t="s">
        <v>34</v>
      </c>
      <c r="E946" t="s">
        <v>2097</v>
      </c>
      <c r="F946" s="8">
        <v>11.6</v>
      </c>
      <c r="G946" s="6">
        <v>28000</v>
      </c>
      <c r="H946" s="8">
        <v>40.799999999999997</v>
      </c>
      <c r="I946" s="7">
        <v>732.31</v>
      </c>
      <c r="J946" s="8">
        <v>4.2</v>
      </c>
      <c r="K946" s="7">
        <v>27066.666666666701</v>
      </c>
      <c r="L946" s="7">
        <v>27798.976666666698</v>
      </c>
    </row>
    <row r="947" spans="1:12" x14ac:dyDescent="0.25">
      <c r="A947" s="9">
        <v>45931</v>
      </c>
      <c r="B947" t="s">
        <v>121</v>
      </c>
      <c r="C947" t="s">
        <v>122</v>
      </c>
      <c r="D947" t="s">
        <v>34</v>
      </c>
      <c r="E947" t="s">
        <v>2096</v>
      </c>
      <c r="F947" s="8">
        <v>7.9</v>
      </c>
      <c r="G947" s="6">
        <v>35000</v>
      </c>
      <c r="H947" s="8">
        <v>45.1</v>
      </c>
      <c r="I947" s="7">
        <v>1011.86</v>
      </c>
      <c r="J947" s="8">
        <v>3.1</v>
      </c>
      <c r="K947" s="7">
        <v>23041.666666666701</v>
      </c>
      <c r="L947" s="7">
        <v>24053.526666666701</v>
      </c>
    </row>
    <row r="948" spans="1:12" x14ac:dyDescent="0.25">
      <c r="A948" s="9">
        <v>45931</v>
      </c>
      <c r="B948" t="s">
        <v>201</v>
      </c>
      <c r="C948" t="s">
        <v>202</v>
      </c>
      <c r="D948" t="s">
        <v>64</v>
      </c>
      <c r="E948" t="s">
        <v>2094</v>
      </c>
      <c r="F948" s="8">
        <v>14.4</v>
      </c>
      <c r="G948" s="6">
        <v>41000</v>
      </c>
      <c r="H948" s="8">
        <v>56.3</v>
      </c>
      <c r="I948" s="7">
        <v>1479.68</v>
      </c>
      <c r="J948" s="8">
        <v>7.6</v>
      </c>
      <c r="K948" s="7">
        <v>49200</v>
      </c>
      <c r="L948" s="7">
        <v>50679.68</v>
      </c>
    </row>
    <row r="949" spans="1:12" x14ac:dyDescent="0.25">
      <c r="A949" s="9">
        <v>45931</v>
      </c>
      <c r="B949" t="s">
        <v>201</v>
      </c>
      <c r="C949" t="s">
        <v>202</v>
      </c>
      <c r="D949" t="s">
        <v>64</v>
      </c>
      <c r="E949" t="s">
        <v>2093</v>
      </c>
      <c r="F949" s="8">
        <v>12.2</v>
      </c>
      <c r="G949" s="6">
        <v>29000</v>
      </c>
      <c r="H949" s="8">
        <v>52.5</v>
      </c>
      <c r="I949" s="7">
        <v>975.96</v>
      </c>
      <c r="J949" s="8">
        <v>7.2</v>
      </c>
      <c r="K949" s="7">
        <v>29483.333333333299</v>
      </c>
      <c r="L949" s="7">
        <v>30459.293333333299</v>
      </c>
    </row>
    <row r="950" spans="1:12" x14ac:dyDescent="0.25">
      <c r="A950" s="9">
        <v>45931</v>
      </c>
      <c r="B950" t="s">
        <v>201</v>
      </c>
      <c r="C950" t="s">
        <v>202</v>
      </c>
      <c r="D950" t="s">
        <v>64</v>
      </c>
      <c r="E950" t="s">
        <v>2091</v>
      </c>
      <c r="F950" s="8">
        <v>7.9</v>
      </c>
      <c r="G950" s="6">
        <v>25000</v>
      </c>
      <c r="H950" s="8">
        <v>37.299999999999997</v>
      </c>
      <c r="I950" s="7">
        <v>597.76</v>
      </c>
      <c r="J950" s="8">
        <v>3.1</v>
      </c>
      <c r="K950" s="7">
        <v>16458.333333333299</v>
      </c>
      <c r="L950" s="7">
        <v>17056.093333333301</v>
      </c>
    </row>
    <row r="951" spans="1:12" x14ac:dyDescent="0.25">
      <c r="A951" s="9">
        <v>45931</v>
      </c>
      <c r="B951" t="s">
        <v>201</v>
      </c>
      <c r="C951" t="s">
        <v>202</v>
      </c>
      <c r="D951" t="s">
        <v>64</v>
      </c>
      <c r="E951" t="s">
        <v>2095</v>
      </c>
      <c r="F951" s="8">
        <v>11.9</v>
      </c>
      <c r="G951" s="6">
        <v>27000</v>
      </c>
      <c r="H951" s="8">
        <v>86.5</v>
      </c>
      <c r="I951" s="7">
        <v>1497.12</v>
      </c>
      <c r="J951" s="8">
        <v>6.1</v>
      </c>
      <c r="K951" s="7">
        <v>26775</v>
      </c>
      <c r="L951" s="7">
        <v>28272.12</v>
      </c>
    </row>
    <row r="952" spans="1:12" x14ac:dyDescent="0.25">
      <c r="A952" s="9">
        <v>45931</v>
      </c>
      <c r="B952" t="s">
        <v>201</v>
      </c>
      <c r="C952" t="s">
        <v>202</v>
      </c>
      <c r="D952" t="s">
        <v>64</v>
      </c>
      <c r="E952" t="s">
        <v>2097</v>
      </c>
      <c r="F952" s="8">
        <v>16.100000000000001</v>
      </c>
      <c r="G952" s="6">
        <v>28000</v>
      </c>
      <c r="H952" s="8">
        <v>60.8</v>
      </c>
      <c r="I952" s="7">
        <v>1091.28</v>
      </c>
      <c r="J952" s="8">
        <v>9</v>
      </c>
      <c r="K952" s="7">
        <v>37566.666666666701</v>
      </c>
      <c r="L952" s="7">
        <v>38657.946666666699</v>
      </c>
    </row>
    <row r="953" spans="1:12" x14ac:dyDescent="0.25">
      <c r="A953" s="9">
        <v>45931</v>
      </c>
      <c r="B953" t="s">
        <v>118</v>
      </c>
      <c r="C953" t="s">
        <v>119</v>
      </c>
      <c r="D953" t="s">
        <v>64</v>
      </c>
      <c r="E953" t="s">
        <v>2093</v>
      </c>
      <c r="F953" s="8">
        <v>8.3000000000000007</v>
      </c>
      <c r="G953" s="6">
        <v>29000</v>
      </c>
      <c r="H953" s="8">
        <v>36.299999999999997</v>
      </c>
      <c r="I953" s="7">
        <v>674.81</v>
      </c>
      <c r="J953" s="8">
        <v>4.5</v>
      </c>
      <c r="K953" s="7">
        <v>20058.333333333299</v>
      </c>
      <c r="L953" s="7">
        <v>20733.143333333301</v>
      </c>
    </row>
    <row r="954" spans="1:12" x14ac:dyDescent="0.25">
      <c r="A954" s="9">
        <v>45931</v>
      </c>
      <c r="B954" t="s">
        <v>118</v>
      </c>
      <c r="C954" t="s">
        <v>119</v>
      </c>
      <c r="D954" t="s">
        <v>64</v>
      </c>
      <c r="E954" t="s">
        <v>2094</v>
      </c>
      <c r="F954" s="8">
        <v>11</v>
      </c>
      <c r="G954" s="6">
        <v>41000</v>
      </c>
      <c r="H954" s="8">
        <v>85.1</v>
      </c>
      <c r="I954" s="7">
        <v>2236.6</v>
      </c>
      <c r="J954" s="8">
        <v>5.2</v>
      </c>
      <c r="K954" s="7">
        <v>37583.333333333299</v>
      </c>
      <c r="L954" s="7">
        <v>39819.933333333298</v>
      </c>
    </row>
    <row r="955" spans="1:12" x14ac:dyDescent="0.25">
      <c r="A955" s="9">
        <v>45931</v>
      </c>
      <c r="B955" t="s">
        <v>118</v>
      </c>
      <c r="C955" t="s">
        <v>119</v>
      </c>
      <c r="D955" t="s">
        <v>64</v>
      </c>
      <c r="E955" t="s">
        <v>2092</v>
      </c>
      <c r="F955" s="8">
        <v>11.6</v>
      </c>
      <c r="G955" s="6">
        <v>43000</v>
      </c>
      <c r="H955" s="8">
        <v>40.9</v>
      </c>
      <c r="I955" s="7">
        <v>1127.3699999999999</v>
      </c>
      <c r="J955" s="8">
        <v>5.9</v>
      </c>
      <c r="K955" s="7">
        <v>41566.666666666701</v>
      </c>
      <c r="L955" s="7">
        <v>42694.036666666703</v>
      </c>
    </row>
    <row r="956" spans="1:12" x14ac:dyDescent="0.25">
      <c r="A956" s="9">
        <v>45931</v>
      </c>
      <c r="B956" t="s">
        <v>118</v>
      </c>
      <c r="C956" t="s">
        <v>119</v>
      </c>
      <c r="D956" t="s">
        <v>64</v>
      </c>
      <c r="E956" t="s">
        <v>2091</v>
      </c>
      <c r="F956" s="8">
        <v>10.9</v>
      </c>
      <c r="G956" s="6">
        <v>25000</v>
      </c>
      <c r="H956" s="8">
        <v>61.1</v>
      </c>
      <c r="I956" s="7">
        <v>979.17</v>
      </c>
      <c r="J956" s="8">
        <v>3.9</v>
      </c>
      <c r="K956" s="7">
        <v>22708.333333333299</v>
      </c>
      <c r="L956" s="7">
        <v>23687.503333333301</v>
      </c>
    </row>
    <row r="957" spans="1:12" x14ac:dyDescent="0.25">
      <c r="A957" s="9">
        <v>45931</v>
      </c>
      <c r="B957" t="s">
        <v>62</v>
      </c>
      <c r="C957" t="s">
        <v>63</v>
      </c>
      <c r="D957" t="s">
        <v>64</v>
      </c>
      <c r="E957" t="s">
        <v>2092</v>
      </c>
      <c r="F957" s="8">
        <v>18.100000000000001</v>
      </c>
      <c r="G957" s="6">
        <v>43000</v>
      </c>
      <c r="H957" s="8">
        <v>19</v>
      </c>
      <c r="I957" s="7">
        <v>523.72</v>
      </c>
      <c r="J957" s="8">
        <v>8.5</v>
      </c>
      <c r="K957" s="7">
        <v>64858.333333333299</v>
      </c>
      <c r="L957" s="7">
        <v>65382.053333333301</v>
      </c>
    </row>
    <row r="958" spans="1:12" x14ac:dyDescent="0.25">
      <c r="A958" s="9">
        <v>45931</v>
      </c>
      <c r="B958" t="s">
        <v>62</v>
      </c>
      <c r="C958" t="s">
        <v>63</v>
      </c>
      <c r="D958" t="s">
        <v>64</v>
      </c>
      <c r="E958" t="s">
        <v>2091</v>
      </c>
      <c r="F958" s="8">
        <v>9.4</v>
      </c>
      <c r="G958" s="6">
        <v>25000</v>
      </c>
      <c r="H958" s="8">
        <v>14.6</v>
      </c>
      <c r="I958" s="7">
        <v>233.97</v>
      </c>
      <c r="J958" s="8">
        <v>4.3</v>
      </c>
      <c r="K958" s="7">
        <v>19583.333333333299</v>
      </c>
      <c r="L958" s="7">
        <v>19817.303333333301</v>
      </c>
    </row>
    <row r="959" spans="1:12" x14ac:dyDescent="0.25">
      <c r="A959" s="9">
        <v>45931</v>
      </c>
      <c r="B959" t="s">
        <v>62</v>
      </c>
      <c r="C959" t="s">
        <v>63</v>
      </c>
      <c r="D959" t="s">
        <v>64</v>
      </c>
      <c r="E959" t="s">
        <v>2095</v>
      </c>
      <c r="F959" s="8">
        <v>13.8</v>
      </c>
      <c r="G959" s="6">
        <v>27000</v>
      </c>
      <c r="H959" s="8">
        <v>65.599999999999994</v>
      </c>
      <c r="I959" s="7">
        <v>1135.3800000000001</v>
      </c>
      <c r="J959" s="8">
        <v>6</v>
      </c>
      <c r="K959" s="7">
        <v>31050</v>
      </c>
      <c r="L959" s="7">
        <v>32185.38</v>
      </c>
    </row>
    <row r="960" spans="1:12" x14ac:dyDescent="0.25">
      <c r="A960" s="9">
        <v>45931</v>
      </c>
      <c r="B960" t="s">
        <v>62</v>
      </c>
      <c r="C960" t="s">
        <v>63</v>
      </c>
      <c r="D960" t="s">
        <v>64</v>
      </c>
      <c r="E960" t="s">
        <v>2094</v>
      </c>
      <c r="F960" s="8">
        <v>4.5</v>
      </c>
      <c r="G960" s="6">
        <v>41000</v>
      </c>
      <c r="H960" s="8">
        <v>8.4</v>
      </c>
      <c r="I960" s="7">
        <v>220.77</v>
      </c>
      <c r="J960" s="8">
        <v>2.2999999999999998</v>
      </c>
      <c r="K960" s="7">
        <v>15375</v>
      </c>
      <c r="L960" s="7">
        <v>15595.77</v>
      </c>
    </row>
    <row r="961" spans="1:12" x14ac:dyDescent="0.25">
      <c r="A961" s="9">
        <v>45931</v>
      </c>
      <c r="B961" t="s">
        <v>91</v>
      </c>
      <c r="C961" t="s">
        <v>92</v>
      </c>
      <c r="D961" t="s">
        <v>64</v>
      </c>
      <c r="E961" t="s">
        <v>2092</v>
      </c>
      <c r="F961" s="8">
        <v>12.6</v>
      </c>
      <c r="G961" s="6">
        <v>43000</v>
      </c>
      <c r="H961" s="8">
        <v>66.7</v>
      </c>
      <c r="I961" s="7">
        <v>1838.53</v>
      </c>
      <c r="J961" s="8">
        <v>4.5999999999999996</v>
      </c>
      <c r="K961" s="7">
        <v>45150</v>
      </c>
      <c r="L961" s="7">
        <v>46988.53</v>
      </c>
    </row>
    <row r="962" spans="1:12" x14ac:dyDescent="0.25">
      <c r="A962" s="9">
        <v>45931</v>
      </c>
      <c r="B962" t="s">
        <v>91</v>
      </c>
      <c r="C962" t="s">
        <v>92</v>
      </c>
      <c r="D962" t="s">
        <v>64</v>
      </c>
      <c r="E962" t="s">
        <v>2094</v>
      </c>
      <c r="F962" s="8">
        <v>7</v>
      </c>
      <c r="G962" s="6">
        <v>41000</v>
      </c>
      <c r="H962" s="8">
        <v>36.6</v>
      </c>
      <c r="I962" s="7">
        <v>961.92</v>
      </c>
      <c r="J962" s="8">
        <v>4.3</v>
      </c>
      <c r="K962" s="7">
        <v>23916.666666666701</v>
      </c>
      <c r="L962" s="7">
        <v>24878.586666666699</v>
      </c>
    </row>
    <row r="963" spans="1:12" x14ac:dyDescent="0.25">
      <c r="A963" s="9">
        <v>45931</v>
      </c>
      <c r="B963" t="s">
        <v>91</v>
      </c>
      <c r="C963" t="s">
        <v>92</v>
      </c>
      <c r="D963" t="s">
        <v>64</v>
      </c>
      <c r="E963" t="s">
        <v>2097</v>
      </c>
      <c r="F963" s="8">
        <v>5.5</v>
      </c>
      <c r="G963" s="6">
        <v>28000</v>
      </c>
      <c r="H963" s="8">
        <v>29.9</v>
      </c>
      <c r="I963" s="7">
        <v>536.66999999999996</v>
      </c>
      <c r="J963" s="8">
        <v>4</v>
      </c>
      <c r="K963" s="7">
        <v>12833.333333333299</v>
      </c>
      <c r="L963" s="7">
        <v>13370.003333333299</v>
      </c>
    </row>
    <row r="964" spans="1:12" x14ac:dyDescent="0.25">
      <c r="A964" s="9">
        <v>45931</v>
      </c>
      <c r="B964" t="s">
        <v>91</v>
      </c>
      <c r="C964" t="s">
        <v>92</v>
      </c>
      <c r="D964" t="s">
        <v>64</v>
      </c>
      <c r="E964" t="s">
        <v>2093</v>
      </c>
      <c r="F964" s="8">
        <v>7.6</v>
      </c>
      <c r="G964" s="6">
        <v>29000</v>
      </c>
      <c r="H964" s="8">
        <v>55.5</v>
      </c>
      <c r="I964" s="7">
        <v>1031.73</v>
      </c>
      <c r="J964" s="8">
        <v>3.4</v>
      </c>
      <c r="K964" s="7">
        <v>18366.666666666701</v>
      </c>
      <c r="L964" s="7">
        <v>19398.3966666667</v>
      </c>
    </row>
    <row r="965" spans="1:12" x14ac:dyDescent="0.25">
      <c r="A965" s="9">
        <v>45931</v>
      </c>
      <c r="B965" t="s">
        <v>91</v>
      </c>
      <c r="C965" t="s">
        <v>92</v>
      </c>
      <c r="D965" t="s">
        <v>64</v>
      </c>
      <c r="E965" t="s">
        <v>2096</v>
      </c>
      <c r="F965" s="8">
        <v>6.9</v>
      </c>
      <c r="G965" s="6">
        <v>35000</v>
      </c>
      <c r="H965" s="8">
        <v>28.7</v>
      </c>
      <c r="I965" s="7">
        <v>643.91</v>
      </c>
      <c r="J965" s="8">
        <v>3</v>
      </c>
      <c r="K965" s="7">
        <v>20125</v>
      </c>
      <c r="L965" s="7">
        <v>20768.91</v>
      </c>
    </row>
    <row r="966" spans="1:12" x14ac:dyDescent="0.25">
      <c r="A966" s="9">
        <v>45931</v>
      </c>
      <c r="B966" t="s">
        <v>91</v>
      </c>
      <c r="C966" t="s">
        <v>92</v>
      </c>
      <c r="D966" t="s">
        <v>64</v>
      </c>
      <c r="E966" t="s">
        <v>2095</v>
      </c>
      <c r="F966" s="8">
        <v>8.5</v>
      </c>
      <c r="G966" s="6">
        <v>27000</v>
      </c>
      <c r="H966" s="8">
        <v>34</v>
      </c>
      <c r="I966" s="7">
        <v>588.46</v>
      </c>
      <c r="J966" s="8">
        <v>5.8</v>
      </c>
      <c r="K966" s="7">
        <v>19125</v>
      </c>
      <c r="L966" s="7">
        <v>19713.46</v>
      </c>
    </row>
    <row r="967" spans="1:12" x14ac:dyDescent="0.25">
      <c r="A967" s="9">
        <v>45931</v>
      </c>
      <c r="B967" t="s">
        <v>80</v>
      </c>
      <c r="C967" t="s">
        <v>81</v>
      </c>
      <c r="D967" t="s">
        <v>64</v>
      </c>
      <c r="E967" t="s">
        <v>2091</v>
      </c>
      <c r="F967" s="8">
        <v>15.4</v>
      </c>
      <c r="G967" s="6">
        <v>25000</v>
      </c>
      <c r="H967" s="8">
        <v>30.5</v>
      </c>
      <c r="I967" s="7">
        <v>488.78</v>
      </c>
      <c r="J967" s="8">
        <v>6.8</v>
      </c>
      <c r="K967" s="7">
        <v>32083.333333333299</v>
      </c>
      <c r="L967" s="7">
        <v>32572.113333333298</v>
      </c>
    </row>
    <row r="968" spans="1:12" x14ac:dyDescent="0.25">
      <c r="A968" s="9">
        <v>45931</v>
      </c>
      <c r="B968" t="s">
        <v>80</v>
      </c>
      <c r="C968" t="s">
        <v>81</v>
      </c>
      <c r="D968" t="s">
        <v>64</v>
      </c>
      <c r="E968" t="s">
        <v>2094</v>
      </c>
      <c r="F968" s="8">
        <v>12.4</v>
      </c>
      <c r="G968" s="6">
        <v>41000</v>
      </c>
      <c r="H968" s="8">
        <v>75.2</v>
      </c>
      <c r="I968" s="7">
        <v>1976.41</v>
      </c>
      <c r="J968" s="8">
        <v>7.2</v>
      </c>
      <c r="K968" s="7">
        <v>42366.666666666701</v>
      </c>
      <c r="L968" s="7">
        <v>44343.076666666697</v>
      </c>
    </row>
    <row r="969" spans="1:12" x14ac:dyDescent="0.25">
      <c r="A969" s="9">
        <v>45931</v>
      </c>
      <c r="B969" t="s">
        <v>80</v>
      </c>
      <c r="C969" t="s">
        <v>81</v>
      </c>
      <c r="D969" t="s">
        <v>64</v>
      </c>
      <c r="E969" t="s">
        <v>2095</v>
      </c>
      <c r="F969" s="8">
        <v>3.7</v>
      </c>
      <c r="G969" s="6">
        <v>27000</v>
      </c>
      <c r="H969" s="8">
        <v>12.8</v>
      </c>
      <c r="I969" s="7">
        <v>221.54</v>
      </c>
      <c r="J969" s="8">
        <v>2.7</v>
      </c>
      <c r="K969" s="7">
        <v>8325</v>
      </c>
      <c r="L969" s="7">
        <v>8546.5400000000009</v>
      </c>
    </row>
    <row r="970" spans="1:12" x14ac:dyDescent="0.25">
      <c r="A970" s="9">
        <v>45931</v>
      </c>
      <c r="B970" t="s">
        <v>80</v>
      </c>
      <c r="C970" t="s">
        <v>81</v>
      </c>
      <c r="D970" t="s">
        <v>64</v>
      </c>
      <c r="E970" t="s">
        <v>2093</v>
      </c>
      <c r="F970" s="8">
        <v>11</v>
      </c>
      <c r="G970" s="6">
        <v>29000</v>
      </c>
      <c r="H970" s="8">
        <v>49.6</v>
      </c>
      <c r="I970" s="7">
        <v>922.05</v>
      </c>
      <c r="J970" s="8">
        <v>7</v>
      </c>
      <c r="K970" s="7">
        <v>26583.333333333299</v>
      </c>
      <c r="L970" s="7">
        <v>27505.383333333299</v>
      </c>
    </row>
    <row r="971" spans="1:12" x14ac:dyDescent="0.25">
      <c r="A971" s="9">
        <v>45931</v>
      </c>
      <c r="B971" t="s">
        <v>80</v>
      </c>
      <c r="C971" t="s">
        <v>81</v>
      </c>
      <c r="D971" t="s">
        <v>64</v>
      </c>
      <c r="E971" t="s">
        <v>2092</v>
      </c>
      <c r="F971" s="8">
        <v>9.9</v>
      </c>
      <c r="G971" s="6">
        <v>43000</v>
      </c>
      <c r="H971" s="8">
        <v>40.700000000000003</v>
      </c>
      <c r="I971" s="7">
        <v>1121.8599999999999</v>
      </c>
      <c r="J971" s="8">
        <v>6</v>
      </c>
      <c r="K971" s="7">
        <v>35475</v>
      </c>
      <c r="L971" s="7">
        <v>36596.86</v>
      </c>
    </row>
    <row r="972" spans="1:12" x14ac:dyDescent="0.25">
      <c r="A972" s="9">
        <v>45931</v>
      </c>
      <c r="B972" t="s">
        <v>80</v>
      </c>
      <c r="C972" t="s">
        <v>81</v>
      </c>
      <c r="D972" t="s">
        <v>64</v>
      </c>
      <c r="E972" t="s">
        <v>2096</v>
      </c>
      <c r="F972" s="8">
        <v>7.1</v>
      </c>
      <c r="G972" s="6">
        <v>35000</v>
      </c>
      <c r="H972" s="8">
        <v>56.5</v>
      </c>
      <c r="I972" s="7">
        <v>1267.6300000000001</v>
      </c>
      <c r="J972" s="8">
        <v>4.0999999999999996</v>
      </c>
      <c r="K972" s="7">
        <v>20708.333333333299</v>
      </c>
      <c r="L972" s="7">
        <v>21975.9633333333</v>
      </c>
    </row>
    <row r="973" spans="1:12" x14ac:dyDescent="0.25">
      <c r="A973" s="9">
        <v>45931</v>
      </c>
      <c r="B973" t="s">
        <v>56</v>
      </c>
      <c r="C973" t="s">
        <v>57</v>
      </c>
      <c r="D973" t="s">
        <v>58</v>
      </c>
      <c r="E973" t="s">
        <v>2097</v>
      </c>
      <c r="F973" s="8">
        <v>16.399999999999999</v>
      </c>
      <c r="G973" s="6">
        <v>28000</v>
      </c>
      <c r="H973" s="8">
        <v>66.8</v>
      </c>
      <c r="I973" s="7">
        <v>1198.97</v>
      </c>
      <c r="J973" s="8">
        <v>8.9</v>
      </c>
      <c r="K973" s="7">
        <v>38266.666666666701</v>
      </c>
      <c r="L973" s="7">
        <v>39465.636666666702</v>
      </c>
    </row>
    <row r="974" spans="1:12" x14ac:dyDescent="0.25">
      <c r="A974" s="9">
        <v>45931</v>
      </c>
      <c r="B974" t="s">
        <v>56</v>
      </c>
      <c r="C974" t="s">
        <v>57</v>
      </c>
      <c r="D974" t="s">
        <v>58</v>
      </c>
      <c r="E974" t="s">
        <v>2092</v>
      </c>
      <c r="F974" s="8">
        <v>3.3</v>
      </c>
      <c r="G974" s="6">
        <v>43000</v>
      </c>
      <c r="H974" s="8">
        <v>11.4</v>
      </c>
      <c r="I974" s="7">
        <v>314.23</v>
      </c>
      <c r="J974" s="8">
        <v>4</v>
      </c>
      <c r="K974" s="7">
        <v>11825</v>
      </c>
      <c r="L974" s="7">
        <v>12139.23</v>
      </c>
    </row>
    <row r="975" spans="1:12" x14ac:dyDescent="0.25">
      <c r="A975" s="9">
        <v>45931</v>
      </c>
      <c r="B975" t="s">
        <v>56</v>
      </c>
      <c r="C975" t="s">
        <v>57</v>
      </c>
      <c r="D975" t="s">
        <v>58</v>
      </c>
      <c r="E975" t="s">
        <v>2095</v>
      </c>
      <c r="F975" s="8">
        <v>13.6</v>
      </c>
      <c r="G975" s="6">
        <v>27000</v>
      </c>
      <c r="H975" s="8">
        <v>58.1</v>
      </c>
      <c r="I975" s="7">
        <v>1005.58</v>
      </c>
      <c r="J975" s="8">
        <v>6.5</v>
      </c>
      <c r="K975" s="7">
        <v>30600</v>
      </c>
      <c r="L975" s="7">
        <v>31605.58</v>
      </c>
    </row>
    <row r="976" spans="1:12" x14ac:dyDescent="0.25">
      <c r="A976" s="9">
        <v>45931</v>
      </c>
      <c r="B976" t="s">
        <v>56</v>
      </c>
      <c r="C976" t="s">
        <v>57</v>
      </c>
      <c r="D976" t="s">
        <v>58</v>
      </c>
      <c r="E976" t="s">
        <v>2096</v>
      </c>
      <c r="F976" s="8">
        <v>13.8</v>
      </c>
      <c r="G976" s="6">
        <v>35000</v>
      </c>
      <c r="H976" s="8">
        <v>37.9</v>
      </c>
      <c r="I976" s="7">
        <v>850.32</v>
      </c>
      <c r="J976" s="8">
        <v>8</v>
      </c>
      <c r="K976" s="7">
        <v>40250</v>
      </c>
      <c r="L976" s="7">
        <v>41100.32</v>
      </c>
    </row>
    <row r="977" spans="1:12" x14ac:dyDescent="0.25">
      <c r="A977" s="9">
        <v>45931</v>
      </c>
      <c r="B977" t="s">
        <v>56</v>
      </c>
      <c r="C977" t="s">
        <v>57</v>
      </c>
      <c r="D977" t="s">
        <v>58</v>
      </c>
      <c r="E977" t="s">
        <v>2094</v>
      </c>
      <c r="F977" s="8">
        <v>19</v>
      </c>
      <c r="G977" s="6">
        <v>41000</v>
      </c>
      <c r="H977" s="8">
        <v>100.7</v>
      </c>
      <c r="I977" s="7">
        <v>2646.6</v>
      </c>
      <c r="J977" s="8">
        <v>9</v>
      </c>
      <c r="K977" s="7">
        <v>64916.666666666701</v>
      </c>
      <c r="L977" s="7">
        <v>67563.266666666706</v>
      </c>
    </row>
    <row r="978" spans="1:12" x14ac:dyDescent="0.25">
      <c r="A978" s="9">
        <v>45931</v>
      </c>
      <c r="B978" t="s">
        <v>56</v>
      </c>
      <c r="C978" t="s">
        <v>57</v>
      </c>
      <c r="D978" t="s">
        <v>58</v>
      </c>
      <c r="E978" t="s">
        <v>2093</v>
      </c>
      <c r="F978" s="8">
        <v>18.7</v>
      </c>
      <c r="G978" s="6">
        <v>29000</v>
      </c>
      <c r="H978" s="8">
        <v>91</v>
      </c>
      <c r="I978" s="7">
        <v>1691.67</v>
      </c>
      <c r="J978" s="8">
        <v>7.8</v>
      </c>
      <c r="K978" s="7">
        <v>45191.666666666701</v>
      </c>
      <c r="L978" s="7">
        <v>46883.336666666699</v>
      </c>
    </row>
    <row r="979" spans="1:12" x14ac:dyDescent="0.25">
      <c r="A979" s="9">
        <v>45931</v>
      </c>
      <c r="B979" t="s">
        <v>77</v>
      </c>
      <c r="C979" t="s">
        <v>78</v>
      </c>
      <c r="D979" t="s">
        <v>58</v>
      </c>
      <c r="E979" t="s">
        <v>2093</v>
      </c>
      <c r="F979" s="8">
        <v>16.600000000000001</v>
      </c>
      <c r="G979" s="6">
        <v>29000</v>
      </c>
      <c r="H979" s="8">
        <v>71</v>
      </c>
      <c r="I979" s="7">
        <v>1319.87</v>
      </c>
      <c r="J979" s="8">
        <v>8.8000000000000007</v>
      </c>
      <c r="K979" s="7">
        <v>40116.666666666701</v>
      </c>
      <c r="L979" s="7">
        <v>41436.536666666703</v>
      </c>
    </row>
    <row r="980" spans="1:12" x14ac:dyDescent="0.25">
      <c r="A980" s="9">
        <v>45931</v>
      </c>
      <c r="B980" t="s">
        <v>77</v>
      </c>
      <c r="C980" t="s">
        <v>78</v>
      </c>
      <c r="D980" t="s">
        <v>58</v>
      </c>
      <c r="E980" t="s">
        <v>2091</v>
      </c>
      <c r="F980" s="8">
        <v>18.8</v>
      </c>
      <c r="G980" s="6">
        <v>25000</v>
      </c>
      <c r="H980" s="8">
        <v>123.3</v>
      </c>
      <c r="I980" s="7">
        <v>1975.96</v>
      </c>
      <c r="J980" s="8">
        <v>8.6</v>
      </c>
      <c r="K980" s="7">
        <v>39166.666666666701</v>
      </c>
      <c r="L980" s="7">
        <v>41142.6266666667</v>
      </c>
    </row>
    <row r="981" spans="1:12" x14ac:dyDescent="0.25">
      <c r="A981" s="9">
        <v>45931</v>
      </c>
      <c r="B981" t="s">
        <v>77</v>
      </c>
      <c r="C981" t="s">
        <v>78</v>
      </c>
      <c r="D981" t="s">
        <v>58</v>
      </c>
      <c r="E981" t="s">
        <v>2095</v>
      </c>
      <c r="F981" s="8">
        <v>17.7</v>
      </c>
      <c r="G981" s="6">
        <v>27000</v>
      </c>
      <c r="H981" s="8">
        <v>36.9</v>
      </c>
      <c r="I981" s="7">
        <v>638.65</v>
      </c>
      <c r="J981" s="8">
        <v>8</v>
      </c>
      <c r="K981" s="7">
        <v>39825</v>
      </c>
      <c r="L981" s="7">
        <v>40463.65</v>
      </c>
    </row>
    <row r="982" spans="1:12" x14ac:dyDescent="0.25">
      <c r="A982" s="9">
        <v>45931</v>
      </c>
      <c r="B982" t="s">
        <v>77</v>
      </c>
      <c r="C982" t="s">
        <v>78</v>
      </c>
      <c r="D982" t="s">
        <v>58</v>
      </c>
      <c r="E982" t="s">
        <v>2094</v>
      </c>
      <c r="F982" s="8">
        <v>7.3</v>
      </c>
      <c r="G982" s="6">
        <v>41000</v>
      </c>
      <c r="H982" s="8">
        <v>14.6</v>
      </c>
      <c r="I982" s="7">
        <v>383.72</v>
      </c>
      <c r="J982" s="8">
        <v>5</v>
      </c>
      <c r="K982" s="7">
        <v>24941.666666666701</v>
      </c>
      <c r="L982" s="7">
        <v>25325.386666666702</v>
      </c>
    </row>
    <row r="983" spans="1:12" x14ac:dyDescent="0.25">
      <c r="A983" s="9">
        <v>45931</v>
      </c>
      <c r="B983" t="s">
        <v>110</v>
      </c>
      <c r="C983" t="s">
        <v>111</v>
      </c>
      <c r="D983" t="s">
        <v>58</v>
      </c>
      <c r="E983" t="s">
        <v>2091</v>
      </c>
      <c r="F983" s="8">
        <v>19.399999999999999</v>
      </c>
      <c r="G983" s="6">
        <v>25000</v>
      </c>
      <c r="H983" s="8">
        <v>122.7</v>
      </c>
      <c r="I983" s="7">
        <v>1966.35</v>
      </c>
      <c r="J983" s="8">
        <v>10</v>
      </c>
      <c r="K983" s="7">
        <v>40416.666666666701</v>
      </c>
      <c r="L983" s="7">
        <v>42383.016666666699</v>
      </c>
    </row>
    <row r="984" spans="1:12" x14ac:dyDescent="0.25">
      <c r="A984" s="9">
        <v>45931</v>
      </c>
      <c r="B984" t="s">
        <v>110</v>
      </c>
      <c r="C984" t="s">
        <v>111</v>
      </c>
      <c r="D984" t="s">
        <v>58</v>
      </c>
      <c r="E984" t="s">
        <v>2092</v>
      </c>
      <c r="F984" s="8">
        <v>13.9</v>
      </c>
      <c r="G984" s="6">
        <v>43000</v>
      </c>
      <c r="H984" s="8">
        <v>81.099999999999994</v>
      </c>
      <c r="I984" s="7">
        <v>2235.4499999999998</v>
      </c>
      <c r="J984" s="8">
        <v>7.1</v>
      </c>
      <c r="K984" s="7">
        <v>49808.333333333299</v>
      </c>
      <c r="L984" s="7">
        <v>52043.783333333296</v>
      </c>
    </row>
    <row r="985" spans="1:12" x14ac:dyDescent="0.25">
      <c r="A985" s="9">
        <v>45931</v>
      </c>
      <c r="B985" t="s">
        <v>110</v>
      </c>
      <c r="C985" t="s">
        <v>111</v>
      </c>
      <c r="D985" t="s">
        <v>58</v>
      </c>
      <c r="E985" t="s">
        <v>2095</v>
      </c>
      <c r="F985" s="8">
        <v>12.3</v>
      </c>
      <c r="G985" s="6">
        <v>27000</v>
      </c>
      <c r="H985" s="8">
        <v>47.4</v>
      </c>
      <c r="I985" s="7">
        <v>820.38</v>
      </c>
      <c r="J985" s="8">
        <v>5.8</v>
      </c>
      <c r="K985" s="7">
        <v>27675</v>
      </c>
      <c r="L985" s="7">
        <v>28495.38</v>
      </c>
    </row>
    <row r="986" spans="1:12" x14ac:dyDescent="0.25">
      <c r="A986" s="9">
        <v>45931</v>
      </c>
      <c r="B986" t="s">
        <v>110</v>
      </c>
      <c r="C986" t="s">
        <v>111</v>
      </c>
      <c r="D986" t="s">
        <v>58</v>
      </c>
      <c r="E986" t="s">
        <v>2097</v>
      </c>
      <c r="F986" s="8">
        <v>11.1</v>
      </c>
      <c r="G986" s="6">
        <v>28000</v>
      </c>
      <c r="H986" s="8">
        <v>39.200000000000003</v>
      </c>
      <c r="I986" s="7">
        <v>703.59</v>
      </c>
      <c r="J986" s="8">
        <v>4</v>
      </c>
      <c r="K986" s="7">
        <v>25900</v>
      </c>
      <c r="L986" s="7">
        <v>26603.59</v>
      </c>
    </row>
    <row r="987" spans="1:12" x14ac:dyDescent="0.25">
      <c r="A987" s="9">
        <v>45931</v>
      </c>
      <c r="B987" t="s">
        <v>110</v>
      </c>
      <c r="C987" t="s">
        <v>111</v>
      </c>
      <c r="D987" t="s">
        <v>58</v>
      </c>
      <c r="E987" t="s">
        <v>2093</v>
      </c>
      <c r="F987" s="8">
        <v>18</v>
      </c>
      <c r="G987" s="6">
        <v>29000</v>
      </c>
      <c r="H987" s="8">
        <v>79.099999999999994</v>
      </c>
      <c r="I987" s="7">
        <v>1470.45</v>
      </c>
      <c r="J987" s="8">
        <v>9</v>
      </c>
      <c r="K987" s="7">
        <v>43500</v>
      </c>
      <c r="L987" s="7">
        <v>44970.45</v>
      </c>
    </row>
    <row r="988" spans="1:12" x14ac:dyDescent="0.25">
      <c r="A988" s="9">
        <v>45931</v>
      </c>
      <c r="B988" t="s">
        <v>110</v>
      </c>
      <c r="C988" t="s">
        <v>111</v>
      </c>
      <c r="D988" t="s">
        <v>58</v>
      </c>
      <c r="E988" t="s">
        <v>2094</v>
      </c>
      <c r="F988" s="8">
        <v>7.2</v>
      </c>
      <c r="G988" s="6">
        <v>41000</v>
      </c>
      <c r="H988" s="8">
        <v>36.799999999999997</v>
      </c>
      <c r="I988" s="7">
        <v>967.18</v>
      </c>
      <c r="J988" s="8">
        <v>3.7</v>
      </c>
      <c r="K988" s="7">
        <v>24600</v>
      </c>
      <c r="L988" s="7">
        <v>25567.18</v>
      </c>
    </row>
    <row r="989" spans="1:12" x14ac:dyDescent="0.25">
      <c r="A989" s="9">
        <v>45931</v>
      </c>
      <c r="B989" t="s">
        <v>85</v>
      </c>
      <c r="C989" t="s">
        <v>86</v>
      </c>
      <c r="D989" t="s">
        <v>58</v>
      </c>
      <c r="E989" t="s">
        <v>2096</v>
      </c>
      <c r="F989" s="8">
        <v>9.8000000000000007</v>
      </c>
      <c r="G989" s="6">
        <v>35000</v>
      </c>
      <c r="H989" s="8">
        <v>36.799999999999997</v>
      </c>
      <c r="I989" s="7">
        <v>825.64</v>
      </c>
      <c r="J989" s="8">
        <v>4</v>
      </c>
      <c r="K989" s="7">
        <v>28583.333333333299</v>
      </c>
      <c r="L989" s="7">
        <v>29408.973333333299</v>
      </c>
    </row>
    <row r="990" spans="1:12" x14ac:dyDescent="0.25">
      <c r="A990" s="9">
        <v>45931</v>
      </c>
      <c r="B990" t="s">
        <v>85</v>
      </c>
      <c r="C990" t="s">
        <v>86</v>
      </c>
      <c r="D990" t="s">
        <v>58</v>
      </c>
      <c r="E990" t="s">
        <v>2095</v>
      </c>
      <c r="F990" s="8">
        <v>7.1</v>
      </c>
      <c r="G990" s="6">
        <v>27000</v>
      </c>
      <c r="H990" s="8">
        <v>29.2</v>
      </c>
      <c r="I990" s="7">
        <v>505.38</v>
      </c>
      <c r="J990" s="8">
        <v>4.3</v>
      </c>
      <c r="K990" s="7">
        <v>15975</v>
      </c>
      <c r="L990" s="7">
        <v>16480.38</v>
      </c>
    </row>
    <row r="991" spans="1:12" x14ac:dyDescent="0.25">
      <c r="A991" s="9">
        <v>45931</v>
      </c>
      <c r="B991" t="s">
        <v>85</v>
      </c>
      <c r="C991" t="s">
        <v>86</v>
      </c>
      <c r="D991" t="s">
        <v>58</v>
      </c>
      <c r="E991" t="s">
        <v>2093</v>
      </c>
      <c r="F991" s="8">
        <v>14.4</v>
      </c>
      <c r="G991" s="6">
        <v>29000</v>
      </c>
      <c r="H991" s="8">
        <v>32.9</v>
      </c>
      <c r="I991" s="7">
        <v>611.6</v>
      </c>
      <c r="J991" s="8">
        <v>7.3</v>
      </c>
      <c r="K991" s="7">
        <v>34800</v>
      </c>
      <c r="L991" s="7">
        <v>35411.599999999999</v>
      </c>
    </row>
    <row r="992" spans="1:12" x14ac:dyDescent="0.25">
      <c r="A992" s="9">
        <v>45931</v>
      </c>
      <c r="B992" t="s">
        <v>85</v>
      </c>
      <c r="C992" t="s">
        <v>86</v>
      </c>
      <c r="D992" t="s">
        <v>58</v>
      </c>
      <c r="E992" t="s">
        <v>2091</v>
      </c>
      <c r="F992" s="8">
        <v>5.4</v>
      </c>
      <c r="G992" s="6">
        <v>25000</v>
      </c>
      <c r="H992" s="8">
        <v>23.5</v>
      </c>
      <c r="I992" s="7">
        <v>376.6</v>
      </c>
      <c r="J992" s="8">
        <v>2</v>
      </c>
      <c r="K992" s="7">
        <v>11250</v>
      </c>
      <c r="L992" s="7">
        <v>11626.6</v>
      </c>
    </row>
    <row r="993" spans="1:12" x14ac:dyDescent="0.25">
      <c r="A993" s="9">
        <v>45931</v>
      </c>
      <c r="B993" t="s">
        <v>103</v>
      </c>
      <c r="C993" t="s">
        <v>104</v>
      </c>
      <c r="D993" t="s">
        <v>58</v>
      </c>
      <c r="E993" t="s">
        <v>2092</v>
      </c>
      <c r="F993" s="8">
        <v>12.7</v>
      </c>
      <c r="G993" s="6">
        <v>43000</v>
      </c>
      <c r="H993" s="8">
        <v>39.6</v>
      </c>
      <c r="I993" s="7">
        <v>1091.54</v>
      </c>
      <c r="J993" s="8">
        <v>6.6</v>
      </c>
      <c r="K993" s="7">
        <v>45508.333333333299</v>
      </c>
      <c r="L993" s="7">
        <v>46599.8733333333</v>
      </c>
    </row>
    <row r="994" spans="1:12" x14ac:dyDescent="0.25">
      <c r="A994" s="9">
        <v>45931</v>
      </c>
      <c r="B994" t="s">
        <v>103</v>
      </c>
      <c r="C994" t="s">
        <v>104</v>
      </c>
      <c r="D994" t="s">
        <v>58</v>
      </c>
      <c r="E994" t="s">
        <v>2095</v>
      </c>
      <c r="F994" s="8">
        <v>14.4</v>
      </c>
      <c r="G994" s="6">
        <v>27000</v>
      </c>
      <c r="H994" s="8">
        <v>33.1</v>
      </c>
      <c r="I994" s="7">
        <v>572.88</v>
      </c>
      <c r="J994" s="8">
        <v>7.5</v>
      </c>
      <c r="K994" s="7">
        <v>32400</v>
      </c>
      <c r="L994" s="7">
        <v>32972.879999999997</v>
      </c>
    </row>
    <row r="995" spans="1:12" x14ac:dyDescent="0.25">
      <c r="A995" s="9">
        <v>45931</v>
      </c>
      <c r="B995" t="s">
        <v>103</v>
      </c>
      <c r="C995" t="s">
        <v>104</v>
      </c>
      <c r="D995" t="s">
        <v>58</v>
      </c>
      <c r="E995" t="s">
        <v>2094</v>
      </c>
      <c r="F995" s="8">
        <v>15.4</v>
      </c>
      <c r="G995" s="6">
        <v>41000</v>
      </c>
      <c r="H995" s="8">
        <v>40.9</v>
      </c>
      <c r="I995" s="7">
        <v>1074.94</v>
      </c>
      <c r="J995" s="8">
        <v>8.8000000000000007</v>
      </c>
      <c r="K995" s="7">
        <v>52616.666666666701</v>
      </c>
      <c r="L995" s="7">
        <v>53691.606666666703</v>
      </c>
    </row>
    <row r="996" spans="1:12" x14ac:dyDescent="0.25">
      <c r="A996" s="9">
        <v>45931</v>
      </c>
      <c r="B996" t="s">
        <v>103</v>
      </c>
      <c r="C996" t="s">
        <v>104</v>
      </c>
      <c r="D996" t="s">
        <v>58</v>
      </c>
      <c r="E996" t="s">
        <v>2093</v>
      </c>
      <c r="F996" s="8">
        <v>9.9</v>
      </c>
      <c r="G996" s="6">
        <v>29000</v>
      </c>
      <c r="H996" s="8">
        <v>74.3</v>
      </c>
      <c r="I996" s="7">
        <v>1381.22</v>
      </c>
      <c r="J996" s="8">
        <v>4.0999999999999996</v>
      </c>
      <c r="K996" s="7">
        <v>23925</v>
      </c>
      <c r="L996" s="7">
        <v>25306.22</v>
      </c>
    </row>
    <row r="997" spans="1:12" x14ac:dyDescent="0.25">
      <c r="A997" s="9">
        <v>45931</v>
      </c>
      <c r="B997" t="s">
        <v>103</v>
      </c>
      <c r="C997" t="s">
        <v>104</v>
      </c>
      <c r="D997" t="s">
        <v>58</v>
      </c>
      <c r="E997" t="s">
        <v>2097</v>
      </c>
      <c r="F997" s="8">
        <v>5.7</v>
      </c>
      <c r="G997" s="6">
        <v>28000</v>
      </c>
      <c r="H997" s="8">
        <v>27.4</v>
      </c>
      <c r="I997" s="7">
        <v>491.79</v>
      </c>
      <c r="J997" s="8">
        <v>2.1</v>
      </c>
      <c r="K997" s="7">
        <v>13300</v>
      </c>
      <c r="L997" s="7">
        <v>13791.79</v>
      </c>
    </row>
    <row r="998" spans="1:12" x14ac:dyDescent="0.25">
      <c r="A998" s="9">
        <v>45962</v>
      </c>
      <c r="B998" t="s">
        <v>100</v>
      </c>
      <c r="C998" t="s">
        <v>101</v>
      </c>
      <c r="D998" t="s">
        <v>69</v>
      </c>
      <c r="E998" t="s">
        <v>2096</v>
      </c>
      <c r="F998" s="8">
        <v>15.3</v>
      </c>
      <c r="G998" s="6">
        <v>35000</v>
      </c>
      <c r="H998" s="8">
        <v>85.1</v>
      </c>
      <c r="I998" s="7">
        <v>1909.29</v>
      </c>
      <c r="J998" s="8">
        <v>6.4</v>
      </c>
      <c r="K998" s="7">
        <v>44625</v>
      </c>
      <c r="L998" s="7">
        <v>46534.29</v>
      </c>
    </row>
    <row r="999" spans="1:12" x14ac:dyDescent="0.25">
      <c r="A999" s="9">
        <v>45962</v>
      </c>
      <c r="B999" t="s">
        <v>100</v>
      </c>
      <c r="C999" t="s">
        <v>101</v>
      </c>
      <c r="D999" t="s">
        <v>69</v>
      </c>
      <c r="E999" t="s">
        <v>2095</v>
      </c>
      <c r="F999" s="8">
        <v>17.399999999999999</v>
      </c>
      <c r="G999" s="6">
        <v>27000</v>
      </c>
      <c r="H999" s="8">
        <v>82.1</v>
      </c>
      <c r="I999" s="7">
        <v>1420.96</v>
      </c>
      <c r="J999" s="8">
        <v>7.8</v>
      </c>
      <c r="K999" s="7">
        <v>39150</v>
      </c>
      <c r="L999" s="7">
        <v>40570.959999999999</v>
      </c>
    </row>
    <row r="1000" spans="1:12" x14ac:dyDescent="0.25">
      <c r="A1000" s="9">
        <v>45962</v>
      </c>
      <c r="B1000" t="s">
        <v>100</v>
      </c>
      <c r="C1000" t="s">
        <v>101</v>
      </c>
      <c r="D1000" t="s">
        <v>69</v>
      </c>
      <c r="E1000" t="s">
        <v>2093</v>
      </c>
      <c r="F1000" s="8">
        <v>10.3</v>
      </c>
      <c r="G1000" s="6">
        <v>29000</v>
      </c>
      <c r="H1000" s="8">
        <v>38</v>
      </c>
      <c r="I1000" s="7">
        <v>706.41</v>
      </c>
      <c r="J1000" s="8">
        <v>4.0999999999999996</v>
      </c>
      <c r="K1000" s="7">
        <v>24891.666666666701</v>
      </c>
      <c r="L1000" s="7">
        <v>25598.0766666667</v>
      </c>
    </row>
    <row r="1001" spans="1:12" x14ac:dyDescent="0.25">
      <c r="A1001" s="9">
        <v>45962</v>
      </c>
      <c r="B1001" t="s">
        <v>100</v>
      </c>
      <c r="C1001" t="s">
        <v>101</v>
      </c>
      <c r="D1001" t="s">
        <v>69</v>
      </c>
      <c r="E1001" t="s">
        <v>2094</v>
      </c>
      <c r="F1001" s="8">
        <v>4.8</v>
      </c>
      <c r="G1001" s="6">
        <v>41000</v>
      </c>
      <c r="H1001" s="8">
        <v>25.1</v>
      </c>
      <c r="I1001" s="7">
        <v>659.68</v>
      </c>
      <c r="J1001" s="8">
        <v>1.6</v>
      </c>
      <c r="K1001" s="7">
        <v>16400</v>
      </c>
      <c r="L1001" s="7">
        <v>17059.68</v>
      </c>
    </row>
    <row r="1002" spans="1:12" x14ac:dyDescent="0.25">
      <c r="A1002" s="9">
        <v>45962</v>
      </c>
      <c r="B1002" t="s">
        <v>113</v>
      </c>
      <c r="C1002" t="s">
        <v>114</v>
      </c>
      <c r="D1002" t="s">
        <v>69</v>
      </c>
      <c r="E1002" t="s">
        <v>2091</v>
      </c>
      <c r="F1002" s="8">
        <v>19.100000000000001</v>
      </c>
      <c r="G1002" s="6">
        <v>25000</v>
      </c>
      <c r="H1002" s="8">
        <v>92.2</v>
      </c>
      <c r="I1002" s="7">
        <v>1477.56</v>
      </c>
      <c r="J1002" s="8">
        <v>9.1999999999999993</v>
      </c>
      <c r="K1002" s="7">
        <v>39791.666666666701</v>
      </c>
      <c r="L1002" s="7">
        <v>41269.226666666698</v>
      </c>
    </row>
    <row r="1003" spans="1:12" x14ac:dyDescent="0.25">
      <c r="A1003" s="9">
        <v>45962</v>
      </c>
      <c r="B1003" t="s">
        <v>113</v>
      </c>
      <c r="C1003" t="s">
        <v>114</v>
      </c>
      <c r="D1003" t="s">
        <v>69</v>
      </c>
      <c r="E1003" t="s">
        <v>2096</v>
      </c>
      <c r="F1003" s="8">
        <v>13.7</v>
      </c>
      <c r="G1003" s="6">
        <v>35000</v>
      </c>
      <c r="H1003" s="8">
        <v>52.4</v>
      </c>
      <c r="I1003" s="7">
        <v>1175.6400000000001</v>
      </c>
      <c r="J1003" s="8">
        <v>7</v>
      </c>
      <c r="K1003" s="7">
        <v>39958.333333333299</v>
      </c>
      <c r="L1003" s="7">
        <v>41133.973333333299</v>
      </c>
    </row>
    <row r="1004" spans="1:12" x14ac:dyDescent="0.25">
      <c r="A1004" s="9">
        <v>45962</v>
      </c>
      <c r="B1004" t="s">
        <v>113</v>
      </c>
      <c r="C1004" t="s">
        <v>114</v>
      </c>
      <c r="D1004" t="s">
        <v>69</v>
      </c>
      <c r="E1004" t="s">
        <v>2097</v>
      </c>
      <c r="F1004" s="8">
        <v>5.7</v>
      </c>
      <c r="G1004" s="6">
        <v>28000</v>
      </c>
      <c r="H1004" s="8">
        <v>16.3</v>
      </c>
      <c r="I1004" s="7">
        <v>292.56</v>
      </c>
      <c r="J1004" s="8">
        <v>3.1</v>
      </c>
      <c r="K1004" s="7">
        <v>13300</v>
      </c>
      <c r="L1004" s="7">
        <v>13592.56</v>
      </c>
    </row>
    <row r="1005" spans="1:12" x14ac:dyDescent="0.25">
      <c r="A1005" s="9">
        <v>45962</v>
      </c>
      <c r="B1005" t="s">
        <v>113</v>
      </c>
      <c r="C1005" t="s">
        <v>114</v>
      </c>
      <c r="D1005" t="s">
        <v>69</v>
      </c>
      <c r="E1005" t="s">
        <v>2095</v>
      </c>
      <c r="F1005" s="8">
        <v>19.100000000000001</v>
      </c>
      <c r="G1005" s="6">
        <v>27000</v>
      </c>
      <c r="H1005" s="8">
        <v>120.2</v>
      </c>
      <c r="I1005" s="7">
        <v>2080.38</v>
      </c>
      <c r="J1005" s="8">
        <v>8.8000000000000007</v>
      </c>
      <c r="K1005" s="7">
        <v>42975</v>
      </c>
      <c r="L1005" s="7">
        <v>45055.38</v>
      </c>
    </row>
    <row r="1006" spans="1:12" x14ac:dyDescent="0.25">
      <c r="A1006" s="9">
        <v>45962</v>
      </c>
      <c r="B1006" t="s">
        <v>113</v>
      </c>
      <c r="C1006" t="s">
        <v>114</v>
      </c>
      <c r="D1006" t="s">
        <v>69</v>
      </c>
      <c r="E1006" t="s">
        <v>2093</v>
      </c>
      <c r="F1006" s="8">
        <v>9.4</v>
      </c>
      <c r="G1006" s="6">
        <v>29000</v>
      </c>
      <c r="H1006" s="8">
        <v>54.1</v>
      </c>
      <c r="I1006" s="7">
        <v>1005.71</v>
      </c>
      <c r="J1006" s="8">
        <v>6.2</v>
      </c>
      <c r="K1006" s="7">
        <v>22716.666666666701</v>
      </c>
      <c r="L1006" s="7">
        <v>23722.3766666667</v>
      </c>
    </row>
    <row r="1007" spans="1:12" x14ac:dyDescent="0.25">
      <c r="A1007" s="9">
        <v>45962</v>
      </c>
      <c r="B1007" t="s">
        <v>143</v>
      </c>
      <c r="C1007" t="s">
        <v>144</v>
      </c>
      <c r="D1007" t="s">
        <v>69</v>
      </c>
      <c r="E1007" t="s">
        <v>2097</v>
      </c>
      <c r="F1007" s="8">
        <v>15.3</v>
      </c>
      <c r="G1007" s="6">
        <v>28000</v>
      </c>
      <c r="H1007" s="8">
        <v>42.5</v>
      </c>
      <c r="I1007" s="7">
        <v>762.82</v>
      </c>
      <c r="J1007" s="8">
        <v>6.2</v>
      </c>
      <c r="K1007" s="7">
        <v>35700</v>
      </c>
      <c r="L1007" s="7">
        <v>36462.82</v>
      </c>
    </row>
    <row r="1008" spans="1:12" x14ac:dyDescent="0.25">
      <c r="A1008" s="9">
        <v>45962</v>
      </c>
      <c r="B1008" t="s">
        <v>143</v>
      </c>
      <c r="C1008" t="s">
        <v>144</v>
      </c>
      <c r="D1008" t="s">
        <v>69</v>
      </c>
      <c r="E1008" t="s">
        <v>2091</v>
      </c>
      <c r="F1008" s="8">
        <v>9.3000000000000007</v>
      </c>
      <c r="G1008" s="6">
        <v>25000</v>
      </c>
      <c r="H1008" s="8">
        <v>41.4</v>
      </c>
      <c r="I1008" s="7">
        <v>663.46</v>
      </c>
      <c r="J1008" s="8">
        <v>4.0999999999999996</v>
      </c>
      <c r="K1008" s="7">
        <v>19375</v>
      </c>
      <c r="L1008" s="7">
        <v>20038.46</v>
      </c>
    </row>
    <row r="1009" spans="1:12" x14ac:dyDescent="0.25">
      <c r="A1009" s="9">
        <v>45962</v>
      </c>
      <c r="B1009" t="s">
        <v>143</v>
      </c>
      <c r="C1009" t="s">
        <v>144</v>
      </c>
      <c r="D1009" t="s">
        <v>69</v>
      </c>
      <c r="E1009" t="s">
        <v>2093</v>
      </c>
      <c r="F1009" s="8">
        <v>12.2</v>
      </c>
      <c r="G1009" s="6">
        <v>29000</v>
      </c>
      <c r="H1009" s="8">
        <v>83</v>
      </c>
      <c r="I1009" s="7">
        <v>1542.95</v>
      </c>
      <c r="J1009" s="8">
        <v>6.1</v>
      </c>
      <c r="K1009" s="7">
        <v>29483.333333333299</v>
      </c>
      <c r="L1009" s="7">
        <v>31026.2833333333</v>
      </c>
    </row>
    <row r="1010" spans="1:12" x14ac:dyDescent="0.25">
      <c r="A1010" s="9">
        <v>45962</v>
      </c>
      <c r="B1010" t="s">
        <v>143</v>
      </c>
      <c r="C1010" t="s">
        <v>144</v>
      </c>
      <c r="D1010" t="s">
        <v>69</v>
      </c>
      <c r="E1010" t="s">
        <v>2096</v>
      </c>
      <c r="F1010" s="8">
        <v>6.2</v>
      </c>
      <c r="G1010" s="6">
        <v>35000</v>
      </c>
      <c r="H1010" s="8">
        <v>17.3</v>
      </c>
      <c r="I1010" s="7">
        <v>388.14</v>
      </c>
      <c r="J1010" s="8">
        <v>2</v>
      </c>
      <c r="K1010" s="7">
        <v>18083.333333333299</v>
      </c>
      <c r="L1010" s="7">
        <v>18471.473333333299</v>
      </c>
    </row>
    <row r="1011" spans="1:12" x14ac:dyDescent="0.25">
      <c r="A1011" s="9">
        <v>45962</v>
      </c>
      <c r="B1011" t="s">
        <v>143</v>
      </c>
      <c r="C1011" t="s">
        <v>144</v>
      </c>
      <c r="D1011" t="s">
        <v>69</v>
      </c>
      <c r="E1011" t="s">
        <v>2095</v>
      </c>
      <c r="F1011" s="8">
        <v>6.3</v>
      </c>
      <c r="G1011" s="6">
        <v>27000</v>
      </c>
      <c r="H1011" s="8">
        <v>35.5</v>
      </c>
      <c r="I1011" s="7">
        <v>614.41999999999996</v>
      </c>
      <c r="J1011" s="8">
        <v>2.6</v>
      </c>
      <c r="K1011" s="7">
        <v>14175</v>
      </c>
      <c r="L1011" s="7">
        <v>14789.42</v>
      </c>
    </row>
    <row r="1012" spans="1:12" x14ac:dyDescent="0.25">
      <c r="A1012" s="9">
        <v>45962</v>
      </c>
      <c r="B1012" t="s">
        <v>73</v>
      </c>
      <c r="C1012" t="s">
        <v>74</v>
      </c>
      <c r="D1012" t="s">
        <v>69</v>
      </c>
      <c r="E1012" t="s">
        <v>2091</v>
      </c>
      <c r="F1012" s="8">
        <v>10</v>
      </c>
      <c r="G1012" s="6">
        <v>25000</v>
      </c>
      <c r="H1012" s="8">
        <v>40.700000000000003</v>
      </c>
      <c r="I1012" s="7">
        <v>652.24</v>
      </c>
      <c r="J1012" s="8">
        <v>6</v>
      </c>
      <c r="K1012" s="7">
        <v>20833.333333333299</v>
      </c>
      <c r="L1012" s="7">
        <v>21485.573333333301</v>
      </c>
    </row>
    <row r="1013" spans="1:12" x14ac:dyDescent="0.25">
      <c r="A1013" s="9">
        <v>45962</v>
      </c>
      <c r="B1013" t="s">
        <v>73</v>
      </c>
      <c r="C1013" t="s">
        <v>74</v>
      </c>
      <c r="D1013" t="s">
        <v>69</v>
      </c>
      <c r="E1013" t="s">
        <v>2095</v>
      </c>
      <c r="F1013" s="8">
        <v>7.8</v>
      </c>
      <c r="G1013" s="6">
        <v>27000</v>
      </c>
      <c r="H1013" s="8">
        <v>25.5</v>
      </c>
      <c r="I1013" s="7">
        <v>441.35</v>
      </c>
      <c r="J1013" s="8">
        <v>3.9</v>
      </c>
      <c r="K1013" s="7">
        <v>17550</v>
      </c>
      <c r="L1013" s="7">
        <v>17991.349999999999</v>
      </c>
    </row>
    <row r="1014" spans="1:12" x14ac:dyDescent="0.25">
      <c r="A1014" s="9">
        <v>45962</v>
      </c>
      <c r="B1014" t="s">
        <v>73</v>
      </c>
      <c r="C1014" t="s">
        <v>74</v>
      </c>
      <c r="D1014" t="s">
        <v>69</v>
      </c>
      <c r="E1014" t="s">
        <v>2097</v>
      </c>
      <c r="F1014" s="8">
        <v>7.9</v>
      </c>
      <c r="G1014" s="6">
        <v>28000</v>
      </c>
      <c r="H1014" s="8">
        <v>31.4</v>
      </c>
      <c r="I1014" s="7">
        <v>563.59</v>
      </c>
      <c r="J1014" s="8">
        <v>4.5999999999999996</v>
      </c>
      <c r="K1014" s="7">
        <v>18433.333333333299</v>
      </c>
      <c r="L1014" s="7">
        <v>18996.9233333333</v>
      </c>
    </row>
    <row r="1015" spans="1:12" x14ac:dyDescent="0.25">
      <c r="A1015" s="9">
        <v>45962</v>
      </c>
      <c r="B1015" t="s">
        <v>73</v>
      </c>
      <c r="C1015" t="s">
        <v>74</v>
      </c>
      <c r="D1015" t="s">
        <v>69</v>
      </c>
      <c r="E1015" t="s">
        <v>2096</v>
      </c>
      <c r="F1015" s="8">
        <v>12.8</v>
      </c>
      <c r="G1015" s="6">
        <v>35000</v>
      </c>
      <c r="H1015" s="8">
        <v>62.5</v>
      </c>
      <c r="I1015" s="7">
        <v>1402.24</v>
      </c>
      <c r="J1015" s="8">
        <v>6.2</v>
      </c>
      <c r="K1015" s="7">
        <v>37333.333333333299</v>
      </c>
      <c r="L1015" s="7">
        <v>38735.573333333297</v>
      </c>
    </row>
    <row r="1016" spans="1:12" x14ac:dyDescent="0.25">
      <c r="A1016" s="9">
        <v>45962</v>
      </c>
      <c r="B1016" t="s">
        <v>73</v>
      </c>
      <c r="C1016" t="s">
        <v>74</v>
      </c>
      <c r="D1016" t="s">
        <v>69</v>
      </c>
      <c r="E1016" t="s">
        <v>2093</v>
      </c>
      <c r="F1016" s="8">
        <v>16.899999999999999</v>
      </c>
      <c r="G1016" s="6">
        <v>29000</v>
      </c>
      <c r="H1016" s="8">
        <v>69.2</v>
      </c>
      <c r="I1016" s="7">
        <v>1286.4100000000001</v>
      </c>
      <c r="J1016" s="8">
        <v>8.1</v>
      </c>
      <c r="K1016" s="7">
        <v>40841.666666666701</v>
      </c>
      <c r="L1016" s="7">
        <v>42128.076666666697</v>
      </c>
    </row>
    <row r="1017" spans="1:12" x14ac:dyDescent="0.25">
      <c r="A1017" s="9">
        <v>45962</v>
      </c>
      <c r="B1017" t="s">
        <v>73</v>
      </c>
      <c r="C1017" t="s">
        <v>74</v>
      </c>
      <c r="D1017" t="s">
        <v>69</v>
      </c>
      <c r="E1017" t="s">
        <v>2094</v>
      </c>
      <c r="F1017" s="8">
        <v>11.6</v>
      </c>
      <c r="G1017" s="6">
        <v>41000</v>
      </c>
      <c r="H1017" s="8">
        <v>20.7</v>
      </c>
      <c r="I1017" s="7">
        <v>544.04</v>
      </c>
      <c r="J1017" s="8">
        <v>6.1</v>
      </c>
      <c r="K1017" s="7">
        <v>39633.333333333299</v>
      </c>
      <c r="L1017" s="7">
        <v>40177.3733333333</v>
      </c>
    </row>
    <row r="1018" spans="1:12" x14ac:dyDescent="0.25">
      <c r="A1018" s="9">
        <v>45962</v>
      </c>
      <c r="B1018" t="s">
        <v>67</v>
      </c>
      <c r="C1018" t="s">
        <v>68</v>
      </c>
      <c r="D1018" t="s">
        <v>69</v>
      </c>
      <c r="E1018" t="s">
        <v>2097</v>
      </c>
      <c r="F1018" s="8">
        <v>7.1</v>
      </c>
      <c r="G1018" s="6">
        <v>28000</v>
      </c>
      <c r="H1018" s="8">
        <v>48.6</v>
      </c>
      <c r="I1018" s="7">
        <v>872.31</v>
      </c>
      <c r="J1018" s="8">
        <v>2.7</v>
      </c>
      <c r="K1018" s="7">
        <v>16566.666666666701</v>
      </c>
      <c r="L1018" s="7">
        <v>17438.976666666698</v>
      </c>
    </row>
    <row r="1019" spans="1:12" x14ac:dyDescent="0.25">
      <c r="A1019" s="9">
        <v>45962</v>
      </c>
      <c r="B1019" t="s">
        <v>67</v>
      </c>
      <c r="C1019" t="s">
        <v>68</v>
      </c>
      <c r="D1019" t="s">
        <v>69</v>
      </c>
      <c r="E1019" t="s">
        <v>2093</v>
      </c>
      <c r="F1019" s="8">
        <v>14.9</v>
      </c>
      <c r="G1019" s="6">
        <v>29000</v>
      </c>
      <c r="H1019" s="8">
        <v>42.3</v>
      </c>
      <c r="I1019" s="7">
        <v>786.35</v>
      </c>
      <c r="J1019" s="8">
        <v>6.6</v>
      </c>
      <c r="K1019" s="7">
        <v>36008.333333333299</v>
      </c>
      <c r="L1019" s="7">
        <v>36794.683333333298</v>
      </c>
    </row>
    <row r="1020" spans="1:12" x14ac:dyDescent="0.25">
      <c r="A1020" s="9">
        <v>45962</v>
      </c>
      <c r="B1020" t="s">
        <v>67</v>
      </c>
      <c r="C1020" t="s">
        <v>68</v>
      </c>
      <c r="D1020" t="s">
        <v>69</v>
      </c>
      <c r="E1020" t="s">
        <v>2091</v>
      </c>
      <c r="F1020" s="8">
        <v>11.8</v>
      </c>
      <c r="G1020" s="6">
        <v>25000</v>
      </c>
      <c r="H1020" s="8">
        <v>60</v>
      </c>
      <c r="I1020" s="7">
        <v>961.54</v>
      </c>
      <c r="J1020" s="8">
        <v>6.3</v>
      </c>
      <c r="K1020" s="7">
        <v>24583.333333333299</v>
      </c>
      <c r="L1020" s="7">
        <v>25544.8733333333</v>
      </c>
    </row>
    <row r="1021" spans="1:12" x14ac:dyDescent="0.25">
      <c r="A1021" s="9">
        <v>45962</v>
      </c>
      <c r="B1021" t="s">
        <v>67</v>
      </c>
      <c r="C1021" t="s">
        <v>68</v>
      </c>
      <c r="D1021" t="s">
        <v>69</v>
      </c>
      <c r="E1021" t="s">
        <v>2094</v>
      </c>
      <c r="F1021" s="8">
        <v>17.100000000000001</v>
      </c>
      <c r="G1021" s="6">
        <v>41000</v>
      </c>
      <c r="H1021" s="8">
        <v>64.3</v>
      </c>
      <c r="I1021" s="7">
        <v>1689.94</v>
      </c>
      <c r="J1021" s="8">
        <v>7.6</v>
      </c>
      <c r="K1021" s="7">
        <v>58425</v>
      </c>
      <c r="L1021" s="7">
        <v>60114.94</v>
      </c>
    </row>
    <row r="1022" spans="1:12" x14ac:dyDescent="0.25">
      <c r="A1022" s="9">
        <v>45962</v>
      </c>
      <c r="B1022" t="s">
        <v>32</v>
      </c>
      <c r="C1022" t="s">
        <v>33</v>
      </c>
      <c r="D1022" t="s">
        <v>34</v>
      </c>
      <c r="E1022" t="s">
        <v>2094</v>
      </c>
      <c r="F1022" s="8">
        <v>17.100000000000001</v>
      </c>
      <c r="G1022" s="6">
        <v>41000</v>
      </c>
      <c r="H1022" s="8">
        <v>70.8</v>
      </c>
      <c r="I1022" s="7">
        <v>1860.77</v>
      </c>
      <c r="J1022" s="8">
        <v>7</v>
      </c>
      <c r="K1022" s="7">
        <v>58425</v>
      </c>
      <c r="L1022" s="7">
        <v>60285.77</v>
      </c>
    </row>
    <row r="1023" spans="1:12" x14ac:dyDescent="0.25">
      <c r="A1023" s="9">
        <v>45962</v>
      </c>
      <c r="B1023" t="s">
        <v>32</v>
      </c>
      <c r="C1023" t="s">
        <v>33</v>
      </c>
      <c r="D1023" t="s">
        <v>34</v>
      </c>
      <c r="E1023" t="s">
        <v>2095</v>
      </c>
      <c r="F1023" s="8">
        <v>4</v>
      </c>
      <c r="G1023" s="6">
        <v>27000</v>
      </c>
      <c r="H1023" s="8">
        <v>16.899999999999999</v>
      </c>
      <c r="I1023" s="7">
        <v>292.5</v>
      </c>
      <c r="J1023" s="8">
        <v>2.9</v>
      </c>
      <c r="K1023" s="7">
        <v>9000</v>
      </c>
      <c r="L1023" s="7">
        <v>9292.5</v>
      </c>
    </row>
    <row r="1024" spans="1:12" x14ac:dyDescent="0.25">
      <c r="A1024" s="9">
        <v>45962</v>
      </c>
      <c r="B1024" t="s">
        <v>32</v>
      </c>
      <c r="C1024" t="s">
        <v>33</v>
      </c>
      <c r="D1024" t="s">
        <v>34</v>
      </c>
      <c r="E1024" t="s">
        <v>2093</v>
      </c>
      <c r="F1024" s="8">
        <v>14.7</v>
      </c>
      <c r="G1024" s="6">
        <v>29000</v>
      </c>
      <c r="H1024" s="8">
        <v>31.2</v>
      </c>
      <c r="I1024" s="7">
        <v>580</v>
      </c>
      <c r="J1024" s="8">
        <v>5.8</v>
      </c>
      <c r="K1024" s="7">
        <v>35525</v>
      </c>
      <c r="L1024" s="7">
        <v>36105</v>
      </c>
    </row>
    <row r="1025" spans="1:12" x14ac:dyDescent="0.25">
      <c r="A1025" s="9">
        <v>45962</v>
      </c>
      <c r="B1025" t="s">
        <v>32</v>
      </c>
      <c r="C1025" t="s">
        <v>33</v>
      </c>
      <c r="D1025" t="s">
        <v>34</v>
      </c>
      <c r="E1025" t="s">
        <v>2096</v>
      </c>
      <c r="F1025" s="8">
        <v>3.6</v>
      </c>
      <c r="G1025" s="6">
        <v>35000</v>
      </c>
      <c r="H1025" s="8">
        <v>22.9</v>
      </c>
      <c r="I1025" s="7">
        <v>513.78</v>
      </c>
      <c r="J1025" s="8">
        <v>1.2</v>
      </c>
      <c r="K1025" s="7">
        <v>10500</v>
      </c>
      <c r="L1025" s="7">
        <v>11013.78</v>
      </c>
    </row>
    <row r="1026" spans="1:12" x14ac:dyDescent="0.25">
      <c r="A1026" s="9">
        <v>45962</v>
      </c>
      <c r="B1026" t="s">
        <v>32</v>
      </c>
      <c r="C1026" t="s">
        <v>33</v>
      </c>
      <c r="D1026" t="s">
        <v>34</v>
      </c>
      <c r="E1026" t="s">
        <v>2097</v>
      </c>
      <c r="F1026" s="8">
        <v>14.7</v>
      </c>
      <c r="G1026" s="6">
        <v>28000</v>
      </c>
      <c r="H1026" s="8">
        <v>83.8</v>
      </c>
      <c r="I1026" s="7">
        <v>1504.1</v>
      </c>
      <c r="J1026" s="8">
        <v>7.2</v>
      </c>
      <c r="K1026" s="7">
        <v>34300</v>
      </c>
      <c r="L1026" s="7">
        <v>35804.1</v>
      </c>
    </row>
    <row r="1027" spans="1:12" x14ac:dyDescent="0.25">
      <c r="A1027" s="9">
        <v>45962</v>
      </c>
      <c r="B1027" t="s">
        <v>94</v>
      </c>
      <c r="C1027" t="s">
        <v>95</v>
      </c>
      <c r="D1027" t="s">
        <v>34</v>
      </c>
      <c r="E1027" t="s">
        <v>2097</v>
      </c>
      <c r="F1027" s="8">
        <v>18.600000000000001</v>
      </c>
      <c r="G1027" s="6">
        <v>28000</v>
      </c>
      <c r="H1027" s="8">
        <v>69.900000000000006</v>
      </c>
      <c r="I1027" s="7">
        <v>1254.6199999999999</v>
      </c>
      <c r="J1027" s="8">
        <v>9.6999999999999993</v>
      </c>
      <c r="K1027" s="7">
        <v>43400</v>
      </c>
      <c r="L1027" s="7">
        <v>44654.62</v>
      </c>
    </row>
    <row r="1028" spans="1:12" x14ac:dyDescent="0.25">
      <c r="A1028" s="9">
        <v>45962</v>
      </c>
      <c r="B1028" t="s">
        <v>94</v>
      </c>
      <c r="C1028" t="s">
        <v>95</v>
      </c>
      <c r="D1028" t="s">
        <v>34</v>
      </c>
      <c r="E1028" t="s">
        <v>2094</v>
      </c>
      <c r="F1028" s="8">
        <v>6.6</v>
      </c>
      <c r="G1028" s="6">
        <v>41000</v>
      </c>
      <c r="H1028" s="8">
        <v>17.600000000000001</v>
      </c>
      <c r="I1028" s="7">
        <v>462.56</v>
      </c>
      <c r="J1028" s="8">
        <v>3.4</v>
      </c>
      <c r="K1028" s="7">
        <v>22550</v>
      </c>
      <c r="L1028" s="7">
        <v>23012.560000000001</v>
      </c>
    </row>
    <row r="1029" spans="1:12" x14ac:dyDescent="0.25">
      <c r="A1029" s="9">
        <v>45962</v>
      </c>
      <c r="B1029" t="s">
        <v>94</v>
      </c>
      <c r="C1029" t="s">
        <v>95</v>
      </c>
      <c r="D1029" t="s">
        <v>34</v>
      </c>
      <c r="E1029" t="s">
        <v>2093</v>
      </c>
      <c r="F1029" s="8">
        <v>16</v>
      </c>
      <c r="G1029" s="6">
        <v>29000</v>
      </c>
      <c r="H1029" s="8">
        <v>54.8</v>
      </c>
      <c r="I1029" s="7">
        <v>1018.72</v>
      </c>
      <c r="J1029" s="8">
        <v>6.7</v>
      </c>
      <c r="K1029" s="7">
        <v>38666.666666666701</v>
      </c>
      <c r="L1029" s="7">
        <v>39685.386666666702</v>
      </c>
    </row>
    <row r="1030" spans="1:12" x14ac:dyDescent="0.25">
      <c r="A1030" s="9">
        <v>45962</v>
      </c>
      <c r="B1030" t="s">
        <v>94</v>
      </c>
      <c r="C1030" t="s">
        <v>95</v>
      </c>
      <c r="D1030" t="s">
        <v>34</v>
      </c>
      <c r="E1030" t="s">
        <v>2092</v>
      </c>
      <c r="F1030" s="8">
        <v>9</v>
      </c>
      <c r="G1030" s="6">
        <v>43000</v>
      </c>
      <c r="H1030" s="8">
        <v>40.6</v>
      </c>
      <c r="I1030" s="7">
        <v>1119.0999999999999</v>
      </c>
      <c r="J1030" s="8">
        <v>4.2</v>
      </c>
      <c r="K1030" s="7">
        <v>32250</v>
      </c>
      <c r="L1030" s="7">
        <v>33369.1</v>
      </c>
    </row>
    <row r="1031" spans="1:12" x14ac:dyDescent="0.25">
      <c r="A1031" s="9">
        <v>45962</v>
      </c>
      <c r="B1031" t="s">
        <v>41</v>
      </c>
      <c r="C1031" t="s">
        <v>42</v>
      </c>
      <c r="D1031" t="s">
        <v>34</v>
      </c>
      <c r="E1031" t="s">
        <v>2094</v>
      </c>
      <c r="F1031" s="8">
        <v>16.7</v>
      </c>
      <c r="G1031" s="6">
        <v>41000</v>
      </c>
      <c r="H1031" s="8">
        <v>62.9</v>
      </c>
      <c r="I1031" s="7">
        <v>1653.14</v>
      </c>
      <c r="J1031" s="8">
        <v>7.1</v>
      </c>
      <c r="K1031" s="7">
        <v>57058.333333333299</v>
      </c>
      <c r="L1031" s="7">
        <v>58711.473333333299</v>
      </c>
    </row>
    <row r="1032" spans="1:12" x14ac:dyDescent="0.25">
      <c r="A1032" s="9">
        <v>45962</v>
      </c>
      <c r="B1032" t="s">
        <v>41</v>
      </c>
      <c r="C1032" t="s">
        <v>42</v>
      </c>
      <c r="D1032" t="s">
        <v>34</v>
      </c>
      <c r="E1032" t="s">
        <v>2092</v>
      </c>
      <c r="F1032" s="8">
        <v>16.7</v>
      </c>
      <c r="G1032" s="6">
        <v>43000</v>
      </c>
      <c r="H1032" s="8">
        <v>106.7</v>
      </c>
      <c r="I1032" s="7">
        <v>2941.09</v>
      </c>
      <c r="J1032" s="8">
        <v>9.1999999999999993</v>
      </c>
      <c r="K1032" s="7">
        <v>59841.666666666701</v>
      </c>
      <c r="L1032" s="7">
        <v>62782.756666666697</v>
      </c>
    </row>
    <row r="1033" spans="1:12" x14ac:dyDescent="0.25">
      <c r="A1033" s="9">
        <v>45962</v>
      </c>
      <c r="B1033" t="s">
        <v>41</v>
      </c>
      <c r="C1033" t="s">
        <v>42</v>
      </c>
      <c r="D1033" t="s">
        <v>34</v>
      </c>
      <c r="E1033" t="s">
        <v>2097</v>
      </c>
      <c r="F1033" s="8">
        <v>4.5</v>
      </c>
      <c r="G1033" s="6">
        <v>28000</v>
      </c>
      <c r="H1033" s="8">
        <v>24.5</v>
      </c>
      <c r="I1033" s="7">
        <v>439.74</v>
      </c>
      <c r="J1033" s="8">
        <v>1.9</v>
      </c>
      <c r="K1033" s="7">
        <v>10500</v>
      </c>
      <c r="L1033" s="7">
        <v>10939.74</v>
      </c>
    </row>
    <row r="1034" spans="1:12" x14ac:dyDescent="0.25">
      <c r="A1034" s="9">
        <v>45962</v>
      </c>
      <c r="B1034" t="s">
        <v>41</v>
      </c>
      <c r="C1034" t="s">
        <v>42</v>
      </c>
      <c r="D1034" t="s">
        <v>34</v>
      </c>
      <c r="E1034" t="s">
        <v>2091</v>
      </c>
      <c r="F1034" s="8">
        <v>15.1</v>
      </c>
      <c r="G1034" s="6">
        <v>25000</v>
      </c>
      <c r="H1034" s="8">
        <v>21.2</v>
      </c>
      <c r="I1034" s="7">
        <v>339.74</v>
      </c>
      <c r="J1034" s="8">
        <v>9.5</v>
      </c>
      <c r="K1034" s="7">
        <v>31458.333333333299</v>
      </c>
      <c r="L1034" s="7">
        <v>31798.073333333301</v>
      </c>
    </row>
    <row r="1035" spans="1:12" x14ac:dyDescent="0.25">
      <c r="A1035" s="9">
        <v>45962</v>
      </c>
      <c r="B1035" t="s">
        <v>41</v>
      </c>
      <c r="C1035" t="s">
        <v>42</v>
      </c>
      <c r="D1035" t="s">
        <v>34</v>
      </c>
      <c r="E1035" t="s">
        <v>2093</v>
      </c>
      <c r="F1035" s="8">
        <v>10.7</v>
      </c>
      <c r="G1035" s="6">
        <v>29000</v>
      </c>
      <c r="H1035" s="8">
        <v>41.8</v>
      </c>
      <c r="I1035" s="7">
        <v>777.05</v>
      </c>
      <c r="J1035" s="8">
        <v>4.5999999999999996</v>
      </c>
      <c r="K1035" s="7">
        <v>25858.333333333299</v>
      </c>
      <c r="L1035" s="7">
        <v>26635.383333333299</v>
      </c>
    </row>
    <row r="1036" spans="1:12" x14ac:dyDescent="0.25">
      <c r="A1036" s="9">
        <v>45962</v>
      </c>
      <c r="B1036" t="s">
        <v>41</v>
      </c>
      <c r="C1036" t="s">
        <v>42</v>
      </c>
      <c r="D1036" t="s">
        <v>34</v>
      </c>
      <c r="E1036" t="s">
        <v>2096</v>
      </c>
      <c r="F1036" s="8">
        <v>10.9</v>
      </c>
      <c r="G1036" s="6">
        <v>35000</v>
      </c>
      <c r="H1036" s="8">
        <v>50.4</v>
      </c>
      <c r="I1036" s="7">
        <v>1130.77</v>
      </c>
      <c r="J1036" s="8">
        <v>6.6</v>
      </c>
      <c r="K1036" s="7">
        <v>31791.666666666701</v>
      </c>
      <c r="L1036" s="7">
        <v>32922.436666666697</v>
      </c>
    </row>
    <row r="1037" spans="1:12" x14ac:dyDescent="0.25">
      <c r="A1037" s="9">
        <v>45962</v>
      </c>
      <c r="B1037" t="s">
        <v>47</v>
      </c>
      <c r="C1037" t="s">
        <v>48</v>
      </c>
      <c r="D1037" t="s">
        <v>34</v>
      </c>
      <c r="E1037" t="s">
        <v>2092</v>
      </c>
      <c r="F1037" s="8">
        <v>7.1</v>
      </c>
      <c r="G1037" s="6">
        <v>43000</v>
      </c>
      <c r="H1037" s="8">
        <v>28.2</v>
      </c>
      <c r="I1037" s="7">
        <v>777.31</v>
      </c>
      <c r="J1037" s="8">
        <v>4.8</v>
      </c>
      <c r="K1037" s="7">
        <v>25441.666666666701</v>
      </c>
      <c r="L1037" s="7">
        <v>26218.976666666698</v>
      </c>
    </row>
    <row r="1038" spans="1:12" x14ac:dyDescent="0.25">
      <c r="A1038" s="9">
        <v>45962</v>
      </c>
      <c r="B1038" t="s">
        <v>47</v>
      </c>
      <c r="C1038" t="s">
        <v>48</v>
      </c>
      <c r="D1038" t="s">
        <v>34</v>
      </c>
      <c r="E1038" t="s">
        <v>2091</v>
      </c>
      <c r="F1038" s="8">
        <v>4.5999999999999996</v>
      </c>
      <c r="G1038" s="6">
        <v>25000</v>
      </c>
      <c r="H1038" s="8">
        <v>25.9</v>
      </c>
      <c r="I1038" s="7">
        <v>415.06</v>
      </c>
      <c r="J1038" s="8">
        <v>1.2</v>
      </c>
      <c r="K1038" s="7">
        <v>9583.3333333333303</v>
      </c>
      <c r="L1038" s="7">
        <v>9998.3933333333298</v>
      </c>
    </row>
    <row r="1039" spans="1:12" x14ac:dyDescent="0.25">
      <c r="A1039" s="9">
        <v>45962</v>
      </c>
      <c r="B1039" t="s">
        <v>47</v>
      </c>
      <c r="C1039" t="s">
        <v>48</v>
      </c>
      <c r="D1039" t="s">
        <v>34</v>
      </c>
      <c r="E1039" t="s">
        <v>2097</v>
      </c>
      <c r="F1039" s="8">
        <v>14.5</v>
      </c>
      <c r="G1039" s="6">
        <v>28000</v>
      </c>
      <c r="H1039" s="8">
        <v>43.3</v>
      </c>
      <c r="I1039" s="7">
        <v>777.18</v>
      </c>
      <c r="J1039" s="8">
        <v>8.1999999999999993</v>
      </c>
      <c r="K1039" s="7">
        <v>33833.333333333299</v>
      </c>
      <c r="L1039" s="7">
        <v>34610.5133333333</v>
      </c>
    </row>
    <row r="1040" spans="1:12" x14ac:dyDescent="0.25">
      <c r="A1040" s="9">
        <v>45962</v>
      </c>
      <c r="B1040" t="s">
        <v>47</v>
      </c>
      <c r="C1040" t="s">
        <v>48</v>
      </c>
      <c r="D1040" t="s">
        <v>34</v>
      </c>
      <c r="E1040" t="s">
        <v>2093</v>
      </c>
      <c r="F1040" s="8">
        <v>11.4</v>
      </c>
      <c r="G1040" s="6">
        <v>29000</v>
      </c>
      <c r="H1040" s="8">
        <v>0</v>
      </c>
      <c r="I1040" s="7">
        <v>0</v>
      </c>
      <c r="J1040" s="8">
        <v>5.6</v>
      </c>
      <c r="K1040" s="7">
        <v>27550</v>
      </c>
      <c r="L1040" s="7">
        <v>27550</v>
      </c>
    </row>
    <row r="1041" spans="1:12" x14ac:dyDescent="0.25">
      <c r="A1041" s="9">
        <v>45962</v>
      </c>
      <c r="B1041" t="s">
        <v>121</v>
      </c>
      <c r="C1041" t="s">
        <v>122</v>
      </c>
      <c r="D1041" t="s">
        <v>34</v>
      </c>
      <c r="E1041" t="s">
        <v>2096</v>
      </c>
      <c r="F1041" s="8">
        <v>3.7</v>
      </c>
      <c r="G1041" s="6">
        <v>35000</v>
      </c>
      <c r="H1041" s="8">
        <v>6.9</v>
      </c>
      <c r="I1041" s="7">
        <v>154.81</v>
      </c>
      <c r="J1041" s="8">
        <v>1.4</v>
      </c>
      <c r="K1041" s="7">
        <v>10791.666666666701</v>
      </c>
      <c r="L1041" s="7">
        <v>10946.4766666667</v>
      </c>
    </row>
    <row r="1042" spans="1:12" x14ac:dyDescent="0.25">
      <c r="A1042" s="9">
        <v>45962</v>
      </c>
      <c r="B1042" t="s">
        <v>121</v>
      </c>
      <c r="C1042" t="s">
        <v>122</v>
      </c>
      <c r="D1042" t="s">
        <v>34</v>
      </c>
      <c r="E1042" t="s">
        <v>2095</v>
      </c>
      <c r="F1042" s="8">
        <v>9.9</v>
      </c>
      <c r="G1042" s="6">
        <v>27000</v>
      </c>
      <c r="H1042" s="8">
        <v>35.200000000000003</v>
      </c>
      <c r="I1042" s="7">
        <v>609.23</v>
      </c>
      <c r="J1042" s="8">
        <v>4.5999999999999996</v>
      </c>
      <c r="K1042" s="7">
        <v>22275</v>
      </c>
      <c r="L1042" s="7">
        <v>22884.23</v>
      </c>
    </row>
    <row r="1043" spans="1:12" x14ac:dyDescent="0.25">
      <c r="A1043" s="9">
        <v>45962</v>
      </c>
      <c r="B1043" t="s">
        <v>121</v>
      </c>
      <c r="C1043" t="s">
        <v>122</v>
      </c>
      <c r="D1043" t="s">
        <v>34</v>
      </c>
      <c r="E1043" t="s">
        <v>2094</v>
      </c>
      <c r="F1043" s="8">
        <v>3.6</v>
      </c>
      <c r="G1043" s="6">
        <v>41000</v>
      </c>
      <c r="H1043" s="8">
        <v>11.4</v>
      </c>
      <c r="I1043" s="7">
        <v>299.62</v>
      </c>
      <c r="J1043" s="8">
        <v>0.7</v>
      </c>
      <c r="K1043" s="7">
        <v>12300</v>
      </c>
      <c r="L1043" s="7">
        <v>12599.62</v>
      </c>
    </row>
    <row r="1044" spans="1:12" x14ac:dyDescent="0.25">
      <c r="A1044" s="9">
        <v>45962</v>
      </c>
      <c r="B1044" t="s">
        <v>121</v>
      </c>
      <c r="C1044" t="s">
        <v>122</v>
      </c>
      <c r="D1044" t="s">
        <v>34</v>
      </c>
      <c r="E1044" t="s">
        <v>2093</v>
      </c>
      <c r="F1044" s="8">
        <v>4.3</v>
      </c>
      <c r="G1044" s="6">
        <v>29000</v>
      </c>
      <c r="H1044" s="8">
        <v>32</v>
      </c>
      <c r="I1044" s="7">
        <v>594.87</v>
      </c>
      <c r="J1044" s="8">
        <v>4</v>
      </c>
      <c r="K1044" s="7">
        <v>10391.666666666701</v>
      </c>
      <c r="L1044" s="7">
        <v>10986.5366666667</v>
      </c>
    </row>
    <row r="1045" spans="1:12" x14ac:dyDescent="0.25">
      <c r="A1045" s="9">
        <v>45962</v>
      </c>
      <c r="B1045" t="s">
        <v>201</v>
      </c>
      <c r="C1045" t="s">
        <v>202</v>
      </c>
      <c r="D1045" t="s">
        <v>64</v>
      </c>
      <c r="E1045" t="s">
        <v>2097</v>
      </c>
      <c r="F1045" s="8">
        <v>15.9</v>
      </c>
      <c r="G1045" s="6">
        <v>28000</v>
      </c>
      <c r="H1045" s="8">
        <v>35.9</v>
      </c>
      <c r="I1045" s="7">
        <v>644.36</v>
      </c>
      <c r="J1045" s="8">
        <v>9.5</v>
      </c>
      <c r="K1045" s="7">
        <v>37100</v>
      </c>
      <c r="L1045" s="7">
        <v>37744.36</v>
      </c>
    </row>
    <row r="1046" spans="1:12" x14ac:dyDescent="0.25">
      <c r="A1046" s="9">
        <v>45962</v>
      </c>
      <c r="B1046" t="s">
        <v>201</v>
      </c>
      <c r="C1046" t="s">
        <v>202</v>
      </c>
      <c r="D1046" t="s">
        <v>64</v>
      </c>
      <c r="E1046" t="s">
        <v>2092</v>
      </c>
      <c r="F1046" s="8">
        <v>8.6</v>
      </c>
      <c r="G1046" s="6">
        <v>43000</v>
      </c>
      <c r="H1046" s="8">
        <v>29.2</v>
      </c>
      <c r="I1046" s="7">
        <v>804.87</v>
      </c>
      <c r="J1046" s="8">
        <v>4.4000000000000004</v>
      </c>
      <c r="K1046" s="7">
        <v>30816.666666666701</v>
      </c>
      <c r="L1046" s="7">
        <v>31621.5366666667</v>
      </c>
    </row>
    <row r="1047" spans="1:12" x14ac:dyDescent="0.25">
      <c r="A1047" s="9">
        <v>45962</v>
      </c>
      <c r="B1047" t="s">
        <v>201</v>
      </c>
      <c r="C1047" t="s">
        <v>202</v>
      </c>
      <c r="D1047" t="s">
        <v>64</v>
      </c>
      <c r="E1047" t="s">
        <v>2095</v>
      </c>
      <c r="F1047" s="8">
        <v>9.6</v>
      </c>
      <c r="G1047" s="6">
        <v>27000</v>
      </c>
      <c r="H1047" s="8">
        <v>37.5</v>
      </c>
      <c r="I1047" s="7">
        <v>649.04</v>
      </c>
      <c r="J1047" s="8">
        <v>4.0999999999999996</v>
      </c>
      <c r="K1047" s="7">
        <v>21600</v>
      </c>
      <c r="L1047" s="7">
        <v>22249.040000000001</v>
      </c>
    </row>
    <row r="1048" spans="1:12" x14ac:dyDescent="0.25">
      <c r="A1048" s="9">
        <v>45962</v>
      </c>
      <c r="B1048" t="s">
        <v>201</v>
      </c>
      <c r="C1048" t="s">
        <v>202</v>
      </c>
      <c r="D1048" t="s">
        <v>64</v>
      </c>
      <c r="E1048" t="s">
        <v>2096</v>
      </c>
      <c r="F1048" s="8">
        <v>10.8</v>
      </c>
      <c r="G1048" s="6">
        <v>35000</v>
      </c>
      <c r="H1048" s="8">
        <v>59.1</v>
      </c>
      <c r="I1048" s="7">
        <v>1325.96</v>
      </c>
      <c r="J1048" s="8">
        <v>5.5</v>
      </c>
      <c r="K1048" s="7">
        <v>31500</v>
      </c>
      <c r="L1048" s="7">
        <v>32825.96</v>
      </c>
    </row>
    <row r="1049" spans="1:12" x14ac:dyDescent="0.25">
      <c r="A1049" s="9">
        <v>45962</v>
      </c>
      <c r="B1049" t="s">
        <v>118</v>
      </c>
      <c r="C1049" t="s">
        <v>119</v>
      </c>
      <c r="D1049" t="s">
        <v>64</v>
      </c>
      <c r="E1049" t="s">
        <v>2097</v>
      </c>
      <c r="F1049" s="8">
        <v>6.5</v>
      </c>
      <c r="G1049" s="6">
        <v>28000</v>
      </c>
      <c r="H1049" s="8">
        <v>21.4</v>
      </c>
      <c r="I1049" s="7">
        <v>384.1</v>
      </c>
      <c r="J1049" s="8">
        <v>1.9</v>
      </c>
      <c r="K1049" s="7">
        <v>15166.666666666701</v>
      </c>
      <c r="L1049" s="7">
        <v>15550.766666666699</v>
      </c>
    </row>
    <row r="1050" spans="1:12" x14ac:dyDescent="0.25">
      <c r="A1050" s="9">
        <v>45962</v>
      </c>
      <c r="B1050" t="s">
        <v>118</v>
      </c>
      <c r="C1050" t="s">
        <v>119</v>
      </c>
      <c r="D1050" t="s">
        <v>64</v>
      </c>
      <c r="E1050" t="s">
        <v>2096</v>
      </c>
      <c r="F1050" s="8">
        <v>3.5</v>
      </c>
      <c r="G1050" s="6">
        <v>35000</v>
      </c>
      <c r="H1050" s="8">
        <v>9.3000000000000007</v>
      </c>
      <c r="I1050" s="7">
        <v>208.65</v>
      </c>
      <c r="J1050" s="8">
        <v>0.1</v>
      </c>
      <c r="K1050" s="7">
        <v>10208.333333333299</v>
      </c>
      <c r="L1050" s="7">
        <v>10416.983333333301</v>
      </c>
    </row>
    <row r="1051" spans="1:12" x14ac:dyDescent="0.25">
      <c r="A1051" s="9">
        <v>45962</v>
      </c>
      <c r="B1051" t="s">
        <v>118</v>
      </c>
      <c r="C1051" t="s">
        <v>119</v>
      </c>
      <c r="D1051" t="s">
        <v>64</v>
      </c>
      <c r="E1051" t="s">
        <v>2092</v>
      </c>
      <c r="F1051" s="8">
        <v>16.8</v>
      </c>
      <c r="G1051" s="6">
        <v>43000</v>
      </c>
      <c r="H1051" s="8">
        <v>67.5</v>
      </c>
      <c r="I1051" s="7">
        <v>1860.58</v>
      </c>
      <c r="J1051" s="8">
        <v>7.2</v>
      </c>
      <c r="K1051" s="7">
        <v>60200</v>
      </c>
      <c r="L1051" s="7">
        <v>62060.58</v>
      </c>
    </row>
    <row r="1052" spans="1:12" x14ac:dyDescent="0.25">
      <c r="A1052" s="9">
        <v>45962</v>
      </c>
      <c r="B1052" t="s">
        <v>118</v>
      </c>
      <c r="C1052" t="s">
        <v>119</v>
      </c>
      <c r="D1052" t="s">
        <v>64</v>
      </c>
      <c r="E1052" t="s">
        <v>2091</v>
      </c>
      <c r="F1052" s="8">
        <v>13</v>
      </c>
      <c r="G1052" s="6">
        <v>25000</v>
      </c>
      <c r="H1052" s="8">
        <v>46.8</v>
      </c>
      <c r="I1052" s="7">
        <v>750</v>
      </c>
      <c r="J1052" s="8">
        <v>7.9</v>
      </c>
      <c r="K1052" s="7">
        <v>27083.333333333299</v>
      </c>
      <c r="L1052" s="7">
        <v>27833.333333333299</v>
      </c>
    </row>
    <row r="1053" spans="1:12" x14ac:dyDescent="0.25">
      <c r="A1053" s="9">
        <v>45962</v>
      </c>
      <c r="B1053" t="s">
        <v>118</v>
      </c>
      <c r="C1053" t="s">
        <v>119</v>
      </c>
      <c r="D1053" t="s">
        <v>64</v>
      </c>
      <c r="E1053" t="s">
        <v>2095</v>
      </c>
      <c r="F1053" s="8">
        <v>8.6999999999999993</v>
      </c>
      <c r="G1053" s="6">
        <v>27000</v>
      </c>
      <c r="H1053" s="8">
        <v>50.5</v>
      </c>
      <c r="I1053" s="7">
        <v>874.04</v>
      </c>
      <c r="J1053" s="8">
        <v>4.3</v>
      </c>
      <c r="K1053" s="7">
        <v>19575</v>
      </c>
      <c r="L1053" s="7">
        <v>20449.04</v>
      </c>
    </row>
    <row r="1054" spans="1:12" x14ac:dyDescent="0.25">
      <c r="A1054" s="9">
        <v>45962</v>
      </c>
      <c r="B1054" t="s">
        <v>118</v>
      </c>
      <c r="C1054" t="s">
        <v>119</v>
      </c>
      <c r="D1054" t="s">
        <v>64</v>
      </c>
      <c r="E1054" t="s">
        <v>2094</v>
      </c>
      <c r="F1054" s="8">
        <v>10.1</v>
      </c>
      <c r="G1054" s="6">
        <v>41000</v>
      </c>
      <c r="H1054" s="8">
        <v>39.1</v>
      </c>
      <c r="I1054" s="7">
        <v>1027.6300000000001</v>
      </c>
      <c r="J1054" s="8">
        <v>6.9</v>
      </c>
      <c r="K1054" s="7">
        <v>34508.333333333299</v>
      </c>
      <c r="L1054" s="7">
        <v>35535.963333333297</v>
      </c>
    </row>
    <row r="1055" spans="1:12" x14ac:dyDescent="0.25">
      <c r="A1055" s="9">
        <v>45962</v>
      </c>
      <c r="B1055" t="s">
        <v>62</v>
      </c>
      <c r="C1055" t="s">
        <v>63</v>
      </c>
      <c r="D1055" t="s">
        <v>64</v>
      </c>
      <c r="E1055" t="s">
        <v>2093</v>
      </c>
      <c r="F1055" s="8">
        <v>8.6999999999999993</v>
      </c>
      <c r="G1055" s="6">
        <v>29000</v>
      </c>
      <c r="H1055" s="8">
        <v>41.6</v>
      </c>
      <c r="I1055" s="7">
        <v>773.33</v>
      </c>
      <c r="J1055" s="8">
        <v>4</v>
      </c>
      <c r="K1055" s="7">
        <v>21025</v>
      </c>
      <c r="L1055" s="7">
        <v>21798.33</v>
      </c>
    </row>
    <row r="1056" spans="1:12" x14ac:dyDescent="0.25">
      <c r="A1056" s="9">
        <v>45962</v>
      </c>
      <c r="B1056" t="s">
        <v>62</v>
      </c>
      <c r="C1056" t="s">
        <v>63</v>
      </c>
      <c r="D1056" t="s">
        <v>64</v>
      </c>
      <c r="E1056" t="s">
        <v>2092</v>
      </c>
      <c r="F1056" s="8">
        <v>13.8</v>
      </c>
      <c r="G1056" s="6">
        <v>43000</v>
      </c>
      <c r="H1056" s="8">
        <v>25.7</v>
      </c>
      <c r="I1056" s="7">
        <v>708.4</v>
      </c>
      <c r="J1056" s="8">
        <v>7.3</v>
      </c>
      <c r="K1056" s="7">
        <v>49450</v>
      </c>
      <c r="L1056" s="7">
        <v>50158.400000000001</v>
      </c>
    </row>
    <row r="1057" spans="1:12" x14ac:dyDescent="0.25">
      <c r="A1057" s="9">
        <v>45962</v>
      </c>
      <c r="B1057" t="s">
        <v>62</v>
      </c>
      <c r="C1057" t="s">
        <v>63</v>
      </c>
      <c r="D1057" t="s">
        <v>64</v>
      </c>
      <c r="E1057" t="s">
        <v>2095</v>
      </c>
      <c r="F1057" s="8">
        <v>11.5</v>
      </c>
      <c r="G1057" s="6">
        <v>27000</v>
      </c>
      <c r="H1057" s="8">
        <v>60.3</v>
      </c>
      <c r="I1057" s="7">
        <v>1043.6500000000001</v>
      </c>
      <c r="J1057" s="8">
        <v>5.0999999999999996</v>
      </c>
      <c r="K1057" s="7">
        <v>25875</v>
      </c>
      <c r="L1057" s="7">
        <v>26918.65</v>
      </c>
    </row>
    <row r="1058" spans="1:12" x14ac:dyDescent="0.25">
      <c r="A1058" s="9">
        <v>45962</v>
      </c>
      <c r="B1058" t="s">
        <v>62</v>
      </c>
      <c r="C1058" t="s">
        <v>63</v>
      </c>
      <c r="D1058" t="s">
        <v>64</v>
      </c>
      <c r="E1058" t="s">
        <v>2091</v>
      </c>
      <c r="F1058" s="8">
        <v>15.4</v>
      </c>
      <c r="G1058" s="6">
        <v>25000</v>
      </c>
      <c r="H1058" s="8">
        <v>68.3</v>
      </c>
      <c r="I1058" s="7">
        <v>1094.55</v>
      </c>
      <c r="J1058" s="8">
        <v>7.3</v>
      </c>
      <c r="K1058" s="7">
        <v>32083.333333333299</v>
      </c>
      <c r="L1058" s="7">
        <v>33177.883333333302</v>
      </c>
    </row>
    <row r="1059" spans="1:12" x14ac:dyDescent="0.25">
      <c r="A1059" s="9">
        <v>45962</v>
      </c>
      <c r="B1059" t="s">
        <v>62</v>
      </c>
      <c r="C1059" t="s">
        <v>63</v>
      </c>
      <c r="D1059" t="s">
        <v>64</v>
      </c>
      <c r="E1059" t="s">
        <v>2096</v>
      </c>
      <c r="F1059" s="8">
        <v>17</v>
      </c>
      <c r="G1059" s="6">
        <v>35000</v>
      </c>
      <c r="H1059" s="8">
        <v>63.3</v>
      </c>
      <c r="I1059" s="7">
        <v>1420.19</v>
      </c>
      <c r="J1059" s="8">
        <v>6</v>
      </c>
      <c r="K1059" s="7">
        <v>49583.333333333299</v>
      </c>
      <c r="L1059" s="7">
        <v>51003.523333333302</v>
      </c>
    </row>
    <row r="1060" spans="1:12" x14ac:dyDescent="0.25">
      <c r="A1060" s="9">
        <v>45962</v>
      </c>
      <c r="B1060" t="s">
        <v>62</v>
      </c>
      <c r="C1060" t="s">
        <v>63</v>
      </c>
      <c r="D1060" t="s">
        <v>64</v>
      </c>
      <c r="E1060" t="s">
        <v>2097</v>
      </c>
      <c r="F1060" s="8">
        <v>13.1</v>
      </c>
      <c r="G1060" s="6">
        <v>28000</v>
      </c>
      <c r="H1060" s="8">
        <v>48</v>
      </c>
      <c r="I1060" s="7">
        <v>861.54</v>
      </c>
      <c r="J1060" s="8">
        <v>7.5</v>
      </c>
      <c r="K1060" s="7">
        <v>30566.666666666701</v>
      </c>
      <c r="L1060" s="7">
        <v>31428.206666666701</v>
      </c>
    </row>
    <row r="1061" spans="1:12" x14ac:dyDescent="0.25">
      <c r="A1061" s="9">
        <v>45962</v>
      </c>
      <c r="B1061" t="s">
        <v>91</v>
      </c>
      <c r="C1061" t="s">
        <v>92</v>
      </c>
      <c r="D1061" t="s">
        <v>64</v>
      </c>
      <c r="E1061" t="s">
        <v>2096</v>
      </c>
      <c r="F1061" s="8">
        <v>13.4</v>
      </c>
      <c r="G1061" s="6">
        <v>35000</v>
      </c>
      <c r="H1061" s="8">
        <v>40.9</v>
      </c>
      <c r="I1061" s="7">
        <v>917.63</v>
      </c>
      <c r="J1061" s="8">
        <v>6.8</v>
      </c>
      <c r="K1061" s="7">
        <v>39083.333333333299</v>
      </c>
      <c r="L1061" s="7">
        <v>40000.963333333297</v>
      </c>
    </row>
    <row r="1062" spans="1:12" x14ac:dyDescent="0.25">
      <c r="A1062" s="9">
        <v>45962</v>
      </c>
      <c r="B1062" t="s">
        <v>91</v>
      </c>
      <c r="C1062" t="s">
        <v>92</v>
      </c>
      <c r="D1062" t="s">
        <v>64</v>
      </c>
      <c r="E1062" t="s">
        <v>2091</v>
      </c>
      <c r="F1062" s="8">
        <v>8.9</v>
      </c>
      <c r="G1062" s="6">
        <v>25000</v>
      </c>
      <c r="H1062" s="8">
        <v>25.5</v>
      </c>
      <c r="I1062" s="7">
        <v>408.65</v>
      </c>
      <c r="J1062" s="8">
        <v>4.8</v>
      </c>
      <c r="K1062" s="7">
        <v>18541.666666666701</v>
      </c>
      <c r="L1062" s="7">
        <v>18950.316666666698</v>
      </c>
    </row>
    <row r="1063" spans="1:12" x14ac:dyDescent="0.25">
      <c r="A1063" s="9">
        <v>45962</v>
      </c>
      <c r="B1063" t="s">
        <v>91</v>
      </c>
      <c r="C1063" t="s">
        <v>92</v>
      </c>
      <c r="D1063" t="s">
        <v>64</v>
      </c>
      <c r="E1063" t="s">
        <v>2092</v>
      </c>
      <c r="F1063" s="8">
        <v>18.100000000000001</v>
      </c>
      <c r="G1063" s="6">
        <v>43000</v>
      </c>
      <c r="H1063" s="8">
        <v>66.5</v>
      </c>
      <c r="I1063" s="7">
        <v>1833.01</v>
      </c>
      <c r="J1063" s="8">
        <v>8.1</v>
      </c>
      <c r="K1063" s="7">
        <v>64858.333333333299</v>
      </c>
      <c r="L1063" s="7">
        <v>66691.343333333294</v>
      </c>
    </row>
    <row r="1064" spans="1:12" x14ac:dyDescent="0.25">
      <c r="A1064" s="9">
        <v>45962</v>
      </c>
      <c r="B1064" t="s">
        <v>91</v>
      </c>
      <c r="C1064" t="s">
        <v>92</v>
      </c>
      <c r="D1064" t="s">
        <v>64</v>
      </c>
      <c r="E1064" t="s">
        <v>2093</v>
      </c>
      <c r="F1064" s="8">
        <v>4.3</v>
      </c>
      <c r="G1064" s="6">
        <v>29000</v>
      </c>
      <c r="H1064" s="8">
        <v>25.8</v>
      </c>
      <c r="I1064" s="7">
        <v>479.62</v>
      </c>
      <c r="J1064" s="8">
        <v>3.1</v>
      </c>
      <c r="K1064" s="7">
        <v>10391.666666666701</v>
      </c>
      <c r="L1064" s="7">
        <v>10871.2866666667</v>
      </c>
    </row>
    <row r="1065" spans="1:12" x14ac:dyDescent="0.25">
      <c r="A1065" s="9">
        <v>45962</v>
      </c>
      <c r="B1065" t="s">
        <v>91</v>
      </c>
      <c r="C1065" t="s">
        <v>92</v>
      </c>
      <c r="D1065" t="s">
        <v>64</v>
      </c>
      <c r="E1065" t="s">
        <v>2097</v>
      </c>
      <c r="F1065" s="8">
        <v>13.3</v>
      </c>
      <c r="G1065" s="6">
        <v>28000</v>
      </c>
      <c r="H1065" s="8">
        <v>41.1</v>
      </c>
      <c r="I1065" s="7">
        <v>737.69</v>
      </c>
      <c r="J1065" s="8">
        <v>7.1</v>
      </c>
      <c r="K1065" s="7">
        <v>31033.333333333299</v>
      </c>
      <c r="L1065" s="7">
        <v>31771.023333333302</v>
      </c>
    </row>
    <row r="1066" spans="1:12" x14ac:dyDescent="0.25">
      <c r="A1066" s="9">
        <v>45962</v>
      </c>
      <c r="B1066" t="s">
        <v>91</v>
      </c>
      <c r="C1066" t="s">
        <v>92</v>
      </c>
      <c r="D1066" t="s">
        <v>64</v>
      </c>
      <c r="E1066" t="s">
        <v>2094</v>
      </c>
      <c r="F1066" s="8">
        <v>16.7</v>
      </c>
      <c r="G1066" s="6">
        <v>41000</v>
      </c>
      <c r="H1066" s="8">
        <v>80.3</v>
      </c>
      <c r="I1066" s="7">
        <v>2110.4499999999998</v>
      </c>
      <c r="J1066" s="8">
        <v>9</v>
      </c>
      <c r="K1066" s="7">
        <v>57058.333333333299</v>
      </c>
      <c r="L1066" s="7">
        <v>59168.783333333296</v>
      </c>
    </row>
    <row r="1067" spans="1:12" x14ac:dyDescent="0.25">
      <c r="A1067" s="9">
        <v>45962</v>
      </c>
      <c r="B1067" t="s">
        <v>80</v>
      </c>
      <c r="C1067" t="s">
        <v>81</v>
      </c>
      <c r="D1067" t="s">
        <v>64</v>
      </c>
      <c r="E1067" t="s">
        <v>2095</v>
      </c>
      <c r="F1067" s="8">
        <v>6.8</v>
      </c>
      <c r="G1067" s="6">
        <v>27000</v>
      </c>
      <c r="H1067" s="8">
        <v>9.9</v>
      </c>
      <c r="I1067" s="7">
        <v>171.35</v>
      </c>
      <c r="J1067" s="8">
        <v>4.4000000000000004</v>
      </c>
      <c r="K1067" s="7">
        <v>15300</v>
      </c>
      <c r="L1067" s="7">
        <v>15471.35</v>
      </c>
    </row>
    <row r="1068" spans="1:12" x14ac:dyDescent="0.25">
      <c r="A1068" s="9">
        <v>45962</v>
      </c>
      <c r="B1068" t="s">
        <v>80</v>
      </c>
      <c r="C1068" t="s">
        <v>81</v>
      </c>
      <c r="D1068" t="s">
        <v>64</v>
      </c>
      <c r="E1068" t="s">
        <v>2092</v>
      </c>
      <c r="F1068" s="8">
        <v>9.6999999999999993</v>
      </c>
      <c r="G1068" s="6">
        <v>43000</v>
      </c>
      <c r="H1068" s="8">
        <v>30.5</v>
      </c>
      <c r="I1068" s="7">
        <v>840.71</v>
      </c>
      <c r="J1068" s="8">
        <v>4.5</v>
      </c>
      <c r="K1068" s="7">
        <v>34758.333333333299</v>
      </c>
      <c r="L1068" s="7">
        <v>35599.043333333299</v>
      </c>
    </row>
    <row r="1069" spans="1:12" x14ac:dyDescent="0.25">
      <c r="A1069" s="9">
        <v>45962</v>
      </c>
      <c r="B1069" t="s">
        <v>80</v>
      </c>
      <c r="C1069" t="s">
        <v>81</v>
      </c>
      <c r="D1069" t="s">
        <v>64</v>
      </c>
      <c r="E1069" t="s">
        <v>2094</v>
      </c>
      <c r="F1069" s="8">
        <v>11.1</v>
      </c>
      <c r="G1069" s="6">
        <v>41000</v>
      </c>
      <c r="H1069" s="8">
        <v>88.3</v>
      </c>
      <c r="I1069" s="7">
        <v>2320.71</v>
      </c>
      <c r="J1069" s="8">
        <v>5.9</v>
      </c>
      <c r="K1069" s="7">
        <v>37925</v>
      </c>
      <c r="L1069" s="7">
        <v>40245.71</v>
      </c>
    </row>
    <row r="1070" spans="1:12" x14ac:dyDescent="0.25">
      <c r="A1070" s="9">
        <v>45962</v>
      </c>
      <c r="B1070" t="s">
        <v>80</v>
      </c>
      <c r="C1070" t="s">
        <v>81</v>
      </c>
      <c r="D1070" t="s">
        <v>64</v>
      </c>
      <c r="E1070" t="s">
        <v>2091</v>
      </c>
      <c r="F1070" s="8">
        <v>17.2</v>
      </c>
      <c r="G1070" s="6">
        <v>25000</v>
      </c>
      <c r="H1070" s="8">
        <v>58.8</v>
      </c>
      <c r="I1070" s="7">
        <v>942.31</v>
      </c>
      <c r="J1070" s="8">
        <v>6.4</v>
      </c>
      <c r="K1070" s="7">
        <v>35833.333333333299</v>
      </c>
      <c r="L1070" s="7">
        <v>36775.643333333297</v>
      </c>
    </row>
    <row r="1071" spans="1:12" x14ac:dyDescent="0.25">
      <c r="A1071" s="9">
        <v>45962</v>
      </c>
      <c r="B1071" t="s">
        <v>80</v>
      </c>
      <c r="C1071" t="s">
        <v>81</v>
      </c>
      <c r="D1071" t="s">
        <v>64</v>
      </c>
      <c r="E1071" t="s">
        <v>2097</v>
      </c>
      <c r="F1071" s="8">
        <v>13</v>
      </c>
      <c r="G1071" s="6">
        <v>28000</v>
      </c>
      <c r="H1071" s="8">
        <v>79.099999999999994</v>
      </c>
      <c r="I1071" s="7">
        <v>1419.74</v>
      </c>
      <c r="J1071" s="8">
        <v>5.2</v>
      </c>
      <c r="K1071" s="7">
        <v>30333.333333333299</v>
      </c>
      <c r="L1071" s="7">
        <v>31753.073333333301</v>
      </c>
    </row>
    <row r="1072" spans="1:12" x14ac:dyDescent="0.25">
      <c r="A1072" s="9">
        <v>45962</v>
      </c>
      <c r="B1072" t="s">
        <v>80</v>
      </c>
      <c r="C1072" t="s">
        <v>81</v>
      </c>
      <c r="D1072" t="s">
        <v>64</v>
      </c>
      <c r="E1072" t="s">
        <v>2093</v>
      </c>
      <c r="F1072" s="8">
        <v>15.9</v>
      </c>
      <c r="G1072" s="6">
        <v>29000</v>
      </c>
      <c r="H1072" s="8">
        <v>39.700000000000003</v>
      </c>
      <c r="I1072" s="7">
        <v>738.01</v>
      </c>
      <c r="J1072" s="8">
        <v>7.6</v>
      </c>
      <c r="K1072" s="7">
        <v>38425</v>
      </c>
      <c r="L1072" s="7">
        <v>39163.01</v>
      </c>
    </row>
    <row r="1073" spans="1:12" x14ac:dyDescent="0.25">
      <c r="A1073" s="9">
        <v>45962</v>
      </c>
      <c r="B1073" t="s">
        <v>56</v>
      </c>
      <c r="C1073" t="s">
        <v>57</v>
      </c>
      <c r="D1073" t="s">
        <v>58</v>
      </c>
      <c r="E1073" t="s">
        <v>2093</v>
      </c>
      <c r="F1073" s="8">
        <v>13.2</v>
      </c>
      <c r="G1073" s="6">
        <v>29000</v>
      </c>
      <c r="H1073" s="8">
        <v>80.8</v>
      </c>
      <c r="I1073" s="7">
        <v>1502.05</v>
      </c>
      <c r="J1073" s="8">
        <v>7.4</v>
      </c>
      <c r="K1073" s="7">
        <v>31900</v>
      </c>
      <c r="L1073" s="7">
        <v>33402.050000000003</v>
      </c>
    </row>
    <row r="1074" spans="1:12" x14ac:dyDescent="0.25">
      <c r="A1074" s="9">
        <v>45962</v>
      </c>
      <c r="B1074" t="s">
        <v>56</v>
      </c>
      <c r="C1074" t="s">
        <v>57</v>
      </c>
      <c r="D1074" t="s">
        <v>58</v>
      </c>
      <c r="E1074" t="s">
        <v>2097</v>
      </c>
      <c r="F1074" s="8">
        <v>5.5</v>
      </c>
      <c r="G1074" s="6">
        <v>28000</v>
      </c>
      <c r="H1074" s="8">
        <v>20.7</v>
      </c>
      <c r="I1074" s="7">
        <v>371.54</v>
      </c>
      <c r="J1074" s="8">
        <v>3.1</v>
      </c>
      <c r="K1074" s="7">
        <v>12833.333333333299</v>
      </c>
      <c r="L1074" s="7">
        <v>13204.8733333333</v>
      </c>
    </row>
    <row r="1075" spans="1:12" x14ac:dyDescent="0.25">
      <c r="A1075" s="9">
        <v>45962</v>
      </c>
      <c r="B1075" t="s">
        <v>56</v>
      </c>
      <c r="C1075" t="s">
        <v>57</v>
      </c>
      <c r="D1075" t="s">
        <v>58</v>
      </c>
      <c r="E1075" t="s">
        <v>2095</v>
      </c>
      <c r="F1075" s="8">
        <v>7.1</v>
      </c>
      <c r="G1075" s="6">
        <v>27000</v>
      </c>
      <c r="H1075" s="8">
        <v>22</v>
      </c>
      <c r="I1075" s="7">
        <v>380.77</v>
      </c>
      <c r="J1075" s="8">
        <v>3.7</v>
      </c>
      <c r="K1075" s="7">
        <v>15975</v>
      </c>
      <c r="L1075" s="7">
        <v>16355.77</v>
      </c>
    </row>
    <row r="1076" spans="1:12" x14ac:dyDescent="0.25">
      <c r="A1076" s="9">
        <v>45962</v>
      </c>
      <c r="B1076" t="s">
        <v>56</v>
      </c>
      <c r="C1076" t="s">
        <v>57</v>
      </c>
      <c r="D1076" t="s">
        <v>58</v>
      </c>
      <c r="E1076" t="s">
        <v>2092</v>
      </c>
      <c r="F1076" s="8">
        <v>7.7</v>
      </c>
      <c r="G1076" s="6">
        <v>43000</v>
      </c>
      <c r="H1076" s="8">
        <v>31.6</v>
      </c>
      <c r="I1076" s="7">
        <v>871.03</v>
      </c>
      <c r="J1076" s="8">
        <v>4.8</v>
      </c>
      <c r="K1076" s="7">
        <v>27591.666666666701</v>
      </c>
      <c r="L1076" s="7">
        <v>28462.696666666699</v>
      </c>
    </row>
    <row r="1077" spans="1:12" x14ac:dyDescent="0.25">
      <c r="A1077" s="9">
        <v>45962</v>
      </c>
      <c r="B1077" t="s">
        <v>56</v>
      </c>
      <c r="C1077" t="s">
        <v>57</v>
      </c>
      <c r="D1077" t="s">
        <v>58</v>
      </c>
      <c r="E1077" t="s">
        <v>2094</v>
      </c>
      <c r="F1077" s="8">
        <v>8.6999999999999993</v>
      </c>
      <c r="G1077" s="6">
        <v>41000</v>
      </c>
      <c r="H1077" s="8">
        <v>47.4</v>
      </c>
      <c r="I1077" s="7">
        <v>1245.77</v>
      </c>
      <c r="J1077" s="8">
        <v>4.8</v>
      </c>
      <c r="K1077" s="7">
        <v>29725</v>
      </c>
      <c r="L1077" s="7">
        <v>30970.77</v>
      </c>
    </row>
    <row r="1078" spans="1:12" x14ac:dyDescent="0.25">
      <c r="A1078" s="9">
        <v>45962</v>
      </c>
      <c r="B1078" t="s">
        <v>77</v>
      </c>
      <c r="C1078" t="s">
        <v>78</v>
      </c>
      <c r="D1078" t="s">
        <v>58</v>
      </c>
      <c r="E1078" t="s">
        <v>2091</v>
      </c>
      <c r="F1078" s="8">
        <v>5.2</v>
      </c>
      <c r="G1078" s="6">
        <v>25000</v>
      </c>
      <c r="H1078" s="8">
        <v>18</v>
      </c>
      <c r="I1078" s="7">
        <v>288.45999999999998</v>
      </c>
      <c r="J1078" s="8">
        <v>3.3</v>
      </c>
      <c r="K1078" s="7">
        <v>10833.333333333299</v>
      </c>
      <c r="L1078" s="7">
        <v>11121.7933333333</v>
      </c>
    </row>
    <row r="1079" spans="1:12" x14ac:dyDescent="0.25">
      <c r="A1079" s="9">
        <v>45962</v>
      </c>
      <c r="B1079" t="s">
        <v>77</v>
      </c>
      <c r="C1079" t="s">
        <v>78</v>
      </c>
      <c r="D1079" t="s">
        <v>58</v>
      </c>
      <c r="E1079" t="s">
        <v>2094</v>
      </c>
      <c r="F1079" s="8">
        <v>12.1</v>
      </c>
      <c r="G1079" s="6">
        <v>41000</v>
      </c>
      <c r="H1079" s="8">
        <v>46.7</v>
      </c>
      <c r="I1079" s="7">
        <v>1227.3699999999999</v>
      </c>
      <c r="J1079" s="8">
        <v>5</v>
      </c>
      <c r="K1079" s="7">
        <v>41341.666666666701</v>
      </c>
      <c r="L1079" s="7">
        <v>42569.036666666703</v>
      </c>
    </row>
    <row r="1080" spans="1:12" x14ac:dyDescent="0.25">
      <c r="A1080" s="9">
        <v>45962</v>
      </c>
      <c r="B1080" t="s">
        <v>77</v>
      </c>
      <c r="C1080" t="s">
        <v>78</v>
      </c>
      <c r="D1080" t="s">
        <v>58</v>
      </c>
      <c r="E1080" t="s">
        <v>2097</v>
      </c>
      <c r="F1080" s="8">
        <v>19</v>
      </c>
      <c r="G1080" s="6">
        <v>28000</v>
      </c>
      <c r="H1080" s="8">
        <v>64.5</v>
      </c>
      <c r="I1080" s="7">
        <v>1157.69</v>
      </c>
      <c r="J1080" s="8">
        <v>9.6</v>
      </c>
      <c r="K1080" s="7">
        <v>44333.333333333299</v>
      </c>
      <c r="L1080" s="7">
        <v>45491.023333333302</v>
      </c>
    </row>
    <row r="1081" spans="1:12" x14ac:dyDescent="0.25">
      <c r="A1081" s="9">
        <v>45962</v>
      </c>
      <c r="B1081" t="s">
        <v>77</v>
      </c>
      <c r="C1081" t="s">
        <v>78</v>
      </c>
      <c r="D1081" t="s">
        <v>58</v>
      </c>
      <c r="E1081" t="s">
        <v>2095</v>
      </c>
      <c r="F1081" s="8">
        <v>3.7</v>
      </c>
      <c r="G1081" s="6">
        <v>27000</v>
      </c>
      <c r="H1081" s="8">
        <v>19.899999999999999</v>
      </c>
      <c r="I1081" s="7">
        <v>344.42</v>
      </c>
      <c r="J1081" s="8">
        <v>1.7</v>
      </c>
      <c r="K1081" s="7">
        <v>8325</v>
      </c>
      <c r="L1081" s="7">
        <v>8669.42</v>
      </c>
    </row>
    <row r="1082" spans="1:12" x14ac:dyDescent="0.25">
      <c r="A1082" s="9">
        <v>45962</v>
      </c>
      <c r="B1082" t="s">
        <v>110</v>
      </c>
      <c r="C1082" t="s">
        <v>111</v>
      </c>
      <c r="D1082" t="s">
        <v>58</v>
      </c>
      <c r="E1082" t="s">
        <v>2095</v>
      </c>
      <c r="F1082" s="8">
        <v>18.899999999999999</v>
      </c>
      <c r="G1082" s="6">
        <v>27000</v>
      </c>
      <c r="H1082" s="8">
        <v>41.3</v>
      </c>
      <c r="I1082" s="7">
        <v>714.81</v>
      </c>
      <c r="J1082" s="8">
        <v>9.5</v>
      </c>
      <c r="K1082" s="7">
        <v>42525</v>
      </c>
      <c r="L1082" s="7">
        <v>43239.81</v>
      </c>
    </row>
    <row r="1083" spans="1:12" x14ac:dyDescent="0.25">
      <c r="A1083" s="9">
        <v>45962</v>
      </c>
      <c r="B1083" t="s">
        <v>110</v>
      </c>
      <c r="C1083" t="s">
        <v>111</v>
      </c>
      <c r="D1083" t="s">
        <v>58</v>
      </c>
      <c r="E1083" t="s">
        <v>2091</v>
      </c>
      <c r="F1083" s="8">
        <v>10.3</v>
      </c>
      <c r="G1083" s="6">
        <v>25000</v>
      </c>
      <c r="H1083" s="8">
        <v>43</v>
      </c>
      <c r="I1083" s="7">
        <v>689.1</v>
      </c>
      <c r="J1083" s="8">
        <v>5.3</v>
      </c>
      <c r="K1083" s="7">
        <v>21458.333333333299</v>
      </c>
      <c r="L1083" s="7">
        <v>22147.433333333302</v>
      </c>
    </row>
    <row r="1084" spans="1:12" x14ac:dyDescent="0.25">
      <c r="A1084" s="9">
        <v>45962</v>
      </c>
      <c r="B1084" t="s">
        <v>110</v>
      </c>
      <c r="C1084" t="s">
        <v>111</v>
      </c>
      <c r="D1084" t="s">
        <v>58</v>
      </c>
      <c r="E1084" t="s">
        <v>2094</v>
      </c>
      <c r="F1084" s="8">
        <v>19.399999999999999</v>
      </c>
      <c r="G1084" s="6">
        <v>41000</v>
      </c>
      <c r="H1084" s="8">
        <v>104.4</v>
      </c>
      <c r="I1084" s="7">
        <v>2743.85</v>
      </c>
      <c r="J1084" s="8">
        <v>10.7</v>
      </c>
      <c r="K1084" s="7">
        <v>66283.333333333299</v>
      </c>
      <c r="L1084" s="7">
        <v>69027.183333333305</v>
      </c>
    </row>
    <row r="1085" spans="1:12" x14ac:dyDescent="0.25">
      <c r="A1085" s="9">
        <v>45962</v>
      </c>
      <c r="B1085" t="s">
        <v>110</v>
      </c>
      <c r="C1085" t="s">
        <v>111</v>
      </c>
      <c r="D1085" t="s">
        <v>58</v>
      </c>
      <c r="E1085" t="s">
        <v>2093</v>
      </c>
      <c r="F1085" s="8">
        <v>15.6</v>
      </c>
      <c r="G1085" s="6">
        <v>29000</v>
      </c>
      <c r="H1085" s="8">
        <v>48.5</v>
      </c>
      <c r="I1085" s="7">
        <v>901.6</v>
      </c>
      <c r="J1085" s="8">
        <v>7.2</v>
      </c>
      <c r="K1085" s="7">
        <v>37700</v>
      </c>
      <c r="L1085" s="7">
        <v>38601.599999999999</v>
      </c>
    </row>
    <row r="1086" spans="1:12" x14ac:dyDescent="0.25">
      <c r="A1086" s="9">
        <v>45962</v>
      </c>
      <c r="B1086" t="s">
        <v>110</v>
      </c>
      <c r="C1086" t="s">
        <v>111</v>
      </c>
      <c r="D1086" t="s">
        <v>58</v>
      </c>
      <c r="E1086" t="s">
        <v>2096</v>
      </c>
      <c r="F1086" s="8">
        <v>11.8</v>
      </c>
      <c r="G1086" s="6">
        <v>35000</v>
      </c>
      <c r="H1086" s="8">
        <v>28.8</v>
      </c>
      <c r="I1086" s="7">
        <v>646.15</v>
      </c>
      <c r="J1086" s="8">
        <v>6.6</v>
      </c>
      <c r="K1086" s="7">
        <v>34416.666666666701</v>
      </c>
      <c r="L1086" s="7">
        <v>35062.816666666702</v>
      </c>
    </row>
    <row r="1087" spans="1:12" x14ac:dyDescent="0.25">
      <c r="A1087" s="9">
        <v>45962</v>
      </c>
      <c r="B1087" t="s">
        <v>85</v>
      </c>
      <c r="C1087" t="s">
        <v>86</v>
      </c>
      <c r="D1087" t="s">
        <v>58</v>
      </c>
      <c r="E1087" t="s">
        <v>2091</v>
      </c>
      <c r="F1087" s="8">
        <v>16.3</v>
      </c>
      <c r="G1087" s="6">
        <v>25000</v>
      </c>
      <c r="H1087" s="8">
        <v>100.6</v>
      </c>
      <c r="I1087" s="7">
        <v>1612.18</v>
      </c>
      <c r="J1087" s="8">
        <v>7.8</v>
      </c>
      <c r="K1087" s="7">
        <v>33958.333333333299</v>
      </c>
      <c r="L1087" s="7">
        <v>35570.5133333333</v>
      </c>
    </row>
    <row r="1088" spans="1:12" x14ac:dyDescent="0.25">
      <c r="A1088" s="9">
        <v>45962</v>
      </c>
      <c r="B1088" t="s">
        <v>85</v>
      </c>
      <c r="C1088" t="s">
        <v>86</v>
      </c>
      <c r="D1088" t="s">
        <v>58</v>
      </c>
      <c r="E1088" t="s">
        <v>2095</v>
      </c>
      <c r="F1088" s="8">
        <v>3.3</v>
      </c>
      <c r="G1088" s="6">
        <v>27000</v>
      </c>
      <c r="H1088" s="8">
        <v>12</v>
      </c>
      <c r="I1088" s="7">
        <v>207.69</v>
      </c>
      <c r="J1088" s="8">
        <v>3.1</v>
      </c>
      <c r="K1088" s="7">
        <v>7425</v>
      </c>
      <c r="L1088" s="7">
        <v>7632.69</v>
      </c>
    </row>
    <row r="1089" spans="1:12" x14ac:dyDescent="0.25">
      <c r="A1089" s="9">
        <v>45962</v>
      </c>
      <c r="B1089" t="s">
        <v>85</v>
      </c>
      <c r="C1089" t="s">
        <v>86</v>
      </c>
      <c r="D1089" t="s">
        <v>58</v>
      </c>
      <c r="E1089" t="s">
        <v>2093</v>
      </c>
      <c r="F1089" s="8">
        <v>3.7</v>
      </c>
      <c r="G1089" s="6">
        <v>29000</v>
      </c>
      <c r="H1089" s="8">
        <v>17.600000000000001</v>
      </c>
      <c r="I1089" s="7">
        <v>327.18</v>
      </c>
      <c r="J1089" s="8">
        <v>2.2999999999999998</v>
      </c>
      <c r="K1089" s="7">
        <v>8941.6666666666697</v>
      </c>
      <c r="L1089" s="7">
        <v>9268.84666666667</v>
      </c>
    </row>
    <row r="1090" spans="1:12" x14ac:dyDescent="0.25">
      <c r="A1090" s="9">
        <v>45962</v>
      </c>
      <c r="B1090" t="s">
        <v>85</v>
      </c>
      <c r="C1090" t="s">
        <v>86</v>
      </c>
      <c r="D1090" t="s">
        <v>58</v>
      </c>
      <c r="E1090" t="s">
        <v>2096</v>
      </c>
      <c r="F1090" s="8">
        <v>6.3</v>
      </c>
      <c r="G1090" s="6">
        <v>35000</v>
      </c>
      <c r="H1090" s="8">
        <v>13.9</v>
      </c>
      <c r="I1090" s="7">
        <v>311.86</v>
      </c>
      <c r="J1090" s="8">
        <v>3.8</v>
      </c>
      <c r="K1090" s="7">
        <v>18375</v>
      </c>
      <c r="L1090" s="7">
        <v>18686.86</v>
      </c>
    </row>
    <row r="1091" spans="1:12" x14ac:dyDescent="0.25">
      <c r="A1091" s="9">
        <v>45962</v>
      </c>
      <c r="B1091" t="s">
        <v>103</v>
      </c>
      <c r="C1091" t="s">
        <v>104</v>
      </c>
      <c r="D1091" t="s">
        <v>58</v>
      </c>
      <c r="E1091" t="s">
        <v>2092</v>
      </c>
      <c r="F1091" s="8">
        <v>9.8000000000000007</v>
      </c>
      <c r="G1091" s="6">
        <v>43000</v>
      </c>
      <c r="H1091" s="8">
        <v>25.5</v>
      </c>
      <c r="I1091" s="7">
        <v>702.88</v>
      </c>
      <c r="J1091" s="8">
        <v>3.8</v>
      </c>
      <c r="K1091" s="7">
        <v>35116.666666666701</v>
      </c>
      <c r="L1091" s="7">
        <v>35819.546666666698</v>
      </c>
    </row>
    <row r="1092" spans="1:12" x14ac:dyDescent="0.25">
      <c r="A1092" s="9">
        <v>45962</v>
      </c>
      <c r="B1092" t="s">
        <v>103</v>
      </c>
      <c r="C1092" t="s">
        <v>104</v>
      </c>
      <c r="D1092" t="s">
        <v>58</v>
      </c>
      <c r="E1092" t="s">
        <v>2093</v>
      </c>
      <c r="F1092" s="8">
        <v>13.3</v>
      </c>
      <c r="G1092" s="6">
        <v>29000</v>
      </c>
      <c r="H1092" s="8">
        <v>46.3</v>
      </c>
      <c r="I1092" s="7">
        <v>860.71</v>
      </c>
      <c r="J1092" s="8">
        <v>6.1</v>
      </c>
      <c r="K1092" s="7">
        <v>32141.666666666701</v>
      </c>
      <c r="L1092" s="7">
        <v>33002.3766666667</v>
      </c>
    </row>
    <row r="1093" spans="1:12" x14ac:dyDescent="0.25">
      <c r="A1093" s="9">
        <v>45962</v>
      </c>
      <c r="B1093" t="s">
        <v>103</v>
      </c>
      <c r="C1093" t="s">
        <v>104</v>
      </c>
      <c r="D1093" t="s">
        <v>58</v>
      </c>
      <c r="E1093" t="s">
        <v>2094</v>
      </c>
      <c r="F1093" s="8">
        <v>16.899999999999999</v>
      </c>
      <c r="G1093" s="6">
        <v>41000</v>
      </c>
      <c r="H1093" s="8">
        <v>62</v>
      </c>
      <c r="I1093" s="7">
        <v>1629.49</v>
      </c>
      <c r="J1093" s="8">
        <v>7</v>
      </c>
      <c r="K1093" s="7">
        <v>57741.666666666701</v>
      </c>
      <c r="L1093" s="7">
        <v>59371.156666666699</v>
      </c>
    </row>
    <row r="1094" spans="1:12" x14ac:dyDescent="0.25">
      <c r="A1094" s="9">
        <v>45962</v>
      </c>
      <c r="B1094" t="s">
        <v>103</v>
      </c>
      <c r="C1094" t="s">
        <v>104</v>
      </c>
      <c r="D1094" t="s">
        <v>58</v>
      </c>
      <c r="E1094" t="s">
        <v>2096</v>
      </c>
      <c r="F1094" s="8">
        <v>16</v>
      </c>
      <c r="G1094" s="6">
        <v>35000</v>
      </c>
      <c r="H1094" s="8">
        <v>87</v>
      </c>
      <c r="I1094" s="7">
        <v>1951.92</v>
      </c>
      <c r="J1094" s="8">
        <v>9.1</v>
      </c>
      <c r="K1094" s="7">
        <v>46666.666666666701</v>
      </c>
      <c r="L1094" s="7">
        <v>48618.586666666699</v>
      </c>
    </row>
    <row r="1095" spans="1:12" x14ac:dyDescent="0.25">
      <c r="A1095" s="9">
        <v>45992</v>
      </c>
      <c r="B1095" t="s">
        <v>100</v>
      </c>
      <c r="C1095" t="s">
        <v>101</v>
      </c>
      <c r="D1095" t="s">
        <v>69</v>
      </c>
      <c r="E1095" t="s">
        <v>2093</v>
      </c>
      <c r="F1095" s="8">
        <v>19</v>
      </c>
      <c r="G1095" s="6">
        <v>29000</v>
      </c>
      <c r="H1095" s="8">
        <v>20.5</v>
      </c>
      <c r="I1095" s="7">
        <v>381.09</v>
      </c>
      <c r="J1095" s="8">
        <v>10.5</v>
      </c>
      <c r="K1095" s="7">
        <v>45916.666666666701</v>
      </c>
      <c r="L1095" s="7">
        <v>46297.756666666697</v>
      </c>
    </row>
    <row r="1096" spans="1:12" x14ac:dyDescent="0.25">
      <c r="A1096" s="9">
        <v>45992</v>
      </c>
      <c r="B1096" t="s">
        <v>100</v>
      </c>
      <c r="C1096" t="s">
        <v>101</v>
      </c>
      <c r="D1096" t="s">
        <v>69</v>
      </c>
      <c r="E1096" t="s">
        <v>2095</v>
      </c>
      <c r="F1096" s="8">
        <v>6.6</v>
      </c>
      <c r="G1096" s="6">
        <v>27000</v>
      </c>
      <c r="H1096" s="8">
        <v>18.399999999999999</v>
      </c>
      <c r="I1096" s="7">
        <v>318.45999999999998</v>
      </c>
      <c r="J1096" s="8">
        <v>4.2</v>
      </c>
      <c r="K1096" s="7">
        <v>14850</v>
      </c>
      <c r="L1096" s="7">
        <v>15168.46</v>
      </c>
    </row>
    <row r="1097" spans="1:12" x14ac:dyDescent="0.25">
      <c r="A1097" s="9">
        <v>45992</v>
      </c>
      <c r="B1097" t="s">
        <v>100</v>
      </c>
      <c r="C1097" t="s">
        <v>101</v>
      </c>
      <c r="D1097" t="s">
        <v>69</v>
      </c>
      <c r="E1097" t="s">
        <v>2096</v>
      </c>
      <c r="F1097" s="8">
        <v>19.2</v>
      </c>
      <c r="G1097" s="6">
        <v>35000</v>
      </c>
      <c r="H1097" s="8">
        <v>74.8</v>
      </c>
      <c r="I1097" s="7">
        <v>1678.21</v>
      </c>
      <c r="J1097" s="8">
        <v>9.6</v>
      </c>
      <c r="K1097" s="7">
        <v>56000</v>
      </c>
      <c r="L1097" s="7">
        <v>57678.21</v>
      </c>
    </row>
    <row r="1098" spans="1:12" x14ac:dyDescent="0.25">
      <c r="A1098" s="9">
        <v>45992</v>
      </c>
      <c r="B1098" t="s">
        <v>100</v>
      </c>
      <c r="C1098" t="s">
        <v>101</v>
      </c>
      <c r="D1098" t="s">
        <v>69</v>
      </c>
      <c r="E1098" t="s">
        <v>2091</v>
      </c>
      <c r="F1098" s="8">
        <v>16</v>
      </c>
      <c r="G1098" s="6">
        <v>25000</v>
      </c>
      <c r="H1098" s="8">
        <v>59.6</v>
      </c>
      <c r="I1098" s="7">
        <v>955.13</v>
      </c>
      <c r="J1098" s="8">
        <v>9.1999999999999993</v>
      </c>
      <c r="K1098" s="7">
        <v>33333.333333333299</v>
      </c>
      <c r="L1098" s="7">
        <v>34288.463333333297</v>
      </c>
    </row>
    <row r="1099" spans="1:12" x14ac:dyDescent="0.25">
      <c r="A1099" s="9">
        <v>45992</v>
      </c>
      <c r="B1099" t="s">
        <v>100</v>
      </c>
      <c r="C1099" t="s">
        <v>101</v>
      </c>
      <c r="D1099" t="s">
        <v>69</v>
      </c>
      <c r="E1099" t="s">
        <v>2097</v>
      </c>
      <c r="F1099" s="8">
        <v>7.3</v>
      </c>
      <c r="G1099" s="6">
        <v>28000</v>
      </c>
      <c r="H1099" s="8">
        <v>15.6</v>
      </c>
      <c r="I1099" s="7">
        <v>280</v>
      </c>
      <c r="J1099" s="8">
        <v>4.3</v>
      </c>
      <c r="K1099" s="7">
        <v>17033.333333333299</v>
      </c>
      <c r="L1099" s="7">
        <v>17313.333333333299</v>
      </c>
    </row>
    <row r="1100" spans="1:12" x14ac:dyDescent="0.25">
      <c r="A1100" s="9">
        <v>45992</v>
      </c>
      <c r="B1100" t="s">
        <v>113</v>
      </c>
      <c r="C1100" t="s">
        <v>114</v>
      </c>
      <c r="D1100" t="s">
        <v>69</v>
      </c>
      <c r="E1100" t="s">
        <v>2094</v>
      </c>
      <c r="F1100" s="8">
        <v>12.7</v>
      </c>
      <c r="G1100" s="6">
        <v>41000</v>
      </c>
      <c r="H1100" s="8">
        <v>71.8</v>
      </c>
      <c r="I1100" s="7">
        <v>1887.05</v>
      </c>
      <c r="J1100" s="8">
        <v>7.1</v>
      </c>
      <c r="K1100" s="7">
        <v>43391.666666666701</v>
      </c>
      <c r="L1100" s="7">
        <v>45278.716666666704</v>
      </c>
    </row>
    <row r="1101" spans="1:12" x14ac:dyDescent="0.25">
      <c r="A1101" s="9">
        <v>45992</v>
      </c>
      <c r="B1101" t="s">
        <v>113</v>
      </c>
      <c r="C1101" t="s">
        <v>114</v>
      </c>
      <c r="D1101" t="s">
        <v>69</v>
      </c>
      <c r="E1101" t="s">
        <v>2091</v>
      </c>
      <c r="F1101" s="8">
        <v>11.3</v>
      </c>
      <c r="G1101" s="6">
        <v>25000</v>
      </c>
      <c r="H1101" s="8">
        <v>84.6</v>
      </c>
      <c r="I1101" s="7">
        <v>1355.77</v>
      </c>
      <c r="J1101" s="8">
        <v>5.0999999999999996</v>
      </c>
      <c r="K1101" s="7">
        <v>23541.666666666701</v>
      </c>
      <c r="L1101" s="7">
        <v>24897.436666666701</v>
      </c>
    </row>
    <row r="1102" spans="1:12" x14ac:dyDescent="0.25">
      <c r="A1102" s="9">
        <v>45992</v>
      </c>
      <c r="B1102" t="s">
        <v>113</v>
      </c>
      <c r="C1102" t="s">
        <v>114</v>
      </c>
      <c r="D1102" t="s">
        <v>69</v>
      </c>
      <c r="E1102" t="s">
        <v>2096</v>
      </c>
      <c r="F1102" s="8">
        <v>17.399999999999999</v>
      </c>
      <c r="G1102" s="6">
        <v>35000</v>
      </c>
      <c r="H1102" s="8">
        <v>94.6</v>
      </c>
      <c r="I1102" s="7">
        <v>2122.44</v>
      </c>
      <c r="J1102" s="8">
        <v>8.6</v>
      </c>
      <c r="K1102" s="7">
        <v>50750</v>
      </c>
      <c r="L1102" s="7">
        <v>52872.44</v>
      </c>
    </row>
    <row r="1103" spans="1:12" x14ac:dyDescent="0.25">
      <c r="A1103" s="9">
        <v>45992</v>
      </c>
      <c r="B1103" t="s">
        <v>113</v>
      </c>
      <c r="C1103" t="s">
        <v>114</v>
      </c>
      <c r="D1103" t="s">
        <v>69</v>
      </c>
      <c r="E1103" t="s">
        <v>2093</v>
      </c>
      <c r="F1103" s="8">
        <v>10.199999999999999</v>
      </c>
      <c r="G1103" s="6">
        <v>29000</v>
      </c>
      <c r="H1103" s="8">
        <v>59.7</v>
      </c>
      <c r="I1103" s="7">
        <v>1109.81</v>
      </c>
      <c r="J1103" s="8">
        <v>5.0999999999999996</v>
      </c>
      <c r="K1103" s="7">
        <v>24650</v>
      </c>
      <c r="L1103" s="7">
        <v>25759.81</v>
      </c>
    </row>
    <row r="1104" spans="1:12" x14ac:dyDescent="0.25">
      <c r="A1104" s="9">
        <v>45992</v>
      </c>
      <c r="B1104" t="s">
        <v>113</v>
      </c>
      <c r="C1104" t="s">
        <v>114</v>
      </c>
      <c r="D1104" t="s">
        <v>69</v>
      </c>
      <c r="E1104" t="s">
        <v>2092</v>
      </c>
      <c r="F1104" s="8">
        <v>12.5</v>
      </c>
      <c r="G1104" s="6">
        <v>43000</v>
      </c>
      <c r="H1104" s="8">
        <v>42.7</v>
      </c>
      <c r="I1104" s="7">
        <v>1176.99</v>
      </c>
      <c r="J1104" s="8">
        <v>7.6</v>
      </c>
      <c r="K1104" s="7">
        <v>44791.666666666701</v>
      </c>
      <c r="L1104" s="7">
        <v>45968.656666666699</v>
      </c>
    </row>
    <row r="1105" spans="1:12" x14ac:dyDescent="0.25">
      <c r="A1105" s="9">
        <v>45992</v>
      </c>
      <c r="B1105" t="s">
        <v>143</v>
      </c>
      <c r="C1105" t="s">
        <v>144</v>
      </c>
      <c r="D1105" t="s">
        <v>69</v>
      </c>
      <c r="E1105" t="s">
        <v>2092</v>
      </c>
      <c r="F1105" s="8">
        <v>7.9</v>
      </c>
      <c r="G1105" s="6">
        <v>43000</v>
      </c>
      <c r="H1105" s="8">
        <v>25.8</v>
      </c>
      <c r="I1105" s="7">
        <v>711.15</v>
      </c>
      <c r="J1105" s="8">
        <v>2.5</v>
      </c>
      <c r="K1105" s="7">
        <v>28308.333333333299</v>
      </c>
      <c r="L1105" s="7">
        <v>29019.483333333301</v>
      </c>
    </row>
    <row r="1106" spans="1:12" x14ac:dyDescent="0.25">
      <c r="A1106" s="9">
        <v>45992</v>
      </c>
      <c r="B1106" t="s">
        <v>143</v>
      </c>
      <c r="C1106" t="s">
        <v>144</v>
      </c>
      <c r="D1106" t="s">
        <v>69</v>
      </c>
      <c r="E1106" t="s">
        <v>2093</v>
      </c>
      <c r="F1106" s="8">
        <v>19.399999999999999</v>
      </c>
      <c r="G1106" s="6">
        <v>29000</v>
      </c>
      <c r="H1106" s="8">
        <v>62.6</v>
      </c>
      <c r="I1106" s="7">
        <v>1163.72</v>
      </c>
      <c r="J1106" s="8">
        <v>10.3</v>
      </c>
      <c r="K1106" s="7">
        <v>46883.333333333299</v>
      </c>
      <c r="L1106" s="7">
        <v>48047.053333333301</v>
      </c>
    </row>
    <row r="1107" spans="1:12" x14ac:dyDescent="0.25">
      <c r="A1107" s="9">
        <v>45992</v>
      </c>
      <c r="B1107" t="s">
        <v>143</v>
      </c>
      <c r="C1107" t="s">
        <v>144</v>
      </c>
      <c r="D1107" t="s">
        <v>69</v>
      </c>
      <c r="E1107" t="s">
        <v>2097</v>
      </c>
      <c r="F1107" s="8">
        <v>5</v>
      </c>
      <c r="G1107" s="6">
        <v>28000</v>
      </c>
      <c r="H1107" s="8">
        <v>30.4</v>
      </c>
      <c r="I1107" s="7">
        <v>545.64</v>
      </c>
      <c r="J1107" s="8">
        <v>2.6</v>
      </c>
      <c r="K1107" s="7">
        <v>11666.666666666701</v>
      </c>
      <c r="L1107" s="7">
        <v>12212.3066666667</v>
      </c>
    </row>
    <row r="1108" spans="1:12" x14ac:dyDescent="0.25">
      <c r="A1108" s="9">
        <v>45992</v>
      </c>
      <c r="B1108" t="s">
        <v>143</v>
      </c>
      <c r="C1108" t="s">
        <v>144</v>
      </c>
      <c r="D1108" t="s">
        <v>69</v>
      </c>
      <c r="E1108" t="s">
        <v>2094</v>
      </c>
      <c r="F1108" s="8">
        <v>8.1999999999999993</v>
      </c>
      <c r="G1108" s="6">
        <v>41000</v>
      </c>
      <c r="H1108" s="8">
        <v>49</v>
      </c>
      <c r="I1108" s="7">
        <v>1287.82</v>
      </c>
      <c r="J1108" s="8">
        <v>2.7</v>
      </c>
      <c r="K1108" s="7">
        <v>28016.666666666701</v>
      </c>
      <c r="L1108" s="7">
        <v>29304.4866666667</v>
      </c>
    </row>
    <row r="1109" spans="1:12" x14ac:dyDescent="0.25">
      <c r="A1109" s="9">
        <v>45992</v>
      </c>
      <c r="B1109" t="s">
        <v>73</v>
      </c>
      <c r="C1109" t="s">
        <v>74</v>
      </c>
      <c r="D1109" t="s">
        <v>69</v>
      </c>
      <c r="E1109" t="s">
        <v>2091</v>
      </c>
      <c r="F1109" s="8">
        <v>7</v>
      </c>
      <c r="G1109" s="6">
        <v>25000</v>
      </c>
      <c r="H1109" s="8">
        <v>23.3</v>
      </c>
      <c r="I1109" s="7">
        <v>373.4</v>
      </c>
      <c r="J1109" s="8">
        <v>3.2</v>
      </c>
      <c r="K1109" s="7">
        <v>14583.333333333299</v>
      </c>
      <c r="L1109" s="7">
        <v>14956.733333333301</v>
      </c>
    </row>
    <row r="1110" spans="1:12" x14ac:dyDescent="0.25">
      <c r="A1110" s="9">
        <v>45992</v>
      </c>
      <c r="B1110" t="s">
        <v>73</v>
      </c>
      <c r="C1110" t="s">
        <v>74</v>
      </c>
      <c r="D1110" t="s">
        <v>69</v>
      </c>
      <c r="E1110" t="s">
        <v>2092</v>
      </c>
      <c r="F1110" s="8">
        <v>17.7</v>
      </c>
      <c r="G1110" s="6">
        <v>43000</v>
      </c>
      <c r="H1110" s="8">
        <v>67.8</v>
      </c>
      <c r="I1110" s="7">
        <v>1868.85</v>
      </c>
      <c r="J1110" s="8">
        <v>8.9</v>
      </c>
      <c r="K1110" s="7">
        <v>63425</v>
      </c>
      <c r="L1110" s="7">
        <v>65293.85</v>
      </c>
    </row>
    <row r="1111" spans="1:12" x14ac:dyDescent="0.25">
      <c r="A1111" s="9">
        <v>45992</v>
      </c>
      <c r="B1111" t="s">
        <v>73</v>
      </c>
      <c r="C1111" t="s">
        <v>74</v>
      </c>
      <c r="D1111" t="s">
        <v>69</v>
      </c>
      <c r="E1111" t="s">
        <v>2096</v>
      </c>
      <c r="F1111" s="8">
        <v>18.5</v>
      </c>
      <c r="G1111" s="6">
        <v>35000</v>
      </c>
      <c r="H1111" s="8">
        <v>93.2</v>
      </c>
      <c r="I1111" s="7">
        <v>2091.0300000000002</v>
      </c>
      <c r="J1111" s="8">
        <v>8.8000000000000007</v>
      </c>
      <c r="K1111" s="7">
        <v>53958.333333333299</v>
      </c>
      <c r="L1111" s="7">
        <v>56049.363333333298</v>
      </c>
    </row>
    <row r="1112" spans="1:12" x14ac:dyDescent="0.25">
      <c r="A1112" s="9">
        <v>45992</v>
      </c>
      <c r="B1112" t="s">
        <v>73</v>
      </c>
      <c r="C1112" t="s">
        <v>74</v>
      </c>
      <c r="D1112" t="s">
        <v>69</v>
      </c>
      <c r="E1112" t="s">
        <v>2093</v>
      </c>
      <c r="F1112" s="8">
        <v>15.5</v>
      </c>
      <c r="G1112" s="6">
        <v>29000</v>
      </c>
      <c r="H1112" s="8">
        <v>65.2</v>
      </c>
      <c r="I1112" s="7">
        <v>1212.05</v>
      </c>
      <c r="J1112" s="8">
        <v>7.7</v>
      </c>
      <c r="K1112" s="7">
        <v>37458.333333333299</v>
      </c>
      <c r="L1112" s="7">
        <v>38670.383333333302</v>
      </c>
    </row>
    <row r="1113" spans="1:12" x14ac:dyDescent="0.25">
      <c r="A1113" s="9">
        <v>45992</v>
      </c>
      <c r="B1113" t="s">
        <v>73</v>
      </c>
      <c r="C1113" t="s">
        <v>74</v>
      </c>
      <c r="D1113" t="s">
        <v>69</v>
      </c>
      <c r="E1113" t="s">
        <v>2095</v>
      </c>
      <c r="F1113" s="8">
        <v>12</v>
      </c>
      <c r="G1113" s="6">
        <v>27000</v>
      </c>
      <c r="H1113" s="8">
        <v>31.3</v>
      </c>
      <c r="I1113" s="7">
        <v>541.73</v>
      </c>
      <c r="J1113" s="8">
        <v>5.9</v>
      </c>
      <c r="K1113" s="7">
        <v>27000</v>
      </c>
      <c r="L1113" s="7">
        <v>27541.73</v>
      </c>
    </row>
    <row r="1114" spans="1:12" x14ac:dyDescent="0.25">
      <c r="A1114" s="9">
        <v>45992</v>
      </c>
      <c r="B1114" t="s">
        <v>73</v>
      </c>
      <c r="C1114" t="s">
        <v>74</v>
      </c>
      <c r="D1114" t="s">
        <v>69</v>
      </c>
      <c r="E1114" t="s">
        <v>2094</v>
      </c>
      <c r="F1114" s="8">
        <v>9.9</v>
      </c>
      <c r="G1114" s="6">
        <v>41000</v>
      </c>
      <c r="H1114" s="8">
        <v>37.5</v>
      </c>
      <c r="I1114" s="7">
        <v>985.58</v>
      </c>
      <c r="J1114" s="8">
        <v>4.8</v>
      </c>
      <c r="K1114" s="7">
        <v>33825</v>
      </c>
      <c r="L1114" s="7">
        <v>34810.58</v>
      </c>
    </row>
    <row r="1115" spans="1:12" x14ac:dyDescent="0.25">
      <c r="A1115" s="9">
        <v>45992</v>
      </c>
      <c r="B1115" t="s">
        <v>67</v>
      </c>
      <c r="C1115" t="s">
        <v>68</v>
      </c>
      <c r="D1115" t="s">
        <v>69</v>
      </c>
      <c r="E1115" t="s">
        <v>2093</v>
      </c>
      <c r="F1115" s="8">
        <v>3.9</v>
      </c>
      <c r="G1115" s="6">
        <v>29000</v>
      </c>
      <c r="H1115" s="8">
        <v>15.8</v>
      </c>
      <c r="I1115" s="7">
        <v>293.72000000000003</v>
      </c>
      <c r="J1115" s="8">
        <v>2</v>
      </c>
      <c r="K1115" s="7">
        <v>9425</v>
      </c>
      <c r="L1115" s="7">
        <v>9718.7199999999993</v>
      </c>
    </row>
    <row r="1116" spans="1:12" x14ac:dyDescent="0.25">
      <c r="A1116" s="9">
        <v>45992</v>
      </c>
      <c r="B1116" t="s">
        <v>67</v>
      </c>
      <c r="C1116" t="s">
        <v>68</v>
      </c>
      <c r="D1116" t="s">
        <v>69</v>
      </c>
      <c r="E1116" t="s">
        <v>2095</v>
      </c>
      <c r="F1116" s="8">
        <v>14.3</v>
      </c>
      <c r="G1116" s="6">
        <v>27000</v>
      </c>
      <c r="H1116" s="8">
        <v>47.9</v>
      </c>
      <c r="I1116" s="7">
        <v>829.04</v>
      </c>
      <c r="J1116" s="8">
        <v>8.4</v>
      </c>
      <c r="K1116" s="7">
        <v>32175</v>
      </c>
      <c r="L1116" s="7">
        <v>33004.04</v>
      </c>
    </row>
    <row r="1117" spans="1:12" x14ac:dyDescent="0.25">
      <c r="A1117" s="9">
        <v>45992</v>
      </c>
      <c r="B1117" t="s">
        <v>67</v>
      </c>
      <c r="C1117" t="s">
        <v>68</v>
      </c>
      <c r="D1117" t="s">
        <v>69</v>
      </c>
      <c r="E1117" t="s">
        <v>2094</v>
      </c>
      <c r="F1117" s="8">
        <v>10.7</v>
      </c>
      <c r="G1117" s="6">
        <v>41000</v>
      </c>
      <c r="H1117" s="8">
        <v>24</v>
      </c>
      <c r="I1117" s="7">
        <v>630.77</v>
      </c>
      <c r="J1117" s="8">
        <v>4.5999999999999996</v>
      </c>
      <c r="K1117" s="7">
        <v>36558.333333333299</v>
      </c>
      <c r="L1117" s="7">
        <v>37189.103333333303</v>
      </c>
    </row>
    <row r="1118" spans="1:12" x14ac:dyDescent="0.25">
      <c r="A1118" s="9">
        <v>45992</v>
      </c>
      <c r="B1118" t="s">
        <v>67</v>
      </c>
      <c r="C1118" t="s">
        <v>68</v>
      </c>
      <c r="D1118" t="s">
        <v>69</v>
      </c>
      <c r="E1118" t="s">
        <v>2091</v>
      </c>
      <c r="F1118" s="8">
        <v>14.8</v>
      </c>
      <c r="G1118" s="6">
        <v>25000</v>
      </c>
      <c r="H1118" s="8">
        <v>120.9</v>
      </c>
      <c r="I1118" s="7">
        <v>1937.5</v>
      </c>
      <c r="J1118" s="8">
        <v>6.4</v>
      </c>
      <c r="K1118" s="7">
        <v>30833.333333333299</v>
      </c>
      <c r="L1118" s="7">
        <v>32770.833333333299</v>
      </c>
    </row>
    <row r="1119" spans="1:12" x14ac:dyDescent="0.25">
      <c r="A1119" s="9">
        <v>45992</v>
      </c>
      <c r="B1119" t="s">
        <v>32</v>
      </c>
      <c r="C1119" t="s">
        <v>33</v>
      </c>
      <c r="D1119" t="s">
        <v>34</v>
      </c>
      <c r="E1119" t="s">
        <v>2097</v>
      </c>
      <c r="F1119" s="8">
        <v>16.7</v>
      </c>
      <c r="G1119" s="6">
        <v>28000</v>
      </c>
      <c r="H1119" s="8">
        <v>32.9</v>
      </c>
      <c r="I1119" s="7">
        <v>590.51</v>
      </c>
      <c r="J1119" s="8">
        <v>9.1</v>
      </c>
      <c r="K1119" s="7">
        <v>38966.666666666701</v>
      </c>
      <c r="L1119" s="7">
        <v>39557.176666666703</v>
      </c>
    </row>
    <row r="1120" spans="1:12" x14ac:dyDescent="0.25">
      <c r="A1120" s="9">
        <v>45992</v>
      </c>
      <c r="B1120" t="s">
        <v>32</v>
      </c>
      <c r="C1120" t="s">
        <v>33</v>
      </c>
      <c r="D1120" t="s">
        <v>34</v>
      </c>
      <c r="E1120" t="s">
        <v>2091</v>
      </c>
      <c r="F1120" s="8">
        <v>7.9</v>
      </c>
      <c r="G1120" s="6">
        <v>25000</v>
      </c>
      <c r="H1120" s="8">
        <v>7</v>
      </c>
      <c r="I1120" s="7">
        <v>112.18</v>
      </c>
      <c r="J1120" s="8">
        <v>3.7</v>
      </c>
      <c r="K1120" s="7">
        <v>16458.333333333299</v>
      </c>
      <c r="L1120" s="7">
        <v>16570.5133333333</v>
      </c>
    </row>
    <row r="1121" spans="1:12" x14ac:dyDescent="0.25">
      <c r="A1121" s="9">
        <v>45992</v>
      </c>
      <c r="B1121" t="s">
        <v>32</v>
      </c>
      <c r="C1121" t="s">
        <v>33</v>
      </c>
      <c r="D1121" t="s">
        <v>34</v>
      </c>
      <c r="E1121" t="s">
        <v>2092</v>
      </c>
      <c r="F1121" s="8">
        <v>6.1</v>
      </c>
      <c r="G1121" s="6">
        <v>43000</v>
      </c>
      <c r="H1121" s="8">
        <v>44</v>
      </c>
      <c r="I1121" s="7">
        <v>1212.82</v>
      </c>
      <c r="J1121" s="8">
        <v>1.5</v>
      </c>
      <c r="K1121" s="7">
        <v>21858.333333333299</v>
      </c>
      <c r="L1121" s="7">
        <v>23071.153333333299</v>
      </c>
    </row>
    <row r="1122" spans="1:12" x14ac:dyDescent="0.25">
      <c r="A1122" s="9">
        <v>45992</v>
      </c>
      <c r="B1122" t="s">
        <v>32</v>
      </c>
      <c r="C1122" t="s">
        <v>33</v>
      </c>
      <c r="D1122" t="s">
        <v>34</v>
      </c>
      <c r="E1122" t="s">
        <v>2094</v>
      </c>
      <c r="F1122" s="8">
        <v>3.3</v>
      </c>
      <c r="G1122" s="6">
        <v>41000</v>
      </c>
      <c r="H1122" s="8">
        <v>3.4</v>
      </c>
      <c r="I1122" s="7">
        <v>89.36</v>
      </c>
      <c r="J1122" s="8">
        <v>0.2</v>
      </c>
      <c r="K1122" s="7">
        <v>11275</v>
      </c>
      <c r="L1122" s="7">
        <v>11364.36</v>
      </c>
    </row>
    <row r="1123" spans="1:12" x14ac:dyDescent="0.25">
      <c r="A1123" s="9">
        <v>45992</v>
      </c>
      <c r="B1123" t="s">
        <v>32</v>
      </c>
      <c r="C1123" t="s">
        <v>33</v>
      </c>
      <c r="D1123" t="s">
        <v>34</v>
      </c>
      <c r="E1123" t="s">
        <v>2096</v>
      </c>
      <c r="F1123" s="8">
        <v>19.899999999999999</v>
      </c>
      <c r="G1123" s="6">
        <v>35000</v>
      </c>
      <c r="H1123" s="8">
        <v>106.4</v>
      </c>
      <c r="I1123" s="7">
        <v>2387.1799999999998</v>
      </c>
      <c r="J1123" s="8">
        <v>11.1</v>
      </c>
      <c r="K1123" s="7">
        <v>58041.666666666701</v>
      </c>
      <c r="L1123" s="7">
        <v>60428.846666666701</v>
      </c>
    </row>
    <row r="1124" spans="1:12" x14ac:dyDescent="0.25">
      <c r="A1124" s="9">
        <v>45992</v>
      </c>
      <c r="B1124" t="s">
        <v>32</v>
      </c>
      <c r="C1124" t="s">
        <v>33</v>
      </c>
      <c r="D1124" t="s">
        <v>34</v>
      </c>
      <c r="E1124" t="s">
        <v>2095</v>
      </c>
      <c r="F1124" s="8">
        <v>19.899999999999999</v>
      </c>
      <c r="G1124" s="6">
        <v>27000</v>
      </c>
      <c r="H1124" s="8">
        <v>64.3</v>
      </c>
      <c r="I1124" s="7">
        <v>1112.8800000000001</v>
      </c>
      <c r="J1124" s="8">
        <v>10.6</v>
      </c>
      <c r="K1124" s="7">
        <v>44775</v>
      </c>
      <c r="L1124" s="7">
        <v>45887.88</v>
      </c>
    </row>
    <row r="1125" spans="1:12" x14ac:dyDescent="0.25">
      <c r="A1125" s="9">
        <v>45992</v>
      </c>
      <c r="B1125" t="s">
        <v>94</v>
      </c>
      <c r="C1125" t="s">
        <v>95</v>
      </c>
      <c r="D1125" t="s">
        <v>34</v>
      </c>
      <c r="E1125" t="s">
        <v>2097</v>
      </c>
      <c r="F1125" s="8">
        <v>17.8</v>
      </c>
      <c r="G1125" s="6">
        <v>28000</v>
      </c>
      <c r="H1125" s="8">
        <v>108.3</v>
      </c>
      <c r="I1125" s="7">
        <v>1943.85</v>
      </c>
      <c r="J1125" s="8">
        <v>10.7</v>
      </c>
      <c r="K1125" s="7">
        <v>41533.333333333299</v>
      </c>
      <c r="L1125" s="7">
        <v>43477.183333333298</v>
      </c>
    </row>
    <row r="1126" spans="1:12" x14ac:dyDescent="0.25">
      <c r="A1126" s="9">
        <v>45992</v>
      </c>
      <c r="B1126" t="s">
        <v>94</v>
      </c>
      <c r="C1126" t="s">
        <v>95</v>
      </c>
      <c r="D1126" t="s">
        <v>34</v>
      </c>
      <c r="E1126" t="s">
        <v>2093</v>
      </c>
      <c r="F1126" s="8">
        <v>14.2</v>
      </c>
      <c r="G1126" s="6">
        <v>29000</v>
      </c>
      <c r="H1126" s="8">
        <v>51.6</v>
      </c>
      <c r="I1126" s="7">
        <v>959.23</v>
      </c>
      <c r="J1126" s="8">
        <v>4.8</v>
      </c>
      <c r="K1126" s="7">
        <v>34316.666666666701</v>
      </c>
      <c r="L1126" s="7">
        <v>35275.896666666697</v>
      </c>
    </row>
    <row r="1127" spans="1:12" x14ac:dyDescent="0.25">
      <c r="A1127" s="9">
        <v>45992</v>
      </c>
      <c r="B1127" t="s">
        <v>94</v>
      </c>
      <c r="C1127" t="s">
        <v>95</v>
      </c>
      <c r="D1127" t="s">
        <v>34</v>
      </c>
      <c r="E1127" t="s">
        <v>2096</v>
      </c>
      <c r="F1127" s="8">
        <v>17.100000000000001</v>
      </c>
      <c r="G1127" s="6">
        <v>35000</v>
      </c>
      <c r="H1127" s="8">
        <v>47.3</v>
      </c>
      <c r="I1127" s="7">
        <v>1061.22</v>
      </c>
      <c r="J1127" s="8">
        <v>8.1</v>
      </c>
      <c r="K1127" s="7">
        <v>49875</v>
      </c>
      <c r="L1127" s="7">
        <v>50936.22</v>
      </c>
    </row>
    <row r="1128" spans="1:12" x14ac:dyDescent="0.25">
      <c r="A1128" s="9">
        <v>45992</v>
      </c>
      <c r="B1128" t="s">
        <v>94</v>
      </c>
      <c r="C1128" t="s">
        <v>95</v>
      </c>
      <c r="D1128" t="s">
        <v>34</v>
      </c>
      <c r="E1128" t="s">
        <v>2092</v>
      </c>
      <c r="F1128" s="8">
        <v>13.9</v>
      </c>
      <c r="G1128" s="6">
        <v>43000</v>
      </c>
      <c r="H1128" s="8">
        <v>50.2</v>
      </c>
      <c r="I1128" s="7">
        <v>1383.72</v>
      </c>
      <c r="J1128" s="8">
        <v>6.8</v>
      </c>
      <c r="K1128" s="7">
        <v>49808.333333333299</v>
      </c>
      <c r="L1128" s="7">
        <v>51192.053333333301</v>
      </c>
    </row>
    <row r="1129" spans="1:12" x14ac:dyDescent="0.25">
      <c r="A1129" s="9">
        <v>45992</v>
      </c>
      <c r="B1129" t="s">
        <v>94</v>
      </c>
      <c r="C1129" t="s">
        <v>95</v>
      </c>
      <c r="D1129" t="s">
        <v>34</v>
      </c>
      <c r="E1129" t="s">
        <v>2094</v>
      </c>
      <c r="F1129" s="8">
        <v>15.9</v>
      </c>
      <c r="G1129" s="6">
        <v>41000</v>
      </c>
      <c r="H1129" s="8">
        <v>90.3</v>
      </c>
      <c r="I1129" s="7">
        <v>2373.27</v>
      </c>
      <c r="J1129" s="8">
        <v>9.1999999999999993</v>
      </c>
      <c r="K1129" s="7">
        <v>54325</v>
      </c>
      <c r="L1129" s="7">
        <v>56698.27</v>
      </c>
    </row>
    <row r="1130" spans="1:12" x14ac:dyDescent="0.25">
      <c r="A1130" s="9">
        <v>45992</v>
      </c>
      <c r="B1130" t="s">
        <v>94</v>
      </c>
      <c r="C1130" t="s">
        <v>95</v>
      </c>
      <c r="D1130" t="s">
        <v>34</v>
      </c>
      <c r="E1130" t="s">
        <v>2095</v>
      </c>
      <c r="F1130" s="8">
        <v>15.7</v>
      </c>
      <c r="G1130" s="6">
        <v>27000</v>
      </c>
      <c r="H1130" s="8">
        <v>58.8</v>
      </c>
      <c r="I1130" s="7">
        <v>1017.69</v>
      </c>
      <c r="J1130" s="8">
        <v>8.9</v>
      </c>
      <c r="K1130" s="7">
        <v>35325</v>
      </c>
      <c r="L1130" s="7">
        <v>36342.69</v>
      </c>
    </row>
    <row r="1131" spans="1:12" x14ac:dyDescent="0.25">
      <c r="A1131" s="9">
        <v>45992</v>
      </c>
      <c r="B1131" t="s">
        <v>41</v>
      </c>
      <c r="C1131" t="s">
        <v>42</v>
      </c>
      <c r="D1131" t="s">
        <v>34</v>
      </c>
      <c r="E1131" t="s">
        <v>2095</v>
      </c>
      <c r="F1131" s="8">
        <v>12.8</v>
      </c>
      <c r="G1131" s="6">
        <v>27000</v>
      </c>
      <c r="H1131" s="8">
        <v>58.1</v>
      </c>
      <c r="I1131" s="7">
        <v>1005.58</v>
      </c>
      <c r="J1131" s="8">
        <v>6.5</v>
      </c>
      <c r="K1131" s="7">
        <v>28800</v>
      </c>
      <c r="L1131" s="7">
        <v>29805.58</v>
      </c>
    </row>
    <row r="1132" spans="1:12" x14ac:dyDescent="0.25">
      <c r="A1132" s="9">
        <v>45992</v>
      </c>
      <c r="B1132" t="s">
        <v>41</v>
      </c>
      <c r="C1132" t="s">
        <v>42</v>
      </c>
      <c r="D1132" t="s">
        <v>34</v>
      </c>
      <c r="E1132" t="s">
        <v>2096</v>
      </c>
      <c r="F1132" s="8">
        <v>13.8</v>
      </c>
      <c r="G1132" s="6">
        <v>35000</v>
      </c>
      <c r="H1132" s="8">
        <v>74</v>
      </c>
      <c r="I1132" s="7">
        <v>1660.26</v>
      </c>
      <c r="J1132" s="8">
        <v>7</v>
      </c>
      <c r="K1132" s="7">
        <v>40250</v>
      </c>
      <c r="L1132" s="7">
        <v>41910.26</v>
      </c>
    </row>
    <row r="1133" spans="1:12" x14ac:dyDescent="0.25">
      <c r="A1133" s="9">
        <v>45992</v>
      </c>
      <c r="B1133" t="s">
        <v>41</v>
      </c>
      <c r="C1133" t="s">
        <v>42</v>
      </c>
      <c r="D1133" t="s">
        <v>34</v>
      </c>
      <c r="E1133" t="s">
        <v>2091</v>
      </c>
      <c r="F1133" s="8">
        <v>12.7</v>
      </c>
      <c r="G1133" s="6">
        <v>25000</v>
      </c>
      <c r="H1133" s="8">
        <v>90</v>
      </c>
      <c r="I1133" s="7">
        <v>1442.31</v>
      </c>
      <c r="J1133" s="8">
        <v>4.9000000000000004</v>
      </c>
      <c r="K1133" s="7">
        <v>26458.333333333299</v>
      </c>
      <c r="L1133" s="7">
        <v>27900.643333333301</v>
      </c>
    </row>
    <row r="1134" spans="1:12" x14ac:dyDescent="0.25">
      <c r="A1134" s="9">
        <v>45992</v>
      </c>
      <c r="B1134" t="s">
        <v>41</v>
      </c>
      <c r="C1134" t="s">
        <v>42</v>
      </c>
      <c r="D1134" t="s">
        <v>34</v>
      </c>
      <c r="E1134" t="s">
        <v>2094</v>
      </c>
      <c r="F1134" s="8">
        <v>5.5</v>
      </c>
      <c r="G1134" s="6">
        <v>41000</v>
      </c>
      <c r="H1134" s="8">
        <v>17.7</v>
      </c>
      <c r="I1134" s="7">
        <v>465.19</v>
      </c>
      <c r="J1134" s="8">
        <v>2.6</v>
      </c>
      <c r="K1134" s="7">
        <v>18791.666666666701</v>
      </c>
      <c r="L1134" s="7">
        <v>19256.856666666699</v>
      </c>
    </row>
    <row r="1135" spans="1:12" x14ac:dyDescent="0.25">
      <c r="A1135" s="9">
        <v>45992</v>
      </c>
      <c r="B1135" t="s">
        <v>41</v>
      </c>
      <c r="C1135" t="s">
        <v>42</v>
      </c>
      <c r="D1135" t="s">
        <v>34</v>
      </c>
      <c r="E1135" t="s">
        <v>2092</v>
      </c>
      <c r="F1135" s="8">
        <v>12.6</v>
      </c>
      <c r="G1135" s="6">
        <v>43000</v>
      </c>
      <c r="H1135" s="8">
        <v>58.7</v>
      </c>
      <c r="I1135" s="7">
        <v>1618.01</v>
      </c>
      <c r="J1135" s="8">
        <v>7.6</v>
      </c>
      <c r="K1135" s="7">
        <v>45150</v>
      </c>
      <c r="L1135" s="7">
        <v>46768.01</v>
      </c>
    </row>
    <row r="1136" spans="1:12" x14ac:dyDescent="0.25">
      <c r="A1136" s="9">
        <v>45992</v>
      </c>
      <c r="B1136" t="s">
        <v>41</v>
      </c>
      <c r="C1136" t="s">
        <v>42</v>
      </c>
      <c r="D1136" t="s">
        <v>34</v>
      </c>
      <c r="E1136" t="s">
        <v>2093</v>
      </c>
      <c r="F1136" s="8">
        <v>8</v>
      </c>
      <c r="G1136" s="6">
        <v>29000</v>
      </c>
      <c r="H1136" s="8">
        <v>31.7</v>
      </c>
      <c r="I1136" s="7">
        <v>589.29</v>
      </c>
      <c r="J1136" s="8">
        <v>2.6</v>
      </c>
      <c r="K1136" s="7">
        <v>19333.333333333299</v>
      </c>
      <c r="L1136" s="7">
        <v>19922.6233333333</v>
      </c>
    </row>
    <row r="1137" spans="1:12" x14ac:dyDescent="0.25">
      <c r="A1137" s="9">
        <v>45992</v>
      </c>
      <c r="B1137" t="s">
        <v>47</v>
      </c>
      <c r="C1137" t="s">
        <v>48</v>
      </c>
      <c r="D1137" t="s">
        <v>34</v>
      </c>
      <c r="E1137" t="s">
        <v>2094</v>
      </c>
      <c r="F1137" s="8">
        <v>4.8</v>
      </c>
      <c r="G1137" s="6">
        <v>41000</v>
      </c>
      <c r="H1137" s="8">
        <v>25.3</v>
      </c>
      <c r="I1137" s="7">
        <v>664.94</v>
      </c>
      <c r="J1137" s="8">
        <v>3.2</v>
      </c>
      <c r="K1137" s="7">
        <v>16400</v>
      </c>
      <c r="L1137" s="7">
        <v>17064.939999999999</v>
      </c>
    </row>
    <row r="1138" spans="1:12" x14ac:dyDescent="0.25">
      <c r="A1138" s="9">
        <v>45992</v>
      </c>
      <c r="B1138" t="s">
        <v>47</v>
      </c>
      <c r="C1138" t="s">
        <v>48</v>
      </c>
      <c r="D1138" t="s">
        <v>34</v>
      </c>
      <c r="E1138" t="s">
        <v>2092</v>
      </c>
      <c r="F1138" s="8">
        <v>17.3</v>
      </c>
      <c r="G1138" s="6">
        <v>43000</v>
      </c>
      <c r="H1138" s="8">
        <v>18.8</v>
      </c>
      <c r="I1138" s="7">
        <v>518.21</v>
      </c>
      <c r="J1138" s="8">
        <v>8.6</v>
      </c>
      <c r="K1138" s="7">
        <v>61991.666666666701</v>
      </c>
      <c r="L1138" s="7">
        <v>62509.8766666667</v>
      </c>
    </row>
    <row r="1139" spans="1:12" x14ac:dyDescent="0.25">
      <c r="A1139" s="9">
        <v>45992</v>
      </c>
      <c r="B1139" t="s">
        <v>47</v>
      </c>
      <c r="C1139" t="s">
        <v>48</v>
      </c>
      <c r="D1139" t="s">
        <v>34</v>
      </c>
      <c r="E1139" t="s">
        <v>2095</v>
      </c>
      <c r="F1139" s="8">
        <v>16.7</v>
      </c>
      <c r="G1139" s="6">
        <v>27000</v>
      </c>
      <c r="H1139" s="8">
        <v>27</v>
      </c>
      <c r="I1139" s="7">
        <v>467.31</v>
      </c>
      <c r="J1139" s="8">
        <v>7.7</v>
      </c>
      <c r="K1139" s="7">
        <v>37575</v>
      </c>
      <c r="L1139" s="7">
        <v>38042.31</v>
      </c>
    </row>
    <row r="1140" spans="1:12" x14ac:dyDescent="0.25">
      <c r="A1140" s="9">
        <v>45992</v>
      </c>
      <c r="B1140" t="s">
        <v>47</v>
      </c>
      <c r="C1140" t="s">
        <v>48</v>
      </c>
      <c r="D1140" t="s">
        <v>34</v>
      </c>
      <c r="E1140" t="s">
        <v>2093</v>
      </c>
      <c r="F1140" s="8">
        <v>6.8</v>
      </c>
      <c r="G1140" s="6">
        <v>29000</v>
      </c>
      <c r="H1140" s="8">
        <v>18</v>
      </c>
      <c r="I1140" s="7">
        <v>334.62</v>
      </c>
      <c r="J1140" s="8">
        <v>4.2</v>
      </c>
      <c r="K1140" s="7">
        <v>16433.333333333299</v>
      </c>
      <c r="L1140" s="7">
        <v>16767.953333333298</v>
      </c>
    </row>
    <row r="1141" spans="1:12" x14ac:dyDescent="0.25">
      <c r="A1141" s="9">
        <v>45992</v>
      </c>
      <c r="B1141" t="s">
        <v>47</v>
      </c>
      <c r="C1141" t="s">
        <v>48</v>
      </c>
      <c r="D1141" t="s">
        <v>34</v>
      </c>
      <c r="E1141" t="s">
        <v>2091</v>
      </c>
      <c r="F1141" s="8">
        <v>16.3</v>
      </c>
      <c r="G1141" s="6">
        <v>25000</v>
      </c>
      <c r="H1141" s="8">
        <v>68.099999999999994</v>
      </c>
      <c r="I1141" s="7">
        <v>1091.3499999999999</v>
      </c>
      <c r="J1141" s="8">
        <v>6.9</v>
      </c>
      <c r="K1141" s="7">
        <v>33958.333333333299</v>
      </c>
      <c r="L1141" s="7">
        <v>35049.683333333298</v>
      </c>
    </row>
    <row r="1142" spans="1:12" x14ac:dyDescent="0.25">
      <c r="A1142" s="9">
        <v>45992</v>
      </c>
      <c r="B1142" t="s">
        <v>47</v>
      </c>
      <c r="C1142" t="s">
        <v>48</v>
      </c>
      <c r="D1142" t="s">
        <v>34</v>
      </c>
      <c r="E1142" t="s">
        <v>2097</v>
      </c>
      <c r="F1142" s="8">
        <v>16.2</v>
      </c>
      <c r="G1142" s="6">
        <v>28000</v>
      </c>
      <c r="H1142" s="8">
        <v>86.2</v>
      </c>
      <c r="I1142" s="7">
        <v>1547.18</v>
      </c>
      <c r="J1142" s="8">
        <v>6.7</v>
      </c>
      <c r="K1142" s="7">
        <v>37800</v>
      </c>
      <c r="L1142" s="7">
        <v>39347.18</v>
      </c>
    </row>
    <row r="1143" spans="1:12" x14ac:dyDescent="0.25">
      <c r="A1143" s="9">
        <v>45992</v>
      </c>
      <c r="B1143" t="s">
        <v>121</v>
      </c>
      <c r="C1143" t="s">
        <v>122</v>
      </c>
      <c r="D1143" t="s">
        <v>34</v>
      </c>
      <c r="E1143" t="s">
        <v>2096</v>
      </c>
      <c r="F1143" s="8">
        <v>13.6</v>
      </c>
      <c r="G1143" s="6">
        <v>35000</v>
      </c>
      <c r="H1143" s="8">
        <v>61.1</v>
      </c>
      <c r="I1143" s="7">
        <v>1370.83</v>
      </c>
      <c r="J1143" s="8">
        <v>6</v>
      </c>
      <c r="K1143" s="7">
        <v>39666.666666666701</v>
      </c>
      <c r="L1143" s="7">
        <v>41037.496666666702</v>
      </c>
    </row>
    <row r="1144" spans="1:12" x14ac:dyDescent="0.25">
      <c r="A1144" s="9">
        <v>45992</v>
      </c>
      <c r="B1144" t="s">
        <v>121</v>
      </c>
      <c r="C1144" t="s">
        <v>122</v>
      </c>
      <c r="D1144" t="s">
        <v>34</v>
      </c>
      <c r="E1144" t="s">
        <v>2092</v>
      </c>
      <c r="F1144" s="8">
        <v>3.4</v>
      </c>
      <c r="G1144" s="6">
        <v>43000</v>
      </c>
      <c r="H1144" s="8">
        <v>11.7</v>
      </c>
      <c r="I1144" s="7">
        <v>322.5</v>
      </c>
      <c r="J1144" s="8">
        <v>2.2000000000000002</v>
      </c>
      <c r="K1144" s="7">
        <v>12183.333333333299</v>
      </c>
      <c r="L1144" s="7">
        <v>12505.833333333299</v>
      </c>
    </row>
    <row r="1145" spans="1:12" x14ac:dyDescent="0.25">
      <c r="A1145" s="9">
        <v>45992</v>
      </c>
      <c r="B1145" t="s">
        <v>121</v>
      </c>
      <c r="C1145" t="s">
        <v>122</v>
      </c>
      <c r="D1145" t="s">
        <v>34</v>
      </c>
      <c r="E1145" t="s">
        <v>2095</v>
      </c>
      <c r="F1145" s="8">
        <v>12.5</v>
      </c>
      <c r="G1145" s="6">
        <v>27000</v>
      </c>
      <c r="H1145" s="8">
        <v>59.8</v>
      </c>
      <c r="I1145" s="7">
        <v>1035</v>
      </c>
      <c r="J1145" s="8">
        <v>7.6</v>
      </c>
      <c r="K1145" s="7">
        <v>28125</v>
      </c>
      <c r="L1145" s="7">
        <v>29160</v>
      </c>
    </row>
    <row r="1146" spans="1:12" x14ac:dyDescent="0.25">
      <c r="A1146" s="9">
        <v>45992</v>
      </c>
      <c r="B1146" t="s">
        <v>121</v>
      </c>
      <c r="C1146" t="s">
        <v>122</v>
      </c>
      <c r="D1146" t="s">
        <v>34</v>
      </c>
      <c r="E1146" t="s">
        <v>2091</v>
      </c>
      <c r="F1146" s="8">
        <v>5.6</v>
      </c>
      <c r="G1146" s="6">
        <v>25000</v>
      </c>
      <c r="H1146" s="8">
        <v>21.7</v>
      </c>
      <c r="I1146" s="7">
        <v>347.76</v>
      </c>
      <c r="J1146" s="8">
        <v>3.1</v>
      </c>
      <c r="K1146" s="7">
        <v>11666.666666666701</v>
      </c>
      <c r="L1146" s="7">
        <v>12014.426666666701</v>
      </c>
    </row>
    <row r="1147" spans="1:12" x14ac:dyDescent="0.25">
      <c r="A1147" s="9">
        <v>45992</v>
      </c>
      <c r="B1147" t="s">
        <v>121</v>
      </c>
      <c r="C1147" t="s">
        <v>122</v>
      </c>
      <c r="D1147" t="s">
        <v>34</v>
      </c>
      <c r="E1147" t="s">
        <v>2093</v>
      </c>
      <c r="F1147" s="8">
        <v>13.9</v>
      </c>
      <c r="G1147" s="6">
        <v>29000</v>
      </c>
      <c r="H1147" s="8">
        <v>46.5</v>
      </c>
      <c r="I1147" s="7">
        <v>864.42</v>
      </c>
      <c r="J1147" s="8">
        <v>7.1</v>
      </c>
      <c r="K1147" s="7">
        <v>33591.666666666701</v>
      </c>
      <c r="L1147" s="7">
        <v>34456.086666666699</v>
      </c>
    </row>
    <row r="1148" spans="1:12" x14ac:dyDescent="0.25">
      <c r="A1148" s="9">
        <v>45992</v>
      </c>
      <c r="B1148" t="s">
        <v>201</v>
      </c>
      <c r="C1148" t="s">
        <v>202</v>
      </c>
      <c r="D1148" t="s">
        <v>64</v>
      </c>
      <c r="E1148" t="s">
        <v>2097</v>
      </c>
      <c r="F1148" s="8">
        <v>15.7</v>
      </c>
      <c r="G1148" s="6">
        <v>28000</v>
      </c>
      <c r="H1148" s="8">
        <v>73.099999999999994</v>
      </c>
      <c r="I1148" s="7">
        <v>1312.05</v>
      </c>
      <c r="J1148" s="8">
        <v>7.8</v>
      </c>
      <c r="K1148" s="7">
        <v>36633.333333333299</v>
      </c>
      <c r="L1148" s="7">
        <v>37945.383333333302</v>
      </c>
    </row>
    <row r="1149" spans="1:12" x14ac:dyDescent="0.25">
      <c r="A1149" s="9">
        <v>45992</v>
      </c>
      <c r="B1149" t="s">
        <v>201</v>
      </c>
      <c r="C1149" t="s">
        <v>202</v>
      </c>
      <c r="D1149" t="s">
        <v>64</v>
      </c>
      <c r="E1149" t="s">
        <v>2096</v>
      </c>
      <c r="F1149" s="8">
        <v>8.3000000000000007</v>
      </c>
      <c r="G1149" s="6">
        <v>35000</v>
      </c>
      <c r="H1149" s="8">
        <v>10.7</v>
      </c>
      <c r="I1149" s="7">
        <v>240.06</v>
      </c>
      <c r="J1149" s="8">
        <v>4.5</v>
      </c>
      <c r="K1149" s="7">
        <v>24208.333333333299</v>
      </c>
      <c r="L1149" s="7">
        <v>24448.393333333301</v>
      </c>
    </row>
    <row r="1150" spans="1:12" x14ac:dyDescent="0.25">
      <c r="A1150" s="9">
        <v>45992</v>
      </c>
      <c r="B1150" t="s">
        <v>201</v>
      </c>
      <c r="C1150" t="s">
        <v>202</v>
      </c>
      <c r="D1150" t="s">
        <v>64</v>
      </c>
      <c r="E1150" t="s">
        <v>2091</v>
      </c>
      <c r="F1150" s="8">
        <v>19</v>
      </c>
      <c r="G1150" s="6">
        <v>25000</v>
      </c>
      <c r="H1150" s="8">
        <v>86.4</v>
      </c>
      <c r="I1150" s="7">
        <v>1384.62</v>
      </c>
      <c r="J1150" s="8">
        <v>8.8000000000000007</v>
      </c>
      <c r="K1150" s="7">
        <v>39583.333333333299</v>
      </c>
      <c r="L1150" s="7">
        <v>40967.953333333302</v>
      </c>
    </row>
    <row r="1151" spans="1:12" x14ac:dyDescent="0.25">
      <c r="A1151" s="9">
        <v>45992</v>
      </c>
      <c r="B1151" t="s">
        <v>201</v>
      </c>
      <c r="C1151" t="s">
        <v>202</v>
      </c>
      <c r="D1151" t="s">
        <v>64</v>
      </c>
      <c r="E1151" t="s">
        <v>2095</v>
      </c>
      <c r="F1151" s="8">
        <v>15.3</v>
      </c>
      <c r="G1151" s="6">
        <v>27000</v>
      </c>
      <c r="H1151" s="8">
        <v>31.7</v>
      </c>
      <c r="I1151" s="7">
        <v>548.65</v>
      </c>
      <c r="J1151" s="8">
        <v>9.1</v>
      </c>
      <c r="K1151" s="7">
        <v>34425</v>
      </c>
      <c r="L1151" s="7">
        <v>34973.65</v>
      </c>
    </row>
    <row r="1152" spans="1:12" x14ac:dyDescent="0.25">
      <c r="A1152" s="9">
        <v>45992</v>
      </c>
      <c r="B1152" t="s">
        <v>201</v>
      </c>
      <c r="C1152" t="s">
        <v>202</v>
      </c>
      <c r="D1152" t="s">
        <v>64</v>
      </c>
      <c r="E1152" t="s">
        <v>2092</v>
      </c>
      <c r="F1152" s="8">
        <v>11.8</v>
      </c>
      <c r="G1152" s="6">
        <v>43000</v>
      </c>
      <c r="H1152" s="8">
        <v>55.9</v>
      </c>
      <c r="I1152" s="7">
        <v>1540.83</v>
      </c>
      <c r="J1152" s="8">
        <v>5.7</v>
      </c>
      <c r="K1152" s="7">
        <v>42283.333333333299</v>
      </c>
      <c r="L1152" s="7">
        <v>43824.163333333301</v>
      </c>
    </row>
    <row r="1153" spans="1:12" x14ac:dyDescent="0.25">
      <c r="A1153" s="9">
        <v>45992</v>
      </c>
      <c r="B1153" t="s">
        <v>118</v>
      </c>
      <c r="C1153" t="s">
        <v>119</v>
      </c>
      <c r="D1153" t="s">
        <v>64</v>
      </c>
      <c r="E1153" t="s">
        <v>2094</v>
      </c>
      <c r="F1153" s="8">
        <v>14.1</v>
      </c>
      <c r="G1153" s="6">
        <v>41000</v>
      </c>
      <c r="H1153" s="8">
        <v>32.4</v>
      </c>
      <c r="I1153" s="7">
        <v>851.54</v>
      </c>
      <c r="J1153" s="8">
        <v>6.2</v>
      </c>
      <c r="K1153" s="7">
        <v>48175</v>
      </c>
      <c r="L1153" s="7">
        <v>49026.54</v>
      </c>
    </row>
    <row r="1154" spans="1:12" x14ac:dyDescent="0.25">
      <c r="A1154" s="9">
        <v>45992</v>
      </c>
      <c r="B1154" t="s">
        <v>118</v>
      </c>
      <c r="C1154" t="s">
        <v>119</v>
      </c>
      <c r="D1154" t="s">
        <v>64</v>
      </c>
      <c r="E1154" t="s">
        <v>2095</v>
      </c>
      <c r="F1154" s="8">
        <v>18.3</v>
      </c>
      <c r="G1154" s="6">
        <v>27000</v>
      </c>
      <c r="H1154" s="8">
        <v>109</v>
      </c>
      <c r="I1154" s="7">
        <v>1886.54</v>
      </c>
      <c r="J1154" s="8">
        <v>9.3000000000000007</v>
      </c>
      <c r="K1154" s="7">
        <v>41175</v>
      </c>
      <c r="L1154" s="7">
        <v>43061.54</v>
      </c>
    </row>
    <row r="1155" spans="1:12" x14ac:dyDescent="0.25">
      <c r="A1155" s="9">
        <v>45992</v>
      </c>
      <c r="B1155" t="s">
        <v>118</v>
      </c>
      <c r="C1155" t="s">
        <v>119</v>
      </c>
      <c r="D1155" t="s">
        <v>64</v>
      </c>
      <c r="E1155" t="s">
        <v>2092</v>
      </c>
      <c r="F1155" s="8">
        <v>11.8</v>
      </c>
      <c r="G1155" s="6">
        <v>43000</v>
      </c>
      <c r="H1155" s="8">
        <v>37.5</v>
      </c>
      <c r="I1155" s="7">
        <v>1033.6500000000001</v>
      </c>
      <c r="J1155" s="8">
        <v>6.4</v>
      </c>
      <c r="K1155" s="7">
        <v>42283.333333333299</v>
      </c>
      <c r="L1155" s="7">
        <v>43316.983333333301</v>
      </c>
    </row>
    <row r="1156" spans="1:12" x14ac:dyDescent="0.25">
      <c r="A1156" s="9">
        <v>45992</v>
      </c>
      <c r="B1156" t="s">
        <v>118</v>
      </c>
      <c r="C1156" t="s">
        <v>119</v>
      </c>
      <c r="D1156" t="s">
        <v>64</v>
      </c>
      <c r="E1156" t="s">
        <v>2097</v>
      </c>
      <c r="F1156" s="8">
        <v>14.2</v>
      </c>
      <c r="G1156" s="6">
        <v>28000</v>
      </c>
      <c r="H1156" s="8">
        <v>39.5</v>
      </c>
      <c r="I1156" s="7">
        <v>708.97</v>
      </c>
      <c r="J1156" s="8">
        <v>8.6</v>
      </c>
      <c r="K1156" s="7">
        <v>33133.333333333299</v>
      </c>
      <c r="L1156" s="7">
        <v>33842.303333333301</v>
      </c>
    </row>
    <row r="1157" spans="1:12" x14ac:dyDescent="0.25">
      <c r="A1157" s="9">
        <v>45992</v>
      </c>
      <c r="B1157" t="s">
        <v>62</v>
      </c>
      <c r="C1157" t="s">
        <v>63</v>
      </c>
      <c r="D1157" t="s">
        <v>64</v>
      </c>
      <c r="E1157" t="s">
        <v>2097</v>
      </c>
      <c r="F1157" s="8">
        <v>18.100000000000001</v>
      </c>
      <c r="G1157" s="6">
        <v>28000</v>
      </c>
      <c r="H1157" s="8">
        <v>109.1</v>
      </c>
      <c r="I1157" s="7">
        <v>1958.21</v>
      </c>
      <c r="J1157" s="8">
        <v>8.6</v>
      </c>
      <c r="K1157" s="7">
        <v>42233.333333333299</v>
      </c>
      <c r="L1157" s="7">
        <v>44191.543333333299</v>
      </c>
    </row>
    <row r="1158" spans="1:12" x14ac:dyDescent="0.25">
      <c r="A1158" s="9">
        <v>45992</v>
      </c>
      <c r="B1158" t="s">
        <v>62</v>
      </c>
      <c r="C1158" t="s">
        <v>63</v>
      </c>
      <c r="D1158" t="s">
        <v>64</v>
      </c>
      <c r="E1158" t="s">
        <v>2091</v>
      </c>
      <c r="F1158" s="8">
        <v>5</v>
      </c>
      <c r="G1158" s="6">
        <v>25000</v>
      </c>
      <c r="H1158" s="8">
        <v>15.3</v>
      </c>
      <c r="I1158" s="7">
        <v>245.19</v>
      </c>
      <c r="J1158" s="8">
        <v>0</v>
      </c>
      <c r="K1158" s="7">
        <v>10416.666666666701</v>
      </c>
      <c r="L1158" s="7">
        <v>10661.856666666699</v>
      </c>
    </row>
    <row r="1159" spans="1:12" x14ac:dyDescent="0.25">
      <c r="A1159" s="9">
        <v>45992</v>
      </c>
      <c r="B1159" t="s">
        <v>62</v>
      </c>
      <c r="C1159" t="s">
        <v>63</v>
      </c>
      <c r="D1159" t="s">
        <v>64</v>
      </c>
      <c r="E1159" t="s">
        <v>2094</v>
      </c>
      <c r="F1159" s="8">
        <v>5.4</v>
      </c>
      <c r="G1159" s="6">
        <v>41000</v>
      </c>
      <c r="H1159" s="8">
        <v>9.6</v>
      </c>
      <c r="I1159" s="7">
        <v>252.31</v>
      </c>
      <c r="J1159" s="8">
        <v>1.4</v>
      </c>
      <c r="K1159" s="7">
        <v>18450</v>
      </c>
      <c r="L1159" s="7">
        <v>18702.310000000001</v>
      </c>
    </row>
    <row r="1160" spans="1:12" x14ac:dyDescent="0.25">
      <c r="A1160" s="9">
        <v>45992</v>
      </c>
      <c r="B1160" t="s">
        <v>62</v>
      </c>
      <c r="C1160" t="s">
        <v>63</v>
      </c>
      <c r="D1160" t="s">
        <v>64</v>
      </c>
      <c r="E1160" t="s">
        <v>2095</v>
      </c>
      <c r="F1160" s="8">
        <v>14.8</v>
      </c>
      <c r="G1160" s="6">
        <v>27000</v>
      </c>
      <c r="H1160" s="8">
        <v>62.2</v>
      </c>
      <c r="I1160" s="7">
        <v>1076.54</v>
      </c>
      <c r="J1160" s="8">
        <v>7.1</v>
      </c>
      <c r="K1160" s="7">
        <v>33300</v>
      </c>
      <c r="L1160" s="7">
        <v>34376.54</v>
      </c>
    </row>
    <row r="1161" spans="1:12" x14ac:dyDescent="0.25">
      <c r="A1161" s="9">
        <v>45992</v>
      </c>
      <c r="B1161" t="s">
        <v>62</v>
      </c>
      <c r="C1161" t="s">
        <v>63</v>
      </c>
      <c r="D1161" t="s">
        <v>64</v>
      </c>
      <c r="E1161" t="s">
        <v>2093</v>
      </c>
      <c r="F1161" s="8">
        <v>13.4</v>
      </c>
      <c r="G1161" s="6">
        <v>29000</v>
      </c>
      <c r="H1161" s="8">
        <v>26.6</v>
      </c>
      <c r="I1161" s="7">
        <v>494.49</v>
      </c>
      <c r="J1161" s="8">
        <v>6.4</v>
      </c>
      <c r="K1161" s="7">
        <v>32383.333333333299</v>
      </c>
      <c r="L1161" s="7">
        <v>32877.823333333297</v>
      </c>
    </row>
    <row r="1162" spans="1:12" x14ac:dyDescent="0.25">
      <c r="A1162" s="9">
        <v>45992</v>
      </c>
      <c r="B1162" t="s">
        <v>62</v>
      </c>
      <c r="C1162" t="s">
        <v>63</v>
      </c>
      <c r="D1162" t="s">
        <v>64</v>
      </c>
      <c r="E1162" t="s">
        <v>2092</v>
      </c>
      <c r="F1162" s="8">
        <v>8.8000000000000007</v>
      </c>
      <c r="G1162" s="6">
        <v>43000</v>
      </c>
      <c r="H1162" s="8">
        <v>41.9</v>
      </c>
      <c r="I1162" s="7">
        <v>1154.94</v>
      </c>
      <c r="J1162" s="8">
        <v>4.9000000000000004</v>
      </c>
      <c r="K1162" s="7">
        <v>31533.333333333299</v>
      </c>
      <c r="L1162" s="7">
        <v>32688.273333333302</v>
      </c>
    </row>
    <row r="1163" spans="1:12" x14ac:dyDescent="0.25">
      <c r="A1163" s="9">
        <v>45992</v>
      </c>
      <c r="B1163" t="s">
        <v>91</v>
      </c>
      <c r="C1163" t="s">
        <v>92</v>
      </c>
      <c r="D1163" t="s">
        <v>64</v>
      </c>
      <c r="E1163" t="s">
        <v>2097</v>
      </c>
      <c r="F1163" s="8">
        <v>10.4</v>
      </c>
      <c r="G1163" s="6">
        <v>28000</v>
      </c>
      <c r="H1163" s="8">
        <v>12</v>
      </c>
      <c r="I1163" s="7">
        <v>215.38</v>
      </c>
      <c r="J1163" s="8">
        <v>5.0999999999999996</v>
      </c>
      <c r="K1163" s="7">
        <v>24266.666666666701</v>
      </c>
      <c r="L1163" s="7">
        <v>24482.046666666702</v>
      </c>
    </row>
    <row r="1164" spans="1:12" x14ac:dyDescent="0.25">
      <c r="A1164" s="9">
        <v>45992</v>
      </c>
      <c r="B1164" t="s">
        <v>91</v>
      </c>
      <c r="C1164" t="s">
        <v>92</v>
      </c>
      <c r="D1164" t="s">
        <v>64</v>
      </c>
      <c r="E1164" t="s">
        <v>2093</v>
      </c>
      <c r="F1164" s="8">
        <v>7.5</v>
      </c>
      <c r="G1164" s="6">
        <v>29000</v>
      </c>
      <c r="H1164" s="8">
        <v>14.4</v>
      </c>
      <c r="I1164" s="7">
        <v>267.69</v>
      </c>
      <c r="J1164" s="8">
        <v>4.7</v>
      </c>
      <c r="K1164" s="7">
        <v>18125</v>
      </c>
      <c r="L1164" s="7">
        <v>18392.689999999999</v>
      </c>
    </row>
    <row r="1165" spans="1:12" x14ac:dyDescent="0.25">
      <c r="A1165" s="9">
        <v>45992</v>
      </c>
      <c r="B1165" t="s">
        <v>91</v>
      </c>
      <c r="C1165" t="s">
        <v>92</v>
      </c>
      <c r="D1165" t="s">
        <v>64</v>
      </c>
      <c r="E1165" t="s">
        <v>2096</v>
      </c>
      <c r="F1165" s="8">
        <v>16.3</v>
      </c>
      <c r="G1165" s="6">
        <v>35000</v>
      </c>
      <c r="H1165" s="8">
        <v>84.4</v>
      </c>
      <c r="I1165" s="7">
        <v>1893.59</v>
      </c>
      <c r="J1165" s="8">
        <v>7.3</v>
      </c>
      <c r="K1165" s="7">
        <v>47541.666666666701</v>
      </c>
      <c r="L1165" s="7">
        <v>49435.256666666697</v>
      </c>
    </row>
    <row r="1166" spans="1:12" x14ac:dyDescent="0.25">
      <c r="A1166" s="9">
        <v>45992</v>
      </c>
      <c r="B1166" t="s">
        <v>91</v>
      </c>
      <c r="C1166" t="s">
        <v>92</v>
      </c>
      <c r="D1166" t="s">
        <v>64</v>
      </c>
      <c r="E1166" t="s">
        <v>2094</v>
      </c>
      <c r="F1166" s="8">
        <v>9.5</v>
      </c>
      <c r="G1166" s="6">
        <v>41000</v>
      </c>
      <c r="H1166" s="8">
        <v>27.1</v>
      </c>
      <c r="I1166" s="7">
        <v>712.24</v>
      </c>
      <c r="J1166" s="8">
        <v>4.3</v>
      </c>
      <c r="K1166" s="7">
        <v>32458.333333333299</v>
      </c>
      <c r="L1166" s="7">
        <v>33170.573333333297</v>
      </c>
    </row>
    <row r="1167" spans="1:12" x14ac:dyDescent="0.25">
      <c r="A1167" s="9">
        <v>45992</v>
      </c>
      <c r="B1167" t="s">
        <v>91</v>
      </c>
      <c r="C1167" t="s">
        <v>92</v>
      </c>
      <c r="D1167" t="s">
        <v>64</v>
      </c>
      <c r="E1167" t="s">
        <v>2092</v>
      </c>
      <c r="F1167" s="8">
        <v>9.4</v>
      </c>
      <c r="G1167" s="6">
        <v>43000</v>
      </c>
      <c r="H1167" s="8">
        <v>5.8</v>
      </c>
      <c r="I1167" s="7">
        <v>159.87</v>
      </c>
      <c r="J1167" s="8">
        <v>5</v>
      </c>
      <c r="K1167" s="7">
        <v>33683.333333333299</v>
      </c>
      <c r="L1167" s="7">
        <v>33843.203333333302</v>
      </c>
    </row>
    <row r="1168" spans="1:12" x14ac:dyDescent="0.25">
      <c r="A1168" s="9">
        <v>45992</v>
      </c>
      <c r="B1168" t="s">
        <v>91</v>
      </c>
      <c r="C1168" t="s">
        <v>92</v>
      </c>
      <c r="D1168" t="s">
        <v>64</v>
      </c>
      <c r="E1168" t="s">
        <v>2091</v>
      </c>
      <c r="F1168" s="8">
        <v>9.9</v>
      </c>
      <c r="G1168" s="6">
        <v>25000</v>
      </c>
      <c r="H1168" s="8">
        <v>35.5</v>
      </c>
      <c r="I1168" s="7">
        <v>568.91</v>
      </c>
      <c r="J1168" s="8">
        <v>5.9</v>
      </c>
      <c r="K1168" s="7">
        <v>20625</v>
      </c>
      <c r="L1168" s="7">
        <v>21193.91</v>
      </c>
    </row>
    <row r="1169" spans="1:12" x14ac:dyDescent="0.25">
      <c r="A1169" s="9">
        <v>45992</v>
      </c>
      <c r="B1169" t="s">
        <v>80</v>
      </c>
      <c r="C1169" t="s">
        <v>81</v>
      </c>
      <c r="D1169" t="s">
        <v>64</v>
      </c>
      <c r="E1169" t="s">
        <v>2097</v>
      </c>
      <c r="F1169" s="8">
        <v>16.7</v>
      </c>
      <c r="G1169" s="6">
        <v>28000</v>
      </c>
      <c r="H1169" s="8">
        <v>39.299999999999997</v>
      </c>
      <c r="I1169" s="7">
        <v>705.38</v>
      </c>
      <c r="J1169" s="8">
        <v>7.7</v>
      </c>
      <c r="K1169" s="7">
        <v>38966.666666666701</v>
      </c>
      <c r="L1169" s="7">
        <v>39672.046666666698</v>
      </c>
    </row>
    <row r="1170" spans="1:12" x14ac:dyDescent="0.25">
      <c r="A1170" s="9">
        <v>45992</v>
      </c>
      <c r="B1170" t="s">
        <v>80</v>
      </c>
      <c r="C1170" t="s">
        <v>81</v>
      </c>
      <c r="D1170" t="s">
        <v>64</v>
      </c>
      <c r="E1170" t="s">
        <v>2093</v>
      </c>
      <c r="F1170" s="8">
        <v>4.7</v>
      </c>
      <c r="G1170" s="6">
        <v>29000</v>
      </c>
      <c r="H1170" s="8">
        <v>8.1999999999999993</v>
      </c>
      <c r="I1170" s="7">
        <v>152.44</v>
      </c>
      <c r="J1170" s="8">
        <v>1.3</v>
      </c>
      <c r="K1170" s="7">
        <v>11358.333333333299</v>
      </c>
      <c r="L1170" s="7">
        <v>11510.7733333333</v>
      </c>
    </row>
    <row r="1171" spans="1:12" x14ac:dyDescent="0.25">
      <c r="A1171" s="9">
        <v>45992</v>
      </c>
      <c r="B1171" t="s">
        <v>80</v>
      </c>
      <c r="C1171" t="s">
        <v>81</v>
      </c>
      <c r="D1171" t="s">
        <v>64</v>
      </c>
      <c r="E1171" t="s">
        <v>2091</v>
      </c>
      <c r="F1171" s="8">
        <v>17.100000000000001</v>
      </c>
      <c r="G1171" s="6">
        <v>25000</v>
      </c>
      <c r="H1171" s="8">
        <v>38.1</v>
      </c>
      <c r="I1171" s="7">
        <v>610.58000000000004</v>
      </c>
      <c r="J1171" s="8">
        <v>9.5</v>
      </c>
      <c r="K1171" s="7">
        <v>35625</v>
      </c>
      <c r="L1171" s="7">
        <v>36235.58</v>
      </c>
    </row>
    <row r="1172" spans="1:12" x14ac:dyDescent="0.25">
      <c r="A1172" s="9">
        <v>45992</v>
      </c>
      <c r="B1172" t="s">
        <v>80</v>
      </c>
      <c r="C1172" t="s">
        <v>81</v>
      </c>
      <c r="D1172" t="s">
        <v>64</v>
      </c>
      <c r="E1172" t="s">
        <v>2096</v>
      </c>
      <c r="F1172" s="8">
        <v>18</v>
      </c>
      <c r="G1172" s="6">
        <v>35000</v>
      </c>
      <c r="H1172" s="8">
        <v>53.1</v>
      </c>
      <c r="I1172" s="7">
        <v>1191.3499999999999</v>
      </c>
      <c r="J1172" s="8">
        <v>9.1</v>
      </c>
      <c r="K1172" s="7">
        <v>52500</v>
      </c>
      <c r="L1172" s="7">
        <v>53691.35</v>
      </c>
    </row>
    <row r="1173" spans="1:12" x14ac:dyDescent="0.25">
      <c r="A1173" s="9">
        <v>45992</v>
      </c>
      <c r="B1173" t="s">
        <v>56</v>
      </c>
      <c r="C1173" t="s">
        <v>57</v>
      </c>
      <c r="D1173" t="s">
        <v>58</v>
      </c>
      <c r="E1173" t="s">
        <v>2097</v>
      </c>
      <c r="F1173" s="8">
        <v>19.7</v>
      </c>
      <c r="G1173" s="6">
        <v>28000</v>
      </c>
      <c r="H1173" s="8">
        <v>67.5</v>
      </c>
      <c r="I1173" s="7">
        <v>1211.54</v>
      </c>
      <c r="J1173" s="8">
        <v>8.6</v>
      </c>
      <c r="K1173" s="7">
        <v>45966.666666666701</v>
      </c>
      <c r="L1173" s="7">
        <v>47178.206666666701</v>
      </c>
    </row>
    <row r="1174" spans="1:12" x14ac:dyDescent="0.25">
      <c r="A1174" s="9">
        <v>45992</v>
      </c>
      <c r="B1174" t="s">
        <v>56</v>
      </c>
      <c r="C1174" t="s">
        <v>57</v>
      </c>
      <c r="D1174" t="s">
        <v>58</v>
      </c>
      <c r="E1174" t="s">
        <v>2092</v>
      </c>
      <c r="F1174" s="8">
        <v>15.8</v>
      </c>
      <c r="G1174" s="6">
        <v>43000</v>
      </c>
      <c r="H1174" s="8">
        <v>59.2</v>
      </c>
      <c r="I1174" s="7">
        <v>1631.79</v>
      </c>
      <c r="J1174" s="8">
        <v>8.5</v>
      </c>
      <c r="K1174" s="7">
        <v>56616.666666666701</v>
      </c>
      <c r="L1174" s="7">
        <v>58248.456666666701</v>
      </c>
    </row>
    <row r="1175" spans="1:12" x14ac:dyDescent="0.25">
      <c r="A1175" s="9">
        <v>45992</v>
      </c>
      <c r="B1175" t="s">
        <v>56</v>
      </c>
      <c r="C1175" t="s">
        <v>57</v>
      </c>
      <c r="D1175" t="s">
        <v>58</v>
      </c>
      <c r="E1175" t="s">
        <v>2094</v>
      </c>
      <c r="F1175" s="8">
        <v>7.3</v>
      </c>
      <c r="G1175" s="6">
        <v>41000</v>
      </c>
      <c r="H1175" s="8">
        <v>16</v>
      </c>
      <c r="I1175" s="7">
        <v>420.51</v>
      </c>
      <c r="J1175" s="8">
        <v>4.5</v>
      </c>
      <c r="K1175" s="7">
        <v>24941.666666666701</v>
      </c>
      <c r="L1175" s="7">
        <v>25362.176666666699</v>
      </c>
    </row>
    <row r="1176" spans="1:12" x14ac:dyDescent="0.25">
      <c r="A1176" s="9">
        <v>45992</v>
      </c>
      <c r="B1176" t="s">
        <v>56</v>
      </c>
      <c r="C1176" t="s">
        <v>57</v>
      </c>
      <c r="D1176" t="s">
        <v>58</v>
      </c>
      <c r="E1176" t="s">
        <v>2095</v>
      </c>
      <c r="F1176" s="8">
        <v>6.3</v>
      </c>
      <c r="G1176" s="6">
        <v>27000</v>
      </c>
      <c r="H1176" s="8">
        <v>17.2</v>
      </c>
      <c r="I1176" s="7">
        <v>297.69</v>
      </c>
      <c r="J1176" s="8">
        <v>2.7</v>
      </c>
      <c r="K1176" s="7">
        <v>14175</v>
      </c>
      <c r="L1176" s="7">
        <v>14472.69</v>
      </c>
    </row>
    <row r="1177" spans="1:12" x14ac:dyDescent="0.25">
      <c r="A1177" s="9">
        <v>45992</v>
      </c>
      <c r="B1177" t="s">
        <v>77</v>
      </c>
      <c r="C1177" t="s">
        <v>78</v>
      </c>
      <c r="D1177" t="s">
        <v>58</v>
      </c>
      <c r="E1177" t="s">
        <v>2096</v>
      </c>
      <c r="F1177" s="8">
        <v>16.5</v>
      </c>
      <c r="G1177" s="6">
        <v>35000</v>
      </c>
      <c r="H1177" s="8">
        <v>79.099999999999994</v>
      </c>
      <c r="I1177" s="7">
        <v>1774.68</v>
      </c>
      <c r="J1177" s="8">
        <v>7.6</v>
      </c>
      <c r="K1177" s="7">
        <v>48125</v>
      </c>
      <c r="L1177" s="7">
        <v>49899.68</v>
      </c>
    </row>
    <row r="1178" spans="1:12" x14ac:dyDescent="0.25">
      <c r="A1178" s="9">
        <v>45992</v>
      </c>
      <c r="B1178" t="s">
        <v>77</v>
      </c>
      <c r="C1178" t="s">
        <v>78</v>
      </c>
      <c r="D1178" t="s">
        <v>58</v>
      </c>
      <c r="E1178" t="s">
        <v>2092</v>
      </c>
      <c r="F1178" s="8">
        <v>8.3000000000000007</v>
      </c>
      <c r="G1178" s="6">
        <v>43000</v>
      </c>
      <c r="H1178" s="8">
        <v>33.700000000000003</v>
      </c>
      <c r="I1178" s="7">
        <v>928.91</v>
      </c>
      <c r="J1178" s="8">
        <v>3.8</v>
      </c>
      <c r="K1178" s="7">
        <v>29741.666666666701</v>
      </c>
      <c r="L1178" s="7">
        <v>30670.5766666667</v>
      </c>
    </row>
    <row r="1179" spans="1:12" x14ac:dyDescent="0.25">
      <c r="A1179" s="9">
        <v>45992</v>
      </c>
      <c r="B1179" t="s">
        <v>77</v>
      </c>
      <c r="C1179" t="s">
        <v>78</v>
      </c>
      <c r="D1179" t="s">
        <v>58</v>
      </c>
      <c r="E1179" t="s">
        <v>2093</v>
      </c>
      <c r="F1179" s="8">
        <v>11.7</v>
      </c>
      <c r="G1179" s="6">
        <v>29000</v>
      </c>
      <c r="H1179" s="8">
        <v>49.1</v>
      </c>
      <c r="I1179" s="7">
        <v>912.76</v>
      </c>
      <c r="J1179" s="8">
        <v>3.5</v>
      </c>
      <c r="K1179" s="7">
        <v>28275</v>
      </c>
      <c r="L1179" s="7">
        <v>29187.759999999998</v>
      </c>
    </row>
    <row r="1180" spans="1:12" x14ac:dyDescent="0.25">
      <c r="A1180" s="9">
        <v>45992</v>
      </c>
      <c r="B1180" t="s">
        <v>77</v>
      </c>
      <c r="C1180" t="s">
        <v>78</v>
      </c>
      <c r="D1180" t="s">
        <v>58</v>
      </c>
      <c r="E1180" t="s">
        <v>2095</v>
      </c>
      <c r="F1180" s="8">
        <v>13.6</v>
      </c>
      <c r="G1180" s="6">
        <v>27000</v>
      </c>
      <c r="H1180" s="8">
        <v>17.100000000000001</v>
      </c>
      <c r="I1180" s="7">
        <v>295.95999999999998</v>
      </c>
      <c r="J1180" s="8">
        <v>7.4</v>
      </c>
      <c r="K1180" s="7">
        <v>30600</v>
      </c>
      <c r="L1180" s="7">
        <v>30895.96</v>
      </c>
    </row>
    <row r="1181" spans="1:12" x14ac:dyDescent="0.25">
      <c r="A1181" s="9">
        <v>45992</v>
      </c>
      <c r="B1181" t="s">
        <v>77</v>
      </c>
      <c r="C1181" t="s">
        <v>78</v>
      </c>
      <c r="D1181" t="s">
        <v>58</v>
      </c>
      <c r="E1181" t="s">
        <v>2094</v>
      </c>
      <c r="F1181" s="8">
        <v>3.7</v>
      </c>
      <c r="G1181" s="6">
        <v>41000</v>
      </c>
      <c r="H1181" s="8">
        <v>20.6</v>
      </c>
      <c r="I1181" s="7">
        <v>541.41</v>
      </c>
      <c r="J1181" s="8">
        <v>0.9</v>
      </c>
      <c r="K1181" s="7">
        <v>12641.666666666701</v>
      </c>
      <c r="L1181" s="7">
        <v>13183.0766666667</v>
      </c>
    </row>
    <row r="1182" spans="1:12" x14ac:dyDescent="0.25">
      <c r="A1182" s="9">
        <v>45992</v>
      </c>
      <c r="B1182" t="s">
        <v>110</v>
      </c>
      <c r="C1182" t="s">
        <v>111</v>
      </c>
      <c r="D1182" t="s">
        <v>58</v>
      </c>
      <c r="E1182" t="s">
        <v>2097</v>
      </c>
      <c r="F1182" s="8">
        <v>3</v>
      </c>
      <c r="G1182" s="6">
        <v>28000</v>
      </c>
      <c r="H1182" s="8">
        <v>10.9</v>
      </c>
      <c r="I1182" s="7">
        <v>195.64</v>
      </c>
      <c r="J1182" s="8">
        <v>1.8</v>
      </c>
      <c r="K1182" s="7">
        <v>7000</v>
      </c>
      <c r="L1182" s="7">
        <v>7195.64</v>
      </c>
    </row>
    <row r="1183" spans="1:12" x14ac:dyDescent="0.25">
      <c r="A1183" s="9">
        <v>45992</v>
      </c>
      <c r="B1183" t="s">
        <v>110</v>
      </c>
      <c r="C1183" t="s">
        <v>111</v>
      </c>
      <c r="D1183" t="s">
        <v>58</v>
      </c>
      <c r="E1183" t="s">
        <v>2093</v>
      </c>
      <c r="F1183" s="8">
        <v>14.4</v>
      </c>
      <c r="G1183" s="6">
        <v>29000</v>
      </c>
      <c r="H1183" s="8">
        <v>72.599999999999994</v>
      </c>
      <c r="I1183" s="7">
        <v>1349.62</v>
      </c>
      <c r="J1183" s="8">
        <v>5.2</v>
      </c>
      <c r="K1183" s="7">
        <v>34800</v>
      </c>
      <c r="L1183" s="7">
        <v>36149.620000000003</v>
      </c>
    </row>
    <row r="1184" spans="1:12" x14ac:dyDescent="0.25">
      <c r="A1184" s="9">
        <v>45992</v>
      </c>
      <c r="B1184" t="s">
        <v>110</v>
      </c>
      <c r="C1184" t="s">
        <v>111</v>
      </c>
      <c r="D1184" t="s">
        <v>58</v>
      </c>
      <c r="E1184" t="s">
        <v>2096</v>
      </c>
      <c r="F1184" s="8">
        <v>11.7</v>
      </c>
      <c r="G1184" s="6">
        <v>35000</v>
      </c>
      <c r="H1184" s="8">
        <v>31.2</v>
      </c>
      <c r="I1184" s="7">
        <v>700</v>
      </c>
      <c r="J1184" s="8">
        <v>5.5</v>
      </c>
      <c r="K1184" s="7">
        <v>34125</v>
      </c>
      <c r="L1184" s="7">
        <v>34825</v>
      </c>
    </row>
    <row r="1185" spans="1:12" x14ac:dyDescent="0.25">
      <c r="A1185" s="9">
        <v>45992</v>
      </c>
      <c r="B1185" t="s">
        <v>110</v>
      </c>
      <c r="C1185" t="s">
        <v>111</v>
      </c>
      <c r="D1185" t="s">
        <v>58</v>
      </c>
      <c r="E1185" t="s">
        <v>2095</v>
      </c>
      <c r="F1185" s="8">
        <v>13.2</v>
      </c>
      <c r="G1185" s="6">
        <v>27000</v>
      </c>
      <c r="H1185" s="8">
        <v>66.7</v>
      </c>
      <c r="I1185" s="7">
        <v>1154.42</v>
      </c>
      <c r="J1185" s="8">
        <v>9.1</v>
      </c>
      <c r="K1185" s="7">
        <v>29700</v>
      </c>
      <c r="L1185" s="7">
        <v>30854.42</v>
      </c>
    </row>
    <row r="1186" spans="1:12" x14ac:dyDescent="0.25">
      <c r="A1186" s="9">
        <v>45992</v>
      </c>
      <c r="B1186" t="s">
        <v>85</v>
      </c>
      <c r="C1186" t="s">
        <v>86</v>
      </c>
      <c r="D1186" t="s">
        <v>58</v>
      </c>
      <c r="E1186" t="s">
        <v>2091</v>
      </c>
      <c r="F1186" s="8">
        <v>6.4</v>
      </c>
      <c r="G1186" s="6">
        <v>25000</v>
      </c>
      <c r="H1186" s="8">
        <v>23.4</v>
      </c>
      <c r="I1186" s="7">
        <v>375</v>
      </c>
      <c r="J1186" s="8">
        <v>1.8</v>
      </c>
      <c r="K1186" s="7">
        <v>13333.333333333299</v>
      </c>
      <c r="L1186" s="7">
        <v>13708.333333333299</v>
      </c>
    </row>
    <row r="1187" spans="1:12" x14ac:dyDescent="0.25">
      <c r="A1187" s="9">
        <v>45992</v>
      </c>
      <c r="B1187" t="s">
        <v>85</v>
      </c>
      <c r="C1187" t="s">
        <v>86</v>
      </c>
      <c r="D1187" t="s">
        <v>58</v>
      </c>
      <c r="E1187" t="s">
        <v>2097</v>
      </c>
      <c r="F1187" s="8">
        <v>4.4000000000000004</v>
      </c>
      <c r="G1187" s="6">
        <v>28000</v>
      </c>
      <c r="H1187" s="8">
        <v>20.3</v>
      </c>
      <c r="I1187" s="7">
        <v>364.36</v>
      </c>
      <c r="J1187" s="8">
        <v>3.5</v>
      </c>
      <c r="K1187" s="7">
        <v>10266.666666666701</v>
      </c>
      <c r="L1187" s="7">
        <v>10631.026666666699</v>
      </c>
    </row>
    <row r="1188" spans="1:12" x14ac:dyDescent="0.25">
      <c r="A1188" s="9">
        <v>45992</v>
      </c>
      <c r="B1188" t="s">
        <v>85</v>
      </c>
      <c r="C1188" t="s">
        <v>86</v>
      </c>
      <c r="D1188" t="s">
        <v>58</v>
      </c>
      <c r="E1188" t="s">
        <v>2095</v>
      </c>
      <c r="F1188" s="8">
        <v>6.3</v>
      </c>
      <c r="G1188" s="6">
        <v>27000</v>
      </c>
      <c r="H1188" s="8">
        <v>26.2</v>
      </c>
      <c r="I1188" s="7">
        <v>453.46</v>
      </c>
      <c r="J1188" s="8">
        <v>2.2000000000000002</v>
      </c>
      <c r="K1188" s="7">
        <v>14175</v>
      </c>
      <c r="L1188" s="7">
        <v>14628.46</v>
      </c>
    </row>
    <row r="1189" spans="1:12" x14ac:dyDescent="0.25">
      <c r="A1189" s="9">
        <v>45992</v>
      </c>
      <c r="B1189" t="s">
        <v>85</v>
      </c>
      <c r="C1189" t="s">
        <v>86</v>
      </c>
      <c r="D1189" t="s">
        <v>58</v>
      </c>
      <c r="E1189" t="s">
        <v>2096</v>
      </c>
      <c r="F1189" s="8">
        <v>13.4</v>
      </c>
      <c r="G1189" s="6">
        <v>35000</v>
      </c>
      <c r="H1189" s="8">
        <v>72.900000000000006</v>
      </c>
      <c r="I1189" s="7">
        <v>1635.58</v>
      </c>
      <c r="J1189" s="8">
        <v>7.4</v>
      </c>
      <c r="K1189" s="7">
        <v>39083.333333333299</v>
      </c>
      <c r="L1189" s="7">
        <v>40718.913333333301</v>
      </c>
    </row>
    <row r="1190" spans="1:12" x14ac:dyDescent="0.25">
      <c r="A1190" s="9">
        <v>45992</v>
      </c>
      <c r="B1190" t="s">
        <v>85</v>
      </c>
      <c r="C1190" t="s">
        <v>86</v>
      </c>
      <c r="D1190" t="s">
        <v>58</v>
      </c>
      <c r="E1190" t="s">
        <v>2094</v>
      </c>
      <c r="F1190" s="8">
        <v>17</v>
      </c>
      <c r="G1190" s="6">
        <v>41000</v>
      </c>
      <c r="H1190" s="8">
        <v>41.8</v>
      </c>
      <c r="I1190" s="7">
        <v>1098.5899999999999</v>
      </c>
      <c r="J1190" s="8">
        <v>8.9</v>
      </c>
      <c r="K1190" s="7">
        <v>58083.333333333299</v>
      </c>
      <c r="L1190" s="7">
        <v>59181.923333333303</v>
      </c>
    </row>
    <row r="1191" spans="1:12" x14ac:dyDescent="0.25">
      <c r="A1191" s="9">
        <v>45992</v>
      </c>
      <c r="B1191" t="s">
        <v>103</v>
      </c>
      <c r="C1191" t="s">
        <v>104</v>
      </c>
      <c r="D1191" t="s">
        <v>58</v>
      </c>
      <c r="E1191" t="s">
        <v>2091</v>
      </c>
      <c r="F1191" s="8">
        <v>13.4</v>
      </c>
      <c r="G1191" s="6">
        <v>25000</v>
      </c>
      <c r="H1191" s="8">
        <v>73.599999999999994</v>
      </c>
      <c r="I1191" s="7">
        <v>1179.49</v>
      </c>
      <c r="J1191" s="8">
        <v>7.9</v>
      </c>
      <c r="K1191" s="7">
        <v>27916.666666666701</v>
      </c>
      <c r="L1191" s="7">
        <v>29096.156666666699</v>
      </c>
    </row>
    <row r="1192" spans="1:12" x14ac:dyDescent="0.25">
      <c r="A1192" s="9">
        <v>45992</v>
      </c>
      <c r="B1192" t="s">
        <v>103</v>
      </c>
      <c r="C1192" t="s">
        <v>104</v>
      </c>
      <c r="D1192" t="s">
        <v>58</v>
      </c>
      <c r="E1192" t="s">
        <v>2097</v>
      </c>
      <c r="F1192" s="8">
        <v>7.7</v>
      </c>
      <c r="G1192" s="6">
        <v>28000</v>
      </c>
      <c r="H1192" s="8">
        <v>30</v>
      </c>
      <c r="I1192" s="7">
        <v>538.46</v>
      </c>
      <c r="J1192" s="8">
        <v>3.5</v>
      </c>
      <c r="K1192" s="7">
        <v>17966.666666666701</v>
      </c>
      <c r="L1192" s="7">
        <v>18505.1266666667</v>
      </c>
    </row>
    <row r="1193" spans="1:12" x14ac:dyDescent="0.25">
      <c r="A1193" s="9">
        <v>45992</v>
      </c>
      <c r="B1193" t="s">
        <v>103</v>
      </c>
      <c r="C1193" t="s">
        <v>104</v>
      </c>
      <c r="D1193" t="s">
        <v>58</v>
      </c>
      <c r="E1193" t="s">
        <v>2096</v>
      </c>
      <c r="F1193" s="8">
        <v>8</v>
      </c>
      <c r="G1193" s="6">
        <v>35000</v>
      </c>
      <c r="H1193" s="8">
        <v>46.7</v>
      </c>
      <c r="I1193" s="7">
        <v>1047.76</v>
      </c>
      <c r="J1193" s="8">
        <v>2.8</v>
      </c>
      <c r="K1193" s="7">
        <v>23333.333333333299</v>
      </c>
      <c r="L1193" s="7">
        <v>24381.093333333301</v>
      </c>
    </row>
    <row r="1194" spans="1:12" x14ac:dyDescent="0.25">
      <c r="A1194" s="9">
        <v>45992</v>
      </c>
      <c r="B1194" t="s">
        <v>103</v>
      </c>
      <c r="C1194" t="s">
        <v>104</v>
      </c>
      <c r="D1194" t="s">
        <v>58</v>
      </c>
      <c r="E1194" t="s">
        <v>2095</v>
      </c>
      <c r="F1194" s="8">
        <v>13.3</v>
      </c>
      <c r="G1194" s="6">
        <v>27000</v>
      </c>
      <c r="H1194" s="8">
        <v>61.9</v>
      </c>
      <c r="I1194" s="7">
        <v>1071.3499999999999</v>
      </c>
      <c r="J1194" s="8">
        <v>5.3</v>
      </c>
      <c r="K1194" s="7">
        <v>29925</v>
      </c>
      <c r="L1194" s="7">
        <v>30996.35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7" width="10.7109375" customWidth="1"/>
    <col min="8" max="8" width="12.7109375" customWidth="1"/>
    <col min="9" max="9" width="13.7109375" customWidth="1"/>
  </cols>
  <sheetData>
    <row r="1" spans="1:9" x14ac:dyDescent="0.25">
      <c r="A1" t="s">
        <v>1930</v>
      </c>
      <c r="B1" t="s">
        <v>17</v>
      </c>
      <c r="C1" t="s">
        <v>18</v>
      </c>
      <c r="D1" t="s">
        <v>19</v>
      </c>
      <c r="E1" t="s">
        <v>2098</v>
      </c>
      <c r="F1" t="s">
        <v>2083</v>
      </c>
      <c r="G1" t="s">
        <v>2099</v>
      </c>
      <c r="H1" t="s">
        <v>2100</v>
      </c>
      <c r="I1" t="s">
        <v>2101</v>
      </c>
    </row>
    <row r="2" spans="1:9" x14ac:dyDescent="0.25">
      <c r="A2" s="9">
        <v>45658</v>
      </c>
      <c r="B2" t="s">
        <v>100</v>
      </c>
      <c r="C2" t="s">
        <v>101</v>
      </c>
      <c r="D2" t="s">
        <v>69</v>
      </c>
      <c r="E2" t="s">
        <v>96</v>
      </c>
      <c r="F2" t="s">
        <v>2094</v>
      </c>
      <c r="G2" s="6">
        <v>127</v>
      </c>
      <c r="H2" s="6">
        <v>42</v>
      </c>
      <c r="I2" s="6">
        <v>5334</v>
      </c>
    </row>
    <row r="3" spans="1:9" x14ac:dyDescent="0.25">
      <c r="A3" s="9">
        <v>45658</v>
      </c>
      <c r="B3" t="s">
        <v>100</v>
      </c>
      <c r="C3" t="s">
        <v>101</v>
      </c>
      <c r="D3" t="s">
        <v>69</v>
      </c>
      <c r="E3" t="s">
        <v>204</v>
      </c>
      <c r="F3" t="s">
        <v>2091</v>
      </c>
      <c r="G3" s="6">
        <v>80</v>
      </c>
      <c r="H3" s="6">
        <v>23</v>
      </c>
      <c r="I3" s="6">
        <v>1840</v>
      </c>
    </row>
    <row r="4" spans="1:9" x14ac:dyDescent="0.25">
      <c r="A4" s="9">
        <v>45658</v>
      </c>
      <c r="B4" t="s">
        <v>100</v>
      </c>
      <c r="C4" t="s">
        <v>101</v>
      </c>
      <c r="D4" t="s">
        <v>69</v>
      </c>
      <c r="E4" t="s">
        <v>105</v>
      </c>
      <c r="F4" t="s">
        <v>2093</v>
      </c>
      <c r="G4" s="6">
        <v>134</v>
      </c>
      <c r="H4" s="6">
        <v>28</v>
      </c>
      <c r="I4" s="6">
        <v>3752</v>
      </c>
    </row>
    <row r="5" spans="1:9" x14ac:dyDescent="0.25">
      <c r="A5" s="9">
        <v>45658</v>
      </c>
      <c r="B5" t="s">
        <v>113</v>
      </c>
      <c r="C5" t="s">
        <v>114</v>
      </c>
      <c r="D5" t="s">
        <v>69</v>
      </c>
      <c r="E5" t="s">
        <v>105</v>
      </c>
      <c r="F5" t="s">
        <v>2091</v>
      </c>
      <c r="G5" s="6">
        <v>107</v>
      </c>
      <c r="H5" s="6">
        <v>23</v>
      </c>
      <c r="I5" s="6">
        <v>2461</v>
      </c>
    </row>
    <row r="6" spans="1:9" x14ac:dyDescent="0.25">
      <c r="A6" s="9">
        <v>45658</v>
      </c>
      <c r="B6" t="s">
        <v>113</v>
      </c>
      <c r="C6" t="s">
        <v>114</v>
      </c>
      <c r="D6" t="s">
        <v>69</v>
      </c>
      <c r="E6" t="s">
        <v>204</v>
      </c>
      <c r="F6" t="s">
        <v>2094</v>
      </c>
      <c r="G6" s="6">
        <v>47</v>
      </c>
      <c r="H6" s="6">
        <v>42</v>
      </c>
      <c r="I6" s="6">
        <v>1974</v>
      </c>
    </row>
    <row r="7" spans="1:9" x14ac:dyDescent="0.25">
      <c r="A7" s="9">
        <v>45658</v>
      </c>
      <c r="B7" t="s">
        <v>113</v>
      </c>
      <c r="C7" t="s">
        <v>114</v>
      </c>
      <c r="D7" t="s">
        <v>69</v>
      </c>
      <c r="E7" t="s">
        <v>204</v>
      </c>
      <c r="F7" t="s">
        <v>2093</v>
      </c>
      <c r="G7" s="6">
        <v>139</v>
      </c>
      <c r="H7" s="6">
        <v>28</v>
      </c>
      <c r="I7" s="6">
        <v>3892</v>
      </c>
    </row>
    <row r="8" spans="1:9" x14ac:dyDescent="0.25">
      <c r="A8" s="9">
        <v>45658</v>
      </c>
      <c r="B8" t="s">
        <v>143</v>
      </c>
      <c r="C8" t="s">
        <v>144</v>
      </c>
      <c r="D8" t="s">
        <v>69</v>
      </c>
      <c r="E8" t="s">
        <v>96</v>
      </c>
      <c r="F8" t="s">
        <v>2094</v>
      </c>
      <c r="G8" s="6">
        <v>144</v>
      </c>
      <c r="H8" s="6">
        <v>42</v>
      </c>
      <c r="I8" s="6">
        <v>6048</v>
      </c>
    </row>
    <row r="9" spans="1:9" x14ac:dyDescent="0.25">
      <c r="A9" s="9">
        <v>45658</v>
      </c>
      <c r="B9" t="s">
        <v>143</v>
      </c>
      <c r="C9" t="s">
        <v>144</v>
      </c>
      <c r="D9" t="s">
        <v>69</v>
      </c>
      <c r="E9" t="s">
        <v>204</v>
      </c>
      <c r="F9" t="s">
        <v>2091</v>
      </c>
      <c r="G9" s="6">
        <v>120</v>
      </c>
      <c r="H9" s="6">
        <v>23</v>
      </c>
      <c r="I9" s="6">
        <v>2760</v>
      </c>
    </row>
    <row r="10" spans="1:9" x14ac:dyDescent="0.25">
      <c r="A10" s="9">
        <v>45658</v>
      </c>
      <c r="B10" t="s">
        <v>143</v>
      </c>
      <c r="C10" t="s">
        <v>144</v>
      </c>
      <c r="D10" t="s">
        <v>69</v>
      </c>
      <c r="E10" t="s">
        <v>96</v>
      </c>
      <c r="F10" t="s">
        <v>2093</v>
      </c>
      <c r="G10" s="6">
        <v>63</v>
      </c>
      <c r="H10" s="6">
        <v>28</v>
      </c>
      <c r="I10" s="6">
        <v>1764</v>
      </c>
    </row>
    <row r="11" spans="1:9" x14ac:dyDescent="0.25">
      <c r="A11" s="9">
        <v>45658</v>
      </c>
      <c r="B11" t="s">
        <v>73</v>
      </c>
      <c r="C11" t="s">
        <v>74</v>
      </c>
      <c r="D11" t="s">
        <v>69</v>
      </c>
      <c r="E11" t="s">
        <v>96</v>
      </c>
      <c r="F11" t="s">
        <v>2094</v>
      </c>
      <c r="G11" s="6">
        <v>79</v>
      </c>
      <c r="H11" s="6">
        <v>42</v>
      </c>
      <c r="I11" s="6">
        <v>3318</v>
      </c>
    </row>
    <row r="12" spans="1:9" x14ac:dyDescent="0.25">
      <c r="A12" s="9">
        <v>45658</v>
      </c>
      <c r="B12" t="s">
        <v>73</v>
      </c>
      <c r="C12" t="s">
        <v>74</v>
      </c>
      <c r="D12" t="s">
        <v>69</v>
      </c>
      <c r="E12" t="s">
        <v>204</v>
      </c>
      <c r="F12" t="s">
        <v>2093</v>
      </c>
      <c r="G12" s="6">
        <v>95</v>
      </c>
      <c r="H12" s="6">
        <v>28</v>
      </c>
      <c r="I12" s="6">
        <v>2660</v>
      </c>
    </row>
    <row r="13" spans="1:9" x14ac:dyDescent="0.25">
      <c r="A13" s="9">
        <v>45658</v>
      </c>
      <c r="B13" t="s">
        <v>67</v>
      </c>
      <c r="C13" t="s">
        <v>68</v>
      </c>
      <c r="D13" t="s">
        <v>69</v>
      </c>
      <c r="E13" t="s">
        <v>96</v>
      </c>
      <c r="F13" t="s">
        <v>2093</v>
      </c>
      <c r="G13" s="6">
        <v>65</v>
      </c>
      <c r="H13" s="6">
        <v>28</v>
      </c>
      <c r="I13" s="6">
        <v>1820</v>
      </c>
    </row>
    <row r="14" spans="1:9" x14ac:dyDescent="0.25">
      <c r="A14" s="9">
        <v>45658</v>
      </c>
      <c r="B14" t="s">
        <v>32</v>
      </c>
      <c r="C14" t="s">
        <v>33</v>
      </c>
      <c r="D14" t="s">
        <v>34</v>
      </c>
      <c r="E14" t="s">
        <v>96</v>
      </c>
      <c r="F14" t="s">
        <v>2093</v>
      </c>
      <c r="G14" s="6">
        <v>149</v>
      </c>
      <c r="H14" s="6">
        <v>28</v>
      </c>
      <c r="I14" s="6">
        <v>4172</v>
      </c>
    </row>
    <row r="15" spans="1:9" x14ac:dyDescent="0.25">
      <c r="A15" s="9">
        <v>45658</v>
      </c>
      <c r="B15" t="s">
        <v>94</v>
      </c>
      <c r="C15" t="s">
        <v>95</v>
      </c>
      <c r="D15" t="s">
        <v>34</v>
      </c>
      <c r="E15" t="s">
        <v>105</v>
      </c>
      <c r="F15" t="s">
        <v>2093</v>
      </c>
      <c r="G15" s="6">
        <v>95</v>
      </c>
      <c r="H15" s="6">
        <v>28</v>
      </c>
      <c r="I15" s="6">
        <v>2660</v>
      </c>
    </row>
    <row r="16" spans="1:9" x14ac:dyDescent="0.25">
      <c r="A16" s="9">
        <v>45658</v>
      </c>
      <c r="B16" t="s">
        <v>94</v>
      </c>
      <c r="C16" t="s">
        <v>95</v>
      </c>
      <c r="D16" t="s">
        <v>34</v>
      </c>
      <c r="E16" t="s">
        <v>204</v>
      </c>
      <c r="F16" t="s">
        <v>2091</v>
      </c>
      <c r="G16" s="6">
        <v>10</v>
      </c>
      <c r="H16" s="6">
        <v>23</v>
      </c>
      <c r="I16" s="6">
        <v>230</v>
      </c>
    </row>
    <row r="17" spans="1:9" x14ac:dyDescent="0.25">
      <c r="A17" s="9">
        <v>45658</v>
      </c>
      <c r="B17" t="s">
        <v>41</v>
      </c>
      <c r="C17" t="s">
        <v>42</v>
      </c>
      <c r="D17" t="s">
        <v>34</v>
      </c>
      <c r="E17" t="s">
        <v>105</v>
      </c>
      <c r="F17" t="s">
        <v>2091</v>
      </c>
      <c r="G17" s="6">
        <v>101</v>
      </c>
      <c r="H17" s="6">
        <v>23</v>
      </c>
      <c r="I17" s="6">
        <v>2323</v>
      </c>
    </row>
    <row r="18" spans="1:9" x14ac:dyDescent="0.25">
      <c r="A18" s="9">
        <v>45658</v>
      </c>
      <c r="B18" t="s">
        <v>41</v>
      </c>
      <c r="C18" t="s">
        <v>42</v>
      </c>
      <c r="D18" t="s">
        <v>34</v>
      </c>
      <c r="E18" t="s">
        <v>96</v>
      </c>
      <c r="F18" t="s">
        <v>2093</v>
      </c>
      <c r="G18" s="6">
        <v>77</v>
      </c>
      <c r="H18" s="6">
        <v>28</v>
      </c>
      <c r="I18" s="6">
        <v>2156</v>
      </c>
    </row>
    <row r="19" spans="1:9" x14ac:dyDescent="0.25">
      <c r="A19" s="9">
        <v>45658</v>
      </c>
      <c r="B19" t="s">
        <v>47</v>
      </c>
      <c r="C19" t="s">
        <v>48</v>
      </c>
      <c r="D19" t="s">
        <v>34</v>
      </c>
      <c r="E19" t="s">
        <v>204</v>
      </c>
      <c r="F19" t="s">
        <v>2093</v>
      </c>
      <c r="G19" s="6">
        <v>87</v>
      </c>
      <c r="H19" s="6">
        <v>28</v>
      </c>
      <c r="I19" s="6">
        <v>2436</v>
      </c>
    </row>
    <row r="20" spans="1:9" x14ac:dyDescent="0.25">
      <c r="A20" s="9">
        <v>45658</v>
      </c>
      <c r="B20" t="s">
        <v>47</v>
      </c>
      <c r="C20" t="s">
        <v>48</v>
      </c>
      <c r="D20" t="s">
        <v>34</v>
      </c>
      <c r="E20" t="s">
        <v>204</v>
      </c>
      <c r="F20" t="s">
        <v>2094</v>
      </c>
      <c r="G20" s="6">
        <v>77</v>
      </c>
      <c r="H20" s="6">
        <v>42</v>
      </c>
      <c r="I20" s="6">
        <v>3234</v>
      </c>
    </row>
    <row r="21" spans="1:9" x14ac:dyDescent="0.25">
      <c r="A21" s="9">
        <v>45658</v>
      </c>
      <c r="B21" t="s">
        <v>47</v>
      </c>
      <c r="C21" t="s">
        <v>48</v>
      </c>
      <c r="D21" t="s">
        <v>34</v>
      </c>
      <c r="E21" t="s">
        <v>105</v>
      </c>
      <c r="F21" t="s">
        <v>2091</v>
      </c>
      <c r="G21" s="6">
        <v>118</v>
      </c>
      <c r="H21" s="6">
        <v>23</v>
      </c>
      <c r="I21" s="6">
        <v>2714</v>
      </c>
    </row>
    <row r="22" spans="1:9" x14ac:dyDescent="0.25">
      <c r="A22" s="9">
        <v>45658</v>
      </c>
      <c r="B22" t="s">
        <v>121</v>
      </c>
      <c r="C22" t="s">
        <v>122</v>
      </c>
      <c r="D22" t="s">
        <v>34</v>
      </c>
      <c r="E22" t="s">
        <v>204</v>
      </c>
      <c r="F22" t="s">
        <v>2093</v>
      </c>
      <c r="G22" s="6">
        <v>129</v>
      </c>
      <c r="H22" s="6">
        <v>28</v>
      </c>
      <c r="I22" s="6">
        <v>3612</v>
      </c>
    </row>
    <row r="23" spans="1:9" x14ac:dyDescent="0.25">
      <c r="A23" s="9">
        <v>45658</v>
      </c>
      <c r="B23" t="s">
        <v>121</v>
      </c>
      <c r="C23" t="s">
        <v>122</v>
      </c>
      <c r="D23" t="s">
        <v>34</v>
      </c>
      <c r="E23" t="s">
        <v>96</v>
      </c>
      <c r="F23" t="s">
        <v>2091</v>
      </c>
      <c r="G23" s="6">
        <v>99</v>
      </c>
      <c r="H23" s="6">
        <v>23</v>
      </c>
      <c r="I23" s="6">
        <v>2277</v>
      </c>
    </row>
    <row r="24" spans="1:9" x14ac:dyDescent="0.25">
      <c r="A24" s="9">
        <v>45658</v>
      </c>
      <c r="B24" t="s">
        <v>121</v>
      </c>
      <c r="C24" t="s">
        <v>122</v>
      </c>
      <c r="D24" t="s">
        <v>34</v>
      </c>
      <c r="E24" t="s">
        <v>105</v>
      </c>
      <c r="F24" t="s">
        <v>2094</v>
      </c>
      <c r="G24" s="6">
        <v>78</v>
      </c>
      <c r="H24" s="6">
        <v>42</v>
      </c>
      <c r="I24" s="6">
        <v>3276</v>
      </c>
    </row>
    <row r="25" spans="1:9" x14ac:dyDescent="0.25">
      <c r="A25" s="9">
        <v>45658</v>
      </c>
      <c r="B25" t="s">
        <v>201</v>
      </c>
      <c r="C25" t="s">
        <v>202</v>
      </c>
      <c r="D25" t="s">
        <v>64</v>
      </c>
      <c r="E25" t="s">
        <v>204</v>
      </c>
      <c r="F25" t="s">
        <v>2093</v>
      </c>
      <c r="G25" s="6">
        <v>88</v>
      </c>
      <c r="H25" s="6">
        <v>28</v>
      </c>
      <c r="I25" s="6">
        <v>2464</v>
      </c>
    </row>
    <row r="26" spans="1:9" x14ac:dyDescent="0.25">
      <c r="A26" s="9">
        <v>45658</v>
      </c>
      <c r="B26" t="s">
        <v>201</v>
      </c>
      <c r="C26" t="s">
        <v>202</v>
      </c>
      <c r="D26" t="s">
        <v>64</v>
      </c>
      <c r="E26" t="s">
        <v>204</v>
      </c>
      <c r="F26" t="s">
        <v>2094</v>
      </c>
      <c r="G26" s="6">
        <v>90</v>
      </c>
      <c r="H26" s="6">
        <v>42</v>
      </c>
      <c r="I26" s="6">
        <v>3780</v>
      </c>
    </row>
    <row r="27" spans="1:9" x14ac:dyDescent="0.25">
      <c r="A27" s="9">
        <v>45658</v>
      </c>
      <c r="B27" t="s">
        <v>201</v>
      </c>
      <c r="C27" t="s">
        <v>202</v>
      </c>
      <c r="D27" t="s">
        <v>64</v>
      </c>
      <c r="E27" t="s">
        <v>204</v>
      </c>
      <c r="F27" t="s">
        <v>2091</v>
      </c>
      <c r="G27" s="6">
        <v>61</v>
      </c>
      <c r="H27" s="6">
        <v>23</v>
      </c>
      <c r="I27" s="6">
        <v>1403</v>
      </c>
    </row>
    <row r="28" spans="1:9" x14ac:dyDescent="0.25">
      <c r="A28" s="9">
        <v>45658</v>
      </c>
      <c r="B28" t="s">
        <v>118</v>
      </c>
      <c r="C28" t="s">
        <v>119</v>
      </c>
      <c r="D28" t="s">
        <v>64</v>
      </c>
      <c r="E28" t="s">
        <v>204</v>
      </c>
      <c r="F28" t="s">
        <v>2091</v>
      </c>
      <c r="G28" s="6">
        <v>110</v>
      </c>
      <c r="H28" s="6">
        <v>23</v>
      </c>
      <c r="I28" s="6">
        <v>2530</v>
      </c>
    </row>
    <row r="29" spans="1:9" x14ac:dyDescent="0.25">
      <c r="A29" s="9">
        <v>45658</v>
      </c>
      <c r="B29" t="s">
        <v>118</v>
      </c>
      <c r="C29" t="s">
        <v>119</v>
      </c>
      <c r="D29" t="s">
        <v>64</v>
      </c>
      <c r="E29" t="s">
        <v>96</v>
      </c>
      <c r="F29" t="s">
        <v>2093</v>
      </c>
      <c r="G29" s="6">
        <v>106</v>
      </c>
      <c r="H29" s="6">
        <v>28</v>
      </c>
      <c r="I29" s="6">
        <v>2968</v>
      </c>
    </row>
    <row r="30" spans="1:9" x14ac:dyDescent="0.25">
      <c r="A30" s="9">
        <v>45658</v>
      </c>
      <c r="B30" t="s">
        <v>62</v>
      </c>
      <c r="C30" t="s">
        <v>63</v>
      </c>
      <c r="D30" t="s">
        <v>64</v>
      </c>
      <c r="E30" t="s">
        <v>204</v>
      </c>
      <c r="F30" t="s">
        <v>2093</v>
      </c>
      <c r="G30" s="6">
        <v>143</v>
      </c>
      <c r="H30" s="6">
        <v>28</v>
      </c>
      <c r="I30" s="6">
        <v>4004</v>
      </c>
    </row>
    <row r="31" spans="1:9" x14ac:dyDescent="0.25">
      <c r="A31" s="9">
        <v>45658</v>
      </c>
      <c r="B31" t="s">
        <v>62</v>
      </c>
      <c r="C31" t="s">
        <v>63</v>
      </c>
      <c r="D31" t="s">
        <v>64</v>
      </c>
      <c r="E31" t="s">
        <v>96</v>
      </c>
      <c r="F31" t="s">
        <v>2091</v>
      </c>
      <c r="G31" s="6">
        <v>133</v>
      </c>
      <c r="H31" s="6">
        <v>23</v>
      </c>
      <c r="I31" s="6">
        <v>3059</v>
      </c>
    </row>
    <row r="32" spans="1:9" x14ac:dyDescent="0.25">
      <c r="A32" s="9">
        <v>45658</v>
      </c>
      <c r="B32" t="s">
        <v>91</v>
      </c>
      <c r="C32" t="s">
        <v>92</v>
      </c>
      <c r="D32" t="s">
        <v>64</v>
      </c>
      <c r="E32" t="s">
        <v>105</v>
      </c>
      <c r="F32" t="s">
        <v>2091</v>
      </c>
      <c r="G32" s="6">
        <v>66</v>
      </c>
      <c r="H32" s="6">
        <v>23</v>
      </c>
      <c r="I32" s="6">
        <v>1518</v>
      </c>
    </row>
    <row r="33" spans="1:9" x14ac:dyDescent="0.25">
      <c r="A33" s="9">
        <v>45658</v>
      </c>
      <c r="B33" t="s">
        <v>91</v>
      </c>
      <c r="C33" t="s">
        <v>92</v>
      </c>
      <c r="D33" t="s">
        <v>64</v>
      </c>
      <c r="E33" t="s">
        <v>204</v>
      </c>
      <c r="F33" t="s">
        <v>2094</v>
      </c>
      <c r="G33" s="6">
        <v>118</v>
      </c>
      <c r="H33" s="6">
        <v>42</v>
      </c>
      <c r="I33" s="6">
        <v>4956</v>
      </c>
    </row>
    <row r="34" spans="1:9" x14ac:dyDescent="0.25">
      <c r="A34" s="9">
        <v>45658</v>
      </c>
      <c r="B34" t="s">
        <v>80</v>
      </c>
      <c r="C34" t="s">
        <v>81</v>
      </c>
      <c r="D34" t="s">
        <v>64</v>
      </c>
      <c r="E34" t="s">
        <v>204</v>
      </c>
      <c r="F34" t="s">
        <v>2091</v>
      </c>
      <c r="G34" s="6">
        <v>56</v>
      </c>
      <c r="H34" s="6">
        <v>23</v>
      </c>
      <c r="I34" s="6">
        <v>1288</v>
      </c>
    </row>
    <row r="35" spans="1:9" x14ac:dyDescent="0.25">
      <c r="A35" s="9">
        <v>45658</v>
      </c>
      <c r="B35" t="s">
        <v>80</v>
      </c>
      <c r="C35" t="s">
        <v>81</v>
      </c>
      <c r="D35" t="s">
        <v>64</v>
      </c>
      <c r="E35" t="s">
        <v>105</v>
      </c>
      <c r="F35" t="s">
        <v>2093</v>
      </c>
      <c r="G35" s="6">
        <v>114</v>
      </c>
      <c r="H35" s="6">
        <v>28</v>
      </c>
      <c r="I35" s="6">
        <v>3192</v>
      </c>
    </row>
    <row r="36" spans="1:9" x14ac:dyDescent="0.25">
      <c r="A36" s="9">
        <v>45658</v>
      </c>
      <c r="B36" t="s">
        <v>56</v>
      </c>
      <c r="C36" t="s">
        <v>57</v>
      </c>
      <c r="D36" t="s">
        <v>58</v>
      </c>
      <c r="E36" t="s">
        <v>105</v>
      </c>
      <c r="F36" t="s">
        <v>2091</v>
      </c>
      <c r="G36" s="6">
        <v>71</v>
      </c>
      <c r="H36" s="6">
        <v>23</v>
      </c>
      <c r="I36" s="6">
        <v>1633</v>
      </c>
    </row>
    <row r="37" spans="1:9" x14ac:dyDescent="0.25">
      <c r="A37" s="9">
        <v>45658</v>
      </c>
      <c r="B37" t="s">
        <v>77</v>
      </c>
      <c r="C37" t="s">
        <v>78</v>
      </c>
      <c r="D37" t="s">
        <v>58</v>
      </c>
      <c r="E37" t="s">
        <v>96</v>
      </c>
      <c r="F37" t="s">
        <v>2091</v>
      </c>
      <c r="G37" s="6">
        <v>54</v>
      </c>
      <c r="H37" s="6">
        <v>23</v>
      </c>
      <c r="I37" s="6">
        <v>1242</v>
      </c>
    </row>
    <row r="38" spans="1:9" x14ac:dyDescent="0.25">
      <c r="A38" s="9">
        <v>45658</v>
      </c>
      <c r="B38" t="s">
        <v>110</v>
      </c>
      <c r="C38" t="s">
        <v>111</v>
      </c>
      <c r="D38" t="s">
        <v>58</v>
      </c>
      <c r="E38" t="s">
        <v>96</v>
      </c>
      <c r="F38" t="s">
        <v>2091</v>
      </c>
      <c r="G38" s="6">
        <v>99</v>
      </c>
      <c r="H38" s="6">
        <v>23</v>
      </c>
      <c r="I38" s="6">
        <v>2277</v>
      </c>
    </row>
    <row r="39" spans="1:9" x14ac:dyDescent="0.25">
      <c r="A39" s="9">
        <v>45658</v>
      </c>
      <c r="B39" t="s">
        <v>85</v>
      </c>
      <c r="C39" t="s">
        <v>86</v>
      </c>
      <c r="D39" t="s">
        <v>58</v>
      </c>
      <c r="E39" t="s">
        <v>105</v>
      </c>
      <c r="F39" t="s">
        <v>2093</v>
      </c>
      <c r="G39" s="6">
        <v>10</v>
      </c>
      <c r="H39" s="6">
        <v>28</v>
      </c>
      <c r="I39" s="6">
        <v>280</v>
      </c>
    </row>
    <row r="40" spans="1:9" x14ac:dyDescent="0.25">
      <c r="A40" s="9">
        <v>45658</v>
      </c>
      <c r="B40" t="s">
        <v>103</v>
      </c>
      <c r="C40" t="s">
        <v>104</v>
      </c>
      <c r="D40" t="s">
        <v>58</v>
      </c>
      <c r="E40" t="s">
        <v>96</v>
      </c>
      <c r="F40" t="s">
        <v>2091</v>
      </c>
      <c r="G40" s="6">
        <v>28</v>
      </c>
      <c r="H40" s="6">
        <v>23</v>
      </c>
      <c r="I40" s="6">
        <v>644</v>
      </c>
    </row>
    <row r="41" spans="1:9" x14ac:dyDescent="0.25">
      <c r="A41" s="9">
        <v>45658</v>
      </c>
      <c r="B41" t="s">
        <v>103</v>
      </c>
      <c r="C41" t="s">
        <v>104</v>
      </c>
      <c r="D41" t="s">
        <v>58</v>
      </c>
      <c r="E41" t="s">
        <v>105</v>
      </c>
      <c r="F41" t="s">
        <v>2094</v>
      </c>
      <c r="G41" s="6">
        <v>83</v>
      </c>
      <c r="H41" s="6">
        <v>42</v>
      </c>
      <c r="I41" s="6">
        <v>3486</v>
      </c>
    </row>
    <row r="42" spans="1:9" x14ac:dyDescent="0.25">
      <c r="A42" s="9">
        <v>45689</v>
      </c>
      <c r="B42" t="s">
        <v>100</v>
      </c>
      <c r="C42" t="s">
        <v>101</v>
      </c>
      <c r="D42" t="s">
        <v>69</v>
      </c>
      <c r="E42" t="s">
        <v>204</v>
      </c>
      <c r="F42" t="s">
        <v>2094</v>
      </c>
      <c r="G42" s="6">
        <v>92</v>
      </c>
      <c r="H42" s="6">
        <v>42</v>
      </c>
      <c r="I42" s="6">
        <v>3864</v>
      </c>
    </row>
    <row r="43" spans="1:9" x14ac:dyDescent="0.25">
      <c r="A43" s="9">
        <v>45689</v>
      </c>
      <c r="B43" t="s">
        <v>100</v>
      </c>
      <c r="C43" t="s">
        <v>101</v>
      </c>
      <c r="D43" t="s">
        <v>69</v>
      </c>
      <c r="E43" t="s">
        <v>204</v>
      </c>
      <c r="F43" t="s">
        <v>2093</v>
      </c>
      <c r="G43" s="6">
        <v>77</v>
      </c>
      <c r="H43" s="6">
        <v>28</v>
      </c>
      <c r="I43" s="6">
        <v>2156</v>
      </c>
    </row>
    <row r="44" spans="1:9" x14ac:dyDescent="0.25">
      <c r="A44" s="9">
        <v>45689</v>
      </c>
      <c r="B44" t="s">
        <v>100</v>
      </c>
      <c r="C44" t="s">
        <v>101</v>
      </c>
      <c r="D44" t="s">
        <v>69</v>
      </c>
      <c r="E44" t="s">
        <v>96</v>
      </c>
      <c r="F44" t="s">
        <v>2091</v>
      </c>
      <c r="G44" s="6">
        <v>34</v>
      </c>
      <c r="H44" s="6">
        <v>23</v>
      </c>
      <c r="I44" s="6">
        <v>782</v>
      </c>
    </row>
    <row r="45" spans="1:9" x14ac:dyDescent="0.25">
      <c r="A45" s="9">
        <v>45689</v>
      </c>
      <c r="B45" t="s">
        <v>113</v>
      </c>
      <c r="C45" t="s">
        <v>114</v>
      </c>
      <c r="D45" t="s">
        <v>69</v>
      </c>
      <c r="E45" t="s">
        <v>105</v>
      </c>
      <c r="F45" t="s">
        <v>2093</v>
      </c>
      <c r="G45" s="6">
        <v>61</v>
      </c>
      <c r="H45" s="6">
        <v>28</v>
      </c>
      <c r="I45" s="6">
        <v>1708</v>
      </c>
    </row>
    <row r="46" spans="1:9" x14ac:dyDescent="0.25">
      <c r="A46" s="9">
        <v>45689</v>
      </c>
      <c r="B46" t="s">
        <v>143</v>
      </c>
      <c r="C46" t="s">
        <v>144</v>
      </c>
      <c r="D46" t="s">
        <v>69</v>
      </c>
      <c r="E46" t="s">
        <v>105</v>
      </c>
      <c r="F46" t="s">
        <v>2094</v>
      </c>
      <c r="G46" s="6">
        <v>103</v>
      </c>
      <c r="H46" s="6">
        <v>42</v>
      </c>
      <c r="I46" s="6">
        <v>4326</v>
      </c>
    </row>
    <row r="47" spans="1:9" x14ac:dyDescent="0.25">
      <c r="A47" s="9">
        <v>45689</v>
      </c>
      <c r="B47" t="s">
        <v>143</v>
      </c>
      <c r="C47" t="s">
        <v>144</v>
      </c>
      <c r="D47" t="s">
        <v>69</v>
      </c>
      <c r="E47" t="s">
        <v>204</v>
      </c>
      <c r="F47" t="s">
        <v>2093</v>
      </c>
      <c r="G47" s="6">
        <v>110</v>
      </c>
      <c r="H47" s="6">
        <v>28</v>
      </c>
      <c r="I47" s="6">
        <v>3080</v>
      </c>
    </row>
    <row r="48" spans="1:9" x14ac:dyDescent="0.25">
      <c r="A48" s="9">
        <v>45689</v>
      </c>
      <c r="B48" t="s">
        <v>73</v>
      </c>
      <c r="C48" t="s">
        <v>74</v>
      </c>
      <c r="D48" t="s">
        <v>69</v>
      </c>
      <c r="E48" t="s">
        <v>204</v>
      </c>
      <c r="F48" t="s">
        <v>2091</v>
      </c>
      <c r="G48" s="6">
        <v>89</v>
      </c>
      <c r="H48" s="6">
        <v>23</v>
      </c>
      <c r="I48" s="6">
        <v>2047</v>
      </c>
    </row>
    <row r="49" spans="1:9" x14ac:dyDescent="0.25">
      <c r="A49" s="9">
        <v>45689</v>
      </c>
      <c r="B49" t="s">
        <v>73</v>
      </c>
      <c r="C49" t="s">
        <v>74</v>
      </c>
      <c r="D49" t="s">
        <v>69</v>
      </c>
      <c r="E49" t="s">
        <v>96</v>
      </c>
      <c r="F49" t="s">
        <v>2094</v>
      </c>
      <c r="G49" s="6">
        <v>130</v>
      </c>
      <c r="H49" s="6">
        <v>42</v>
      </c>
      <c r="I49" s="6">
        <v>5460</v>
      </c>
    </row>
    <row r="50" spans="1:9" x14ac:dyDescent="0.25">
      <c r="A50" s="9">
        <v>45689</v>
      </c>
      <c r="B50" t="s">
        <v>73</v>
      </c>
      <c r="C50" t="s">
        <v>74</v>
      </c>
      <c r="D50" t="s">
        <v>69</v>
      </c>
      <c r="E50" t="s">
        <v>96</v>
      </c>
      <c r="F50" t="s">
        <v>2093</v>
      </c>
      <c r="G50" s="6">
        <v>103</v>
      </c>
      <c r="H50" s="6">
        <v>28</v>
      </c>
      <c r="I50" s="6">
        <v>2884</v>
      </c>
    </row>
    <row r="51" spans="1:9" x14ac:dyDescent="0.25">
      <c r="A51" s="9">
        <v>45689</v>
      </c>
      <c r="B51" t="s">
        <v>67</v>
      </c>
      <c r="C51" t="s">
        <v>68</v>
      </c>
      <c r="D51" t="s">
        <v>69</v>
      </c>
      <c r="E51" t="s">
        <v>96</v>
      </c>
      <c r="F51" t="s">
        <v>2091</v>
      </c>
      <c r="G51" s="6">
        <v>63</v>
      </c>
      <c r="H51" s="6">
        <v>23</v>
      </c>
      <c r="I51" s="6">
        <v>1449</v>
      </c>
    </row>
    <row r="52" spans="1:9" x14ac:dyDescent="0.25">
      <c r="A52" s="9">
        <v>45689</v>
      </c>
      <c r="B52" t="s">
        <v>67</v>
      </c>
      <c r="C52" t="s">
        <v>68</v>
      </c>
      <c r="D52" t="s">
        <v>69</v>
      </c>
      <c r="E52" t="s">
        <v>96</v>
      </c>
      <c r="F52" t="s">
        <v>2093</v>
      </c>
      <c r="G52" s="6">
        <v>80</v>
      </c>
      <c r="H52" s="6">
        <v>28</v>
      </c>
      <c r="I52" s="6">
        <v>2240</v>
      </c>
    </row>
    <row r="53" spans="1:9" x14ac:dyDescent="0.25">
      <c r="A53" s="9">
        <v>45689</v>
      </c>
      <c r="B53" t="s">
        <v>67</v>
      </c>
      <c r="C53" t="s">
        <v>68</v>
      </c>
      <c r="D53" t="s">
        <v>69</v>
      </c>
      <c r="E53" t="s">
        <v>204</v>
      </c>
      <c r="F53" t="s">
        <v>2094</v>
      </c>
      <c r="G53" s="6">
        <v>40</v>
      </c>
      <c r="H53" s="6">
        <v>42</v>
      </c>
      <c r="I53" s="6">
        <v>1680</v>
      </c>
    </row>
    <row r="54" spans="1:9" x14ac:dyDescent="0.25">
      <c r="A54" s="9">
        <v>45689</v>
      </c>
      <c r="B54" t="s">
        <v>32</v>
      </c>
      <c r="C54" t="s">
        <v>33</v>
      </c>
      <c r="D54" t="s">
        <v>34</v>
      </c>
      <c r="E54" t="s">
        <v>204</v>
      </c>
      <c r="F54" t="s">
        <v>2094</v>
      </c>
      <c r="G54" s="6">
        <v>86</v>
      </c>
      <c r="H54" s="6">
        <v>42</v>
      </c>
      <c r="I54" s="6">
        <v>3612</v>
      </c>
    </row>
    <row r="55" spans="1:9" x14ac:dyDescent="0.25">
      <c r="A55" s="9">
        <v>45689</v>
      </c>
      <c r="B55" t="s">
        <v>94</v>
      </c>
      <c r="C55" t="s">
        <v>95</v>
      </c>
      <c r="D55" t="s">
        <v>34</v>
      </c>
      <c r="E55" t="s">
        <v>96</v>
      </c>
      <c r="F55" t="s">
        <v>2094</v>
      </c>
      <c r="G55" s="6">
        <v>128</v>
      </c>
      <c r="H55" s="6">
        <v>42</v>
      </c>
      <c r="I55" s="6">
        <v>5376</v>
      </c>
    </row>
    <row r="56" spans="1:9" x14ac:dyDescent="0.25">
      <c r="A56" s="9">
        <v>45689</v>
      </c>
      <c r="B56" t="s">
        <v>94</v>
      </c>
      <c r="C56" t="s">
        <v>95</v>
      </c>
      <c r="D56" t="s">
        <v>34</v>
      </c>
      <c r="E56" t="s">
        <v>105</v>
      </c>
      <c r="F56" t="s">
        <v>2091</v>
      </c>
      <c r="G56" s="6">
        <v>113</v>
      </c>
      <c r="H56" s="6">
        <v>23</v>
      </c>
      <c r="I56" s="6">
        <v>2599</v>
      </c>
    </row>
    <row r="57" spans="1:9" x14ac:dyDescent="0.25">
      <c r="A57" s="9">
        <v>45689</v>
      </c>
      <c r="B57" t="s">
        <v>94</v>
      </c>
      <c r="C57" t="s">
        <v>95</v>
      </c>
      <c r="D57" t="s">
        <v>34</v>
      </c>
      <c r="E57" t="s">
        <v>204</v>
      </c>
      <c r="F57" t="s">
        <v>2093</v>
      </c>
      <c r="G57" s="6">
        <v>139</v>
      </c>
      <c r="H57" s="6">
        <v>28</v>
      </c>
      <c r="I57" s="6">
        <v>3892</v>
      </c>
    </row>
    <row r="58" spans="1:9" x14ac:dyDescent="0.25">
      <c r="A58" s="9">
        <v>45689</v>
      </c>
      <c r="B58" t="s">
        <v>41</v>
      </c>
      <c r="C58" t="s">
        <v>42</v>
      </c>
      <c r="D58" t="s">
        <v>34</v>
      </c>
      <c r="E58" t="s">
        <v>105</v>
      </c>
      <c r="F58" t="s">
        <v>2094</v>
      </c>
      <c r="G58" s="6">
        <v>79</v>
      </c>
      <c r="H58" s="6">
        <v>42</v>
      </c>
      <c r="I58" s="6">
        <v>3318</v>
      </c>
    </row>
    <row r="59" spans="1:9" x14ac:dyDescent="0.25">
      <c r="A59" s="9">
        <v>45689</v>
      </c>
      <c r="B59" t="s">
        <v>47</v>
      </c>
      <c r="C59" t="s">
        <v>48</v>
      </c>
      <c r="D59" t="s">
        <v>34</v>
      </c>
      <c r="E59" t="s">
        <v>204</v>
      </c>
      <c r="F59" t="s">
        <v>2093</v>
      </c>
      <c r="G59" s="6">
        <v>137</v>
      </c>
      <c r="H59" s="6">
        <v>28</v>
      </c>
      <c r="I59" s="6">
        <v>3836</v>
      </c>
    </row>
    <row r="60" spans="1:9" x14ac:dyDescent="0.25">
      <c r="A60" s="9">
        <v>45689</v>
      </c>
      <c r="B60" t="s">
        <v>47</v>
      </c>
      <c r="C60" t="s">
        <v>48</v>
      </c>
      <c r="D60" t="s">
        <v>34</v>
      </c>
      <c r="E60" t="s">
        <v>204</v>
      </c>
      <c r="F60" t="s">
        <v>2091</v>
      </c>
      <c r="G60" s="6">
        <v>83</v>
      </c>
      <c r="H60" s="6">
        <v>23</v>
      </c>
      <c r="I60" s="6">
        <v>1909</v>
      </c>
    </row>
    <row r="61" spans="1:9" x14ac:dyDescent="0.25">
      <c r="A61" s="9">
        <v>45689</v>
      </c>
      <c r="B61" t="s">
        <v>121</v>
      </c>
      <c r="C61" t="s">
        <v>122</v>
      </c>
      <c r="D61" t="s">
        <v>34</v>
      </c>
      <c r="E61" t="s">
        <v>105</v>
      </c>
      <c r="F61" t="s">
        <v>2091</v>
      </c>
      <c r="G61" s="6">
        <v>141</v>
      </c>
      <c r="H61" s="6">
        <v>23</v>
      </c>
      <c r="I61" s="6">
        <v>3243</v>
      </c>
    </row>
    <row r="62" spans="1:9" x14ac:dyDescent="0.25">
      <c r="A62" s="9">
        <v>45689</v>
      </c>
      <c r="B62" t="s">
        <v>201</v>
      </c>
      <c r="C62" t="s">
        <v>202</v>
      </c>
      <c r="D62" t="s">
        <v>64</v>
      </c>
      <c r="E62" t="s">
        <v>105</v>
      </c>
      <c r="F62" t="s">
        <v>2094</v>
      </c>
      <c r="G62" s="6">
        <v>89</v>
      </c>
      <c r="H62" s="6">
        <v>42</v>
      </c>
      <c r="I62" s="6">
        <v>3738</v>
      </c>
    </row>
    <row r="63" spans="1:9" x14ac:dyDescent="0.25">
      <c r="A63" s="9">
        <v>45689</v>
      </c>
      <c r="B63" t="s">
        <v>118</v>
      </c>
      <c r="C63" t="s">
        <v>119</v>
      </c>
      <c r="D63" t="s">
        <v>64</v>
      </c>
      <c r="E63" t="s">
        <v>96</v>
      </c>
      <c r="F63" t="s">
        <v>2091</v>
      </c>
      <c r="G63" s="6">
        <v>114</v>
      </c>
      <c r="H63" s="6">
        <v>23</v>
      </c>
      <c r="I63" s="6">
        <v>2622</v>
      </c>
    </row>
    <row r="64" spans="1:9" x14ac:dyDescent="0.25">
      <c r="A64" s="9">
        <v>45689</v>
      </c>
      <c r="B64" t="s">
        <v>118</v>
      </c>
      <c r="C64" t="s">
        <v>119</v>
      </c>
      <c r="D64" t="s">
        <v>64</v>
      </c>
      <c r="E64" t="s">
        <v>105</v>
      </c>
      <c r="F64" t="s">
        <v>2093</v>
      </c>
      <c r="G64" s="6">
        <v>141</v>
      </c>
      <c r="H64" s="6">
        <v>28</v>
      </c>
      <c r="I64" s="6">
        <v>3948</v>
      </c>
    </row>
    <row r="65" spans="1:9" x14ac:dyDescent="0.25">
      <c r="A65" s="9">
        <v>45689</v>
      </c>
      <c r="B65" t="s">
        <v>118</v>
      </c>
      <c r="C65" t="s">
        <v>119</v>
      </c>
      <c r="D65" t="s">
        <v>64</v>
      </c>
      <c r="E65" t="s">
        <v>96</v>
      </c>
      <c r="F65" t="s">
        <v>2094</v>
      </c>
      <c r="G65" s="6">
        <v>83</v>
      </c>
      <c r="H65" s="6">
        <v>42</v>
      </c>
      <c r="I65" s="6">
        <v>3486</v>
      </c>
    </row>
    <row r="66" spans="1:9" x14ac:dyDescent="0.25">
      <c r="A66" s="9">
        <v>45689</v>
      </c>
      <c r="B66" t="s">
        <v>62</v>
      </c>
      <c r="C66" t="s">
        <v>63</v>
      </c>
      <c r="D66" t="s">
        <v>64</v>
      </c>
      <c r="E66" t="s">
        <v>105</v>
      </c>
      <c r="F66" t="s">
        <v>2093</v>
      </c>
      <c r="G66" s="6">
        <v>97</v>
      </c>
      <c r="H66" s="6">
        <v>28</v>
      </c>
      <c r="I66" s="6">
        <v>2716</v>
      </c>
    </row>
    <row r="67" spans="1:9" x14ac:dyDescent="0.25">
      <c r="A67" s="9">
        <v>45689</v>
      </c>
      <c r="B67" t="s">
        <v>91</v>
      </c>
      <c r="C67" t="s">
        <v>92</v>
      </c>
      <c r="D67" t="s">
        <v>64</v>
      </c>
      <c r="E67" t="s">
        <v>105</v>
      </c>
      <c r="F67" t="s">
        <v>2093</v>
      </c>
      <c r="G67" s="6">
        <v>135</v>
      </c>
      <c r="H67" s="6">
        <v>28</v>
      </c>
      <c r="I67" s="6">
        <v>3780</v>
      </c>
    </row>
    <row r="68" spans="1:9" x14ac:dyDescent="0.25">
      <c r="A68" s="9">
        <v>45689</v>
      </c>
      <c r="B68" t="s">
        <v>91</v>
      </c>
      <c r="C68" t="s">
        <v>92</v>
      </c>
      <c r="D68" t="s">
        <v>64</v>
      </c>
      <c r="E68" t="s">
        <v>105</v>
      </c>
      <c r="F68" t="s">
        <v>2094</v>
      </c>
      <c r="G68" s="6">
        <v>85</v>
      </c>
      <c r="H68" s="6">
        <v>42</v>
      </c>
      <c r="I68" s="6">
        <v>3570</v>
      </c>
    </row>
    <row r="69" spans="1:9" x14ac:dyDescent="0.25">
      <c r="A69" s="9">
        <v>45689</v>
      </c>
      <c r="B69" t="s">
        <v>80</v>
      </c>
      <c r="C69" t="s">
        <v>81</v>
      </c>
      <c r="D69" t="s">
        <v>64</v>
      </c>
      <c r="E69" t="s">
        <v>204</v>
      </c>
      <c r="F69" t="s">
        <v>2094</v>
      </c>
      <c r="G69" s="6">
        <v>43</v>
      </c>
      <c r="H69" s="6">
        <v>42</v>
      </c>
      <c r="I69" s="6">
        <v>1806</v>
      </c>
    </row>
    <row r="70" spans="1:9" x14ac:dyDescent="0.25">
      <c r="A70" s="9">
        <v>45689</v>
      </c>
      <c r="B70" t="s">
        <v>80</v>
      </c>
      <c r="C70" t="s">
        <v>81</v>
      </c>
      <c r="D70" t="s">
        <v>64</v>
      </c>
      <c r="E70" t="s">
        <v>105</v>
      </c>
      <c r="F70" t="s">
        <v>2091</v>
      </c>
      <c r="G70" s="6">
        <v>165</v>
      </c>
      <c r="H70" s="6">
        <v>23</v>
      </c>
      <c r="I70" s="6">
        <v>3795</v>
      </c>
    </row>
    <row r="71" spans="1:9" x14ac:dyDescent="0.25">
      <c r="A71" s="9">
        <v>45689</v>
      </c>
      <c r="B71" t="s">
        <v>80</v>
      </c>
      <c r="C71" t="s">
        <v>81</v>
      </c>
      <c r="D71" t="s">
        <v>64</v>
      </c>
      <c r="E71" t="s">
        <v>204</v>
      </c>
      <c r="F71" t="s">
        <v>2093</v>
      </c>
      <c r="G71" s="6">
        <v>73</v>
      </c>
      <c r="H71" s="6">
        <v>28</v>
      </c>
      <c r="I71" s="6">
        <v>2044</v>
      </c>
    </row>
    <row r="72" spans="1:9" x14ac:dyDescent="0.25">
      <c r="A72" s="9">
        <v>45689</v>
      </c>
      <c r="B72" t="s">
        <v>56</v>
      </c>
      <c r="C72" t="s">
        <v>57</v>
      </c>
      <c r="D72" t="s">
        <v>58</v>
      </c>
      <c r="E72" t="s">
        <v>204</v>
      </c>
      <c r="F72" t="s">
        <v>2093</v>
      </c>
      <c r="G72" s="6">
        <v>95</v>
      </c>
      <c r="H72" s="6">
        <v>28</v>
      </c>
      <c r="I72" s="6">
        <v>2660</v>
      </c>
    </row>
    <row r="73" spans="1:9" x14ac:dyDescent="0.25">
      <c r="A73" s="9">
        <v>45689</v>
      </c>
      <c r="B73" t="s">
        <v>77</v>
      </c>
      <c r="C73" t="s">
        <v>78</v>
      </c>
      <c r="D73" t="s">
        <v>58</v>
      </c>
      <c r="E73" t="s">
        <v>204</v>
      </c>
      <c r="F73" t="s">
        <v>2093</v>
      </c>
      <c r="G73" s="6">
        <v>130</v>
      </c>
      <c r="H73" s="6">
        <v>28</v>
      </c>
      <c r="I73" s="6">
        <v>3640</v>
      </c>
    </row>
    <row r="74" spans="1:9" x14ac:dyDescent="0.25">
      <c r="A74" s="9">
        <v>45689</v>
      </c>
      <c r="B74" t="s">
        <v>77</v>
      </c>
      <c r="C74" t="s">
        <v>78</v>
      </c>
      <c r="D74" t="s">
        <v>58</v>
      </c>
      <c r="E74" t="s">
        <v>96</v>
      </c>
      <c r="F74" t="s">
        <v>2094</v>
      </c>
      <c r="G74" s="6">
        <v>68</v>
      </c>
      <c r="H74" s="6">
        <v>42</v>
      </c>
      <c r="I74" s="6">
        <v>2856</v>
      </c>
    </row>
    <row r="75" spans="1:9" x14ac:dyDescent="0.25">
      <c r="A75" s="9">
        <v>45689</v>
      </c>
      <c r="B75" t="s">
        <v>77</v>
      </c>
      <c r="C75" t="s">
        <v>78</v>
      </c>
      <c r="D75" t="s">
        <v>58</v>
      </c>
      <c r="E75" t="s">
        <v>204</v>
      </c>
      <c r="F75" t="s">
        <v>2091</v>
      </c>
      <c r="G75" s="6">
        <v>54</v>
      </c>
      <c r="H75" s="6">
        <v>23</v>
      </c>
      <c r="I75" s="6">
        <v>1242</v>
      </c>
    </row>
    <row r="76" spans="1:9" x14ac:dyDescent="0.25">
      <c r="A76" s="9">
        <v>45689</v>
      </c>
      <c r="B76" t="s">
        <v>110</v>
      </c>
      <c r="C76" t="s">
        <v>111</v>
      </c>
      <c r="D76" t="s">
        <v>58</v>
      </c>
      <c r="E76" t="s">
        <v>105</v>
      </c>
      <c r="F76" t="s">
        <v>2094</v>
      </c>
      <c r="G76" s="6">
        <v>98</v>
      </c>
      <c r="H76" s="6">
        <v>42</v>
      </c>
      <c r="I76" s="6">
        <v>4116</v>
      </c>
    </row>
    <row r="77" spans="1:9" x14ac:dyDescent="0.25">
      <c r="A77" s="9">
        <v>45689</v>
      </c>
      <c r="B77" t="s">
        <v>110</v>
      </c>
      <c r="C77" t="s">
        <v>111</v>
      </c>
      <c r="D77" t="s">
        <v>58</v>
      </c>
      <c r="E77" t="s">
        <v>105</v>
      </c>
      <c r="F77" t="s">
        <v>2091</v>
      </c>
      <c r="G77" s="6">
        <v>27</v>
      </c>
      <c r="H77" s="6">
        <v>23</v>
      </c>
      <c r="I77" s="6">
        <v>621</v>
      </c>
    </row>
    <row r="78" spans="1:9" x14ac:dyDescent="0.25">
      <c r="A78" s="9">
        <v>45689</v>
      </c>
      <c r="B78" t="s">
        <v>110</v>
      </c>
      <c r="C78" t="s">
        <v>111</v>
      </c>
      <c r="D78" t="s">
        <v>58</v>
      </c>
      <c r="E78" t="s">
        <v>105</v>
      </c>
      <c r="F78" t="s">
        <v>2093</v>
      </c>
      <c r="G78" s="6">
        <v>79</v>
      </c>
      <c r="H78" s="6">
        <v>28</v>
      </c>
      <c r="I78" s="6">
        <v>2212</v>
      </c>
    </row>
    <row r="79" spans="1:9" x14ac:dyDescent="0.25">
      <c r="A79" s="9">
        <v>45689</v>
      </c>
      <c r="B79" t="s">
        <v>85</v>
      </c>
      <c r="C79" t="s">
        <v>86</v>
      </c>
      <c r="D79" t="s">
        <v>58</v>
      </c>
      <c r="E79" t="s">
        <v>105</v>
      </c>
      <c r="F79" t="s">
        <v>2093</v>
      </c>
      <c r="G79" s="6">
        <v>98</v>
      </c>
      <c r="H79" s="6">
        <v>28</v>
      </c>
      <c r="I79" s="6">
        <v>2744</v>
      </c>
    </row>
    <row r="80" spans="1:9" x14ac:dyDescent="0.25">
      <c r="A80" s="9">
        <v>45689</v>
      </c>
      <c r="B80" t="s">
        <v>85</v>
      </c>
      <c r="C80" t="s">
        <v>86</v>
      </c>
      <c r="D80" t="s">
        <v>58</v>
      </c>
      <c r="E80" t="s">
        <v>204</v>
      </c>
      <c r="F80" t="s">
        <v>2094</v>
      </c>
      <c r="G80" s="6">
        <v>80</v>
      </c>
      <c r="H80" s="6">
        <v>42</v>
      </c>
      <c r="I80" s="6">
        <v>3360</v>
      </c>
    </row>
    <row r="81" spans="1:9" x14ac:dyDescent="0.25">
      <c r="A81" s="9">
        <v>45689</v>
      </c>
      <c r="B81" t="s">
        <v>85</v>
      </c>
      <c r="C81" t="s">
        <v>86</v>
      </c>
      <c r="D81" t="s">
        <v>58</v>
      </c>
      <c r="E81" t="s">
        <v>96</v>
      </c>
      <c r="F81" t="s">
        <v>2091</v>
      </c>
      <c r="G81" s="6">
        <v>35</v>
      </c>
      <c r="H81" s="6">
        <v>23</v>
      </c>
      <c r="I81" s="6">
        <v>805</v>
      </c>
    </row>
    <row r="82" spans="1:9" x14ac:dyDescent="0.25">
      <c r="A82" s="9">
        <v>45689</v>
      </c>
      <c r="B82" t="s">
        <v>103</v>
      </c>
      <c r="C82" t="s">
        <v>104</v>
      </c>
      <c r="D82" t="s">
        <v>58</v>
      </c>
      <c r="E82" t="s">
        <v>96</v>
      </c>
      <c r="F82" t="s">
        <v>2093</v>
      </c>
      <c r="G82" s="6">
        <v>145</v>
      </c>
      <c r="H82" s="6">
        <v>28</v>
      </c>
      <c r="I82" s="6">
        <v>4060</v>
      </c>
    </row>
    <row r="83" spans="1:9" x14ac:dyDescent="0.25">
      <c r="A83" s="9">
        <v>45689</v>
      </c>
      <c r="B83" t="s">
        <v>103</v>
      </c>
      <c r="C83" t="s">
        <v>104</v>
      </c>
      <c r="D83" t="s">
        <v>58</v>
      </c>
      <c r="E83" t="s">
        <v>96</v>
      </c>
      <c r="F83" t="s">
        <v>2091</v>
      </c>
      <c r="G83" s="6">
        <v>93</v>
      </c>
      <c r="H83" s="6">
        <v>23</v>
      </c>
      <c r="I83" s="6">
        <v>2139</v>
      </c>
    </row>
    <row r="84" spans="1:9" x14ac:dyDescent="0.25">
      <c r="A84" s="9">
        <v>45717</v>
      </c>
      <c r="B84" t="s">
        <v>100</v>
      </c>
      <c r="C84" t="s">
        <v>101</v>
      </c>
      <c r="D84" t="s">
        <v>69</v>
      </c>
      <c r="E84" t="s">
        <v>105</v>
      </c>
      <c r="F84" t="s">
        <v>2094</v>
      </c>
      <c r="G84" s="6">
        <v>140</v>
      </c>
      <c r="H84" s="6">
        <v>42</v>
      </c>
      <c r="I84" s="6">
        <v>5880</v>
      </c>
    </row>
    <row r="85" spans="1:9" x14ac:dyDescent="0.25">
      <c r="A85" s="9">
        <v>45717</v>
      </c>
      <c r="B85" t="s">
        <v>113</v>
      </c>
      <c r="C85" t="s">
        <v>114</v>
      </c>
      <c r="D85" t="s">
        <v>69</v>
      </c>
      <c r="E85" t="s">
        <v>96</v>
      </c>
      <c r="F85" t="s">
        <v>2091</v>
      </c>
      <c r="G85" s="6">
        <v>80</v>
      </c>
      <c r="H85" s="6">
        <v>23</v>
      </c>
      <c r="I85" s="6">
        <v>1840</v>
      </c>
    </row>
    <row r="86" spans="1:9" x14ac:dyDescent="0.25">
      <c r="A86" s="9">
        <v>45717</v>
      </c>
      <c r="B86" t="s">
        <v>143</v>
      </c>
      <c r="C86" t="s">
        <v>144</v>
      </c>
      <c r="D86" t="s">
        <v>69</v>
      </c>
      <c r="E86" t="s">
        <v>105</v>
      </c>
      <c r="F86" t="s">
        <v>2094</v>
      </c>
      <c r="G86" s="6">
        <v>59</v>
      </c>
      <c r="H86" s="6">
        <v>42</v>
      </c>
      <c r="I86" s="6">
        <v>2478</v>
      </c>
    </row>
    <row r="87" spans="1:9" x14ac:dyDescent="0.25">
      <c r="A87" s="9">
        <v>45717</v>
      </c>
      <c r="B87" t="s">
        <v>73</v>
      </c>
      <c r="C87" t="s">
        <v>74</v>
      </c>
      <c r="D87" t="s">
        <v>69</v>
      </c>
      <c r="E87" t="s">
        <v>105</v>
      </c>
      <c r="F87" t="s">
        <v>2091</v>
      </c>
      <c r="G87" s="6">
        <v>99</v>
      </c>
      <c r="H87" s="6">
        <v>23</v>
      </c>
      <c r="I87" s="6">
        <v>2277</v>
      </c>
    </row>
    <row r="88" spans="1:9" x14ac:dyDescent="0.25">
      <c r="A88" s="9">
        <v>45717</v>
      </c>
      <c r="B88" t="s">
        <v>67</v>
      </c>
      <c r="C88" t="s">
        <v>68</v>
      </c>
      <c r="D88" t="s">
        <v>69</v>
      </c>
      <c r="E88" t="s">
        <v>204</v>
      </c>
      <c r="F88" t="s">
        <v>2091</v>
      </c>
      <c r="G88" s="6">
        <v>82</v>
      </c>
      <c r="H88" s="6">
        <v>23</v>
      </c>
      <c r="I88" s="6">
        <v>1886</v>
      </c>
    </row>
    <row r="89" spans="1:9" x14ac:dyDescent="0.25">
      <c r="A89" s="9">
        <v>45717</v>
      </c>
      <c r="B89" t="s">
        <v>32</v>
      </c>
      <c r="C89" t="s">
        <v>33</v>
      </c>
      <c r="D89" t="s">
        <v>34</v>
      </c>
      <c r="E89" t="s">
        <v>204</v>
      </c>
      <c r="F89" t="s">
        <v>2094</v>
      </c>
      <c r="G89" s="6">
        <v>48</v>
      </c>
      <c r="H89" s="6">
        <v>42</v>
      </c>
      <c r="I89" s="6">
        <v>2016</v>
      </c>
    </row>
    <row r="90" spans="1:9" x14ac:dyDescent="0.25">
      <c r="A90" s="9">
        <v>45717</v>
      </c>
      <c r="B90" t="s">
        <v>32</v>
      </c>
      <c r="C90" t="s">
        <v>33</v>
      </c>
      <c r="D90" t="s">
        <v>34</v>
      </c>
      <c r="E90" t="s">
        <v>96</v>
      </c>
      <c r="F90" t="s">
        <v>2093</v>
      </c>
      <c r="G90" s="6">
        <v>141</v>
      </c>
      <c r="H90" s="6">
        <v>28</v>
      </c>
      <c r="I90" s="6">
        <v>3948</v>
      </c>
    </row>
    <row r="91" spans="1:9" x14ac:dyDescent="0.25">
      <c r="A91" s="9">
        <v>45717</v>
      </c>
      <c r="B91" t="s">
        <v>32</v>
      </c>
      <c r="C91" t="s">
        <v>33</v>
      </c>
      <c r="D91" t="s">
        <v>34</v>
      </c>
      <c r="E91" t="s">
        <v>105</v>
      </c>
      <c r="F91" t="s">
        <v>2091</v>
      </c>
      <c r="G91" s="6">
        <v>68</v>
      </c>
      <c r="H91" s="6">
        <v>23</v>
      </c>
      <c r="I91" s="6">
        <v>1564</v>
      </c>
    </row>
    <row r="92" spans="1:9" x14ac:dyDescent="0.25">
      <c r="A92" s="9">
        <v>45717</v>
      </c>
      <c r="B92" t="s">
        <v>94</v>
      </c>
      <c r="C92" t="s">
        <v>95</v>
      </c>
      <c r="D92" t="s">
        <v>34</v>
      </c>
      <c r="E92" t="s">
        <v>105</v>
      </c>
      <c r="F92" t="s">
        <v>2094</v>
      </c>
      <c r="G92" s="6">
        <v>25</v>
      </c>
      <c r="H92" s="6">
        <v>42</v>
      </c>
      <c r="I92" s="6">
        <v>1050</v>
      </c>
    </row>
    <row r="93" spans="1:9" x14ac:dyDescent="0.25">
      <c r="A93" s="9">
        <v>45717</v>
      </c>
      <c r="B93" t="s">
        <v>94</v>
      </c>
      <c r="C93" t="s">
        <v>95</v>
      </c>
      <c r="D93" t="s">
        <v>34</v>
      </c>
      <c r="E93" t="s">
        <v>96</v>
      </c>
      <c r="F93" t="s">
        <v>2091</v>
      </c>
      <c r="G93" s="6">
        <v>136</v>
      </c>
      <c r="H93" s="6">
        <v>23</v>
      </c>
      <c r="I93" s="6">
        <v>3128</v>
      </c>
    </row>
    <row r="94" spans="1:9" x14ac:dyDescent="0.25">
      <c r="A94" s="9">
        <v>45717</v>
      </c>
      <c r="B94" t="s">
        <v>94</v>
      </c>
      <c r="C94" t="s">
        <v>95</v>
      </c>
      <c r="D94" t="s">
        <v>34</v>
      </c>
      <c r="E94" t="s">
        <v>204</v>
      </c>
      <c r="F94" t="s">
        <v>2093</v>
      </c>
      <c r="G94" s="6">
        <v>72</v>
      </c>
      <c r="H94" s="6">
        <v>28</v>
      </c>
      <c r="I94" s="6">
        <v>2016</v>
      </c>
    </row>
    <row r="95" spans="1:9" x14ac:dyDescent="0.25">
      <c r="A95" s="9">
        <v>45717</v>
      </c>
      <c r="B95" t="s">
        <v>41</v>
      </c>
      <c r="C95" t="s">
        <v>42</v>
      </c>
      <c r="D95" t="s">
        <v>34</v>
      </c>
      <c r="E95" t="s">
        <v>105</v>
      </c>
      <c r="F95" t="s">
        <v>2094</v>
      </c>
      <c r="G95" s="6">
        <v>68</v>
      </c>
      <c r="H95" s="6">
        <v>42</v>
      </c>
      <c r="I95" s="6">
        <v>2856</v>
      </c>
    </row>
    <row r="96" spans="1:9" x14ac:dyDescent="0.25">
      <c r="A96" s="9">
        <v>45717</v>
      </c>
      <c r="B96" t="s">
        <v>41</v>
      </c>
      <c r="C96" t="s">
        <v>42</v>
      </c>
      <c r="D96" t="s">
        <v>34</v>
      </c>
      <c r="E96" t="s">
        <v>204</v>
      </c>
      <c r="F96" t="s">
        <v>2093</v>
      </c>
      <c r="G96" s="6">
        <v>28</v>
      </c>
      <c r="H96" s="6">
        <v>28</v>
      </c>
      <c r="I96" s="6">
        <v>784</v>
      </c>
    </row>
    <row r="97" spans="1:9" x14ac:dyDescent="0.25">
      <c r="A97" s="9">
        <v>45717</v>
      </c>
      <c r="B97" t="s">
        <v>41</v>
      </c>
      <c r="C97" t="s">
        <v>42</v>
      </c>
      <c r="D97" t="s">
        <v>34</v>
      </c>
      <c r="E97" t="s">
        <v>105</v>
      </c>
      <c r="F97" t="s">
        <v>2091</v>
      </c>
      <c r="G97" s="6">
        <v>150</v>
      </c>
      <c r="H97" s="6">
        <v>23</v>
      </c>
      <c r="I97" s="6">
        <v>3450</v>
      </c>
    </row>
    <row r="98" spans="1:9" x14ac:dyDescent="0.25">
      <c r="A98" s="9">
        <v>45717</v>
      </c>
      <c r="B98" t="s">
        <v>47</v>
      </c>
      <c r="C98" t="s">
        <v>48</v>
      </c>
      <c r="D98" t="s">
        <v>34</v>
      </c>
      <c r="E98" t="s">
        <v>96</v>
      </c>
      <c r="F98" t="s">
        <v>2091</v>
      </c>
      <c r="G98" s="6">
        <v>44</v>
      </c>
      <c r="H98" s="6">
        <v>23</v>
      </c>
      <c r="I98" s="6">
        <v>1012</v>
      </c>
    </row>
    <row r="99" spans="1:9" x14ac:dyDescent="0.25">
      <c r="A99" s="9">
        <v>45717</v>
      </c>
      <c r="B99" t="s">
        <v>47</v>
      </c>
      <c r="C99" t="s">
        <v>48</v>
      </c>
      <c r="D99" t="s">
        <v>34</v>
      </c>
      <c r="E99" t="s">
        <v>105</v>
      </c>
      <c r="F99" t="s">
        <v>2093</v>
      </c>
      <c r="G99" s="6">
        <v>92</v>
      </c>
      <c r="H99" s="6">
        <v>28</v>
      </c>
      <c r="I99" s="6">
        <v>2576</v>
      </c>
    </row>
    <row r="100" spans="1:9" x14ac:dyDescent="0.25">
      <c r="A100" s="9">
        <v>45717</v>
      </c>
      <c r="B100" t="s">
        <v>47</v>
      </c>
      <c r="C100" t="s">
        <v>48</v>
      </c>
      <c r="D100" t="s">
        <v>34</v>
      </c>
      <c r="E100" t="s">
        <v>96</v>
      </c>
      <c r="F100" t="s">
        <v>2094</v>
      </c>
      <c r="G100" s="6">
        <v>121</v>
      </c>
      <c r="H100" s="6">
        <v>42</v>
      </c>
      <c r="I100" s="6">
        <v>5082</v>
      </c>
    </row>
    <row r="101" spans="1:9" x14ac:dyDescent="0.25">
      <c r="A101" s="9">
        <v>45717</v>
      </c>
      <c r="B101" t="s">
        <v>121</v>
      </c>
      <c r="C101" t="s">
        <v>122</v>
      </c>
      <c r="D101" t="s">
        <v>34</v>
      </c>
      <c r="E101" t="s">
        <v>105</v>
      </c>
      <c r="F101" t="s">
        <v>2093</v>
      </c>
      <c r="G101" s="6">
        <v>104</v>
      </c>
      <c r="H101" s="6">
        <v>28</v>
      </c>
      <c r="I101" s="6">
        <v>2912</v>
      </c>
    </row>
    <row r="102" spans="1:9" x14ac:dyDescent="0.25">
      <c r="A102" s="9">
        <v>45717</v>
      </c>
      <c r="B102" t="s">
        <v>121</v>
      </c>
      <c r="C102" t="s">
        <v>122</v>
      </c>
      <c r="D102" t="s">
        <v>34</v>
      </c>
      <c r="E102" t="s">
        <v>105</v>
      </c>
      <c r="F102" t="s">
        <v>2091</v>
      </c>
      <c r="G102" s="6">
        <v>87</v>
      </c>
      <c r="H102" s="6">
        <v>23</v>
      </c>
      <c r="I102" s="6">
        <v>2001</v>
      </c>
    </row>
    <row r="103" spans="1:9" x14ac:dyDescent="0.25">
      <c r="A103" s="9">
        <v>45717</v>
      </c>
      <c r="B103" t="s">
        <v>201</v>
      </c>
      <c r="C103" t="s">
        <v>202</v>
      </c>
      <c r="D103" t="s">
        <v>64</v>
      </c>
      <c r="E103" t="s">
        <v>96</v>
      </c>
      <c r="F103" t="s">
        <v>2093</v>
      </c>
      <c r="G103" s="6">
        <v>30</v>
      </c>
      <c r="H103" s="6">
        <v>28</v>
      </c>
      <c r="I103" s="6">
        <v>840</v>
      </c>
    </row>
    <row r="104" spans="1:9" x14ac:dyDescent="0.25">
      <c r="A104" s="9">
        <v>45717</v>
      </c>
      <c r="B104" t="s">
        <v>201</v>
      </c>
      <c r="C104" t="s">
        <v>202</v>
      </c>
      <c r="D104" t="s">
        <v>64</v>
      </c>
      <c r="E104" t="s">
        <v>105</v>
      </c>
      <c r="F104" t="s">
        <v>2094</v>
      </c>
      <c r="G104" s="6">
        <v>61</v>
      </c>
      <c r="H104" s="6">
        <v>42</v>
      </c>
      <c r="I104" s="6">
        <v>2562</v>
      </c>
    </row>
    <row r="105" spans="1:9" x14ac:dyDescent="0.25">
      <c r="A105" s="9">
        <v>45717</v>
      </c>
      <c r="B105" t="s">
        <v>201</v>
      </c>
      <c r="C105" t="s">
        <v>202</v>
      </c>
      <c r="D105" t="s">
        <v>64</v>
      </c>
      <c r="E105" t="s">
        <v>105</v>
      </c>
      <c r="F105" t="s">
        <v>2091</v>
      </c>
      <c r="G105" s="6">
        <v>96</v>
      </c>
      <c r="H105" s="6">
        <v>23</v>
      </c>
      <c r="I105" s="6">
        <v>2208</v>
      </c>
    </row>
    <row r="106" spans="1:9" x14ac:dyDescent="0.25">
      <c r="A106" s="9">
        <v>45717</v>
      </c>
      <c r="B106" t="s">
        <v>118</v>
      </c>
      <c r="C106" t="s">
        <v>119</v>
      </c>
      <c r="D106" t="s">
        <v>64</v>
      </c>
      <c r="E106" t="s">
        <v>204</v>
      </c>
      <c r="F106" t="s">
        <v>2094</v>
      </c>
      <c r="G106" s="6">
        <v>62</v>
      </c>
      <c r="H106" s="6">
        <v>42</v>
      </c>
      <c r="I106" s="6">
        <v>2604</v>
      </c>
    </row>
    <row r="107" spans="1:9" x14ac:dyDescent="0.25">
      <c r="A107" s="9">
        <v>45717</v>
      </c>
      <c r="B107" t="s">
        <v>118</v>
      </c>
      <c r="C107" t="s">
        <v>119</v>
      </c>
      <c r="D107" t="s">
        <v>64</v>
      </c>
      <c r="E107" t="s">
        <v>204</v>
      </c>
      <c r="F107" t="s">
        <v>2091</v>
      </c>
      <c r="G107" s="6">
        <v>97</v>
      </c>
      <c r="H107" s="6">
        <v>23</v>
      </c>
      <c r="I107" s="6">
        <v>2231</v>
      </c>
    </row>
    <row r="108" spans="1:9" x14ac:dyDescent="0.25">
      <c r="A108" s="9">
        <v>45717</v>
      </c>
      <c r="B108" t="s">
        <v>118</v>
      </c>
      <c r="C108" t="s">
        <v>119</v>
      </c>
      <c r="D108" t="s">
        <v>64</v>
      </c>
      <c r="E108" t="s">
        <v>96</v>
      </c>
      <c r="F108" t="s">
        <v>2093</v>
      </c>
      <c r="G108" s="6">
        <v>113</v>
      </c>
      <c r="H108" s="6">
        <v>28</v>
      </c>
      <c r="I108" s="6">
        <v>3164</v>
      </c>
    </row>
    <row r="109" spans="1:9" x14ac:dyDescent="0.25">
      <c r="A109" s="9">
        <v>45717</v>
      </c>
      <c r="B109" t="s">
        <v>62</v>
      </c>
      <c r="C109" t="s">
        <v>63</v>
      </c>
      <c r="D109" t="s">
        <v>64</v>
      </c>
      <c r="E109" t="s">
        <v>105</v>
      </c>
      <c r="F109" t="s">
        <v>2093</v>
      </c>
      <c r="G109" s="6">
        <v>123</v>
      </c>
      <c r="H109" s="6">
        <v>28</v>
      </c>
      <c r="I109" s="6">
        <v>3444</v>
      </c>
    </row>
    <row r="110" spans="1:9" x14ac:dyDescent="0.25">
      <c r="A110" s="9">
        <v>45717</v>
      </c>
      <c r="B110" t="s">
        <v>91</v>
      </c>
      <c r="C110" t="s">
        <v>92</v>
      </c>
      <c r="D110" t="s">
        <v>64</v>
      </c>
      <c r="E110" t="s">
        <v>105</v>
      </c>
      <c r="F110" t="s">
        <v>2091</v>
      </c>
      <c r="G110" s="6">
        <v>47</v>
      </c>
      <c r="H110" s="6">
        <v>23</v>
      </c>
      <c r="I110" s="6">
        <v>1081</v>
      </c>
    </row>
    <row r="111" spans="1:9" x14ac:dyDescent="0.25">
      <c r="A111" s="9">
        <v>45717</v>
      </c>
      <c r="B111" t="s">
        <v>91</v>
      </c>
      <c r="C111" t="s">
        <v>92</v>
      </c>
      <c r="D111" t="s">
        <v>64</v>
      </c>
      <c r="E111" t="s">
        <v>96</v>
      </c>
      <c r="F111" t="s">
        <v>2094</v>
      </c>
      <c r="G111" s="6">
        <v>166</v>
      </c>
      <c r="H111" s="6">
        <v>42</v>
      </c>
      <c r="I111" s="6">
        <v>6972</v>
      </c>
    </row>
    <row r="112" spans="1:9" x14ac:dyDescent="0.25">
      <c r="A112" s="9">
        <v>45717</v>
      </c>
      <c r="B112" t="s">
        <v>91</v>
      </c>
      <c r="C112" t="s">
        <v>92</v>
      </c>
      <c r="D112" t="s">
        <v>64</v>
      </c>
      <c r="E112" t="s">
        <v>105</v>
      </c>
      <c r="F112" t="s">
        <v>2093</v>
      </c>
      <c r="G112" s="6">
        <v>116</v>
      </c>
      <c r="H112" s="6">
        <v>28</v>
      </c>
      <c r="I112" s="6">
        <v>3248</v>
      </c>
    </row>
    <row r="113" spans="1:9" x14ac:dyDescent="0.25">
      <c r="A113" s="9">
        <v>45717</v>
      </c>
      <c r="B113" t="s">
        <v>80</v>
      </c>
      <c r="C113" t="s">
        <v>81</v>
      </c>
      <c r="D113" t="s">
        <v>64</v>
      </c>
      <c r="E113" t="s">
        <v>105</v>
      </c>
      <c r="F113" t="s">
        <v>2094</v>
      </c>
      <c r="G113" s="6">
        <v>89</v>
      </c>
      <c r="H113" s="6">
        <v>42</v>
      </c>
      <c r="I113" s="6">
        <v>3738</v>
      </c>
    </row>
    <row r="114" spans="1:9" x14ac:dyDescent="0.25">
      <c r="A114" s="9">
        <v>45717</v>
      </c>
      <c r="B114" t="s">
        <v>56</v>
      </c>
      <c r="C114" t="s">
        <v>57</v>
      </c>
      <c r="D114" t="s">
        <v>58</v>
      </c>
      <c r="E114" t="s">
        <v>105</v>
      </c>
      <c r="F114" t="s">
        <v>2093</v>
      </c>
      <c r="G114" s="6">
        <v>128</v>
      </c>
      <c r="H114" s="6">
        <v>28</v>
      </c>
      <c r="I114" s="6">
        <v>3584</v>
      </c>
    </row>
    <row r="115" spans="1:9" x14ac:dyDescent="0.25">
      <c r="A115" s="9">
        <v>45717</v>
      </c>
      <c r="B115" t="s">
        <v>56</v>
      </c>
      <c r="C115" t="s">
        <v>57</v>
      </c>
      <c r="D115" t="s">
        <v>58</v>
      </c>
      <c r="E115" t="s">
        <v>204</v>
      </c>
      <c r="F115" t="s">
        <v>2091</v>
      </c>
      <c r="G115" s="6">
        <v>172</v>
      </c>
      <c r="H115" s="6">
        <v>23</v>
      </c>
      <c r="I115" s="6">
        <v>3956</v>
      </c>
    </row>
    <row r="116" spans="1:9" x14ac:dyDescent="0.25">
      <c r="A116" s="9">
        <v>45717</v>
      </c>
      <c r="B116" t="s">
        <v>77</v>
      </c>
      <c r="C116" t="s">
        <v>78</v>
      </c>
      <c r="D116" t="s">
        <v>58</v>
      </c>
      <c r="E116" t="s">
        <v>105</v>
      </c>
      <c r="F116" t="s">
        <v>2094</v>
      </c>
      <c r="G116" s="6">
        <v>39</v>
      </c>
      <c r="H116" s="6">
        <v>42</v>
      </c>
      <c r="I116" s="6">
        <v>1638</v>
      </c>
    </row>
    <row r="117" spans="1:9" x14ac:dyDescent="0.25">
      <c r="A117" s="9">
        <v>45717</v>
      </c>
      <c r="B117" t="s">
        <v>77</v>
      </c>
      <c r="C117" t="s">
        <v>78</v>
      </c>
      <c r="D117" t="s">
        <v>58</v>
      </c>
      <c r="E117" t="s">
        <v>105</v>
      </c>
      <c r="F117" t="s">
        <v>2093</v>
      </c>
      <c r="G117" s="6">
        <v>82</v>
      </c>
      <c r="H117" s="6">
        <v>28</v>
      </c>
      <c r="I117" s="6">
        <v>2296</v>
      </c>
    </row>
    <row r="118" spans="1:9" x14ac:dyDescent="0.25">
      <c r="A118" s="9">
        <v>45717</v>
      </c>
      <c r="B118" t="s">
        <v>110</v>
      </c>
      <c r="C118" t="s">
        <v>111</v>
      </c>
      <c r="D118" t="s">
        <v>58</v>
      </c>
      <c r="E118" t="s">
        <v>204</v>
      </c>
      <c r="F118" t="s">
        <v>2094</v>
      </c>
      <c r="G118" s="6">
        <v>10</v>
      </c>
      <c r="H118" s="6">
        <v>42</v>
      </c>
      <c r="I118" s="6">
        <v>420</v>
      </c>
    </row>
    <row r="119" spans="1:9" x14ac:dyDescent="0.25">
      <c r="A119" s="9">
        <v>45717</v>
      </c>
      <c r="B119" t="s">
        <v>110</v>
      </c>
      <c r="C119" t="s">
        <v>111</v>
      </c>
      <c r="D119" t="s">
        <v>58</v>
      </c>
      <c r="E119" t="s">
        <v>96</v>
      </c>
      <c r="F119" t="s">
        <v>2091</v>
      </c>
      <c r="G119" s="6">
        <v>96</v>
      </c>
      <c r="H119" s="6">
        <v>23</v>
      </c>
      <c r="I119" s="6">
        <v>2208</v>
      </c>
    </row>
    <row r="120" spans="1:9" x14ac:dyDescent="0.25">
      <c r="A120" s="9">
        <v>45717</v>
      </c>
      <c r="B120" t="s">
        <v>110</v>
      </c>
      <c r="C120" t="s">
        <v>111</v>
      </c>
      <c r="D120" t="s">
        <v>58</v>
      </c>
      <c r="E120" t="s">
        <v>204</v>
      </c>
      <c r="F120" t="s">
        <v>2093</v>
      </c>
      <c r="G120" s="6">
        <v>102</v>
      </c>
      <c r="H120" s="6">
        <v>28</v>
      </c>
      <c r="I120" s="6">
        <v>2856</v>
      </c>
    </row>
    <row r="121" spans="1:9" x14ac:dyDescent="0.25">
      <c r="A121" s="9">
        <v>45717</v>
      </c>
      <c r="B121" t="s">
        <v>85</v>
      </c>
      <c r="C121" t="s">
        <v>86</v>
      </c>
      <c r="D121" t="s">
        <v>58</v>
      </c>
      <c r="E121" t="s">
        <v>96</v>
      </c>
      <c r="F121" t="s">
        <v>2093</v>
      </c>
      <c r="G121" s="6">
        <v>88</v>
      </c>
      <c r="H121" s="6">
        <v>28</v>
      </c>
      <c r="I121" s="6">
        <v>2464</v>
      </c>
    </row>
    <row r="122" spans="1:9" x14ac:dyDescent="0.25">
      <c r="A122" s="9">
        <v>45717</v>
      </c>
      <c r="B122" t="s">
        <v>103</v>
      </c>
      <c r="C122" t="s">
        <v>104</v>
      </c>
      <c r="D122" t="s">
        <v>58</v>
      </c>
      <c r="E122" t="s">
        <v>204</v>
      </c>
      <c r="F122" t="s">
        <v>2094</v>
      </c>
      <c r="G122" s="6">
        <v>67</v>
      </c>
      <c r="H122" s="6">
        <v>42</v>
      </c>
      <c r="I122" s="6">
        <v>2814</v>
      </c>
    </row>
    <row r="123" spans="1:9" x14ac:dyDescent="0.25">
      <c r="A123" s="9">
        <v>45717</v>
      </c>
      <c r="B123" t="s">
        <v>103</v>
      </c>
      <c r="C123" t="s">
        <v>104</v>
      </c>
      <c r="D123" t="s">
        <v>58</v>
      </c>
      <c r="E123" t="s">
        <v>105</v>
      </c>
      <c r="F123" t="s">
        <v>2093</v>
      </c>
      <c r="G123" s="6">
        <v>18</v>
      </c>
      <c r="H123" s="6">
        <v>28</v>
      </c>
      <c r="I123" s="6">
        <v>504</v>
      </c>
    </row>
    <row r="124" spans="1:9" x14ac:dyDescent="0.25">
      <c r="A124" s="9">
        <v>45748</v>
      </c>
      <c r="B124" t="s">
        <v>100</v>
      </c>
      <c r="C124" t="s">
        <v>101</v>
      </c>
      <c r="D124" t="s">
        <v>69</v>
      </c>
      <c r="E124" t="s">
        <v>96</v>
      </c>
      <c r="F124" t="s">
        <v>2091</v>
      </c>
      <c r="G124" s="6">
        <v>103</v>
      </c>
      <c r="H124" s="6">
        <v>23</v>
      </c>
      <c r="I124" s="6">
        <v>2369</v>
      </c>
    </row>
    <row r="125" spans="1:9" x14ac:dyDescent="0.25">
      <c r="A125" s="9">
        <v>45748</v>
      </c>
      <c r="B125" t="s">
        <v>100</v>
      </c>
      <c r="C125" t="s">
        <v>101</v>
      </c>
      <c r="D125" t="s">
        <v>69</v>
      </c>
      <c r="E125" t="s">
        <v>96</v>
      </c>
      <c r="F125" t="s">
        <v>2093</v>
      </c>
      <c r="G125" s="6">
        <v>140</v>
      </c>
      <c r="H125" s="6">
        <v>28</v>
      </c>
      <c r="I125" s="6">
        <v>3920</v>
      </c>
    </row>
    <row r="126" spans="1:9" x14ac:dyDescent="0.25">
      <c r="A126" s="9">
        <v>45748</v>
      </c>
      <c r="B126" t="s">
        <v>100</v>
      </c>
      <c r="C126" t="s">
        <v>101</v>
      </c>
      <c r="D126" t="s">
        <v>69</v>
      </c>
      <c r="E126" t="s">
        <v>204</v>
      </c>
      <c r="F126" t="s">
        <v>2094</v>
      </c>
      <c r="G126" s="6">
        <v>69</v>
      </c>
      <c r="H126" s="6">
        <v>42</v>
      </c>
      <c r="I126" s="6">
        <v>2898</v>
      </c>
    </row>
    <row r="127" spans="1:9" x14ac:dyDescent="0.25">
      <c r="A127" s="9">
        <v>45748</v>
      </c>
      <c r="B127" t="s">
        <v>113</v>
      </c>
      <c r="C127" t="s">
        <v>114</v>
      </c>
      <c r="D127" t="s">
        <v>69</v>
      </c>
      <c r="E127" t="s">
        <v>105</v>
      </c>
      <c r="F127" t="s">
        <v>2091</v>
      </c>
      <c r="G127" s="6">
        <v>105</v>
      </c>
      <c r="H127" s="6">
        <v>23</v>
      </c>
      <c r="I127" s="6">
        <v>2415</v>
      </c>
    </row>
    <row r="128" spans="1:9" x14ac:dyDescent="0.25">
      <c r="A128" s="9">
        <v>45748</v>
      </c>
      <c r="B128" t="s">
        <v>113</v>
      </c>
      <c r="C128" t="s">
        <v>114</v>
      </c>
      <c r="D128" t="s">
        <v>69</v>
      </c>
      <c r="E128" t="s">
        <v>105</v>
      </c>
      <c r="F128" t="s">
        <v>2094</v>
      </c>
      <c r="G128" s="6">
        <v>35</v>
      </c>
      <c r="H128" s="6">
        <v>42</v>
      </c>
      <c r="I128" s="6">
        <v>1470</v>
      </c>
    </row>
    <row r="129" spans="1:9" x14ac:dyDescent="0.25">
      <c r="A129" s="9">
        <v>45748</v>
      </c>
      <c r="B129" t="s">
        <v>113</v>
      </c>
      <c r="C129" t="s">
        <v>114</v>
      </c>
      <c r="D129" t="s">
        <v>69</v>
      </c>
      <c r="E129" t="s">
        <v>96</v>
      </c>
      <c r="F129" t="s">
        <v>2093</v>
      </c>
      <c r="G129" s="6">
        <v>106</v>
      </c>
      <c r="H129" s="6">
        <v>28</v>
      </c>
      <c r="I129" s="6">
        <v>2968</v>
      </c>
    </row>
    <row r="130" spans="1:9" x14ac:dyDescent="0.25">
      <c r="A130" s="9">
        <v>45748</v>
      </c>
      <c r="B130" t="s">
        <v>143</v>
      </c>
      <c r="C130" t="s">
        <v>144</v>
      </c>
      <c r="D130" t="s">
        <v>69</v>
      </c>
      <c r="E130" t="s">
        <v>105</v>
      </c>
      <c r="F130" t="s">
        <v>2093</v>
      </c>
      <c r="G130" s="6">
        <v>76</v>
      </c>
      <c r="H130" s="6">
        <v>28</v>
      </c>
      <c r="I130" s="6">
        <v>2128</v>
      </c>
    </row>
    <row r="131" spans="1:9" x14ac:dyDescent="0.25">
      <c r="A131" s="9">
        <v>45748</v>
      </c>
      <c r="B131" t="s">
        <v>143</v>
      </c>
      <c r="C131" t="s">
        <v>144</v>
      </c>
      <c r="D131" t="s">
        <v>69</v>
      </c>
      <c r="E131" t="s">
        <v>105</v>
      </c>
      <c r="F131" t="s">
        <v>2091</v>
      </c>
      <c r="G131" s="6">
        <v>63</v>
      </c>
      <c r="H131" s="6">
        <v>23</v>
      </c>
      <c r="I131" s="6">
        <v>1449</v>
      </c>
    </row>
    <row r="132" spans="1:9" x14ac:dyDescent="0.25">
      <c r="A132" s="9">
        <v>45748</v>
      </c>
      <c r="B132" t="s">
        <v>73</v>
      </c>
      <c r="C132" t="s">
        <v>74</v>
      </c>
      <c r="D132" t="s">
        <v>69</v>
      </c>
      <c r="E132" t="s">
        <v>105</v>
      </c>
      <c r="F132" t="s">
        <v>2093</v>
      </c>
      <c r="G132" s="6">
        <v>63</v>
      </c>
      <c r="H132" s="6">
        <v>28</v>
      </c>
      <c r="I132" s="6">
        <v>1764</v>
      </c>
    </row>
    <row r="133" spans="1:9" x14ac:dyDescent="0.25">
      <c r="A133" s="9">
        <v>45748</v>
      </c>
      <c r="B133" t="s">
        <v>73</v>
      </c>
      <c r="C133" t="s">
        <v>74</v>
      </c>
      <c r="D133" t="s">
        <v>69</v>
      </c>
      <c r="E133" t="s">
        <v>204</v>
      </c>
      <c r="F133" t="s">
        <v>2094</v>
      </c>
      <c r="G133" s="6">
        <v>76</v>
      </c>
      <c r="H133" s="6">
        <v>42</v>
      </c>
      <c r="I133" s="6">
        <v>3192</v>
      </c>
    </row>
    <row r="134" spans="1:9" x14ac:dyDescent="0.25">
      <c r="A134" s="9">
        <v>45748</v>
      </c>
      <c r="B134" t="s">
        <v>67</v>
      </c>
      <c r="C134" t="s">
        <v>68</v>
      </c>
      <c r="D134" t="s">
        <v>69</v>
      </c>
      <c r="E134" t="s">
        <v>105</v>
      </c>
      <c r="F134" t="s">
        <v>2094</v>
      </c>
      <c r="G134" s="6">
        <v>103</v>
      </c>
      <c r="H134" s="6">
        <v>42</v>
      </c>
      <c r="I134" s="6">
        <v>4326</v>
      </c>
    </row>
    <row r="135" spans="1:9" x14ac:dyDescent="0.25">
      <c r="A135" s="9">
        <v>45748</v>
      </c>
      <c r="B135" t="s">
        <v>32</v>
      </c>
      <c r="C135" t="s">
        <v>33</v>
      </c>
      <c r="D135" t="s">
        <v>34</v>
      </c>
      <c r="E135" t="s">
        <v>105</v>
      </c>
      <c r="F135" t="s">
        <v>2091</v>
      </c>
      <c r="G135" s="6">
        <v>44</v>
      </c>
      <c r="H135" s="6">
        <v>23</v>
      </c>
      <c r="I135" s="6">
        <v>1012</v>
      </c>
    </row>
    <row r="136" spans="1:9" x14ac:dyDescent="0.25">
      <c r="A136" s="9">
        <v>45748</v>
      </c>
      <c r="B136" t="s">
        <v>32</v>
      </c>
      <c r="C136" t="s">
        <v>33</v>
      </c>
      <c r="D136" t="s">
        <v>34</v>
      </c>
      <c r="E136" t="s">
        <v>105</v>
      </c>
      <c r="F136" t="s">
        <v>2094</v>
      </c>
      <c r="G136" s="6">
        <v>76</v>
      </c>
      <c r="H136" s="6">
        <v>42</v>
      </c>
      <c r="I136" s="6">
        <v>3192</v>
      </c>
    </row>
    <row r="137" spans="1:9" x14ac:dyDescent="0.25">
      <c r="A137" s="9">
        <v>45748</v>
      </c>
      <c r="B137" t="s">
        <v>32</v>
      </c>
      <c r="C137" t="s">
        <v>33</v>
      </c>
      <c r="D137" t="s">
        <v>34</v>
      </c>
      <c r="E137" t="s">
        <v>96</v>
      </c>
      <c r="F137" t="s">
        <v>2093</v>
      </c>
      <c r="G137" s="6">
        <v>88</v>
      </c>
      <c r="H137" s="6">
        <v>28</v>
      </c>
      <c r="I137" s="6">
        <v>2464</v>
      </c>
    </row>
    <row r="138" spans="1:9" x14ac:dyDescent="0.25">
      <c r="A138" s="9">
        <v>45748</v>
      </c>
      <c r="B138" t="s">
        <v>94</v>
      </c>
      <c r="C138" t="s">
        <v>95</v>
      </c>
      <c r="D138" t="s">
        <v>34</v>
      </c>
      <c r="E138" t="s">
        <v>105</v>
      </c>
      <c r="F138" t="s">
        <v>2093</v>
      </c>
      <c r="G138" s="6">
        <v>51</v>
      </c>
      <c r="H138" s="6">
        <v>28</v>
      </c>
      <c r="I138" s="6">
        <v>1428</v>
      </c>
    </row>
    <row r="139" spans="1:9" x14ac:dyDescent="0.25">
      <c r="A139" s="9">
        <v>45748</v>
      </c>
      <c r="B139" t="s">
        <v>94</v>
      </c>
      <c r="C139" t="s">
        <v>95</v>
      </c>
      <c r="D139" t="s">
        <v>34</v>
      </c>
      <c r="E139" t="s">
        <v>204</v>
      </c>
      <c r="F139" t="s">
        <v>2091</v>
      </c>
      <c r="G139" s="6">
        <v>152</v>
      </c>
      <c r="H139" s="6">
        <v>23</v>
      </c>
      <c r="I139" s="6">
        <v>3496</v>
      </c>
    </row>
    <row r="140" spans="1:9" x14ac:dyDescent="0.25">
      <c r="A140" s="9">
        <v>45748</v>
      </c>
      <c r="B140" t="s">
        <v>94</v>
      </c>
      <c r="C140" t="s">
        <v>95</v>
      </c>
      <c r="D140" t="s">
        <v>34</v>
      </c>
      <c r="E140" t="s">
        <v>105</v>
      </c>
      <c r="F140" t="s">
        <v>2094</v>
      </c>
      <c r="G140" s="6">
        <v>60</v>
      </c>
      <c r="H140" s="6">
        <v>42</v>
      </c>
      <c r="I140" s="6">
        <v>2520</v>
      </c>
    </row>
    <row r="141" spans="1:9" x14ac:dyDescent="0.25">
      <c r="A141" s="9">
        <v>45748</v>
      </c>
      <c r="B141" t="s">
        <v>41</v>
      </c>
      <c r="C141" t="s">
        <v>42</v>
      </c>
      <c r="D141" t="s">
        <v>34</v>
      </c>
      <c r="E141" t="s">
        <v>105</v>
      </c>
      <c r="F141" t="s">
        <v>2091</v>
      </c>
      <c r="G141" s="6">
        <v>66</v>
      </c>
      <c r="H141" s="6">
        <v>23</v>
      </c>
      <c r="I141" s="6">
        <v>1518</v>
      </c>
    </row>
    <row r="142" spans="1:9" x14ac:dyDescent="0.25">
      <c r="A142" s="9">
        <v>45748</v>
      </c>
      <c r="B142" t="s">
        <v>41</v>
      </c>
      <c r="C142" t="s">
        <v>42</v>
      </c>
      <c r="D142" t="s">
        <v>34</v>
      </c>
      <c r="E142" t="s">
        <v>96</v>
      </c>
      <c r="F142" t="s">
        <v>2094</v>
      </c>
      <c r="G142" s="6">
        <v>55</v>
      </c>
      <c r="H142" s="6">
        <v>42</v>
      </c>
      <c r="I142" s="6">
        <v>2310</v>
      </c>
    </row>
    <row r="143" spans="1:9" x14ac:dyDescent="0.25">
      <c r="A143" s="9">
        <v>45748</v>
      </c>
      <c r="B143" t="s">
        <v>41</v>
      </c>
      <c r="C143" t="s">
        <v>42</v>
      </c>
      <c r="D143" t="s">
        <v>34</v>
      </c>
      <c r="E143" t="s">
        <v>204</v>
      </c>
      <c r="F143" t="s">
        <v>2093</v>
      </c>
      <c r="G143" s="6">
        <v>152</v>
      </c>
      <c r="H143" s="6">
        <v>28</v>
      </c>
      <c r="I143" s="6">
        <v>4256</v>
      </c>
    </row>
    <row r="144" spans="1:9" x14ac:dyDescent="0.25">
      <c r="A144" s="9">
        <v>45748</v>
      </c>
      <c r="B144" t="s">
        <v>47</v>
      </c>
      <c r="C144" t="s">
        <v>48</v>
      </c>
      <c r="D144" t="s">
        <v>34</v>
      </c>
      <c r="E144" t="s">
        <v>105</v>
      </c>
      <c r="F144" t="s">
        <v>2094</v>
      </c>
      <c r="G144" s="6">
        <v>109</v>
      </c>
      <c r="H144" s="6">
        <v>42</v>
      </c>
      <c r="I144" s="6">
        <v>4578</v>
      </c>
    </row>
    <row r="145" spans="1:9" x14ac:dyDescent="0.25">
      <c r="A145" s="9">
        <v>45748</v>
      </c>
      <c r="B145" t="s">
        <v>47</v>
      </c>
      <c r="C145" t="s">
        <v>48</v>
      </c>
      <c r="D145" t="s">
        <v>34</v>
      </c>
      <c r="E145" t="s">
        <v>105</v>
      </c>
      <c r="F145" t="s">
        <v>2093</v>
      </c>
      <c r="G145" s="6">
        <v>57</v>
      </c>
      <c r="H145" s="6">
        <v>28</v>
      </c>
      <c r="I145" s="6">
        <v>1596</v>
      </c>
    </row>
    <row r="146" spans="1:9" x14ac:dyDescent="0.25">
      <c r="A146" s="9">
        <v>45748</v>
      </c>
      <c r="B146" t="s">
        <v>47</v>
      </c>
      <c r="C146" t="s">
        <v>48</v>
      </c>
      <c r="D146" t="s">
        <v>34</v>
      </c>
      <c r="E146" t="s">
        <v>96</v>
      </c>
      <c r="F146" t="s">
        <v>2091</v>
      </c>
      <c r="G146" s="6">
        <v>128</v>
      </c>
      <c r="H146" s="6">
        <v>23</v>
      </c>
      <c r="I146" s="6">
        <v>2944</v>
      </c>
    </row>
    <row r="147" spans="1:9" x14ac:dyDescent="0.25">
      <c r="A147" s="9">
        <v>45748</v>
      </c>
      <c r="B147" t="s">
        <v>121</v>
      </c>
      <c r="C147" t="s">
        <v>122</v>
      </c>
      <c r="D147" t="s">
        <v>34</v>
      </c>
      <c r="E147" t="s">
        <v>105</v>
      </c>
      <c r="F147" t="s">
        <v>2094</v>
      </c>
      <c r="G147" s="6">
        <v>97</v>
      </c>
      <c r="H147" s="6">
        <v>42</v>
      </c>
      <c r="I147" s="6">
        <v>4074</v>
      </c>
    </row>
    <row r="148" spans="1:9" x14ac:dyDescent="0.25">
      <c r="A148" s="9">
        <v>45748</v>
      </c>
      <c r="B148" t="s">
        <v>121</v>
      </c>
      <c r="C148" t="s">
        <v>122</v>
      </c>
      <c r="D148" t="s">
        <v>34</v>
      </c>
      <c r="E148" t="s">
        <v>204</v>
      </c>
      <c r="F148" t="s">
        <v>2091</v>
      </c>
      <c r="G148" s="6">
        <v>99</v>
      </c>
      <c r="H148" s="6">
        <v>23</v>
      </c>
      <c r="I148" s="6">
        <v>2277</v>
      </c>
    </row>
    <row r="149" spans="1:9" x14ac:dyDescent="0.25">
      <c r="A149" s="9">
        <v>45748</v>
      </c>
      <c r="B149" t="s">
        <v>121</v>
      </c>
      <c r="C149" t="s">
        <v>122</v>
      </c>
      <c r="D149" t="s">
        <v>34</v>
      </c>
      <c r="E149" t="s">
        <v>204</v>
      </c>
      <c r="F149" t="s">
        <v>2093</v>
      </c>
      <c r="G149" s="6">
        <v>77</v>
      </c>
      <c r="H149" s="6">
        <v>28</v>
      </c>
      <c r="I149" s="6">
        <v>2156</v>
      </c>
    </row>
    <row r="150" spans="1:9" x14ac:dyDescent="0.25">
      <c r="A150" s="9">
        <v>45748</v>
      </c>
      <c r="B150" t="s">
        <v>201</v>
      </c>
      <c r="C150" t="s">
        <v>202</v>
      </c>
      <c r="D150" t="s">
        <v>64</v>
      </c>
      <c r="E150" t="s">
        <v>105</v>
      </c>
      <c r="F150" t="s">
        <v>2093</v>
      </c>
      <c r="G150" s="6">
        <v>63</v>
      </c>
      <c r="H150" s="6">
        <v>28</v>
      </c>
      <c r="I150" s="6">
        <v>1764</v>
      </c>
    </row>
    <row r="151" spans="1:9" x14ac:dyDescent="0.25">
      <c r="A151" s="9">
        <v>45748</v>
      </c>
      <c r="B151" t="s">
        <v>201</v>
      </c>
      <c r="C151" t="s">
        <v>202</v>
      </c>
      <c r="D151" t="s">
        <v>64</v>
      </c>
      <c r="E151" t="s">
        <v>96</v>
      </c>
      <c r="F151" t="s">
        <v>2091</v>
      </c>
      <c r="G151" s="6">
        <v>101</v>
      </c>
      <c r="H151" s="6">
        <v>23</v>
      </c>
      <c r="I151" s="6">
        <v>2323</v>
      </c>
    </row>
    <row r="152" spans="1:9" x14ac:dyDescent="0.25">
      <c r="A152" s="9">
        <v>45748</v>
      </c>
      <c r="B152" t="s">
        <v>118</v>
      </c>
      <c r="C152" t="s">
        <v>119</v>
      </c>
      <c r="D152" t="s">
        <v>64</v>
      </c>
      <c r="E152" t="s">
        <v>204</v>
      </c>
      <c r="F152" t="s">
        <v>2094</v>
      </c>
      <c r="G152" s="6">
        <v>70</v>
      </c>
      <c r="H152" s="6">
        <v>42</v>
      </c>
      <c r="I152" s="6">
        <v>2940</v>
      </c>
    </row>
    <row r="153" spans="1:9" x14ac:dyDescent="0.25">
      <c r="A153" s="9">
        <v>45748</v>
      </c>
      <c r="B153" t="s">
        <v>118</v>
      </c>
      <c r="C153" t="s">
        <v>119</v>
      </c>
      <c r="D153" t="s">
        <v>64</v>
      </c>
      <c r="E153" t="s">
        <v>105</v>
      </c>
      <c r="F153" t="s">
        <v>2093</v>
      </c>
      <c r="G153" s="6">
        <v>153</v>
      </c>
      <c r="H153" s="6">
        <v>28</v>
      </c>
      <c r="I153" s="6">
        <v>4284</v>
      </c>
    </row>
    <row r="154" spans="1:9" x14ac:dyDescent="0.25">
      <c r="A154" s="9">
        <v>45748</v>
      </c>
      <c r="B154" t="s">
        <v>62</v>
      </c>
      <c r="C154" t="s">
        <v>63</v>
      </c>
      <c r="D154" t="s">
        <v>64</v>
      </c>
      <c r="E154" t="s">
        <v>204</v>
      </c>
      <c r="F154" t="s">
        <v>2094</v>
      </c>
      <c r="G154" s="6">
        <v>45</v>
      </c>
      <c r="H154" s="6">
        <v>42</v>
      </c>
      <c r="I154" s="6">
        <v>1890</v>
      </c>
    </row>
    <row r="155" spans="1:9" x14ac:dyDescent="0.25">
      <c r="A155" s="9">
        <v>45748</v>
      </c>
      <c r="B155" t="s">
        <v>62</v>
      </c>
      <c r="C155" t="s">
        <v>63</v>
      </c>
      <c r="D155" t="s">
        <v>64</v>
      </c>
      <c r="E155" t="s">
        <v>204</v>
      </c>
      <c r="F155" t="s">
        <v>2093</v>
      </c>
      <c r="G155" s="6">
        <v>143</v>
      </c>
      <c r="H155" s="6">
        <v>28</v>
      </c>
      <c r="I155" s="6">
        <v>4004</v>
      </c>
    </row>
    <row r="156" spans="1:9" x14ac:dyDescent="0.25">
      <c r="A156" s="9">
        <v>45748</v>
      </c>
      <c r="B156" t="s">
        <v>91</v>
      </c>
      <c r="C156" t="s">
        <v>92</v>
      </c>
      <c r="D156" t="s">
        <v>64</v>
      </c>
      <c r="E156" t="s">
        <v>204</v>
      </c>
      <c r="F156" t="s">
        <v>2093</v>
      </c>
      <c r="G156" s="6">
        <v>86</v>
      </c>
      <c r="H156" s="6">
        <v>28</v>
      </c>
      <c r="I156" s="6">
        <v>2408</v>
      </c>
    </row>
    <row r="157" spans="1:9" x14ac:dyDescent="0.25">
      <c r="A157" s="9">
        <v>45748</v>
      </c>
      <c r="B157" t="s">
        <v>91</v>
      </c>
      <c r="C157" t="s">
        <v>92</v>
      </c>
      <c r="D157" t="s">
        <v>64</v>
      </c>
      <c r="E157" t="s">
        <v>105</v>
      </c>
      <c r="F157" t="s">
        <v>2094</v>
      </c>
      <c r="G157" s="6">
        <v>100</v>
      </c>
      <c r="H157" s="6">
        <v>42</v>
      </c>
      <c r="I157" s="6">
        <v>4200</v>
      </c>
    </row>
    <row r="158" spans="1:9" x14ac:dyDescent="0.25">
      <c r="A158" s="9">
        <v>45748</v>
      </c>
      <c r="B158" t="s">
        <v>80</v>
      </c>
      <c r="C158" t="s">
        <v>81</v>
      </c>
      <c r="D158" t="s">
        <v>64</v>
      </c>
      <c r="E158" t="s">
        <v>204</v>
      </c>
      <c r="F158" t="s">
        <v>2093</v>
      </c>
      <c r="G158" s="6">
        <v>119</v>
      </c>
      <c r="H158" s="6">
        <v>28</v>
      </c>
      <c r="I158" s="6">
        <v>3332</v>
      </c>
    </row>
    <row r="159" spans="1:9" x14ac:dyDescent="0.25">
      <c r="A159" s="9">
        <v>45748</v>
      </c>
      <c r="B159" t="s">
        <v>56</v>
      </c>
      <c r="C159" t="s">
        <v>57</v>
      </c>
      <c r="D159" t="s">
        <v>58</v>
      </c>
      <c r="E159" t="s">
        <v>204</v>
      </c>
      <c r="F159" t="s">
        <v>2093</v>
      </c>
      <c r="G159" s="6">
        <v>67</v>
      </c>
      <c r="H159" s="6">
        <v>28</v>
      </c>
      <c r="I159" s="6">
        <v>1876</v>
      </c>
    </row>
    <row r="160" spans="1:9" x14ac:dyDescent="0.25">
      <c r="A160" s="9">
        <v>45748</v>
      </c>
      <c r="B160" t="s">
        <v>56</v>
      </c>
      <c r="C160" t="s">
        <v>57</v>
      </c>
      <c r="D160" t="s">
        <v>58</v>
      </c>
      <c r="E160" t="s">
        <v>204</v>
      </c>
      <c r="F160" t="s">
        <v>2094</v>
      </c>
      <c r="G160" s="6">
        <v>120</v>
      </c>
      <c r="H160" s="6">
        <v>42</v>
      </c>
      <c r="I160" s="6">
        <v>5040</v>
      </c>
    </row>
    <row r="161" spans="1:9" x14ac:dyDescent="0.25">
      <c r="A161" s="9">
        <v>45748</v>
      </c>
      <c r="B161" t="s">
        <v>56</v>
      </c>
      <c r="C161" t="s">
        <v>57</v>
      </c>
      <c r="D161" t="s">
        <v>58</v>
      </c>
      <c r="E161" t="s">
        <v>105</v>
      </c>
      <c r="F161" t="s">
        <v>2091</v>
      </c>
      <c r="G161" s="6">
        <v>10</v>
      </c>
      <c r="H161" s="6">
        <v>23</v>
      </c>
      <c r="I161" s="6">
        <v>230</v>
      </c>
    </row>
    <row r="162" spans="1:9" x14ac:dyDescent="0.25">
      <c r="A162" s="9">
        <v>45748</v>
      </c>
      <c r="B162" t="s">
        <v>77</v>
      </c>
      <c r="C162" t="s">
        <v>78</v>
      </c>
      <c r="D162" t="s">
        <v>58</v>
      </c>
      <c r="E162" t="s">
        <v>204</v>
      </c>
      <c r="F162" t="s">
        <v>2091</v>
      </c>
      <c r="G162" s="6">
        <v>64</v>
      </c>
      <c r="H162" s="6">
        <v>23</v>
      </c>
      <c r="I162" s="6">
        <v>1472</v>
      </c>
    </row>
    <row r="163" spans="1:9" x14ac:dyDescent="0.25">
      <c r="A163" s="9">
        <v>45748</v>
      </c>
      <c r="B163" t="s">
        <v>77</v>
      </c>
      <c r="C163" t="s">
        <v>78</v>
      </c>
      <c r="D163" t="s">
        <v>58</v>
      </c>
      <c r="E163" t="s">
        <v>96</v>
      </c>
      <c r="F163" t="s">
        <v>2094</v>
      </c>
      <c r="G163" s="6">
        <v>57</v>
      </c>
      <c r="H163" s="6">
        <v>42</v>
      </c>
      <c r="I163" s="6">
        <v>2394</v>
      </c>
    </row>
    <row r="164" spans="1:9" x14ac:dyDescent="0.25">
      <c r="A164" s="9">
        <v>45748</v>
      </c>
      <c r="B164" t="s">
        <v>77</v>
      </c>
      <c r="C164" t="s">
        <v>78</v>
      </c>
      <c r="D164" t="s">
        <v>58</v>
      </c>
      <c r="E164" t="s">
        <v>204</v>
      </c>
      <c r="F164" t="s">
        <v>2093</v>
      </c>
      <c r="G164" s="6">
        <v>46</v>
      </c>
      <c r="H164" s="6">
        <v>28</v>
      </c>
      <c r="I164" s="6">
        <v>1288</v>
      </c>
    </row>
    <row r="165" spans="1:9" x14ac:dyDescent="0.25">
      <c r="A165" s="9">
        <v>45748</v>
      </c>
      <c r="B165" t="s">
        <v>110</v>
      </c>
      <c r="C165" t="s">
        <v>111</v>
      </c>
      <c r="D165" t="s">
        <v>58</v>
      </c>
      <c r="E165" t="s">
        <v>105</v>
      </c>
      <c r="F165" t="s">
        <v>2093</v>
      </c>
      <c r="G165" s="6">
        <v>82</v>
      </c>
      <c r="H165" s="6">
        <v>28</v>
      </c>
      <c r="I165" s="6">
        <v>2296</v>
      </c>
    </row>
    <row r="166" spans="1:9" x14ac:dyDescent="0.25">
      <c r="A166" s="9">
        <v>45748</v>
      </c>
      <c r="B166" t="s">
        <v>110</v>
      </c>
      <c r="C166" t="s">
        <v>111</v>
      </c>
      <c r="D166" t="s">
        <v>58</v>
      </c>
      <c r="E166" t="s">
        <v>96</v>
      </c>
      <c r="F166" t="s">
        <v>2094</v>
      </c>
      <c r="G166" s="6">
        <v>103</v>
      </c>
      <c r="H166" s="6">
        <v>42</v>
      </c>
      <c r="I166" s="6">
        <v>4326</v>
      </c>
    </row>
    <row r="167" spans="1:9" x14ac:dyDescent="0.25">
      <c r="A167" s="9">
        <v>45748</v>
      </c>
      <c r="B167" t="s">
        <v>110</v>
      </c>
      <c r="C167" t="s">
        <v>111</v>
      </c>
      <c r="D167" t="s">
        <v>58</v>
      </c>
      <c r="E167" t="s">
        <v>105</v>
      </c>
      <c r="F167" t="s">
        <v>2091</v>
      </c>
      <c r="G167" s="6">
        <v>114</v>
      </c>
      <c r="H167" s="6">
        <v>23</v>
      </c>
      <c r="I167" s="6">
        <v>2622</v>
      </c>
    </row>
    <row r="168" spans="1:9" x14ac:dyDescent="0.25">
      <c r="A168" s="9">
        <v>45748</v>
      </c>
      <c r="B168" t="s">
        <v>85</v>
      </c>
      <c r="C168" t="s">
        <v>86</v>
      </c>
      <c r="D168" t="s">
        <v>58</v>
      </c>
      <c r="E168" t="s">
        <v>96</v>
      </c>
      <c r="F168" t="s">
        <v>2091</v>
      </c>
      <c r="G168" s="6">
        <v>98</v>
      </c>
      <c r="H168" s="6">
        <v>23</v>
      </c>
      <c r="I168" s="6">
        <v>2254</v>
      </c>
    </row>
    <row r="169" spans="1:9" x14ac:dyDescent="0.25">
      <c r="A169" s="9">
        <v>45748</v>
      </c>
      <c r="B169" t="s">
        <v>85</v>
      </c>
      <c r="C169" t="s">
        <v>86</v>
      </c>
      <c r="D169" t="s">
        <v>58</v>
      </c>
      <c r="E169" t="s">
        <v>204</v>
      </c>
      <c r="F169" t="s">
        <v>2094</v>
      </c>
      <c r="G169" s="6">
        <v>66</v>
      </c>
      <c r="H169" s="6">
        <v>42</v>
      </c>
      <c r="I169" s="6">
        <v>2772</v>
      </c>
    </row>
    <row r="170" spans="1:9" x14ac:dyDescent="0.25">
      <c r="A170" s="9">
        <v>45748</v>
      </c>
      <c r="B170" t="s">
        <v>103</v>
      </c>
      <c r="C170" t="s">
        <v>104</v>
      </c>
      <c r="D170" t="s">
        <v>58</v>
      </c>
      <c r="E170" t="s">
        <v>105</v>
      </c>
      <c r="F170" t="s">
        <v>2091</v>
      </c>
      <c r="G170" s="6">
        <v>102</v>
      </c>
      <c r="H170" s="6">
        <v>23</v>
      </c>
      <c r="I170" s="6">
        <v>2346</v>
      </c>
    </row>
    <row r="171" spans="1:9" x14ac:dyDescent="0.25">
      <c r="A171" s="9">
        <v>45748</v>
      </c>
      <c r="B171" t="s">
        <v>103</v>
      </c>
      <c r="C171" t="s">
        <v>104</v>
      </c>
      <c r="D171" t="s">
        <v>58</v>
      </c>
      <c r="E171" t="s">
        <v>204</v>
      </c>
      <c r="F171" t="s">
        <v>2094</v>
      </c>
      <c r="G171" s="6">
        <v>94</v>
      </c>
      <c r="H171" s="6">
        <v>42</v>
      </c>
      <c r="I171" s="6">
        <v>3948</v>
      </c>
    </row>
    <row r="172" spans="1:9" x14ac:dyDescent="0.25">
      <c r="A172" s="9">
        <v>45748</v>
      </c>
      <c r="B172" t="s">
        <v>103</v>
      </c>
      <c r="C172" t="s">
        <v>104</v>
      </c>
      <c r="D172" t="s">
        <v>58</v>
      </c>
      <c r="E172" t="s">
        <v>96</v>
      </c>
      <c r="F172" t="s">
        <v>2093</v>
      </c>
      <c r="G172" s="6">
        <v>122</v>
      </c>
      <c r="H172" s="6">
        <v>28</v>
      </c>
      <c r="I172" s="6">
        <v>3416</v>
      </c>
    </row>
    <row r="173" spans="1:9" x14ac:dyDescent="0.25">
      <c r="A173" s="9">
        <v>45778</v>
      </c>
      <c r="B173" t="s">
        <v>100</v>
      </c>
      <c r="C173" t="s">
        <v>101</v>
      </c>
      <c r="D173" t="s">
        <v>69</v>
      </c>
      <c r="E173" t="s">
        <v>204</v>
      </c>
      <c r="F173" t="s">
        <v>2093</v>
      </c>
      <c r="G173" s="6">
        <v>117</v>
      </c>
      <c r="H173" s="6">
        <v>28</v>
      </c>
      <c r="I173" s="6">
        <v>3276</v>
      </c>
    </row>
    <row r="174" spans="1:9" x14ac:dyDescent="0.25">
      <c r="A174" s="9">
        <v>45778</v>
      </c>
      <c r="B174" t="s">
        <v>100</v>
      </c>
      <c r="C174" t="s">
        <v>101</v>
      </c>
      <c r="D174" t="s">
        <v>69</v>
      </c>
      <c r="E174" t="s">
        <v>105</v>
      </c>
      <c r="F174" t="s">
        <v>2094</v>
      </c>
      <c r="G174" s="6">
        <v>91</v>
      </c>
      <c r="H174" s="6">
        <v>42</v>
      </c>
      <c r="I174" s="6">
        <v>3822</v>
      </c>
    </row>
    <row r="175" spans="1:9" x14ac:dyDescent="0.25">
      <c r="A175" s="9">
        <v>45778</v>
      </c>
      <c r="B175" t="s">
        <v>100</v>
      </c>
      <c r="C175" t="s">
        <v>101</v>
      </c>
      <c r="D175" t="s">
        <v>69</v>
      </c>
      <c r="E175" t="s">
        <v>204</v>
      </c>
      <c r="F175" t="s">
        <v>2091</v>
      </c>
      <c r="G175" s="6">
        <v>58</v>
      </c>
      <c r="H175" s="6">
        <v>23</v>
      </c>
      <c r="I175" s="6">
        <v>1334</v>
      </c>
    </row>
    <row r="176" spans="1:9" x14ac:dyDescent="0.25">
      <c r="A176" s="9">
        <v>45778</v>
      </c>
      <c r="B176" t="s">
        <v>113</v>
      </c>
      <c r="C176" t="s">
        <v>114</v>
      </c>
      <c r="D176" t="s">
        <v>69</v>
      </c>
      <c r="E176" t="s">
        <v>96</v>
      </c>
      <c r="F176" t="s">
        <v>2093</v>
      </c>
      <c r="G176" s="6">
        <v>67</v>
      </c>
      <c r="H176" s="6">
        <v>28</v>
      </c>
      <c r="I176" s="6">
        <v>1876</v>
      </c>
    </row>
    <row r="177" spans="1:9" x14ac:dyDescent="0.25">
      <c r="A177" s="9">
        <v>45778</v>
      </c>
      <c r="B177" t="s">
        <v>113</v>
      </c>
      <c r="C177" t="s">
        <v>114</v>
      </c>
      <c r="D177" t="s">
        <v>69</v>
      </c>
      <c r="E177" t="s">
        <v>204</v>
      </c>
      <c r="F177" t="s">
        <v>2094</v>
      </c>
      <c r="G177" s="6">
        <v>70</v>
      </c>
      <c r="H177" s="6">
        <v>42</v>
      </c>
      <c r="I177" s="6">
        <v>2940</v>
      </c>
    </row>
    <row r="178" spans="1:9" x14ac:dyDescent="0.25">
      <c r="A178" s="9">
        <v>45778</v>
      </c>
      <c r="B178" t="s">
        <v>113</v>
      </c>
      <c r="C178" t="s">
        <v>114</v>
      </c>
      <c r="D178" t="s">
        <v>69</v>
      </c>
      <c r="E178" t="s">
        <v>105</v>
      </c>
      <c r="F178" t="s">
        <v>2091</v>
      </c>
      <c r="G178" s="6">
        <v>78</v>
      </c>
      <c r="H178" s="6">
        <v>23</v>
      </c>
      <c r="I178" s="6">
        <v>1794</v>
      </c>
    </row>
    <row r="179" spans="1:9" x14ac:dyDescent="0.25">
      <c r="A179" s="9">
        <v>45778</v>
      </c>
      <c r="B179" t="s">
        <v>143</v>
      </c>
      <c r="C179" t="s">
        <v>144</v>
      </c>
      <c r="D179" t="s">
        <v>69</v>
      </c>
      <c r="E179" t="s">
        <v>96</v>
      </c>
      <c r="F179" t="s">
        <v>2093</v>
      </c>
      <c r="G179" s="6">
        <v>99</v>
      </c>
      <c r="H179" s="6">
        <v>28</v>
      </c>
      <c r="I179" s="6">
        <v>2772</v>
      </c>
    </row>
    <row r="180" spans="1:9" x14ac:dyDescent="0.25">
      <c r="A180" s="9">
        <v>45778</v>
      </c>
      <c r="B180" t="s">
        <v>143</v>
      </c>
      <c r="C180" t="s">
        <v>144</v>
      </c>
      <c r="D180" t="s">
        <v>69</v>
      </c>
      <c r="E180" t="s">
        <v>105</v>
      </c>
      <c r="F180" t="s">
        <v>2094</v>
      </c>
      <c r="G180" s="6">
        <v>115</v>
      </c>
      <c r="H180" s="6">
        <v>42</v>
      </c>
      <c r="I180" s="6">
        <v>4830</v>
      </c>
    </row>
    <row r="181" spans="1:9" x14ac:dyDescent="0.25">
      <c r="A181" s="9">
        <v>45778</v>
      </c>
      <c r="B181" t="s">
        <v>73</v>
      </c>
      <c r="C181" t="s">
        <v>74</v>
      </c>
      <c r="D181" t="s">
        <v>69</v>
      </c>
      <c r="E181" t="s">
        <v>96</v>
      </c>
      <c r="F181" t="s">
        <v>2091</v>
      </c>
      <c r="G181" s="6">
        <v>88</v>
      </c>
      <c r="H181" s="6">
        <v>23</v>
      </c>
      <c r="I181" s="6">
        <v>2024</v>
      </c>
    </row>
    <row r="182" spans="1:9" x14ac:dyDescent="0.25">
      <c r="A182" s="9">
        <v>45778</v>
      </c>
      <c r="B182" t="s">
        <v>73</v>
      </c>
      <c r="C182" t="s">
        <v>74</v>
      </c>
      <c r="D182" t="s">
        <v>69</v>
      </c>
      <c r="E182" t="s">
        <v>105</v>
      </c>
      <c r="F182" t="s">
        <v>2094</v>
      </c>
      <c r="G182" s="6">
        <v>90</v>
      </c>
      <c r="H182" s="6">
        <v>42</v>
      </c>
      <c r="I182" s="6">
        <v>3780</v>
      </c>
    </row>
    <row r="183" spans="1:9" x14ac:dyDescent="0.25">
      <c r="A183" s="9">
        <v>45778</v>
      </c>
      <c r="B183" t="s">
        <v>67</v>
      </c>
      <c r="C183" t="s">
        <v>68</v>
      </c>
      <c r="D183" t="s">
        <v>69</v>
      </c>
      <c r="E183" t="s">
        <v>204</v>
      </c>
      <c r="F183" t="s">
        <v>2094</v>
      </c>
      <c r="G183" s="6">
        <v>95</v>
      </c>
      <c r="H183" s="6">
        <v>42</v>
      </c>
      <c r="I183" s="6">
        <v>3990</v>
      </c>
    </row>
    <row r="184" spans="1:9" x14ac:dyDescent="0.25">
      <c r="A184" s="9">
        <v>45778</v>
      </c>
      <c r="B184" t="s">
        <v>67</v>
      </c>
      <c r="C184" t="s">
        <v>68</v>
      </c>
      <c r="D184" t="s">
        <v>69</v>
      </c>
      <c r="E184" t="s">
        <v>204</v>
      </c>
      <c r="F184" t="s">
        <v>2091</v>
      </c>
      <c r="G184" s="6">
        <v>71</v>
      </c>
      <c r="H184" s="6">
        <v>23</v>
      </c>
      <c r="I184" s="6">
        <v>1633</v>
      </c>
    </row>
    <row r="185" spans="1:9" x14ac:dyDescent="0.25">
      <c r="A185" s="9">
        <v>45778</v>
      </c>
      <c r="B185" t="s">
        <v>32</v>
      </c>
      <c r="C185" t="s">
        <v>33</v>
      </c>
      <c r="D185" t="s">
        <v>34</v>
      </c>
      <c r="E185" t="s">
        <v>105</v>
      </c>
      <c r="F185" t="s">
        <v>2093</v>
      </c>
      <c r="G185" s="6">
        <v>57</v>
      </c>
      <c r="H185" s="6">
        <v>28</v>
      </c>
      <c r="I185" s="6">
        <v>1596</v>
      </c>
    </row>
    <row r="186" spans="1:9" x14ac:dyDescent="0.25">
      <c r="A186" s="9">
        <v>45778</v>
      </c>
      <c r="B186" t="s">
        <v>32</v>
      </c>
      <c r="C186" t="s">
        <v>33</v>
      </c>
      <c r="D186" t="s">
        <v>34</v>
      </c>
      <c r="E186" t="s">
        <v>105</v>
      </c>
      <c r="F186" t="s">
        <v>2091</v>
      </c>
      <c r="G186" s="6">
        <v>28</v>
      </c>
      <c r="H186" s="6">
        <v>23</v>
      </c>
      <c r="I186" s="6">
        <v>644</v>
      </c>
    </row>
    <row r="187" spans="1:9" x14ac:dyDescent="0.25">
      <c r="A187" s="9">
        <v>45778</v>
      </c>
      <c r="B187" t="s">
        <v>94</v>
      </c>
      <c r="C187" t="s">
        <v>95</v>
      </c>
      <c r="D187" t="s">
        <v>34</v>
      </c>
      <c r="E187" t="s">
        <v>105</v>
      </c>
      <c r="F187" t="s">
        <v>2091</v>
      </c>
      <c r="G187" s="6">
        <v>65</v>
      </c>
      <c r="H187" s="6">
        <v>23</v>
      </c>
      <c r="I187" s="6">
        <v>1495</v>
      </c>
    </row>
    <row r="188" spans="1:9" x14ac:dyDescent="0.25">
      <c r="A188" s="9">
        <v>45778</v>
      </c>
      <c r="B188" t="s">
        <v>94</v>
      </c>
      <c r="C188" t="s">
        <v>95</v>
      </c>
      <c r="D188" t="s">
        <v>34</v>
      </c>
      <c r="E188" t="s">
        <v>96</v>
      </c>
      <c r="F188" t="s">
        <v>2093</v>
      </c>
      <c r="G188" s="6">
        <v>106</v>
      </c>
      <c r="H188" s="6">
        <v>28</v>
      </c>
      <c r="I188" s="6">
        <v>2968</v>
      </c>
    </row>
    <row r="189" spans="1:9" x14ac:dyDescent="0.25">
      <c r="A189" s="9">
        <v>45778</v>
      </c>
      <c r="B189" t="s">
        <v>94</v>
      </c>
      <c r="C189" t="s">
        <v>95</v>
      </c>
      <c r="D189" t="s">
        <v>34</v>
      </c>
      <c r="E189" t="s">
        <v>204</v>
      </c>
      <c r="F189" t="s">
        <v>2094</v>
      </c>
      <c r="G189" s="6">
        <v>65</v>
      </c>
      <c r="H189" s="6">
        <v>42</v>
      </c>
      <c r="I189" s="6">
        <v>2730</v>
      </c>
    </row>
    <row r="190" spans="1:9" x14ac:dyDescent="0.25">
      <c r="A190" s="9">
        <v>45778</v>
      </c>
      <c r="B190" t="s">
        <v>41</v>
      </c>
      <c r="C190" t="s">
        <v>42</v>
      </c>
      <c r="D190" t="s">
        <v>34</v>
      </c>
      <c r="E190" t="s">
        <v>105</v>
      </c>
      <c r="F190" t="s">
        <v>2091</v>
      </c>
      <c r="G190" s="6">
        <v>81</v>
      </c>
      <c r="H190" s="6">
        <v>23</v>
      </c>
      <c r="I190" s="6">
        <v>1863</v>
      </c>
    </row>
    <row r="191" spans="1:9" x14ac:dyDescent="0.25">
      <c r="A191" s="9">
        <v>45778</v>
      </c>
      <c r="B191" t="s">
        <v>47</v>
      </c>
      <c r="C191" t="s">
        <v>48</v>
      </c>
      <c r="D191" t="s">
        <v>34</v>
      </c>
      <c r="E191" t="s">
        <v>204</v>
      </c>
      <c r="F191" t="s">
        <v>2094</v>
      </c>
      <c r="G191" s="6">
        <v>106</v>
      </c>
      <c r="H191" s="6">
        <v>42</v>
      </c>
      <c r="I191" s="6">
        <v>4452</v>
      </c>
    </row>
    <row r="192" spans="1:9" x14ac:dyDescent="0.25">
      <c r="A192" s="9">
        <v>45778</v>
      </c>
      <c r="B192" t="s">
        <v>47</v>
      </c>
      <c r="C192" t="s">
        <v>48</v>
      </c>
      <c r="D192" t="s">
        <v>34</v>
      </c>
      <c r="E192" t="s">
        <v>204</v>
      </c>
      <c r="F192" t="s">
        <v>2091</v>
      </c>
      <c r="G192" s="6">
        <v>108</v>
      </c>
      <c r="H192" s="6">
        <v>23</v>
      </c>
      <c r="I192" s="6">
        <v>2484</v>
      </c>
    </row>
    <row r="193" spans="1:9" x14ac:dyDescent="0.25">
      <c r="A193" s="9">
        <v>45778</v>
      </c>
      <c r="B193" t="s">
        <v>47</v>
      </c>
      <c r="C193" t="s">
        <v>48</v>
      </c>
      <c r="D193" t="s">
        <v>34</v>
      </c>
      <c r="E193" t="s">
        <v>96</v>
      </c>
      <c r="F193" t="s">
        <v>2093</v>
      </c>
      <c r="G193" s="6">
        <v>52</v>
      </c>
      <c r="H193" s="6">
        <v>28</v>
      </c>
      <c r="I193" s="6">
        <v>1456</v>
      </c>
    </row>
    <row r="194" spans="1:9" x14ac:dyDescent="0.25">
      <c r="A194" s="9">
        <v>45778</v>
      </c>
      <c r="B194" t="s">
        <v>121</v>
      </c>
      <c r="C194" t="s">
        <v>122</v>
      </c>
      <c r="D194" t="s">
        <v>34</v>
      </c>
      <c r="E194" t="s">
        <v>96</v>
      </c>
      <c r="F194" t="s">
        <v>2094</v>
      </c>
      <c r="G194" s="6">
        <v>124</v>
      </c>
      <c r="H194" s="6">
        <v>42</v>
      </c>
      <c r="I194" s="6">
        <v>5208</v>
      </c>
    </row>
    <row r="195" spans="1:9" x14ac:dyDescent="0.25">
      <c r="A195" s="9">
        <v>45778</v>
      </c>
      <c r="B195" t="s">
        <v>201</v>
      </c>
      <c r="C195" t="s">
        <v>202</v>
      </c>
      <c r="D195" t="s">
        <v>64</v>
      </c>
      <c r="E195" t="s">
        <v>96</v>
      </c>
      <c r="F195" t="s">
        <v>2094</v>
      </c>
      <c r="G195" s="6">
        <v>129</v>
      </c>
      <c r="H195" s="6">
        <v>42</v>
      </c>
      <c r="I195" s="6">
        <v>5418</v>
      </c>
    </row>
    <row r="196" spans="1:9" x14ac:dyDescent="0.25">
      <c r="A196" s="9">
        <v>45778</v>
      </c>
      <c r="B196" t="s">
        <v>118</v>
      </c>
      <c r="C196" t="s">
        <v>119</v>
      </c>
      <c r="D196" t="s">
        <v>64</v>
      </c>
      <c r="E196" t="s">
        <v>96</v>
      </c>
      <c r="F196" t="s">
        <v>2091</v>
      </c>
      <c r="G196" s="6">
        <v>50</v>
      </c>
      <c r="H196" s="6">
        <v>23</v>
      </c>
      <c r="I196" s="6">
        <v>1150</v>
      </c>
    </row>
    <row r="197" spans="1:9" x14ac:dyDescent="0.25">
      <c r="A197" s="9">
        <v>45778</v>
      </c>
      <c r="B197" t="s">
        <v>118</v>
      </c>
      <c r="C197" t="s">
        <v>119</v>
      </c>
      <c r="D197" t="s">
        <v>64</v>
      </c>
      <c r="E197" t="s">
        <v>204</v>
      </c>
      <c r="F197" t="s">
        <v>2094</v>
      </c>
      <c r="G197" s="6">
        <v>61</v>
      </c>
      <c r="H197" s="6">
        <v>42</v>
      </c>
      <c r="I197" s="6">
        <v>2562</v>
      </c>
    </row>
    <row r="198" spans="1:9" x14ac:dyDescent="0.25">
      <c r="A198" s="9">
        <v>45778</v>
      </c>
      <c r="B198" t="s">
        <v>62</v>
      </c>
      <c r="C198" t="s">
        <v>63</v>
      </c>
      <c r="D198" t="s">
        <v>64</v>
      </c>
      <c r="E198" t="s">
        <v>105</v>
      </c>
      <c r="F198" t="s">
        <v>2091</v>
      </c>
      <c r="G198" s="6">
        <v>131</v>
      </c>
      <c r="H198" s="6">
        <v>23</v>
      </c>
      <c r="I198" s="6">
        <v>3013</v>
      </c>
    </row>
    <row r="199" spans="1:9" x14ac:dyDescent="0.25">
      <c r="A199" s="9">
        <v>45778</v>
      </c>
      <c r="B199" t="s">
        <v>91</v>
      </c>
      <c r="C199" t="s">
        <v>92</v>
      </c>
      <c r="D199" t="s">
        <v>64</v>
      </c>
      <c r="E199" t="s">
        <v>105</v>
      </c>
      <c r="F199" t="s">
        <v>2094</v>
      </c>
      <c r="G199" s="6">
        <v>84</v>
      </c>
      <c r="H199" s="6">
        <v>42</v>
      </c>
      <c r="I199" s="6">
        <v>3528</v>
      </c>
    </row>
    <row r="200" spans="1:9" x14ac:dyDescent="0.25">
      <c r="A200" s="9">
        <v>45778</v>
      </c>
      <c r="B200" t="s">
        <v>80</v>
      </c>
      <c r="C200" t="s">
        <v>81</v>
      </c>
      <c r="D200" t="s">
        <v>64</v>
      </c>
      <c r="E200" t="s">
        <v>96</v>
      </c>
      <c r="F200" t="s">
        <v>2094</v>
      </c>
      <c r="G200" s="6">
        <v>12</v>
      </c>
      <c r="H200" s="6">
        <v>42</v>
      </c>
      <c r="I200" s="6">
        <v>504</v>
      </c>
    </row>
    <row r="201" spans="1:9" x14ac:dyDescent="0.25">
      <c r="A201" s="9">
        <v>45778</v>
      </c>
      <c r="B201" t="s">
        <v>56</v>
      </c>
      <c r="C201" t="s">
        <v>57</v>
      </c>
      <c r="D201" t="s">
        <v>58</v>
      </c>
      <c r="E201" t="s">
        <v>96</v>
      </c>
      <c r="F201" t="s">
        <v>2093</v>
      </c>
      <c r="G201" s="6">
        <v>41</v>
      </c>
      <c r="H201" s="6">
        <v>28</v>
      </c>
      <c r="I201" s="6">
        <v>1148</v>
      </c>
    </row>
    <row r="202" spans="1:9" x14ac:dyDescent="0.25">
      <c r="A202" s="9">
        <v>45778</v>
      </c>
      <c r="B202" t="s">
        <v>56</v>
      </c>
      <c r="C202" t="s">
        <v>57</v>
      </c>
      <c r="D202" t="s">
        <v>58</v>
      </c>
      <c r="E202" t="s">
        <v>96</v>
      </c>
      <c r="F202" t="s">
        <v>2091</v>
      </c>
      <c r="G202" s="6">
        <v>81</v>
      </c>
      <c r="H202" s="6">
        <v>23</v>
      </c>
      <c r="I202" s="6">
        <v>1863</v>
      </c>
    </row>
    <row r="203" spans="1:9" x14ac:dyDescent="0.25">
      <c r="A203" s="9">
        <v>45778</v>
      </c>
      <c r="B203" t="s">
        <v>56</v>
      </c>
      <c r="C203" t="s">
        <v>57</v>
      </c>
      <c r="D203" t="s">
        <v>58</v>
      </c>
      <c r="E203" t="s">
        <v>96</v>
      </c>
      <c r="F203" t="s">
        <v>2094</v>
      </c>
      <c r="G203" s="6">
        <v>49</v>
      </c>
      <c r="H203" s="6">
        <v>42</v>
      </c>
      <c r="I203" s="6">
        <v>2058</v>
      </c>
    </row>
    <row r="204" spans="1:9" x14ac:dyDescent="0.25">
      <c r="A204" s="9">
        <v>45778</v>
      </c>
      <c r="B204" t="s">
        <v>77</v>
      </c>
      <c r="C204" t="s">
        <v>78</v>
      </c>
      <c r="D204" t="s">
        <v>58</v>
      </c>
      <c r="E204" t="s">
        <v>105</v>
      </c>
      <c r="F204" t="s">
        <v>2091</v>
      </c>
      <c r="G204" s="6">
        <v>75</v>
      </c>
      <c r="H204" s="6">
        <v>23</v>
      </c>
      <c r="I204" s="6">
        <v>1725</v>
      </c>
    </row>
    <row r="205" spans="1:9" x14ac:dyDescent="0.25">
      <c r="A205" s="9">
        <v>45778</v>
      </c>
      <c r="B205" t="s">
        <v>110</v>
      </c>
      <c r="C205" t="s">
        <v>111</v>
      </c>
      <c r="D205" t="s">
        <v>58</v>
      </c>
      <c r="E205" t="s">
        <v>96</v>
      </c>
      <c r="F205" t="s">
        <v>2091</v>
      </c>
      <c r="G205" s="6">
        <v>91</v>
      </c>
      <c r="H205" s="6">
        <v>23</v>
      </c>
      <c r="I205" s="6">
        <v>2093</v>
      </c>
    </row>
    <row r="206" spans="1:9" x14ac:dyDescent="0.25">
      <c r="A206" s="9">
        <v>45778</v>
      </c>
      <c r="B206" t="s">
        <v>110</v>
      </c>
      <c r="C206" t="s">
        <v>111</v>
      </c>
      <c r="D206" t="s">
        <v>58</v>
      </c>
      <c r="E206" t="s">
        <v>204</v>
      </c>
      <c r="F206" t="s">
        <v>2093</v>
      </c>
      <c r="G206" s="6">
        <v>141</v>
      </c>
      <c r="H206" s="6">
        <v>28</v>
      </c>
      <c r="I206" s="6">
        <v>3948</v>
      </c>
    </row>
    <row r="207" spans="1:9" x14ac:dyDescent="0.25">
      <c r="A207" s="9">
        <v>45778</v>
      </c>
      <c r="B207" t="s">
        <v>85</v>
      </c>
      <c r="C207" t="s">
        <v>86</v>
      </c>
      <c r="D207" t="s">
        <v>58</v>
      </c>
      <c r="E207" t="s">
        <v>204</v>
      </c>
      <c r="F207" t="s">
        <v>2094</v>
      </c>
      <c r="G207" s="6">
        <v>79</v>
      </c>
      <c r="H207" s="6">
        <v>42</v>
      </c>
      <c r="I207" s="6">
        <v>3318</v>
      </c>
    </row>
    <row r="208" spans="1:9" x14ac:dyDescent="0.25">
      <c r="A208" s="9">
        <v>45778</v>
      </c>
      <c r="B208" t="s">
        <v>103</v>
      </c>
      <c r="C208" t="s">
        <v>104</v>
      </c>
      <c r="D208" t="s">
        <v>58</v>
      </c>
      <c r="E208" t="s">
        <v>105</v>
      </c>
      <c r="F208" t="s">
        <v>2094</v>
      </c>
      <c r="G208" s="6">
        <v>127</v>
      </c>
      <c r="H208" s="6">
        <v>42</v>
      </c>
      <c r="I208" s="6">
        <v>5334</v>
      </c>
    </row>
    <row r="209" spans="1:9" x14ac:dyDescent="0.25">
      <c r="A209" s="9">
        <v>45778</v>
      </c>
      <c r="B209" t="s">
        <v>103</v>
      </c>
      <c r="C209" t="s">
        <v>104</v>
      </c>
      <c r="D209" t="s">
        <v>58</v>
      </c>
      <c r="E209" t="s">
        <v>105</v>
      </c>
      <c r="F209" t="s">
        <v>2091</v>
      </c>
      <c r="G209" s="6">
        <v>140</v>
      </c>
      <c r="H209" s="6">
        <v>23</v>
      </c>
      <c r="I209" s="6">
        <v>3220</v>
      </c>
    </row>
    <row r="210" spans="1:9" x14ac:dyDescent="0.25">
      <c r="A210" s="9">
        <v>45809</v>
      </c>
      <c r="B210" t="s">
        <v>100</v>
      </c>
      <c r="C210" t="s">
        <v>101</v>
      </c>
      <c r="D210" t="s">
        <v>69</v>
      </c>
      <c r="E210" t="s">
        <v>96</v>
      </c>
      <c r="F210" t="s">
        <v>2094</v>
      </c>
      <c r="G210" s="6">
        <v>140</v>
      </c>
      <c r="H210" s="6">
        <v>42</v>
      </c>
      <c r="I210" s="6">
        <v>5880</v>
      </c>
    </row>
    <row r="211" spans="1:9" x14ac:dyDescent="0.25">
      <c r="A211" s="9">
        <v>45809</v>
      </c>
      <c r="B211" t="s">
        <v>100</v>
      </c>
      <c r="C211" t="s">
        <v>101</v>
      </c>
      <c r="D211" t="s">
        <v>69</v>
      </c>
      <c r="E211" t="s">
        <v>204</v>
      </c>
      <c r="F211" t="s">
        <v>2091</v>
      </c>
      <c r="G211" s="6">
        <v>99</v>
      </c>
      <c r="H211" s="6">
        <v>23</v>
      </c>
      <c r="I211" s="6">
        <v>2277</v>
      </c>
    </row>
    <row r="212" spans="1:9" x14ac:dyDescent="0.25">
      <c r="A212" s="9">
        <v>45809</v>
      </c>
      <c r="B212" t="s">
        <v>100</v>
      </c>
      <c r="C212" t="s">
        <v>101</v>
      </c>
      <c r="D212" t="s">
        <v>69</v>
      </c>
      <c r="E212" t="s">
        <v>96</v>
      </c>
      <c r="F212" t="s">
        <v>2093</v>
      </c>
      <c r="G212" s="6">
        <v>21</v>
      </c>
      <c r="H212" s="6">
        <v>28</v>
      </c>
      <c r="I212" s="6">
        <v>588</v>
      </c>
    </row>
    <row r="213" spans="1:9" x14ac:dyDescent="0.25">
      <c r="A213" s="9">
        <v>45809</v>
      </c>
      <c r="B213" t="s">
        <v>113</v>
      </c>
      <c r="C213" t="s">
        <v>114</v>
      </c>
      <c r="D213" t="s">
        <v>69</v>
      </c>
      <c r="E213" t="s">
        <v>105</v>
      </c>
      <c r="F213" t="s">
        <v>2091</v>
      </c>
      <c r="G213" s="6">
        <v>106</v>
      </c>
      <c r="H213" s="6">
        <v>23</v>
      </c>
      <c r="I213" s="6">
        <v>2438</v>
      </c>
    </row>
    <row r="214" spans="1:9" x14ac:dyDescent="0.25">
      <c r="A214" s="9">
        <v>45809</v>
      </c>
      <c r="B214" t="s">
        <v>113</v>
      </c>
      <c r="C214" t="s">
        <v>114</v>
      </c>
      <c r="D214" t="s">
        <v>69</v>
      </c>
      <c r="E214" t="s">
        <v>105</v>
      </c>
      <c r="F214" t="s">
        <v>2093</v>
      </c>
      <c r="G214" s="6">
        <v>126</v>
      </c>
      <c r="H214" s="6">
        <v>28</v>
      </c>
      <c r="I214" s="6">
        <v>3528</v>
      </c>
    </row>
    <row r="215" spans="1:9" x14ac:dyDescent="0.25">
      <c r="A215" s="9">
        <v>45809</v>
      </c>
      <c r="B215" t="s">
        <v>143</v>
      </c>
      <c r="C215" t="s">
        <v>144</v>
      </c>
      <c r="D215" t="s">
        <v>69</v>
      </c>
      <c r="E215" t="s">
        <v>204</v>
      </c>
      <c r="F215" t="s">
        <v>2094</v>
      </c>
      <c r="G215" s="6">
        <v>87</v>
      </c>
      <c r="H215" s="6">
        <v>42</v>
      </c>
      <c r="I215" s="6">
        <v>3654</v>
      </c>
    </row>
    <row r="216" spans="1:9" x14ac:dyDescent="0.25">
      <c r="A216" s="9">
        <v>45809</v>
      </c>
      <c r="B216" t="s">
        <v>143</v>
      </c>
      <c r="C216" t="s">
        <v>144</v>
      </c>
      <c r="D216" t="s">
        <v>69</v>
      </c>
      <c r="E216" t="s">
        <v>96</v>
      </c>
      <c r="F216" t="s">
        <v>2093</v>
      </c>
      <c r="G216" s="6">
        <v>151</v>
      </c>
      <c r="H216" s="6">
        <v>28</v>
      </c>
      <c r="I216" s="6">
        <v>4228</v>
      </c>
    </row>
    <row r="217" spans="1:9" x14ac:dyDescent="0.25">
      <c r="A217" s="9">
        <v>45809</v>
      </c>
      <c r="B217" t="s">
        <v>143</v>
      </c>
      <c r="C217" t="s">
        <v>144</v>
      </c>
      <c r="D217" t="s">
        <v>69</v>
      </c>
      <c r="E217" t="s">
        <v>105</v>
      </c>
      <c r="F217" t="s">
        <v>2091</v>
      </c>
      <c r="G217" s="6">
        <v>120</v>
      </c>
      <c r="H217" s="6">
        <v>23</v>
      </c>
      <c r="I217" s="6">
        <v>2760</v>
      </c>
    </row>
    <row r="218" spans="1:9" x14ac:dyDescent="0.25">
      <c r="A218" s="9">
        <v>45809</v>
      </c>
      <c r="B218" t="s">
        <v>73</v>
      </c>
      <c r="C218" t="s">
        <v>74</v>
      </c>
      <c r="D218" t="s">
        <v>69</v>
      </c>
      <c r="E218" t="s">
        <v>96</v>
      </c>
      <c r="F218" t="s">
        <v>2094</v>
      </c>
      <c r="G218" s="6">
        <v>109</v>
      </c>
      <c r="H218" s="6">
        <v>42</v>
      </c>
      <c r="I218" s="6">
        <v>4578</v>
      </c>
    </row>
    <row r="219" spans="1:9" x14ac:dyDescent="0.25">
      <c r="A219" s="9">
        <v>45809</v>
      </c>
      <c r="B219" t="s">
        <v>73</v>
      </c>
      <c r="C219" t="s">
        <v>74</v>
      </c>
      <c r="D219" t="s">
        <v>69</v>
      </c>
      <c r="E219" t="s">
        <v>105</v>
      </c>
      <c r="F219" t="s">
        <v>2091</v>
      </c>
      <c r="G219" s="6">
        <v>128</v>
      </c>
      <c r="H219" s="6">
        <v>23</v>
      </c>
      <c r="I219" s="6">
        <v>2944</v>
      </c>
    </row>
    <row r="220" spans="1:9" x14ac:dyDescent="0.25">
      <c r="A220" s="9">
        <v>45809</v>
      </c>
      <c r="B220" t="s">
        <v>67</v>
      </c>
      <c r="C220" t="s">
        <v>68</v>
      </c>
      <c r="D220" t="s">
        <v>69</v>
      </c>
      <c r="E220" t="s">
        <v>96</v>
      </c>
      <c r="F220" t="s">
        <v>2094</v>
      </c>
      <c r="G220" s="6">
        <v>101</v>
      </c>
      <c r="H220" s="6">
        <v>42</v>
      </c>
      <c r="I220" s="6">
        <v>4242</v>
      </c>
    </row>
    <row r="221" spans="1:9" x14ac:dyDescent="0.25">
      <c r="A221" s="9">
        <v>45809</v>
      </c>
      <c r="B221" t="s">
        <v>67</v>
      </c>
      <c r="C221" t="s">
        <v>68</v>
      </c>
      <c r="D221" t="s">
        <v>69</v>
      </c>
      <c r="E221" t="s">
        <v>96</v>
      </c>
      <c r="F221" t="s">
        <v>2093</v>
      </c>
      <c r="G221" s="6">
        <v>10</v>
      </c>
      <c r="H221" s="6">
        <v>28</v>
      </c>
      <c r="I221" s="6">
        <v>280</v>
      </c>
    </row>
    <row r="222" spans="1:9" x14ac:dyDescent="0.25">
      <c r="A222" s="9">
        <v>45809</v>
      </c>
      <c r="B222" t="s">
        <v>67</v>
      </c>
      <c r="C222" t="s">
        <v>68</v>
      </c>
      <c r="D222" t="s">
        <v>69</v>
      </c>
      <c r="E222" t="s">
        <v>204</v>
      </c>
      <c r="F222" t="s">
        <v>2091</v>
      </c>
      <c r="G222" s="6">
        <v>72</v>
      </c>
      <c r="H222" s="6">
        <v>23</v>
      </c>
      <c r="I222" s="6">
        <v>1656</v>
      </c>
    </row>
    <row r="223" spans="1:9" x14ac:dyDescent="0.25">
      <c r="A223" s="9">
        <v>45809</v>
      </c>
      <c r="B223" t="s">
        <v>32</v>
      </c>
      <c r="C223" t="s">
        <v>33</v>
      </c>
      <c r="D223" t="s">
        <v>34</v>
      </c>
      <c r="E223" t="s">
        <v>105</v>
      </c>
      <c r="F223" t="s">
        <v>2094</v>
      </c>
      <c r="G223" s="6">
        <v>131</v>
      </c>
      <c r="H223" s="6">
        <v>42</v>
      </c>
      <c r="I223" s="6">
        <v>5502</v>
      </c>
    </row>
    <row r="224" spans="1:9" x14ac:dyDescent="0.25">
      <c r="A224" s="9">
        <v>45809</v>
      </c>
      <c r="B224" t="s">
        <v>94</v>
      </c>
      <c r="C224" t="s">
        <v>95</v>
      </c>
      <c r="D224" t="s">
        <v>34</v>
      </c>
      <c r="E224" t="s">
        <v>105</v>
      </c>
      <c r="F224" t="s">
        <v>2093</v>
      </c>
      <c r="G224" s="6">
        <v>61</v>
      </c>
      <c r="H224" s="6">
        <v>28</v>
      </c>
      <c r="I224" s="6">
        <v>1708</v>
      </c>
    </row>
    <row r="225" spans="1:9" x14ac:dyDescent="0.25">
      <c r="A225" s="9">
        <v>45809</v>
      </c>
      <c r="B225" t="s">
        <v>94</v>
      </c>
      <c r="C225" t="s">
        <v>95</v>
      </c>
      <c r="D225" t="s">
        <v>34</v>
      </c>
      <c r="E225" t="s">
        <v>105</v>
      </c>
      <c r="F225" t="s">
        <v>2094</v>
      </c>
      <c r="G225" s="6">
        <v>82</v>
      </c>
      <c r="H225" s="6">
        <v>42</v>
      </c>
      <c r="I225" s="6">
        <v>3444</v>
      </c>
    </row>
    <row r="226" spans="1:9" x14ac:dyDescent="0.25">
      <c r="A226" s="9">
        <v>45809</v>
      </c>
      <c r="B226" t="s">
        <v>41</v>
      </c>
      <c r="C226" t="s">
        <v>42</v>
      </c>
      <c r="D226" t="s">
        <v>34</v>
      </c>
      <c r="E226" t="s">
        <v>105</v>
      </c>
      <c r="F226" t="s">
        <v>2093</v>
      </c>
      <c r="G226" s="6">
        <v>53</v>
      </c>
      <c r="H226" s="6">
        <v>28</v>
      </c>
      <c r="I226" s="6">
        <v>1484</v>
      </c>
    </row>
    <row r="227" spans="1:9" x14ac:dyDescent="0.25">
      <c r="A227" s="9">
        <v>45809</v>
      </c>
      <c r="B227" t="s">
        <v>41</v>
      </c>
      <c r="C227" t="s">
        <v>42</v>
      </c>
      <c r="D227" t="s">
        <v>34</v>
      </c>
      <c r="E227" t="s">
        <v>105</v>
      </c>
      <c r="F227" t="s">
        <v>2094</v>
      </c>
      <c r="G227" s="6">
        <v>152</v>
      </c>
      <c r="H227" s="6">
        <v>42</v>
      </c>
      <c r="I227" s="6">
        <v>6384</v>
      </c>
    </row>
    <row r="228" spans="1:9" x14ac:dyDescent="0.25">
      <c r="A228" s="9">
        <v>45809</v>
      </c>
      <c r="B228" t="s">
        <v>47</v>
      </c>
      <c r="C228" t="s">
        <v>48</v>
      </c>
      <c r="D228" t="s">
        <v>34</v>
      </c>
      <c r="E228" t="s">
        <v>105</v>
      </c>
      <c r="F228" t="s">
        <v>2094</v>
      </c>
      <c r="G228" s="6">
        <v>148</v>
      </c>
      <c r="H228" s="6">
        <v>42</v>
      </c>
      <c r="I228" s="6">
        <v>6216</v>
      </c>
    </row>
    <row r="229" spans="1:9" x14ac:dyDescent="0.25">
      <c r="A229" s="9">
        <v>45809</v>
      </c>
      <c r="B229" t="s">
        <v>47</v>
      </c>
      <c r="C229" t="s">
        <v>48</v>
      </c>
      <c r="D229" t="s">
        <v>34</v>
      </c>
      <c r="E229" t="s">
        <v>105</v>
      </c>
      <c r="F229" t="s">
        <v>2093</v>
      </c>
      <c r="G229" s="6">
        <v>59</v>
      </c>
      <c r="H229" s="6">
        <v>28</v>
      </c>
      <c r="I229" s="6">
        <v>1652</v>
      </c>
    </row>
    <row r="230" spans="1:9" x14ac:dyDescent="0.25">
      <c r="A230" s="9">
        <v>45809</v>
      </c>
      <c r="B230" t="s">
        <v>121</v>
      </c>
      <c r="C230" t="s">
        <v>122</v>
      </c>
      <c r="D230" t="s">
        <v>34</v>
      </c>
      <c r="E230" t="s">
        <v>96</v>
      </c>
      <c r="F230" t="s">
        <v>2091</v>
      </c>
      <c r="G230" s="6">
        <v>95</v>
      </c>
      <c r="H230" s="6">
        <v>23</v>
      </c>
      <c r="I230" s="6">
        <v>2185</v>
      </c>
    </row>
    <row r="231" spans="1:9" x14ac:dyDescent="0.25">
      <c r="A231" s="9">
        <v>45809</v>
      </c>
      <c r="B231" t="s">
        <v>121</v>
      </c>
      <c r="C231" t="s">
        <v>122</v>
      </c>
      <c r="D231" t="s">
        <v>34</v>
      </c>
      <c r="E231" t="s">
        <v>105</v>
      </c>
      <c r="F231" t="s">
        <v>2093</v>
      </c>
      <c r="G231" s="6">
        <v>66</v>
      </c>
      <c r="H231" s="6">
        <v>28</v>
      </c>
      <c r="I231" s="6">
        <v>1848</v>
      </c>
    </row>
    <row r="232" spans="1:9" x14ac:dyDescent="0.25">
      <c r="A232" s="9">
        <v>45809</v>
      </c>
      <c r="B232" t="s">
        <v>201</v>
      </c>
      <c r="C232" t="s">
        <v>202</v>
      </c>
      <c r="D232" t="s">
        <v>64</v>
      </c>
      <c r="E232" t="s">
        <v>105</v>
      </c>
      <c r="F232" t="s">
        <v>2091</v>
      </c>
      <c r="G232" s="6">
        <v>111</v>
      </c>
      <c r="H232" s="6">
        <v>23</v>
      </c>
      <c r="I232" s="6">
        <v>2553</v>
      </c>
    </row>
    <row r="233" spans="1:9" x14ac:dyDescent="0.25">
      <c r="A233" s="9">
        <v>45809</v>
      </c>
      <c r="B233" t="s">
        <v>118</v>
      </c>
      <c r="C233" t="s">
        <v>119</v>
      </c>
      <c r="D233" t="s">
        <v>64</v>
      </c>
      <c r="E233" t="s">
        <v>204</v>
      </c>
      <c r="F233" t="s">
        <v>2094</v>
      </c>
      <c r="G233" s="6">
        <v>107</v>
      </c>
      <c r="H233" s="6">
        <v>42</v>
      </c>
      <c r="I233" s="6">
        <v>4494</v>
      </c>
    </row>
    <row r="234" spans="1:9" x14ac:dyDescent="0.25">
      <c r="A234" s="9">
        <v>45809</v>
      </c>
      <c r="B234" t="s">
        <v>118</v>
      </c>
      <c r="C234" t="s">
        <v>119</v>
      </c>
      <c r="D234" t="s">
        <v>64</v>
      </c>
      <c r="E234" t="s">
        <v>204</v>
      </c>
      <c r="F234" t="s">
        <v>2091</v>
      </c>
      <c r="G234" s="6">
        <v>118</v>
      </c>
      <c r="H234" s="6">
        <v>23</v>
      </c>
      <c r="I234" s="6">
        <v>2714</v>
      </c>
    </row>
    <row r="235" spans="1:9" x14ac:dyDescent="0.25">
      <c r="A235" s="9">
        <v>45809</v>
      </c>
      <c r="B235" t="s">
        <v>62</v>
      </c>
      <c r="C235" t="s">
        <v>63</v>
      </c>
      <c r="D235" t="s">
        <v>64</v>
      </c>
      <c r="E235" t="s">
        <v>204</v>
      </c>
      <c r="F235" t="s">
        <v>2091</v>
      </c>
      <c r="G235" s="6">
        <v>101</v>
      </c>
      <c r="H235" s="6">
        <v>23</v>
      </c>
      <c r="I235" s="6">
        <v>2323</v>
      </c>
    </row>
    <row r="236" spans="1:9" x14ac:dyDescent="0.25">
      <c r="A236" s="9">
        <v>45809</v>
      </c>
      <c r="B236" t="s">
        <v>91</v>
      </c>
      <c r="C236" t="s">
        <v>92</v>
      </c>
      <c r="D236" t="s">
        <v>64</v>
      </c>
      <c r="E236" t="s">
        <v>105</v>
      </c>
      <c r="F236" t="s">
        <v>2094</v>
      </c>
      <c r="G236" s="6">
        <v>192</v>
      </c>
      <c r="H236" s="6">
        <v>42</v>
      </c>
      <c r="I236" s="6">
        <v>8064</v>
      </c>
    </row>
    <row r="237" spans="1:9" x14ac:dyDescent="0.25">
      <c r="A237" s="9">
        <v>45809</v>
      </c>
      <c r="B237" t="s">
        <v>91</v>
      </c>
      <c r="C237" t="s">
        <v>92</v>
      </c>
      <c r="D237" t="s">
        <v>64</v>
      </c>
      <c r="E237" t="s">
        <v>105</v>
      </c>
      <c r="F237" t="s">
        <v>2091</v>
      </c>
      <c r="G237" s="6">
        <v>54</v>
      </c>
      <c r="H237" s="6">
        <v>23</v>
      </c>
      <c r="I237" s="6">
        <v>1242</v>
      </c>
    </row>
    <row r="238" spans="1:9" x14ac:dyDescent="0.25">
      <c r="A238" s="9">
        <v>45809</v>
      </c>
      <c r="B238" t="s">
        <v>80</v>
      </c>
      <c r="C238" t="s">
        <v>81</v>
      </c>
      <c r="D238" t="s">
        <v>64</v>
      </c>
      <c r="E238" t="s">
        <v>204</v>
      </c>
      <c r="F238" t="s">
        <v>2091</v>
      </c>
      <c r="G238" s="6">
        <v>30</v>
      </c>
      <c r="H238" s="6">
        <v>23</v>
      </c>
      <c r="I238" s="6">
        <v>690</v>
      </c>
    </row>
    <row r="239" spans="1:9" x14ac:dyDescent="0.25">
      <c r="A239" s="9">
        <v>45809</v>
      </c>
      <c r="B239" t="s">
        <v>56</v>
      </c>
      <c r="C239" t="s">
        <v>57</v>
      </c>
      <c r="D239" t="s">
        <v>58</v>
      </c>
      <c r="E239" t="s">
        <v>204</v>
      </c>
      <c r="F239" t="s">
        <v>2093</v>
      </c>
      <c r="G239" s="6">
        <v>76</v>
      </c>
      <c r="H239" s="6">
        <v>28</v>
      </c>
      <c r="I239" s="6">
        <v>2128</v>
      </c>
    </row>
    <row r="240" spans="1:9" x14ac:dyDescent="0.25">
      <c r="A240" s="9">
        <v>45809</v>
      </c>
      <c r="B240" t="s">
        <v>77</v>
      </c>
      <c r="C240" t="s">
        <v>78</v>
      </c>
      <c r="D240" t="s">
        <v>58</v>
      </c>
      <c r="E240" t="s">
        <v>204</v>
      </c>
      <c r="F240" t="s">
        <v>2094</v>
      </c>
      <c r="G240" s="6">
        <v>35</v>
      </c>
      <c r="H240" s="6">
        <v>42</v>
      </c>
      <c r="I240" s="6">
        <v>1470</v>
      </c>
    </row>
    <row r="241" spans="1:9" x14ac:dyDescent="0.25">
      <c r="A241" s="9">
        <v>45809</v>
      </c>
      <c r="B241" t="s">
        <v>77</v>
      </c>
      <c r="C241" t="s">
        <v>78</v>
      </c>
      <c r="D241" t="s">
        <v>58</v>
      </c>
      <c r="E241" t="s">
        <v>204</v>
      </c>
      <c r="F241" t="s">
        <v>2091</v>
      </c>
      <c r="G241" s="6">
        <v>37</v>
      </c>
      <c r="H241" s="6">
        <v>23</v>
      </c>
      <c r="I241" s="6">
        <v>851</v>
      </c>
    </row>
    <row r="242" spans="1:9" x14ac:dyDescent="0.25">
      <c r="A242" s="9">
        <v>45809</v>
      </c>
      <c r="B242" t="s">
        <v>110</v>
      </c>
      <c r="C242" t="s">
        <v>111</v>
      </c>
      <c r="D242" t="s">
        <v>58</v>
      </c>
      <c r="E242" t="s">
        <v>204</v>
      </c>
      <c r="F242" t="s">
        <v>2094</v>
      </c>
      <c r="G242" s="6">
        <v>54</v>
      </c>
      <c r="H242" s="6">
        <v>42</v>
      </c>
      <c r="I242" s="6">
        <v>2268</v>
      </c>
    </row>
    <row r="243" spans="1:9" x14ac:dyDescent="0.25">
      <c r="A243" s="9">
        <v>45809</v>
      </c>
      <c r="B243" t="s">
        <v>110</v>
      </c>
      <c r="C243" t="s">
        <v>111</v>
      </c>
      <c r="D243" t="s">
        <v>58</v>
      </c>
      <c r="E243" t="s">
        <v>105</v>
      </c>
      <c r="F243" t="s">
        <v>2093</v>
      </c>
      <c r="G243" s="6">
        <v>57</v>
      </c>
      <c r="H243" s="6">
        <v>28</v>
      </c>
      <c r="I243" s="6">
        <v>1596</v>
      </c>
    </row>
    <row r="244" spans="1:9" x14ac:dyDescent="0.25">
      <c r="A244" s="9">
        <v>45809</v>
      </c>
      <c r="B244" t="s">
        <v>85</v>
      </c>
      <c r="C244" t="s">
        <v>86</v>
      </c>
      <c r="D244" t="s">
        <v>58</v>
      </c>
      <c r="E244" t="s">
        <v>105</v>
      </c>
      <c r="F244" t="s">
        <v>2093</v>
      </c>
      <c r="G244" s="6">
        <v>56</v>
      </c>
      <c r="H244" s="6">
        <v>28</v>
      </c>
      <c r="I244" s="6">
        <v>1568</v>
      </c>
    </row>
    <row r="245" spans="1:9" x14ac:dyDescent="0.25">
      <c r="A245" s="9">
        <v>45809</v>
      </c>
      <c r="B245" t="s">
        <v>103</v>
      </c>
      <c r="C245" t="s">
        <v>104</v>
      </c>
      <c r="D245" t="s">
        <v>58</v>
      </c>
      <c r="E245" t="s">
        <v>105</v>
      </c>
      <c r="F245" t="s">
        <v>2093</v>
      </c>
      <c r="G245" s="6">
        <v>108</v>
      </c>
      <c r="H245" s="6">
        <v>28</v>
      </c>
      <c r="I245" s="6">
        <v>3024</v>
      </c>
    </row>
    <row r="246" spans="1:9" x14ac:dyDescent="0.25">
      <c r="A246" s="9">
        <v>45809</v>
      </c>
      <c r="B246" t="s">
        <v>103</v>
      </c>
      <c r="C246" t="s">
        <v>104</v>
      </c>
      <c r="D246" t="s">
        <v>58</v>
      </c>
      <c r="E246" t="s">
        <v>204</v>
      </c>
      <c r="F246" t="s">
        <v>2091</v>
      </c>
      <c r="G246" s="6">
        <v>72</v>
      </c>
      <c r="H246" s="6">
        <v>23</v>
      </c>
      <c r="I246" s="6">
        <v>1656</v>
      </c>
    </row>
    <row r="247" spans="1:9" x14ac:dyDescent="0.25">
      <c r="A247" s="9">
        <v>45839</v>
      </c>
      <c r="B247" t="s">
        <v>100</v>
      </c>
      <c r="C247" t="s">
        <v>101</v>
      </c>
      <c r="D247" t="s">
        <v>69</v>
      </c>
      <c r="E247" t="s">
        <v>105</v>
      </c>
      <c r="F247" t="s">
        <v>2094</v>
      </c>
      <c r="G247" s="6">
        <v>83</v>
      </c>
      <c r="H247" s="6">
        <v>42</v>
      </c>
      <c r="I247" s="6">
        <v>3486</v>
      </c>
    </row>
    <row r="248" spans="1:9" x14ac:dyDescent="0.25">
      <c r="A248" s="9">
        <v>45839</v>
      </c>
      <c r="B248" t="s">
        <v>100</v>
      </c>
      <c r="C248" t="s">
        <v>101</v>
      </c>
      <c r="D248" t="s">
        <v>69</v>
      </c>
      <c r="E248" t="s">
        <v>105</v>
      </c>
      <c r="F248" t="s">
        <v>2093</v>
      </c>
      <c r="G248" s="6">
        <v>121</v>
      </c>
      <c r="H248" s="6">
        <v>28</v>
      </c>
      <c r="I248" s="6">
        <v>3388</v>
      </c>
    </row>
    <row r="249" spans="1:9" x14ac:dyDescent="0.25">
      <c r="A249" s="9">
        <v>45839</v>
      </c>
      <c r="B249" t="s">
        <v>113</v>
      </c>
      <c r="C249" t="s">
        <v>114</v>
      </c>
      <c r="D249" t="s">
        <v>69</v>
      </c>
      <c r="E249" t="s">
        <v>204</v>
      </c>
      <c r="F249" t="s">
        <v>2094</v>
      </c>
      <c r="G249" s="6">
        <v>63</v>
      </c>
      <c r="H249" s="6">
        <v>42</v>
      </c>
      <c r="I249" s="6">
        <v>2646</v>
      </c>
    </row>
    <row r="250" spans="1:9" x14ac:dyDescent="0.25">
      <c r="A250" s="9">
        <v>45839</v>
      </c>
      <c r="B250" t="s">
        <v>113</v>
      </c>
      <c r="C250" t="s">
        <v>114</v>
      </c>
      <c r="D250" t="s">
        <v>69</v>
      </c>
      <c r="E250" t="s">
        <v>96</v>
      </c>
      <c r="F250" t="s">
        <v>2093</v>
      </c>
      <c r="G250" s="6">
        <v>80</v>
      </c>
      <c r="H250" s="6">
        <v>28</v>
      </c>
      <c r="I250" s="6">
        <v>2240</v>
      </c>
    </row>
    <row r="251" spans="1:9" x14ac:dyDescent="0.25">
      <c r="A251" s="9">
        <v>45839</v>
      </c>
      <c r="B251" t="s">
        <v>113</v>
      </c>
      <c r="C251" t="s">
        <v>114</v>
      </c>
      <c r="D251" t="s">
        <v>69</v>
      </c>
      <c r="E251" t="s">
        <v>105</v>
      </c>
      <c r="F251" t="s">
        <v>2091</v>
      </c>
      <c r="G251" s="6">
        <v>102</v>
      </c>
      <c r="H251" s="6">
        <v>23</v>
      </c>
      <c r="I251" s="6">
        <v>2346</v>
      </c>
    </row>
    <row r="252" spans="1:9" x14ac:dyDescent="0.25">
      <c r="A252" s="9">
        <v>45839</v>
      </c>
      <c r="B252" t="s">
        <v>143</v>
      </c>
      <c r="C252" t="s">
        <v>144</v>
      </c>
      <c r="D252" t="s">
        <v>69</v>
      </c>
      <c r="E252" t="s">
        <v>96</v>
      </c>
      <c r="F252" t="s">
        <v>2094</v>
      </c>
      <c r="G252" s="6">
        <v>22</v>
      </c>
      <c r="H252" s="6">
        <v>42</v>
      </c>
      <c r="I252" s="6">
        <v>924</v>
      </c>
    </row>
    <row r="253" spans="1:9" x14ac:dyDescent="0.25">
      <c r="A253" s="9">
        <v>45839</v>
      </c>
      <c r="B253" t="s">
        <v>73</v>
      </c>
      <c r="C253" t="s">
        <v>74</v>
      </c>
      <c r="D253" t="s">
        <v>69</v>
      </c>
      <c r="E253" t="s">
        <v>204</v>
      </c>
      <c r="F253" t="s">
        <v>2094</v>
      </c>
      <c r="G253" s="6">
        <v>10</v>
      </c>
      <c r="H253" s="6">
        <v>42</v>
      </c>
      <c r="I253" s="6">
        <v>420</v>
      </c>
    </row>
    <row r="254" spans="1:9" x14ac:dyDescent="0.25">
      <c r="A254" s="9">
        <v>45839</v>
      </c>
      <c r="B254" t="s">
        <v>73</v>
      </c>
      <c r="C254" t="s">
        <v>74</v>
      </c>
      <c r="D254" t="s">
        <v>69</v>
      </c>
      <c r="E254" t="s">
        <v>105</v>
      </c>
      <c r="F254" t="s">
        <v>2093</v>
      </c>
      <c r="G254" s="6">
        <v>102</v>
      </c>
      <c r="H254" s="6">
        <v>28</v>
      </c>
      <c r="I254" s="6">
        <v>2856</v>
      </c>
    </row>
    <row r="255" spans="1:9" x14ac:dyDescent="0.25">
      <c r="A255" s="9">
        <v>45839</v>
      </c>
      <c r="B255" t="s">
        <v>73</v>
      </c>
      <c r="C255" t="s">
        <v>74</v>
      </c>
      <c r="D255" t="s">
        <v>69</v>
      </c>
      <c r="E255" t="s">
        <v>204</v>
      </c>
      <c r="F255" t="s">
        <v>2091</v>
      </c>
      <c r="G255" s="6">
        <v>107</v>
      </c>
      <c r="H255" s="6">
        <v>23</v>
      </c>
      <c r="I255" s="6">
        <v>2461</v>
      </c>
    </row>
    <row r="256" spans="1:9" x14ac:dyDescent="0.25">
      <c r="A256" s="9">
        <v>45839</v>
      </c>
      <c r="B256" t="s">
        <v>67</v>
      </c>
      <c r="C256" t="s">
        <v>68</v>
      </c>
      <c r="D256" t="s">
        <v>69</v>
      </c>
      <c r="E256" t="s">
        <v>105</v>
      </c>
      <c r="F256" t="s">
        <v>2094</v>
      </c>
      <c r="G256" s="6">
        <v>162</v>
      </c>
      <c r="H256" s="6">
        <v>42</v>
      </c>
      <c r="I256" s="6">
        <v>6804</v>
      </c>
    </row>
    <row r="257" spans="1:9" x14ac:dyDescent="0.25">
      <c r="A257" s="9">
        <v>45839</v>
      </c>
      <c r="B257" t="s">
        <v>32</v>
      </c>
      <c r="C257" t="s">
        <v>33</v>
      </c>
      <c r="D257" t="s">
        <v>34</v>
      </c>
      <c r="E257" t="s">
        <v>96</v>
      </c>
      <c r="F257" t="s">
        <v>2093</v>
      </c>
      <c r="G257" s="6">
        <v>95</v>
      </c>
      <c r="H257" s="6">
        <v>28</v>
      </c>
      <c r="I257" s="6">
        <v>2660</v>
      </c>
    </row>
    <row r="258" spans="1:9" x14ac:dyDescent="0.25">
      <c r="A258" s="9">
        <v>45839</v>
      </c>
      <c r="B258" t="s">
        <v>32</v>
      </c>
      <c r="C258" t="s">
        <v>33</v>
      </c>
      <c r="D258" t="s">
        <v>34</v>
      </c>
      <c r="E258" t="s">
        <v>204</v>
      </c>
      <c r="F258" t="s">
        <v>2091</v>
      </c>
      <c r="G258" s="6">
        <v>118</v>
      </c>
      <c r="H258" s="6">
        <v>23</v>
      </c>
      <c r="I258" s="6">
        <v>2714</v>
      </c>
    </row>
    <row r="259" spans="1:9" x14ac:dyDescent="0.25">
      <c r="A259" s="9">
        <v>45839</v>
      </c>
      <c r="B259" t="s">
        <v>32</v>
      </c>
      <c r="C259" t="s">
        <v>33</v>
      </c>
      <c r="D259" t="s">
        <v>34</v>
      </c>
      <c r="E259" t="s">
        <v>204</v>
      </c>
      <c r="F259" t="s">
        <v>2094</v>
      </c>
      <c r="G259" s="6">
        <v>83</v>
      </c>
      <c r="H259" s="6">
        <v>42</v>
      </c>
      <c r="I259" s="6">
        <v>3486</v>
      </c>
    </row>
    <row r="260" spans="1:9" x14ac:dyDescent="0.25">
      <c r="A260" s="9">
        <v>45839</v>
      </c>
      <c r="B260" t="s">
        <v>94</v>
      </c>
      <c r="C260" t="s">
        <v>95</v>
      </c>
      <c r="D260" t="s">
        <v>34</v>
      </c>
      <c r="E260" t="s">
        <v>105</v>
      </c>
      <c r="F260" t="s">
        <v>2091</v>
      </c>
      <c r="G260" s="6">
        <v>100</v>
      </c>
      <c r="H260" s="6">
        <v>23</v>
      </c>
      <c r="I260" s="6">
        <v>2300</v>
      </c>
    </row>
    <row r="261" spans="1:9" x14ac:dyDescent="0.25">
      <c r="A261" s="9">
        <v>45839</v>
      </c>
      <c r="B261" t="s">
        <v>94</v>
      </c>
      <c r="C261" t="s">
        <v>95</v>
      </c>
      <c r="D261" t="s">
        <v>34</v>
      </c>
      <c r="E261" t="s">
        <v>204</v>
      </c>
      <c r="F261" t="s">
        <v>2093</v>
      </c>
      <c r="G261" s="6">
        <v>148</v>
      </c>
      <c r="H261" s="6">
        <v>28</v>
      </c>
      <c r="I261" s="6">
        <v>4144</v>
      </c>
    </row>
    <row r="262" spans="1:9" x14ac:dyDescent="0.25">
      <c r="A262" s="9">
        <v>45839</v>
      </c>
      <c r="B262" t="s">
        <v>94</v>
      </c>
      <c r="C262" t="s">
        <v>95</v>
      </c>
      <c r="D262" t="s">
        <v>34</v>
      </c>
      <c r="E262" t="s">
        <v>204</v>
      </c>
      <c r="F262" t="s">
        <v>2094</v>
      </c>
      <c r="G262" s="6">
        <v>15</v>
      </c>
      <c r="H262" s="6">
        <v>42</v>
      </c>
      <c r="I262" s="6">
        <v>630</v>
      </c>
    </row>
    <row r="263" spans="1:9" x14ac:dyDescent="0.25">
      <c r="A263" s="9">
        <v>45839</v>
      </c>
      <c r="B263" t="s">
        <v>41</v>
      </c>
      <c r="C263" t="s">
        <v>42</v>
      </c>
      <c r="D263" t="s">
        <v>34</v>
      </c>
      <c r="E263" t="s">
        <v>204</v>
      </c>
      <c r="F263" t="s">
        <v>2091</v>
      </c>
      <c r="G263" s="6">
        <v>104</v>
      </c>
      <c r="H263" s="6">
        <v>23</v>
      </c>
      <c r="I263" s="6">
        <v>2392</v>
      </c>
    </row>
    <row r="264" spans="1:9" x14ac:dyDescent="0.25">
      <c r="A264" s="9">
        <v>45839</v>
      </c>
      <c r="B264" t="s">
        <v>47</v>
      </c>
      <c r="C264" t="s">
        <v>48</v>
      </c>
      <c r="D264" t="s">
        <v>34</v>
      </c>
      <c r="E264" t="s">
        <v>105</v>
      </c>
      <c r="F264" t="s">
        <v>2091</v>
      </c>
      <c r="G264" s="6">
        <v>164</v>
      </c>
      <c r="H264" s="6">
        <v>23</v>
      </c>
      <c r="I264" s="6">
        <v>3772</v>
      </c>
    </row>
    <row r="265" spans="1:9" x14ac:dyDescent="0.25">
      <c r="A265" s="9">
        <v>45839</v>
      </c>
      <c r="B265" t="s">
        <v>47</v>
      </c>
      <c r="C265" t="s">
        <v>48</v>
      </c>
      <c r="D265" t="s">
        <v>34</v>
      </c>
      <c r="E265" t="s">
        <v>204</v>
      </c>
      <c r="F265" t="s">
        <v>2093</v>
      </c>
      <c r="G265" s="6">
        <v>99</v>
      </c>
      <c r="H265" s="6">
        <v>28</v>
      </c>
      <c r="I265" s="6">
        <v>2772</v>
      </c>
    </row>
    <row r="266" spans="1:9" x14ac:dyDescent="0.25">
      <c r="A266" s="9">
        <v>45839</v>
      </c>
      <c r="B266" t="s">
        <v>47</v>
      </c>
      <c r="C266" t="s">
        <v>48</v>
      </c>
      <c r="D266" t="s">
        <v>34</v>
      </c>
      <c r="E266" t="s">
        <v>204</v>
      </c>
      <c r="F266" t="s">
        <v>2094</v>
      </c>
      <c r="G266" s="6">
        <v>147</v>
      </c>
      <c r="H266" s="6">
        <v>42</v>
      </c>
      <c r="I266" s="6">
        <v>6174</v>
      </c>
    </row>
    <row r="267" spans="1:9" x14ac:dyDescent="0.25">
      <c r="A267" s="9">
        <v>45839</v>
      </c>
      <c r="B267" t="s">
        <v>121</v>
      </c>
      <c r="C267" t="s">
        <v>122</v>
      </c>
      <c r="D267" t="s">
        <v>34</v>
      </c>
      <c r="E267" t="s">
        <v>204</v>
      </c>
      <c r="F267" t="s">
        <v>2093</v>
      </c>
      <c r="G267" s="6">
        <v>67</v>
      </c>
      <c r="H267" s="6">
        <v>28</v>
      </c>
      <c r="I267" s="6">
        <v>1876</v>
      </c>
    </row>
    <row r="268" spans="1:9" x14ac:dyDescent="0.25">
      <c r="A268" s="9">
        <v>45839</v>
      </c>
      <c r="B268" t="s">
        <v>121</v>
      </c>
      <c r="C268" t="s">
        <v>122</v>
      </c>
      <c r="D268" t="s">
        <v>34</v>
      </c>
      <c r="E268" t="s">
        <v>105</v>
      </c>
      <c r="F268" t="s">
        <v>2091</v>
      </c>
      <c r="G268" s="6">
        <v>88</v>
      </c>
      <c r="H268" s="6">
        <v>23</v>
      </c>
      <c r="I268" s="6">
        <v>2024</v>
      </c>
    </row>
    <row r="269" spans="1:9" x14ac:dyDescent="0.25">
      <c r="A269" s="9">
        <v>45839</v>
      </c>
      <c r="B269" t="s">
        <v>201</v>
      </c>
      <c r="C269" t="s">
        <v>202</v>
      </c>
      <c r="D269" t="s">
        <v>64</v>
      </c>
      <c r="E269" t="s">
        <v>96</v>
      </c>
      <c r="F269" t="s">
        <v>2094</v>
      </c>
      <c r="G269" s="6">
        <v>91</v>
      </c>
      <c r="H269" s="6">
        <v>42</v>
      </c>
      <c r="I269" s="6">
        <v>3822</v>
      </c>
    </row>
    <row r="270" spans="1:9" x14ac:dyDescent="0.25">
      <c r="A270" s="9">
        <v>45839</v>
      </c>
      <c r="B270" t="s">
        <v>118</v>
      </c>
      <c r="C270" t="s">
        <v>119</v>
      </c>
      <c r="D270" t="s">
        <v>64</v>
      </c>
      <c r="E270" t="s">
        <v>105</v>
      </c>
      <c r="F270" t="s">
        <v>2091</v>
      </c>
      <c r="G270" s="6">
        <v>12</v>
      </c>
      <c r="H270" s="6">
        <v>23</v>
      </c>
      <c r="I270" s="6">
        <v>276</v>
      </c>
    </row>
    <row r="271" spans="1:9" x14ac:dyDescent="0.25">
      <c r="A271" s="9">
        <v>45839</v>
      </c>
      <c r="B271" t="s">
        <v>118</v>
      </c>
      <c r="C271" t="s">
        <v>119</v>
      </c>
      <c r="D271" t="s">
        <v>64</v>
      </c>
      <c r="E271" t="s">
        <v>105</v>
      </c>
      <c r="F271" t="s">
        <v>2093</v>
      </c>
      <c r="G271" s="6">
        <v>49</v>
      </c>
      <c r="H271" s="6">
        <v>28</v>
      </c>
      <c r="I271" s="6">
        <v>1372</v>
      </c>
    </row>
    <row r="272" spans="1:9" x14ac:dyDescent="0.25">
      <c r="A272" s="9">
        <v>45839</v>
      </c>
      <c r="B272" t="s">
        <v>62</v>
      </c>
      <c r="C272" t="s">
        <v>63</v>
      </c>
      <c r="D272" t="s">
        <v>64</v>
      </c>
      <c r="E272" t="s">
        <v>105</v>
      </c>
      <c r="F272" t="s">
        <v>2094</v>
      </c>
      <c r="G272" s="6">
        <v>51</v>
      </c>
      <c r="H272" s="6">
        <v>42</v>
      </c>
      <c r="I272" s="6">
        <v>2142</v>
      </c>
    </row>
    <row r="273" spans="1:9" x14ac:dyDescent="0.25">
      <c r="A273" s="9">
        <v>45839</v>
      </c>
      <c r="B273" t="s">
        <v>62</v>
      </c>
      <c r="C273" t="s">
        <v>63</v>
      </c>
      <c r="D273" t="s">
        <v>64</v>
      </c>
      <c r="E273" t="s">
        <v>204</v>
      </c>
      <c r="F273" t="s">
        <v>2091</v>
      </c>
      <c r="G273" s="6">
        <v>118</v>
      </c>
      <c r="H273" s="6">
        <v>23</v>
      </c>
      <c r="I273" s="6">
        <v>2714</v>
      </c>
    </row>
    <row r="274" spans="1:9" x14ac:dyDescent="0.25">
      <c r="A274" s="9">
        <v>45839</v>
      </c>
      <c r="B274" t="s">
        <v>91</v>
      </c>
      <c r="C274" t="s">
        <v>92</v>
      </c>
      <c r="D274" t="s">
        <v>64</v>
      </c>
      <c r="E274" t="s">
        <v>105</v>
      </c>
      <c r="F274" t="s">
        <v>2094</v>
      </c>
      <c r="G274" s="6">
        <v>120</v>
      </c>
      <c r="H274" s="6">
        <v>42</v>
      </c>
      <c r="I274" s="6">
        <v>5040</v>
      </c>
    </row>
    <row r="275" spans="1:9" x14ac:dyDescent="0.25">
      <c r="A275" s="9">
        <v>45839</v>
      </c>
      <c r="B275" t="s">
        <v>91</v>
      </c>
      <c r="C275" t="s">
        <v>92</v>
      </c>
      <c r="D275" t="s">
        <v>64</v>
      </c>
      <c r="E275" t="s">
        <v>96</v>
      </c>
      <c r="F275" t="s">
        <v>2091</v>
      </c>
      <c r="G275" s="6">
        <v>101</v>
      </c>
      <c r="H275" s="6">
        <v>23</v>
      </c>
      <c r="I275" s="6">
        <v>2323</v>
      </c>
    </row>
    <row r="276" spans="1:9" x14ac:dyDescent="0.25">
      <c r="A276" s="9">
        <v>45839</v>
      </c>
      <c r="B276" t="s">
        <v>80</v>
      </c>
      <c r="C276" t="s">
        <v>81</v>
      </c>
      <c r="D276" t="s">
        <v>64</v>
      </c>
      <c r="E276" t="s">
        <v>96</v>
      </c>
      <c r="F276" t="s">
        <v>2091</v>
      </c>
      <c r="G276" s="6">
        <v>118</v>
      </c>
      <c r="H276" s="6">
        <v>23</v>
      </c>
      <c r="I276" s="6">
        <v>2714</v>
      </c>
    </row>
    <row r="277" spans="1:9" x14ac:dyDescent="0.25">
      <c r="A277" s="9">
        <v>45839</v>
      </c>
      <c r="B277" t="s">
        <v>56</v>
      </c>
      <c r="C277" t="s">
        <v>57</v>
      </c>
      <c r="D277" t="s">
        <v>58</v>
      </c>
      <c r="E277" t="s">
        <v>96</v>
      </c>
      <c r="F277" t="s">
        <v>2094</v>
      </c>
      <c r="G277" s="6">
        <v>84</v>
      </c>
      <c r="H277" s="6">
        <v>42</v>
      </c>
      <c r="I277" s="6">
        <v>3528</v>
      </c>
    </row>
    <row r="278" spans="1:9" x14ac:dyDescent="0.25">
      <c r="A278" s="9">
        <v>45839</v>
      </c>
      <c r="B278" t="s">
        <v>56</v>
      </c>
      <c r="C278" t="s">
        <v>57</v>
      </c>
      <c r="D278" t="s">
        <v>58</v>
      </c>
      <c r="E278" t="s">
        <v>105</v>
      </c>
      <c r="F278" t="s">
        <v>2093</v>
      </c>
      <c r="G278" s="6">
        <v>132</v>
      </c>
      <c r="H278" s="6">
        <v>28</v>
      </c>
      <c r="I278" s="6">
        <v>3696</v>
      </c>
    </row>
    <row r="279" spans="1:9" x14ac:dyDescent="0.25">
      <c r="A279" s="9">
        <v>45839</v>
      </c>
      <c r="B279" t="s">
        <v>77</v>
      </c>
      <c r="C279" t="s">
        <v>78</v>
      </c>
      <c r="D279" t="s">
        <v>58</v>
      </c>
      <c r="E279" t="s">
        <v>96</v>
      </c>
      <c r="F279" t="s">
        <v>2093</v>
      </c>
      <c r="G279" s="6">
        <v>90</v>
      </c>
      <c r="H279" s="6">
        <v>28</v>
      </c>
      <c r="I279" s="6">
        <v>2520</v>
      </c>
    </row>
    <row r="280" spans="1:9" x14ac:dyDescent="0.25">
      <c r="A280" s="9">
        <v>45839</v>
      </c>
      <c r="B280" t="s">
        <v>77</v>
      </c>
      <c r="C280" t="s">
        <v>78</v>
      </c>
      <c r="D280" t="s">
        <v>58</v>
      </c>
      <c r="E280" t="s">
        <v>204</v>
      </c>
      <c r="F280" t="s">
        <v>2094</v>
      </c>
      <c r="G280" s="6">
        <v>92</v>
      </c>
      <c r="H280" s="6">
        <v>42</v>
      </c>
      <c r="I280" s="6">
        <v>3864</v>
      </c>
    </row>
    <row r="281" spans="1:9" x14ac:dyDescent="0.25">
      <c r="A281" s="9">
        <v>45839</v>
      </c>
      <c r="B281" t="s">
        <v>110</v>
      </c>
      <c r="C281" t="s">
        <v>111</v>
      </c>
      <c r="D281" t="s">
        <v>58</v>
      </c>
      <c r="E281" t="s">
        <v>96</v>
      </c>
      <c r="F281" t="s">
        <v>2091</v>
      </c>
      <c r="G281" s="6">
        <v>80</v>
      </c>
      <c r="H281" s="6">
        <v>23</v>
      </c>
      <c r="I281" s="6">
        <v>1840</v>
      </c>
    </row>
    <row r="282" spans="1:9" x14ac:dyDescent="0.25">
      <c r="A282" s="9">
        <v>45839</v>
      </c>
      <c r="B282" t="s">
        <v>110</v>
      </c>
      <c r="C282" t="s">
        <v>111</v>
      </c>
      <c r="D282" t="s">
        <v>58</v>
      </c>
      <c r="E282" t="s">
        <v>204</v>
      </c>
      <c r="F282" t="s">
        <v>2093</v>
      </c>
      <c r="G282" s="6">
        <v>113</v>
      </c>
      <c r="H282" s="6">
        <v>28</v>
      </c>
      <c r="I282" s="6">
        <v>3164</v>
      </c>
    </row>
    <row r="283" spans="1:9" x14ac:dyDescent="0.25">
      <c r="A283" s="9">
        <v>45839</v>
      </c>
      <c r="B283" t="s">
        <v>85</v>
      </c>
      <c r="C283" t="s">
        <v>86</v>
      </c>
      <c r="D283" t="s">
        <v>58</v>
      </c>
      <c r="E283" t="s">
        <v>105</v>
      </c>
      <c r="F283" t="s">
        <v>2091</v>
      </c>
      <c r="G283" s="6">
        <v>75</v>
      </c>
      <c r="H283" s="6">
        <v>23</v>
      </c>
      <c r="I283" s="6">
        <v>1725</v>
      </c>
    </row>
    <row r="284" spans="1:9" x14ac:dyDescent="0.25">
      <c r="A284" s="9">
        <v>45839</v>
      </c>
      <c r="B284" t="s">
        <v>85</v>
      </c>
      <c r="C284" t="s">
        <v>86</v>
      </c>
      <c r="D284" t="s">
        <v>58</v>
      </c>
      <c r="E284" t="s">
        <v>105</v>
      </c>
      <c r="F284" t="s">
        <v>2094</v>
      </c>
      <c r="G284" s="6">
        <v>124</v>
      </c>
      <c r="H284" s="6">
        <v>42</v>
      </c>
      <c r="I284" s="6">
        <v>5208</v>
      </c>
    </row>
    <row r="285" spans="1:9" x14ac:dyDescent="0.25">
      <c r="A285" s="9">
        <v>45839</v>
      </c>
      <c r="B285" t="s">
        <v>85</v>
      </c>
      <c r="C285" t="s">
        <v>86</v>
      </c>
      <c r="D285" t="s">
        <v>58</v>
      </c>
      <c r="E285" t="s">
        <v>204</v>
      </c>
      <c r="F285" t="s">
        <v>2093</v>
      </c>
      <c r="G285" s="6">
        <v>50</v>
      </c>
      <c r="H285" s="6">
        <v>28</v>
      </c>
      <c r="I285" s="6">
        <v>1400</v>
      </c>
    </row>
    <row r="286" spans="1:9" x14ac:dyDescent="0.25">
      <c r="A286" s="9">
        <v>45839</v>
      </c>
      <c r="B286" t="s">
        <v>103</v>
      </c>
      <c r="C286" t="s">
        <v>104</v>
      </c>
      <c r="D286" t="s">
        <v>58</v>
      </c>
      <c r="E286" t="s">
        <v>105</v>
      </c>
      <c r="F286" t="s">
        <v>2091</v>
      </c>
      <c r="G286" s="6">
        <v>51</v>
      </c>
      <c r="H286" s="6">
        <v>23</v>
      </c>
      <c r="I286" s="6">
        <v>1173</v>
      </c>
    </row>
    <row r="287" spans="1:9" x14ac:dyDescent="0.25">
      <c r="A287" s="9">
        <v>45839</v>
      </c>
      <c r="B287" t="s">
        <v>103</v>
      </c>
      <c r="C287" t="s">
        <v>104</v>
      </c>
      <c r="D287" t="s">
        <v>58</v>
      </c>
      <c r="E287" t="s">
        <v>204</v>
      </c>
      <c r="F287" t="s">
        <v>2094</v>
      </c>
      <c r="G287" s="6">
        <v>114</v>
      </c>
      <c r="H287" s="6">
        <v>42</v>
      </c>
      <c r="I287" s="6">
        <v>4788</v>
      </c>
    </row>
    <row r="288" spans="1:9" x14ac:dyDescent="0.25">
      <c r="A288" s="9">
        <v>45839</v>
      </c>
      <c r="B288" t="s">
        <v>103</v>
      </c>
      <c r="C288" t="s">
        <v>104</v>
      </c>
      <c r="D288" t="s">
        <v>58</v>
      </c>
      <c r="E288" t="s">
        <v>105</v>
      </c>
      <c r="F288" t="s">
        <v>2093</v>
      </c>
      <c r="G288" s="6">
        <v>86</v>
      </c>
      <c r="H288" s="6">
        <v>28</v>
      </c>
      <c r="I288" s="6">
        <v>2408</v>
      </c>
    </row>
    <row r="289" spans="1:9" x14ac:dyDescent="0.25">
      <c r="A289" s="9">
        <v>45870</v>
      </c>
      <c r="B289" t="s">
        <v>100</v>
      </c>
      <c r="C289" t="s">
        <v>101</v>
      </c>
      <c r="D289" t="s">
        <v>69</v>
      </c>
      <c r="E289" t="s">
        <v>204</v>
      </c>
      <c r="F289" t="s">
        <v>2091</v>
      </c>
      <c r="G289" s="6">
        <v>74</v>
      </c>
      <c r="H289" s="6">
        <v>23</v>
      </c>
      <c r="I289" s="6">
        <v>1702</v>
      </c>
    </row>
    <row r="290" spans="1:9" x14ac:dyDescent="0.25">
      <c r="A290" s="9">
        <v>45870</v>
      </c>
      <c r="B290" t="s">
        <v>100</v>
      </c>
      <c r="C290" t="s">
        <v>101</v>
      </c>
      <c r="D290" t="s">
        <v>69</v>
      </c>
      <c r="E290" t="s">
        <v>204</v>
      </c>
      <c r="F290" t="s">
        <v>2094</v>
      </c>
      <c r="G290" s="6">
        <v>121</v>
      </c>
      <c r="H290" s="6">
        <v>42</v>
      </c>
      <c r="I290" s="6">
        <v>5082</v>
      </c>
    </row>
    <row r="291" spans="1:9" x14ac:dyDescent="0.25">
      <c r="A291" s="9">
        <v>45870</v>
      </c>
      <c r="B291" t="s">
        <v>113</v>
      </c>
      <c r="C291" t="s">
        <v>114</v>
      </c>
      <c r="D291" t="s">
        <v>69</v>
      </c>
      <c r="E291" t="s">
        <v>204</v>
      </c>
      <c r="F291" t="s">
        <v>2093</v>
      </c>
      <c r="G291" s="6">
        <v>68</v>
      </c>
      <c r="H291" s="6">
        <v>28</v>
      </c>
      <c r="I291" s="6">
        <v>1904</v>
      </c>
    </row>
    <row r="292" spans="1:9" x14ac:dyDescent="0.25">
      <c r="A292" s="9">
        <v>45870</v>
      </c>
      <c r="B292" t="s">
        <v>113</v>
      </c>
      <c r="C292" t="s">
        <v>114</v>
      </c>
      <c r="D292" t="s">
        <v>69</v>
      </c>
      <c r="E292" t="s">
        <v>96</v>
      </c>
      <c r="F292" t="s">
        <v>2091</v>
      </c>
      <c r="G292" s="6">
        <v>82</v>
      </c>
      <c r="H292" s="6">
        <v>23</v>
      </c>
      <c r="I292" s="6">
        <v>1886</v>
      </c>
    </row>
    <row r="293" spans="1:9" x14ac:dyDescent="0.25">
      <c r="A293" s="9">
        <v>45870</v>
      </c>
      <c r="B293" t="s">
        <v>143</v>
      </c>
      <c r="C293" t="s">
        <v>144</v>
      </c>
      <c r="D293" t="s">
        <v>69</v>
      </c>
      <c r="E293" t="s">
        <v>204</v>
      </c>
      <c r="F293" t="s">
        <v>2093</v>
      </c>
      <c r="G293" s="6">
        <v>138</v>
      </c>
      <c r="H293" s="6">
        <v>28</v>
      </c>
      <c r="I293" s="6">
        <v>3864</v>
      </c>
    </row>
    <row r="294" spans="1:9" x14ac:dyDescent="0.25">
      <c r="A294" s="9">
        <v>45870</v>
      </c>
      <c r="B294" t="s">
        <v>143</v>
      </c>
      <c r="C294" t="s">
        <v>144</v>
      </c>
      <c r="D294" t="s">
        <v>69</v>
      </c>
      <c r="E294" t="s">
        <v>96</v>
      </c>
      <c r="F294" t="s">
        <v>2091</v>
      </c>
      <c r="G294" s="6">
        <v>143</v>
      </c>
      <c r="H294" s="6">
        <v>23</v>
      </c>
      <c r="I294" s="6">
        <v>3289</v>
      </c>
    </row>
    <row r="295" spans="1:9" x14ac:dyDescent="0.25">
      <c r="A295" s="9">
        <v>45870</v>
      </c>
      <c r="B295" t="s">
        <v>143</v>
      </c>
      <c r="C295" t="s">
        <v>144</v>
      </c>
      <c r="D295" t="s">
        <v>69</v>
      </c>
      <c r="E295" t="s">
        <v>204</v>
      </c>
      <c r="F295" t="s">
        <v>2094</v>
      </c>
      <c r="G295" s="6">
        <v>145</v>
      </c>
      <c r="H295" s="6">
        <v>42</v>
      </c>
      <c r="I295" s="6">
        <v>6090</v>
      </c>
    </row>
    <row r="296" spans="1:9" x14ac:dyDescent="0.25">
      <c r="A296" s="9">
        <v>45870</v>
      </c>
      <c r="B296" t="s">
        <v>73</v>
      </c>
      <c r="C296" t="s">
        <v>74</v>
      </c>
      <c r="D296" t="s">
        <v>69</v>
      </c>
      <c r="E296" t="s">
        <v>105</v>
      </c>
      <c r="F296" t="s">
        <v>2091</v>
      </c>
      <c r="G296" s="6">
        <v>80</v>
      </c>
      <c r="H296" s="6">
        <v>23</v>
      </c>
      <c r="I296" s="6">
        <v>1840</v>
      </c>
    </row>
    <row r="297" spans="1:9" x14ac:dyDescent="0.25">
      <c r="A297" s="9">
        <v>45870</v>
      </c>
      <c r="B297" t="s">
        <v>67</v>
      </c>
      <c r="C297" t="s">
        <v>68</v>
      </c>
      <c r="D297" t="s">
        <v>69</v>
      </c>
      <c r="E297" t="s">
        <v>204</v>
      </c>
      <c r="F297" t="s">
        <v>2093</v>
      </c>
      <c r="G297" s="6">
        <v>133</v>
      </c>
      <c r="H297" s="6">
        <v>28</v>
      </c>
      <c r="I297" s="6">
        <v>3724</v>
      </c>
    </row>
    <row r="298" spans="1:9" x14ac:dyDescent="0.25">
      <c r="A298" s="9">
        <v>45870</v>
      </c>
      <c r="B298" t="s">
        <v>67</v>
      </c>
      <c r="C298" t="s">
        <v>68</v>
      </c>
      <c r="D298" t="s">
        <v>69</v>
      </c>
      <c r="E298" t="s">
        <v>204</v>
      </c>
      <c r="F298" t="s">
        <v>2091</v>
      </c>
      <c r="G298" s="6">
        <v>56</v>
      </c>
      <c r="H298" s="6">
        <v>23</v>
      </c>
      <c r="I298" s="6">
        <v>1288</v>
      </c>
    </row>
    <row r="299" spans="1:9" x14ac:dyDescent="0.25">
      <c r="A299" s="9">
        <v>45870</v>
      </c>
      <c r="B299" t="s">
        <v>67</v>
      </c>
      <c r="C299" t="s">
        <v>68</v>
      </c>
      <c r="D299" t="s">
        <v>69</v>
      </c>
      <c r="E299" t="s">
        <v>105</v>
      </c>
      <c r="F299" t="s">
        <v>2094</v>
      </c>
      <c r="G299" s="6">
        <v>58</v>
      </c>
      <c r="H299" s="6">
        <v>42</v>
      </c>
      <c r="I299" s="6">
        <v>2436</v>
      </c>
    </row>
    <row r="300" spans="1:9" x14ac:dyDescent="0.25">
      <c r="A300" s="9">
        <v>45870</v>
      </c>
      <c r="B300" t="s">
        <v>32</v>
      </c>
      <c r="C300" t="s">
        <v>33</v>
      </c>
      <c r="D300" t="s">
        <v>34</v>
      </c>
      <c r="E300" t="s">
        <v>105</v>
      </c>
      <c r="F300" t="s">
        <v>2094</v>
      </c>
      <c r="G300" s="6">
        <v>10</v>
      </c>
      <c r="H300" s="6">
        <v>42</v>
      </c>
      <c r="I300" s="6">
        <v>420</v>
      </c>
    </row>
    <row r="301" spans="1:9" x14ac:dyDescent="0.25">
      <c r="A301" s="9">
        <v>45870</v>
      </c>
      <c r="B301" t="s">
        <v>32</v>
      </c>
      <c r="C301" t="s">
        <v>33</v>
      </c>
      <c r="D301" t="s">
        <v>34</v>
      </c>
      <c r="E301" t="s">
        <v>96</v>
      </c>
      <c r="F301" t="s">
        <v>2091</v>
      </c>
      <c r="G301" s="6">
        <v>148</v>
      </c>
      <c r="H301" s="6">
        <v>23</v>
      </c>
      <c r="I301" s="6">
        <v>3404</v>
      </c>
    </row>
    <row r="302" spans="1:9" x14ac:dyDescent="0.25">
      <c r="A302" s="9">
        <v>45870</v>
      </c>
      <c r="B302" t="s">
        <v>94</v>
      </c>
      <c r="C302" t="s">
        <v>95</v>
      </c>
      <c r="D302" t="s">
        <v>34</v>
      </c>
      <c r="E302" t="s">
        <v>105</v>
      </c>
      <c r="F302" t="s">
        <v>2093</v>
      </c>
      <c r="G302" s="6">
        <v>59</v>
      </c>
      <c r="H302" s="6">
        <v>28</v>
      </c>
      <c r="I302" s="6">
        <v>1652</v>
      </c>
    </row>
    <row r="303" spans="1:9" x14ac:dyDescent="0.25">
      <c r="A303" s="9">
        <v>45870</v>
      </c>
      <c r="B303" t="s">
        <v>41</v>
      </c>
      <c r="C303" t="s">
        <v>42</v>
      </c>
      <c r="D303" t="s">
        <v>34</v>
      </c>
      <c r="E303" t="s">
        <v>204</v>
      </c>
      <c r="F303" t="s">
        <v>2091</v>
      </c>
      <c r="G303" s="6">
        <v>85</v>
      </c>
      <c r="H303" s="6">
        <v>23</v>
      </c>
      <c r="I303" s="6">
        <v>1955</v>
      </c>
    </row>
    <row r="304" spans="1:9" x14ac:dyDescent="0.25">
      <c r="A304" s="9">
        <v>45870</v>
      </c>
      <c r="B304" t="s">
        <v>47</v>
      </c>
      <c r="C304" t="s">
        <v>48</v>
      </c>
      <c r="D304" t="s">
        <v>34</v>
      </c>
      <c r="E304" t="s">
        <v>105</v>
      </c>
      <c r="F304" t="s">
        <v>2093</v>
      </c>
      <c r="G304" s="6">
        <v>58</v>
      </c>
      <c r="H304" s="6">
        <v>28</v>
      </c>
      <c r="I304" s="6">
        <v>1624</v>
      </c>
    </row>
    <row r="305" spans="1:9" x14ac:dyDescent="0.25">
      <c r="A305" s="9">
        <v>45870</v>
      </c>
      <c r="B305" t="s">
        <v>47</v>
      </c>
      <c r="C305" t="s">
        <v>48</v>
      </c>
      <c r="D305" t="s">
        <v>34</v>
      </c>
      <c r="E305" t="s">
        <v>204</v>
      </c>
      <c r="F305" t="s">
        <v>2094</v>
      </c>
      <c r="G305" s="6">
        <v>114</v>
      </c>
      <c r="H305" s="6">
        <v>42</v>
      </c>
      <c r="I305" s="6">
        <v>4788</v>
      </c>
    </row>
    <row r="306" spans="1:9" x14ac:dyDescent="0.25">
      <c r="A306" s="9">
        <v>45870</v>
      </c>
      <c r="B306" t="s">
        <v>121</v>
      </c>
      <c r="C306" t="s">
        <v>122</v>
      </c>
      <c r="D306" t="s">
        <v>34</v>
      </c>
      <c r="E306" t="s">
        <v>105</v>
      </c>
      <c r="F306" t="s">
        <v>2093</v>
      </c>
      <c r="G306" s="6">
        <v>76</v>
      </c>
      <c r="H306" s="6">
        <v>28</v>
      </c>
      <c r="I306" s="6">
        <v>2128</v>
      </c>
    </row>
    <row r="307" spans="1:9" x14ac:dyDescent="0.25">
      <c r="A307" s="9">
        <v>45870</v>
      </c>
      <c r="B307" t="s">
        <v>121</v>
      </c>
      <c r="C307" t="s">
        <v>122</v>
      </c>
      <c r="D307" t="s">
        <v>34</v>
      </c>
      <c r="E307" t="s">
        <v>96</v>
      </c>
      <c r="F307" t="s">
        <v>2091</v>
      </c>
      <c r="G307" s="6">
        <v>44</v>
      </c>
      <c r="H307" s="6">
        <v>23</v>
      </c>
      <c r="I307" s="6">
        <v>1012</v>
      </c>
    </row>
    <row r="308" spans="1:9" x14ac:dyDescent="0.25">
      <c r="A308" s="9">
        <v>45870</v>
      </c>
      <c r="B308" t="s">
        <v>121</v>
      </c>
      <c r="C308" t="s">
        <v>122</v>
      </c>
      <c r="D308" t="s">
        <v>34</v>
      </c>
      <c r="E308" t="s">
        <v>96</v>
      </c>
      <c r="F308" t="s">
        <v>2094</v>
      </c>
      <c r="G308" s="6">
        <v>105</v>
      </c>
      <c r="H308" s="6">
        <v>42</v>
      </c>
      <c r="I308" s="6">
        <v>4410</v>
      </c>
    </row>
    <row r="309" spans="1:9" x14ac:dyDescent="0.25">
      <c r="A309" s="9">
        <v>45870</v>
      </c>
      <c r="B309" t="s">
        <v>201</v>
      </c>
      <c r="C309" t="s">
        <v>202</v>
      </c>
      <c r="D309" t="s">
        <v>64</v>
      </c>
      <c r="E309" t="s">
        <v>105</v>
      </c>
      <c r="F309" t="s">
        <v>2091</v>
      </c>
      <c r="G309" s="6">
        <v>39</v>
      </c>
      <c r="H309" s="6">
        <v>23</v>
      </c>
      <c r="I309" s="6">
        <v>897</v>
      </c>
    </row>
    <row r="310" spans="1:9" x14ac:dyDescent="0.25">
      <c r="A310" s="9">
        <v>45870</v>
      </c>
      <c r="B310" t="s">
        <v>201</v>
      </c>
      <c r="C310" t="s">
        <v>202</v>
      </c>
      <c r="D310" t="s">
        <v>64</v>
      </c>
      <c r="E310" t="s">
        <v>105</v>
      </c>
      <c r="F310" t="s">
        <v>2094</v>
      </c>
      <c r="G310" s="6">
        <v>60</v>
      </c>
      <c r="H310" s="6">
        <v>42</v>
      </c>
      <c r="I310" s="6">
        <v>2520</v>
      </c>
    </row>
    <row r="311" spans="1:9" x14ac:dyDescent="0.25">
      <c r="A311" s="9">
        <v>45870</v>
      </c>
      <c r="B311" t="s">
        <v>118</v>
      </c>
      <c r="C311" t="s">
        <v>119</v>
      </c>
      <c r="D311" t="s">
        <v>64</v>
      </c>
      <c r="E311" t="s">
        <v>204</v>
      </c>
      <c r="F311" t="s">
        <v>2093</v>
      </c>
      <c r="G311" s="6">
        <v>16</v>
      </c>
      <c r="H311" s="6">
        <v>28</v>
      </c>
      <c r="I311" s="6">
        <v>448</v>
      </c>
    </row>
    <row r="312" spans="1:9" x14ac:dyDescent="0.25">
      <c r="A312" s="9">
        <v>45870</v>
      </c>
      <c r="B312" t="s">
        <v>118</v>
      </c>
      <c r="C312" t="s">
        <v>119</v>
      </c>
      <c r="D312" t="s">
        <v>64</v>
      </c>
      <c r="E312" t="s">
        <v>204</v>
      </c>
      <c r="F312" t="s">
        <v>2094</v>
      </c>
      <c r="G312" s="6">
        <v>40</v>
      </c>
      <c r="H312" s="6">
        <v>42</v>
      </c>
      <c r="I312" s="6">
        <v>1680</v>
      </c>
    </row>
    <row r="313" spans="1:9" x14ac:dyDescent="0.25">
      <c r="A313" s="9">
        <v>45870</v>
      </c>
      <c r="B313" t="s">
        <v>62</v>
      </c>
      <c r="C313" t="s">
        <v>63</v>
      </c>
      <c r="D313" t="s">
        <v>64</v>
      </c>
      <c r="E313" t="s">
        <v>204</v>
      </c>
      <c r="F313" t="s">
        <v>2094</v>
      </c>
      <c r="G313" s="6">
        <v>96</v>
      </c>
      <c r="H313" s="6">
        <v>42</v>
      </c>
      <c r="I313" s="6">
        <v>4032</v>
      </c>
    </row>
    <row r="314" spans="1:9" x14ac:dyDescent="0.25">
      <c r="A314" s="9">
        <v>45870</v>
      </c>
      <c r="B314" t="s">
        <v>62</v>
      </c>
      <c r="C314" t="s">
        <v>63</v>
      </c>
      <c r="D314" t="s">
        <v>64</v>
      </c>
      <c r="E314" t="s">
        <v>105</v>
      </c>
      <c r="F314" t="s">
        <v>2091</v>
      </c>
      <c r="G314" s="6">
        <v>21</v>
      </c>
      <c r="H314" s="6">
        <v>23</v>
      </c>
      <c r="I314" s="6">
        <v>483</v>
      </c>
    </row>
    <row r="315" spans="1:9" x14ac:dyDescent="0.25">
      <c r="A315" s="9">
        <v>45870</v>
      </c>
      <c r="B315" t="s">
        <v>91</v>
      </c>
      <c r="C315" t="s">
        <v>92</v>
      </c>
      <c r="D315" t="s">
        <v>64</v>
      </c>
      <c r="E315" t="s">
        <v>105</v>
      </c>
      <c r="F315" t="s">
        <v>2094</v>
      </c>
      <c r="G315" s="6">
        <v>38</v>
      </c>
      <c r="H315" s="6">
        <v>42</v>
      </c>
      <c r="I315" s="6">
        <v>1596</v>
      </c>
    </row>
    <row r="316" spans="1:9" x14ac:dyDescent="0.25">
      <c r="A316" s="9">
        <v>45870</v>
      </c>
      <c r="B316" t="s">
        <v>91</v>
      </c>
      <c r="C316" t="s">
        <v>92</v>
      </c>
      <c r="D316" t="s">
        <v>64</v>
      </c>
      <c r="E316" t="s">
        <v>96</v>
      </c>
      <c r="F316" t="s">
        <v>2093</v>
      </c>
      <c r="G316" s="6">
        <v>89</v>
      </c>
      <c r="H316" s="6">
        <v>28</v>
      </c>
      <c r="I316" s="6">
        <v>2492</v>
      </c>
    </row>
    <row r="317" spans="1:9" x14ac:dyDescent="0.25">
      <c r="A317" s="9">
        <v>45870</v>
      </c>
      <c r="B317" t="s">
        <v>80</v>
      </c>
      <c r="C317" t="s">
        <v>81</v>
      </c>
      <c r="D317" t="s">
        <v>64</v>
      </c>
      <c r="E317" t="s">
        <v>96</v>
      </c>
      <c r="F317" t="s">
        <v>2093</v>
      </c>
      <c r="G317" s="6">
        <v>70</v>
      </c>
      <c r="H317" s="6">
        <v>28</v>
      </c>
      <c r="I317" s="6">
        <v>1960</v>
      </c>
    </row>
    <row r="318" spans="1:9" x14ac:dyDescent="0.25">
      <c r="A318" s="9">
        <v>45870</v>
      </c>
      <c r="B318" t="s">
        <v>80</v>
      </c>
      <c r="C318" t="s">
        <v>81</v>
      </c>
      <c r="D318" t="s">
        <v>64</v>
      </c>
      <c r="E318" t="s">
        <v>105</v>
      </c>
      <c r="F318" t="s">
        <v>2091</v>
      </c>
      <c r="G318" s="6">
        <v>159</v>
      </c>
      <c r="H318" s="6">
        <v>23</v>
      </c>
      <c r="I318" s="6">
        <v>3657</v>
      </c>
    </row>
    <row r="319" spans="1:9" x14ac:dyDescent="0.25">
      <c r="A319" s="9">
        <v>45870</v>
      </c>
      <c r="B319" t="s">
        <v>80</v>
      </c>
      <c r="C319" t="s">
        <v>81</v>
      </c>
      <c r="D319" t="s">
        <v>64</v>
      </c>
      <c r="E319" t="s">
        <v>105</v>
      </c>
      <c r="F319" t="s">
        <v>2094</v>
      </c>
      <c r="G319" s="6">
        <v>154</v>
      </c>
      <c r="H319" s="6">
        <v>42</v>
      </c>
      <c r="I319" s="6">
        <v>6468</v>
      </c>
    </row>
    <row r="320" spans="1:9" x14ac:dyDescent="0.25">
      <c r="A320" s="9">
        <v>45870</v>
      </c>
      <c r="B320" t="s">
        <v>56</v>
      </c>
      <c r="C320" t="s">
        <v>57</v>
      </c>
      <c r="D320" t="s">
        <v>58</v>
      </c>
      <c r="E320" t="s">
        <v>105</v>
      </c>
      <c r="F320" t="s">
        <v>2091</v>
      </c>
      <c r="G320" s="6">
        <v>59</v>
      </c>
      <c r="H320" s="6">
        <v>23</v>
      </c>
      <c r="I320" s="6">
        <v>1357</v>
      </c>
    </row>
    <row r="321" spans="1:9" x14ac:dyDescent="0.25">
      <c r="A321" s="9">
        <v>45870</v>
      </c>
      <c r="B321" t="s">
        <v>56</v>
      </c>
      <c r="C321" t="s">
        <v>57</v>
      </c>
      <c r="D321" t="s">
        <v>58</v>
      </c>
      <c r="E321" t="s">
        <v>204</v>
      </c>
      <c r="F321" t="s">
        <v>2093</v>
      </c>
      <c r="G321" s="6">
        <v>109</v>
      </c>
      <c r="H321" s="6">
        <v>28</v>
      </c>
      <c r="I321" s="6">
        <v>3052</v>
      </c>
    </row>
    <row r="322" spans="1:9" x14ac:dyDescent="0.25">
      <c r="A322" s="9">
        <v>45870</v>
      </c>
      <c r="B322" t="s">
        <v>77</v>
      </c>
      <c r="C322" t="s">
        <v>78</v>
      </c>
      <c r="D322" t="s">
        <v>58</v>
      </c>
      <c r="E322" t="s">
        <v>204</v>
      </c>
      <c r="F322" t="s">
        <v>2091</v>
      </c>
      <c r="G322" s="6">
        <v>116</v>
      </c>
      <c r="H322" s="6">
        <v>23</v>
      </c>
      <c r="I322" s="6">
        <v>2668</v>
      </c>
    </row>
    <row r="323" spans="1:9" x14ac:dyDescent="0.25">
      <c r="A323" s="9">
        <v>45870</v>
      </c>
      <c r="B323" t="s">
        <v>77</v>
      </c>
      <c r="C323" t="s">
        <v>78</v>
      </c>
      <c r="D323" t="s">
        <v>58</v>
      </c>
      <c r="E323" t="s">
        <v>96</v>
      </c>
      <c r="F323" t="s">
        <v>2093</v>
      </c>
      <c r="G323" s="6">
        <v>69</v>
      </c>
      <c r="H323" s="6">
        <v>28</v>
      </c>
      <c r="I323" s="6">
        <v>1932</v>
      </c>
    </row>
    <row r="324" spans="1:9" x14ac:dyDescent="0.25">
      <c r="A324" s="9">
        <v>45870</v>
      </c>
      <c r="B324" t="s">
        <v>110</v>
      </c>
      <c r="C324" t="s">
        <v>111</v>
      </c>
      <c r="D324" t="s">
        <v>58</v>
      </c>
      <c r="E324" t="s">
        <v>105</v>
      </c>
      <c r="F324" t="s">
        <v>2093</v>
      </c>
      <c r="G324" s="6">
        <v>37</v>
      </c>
      <c r="H324" s="6">
        <v>28</v>
      </c>
      <c r="I324" s="6">
        <v>1036</v>
      </c>
    </row>
    <row r="325" spans="1:9" x14ac:dyDescent="0.25">
      <c r="A325" s="9">
        <v>45870</v>
      </c>
      <c r="B325" t="s">
        <v>85</v>
      </c>
      <c r="C325" t="s">
        <v>86</v>
      </c>
      <c r="D325" t="s">
        <v>58</v>
      </c>
      <c r="E325" t="s">
        <v>105</v>
      </c>
      <c r="F325" t="s">
        <v>2093</v>
      </c>
      <c r="G325" s="6">
        <v>89</v>
      </c>
      <c r="H325" s="6">
        <v>28</v>
      </c>
      <c r="I325" s="6">
        <v>2492</v>
      </c>
    </row>
    <row r="326" spans="1:9" x14ac:dyDescent="0.25">
      <c r="A326" s="9">
        <v>45870</v>
      </c>
      <c r="B326" t="s">
        <v>85</v>
      </c>
      <c r="C326" t="s">
        <v>86</v>
      </c>
      <c r="D326" t="s">
        <v>58</v>
      </c>
      <c r="E326" t="s">
        <v>204</v>
      </c>
      <c r="F326" t="s">
        <v>2094</v>
      </c>
      <c r="G326" s="6">
        <v>83</v>
      </c>
      <c r="H326" s="6">
        <v>42</v>
      </c>
      <c r="I326" s="6">
        <v>3486</v>
      </c>
    </row>
    <row r="327" spans="1:9" x14ac:dyDescent="0.25">
      <c r="A327" s="9">
        <v>45870</v>
      </c>
      <c r="B327" t="s">
        <v>103</v>
      </c>
      <c r="C327" t="s">
        <v>104</v>
      </c>
      <c r="D327" t="s">
        <v>58</v>
      </c>
      <c r="E327" t="s">
        <v>105</v>
      </c>
      <c r="F327" t="s">
        <v>2094</v>
      </c>
      <c r="G327" s="6">
        <v>74</v>
      </c>
      <c r="H327" s="6">
        <v>42</v>
      </c>
      <c r="I327" s="6">
        <v>3108</v>
      </c>
    </row>
    <row r="328" spans="1:9" x14ac:dyDescent="0.25">
      <c r="A328" s="9">
        <v>45901</v>
      </c>
      <c r="B328" t="s">
        <v>100</v>
      </c>
      <c r="C328" t="s">
        <v>101</v>
      </c>
      <c r="D328" t="s">
        <v>69</v>
      </c>
      <c r="E328" t="s">
        <v>204</v>
      </c>
      <c r="F328" t="s">
        <v>2091</v>
      </c>
      <c r="G328" s="6">
        <v>105</v>
      </c>
      <c r="H328" s="6">
        <v>23</v>
      </c>
      <c r="I328" s="6">
        <v>2415</v>
      </c>
    </row>
    <row r="329" spans="1:9" x14ac:dyDescent="0.25">
      <c r="A329" s="9">
        <v>45901</v>
      </c>
      <c r="B329" t="s">
        <v>100</v>
      </c>
      <c r="C329" t="s">
        <v>101</v>
      </c>
      <c r="D329" t="s">
        <v>69</v>
      </c>
      <c r="E329" t="s">
        <v>204</v>
      </c>
      <c r="F329" t="s">
        <v>2093</v>
      </c>
      <c r="G329" s="6">
        <v>63</v>
      </c>
      <c r="H329" s="6">
        <v>28</v>
      </c>
      <c r="I329" s="6">
        <v>1764</v>
      </c>
    </row>
    <row r="330" spans="1:9" x14ac:dyDescent="0.25">
      <c r="A330" s="9">
        <v>45901</v>
      </c>
      <c r="B330" t="s">
        <v>113</v>
      </c>
      <c r="C330" t="s">
        <v>114</v>
      </c>
      <c r="D330" t="s">
        <v>69</v>
      </c>
      <c r="E330" t="s">
        <v>204</v>
      </c>
      <c r="F330" t="s">
        <v>2093</v>
      </c>
      <c r="G330" s="6">
        <v>49</v>
      </c>
      <c r="H330" s="6">
        <v>28</v>
      </c>
      <c r="I330" s="6">
        <v>1372</v>
      </c>
    </row>
    <row r="331" spans="1:9" x14ac:dyDescent="0.25">
      <c r="A331" s="9">
        <v>45901</v>
      </c>
      <c r="B331" t="s">
        <v>143</v>
      </c>
      <c r="C331" t="s">
        <v>144</v>
      </c>
      <c r="D331" t="s">
        <v>69</v>
      </c>
      <c r="E331" t="s">
        <v>96</v>
      </c>
      <c r="F331" t="s">
        <v>2094</v>
      </c>
      <c r="G331" s="6">
        <v>93</v>
      </c>
      <c r="H331" s="6">
        <v>42</v>
      </c>
      <c r="I331" s="6">
        <v>3906</v>
      </c>
    </row>
    <row r="332" spans="1:9" x14ac:dyDescent="0.25">
      <c r="A332" s="9">
        <v>45901</v>
      </c>
      <c r="B332" t="s">
        <v>73</v>
      </c>
      <c r="C332" t="s">
        <v>74</v>
      </c>
      <c r="D332" t="s">
        <v>69</v>
      </c>
      <c r="E332" t="s">
        <v>204</v>
      </c>
      <c r="F332" t="s">
        <v>2093</v>
      </c>
      <c r="G332" s="6">
        <v>103</v>
      </c>
      <c r="H332" s="6">
        <v>28</v>
      </c>
      <c r="I332" s="6">
        <v>2884</v>
      </c>
    </row>
    <row r="333" spans="1:9" x14ac:dyDescent="0.25">
      <c r="A333" s="9">
        <v>45901</v>
      </c>
      <c r="B333" t="s">
        <v>73</v>
      </c>
      <c r="C333" t="s">
        <v>74</v>
      </c>
      <c r="D333" t="s">
        <v>69</v>
      </c>
      <c r="E333" t="s">
        <v>204</v>
      </c>
      <c r="F333" t="s">
        <v>2091</v>
      </c>
      <c r="G333" s="6">
        <v>48</v>
      </c>
      <c r="H333" s="6">
        <v>23</v>
      </c>
      <c r="I333" s="6">
        <v>1104</v>
      </c>
    </row>
    <row r="334" spans="1:9" x14ac:dyDescent="0.25">
      <c r="A334" s="9">
        <v>45901</v>
      </c>
      <c r="B334" t="s">
        <v>73</v>
      </c>
      <c r="C334" t="s">
        <v>74</v>
      </c>
      <c r="D334" t="s">
        <v>69</v>
      </c>
      <c r="E334" t="s">
        <v>204</v>
      </c>
      <c r="F334" t="s">
        <v>2094</v>
      </c>
      <c r="G334" s="6">
        <v>122</v>
      </c>
      <c r="H334" s="6">
        <v>42</v>
      </c>
      <c r="I334" s="6">
        <v>5124</v>
      </c>
    </row>
    <row r="335" spans="1:9" x14ac:dyDescent="0.25">
      <c r="A335" s="9">
        <v>45901</v>
      </c>
      <c r="B335" t="s">
        <v>67</v>
      </c>
      <c r="C335" t="s">
        <v>68</v>
      </c>
      <c r="D335" t="s">
        <v>69</v>
      </c>
      <c r="E335" t="s">
        <v>105</v>
      </c>
      <c r="F335" t="s">
        <v>2093</v>
      </c>
      <c r="G335" s="6">
        <v>28</v>
      </c>
      <c r="H335" s="6">
        <v>28</v>
      </c>
      <c r="I335" s="6">
        <v>784</v>
      </c>
    </row>
    <row r="336" spans="1:9" x14ac:dyDescent="0.25">
      <c r="A336" s="9">
        <v>45901</v>
      </c>
      <c r="B336" t="s">
        <v>67</v>
      </c>
      <c r="C336" t="s">
        <v>68</v>
      </c>
      <c r="D336" t="s">
        <v>69</v>
      </c>
      <c r="E336" t="s">
        <v>105</v>
      </c>
      <c r="F336" t="s">
        <v>2094</v>
      </c>
      <c r="G336" s="6">
        <v>69</v>
      </c>
      <c r="H336" s="6">
        <v>42</v>
      </c>
      <c r="I336" s="6">
        <v>2898</v>
      </c>
    </row>
    <row r="337" spans="1:9" x14ac:dyDescent="0.25">
      <c r="A337" s="9">
        <v>45901</v>
      </c>
      <c r="B337" t="s">
        <v>32</v>
      </c>
      <c r="C337" t="s">
        <v>33</v>
      </c>
      <c r="D337" t="s">
        <v>34</v>
      </c>
      <c r="E337" t="s">
        <v>96</v>
      </c>
      <c r="F337" t="s">
        <v>2093</v>
      </c>
      <c r="G337" s="6">
        <v>80</v>
      </c>
      <c r="H337" s="6">
        <v>28</v>
      </c>
      <c r="I337" s="6">
        <v>2240</v>
      </c>
    </row>
    <row r="338" spans="1:9" x14ac:dyDescent="0.25">
      <c r="A338" s="9">
        <v>45901</v>
      </c>
      <c r="B338" t="s">
        <v>32</v>
      </c>
      <c r="C338" t="s">
        <v>33</v>
      </c>
      <c r="D338" t="s">
        <v>34</v>
      </c>
      <c r="E338" t="s">
        <v>105</v>
      </c>
      <c r="F338" t="s">
        <v>2094</v>
      </c>
      <c r="G338" s="6">
        <v>67</v>
      </c>
      <c r="H338" s="6">
        <v>42</v>
      </c>
      <c r="I338" s="6">
        <v>2814</v>
      </c>
    </row>
    <row r="339" spans="1:9" x14ac:dyDescent="0.25">
      <c r="A339" s="9">
        <v>45901</v>
      </c>
      <c r="B339" t="s">
        <v>94</v>
      </c>
      <c r="C339" t="s">
        <v>95</v>
      </c>
      <c r="D339" t="s">
        <v>34</v>
      </c>
      <c r="E339" t="s">
        <v>105</v>
      </c>
      <c r="F339" t="s">
        <v>2093</v>
      </c>
      <c r="G339" s="6">
        <v>70</v>
      </c>
      <c r="H339" s="6">
        <v>28</v>
      </c>
      <c r="I339" s="6">
        <v>1960</v>
      </c>
    </row>
    <row r="340" spans="1:9" x14ac:dyDescent="0.25">
      <c r="A340" s="9">
        <v>45901</v>
      </c>
      <c r="B340" t="s">
        <v>41</v>
      </c>
      <c r="C340" t="s">
        <v>42</v>
      </c>
      <c r="D340" t="s">
        <v>34</v>
      </c>
      <c r="E340" t="s">
        <v>204</v>
      </c>
      <c r="F340" t="s">
        <v>2093</v>
      </c>
      <c r="G340" s="6">
        <v>155</v>
      </c>
      <c r="H340" s="6">
        <v>28</v>
      </c>
      <c r="I340" s="6">
        <v>4340</v>
      </c>
    </row>
    <row r="341" spans="1:9" x14ac:dyDescent="0.25">
      <c r="A341" s="9">
        <v>45901</v>
      </c>
      <c r="B341" t="s">
        <v>41</v>
      </c>
      <c r="C341" t="s">
        <v>42</v>
      </c>
      <c r="D341" t="s">
        <v>34</v>
      </c>
      <c r="E341" t="s">
        <v>204</v>
      </c>
      <c r="F341" t="s">
        <v>2094</v>
      </c>
      <c r="G341" s="6">
        <v>60</v>
      </c>
      <c r="H341" s="6">
        <v>42</v>
      </c>
      <c r="I341" s="6">
        <v>2520</v>
      </c>
    </row>
    <row r="342" spans="1:9" x14ac:dyDescent="0.25">
      <c r="A342" s="9">
        <v>45901</v>
      </c>
      <c r="B342" t="s">
        <v>41</v>
      </c>
      <c r="C342" t="s">
        <v>42</v>
      </c>
      <c r="D342" t="s">
        <v>34</v>
      </c>
      <c r="E342" t="s">
        <v>105</v>
      </c>
      <c r="F342" t="s">
        <v>2091</v>
      </c>
      <c r="G342" s="6">
        <v>175</v>
      </c>
      <c r="H342" s="6">
        <v>23</v>
      </c>
      <c r="I342" s="6">
        <v>4025</v>
      </c>
    </row>
    <row r="343" spans="1:9" x14ac:dyDescent="0.25">
      <c r="A343" s="9">
        <v>45901</v>
      </c>
      <c r="B343" t="s">
        <v>47</v>
      </c>
      <c r="C343" t="s">
        <v>48</v>
      </c>
      <c r="D343" t="s">
        <v>34</v>
      </c>
      <c r="E343" t="s">
        <v>204</v>
      </c>
      <c r="F343" t="s">
        <v>2094</v>
      </c>
      <c r="G343" s="6">
        <v>105</v>
      </c>
      <c r="H343" s="6">
        <v>42</v>
      </c>
      <c r="I343" s="6">
        <v>4410</v>
      </c>
    </row>
    <row r="344" spans="1:9" x14ac:dyDescent="0.25">
      <c r="A344" s="9">
        <v>45901</v>
      </c>
      <c r="B344" t="s">
        <v>47</v>
      </c>
      <c r="C344" t="s">
        <v>48</v>
      </c>
      <c r="D344" t="s">
        <v>34</v>
      </c>
      <c r="E344" t="s">
        <v>204</v>
      </c>
      <c r="F344" t="s">
        <v>2091</v>
      </c>
      <c r="G344" s="6">
        <v>93</v>
      </c>
      <c r="H344" s="6">
        <v>23</v>
      </c>
      <c r="I344" s="6">
        <v>2139</v>
      </c>
    </row>
    <row r="345" spans="1:9" x14ac:dyDescent="0.25">
      <c r="A345" s="9">
        <v>45901</v>
      </c>
      <c r="B345" t="s">
        <v>47</v>
      </c>
      <c r="C345" t="s">
        <v>48</v>
      </c>
      <c r="D345" t="s">
        <v>34</v>
      </c>
      <c r="E345" t="s">
        <v>96</v>
      </c>
      <c r="F345" t="s">
        <v>2093</v>
      </c>
      <c r="G345" s="6">
        <v>106</v>
      </c>
      <c r="H345" s="6">
        <v>28</v>
      </c>
      <c r="I345" s="6">
        <v>2968</v>
      </c>
    </row>
    <row r="346" spans="1:9" x14ac:dyDescent="0.25">
      <c r="A346" s="9">
        <v>45901</v>
      </c>
      <c r="B346" t="s">
        <v>121</v>
      </c>
      <c r="C346" t="s">
        <v>122</v>
      </c>
      <c r="D346" t="s">
        <v>34</v>
      </c>
      <c r="E346" t="s">
        <v>105</v>
      </c>
      <c r="F346" t="s">
        <v>2091</v>
      </c>
      <c r="G346" s="6">
        <v>178</v>
      </c>
      <c r="H346" s="6">
        <v>23</v>
      </c>
      <c r="I346" s="6">
        <v>4094</v>
      </c>
    </row>
    <row r="347" spans="1:9" x14ac:dyDescent="0.25">
      <c r="A347" s="9">
        <v>45901</v>
      </c>
      <c r="B347" t="s">
        <v>121</v>
      </c>
      <c r="C347" t="s">
        <v>122</v>
      </c>
      <c r="D347" t="s">
        <v>34</v>
      </c>
      <c r="E347" t="s">
        <v>204</v>
      </c>
      <c r="F347" t="s">
        <v>2094</v>
      </c>
      <c r="G347" s="6">
        <v>55</v>
      </c>
      <c r="H347" s="6">
        <v>42</v>
      </c>
      <c r="I347" s="6">
        <v>2310</v>
      </c>
    </row>
    <row r="348" spans="1:9" x14ac:dyDescent="0.25">
      <c r="A348" s="9">
        <v>45901</v>
      </c>
      <c r="B348" t="s">
        <v>201</v>
      </c>
      <c r="C348" t="s">
        <v>202</v>
      </c>
      <c r="D348" t="s">
        <v>64</v>
      </c>
      <c r="E348" t="s">
        <v>96</v>
      </c>
      <c r="F348" t="s">
        <v>2093</v>
      </c>
      <c r="G348" s="6">
        <v>50</v>
      </c>
      <c r="H348" s="6">
        <v>28</v>
      </c>
      <c r="I348" s="6">
        <v>1400</v>
      </c>
    </row>
    <row r="349" spans="1:9" x14ac:dyDescent="0.25">
      <c r="A349" s="9">
        <v>45901</v>
      </c>
      <c r="B349" t="s">
        <v>201</v>
      </c>
      <c r="C349" t="s">
        <v>202</v>
      </c>
      <c r="D349" t="s">
        <v>64</v>
      </c>
      <c r="E349" t="s">
        <v>204</v>
      </c>
      <c r="F349" t="s">
        <v>2094</v>
      </c>
      <c r="G349" s="6">
        <v>63</v>
      </c>
      <c r="H349" s="6">
        <v>42</v>
      </c>
      <c r="I349" s="6">
        <v>2646</v>
      </c>
    </row>
    <row r="350" spans="1:9" x14ac:dyDescent="0.25">
      <c r="A350" s="9">
        <v>45901</v>
      </c>
      <c r="B350" t="s">
        <v>201</v>
      </c>
      <c r="C350" t="s">
        <v>202</v>
      </c>
      <c r="D350" t="s">
        <v>64</v>
      </c>
      <c r="E350" t="s">
        <v>96</v>
      </c>
      <c r="F350" t="s">
        <v>2091</v>
      </c>
      <c r="G350" s="6">
        <v>91</v>
      </c>
      <c r="H350" s="6">
        <v>23</v>
      </c>
      <c r="I350" s="6">
        <v>2093</v>
      </c>
    </row>
    <row r="351" spans="1:9" x14ac:dyDescent="0.25">
      <c r="A351" s="9">
        <v>45901</v>
      </c>
      <c r="B351" t="s">
        <v>118</v>
      </c>
      <c r="C351" t="s">
        <v>119</v>
      </c>
      <c r="D351" t="s">
        <v>64</v>
      </c>
      <c r="E351" t="s">
        <v>105</v>
      </c>
      <c r="F351" t="s">
        <v>2091</v>
      </c>
      <c r="G351" s="6">
        <v>29</v>
      </c>
      <c r="H351" s="6">
        <v>23</v>
      </c>
      <c r="I351" s="6">
        <v>667</v>
      </c>
    </row>
    <row r="352" spans="1:9" x14ac:dyDescent="0.25">
      <c r="A352" s="9">
        <v>45901</v>
      </c>
      <c r="B352" t="s">
        <v>62</v>
      </c>
      <c r="C352" t="s">
        <v>63</v>
      </c>
      <c r="D352" t="s">
        <v>64</v>
      </c>
      <c r="E352" t="s">
        <v>105</v>
      </c>
      <c r="F352" t="s">
        <v>2091</v>
      </c>
      <c r="G352" s="6">
        <v>90</v>
      </c>
      <c r="H352" s="6">
        <v>23</v>
      </c>
      <c r="I352" s="6">
        <v>2070</v>
      </c>
    </row>
    <row r="353" spans="1:9" x14ac:dyDescent="0.25">
      <c r="A353" s="9">
        <v>45901</v>
      </c>
      <c r="B353" t="s">
        <v>62</v>
      </c>
      <c r="C353" t="s">
        <v>63</v>
      </c>
      <c r="D353" t="s">
        <v>64</v>
      </c>
      <c r="E353" t="s">
        <v>105</v>
      </c>
      <c r="F353" t="s">
        <v>2093</v>
      </c>
      <c r="G353" s="6">
        <v>149</v>
      </c>
      <c r="H353" s="6">
        <v>28</v>
      </c>
      <c r="I353" s="6">
        <v>4172</v>
      </c>
    </row>
    <row r="354" spans="1:9" x14ac:dyDescent="0.25">
      <c r="A354" s="9">
        <v>45901</v>
      </c>
      <c r="B354" t="s">
        <v>62</v>
      </c>
      <c r="C354" t="s">
        <v>63</v>
      </c>
      <c r="D354" t="s">
        <v>64</v>
      </c>
      <c r="E354" t="s">
        <v>204</v>
      </c>
      <c r="F354" t="s">
        <v>2094</v>
      </c>
      <c r="G354" s="6">
        <v>95</v>
      </c>
      <c r="H354" s="6">
        <v>42</v>
      </c>
      <c r="I354" s="6">
        <v>3990</v>
      </c>
    </row>
    <row r="355" spans="1:9" x14ac:dyDescent="0.25">
      <c r="A355" s="9">
        <v>45901</v>
      </c>
      <c r="B355" t="s">
        <v>91</v>
      </c>
      <c r="C355" t="s">
        <v>92</v>
      </c>
      <c r="D355" t="s">
        <v>64</v>
      </c>
      <c r="E355" t="s">
        <v>204</v>
      </c>
      <c r="F355" t="s">
        <v>2093</v>
      </c>
      <c r="G355" s="6">
        <v>79</v>
      </c>
      <c r="H355" s="6">
        <v>28</v>
      </c>
      <c r="I355" s="6">
        <v>2212</v>
      </c>
    </row>
    <row r="356" spans="1:9" x14ac:dyDescent="0.25">
      <c r="A356" s="9">
        <v>45901</v>
      </c>
      <c r="B356" t="s">
        <v>91</v>
      </c>
      <c r="C356" t="s">
        <v>92</v>
      </c>
      <c r="D356" t="s">
        <v>64</v>
      </c>
      <c r="E356" t="s">
        <v>96</v>
      </c>
      <c r="F356" t="s">
        <v>2094</v>
      </c>
      <c r="G356" s="6">
        <v>68</v>
      </c>
      <c r="H356" s="6">
        <v>42</v>
      </c>
      <c r="I356" s="6">
        <v>2856</v>
      </c>
    </row>
    <row r="357" spans="1:9" x14ac:dyDescent="0.25">
      <c r="A357" s="9">
        <v>45901</v>
      </c>
      <c r="B357" t="s">
        <v>91</v>
      </c>
      <c r="C357" t="s">
        <v>92</v>
      </c>
      <c r="D357" t="s">
        <v>64</v>
      </c>
      <c r="E357" t="s">
        <v>204</v>
      </c>
      <c r="F357" t="s">
        <v>2091</v>
      </c>
      <c r="G357" s="6">
        <v>121</v>
      </c>
      <c r="H357" s="6">
        <v>23</v>
      </c>
      <c r="I357" s="6">
        <v>2783</v>
      </c>
    </row>
    <row r="358" spans="1:9" x14ac:dyDescent="0.25">
      <c r="A358" s="9">
        <v>45901</v>
      </c>
      <c r="B358" t="s">
        <v>80</v>
      </c>
      <c r="C358" t="s">
        <v>81</v>
      </c>
      <c r="D358" t="s">
        <v>64</v>
      </c>
      <c r="E358" t="s">
        <v>204</v>
      </c>
      <c r="F358" t="s">
        <v>2094</v>
      </c>
      <c r="G358" s="6">
        <v>61</v>
      </c>
      <c r="H358" s="6">
        <v>42</v>
      </c>
      <c r="I358" s="6">
        <v>2562</v>
      </c>
    </row>
    <row r="359" spans="1:9" x14ac:dyDescent="0.25">
      <c r="A359" s="9">
        <v>45901</v>
      </c>
      <c r="B359" t="s">
        <v>80</v>
      </c>
      <c r="C359" t="s">
        <v>81</v>
      </c>
      <c r="D359" t="s">
        <v>64</v>
      </c>
      <c r="E359" t="s">
        <v>105</v>
      </c>
      <c r="F359" t="s">
        <v>2091</v>
      </c>
      <c r="G359" s="6">
        <v>154</v>
      </c>
      <c r="H359" s="6">
        <v>23</v>
      </c>
      <c r="I359" s="6">
        <v>3542</v>
      </c>
    </row>
    <row r="360" spans="1:9" x14ac:dyDescent="0.25">
      <c r="A360" s="9">
        <v>45901</v>
      </c>
      <c r="B360" t="s">
        <v>56</v>
      </c>
      <c r="C360" t="s">
        <v>57</v>
      </c>
      <c r="D360" t="s">
        <v>58</v>
      </c>
      <c r="E360" t="s">
        <v>105</v>
      </c>
      <c r="F360" t="s">
        <v>2091</v>
      </c>
      <c r="G360" s="6">
        <v>157</v>
      </c>
      <c r="H360" s="6">
        <v>23</v>
      </c>
      <c r="I360" s="6">
        <v>3611</v>
      </c>
    </row>
    <row r="361" spans="1:9" x14ac:dyDescent="0.25">
      <c r="A361" s="9">
        <v>45901</v>
      </c>
      <c r="B361" t="s">
        <v>77</v>
      </c>
      <c r="C361" t="s">
        <v>78</v>
      </c>
      <c r="D361" t="s">
        <v>58</v>
      </c>
      <c r="E361" t="s">
        <v>204</v>
      </c>
      <c r="F361" t="s">
        <v>2094</v>
      </c>
      <c r="G361" s="6">
        <v>98</v>
      </c>
      <c r="H361" s="6">
        <v>42</v>
      </c>
      <c r="I361" s="6">
        <v>4116</v>
      </c>
    </row>
    <row r="362" spans="1:9" x14ac:dyDescent="0.25">
      <c r="A362" s="9">
        <v>45901</v>
      </c>
      <c r="B362" t="s">
        <v>77</v>
      </c>
      <c r="C362" t="s">
        <v>78</v>
      </c>
      <c r="D362" t="s">
        <v>58</v>
      </c>
      <c r="E362" t="s">
        <v>105</v>
      </c>
      <c r="F362" t="s">
        <v>2091</v>
      </c>
      <c r="G362" s="6">
        <v>89</v>
      </c>
      <c r="H362" s="6">
        <v>23</v>
      </c>
      <c r="I362" s="6">
        <v>2047</v>
      </c>
    </row>
    <row r="363" spans="1:9" x14ac:dyDescent="0.25">
      <c r="A363" s="9">
        <v>45901</v>
      </c>
      <c r="B363" t="s">
        <v>110</v>
      </c>
      <c r="C363" t="s">
        <v>111</v>
      </c>
      <c r="D363" t="s">
        <v>58</v>
      </c>
      <c r="E363" t="s">
        <v>204</v>
      </c>
      <c r="F363" t="s">
        <v>2094</v>
      </c>
      <c r="G363" s="6">
        <v>126</v>
      </c>
      <c r="H363" s="6">
        <v>42</v>
      </c>
      <c r="I363" s="6">
        <v>5292</v>
      </c>
    </row>
    <row r="364" spans="1:9" x14ac:dyDescent="0.25">
      <c r="A364" s="9">
        <v>45901</v>
      </c>
      <c r="B364" t="s">
        <v>110</v>
      </c>
      <c r="C364" t="s">
        <v>111</v>
      </c>
      <c r="D364" t="s">
        <v>58</v>
      </c>
      <c r="E364" t="s">
        <v>96</v>
      </c>
      <c r="F364" t="s">
        <v>2091</v>
      </c>
      <c r="G364" s="6">
        <v>128</v>
      </c>
      <c r="H364" s="6">
        <v>23</v>
      </c>
      <c r="I364" s="6">
        <v>2944</v>
      </c>
    </row>
    <row r="365" spans="1:9" x14ac:dyDescent="0.25">
      <c r="A365" s="9">
        <v>45901</v>
      </c>
      <c r="B365" t="s">
        <v>110</v>
      </c>
      <c r="C365" t="s">
        <v>111</v>
      </c>
      <c r="D365" t="s">
        <v>58</v>
      </c>
      <c r="E365" t="s">
        <v>204</v>
      </c>
      <c r="F365" t="s">
        <v>2093</v>
      </c>
      <c r="G365" s="6">
        <v>61</v>
      </c>
      <c r="H365" s="6">
        <v>28</v>
      </c>
      <c r="I365" s="6">
        <v>1708</v>
      </c>
    </row>
    <row r="366" spans="1:9" x14ac:dyDescent="0.25">
      <c r="A366" s="9">
        <v>45901</v>
      </c>
      <c r="B366" t="s">
        <v>85</v>
      </c>
      <c r="C366" t="s">
        <v>86</v>
      </c>
      <c r="D366" t="s">
        <v>58</v>
      </c>
      <c r="E366" t="s">
        <v>204</v>
      </c>
      <c r="F366" t="s">
        <v>2091</v>
      </c>
      <c r="G366" s="6">
        <v>71</v>
      </c>
      <c r="H366" s="6">
        <v>23</v>
      </c>
      <c r="I366" s="6">
        <v>1633</v>
      </c>
    </row>
    <row r="367" spans="1:9" x14ac:dyDescent="0.25">
      <c r="A367" s="9">
        <v>45901</v>
      </c>
      <c r="B367" t="s">
        <v>85</v>
      </c>
      <c r="C367" t="s">
        <v>86</v>
      </c>
      <c r="D367" t="s">
        <v>58</v>
      </c>
      <c r="E367" t="s">
        <v>204</v>
      </c>
      <c r="F367" t="s">
        <v>2093</v>
      </c>
      <c r="G367" s="6">
        <v>43</v>
      </c>
      <c r="H367" s="6">
        <v>28</v>
      </c>
      <c r="I367" s="6">
        <v>1204</v>
      </c>
    </row>
    <row r="368" spans="1:9" x14ac:dyDescent="0.25">
      <c r="A368" s="9">
        <v>45901</v>
      </c>
      <c r="B368" t="s">
        <v>85</v>
      </c>
      <c r="C368" t="s">
        <v>86</v>
      </c>
      <c r="D368" t="s">
        <v>58</v>
      </c>
      <c r="E368" t="s">
        <v>204</v>
      </c>
      <c r="F368" t="s">
        <v>2094</v>
      </c>
      <c r="G368" s="6">
        <v>104</v>
      </c>
      <c r="H368" s="6">
        <v>42</v>
      </c>
      <c r="I368" s="6">
        <v>4368</v>
      </c>
    </row>
    <row r="369" spans="1:9" x14ac:dyDescent="0.25">
      <c r="A369" s="9">
        <v>45901</v>
      </c>
      <c r="B369" t="s">
        <v>103</v>
      </c>
      <c r="C369" t="s">
        <v>104</v>
      </c>
      <c r="D369" t="s">
        <v>58</v>
      </c>
      <c r="E369" t="s">
        <v>96</v>
      </c>
      <c r="F369" t="s">
        <v>2093</v>
      </c>
      <c r="G369" s="6">
        <v>113</v>
      </c>
      <c r="H369" s="6">
        <v>28</v>
      </c>
      <c r="I369" s="6">
        <v>3164</v>
      </c>
    </row>
    <row r="370" spans="1:9" x14ac:dyDescent="0.25">
      <c r="A370" s="9">
        <v>45901</v>
      </c>
      <c r="B370" t="s">
        <v>103</v>
      </c>
      <c r="C370" t="s">
        <v>104</v>
      </c>
      <c r="D370" t="s">
        <v>58</v>
      </c>
      <c r="E370" t="s">
        <v>105</v>
      </c>
      <c r="F370" t="s">
        <v>2094</v>
      </c>
      <c r="G370" s="6">
        <v>42</v>
      </c>
      <c r="H370" s="6">
        <v>42</v>
      </c>
      <c r="I370" s="6">
        <v>1764</v>
      </c>
    </row>
    <row r="371" spans="1:9" x14ac:dyDescent="0.25">
      <c r="A371" s="9">
        <v>45901</v>
      </c>
      <c r="B371" t="s">
        <v>103</v>
      </c>
      <c r="C371" t="s">
        <v>104</v>
      </c>
      <c r="D371" t="s">
        <v>58</v>
      </c>
      <c r="E371" t="s">
        <v>204</v>
      </c>
      <c r="F371" t="s">
        <v>2091</v>
      </c>
      <c r="G371" s="6">
        <v>74</v>
      </c>
      <c r="H371" s="6">
        <v>23</v>
      </c>
      <c r="I371" s="6">
        <v>1702</v>
      </c>
    </row>
    <row r="372" spans="1:9" x14ac:dyDescent="0.25">
      <c r="A372" s="9">
        <v>45931</v>
      </c>
      <c r="B372" t="s">
        <v>100</v>
      </c>
      <c r="C372" t="s">
        <v>101</v>
      </c>
      <c r="D372" t="s">
        <v>69</v>
      </c>
      <c r="E372" t="s">
        <v>105</v>
      </c>
      <c r="F372" t="s">
        <v>2091</v>
      </c>
      <c r="G372" s="6">
        <v>42</v>
      </c>
      <c r="H372" s="6">
        <v>23</v>
      </c>
      <c r="I372" s="6">
        <v>966</v>
      </c>
    </row>
    <row r="373" spans="1:9" x14ac:dyDescent="0.25">
      <c r="A373" s="9">
        <v>45931</v>
      </c>
      <c r="B373" t="s">
        <v>113</v>
      </c>
      <c r="C373" t="s">
        <v>114</v>
      </c>
      <c r="D373" t="s">
        <v>69</v>
      </c>
      <c r="E373" t="s">
        <v>204</v>
      </c>
      <c r="F373" t="s">
        <v>2093</v>
      </c>
      <c r="G373" s="6">
        <v>58</v>
      </c>
      <c r="H373" s="6">
        <v>28</v>
      </c>
      <c r="I373" s="6">
        <v>1624</v>
      </c>
    </row>
    <row r="374" spans="1:9" x14ac:dyDescent="0.25">
      <c r="A374" s="9">
        <v>45931</v>
      </c>
      <c r="B374" t="s">
        <v>113</v>
      </c>
      <c r="C374" t="s">
        <v>114</v>
      </c>
      <c r="D374" t="s">
        <v>69</v>
      </c>
      <c r="E374" t="s">
        <v>96</v>
      </c>
      <c r="F374" t="s">
        <v>2091</v>
      </c>
      <c r="G374" s="6">
        <v>109</v>
      </c>
      <c r="H374" s="6">
        <v>23</v>
      </c>
      <c r="I374" s="6">
        <v>2507</v>
      </c>
    </row>
    <row r="375" spans="1:9" x14ac:dyDescent="0.25">
      <c r="A375" s="9">
        <v>45931</v>
      </c>
      <c r="B375" t="s">
        <v>113</v>
      </c>
      <c r="C375" t="s">
        <v>114</v>
      </c>
      <c r="D375" t="s">
        <v>69</v>
      </c>
      <c r="E375" t="s">
        <v>96</v>
      </c>
      <c r="F375" t="s">
        <v>2094</v>
      </c>
      <c r="G375" s="6">
        <v>64</v>
      </c>
      <c r="H375" s="6">
        <v>42</v>
      </c>
      <c r="I375" s="6">
        <v>2688</v>
      </c>
    </row>
    <row r="376" spans="1:9" x14ac:dyDescent="0.25">
      <c r="A376" s="9">
        <v>45931</v>
      </c>
      <c r="B376" t="s">
        <v>143</v>
      </c>
      <c r="C376" t="s">
        <v>144</v>
      </c>
      <c r="D376" t="s">
        <v>69</v>
      </c>
      <c r="E376" t="s">
        <v>204</v>
      </c>
      <c r="F376" t="s">
        <v>2091</v>
      </c>
      <c r="G376" s="6">
        <v>79</v>
      </c>
      <c r="H376" s="6">
        <v>23</v>
      </c>
      <c r="I376" s="6">
        <v>1817</v>
      </c>
    </row>
    <row r="377" spans="1:9" x14ac:dyDescent="0.25">
      <c r="A377" s="9">
        <v>45931</v>
      </c>
      <c r="B377" t="s">
        <v>73</v>
      </c>
      <c r="C377" t="s">
        <v>74</v>
      </c>
      <c r="D377" t="s">
        <v>69</v>
      </c>
      <c r="E377" t="s">
        <v>105</v>
      </c>
      <c r="F377" t="s">
        <v>2091</v>
      </c>
      <c r="G377" s="6">
        <v>33</v>
      </c>
      <c r="H377" s="6">
        <v>23</v>
      </c>
      <c r="I377" s="6">
        <v>759</v>
      </c>
    </row>
    <row r="378" spans="1:9" x14ac:dyDescent="0.25">
      <c r="A378" s="9">
        <v>45931</v>
      </c>
      <c r="B378" t="s">
        <v>67</v>
      </c>
      <c r="C378" t="s">
        <v>68</v>
      </c>
      <c r="D378" t="s">
        <v>69</v>
      </c>
      <c r="E378" t="s">
        <v>105</v>
      </c>
      <c r="F378" t="s">
        <v>2091</v>
      </c>
      <c r="G378" s="6">
        <v>96</v>
      </c>
      <c r="H378" s="6">
        <v>23</v>
      </c>
      <c r="I378" s="6">
        <v>2208</v>
      </c>
    </row>
    <row r="379" spans="1:9" x14ac:dyDescent="0.25">
      <c r="A379" s="9">
        <v>45931</v>
      </c>
      <c r="B379" t="s">
        <v>67</v>
      </c>
      <c r="C379" t="s">
        <v>68</v>
      </c>
      <c r="D379" t="s">
        <v>69</v>
      </c>
      <c r="E379" t="s">
        <v>96</v>
      </c>
      <c r="F379" t="s">
        <v>2094</v>
      </c>
      <c r="G379" s="6">
        <v>88</v>
      </c>
      <c r="H379" s="6">
        <v>42</v>
      </c>
      <c r="I379" s="6">
        <v>3696</v>
      </c>
    </row>
    <row r="380" spans="1:9" x14ac:dyDescent="0.25">
      <c r="A380" s="9">
        <v>45931</v>
      </c>
      <c r="B380" t="s">
        <v>67</v>
      </c>
      <c r="C380" t="s">
        <v>68</v>
      </c>
      <c r="D380" t="s">
        <v>69</v>
      </c>
      <c r="E380" t="s">
        <v>105</v>
      </c>
      <c r="F380" t="s">
        <v>2093</v>
      </c>
      <c r="G380" s="6">
        <v>64</v>
      </c>
      <c r="H380" s="6">
        <v>28</v>
      </c>
      <c r="I380" s="6">
        <v>1792</v>
      </c>
    </row>
    <row r="381" spans="1:9" x14ac:dyDescent="0.25">
      <c r="A381" s="9">
        <v>45931</v>
      </c>
      <c r="B381" t="s">
        <v>32</v>
      </c>
      <c r="C381" t="s">
        <v>33</v>
      </c>
      <c r="D381" t="s">
        <v>34</v>
      </c>
      <c r="E381" t="s">
        <v>204</v>
      </c>
      <c r="F381" t="s">
        <v>2093</v>
      </c>
      <c r="G381" s="6">
        <v>83</v>
      </c>
      <c r="H381" s="6">
        <v>28</v>
      </c>
      <c r="I381" s="6">
        <v>2324</v>
      </c>
    </row>
    <row r="382" spans="1:9" x14ac:dyDescent="0.25">
      <c r="A382" s="9">
        <v>45931</v>
      </c>
      <c r="B382" t="s">
        <v>32</v>
      </c>
      <c r="C382" t="s">
        <v>33</v>
      </c>
      <c r="D382" t="s">
        <v>34</v>
      </c>
      <c r="E382" t="s">
        <v>105</v>
      </c>
      <c r="F382" t="s">
        <v>2094</v>
      </c>
      <c r="G382" s="6">
        <v>96</v>
      </c>
      <c r="H382" s="6">
        <v>42</v>
      </c>
      <c r="I382" s="6">
        <v>4032</v>
      </c>
    </row>
    <row r="383" spans="1:9" x14ac:dyDescent="0.25">
      <c r="A383" s="9">
        <v>45931</v>
      </c>
      <c r="B383" t="s">
        <v>32</v>
      </c>
      <c r="C383" t="s">
        <v>33</v>
      </c>
      <c r="D383" t="s">
        <v>34</v>
      </c>
      <c r="E383" t="s">
        <v>105</v>
      </c>
      <c r="F383" t="s">
        <v>2091</v>
      </c>
      <c r="G383" s="6">
        <v>61</v>
      </c>
      <c r="H383" s="6">
        <v>23</v>
      </c>
      <c r="I383" s="6">
        <v>1403</v>
      </c>
    </row>
    <row r="384" spans="1:9" x14ac:dyDescent="0.25">
      <c r="A384" s="9">
        <v>45931</v>
      </c>
      <c r="B384" t="s">
        <v>94</v>
      </c>
      <c r="C384" t="s">
        <v>95</v>
      </c>
      <c r="D384" t="s">
        <v>34</v>
      </c>
      <c r="E384" t="s">
        <v>105</v>
      </c>
      <c r="F384" t="s">
        <v>2091</v>
      </c>
      <c r="G384" s="6">
        <v>38</v>
      </c>
      <c r="H384" s="6">
        <v>23</v>
      </c>
      <c r="I384" s="6">
        <v>874</v>
      </c>
    </row>
    <row r="385" spans="1:9" x14ac:dyDescent="0.25">
      <c r="A385" s="9">
        <v>45931</v>
      </c>
      <c r="B385" t="s">
        <v>94</v>
      </c>
      <c r="C385" t="s">
        <v>95</v>
      </c>
      <c r="D385" t="s">
        <v>34</v>
      </c>
      <c r="E385" t="s">
        <v>204</v>
      </c>
      <c r="F385" t="s">
        <v>2093</v>
      </c>
      <c r="G385" s="6">
        <v>153</v>
      </c>
      <c r="H385" s="6">
        <v>28</v>
      </c>
      <c r="I385" s="6">
        <v>4284</v>
      </c>
    </row>
    <row r="386" spans="1:9" x14ac:dyDescent="0.25">
      <c r="A386" s="9">
        <v>45931</v>
      </c>
      <c r="B386" t="s">
        <v>94</v>
      </c>
      <c r="C386" t="s">
        <v>95</v>
      </c>
      <c r="D386" t="s">
        <v>34</v>
      </c>
      <c r="E386" t="s">
        <v>96</v>
      </c>
      <c r="F386" t="s">
        <v>2094</v>
      </c>
      <c r="G386" s="6">
        <v>67</v>
      </c>
      <c r="H386" s="6">
        <v>42</v>
      </c>
      <c r="I386" s="6">
        <v>2814</v>
      </c>
    </row>
    <row r="387" spans="1:9" x14ac:dyDescent="0.25">
      <c r="A387" s="9">
        <v>45931</v>
      </c>
      <c r="B387" t="s">
        <v>41</v>
      </c>
      <c r="C387" t="s">
        <v>42</v>
      </c>
      <c r="D387" t="s">
        <v>34</v>
      </c>
      <c r="E387" t="s">
        <v>105</v>
      </c>
      <c r="F387" t="s">
        <v>2094</v>
      </c>
      <c r="G387" s="6">
        <v>86</v>
      </c>
      <c r="H387" s="6">
        <v>42</v>
      </c>
      <c r="I387" s="6">
        <v>3612</v>
      </c>
    </row>
    <row r="388" spans="1:9" x14ac:dyDescent="0.25">
      <c r="A388" s="9">
        <v>45931</v>
      </c>
      <c r="B388" t="s">
        <v>41</v>
      </c>
      <c r="C388" t="s">
        <v>42</v>
      </c>
      <c r="D388" t="s">
        <v>34</v>
      </c>
      <c r="E388" t="s">
        <v>204</v>
      </c>
      <c r="F388" t="s">
        <v>2091</v>
      </c>
      <c r="G388" s="6">
        <v>125</v>
      </c>
      <c r="H388" s="6">
        <v>23</v>
      </c>
      <c r="I388" s="6">
        <v>2875</v>
      </c>
    </row>
    <row r="389" spans="1:9" x14ac:dyDescent="0.25">
      <c r="A389" s="9">
        <v>45931</v>
      </c>
      <c r="B389" t="s">
        <v>47</v>
      </c>
      <c r="C389" t="s">
        <v>48</v>
      </c>
      <c r="D389" t="s">
        <v>34</v>
      </c>
      <c r="E389" t="s">
        <v>105</v>
      </c>
      <c r="F389" t="s">
        <v>2091</v>
      </c>
      <c r="G389" s="6">
        <v>213</v>
      </c>
      <c r="H389" s="6">
        <v>23</v>
      </c>
      <c r="I389" s="6">
        <v>4899</v>
      </c>
    </row>
    <row r="390" spans="1:9" x14ac:dyDescent="0.25">
      <c r="A390" s="9">
        <v>45931</v>
      </c>
      <c r="B390" t="s">
        <v>47</v>
      </c>
      <c r="C390" t="s">
        <v>48</v>
      </c>
      <c r="D390" t="s">
        <v>34</v>
      </c>
      <c r="E390" t="s">
        <v>204</v>
      </c>
      <c r="F390" t="s">
        <v>2094</v>
      </c>
      <c r="G390" s="6">
        <v>46</v>
      </c>
      <c r="H390" s="6">
        <v>42</v>
      </c>
      <c r="I390" s="6">
        <v>1932</v>
      </c>
    </row>
    <row r="391" spans="1:9" x14ac:dyDescent="0.25">
      <c r="A391" s="9">
        <v>45931</v>
      </c>
      <c r="B391" t="s">
        <v>47</v>
      </c>
      <c r="C391" t="s">
        <v>48</v>
      </c>
      <c r="D391" t="s">
        <v>34</v>
      </c>
      <c r="E391" t="s">
        <v>204</v>
      </c>
      <c r="F391" t="s">
        <v>2093</v>
      </c>
      <c r="G391" s="6">
        <v>105</v>
      </c>
      <c r="H391" s="6">
        <v>28</v>
      </c>
      <c r="I391" s="6">
        <v>2940</v>
      </c>
    </row>
    <row r="392" spans="1:9" x14ac:dyDescent="0.25">
      <c r="A392" s="9">
        <v>45931</v>
      </c>
      <c r="B392" t="s">
        <v>121</v>
      </c>
      <c r="C392" t="s">
        <v>122</v>
      </c>
      <c r="D392" t="s">
        <v>34</v>
      </c>
      <c r="E392" t="s">
        <v>204</v>
      </c>
      <c r="F392" t="s">
        <v>2091</v>
      </c>
      <c r="G392" s="6">
        <v>65</v>
      </c>
      <c r="H392" s="6">
        <v>23</v>
      </c>
      <c r="I392" s="6">
        <v>1495</v>
      </c>
    </row>
    <row r="393" spans="1:9" x14ac:dyDescent="0.25">
      <c r="A393" s="9">
        <v>45931</v>
      </c>
      <c r="B393" t="s">
        <v>121</v>
      </c>
      <c r="C393" t="s">
        <v>122</v>
      </c>
      <c r="D393" t="s">
        <v>34</v>
      </c>
      <c r="E393" t="s">
        <v>96</v>
      </c>
      <c r="F393" t="s">
        <v>2093</v>
      </c>
      <c r="G393" s="6">
        <v>71</v>
      </c>
      <c r="H393" s="6">
        <v>28</v>
      </c>
      <c r="I393" s="6">
        <v>1988</v>
      </c>
    </row>
    <row r="394" spans="1:9" x14ac:dyDescent="0.25">
      <c r="A394" s="9">
        <v>45931</v>
      </c>
      <c r="B394" t="s">
        <v>201</v>
      </c>
      <c r="C394" t="s">
        <v>202</v>
      </c>
      <c r="D394" t="s">
        <v>64</v>
      </c>
      <c r="E394" t="s">
        <v>105</v>
      </c>
      <c r="F394" t="s">
        <v>2093</v>
      </c>
      <c r="G394" s="6">
        <v>64</v>
      </c>
      <c r="H394" s="6">
        <v>28</v>
      </c>
      <c r="I394" s="6">
        <v>1792</v>
      </c>
    </row>
    <row r="395" spans="1:9" x14ac:dyDescent="0.25">
      <c r="A395" s="9">
        <v>45931</v>
      </c>
      <c r="B395" t="s">
        <v>118</v>
      </c>
      <c r="C395" t="s">
        <v>119</v>
      </c>
      <c r="D395" t="s">
        <v>64</v>
      </c>
      <c r="E395" t="s">
        <v>96</v>
      </c>
      <c r="F395" t="s">
        <v>2093</v>
      </c>
      <c r="G395" s="6">
        <v>50</v>
      </c>
      <c r="H395" s="6">
        <v>28</v>
      </c>
      <c r="I395" s="6">
        <v>1400</v>
      </c>
    </row>
    <row r="396" spans="1:9" x14ac:dyDescent="0.25">
      <c r="A396" s="9">
        <v>45931</v>
      </c>
      <c r="B396" t="s">
        <v>118</v>
      </c>
      <c r="C396" t="s">
        <v>119</v>
      </c>
      <c r="D396" t="s">
        <v>64</v>
      </c>
      <c r="E396" t="s">
        <v>204</v>
      </c>
      <c r="F396" t="s">
        <v>2091</v>
      </c>
      <c r="G396" s="6">
        <v>88</v>
      </c>
      <c r="H396" s="6">
        <v>23</v>
      </c>
      <c r="I396" s="6">
        <v>2024</v>
      </c>
    </row>
    <row r="397" spans="1:9" x14ac:dyDescent="0.25">
      <c r="A397" s="9">
        <v>45931</v>
      </c>
      <c r="B397" t="s">
        <v>62</v>
      </c>
      <c r="C397" t="s">
        <v>63</v>
      </c>
      <c r="D397" t="s">
        <v>64</v>
      </c>
      <c r="E397" t="s">
        <v>204</v>
      </c>
      <c r="F397" t="s">
        <v>2093</v>
      </c>
      <c r="G397" s="6">
        <v>38</v>
      </c>
      <c r="H397" s="6">
        <v>28</v>
      </c>
      <c r="I397" s="6">
        <v>1064</v>
      </c>
    </row>
    <row r="398" spans="1:9" x14ac:dyDescent="0.25">
      <c r="A398" s="9">
        <v>45931</v>
      </c>
      <c r="B398" t="s">
        <v>62</v>
      </c>
      <c r="C398" t="s">
        <v>63</v>
      </c>
      <c r="D398" t="s">
        <v>64</v>
      </c>
      <c r="E398" t="s">
        <v>105</v>
      </c>
      <c r="F398" t="s">
        <v>2094</v>
      </c>
      <c r="G398" s="6">
        <v>123</v>
      </c>
      <c r="H398" s="6">
        <v>42</v>
      </c>
      <c r="I398" s="6">
        <v>5166</v>
      </c>
    </row>
    <row r="399" spans="1:9" x14ac:dyDescent="0.25">
      <c r="A399" s="9">
        <v>45931</v>
      </c>
      <c r="B399" t="s">
        <v>62</v>
      </c>
      <c r="C399" t="s">
        <v>63</v>
      </c>
      <c r="D399" t="s">
        <v>64</v>
      </c>
      <c r="E399" t="s">
        <v>96</v>
      </c>
      <c r="F399" t="s">
        <v>2091</v>
      </c>
      <c r="G399" s="6">
        <v>91</v>
      </c>
      <c r="H399" s="6">
        <v>23</v>
      </c>
      <c r="I399" s="6">
        <v>2093</v>
      </c>
    </row>
    <row r="400" spans="1:9" x14ac:dyDescent="0.25">
      <c r="A400" s="9">
        <v>45931</v>
      </c>
      <c r="B400" t="s">
        <v>91</v>
      </c>
      <c r="C400" t="s">
        <v>92</v>
      </c>
      <c r="D400" t="s">
        <v>64</v>
      </c>
      <c r="E400" t="s">
        <v>105</v>
      </c>
      <c r="F400" t="s">
        <v>2091</v>
      </c>
      <c r="G400" s="6">
        <v>104</v>
      </c>
      <c r="H400" s="6">
        <v>23</v>
      </c>
      <c r="I400" s="6">
        <v>2392</v>
      </c>
    </row>
    <row r="401" spans="1:9" x14ac:dyDescent="0.25">
      <c r="A401" s="9">
        <v>45931</v>
      </c>
      <c r="B401" t="s">
        <v>91</v>
      </c>
      <c r="C401" t="s">
        <v>92</v>
      </c>
      <c r="D401" t="s">
        <v>64</v>
      </c>
      <c r="E401" t="s">
        <v>204</v>
      </c>
      <c r="F401" t="s">
        <v>2093</v>
      </c>
      <c r="G401" s="6">
        <v>73</v>
      </c>
      <c r="H401" s="6">
        <v>28</v>
      </c>
      <c r="I401" s="6">
        <v>2044</v>
      </c>
    </row>
    <row r="402" spans="1:9" x14ac:dyDescent="0.25">
      <c r="A402" s="9">
        <v>45931</v>
      </c>
      <c r="B402" t="s">
        <v>80</v>
      </c>
      <c r="C402" t="s">
        <v>81</v>
      </c>
      <c r="D402" t="s">
        <v>64</v>
      </c>
      <c r="E402" t="s">
        <v>204</v>
      </c>
      <c r="F402" t="s">
        <v>2094</v>
      </c>
      <c r="G402" s="6">
        <v>77</v>
      </c>
      <c r="H402" s="6">
        <v>42</v>
      </c>
      <c r="I402" s="6">
        <v>3234</v>
      </c>
    </row>
    <row r="403" spans="1:9" x14ac:dyDescent="0.25">
      <c r="A403" s="9">
        <v>45931</v>
      </c>
      <c r="B403" t="s">
        <v>80</v>
      </c>
      <c r="C403" t="s">
        <v>81</v>
      </c>
      <c r="D403" t="s">
        <v>64</v>
      </c>
      <c r="E403" t="s">
        <v>105</v>
      </c>
      <c r="F403" t="s">
        <v>2093</v>
      </c>
      <c r="G403" s="6">
        <v>100</v>
      </c>
      <c r="H403" s="6">
        <v>28</v>
      </c>
      <c r="I403" s="6">
        <v>2800</v>
      </c>
    </row>
    <row r="404" spans="1:9" x14ac:dyDescent="0.25">
      <c r="A404" s="9">
        <v>45931</v>
      </c>
      <c r="B404" t="s">
        <v>80</v>
      </c>
      <c r="C404" t="s">
        <v>81</v>
      </c>
      <c r="D404" t="s">
        <v>64</v>
      </c>
      <c r="E404" t="s">
        <v>105</v>
      </c>
      <c r="F404" t="s">
        <v>2091</v>
      </c>
      <c r="G404" s="6">
        <v>49</v>
      </c>
      <c r="H404" s="6">
        <v>23</v>
      </c>
      <c r="I404" s="6">
        <v>1127</v>
      </c>
    </row>
    <row r="405" spans="1:9" x14ac:dyDescent="0.25">
      <c r="A405" s="9">
        <v>45931</v>
      </c>
      <c r="B405" t="s">
        <v>56</v>
      </c>
      <c r="C405" t="s">
        <v>57</v>
      </c>
      <c r="D405" t="s">
        <v>58</v>
      </c>
      <c r="E405" t="s">
        <v>204</v>
      </c>
      <c r="F405" t="s">
        <v>2091</v>
      </c>
      <c r="G405" s="6">
        <v>77</v>
      </c>
      <c r="H405" s="6">
        <v>23</v>
      </c>
      <c r="I405" s="6">
        <v>1771</v>
      </c>
    </row>
    <row r="406" spans="1:9" x14ac:dyDescent="0.25">
      <c r="A406" s="9">
        <v>45931</v>
      </c>
      <c r="B406" t="s">
        <v>56</v>
      </c>
      <c r="C406" t="s">
        <v>57</v>
      </c>
      <c r="D406" t="s">
        <v>58</v>
      </c>
      <c r="E406" t="s">
        <v>105</v>
      </c>
      <c r="F406" t="s">
        <v>2093</v>
      </c>
      <c r="G406" s="6">
        <v>59</v>
      </c>
      <c r="H406" s="6">
        <v>28</v>
      </c>
      <c r="I406" s="6">
        <v>1652</v>
      </c>
    </row>
    <row r="407" spans="1:9" x14ac:dyDescent="0.25">
      <c r="A407" s="9">
        <v>45931</v>
      </c>
      <c r="B407" t="s">
        <v>56</v>
      </c>
      <c r="C407" t="s">
        <v>57</v>
      </c>
      <c r="D407" t="s">
        <v>58</v>
      </c>
      <c r="E407" t="s">
        <v>105</v>
      </c>
      <c r="F407" t="s">
        <v>2094</v>
      </c>
      <c r="G407" s="6">
        <v>58</v>
      </c>
      <c r="H407" s="6">
        <v>42</v>
      </c>
      <c r="I407" s="6">
        <v>2436</v>
      </c>
    </row>
    <row r="408" spans="1:9" x14ac:dyDescent="0.25">
      <c r="A408" s="9">
        <v>45931</v>
      </c>
      <c r="B408" t="s">
        <v>77</v>
      </c>
      <c r="C408" t="s">
        <v>78</v>
      </c>
      <c r="D408" t="s">
        <v>58</v>
      </c>
      <c r="E408" t="s">
        <v>204</v>
      </c>
      <c r="F408" t="s">
        <v>2091</v>
      </c>
      <c r="G408" s="6">
        <v>16</v>
      </c>
      <c r="H408" s="6">
        <v>23</v>
      </c>
      <c r="I408" s="6">
        <v>368</v>
      </c>
    </row>
    <row r="409" spans="1:9" x14ac:dyDescent="0.25">
      <c r="A409" s="9">
        <v>45931</v>
      </c>
      <c r="B409" t="s">
        <v>77</v>
      </c>
      <c r="C409" t="s">
        <v>78</v>
      </c>
      <c r="D409" t="s">
        <v>58</v>
      </c>
      <c r="E409" t="s">
        <v>96</v>
      </c>
      <c r="F409" t="s">
        <v>2093</v>
      </c>
      <c r="G409" s="6">
        <v>136</v>
      </c>
      <c r="H409" s="6">
        <v>28</v>
      </c>
      <c r="I409" s="6">
        <v>3808</v>
      </c>
    </row>
    <row r="410" spans="1:9" x14ac:dyDescent="0.25">
      <c r="A410" s="9">
        <v>45931</v>
      </c>
      <c r="B410" t="s">
        <v>110</v>
      </c>
      <c r="C410" t="s">
        <v>111</v>
      </c>
      <c r="D410" t="s">
        <v>58</v>
      </c>
      <c r="E410" t="s">
        <v>96</v>
      </c>
      <c r="F410" t="s">
        <v>2091</v>
      </c>
      <c r="G410" s="6">
        <v>65</v>
      </c>
      <c r="H410" s="6">
        <v>23</v>
      </c>
      <c r="I410" s="6">
        <v>1495</v>
      </c>
    </row>
    <row r="411" spans="1:9" x14ac:dyDescent="0.25">
      <c r="A411" s="9">
        <v>45931</v>
      </c>
      <c r="B411" t="s">
        <v>85</v>
      </c>
      <c r="C411" t="s">
        <v>86</v>
      </c>
      <c r="D411" t="s">
        <v>58</v>
      </c>
      <c r="E411" t="s">
        <v>96</v>
      </c>
      <c r="F411" t="s">
        <v>2094</v>
      </c>
      <c r="G411" s="6">
        <v>130</v>
      </c>
      <c r="H411" s="6">
        <v>42</v>
      </c>
      <c r="I411" s="6">
        <v>5460</v>
      </c>
    </row>
    <row r="412" spans="1:9" x14ac:dyDescent="0.25">
      <c r="A412" s="9">
        <v>45931</v>
      </c>
      <c r="B412" t="s">
        <v>103</v>
      </c>
      <c r="C412" t="s">
        <v>104</v>
      </c>
      <c r="D412" t="s">
        <v>58</v>
      </c>
      <c r="E412" t="s">
        <v>96</v>
      </c>
      <c r="F412" t="s">
        <v>2094</v>
      </c>
      <c r="G412" s="6">
        <v>127</v>
      </c>
      <c r="H412" s="6">
        <v>42</v>
      </c>
      <c r="I412" s="6">
        <v>5334</v>
      </c>
    </row>
    <row r="413" spans="1:9" x14ac:dyDescent="0.25">
      <c r="A413" s="9">
        <v>45931</v>
      </c>
      <c r="B413" t="s">
        <v>103</v>
      </c>
      <c r="C413" t="s">
        <v>104</v>
      </c>
      <c r="D413" t="s">
        <v>58</v>
      </c>
      <c r="E413" t="s">
        <v>204</v>
      </c>
      <c r="F413" t="s">
        <v>2093</v>
      </c>
      <c r="G413" s="6">
        <v>44</v>
      </c>
      <c r="H413" s="6">
        <v>28</v>
      </c>
      <c r="I413" s="6">
        <v>1232</v>
      </c>
    </row>
    <row r="414" spans="1:9" x14ac:dyDescent="0.25">
      <c r="A414" s="9">
        <v>45931</v>
      </c>
      <c r="B414" t="s">
        <v>103</v>
      </c>
      <c r="C414" t="s">
        <v>104</v>
      </c>
      <c r="D414" t="s">
        <v>58</v>
      </c>
      <c r="E414" t="s">
        <v>204</v>
      </c>
      <c r="F414" t="s">
        <v>2091</v>
      </c>
      <c r="G414" s="6">
        <v>51</v>
      </c>
      <c r="H414" s="6">
        <v>23</v>
      </c>
      <c r="I414" s="6">
        <v>1173</v>
      </c>
    </row>
    <row r="415" spans="1:9" x14ac:dyDescent="0.25">
      <c r="A415" s="9">
        <v>45962</v>
      </c>
      <c r="B415" t="s">
        <v>100</v>
      </c>
      <c r="C415" t="s">
        <v>101</v>
      </c>
      <c r="D415" t="s">
        <v>69</v>
      </c>
      <c r="E415" t="s">
        <v>204</v>
      </c>
      <c r="F415" t="s">
        <v>2094</v>
      </c>
      <c r="G415" s="6">
        <v>179</v>
      </c>
      <c r="H415" s="6">
        <v>42</v>
      </c>
      <c r="I415" s="6">
        <v>7518</v>
      </c>
    </row>
    <row r="416" spans="1:9" x14ac:dyDescent="0.25">
      <c r="A416" s="9">
        <v>45962</v>
      </c>
      <c r="B416" t="s">
        <v>113</v>
      </c>
      <c r="C416" t="s">
        <v>114</v>
      </c>
      <c r="D416" t="s">
        <v>69</v>
      </c>
      <c r="E416" t="s">
        <v>96</v>
      </c>
      <c r="F416" t="s">
        <v>2091</v>
      </c>
      <c r="G416" s="6">
        <v>151</v>
      </c>
      <c r="H416" s="6">
        <v>23</v>
      </c>
      <c r="I416" s="6">
        <v>3473</v>
      </c>
    </row>
    <row r="417" spans="1:9" x14ac:dyDescent="0.25">
      <c r="A417" s="9">
        <v>45962</v>
      </c>
      <c r="B417" t="s">
        <v>113</v>
      </c>
      <c r="C417" t="s">
        <v>114</v>
      </c>
      <c r="D417" t="s">
        <v>69</v>
      </c>
      <c r="E417" t="s">
        <v>204</v>
      </c>
      <c r="F417" t="s">
        <v>2093</v>
      </c>
      <c r="G417" s="6">
        <v>88</v>
      </c>
      <c r="H417" s="6">
        <v>28</v>
      </c>
      <c r="I417" s="6">
        <v>2464</v>
      </c>
    </row>
    <row r="418" spans="1:9" x14ac:dyDescent="0.25">
      <c r="A418" s="9">
        <v>45962</v>
      </c>
      <c r="B418" t="s">
        <v>113</v>
      </c>
      <c r="C418" t="s">
        <v>114</v>
      </c>
      <c r="D418" t="s">
        <v>69</v>
      </c>
      <c r="E418" t="s">
        <v>96</v>
      </c>
      <c r="F418" t="s">
        <v>2094</v>
      </c>
      <c r="G418" s="6">
        <v>99</v>
      </c>
      <c r="H418" s="6">
        <v>42</v>
      </c>
      <c r="I418" s="6">
        <v>4158</v>
      </c>
    </row>
    <row r="419" spans="1:9" x14ac:dyDescent="0.25">
      <c r="A419" s="9">
        <v>45962</v>
      </c>
      <c r="B419" t="s">
        <v>143</v>
      </c>
      <c r="C419" t="s">
        <v>144</v>
      </c>
      <c r="D419" t="s">
        <v>69</v>
      </c>
      <c r="E419" t="s">
        <v>105</v>
      </c>
      <c r="F419" t="s">
        <v>2094</v>
      </c>
      <c r="G419" s="6">
        <v>67</v>
      </c>
      <c r="H419" s="6">
        <v>42</v>
      </c>
      <c r="I419" s="6">
        <v>2814</v>
      </c>
    </row>
    <row r="420" spans="1:9" x14ac:dyDescent="0.25">
      <c r="A420" s="9">
        <v>45962</v>
      </c>
      <c r="B420" t="s">
        <v>73</v>
      </c>
      <c r="C420" t="s">
        <v>74</v>
      </c>
      <c r="D420" t="s">
        <v>69</v>
      </c>
      <c r="E420" t="s">
        <v>204</v>
      </c>
      <c r="F420" t="s">
        <v>2094</v>
      </c>
      <c r="G420" s="6">
        <v>105</v>
      </c>
      <c r="H420" s="6">
        <v>42</v>
      </c>
      <c r="I420" s="6">
        <v>4410</v>
      </c>
    </row>
    <row r="421" spans="1:9" x14ac:dyDescent="0.25">
      <c r="A421" s="9">
        <v>45962</v>
      </c>
      <c r="B421" t="s">
        <v>67</v>
      </c>
      <c r="C421" t="s">
        <v>68</v>
      </c>
      <c r="D421" t="s">
        <v>69</v>
      </c>
      <c r="E421" t="s">
        <v>204</v>
      </c>
      <c r="F421" t="s">
        <v>2094</v>
      </c>
      <c r="G421" s="6">
        <v>64</v>
      </c>
      <c r="H421" s="6">
        <v>42</v>
      </c>
      <c r="I421" s="6">
        <v>2688</v>
      </c>
    </row>
    <row r="422" spans="1:9" x14ac:dyDescent="0.25">
      <c r="A422" s="9">
        <v>45962</v>
      </c>
      <c r="B422" t="s">
        <v>67</v>
      </c>
      <c r="C422" t="s">
        <v>68</v>
      </c>
      <c r="D422" t="s">
        <v>69</v>
      </c>
      <c r="E422" t="s">
        <v>105</v>
      </c>
      <c r="F422" t="s">
        <v>2093</v>
      </c>
      <c r="G422" s="6">
        <v>18</v>
      </c>
      <c r="H422" s="6">
        <v>28</v>
      </c>
      <c r="I422" s="6">
        <v>504</v>
      </c>
    </row>
    <row r="423" spans="1:9" x14ac:dyDescent="0.25">
      <c r="A423" s="9">
        <v>45962</v>
      </c>
      <c r="B423" t="s">
        <v>67</v>
      </c>
      <c r="C423" t="s">
        <v>68</v>
      </c>
      <c r="D423" t="s">
        <v>69</v>
      </c>
      <c r="E423" t="s">
        <v>105</v>
      </c>
      <c r="F423" t="s">
        <v>2091</v>
      </c>
      <c r="G423" s="6">
        <v>43</v>
      </c>
      <c r="H423" s="6">
        <v>23</v>
      </c>
      <c r="I423" s="6">
        <v>989</v>
      </c>
    </row>
    <row r="424" spans="1:9" x14ac:dyDescent="0.25">
      <c r="A424" s="9">
        <v>45962</v>
      </c>
      <c r="B424" t="s">
        <v>32</v>
      </c>
      <c r="C424" t="s">
        <v>33</v>
      </c>
      <c r="D424" t="s">
        <v>34</v>
      </c>
      <c r="E424" t="s">
        <v>105</v>
      </c>
      <c r="F424" t="s">
        <v>2094</v>
      </c>
      <c r="G424" s="6">
        <v>90</v>
      </c>
      <c r="H424" s="6">
        <v>42</v>
      </c>
      <c r="I424" s="6">
        <v>3780</v>
      </c>
    </row>
    <row r="425" spans="1:9" x14ac:dyDescent="0.25">
      <c r="A425" s="9">
        <v>45962</v>
      </c>
      <c r="B425" t="s">
        <v>94</v>
      </c>
      <c r="C425" t="s">
        <v>95</v>
      </c>
      <c r="D425" t="s">
        <v>34</v>
      </c>
      <c r="E425" t="s">
        <v>105</v>
      </c>
      <c r="F425" t="s">
        <v>2091</v>
      </c>
      <c r="G425" s="6">
        <v>50</v>
      </c>
      <c r="H425" s="6">
        <v>23</v>
      </c>
      <c r="I425" s="6">
        <v>1150</v>
      </c>
    </row>
    <row r="426" spans="1:9" x14ac:dyDescent="0.25">
      <c r="A426" s="9">
        <v>45962</v>
      </c>
      <c r="B426" t="s">
        <v>94</v>
      </c>
      <c r="C426" t="s">
        <v>95</v>
      </c>
      <c r="D426" t="s">
        <v>34</v>
      </c>
      <c r="E426" t="s">
        <v>204</v>
      </c>
      <c r="F426" t="s">
        <v>2094</v>
      </c>
      <c r="G426" s="6">
        <v>87</v>
      </c>
      <c r="H426" s="6">
        <v>42</v>
      </c>
      <c r="I426" s="6">
        <v>3654</v>
      </c>
    </row>
    <row r="427" spans="1:9" x14ac:dyDescent="0.25">
      <c r="A427" s="9">
        <v>45962</v>
      </c>
      <c r="B427" t="s">
        <v>94</v>
      </c>
      <c r="C427" t="s">
        <v>95</v>
      </c>
      <c r="D427" t="s">
        <v>34</v>
      </c>
      <c r="E427" t="s">
        <v>96</v>
      </c>
      <c r="F427" t="s">
        <v>2093</v>
      </c>
      <c r="G427" s="6">
        <v>52</v>
      </c>
      <c r="H427" s="6">
        <v>28</v>
      </c>
      <c r="I427" s="6">
        <v>1456</v>
      </c>
    </row>
    <row r="428" spans="1:9" x14ac:dyDescent="0.25">
      <c r="A428" s="9">
        <v>45962</v>
      </c>
      <c r="B428" t="s">
        <v>41</v>
      </c>
      <c r="C428" t="s">
        <v>42</v>
      </c>
      <c r="D428" t="s">
        <v>34</v>
      </c>
      <c r="E428" t="s">
        <v>204</v>
      </c>
      <c r="F428" t="s">
        <v>2091</v>
      </c>
      <c r="G428" s="6">
        <v>62</v>
      </c>
      <c r="H428" s="6">
        <v>23</v>
      </c>
      <c r="I428" s="6">
        <v>1426</v>
      </c>
    </row>
    <row r="429" spans="1:9" x14ac:dyDescent="0.25">
      <c r="A429" s="9">
        <v>45962</v>
      </c>
      <c r="B429" t="s">
        <v>47</v>
      </c>
      <c r="C429" t="s">
        <v>48</v>
      </c>
      <c r="D429" t="s">
        <v>34</v>
      </c>
      <c r="E429" t="s">
        <v>96</v>
      </c>
      <c r="F429" t="s">
        <v>2093</v>
      </c>
      <c r="G429" s="6">
        <v>119</v>
      </c>
      <c r="H429" s="6">
        <v>28</v>
      </c>
      <c r="I429" s="6">
        <v>3332</v>
      </c>
    </row>
    <row r="430" spans="1:9" x14ac:dyDescent="0.25">
      <c r="A430" s="9">
        <v>45962</v>
      </c>
      <c r="B430" t="s">
        <v>47</v>
      </c>
      <c r="C430" t="s">
        <v>48</v>
      </c>
      <c r="D430" t="s">
        <v>34</v>
      </c>
      <c r="E430" t="s">
        <v>96</v>
      </c>
      <c r="F430" t="s">
        <v>2091</v>
      </c>
      <c r="G430" s="6">
        <v>98</v>
      </c>
      <c r="H430" s="6">
        <v>23</v>
      </c>
      <c r="I430" s="6">
        <v>2254</v>
      </c>
    </row>
    <row r="431" spans="1:9" x14ac:dyDescent="0.25">
      <c r="A431" s="9">
        <v>45962</v>
      </c>
      <c r="B431" t="s">
        <v>121</v>
      </c>
      <c r="C431" t="s">
        <v>122</v>
      </c>
      <c r="D431" t="s">
        <v>34</v>
      </c>
      <c r="E431" t="s">
        <v>204</v>
      </c>
      <c r="F431" t="s">
        <v>2091</v>
      </c>
      <c r="G431" s="6">
        <v>89</v>
      </c>
      <c r="H431" s="6">
        <v>23</v>
      </c>
      <c r="I431" s="6">
        <v>2047</v>
      </c>
    </row>
    <row r="432" spans="1:9" x14ac:dyDescent="0.25">
      <c r="A432" s="9">
        <v>45962</v>
      </c>
      <c r="B432" t="s">
        <v>121</v>
      </c>
      <c r="C432" t="s">
        <v>122</v>
      </c>
      <c r="D432" t="s">
        <v>34</v>
      </c>
      <c r="E432" t="s">
        <v>105</v>
      </c>
      <c r="F432" t="s">
        <v>2093</v>
      </c>
      <c r="G432" s="6">
        <v>120</v>
      </c>
      <c r="H432" s="6">
        <v>28</v>
      </c>
      <c r="I432" s="6">
        <v>3360</v>
      </c>
    </row>
    <row r="433" spans="1:9" x14ac:dyDescent="0.25">
      <c r="A433" s="9">
        <v>45962</v>
      </c>
      <c r="B433" t="s">
        <v>201</v>
      </c>
      <c r="C433" t="s">
        <v>202</v>
      </c>
      <c r="D433" t="s">
        <v>64</v>
      </c>
      <c r="E433" t="s">
        <v>204</v>
      </c>
      <c r="F433" t="s">
        <v>2094</v>
      </c>
      <c r="G433" s="6">
        <v>106</v>
      </c>
      <c r="H433" s="6">
        <v>42</v>
      </c>
      <c r="I433" s="6">
        <v>4452</v>
      </c>
    </row>
    <row r="434" spans="1:9" x14ac:dyDescent="0.25">
      <c r="A434" s="9">
        <v>45962</v>
      </c>
      <c r="B434" t="s">
        <v>201</v>
      </c>
      <c r="C434" t="s">
        <v>202</v>
      </c>
      <c r="D434" t="s">
        <v>64</v>
      </c>
      <c r="E434" t="s">
        <v>204</v>
      </c>
      <c r="F434" t="s">
        <v>2091</v>
      </c>
      <c r="G434" s="6">
        <v>140</v>
      </c>
      <c r="H434" s="6">
        <v>23</v>
      </c>
      <c r="I434" s="6">
        <v>3220</v>
      </c>
    </row>
    <row r="435" spans="1:9" x14ac:dyDescent="0.25">
      <c r="A435" s="9">
        <v>45962</v>
      </c>
      <c r="B435" t="s">
        <v>201</v>
      </c>
      <c r="C435" t="s">
        <v>202</v>
      </c>
      <c r="D435" t="s">
        <v>64</v>
      </c>
      <c r="E435" t="s">
        <v>204</v>
      </c>
      <c r="F435" t="s">
        <v>2093</v>
      </c>
      <c r="G435" s="6">
        <v>73</v>
      </c>
      <c r="H435" s="6">
        <v>28</v>
      </c>
      <c r="I435" s="6">
        <v>2044</v>
      </c>
    </row>
    <row r="436" spans="1:9" x14ac:dyDescent="0.25">
      <c r="A436" s="9">
        <v>45962</v>
      </c>
      <c r="B436" t="s">
        <v>118</v>
      </c>
      <c r="C436" t="s">
        <v>119</v>
      </c>
      <c r="D436" t="s">
        <v>64</v>
      </c>
      <c r="E436" t="s">
        <v>105</v>
      </c>
      <c r="F436" t="s">
        <v>2094</v>
      </c>
      <c r="G436" s="6">
        <v>74</v>
      </c>
      <c r="H436" s="6">
        <v>42</v>
      </c>
      <c r="I436" s="6">
        <v>3108</v>
      </c>
    </row>
    <row r="437" spans="1:9" x14ac:dyDescent="0.25">
      <c r="A437" s="9">
        <v>45962</v>
      </c>
      <c r="B437" t="s">
        <v>118</v>
      </c>
      <c r="C437" t="s">
        <v>119</v>
      </c>
      <c r="D437" t="s">
        <v>64</v>
      </c>
      <c r="E437" t="s">
        <v>105</v>
      </c>
      <c r="F437" t="s">
        <v>2093</v>
      </c>
      <c r="G437" s="6">
        <v>44</v>
      </c>
      <c r="H437" s="6">
        <v>28</v>
      </c>
      <c r="I437" s="6">
        <v>1232</v>
      </c>
    </row>
    <row r="438" spans="1:9" x14ac:dyDescent="0.25">
      <c r="A438" s="9">
        <v>45962</v>
      </c>
      <c r="B438" t="s">
        <v>118</v>
      </c>
      <c r="C438" t="s">
        <v>119</v>
      </c>
      <c r="D438" t="s">
        <v>64</v>
      </c>
      <c r="E438" t="s">
        <v>96</v>
      </c>
      <c r="F438" t="s">
        <v>2091</v>
      </c>
      <c r="G438" s="6">
        <v>74</v>
      </c>
      <c r="H438" s="6">
        <v>23</v>
      </c>
      <c r="I438" s="6">
        <v>1702</v>
      </c>
    </row>
    <row r="439" spans="1:9" x14ac:dyDescent="0.25">
      <c r="A439" s="9">
        <v>45962</v>
      </c>
      <c r="B439" t="s">
        <v>62</v>
      </c>
      <c r="C439" t="s">
        <v>63</v>
      </c>
      <c r="D439" t="s">
        <v>64</v>
      </c>
      <c r="E439" t="s">
        <v>105</v>
      </c>
      <c r="F439" t="s">
        <v>2094</v>
      </c>
      <c r="G439" s="6">
        <v>123</v>
      </c>
      <c r="H439" s="6">
        <v>42</v>
      </c>
      <c r="I439" s="6">
        <v>5166</v>
      </c>
    </row>
    <row r="440" spans="1:9" x14ac:dyDescent="0.25">
      <c r="A440" s="9">
        <v>45962</v>
      </c>
      <c r="B440" t="s">
        <v>62</v>
      </c>
      <c r="C440" t="s">
        <v>63</v>
      </c>
      <c r="D440" t="s">
        <v>64</v>
      </c>
      <c r="E440" t="s">
        <v>204</v>
      </c>
      <c r="F440" t="s">
        <v>2093</v>
      </c>
      <c r="G440" s="6">
        <v>135</v>
      </c>
      <c r="H440" s="6">
        <v>28</v>
      </c>
      <c r="I440" s="6">
        <v>3780</v>
      </c>
    </row>
    <row r="441" spans="1:9" x14ac:dyDescent="0.25">
      <c r="A441" s="9">
        <v>45962</v>
      </c>
      <c r="B441" t="s">
        <v>91</v>
      </c>
      <c r="C441" t="s">
        <v>92</v>
      </c>
      <c r="D441" t="s">
        <v>64</v>
      </c>
      <c r="E441" t="s">
        <v>96</v>
      </c>
      <c r="F441" t="s">
        <v>2094</v>
      </c>
      <c r="G441" s="6">
        <v>123</v>
      </c>
      <c r="H441" s="6">
        <v>42</v>
      </c>
      <c r="I441" s="6">
        <v>5166</v>
      </c>
    </row>
    <row r="442" spans="1:9" x14ac:dyDescent="0.25">
      <c r="A442" s="9">
        <v>45962</v>
      </c>
      <c r="B442" t="s">
        <v>91</v>
      </c>
      <c r="C442" t="s">
        <v>92</v>
      </c>
      <c r="D442" t="s">
        <v>64</v>
      </c>
      <c r="E442" t="s">
        <v>96</v>
      </c>
      <c r="F442" t="s">
        <v>2093</v>
      </c>
      <c r="G442" s="6">
        <v>27</v>
      </c>
      <c r="H442" s="6">
        <v>28</v>
      </c>
      <c r="I442" s="6">
        <v>756</v>
      </c>
    </row>
    <row r="443" spans="1:9" x14ac:dyDescent="0.25">
      <c r="A443" s="9">
        <v>45962</v>
      </c>
      <c r="B443" t="s">
        <v>80</v>
      </c>
      <c r="C443" t="s">
        <v>81</v>
      </c>
      <c r="D443" t="s">
        <v>64</v>
      </c>
      <c r="E443" t="s">
        <v>96</v>
      </c>
      <c r="F443" t="s">
        <v>2091</v>
      </c>
      <c r="G443" s="6">
        <v>127</v>
      </c>
      <c r="H443" s="6">
        <v>23</v>
      </c>
      <c r="I443" s="6">
        <v>2921</v>
      </c>
    </row>
    <row r="444" spans="1:9" x14ac:dyDescent="0.25">
      <c r="A444" s="9">
        <v>45962</v>
      </c>
      <c r="B444" t="s">
        <v>80</v>
      </c>
      <c r="C444" t="s">
        <v>81</v>
      </c>
      <c r="D444" t="s">
        <v>64</v>
      </c>
      <c r="E444" t="s">
        <v>96</v>
      </c>
      <c r="F444" t="s">
        <v>2093</v>
      </c>
      <c r="G444" s="6">
        <v>25</v>
      </c>
      <c r="H444" s="6">
        <v>28</v>
      </c>
      <c r="I444" s="6">
        <v>700</v>
      </c>
    </row>
    <row r="445" spans="1:9" x14ac:dyDescent="0.25">
      <c r="A445" s="9">
        <v>45962</v>
      </c>
      <c r="B445" t="s">
        <v>56</v>
      </c>
      <c r="C445" t="s">
        <v>57</v>
      </c>
      <c r="D445" t="s">
        <v>58</v>
      </c>
      <c r="E445" t="s">
        <v>96</v>
      </c>
      <c r="F445" t="s">
        <v>2091</v>
      </c>
      <c r="G445" s="6">
        <v>121</v>
      </c>
      <c r="H445" s="6">
        <v>23</v>
      </c>
      <c r="I445" s="6">
        <v>2783</v>
      </c>
    </row>
    <row r="446" spans="1:9" x14ac:dyDescent="0.25">
      <c r="A446" s="9">
        <v>45962</v>
      </c>
      <c r="B446" t="s">
        <v>77</v>
      </c>
      <c r="C446" t="s">
        <v>78</v>
      </c>
      <c r="D446" t="s">
        <v>58</v>
      </c>
      <c r="E446" t="s">
        <v>204</v>
      </c>
      <c r="F446" t="s">
        <v>2094</v>
      </c>
      <c r="G446" s="6">
        <v>77</v>
      </c>
      <c r="H446" s="6">
        <v>42</v>
      </c>
      <c r="I446" s="6">
        <v>3234</v>
      </c>
    </row>
    <row r="447" spans="1:9" x14ac:dyDescent="0.25">
      <c r="A447" s="9">
        <v>45962</v>
      </c>
      <c r="B447" t="s">
        <v>77</v>
      </c>
      <c r="C447" t="s">
        <v>78</v>
      </c>
      <c r="D447" t="s">
        <v>58</v>
      </c>
      <c r="E447" t="s">
        <v>204</v>
      </c>
      <c r="F447" t="s">
        <v>2091</v>
      </c>
      <c r="G447" s="6">
        <v>114</v>
      </c>
      <c r="H447" s="6">
        <v>23</v>
      </c>
      <c r="I447" s="6">
        <v>2622</v>
      </c>
    </row>
    <row r="448" spans="1:9" x14ac:dyDescent="0.25">
      <c r="A448" s="9">
        <v>45962</v>
      </c>
      <c r="B448" t="s">
        <v>110</v>
      </c>
      <c r="C448" t="s">
        <v>111</v>
      </c>
      <c r="D448" t="s">
        <v>58</v>
      </c>
      <c r="E448" t="s">
        <v>204</v>
      </c>
      <c r="F448" t="s">
        <v>2091</v>
      </c>
      <c r="G448" s="6">
        <v>43</v>
      </c>
      <c r="H448" s="6">
        <v>23</v>
      </c>
      <c r="I448" s="6">
        <v>989</v>
      </c>
    </row>
    <row r="449" spans="1:9" x14ac:dyDescent="0.25">
      <c r="A449" s="9">
        <v>45962</v>
      </c>
      <c r="B449" t="s">
        <v>110</v>
      </c>
      <c r="C449" t="s">
        <v>111</v>
      </c>
      <c r="D449" t="s">
        <v>58</v>
      </c>
      <c r="E449" t="s">
        <v>204</v>
      </c>
      <c r="F449" t="s">
        <v>2093</v>
      </c>
      <c r="G449" s="6">
        <v>130</v>
      </c>
      <c r="H449" s="6">
        <v>28</v>
      </c>
      <c r="I449" s="6">
        <v>3640</v>
      </c>
    </row>
    <row r="450" spans="1:9" x14ac:dyDescent="0.25">
      <c r="A450" s="9">
        <v>45962</v>
      </c>
      <c r="B450" t="s">
        <v>110</v>
      </c>
      <c r="C450" t="s">
        <v>111</v>
      </c>
      <c r="D450" t="s">
        <v>58</v>
      </c>
      <c r="E450" t="s">
        <v>204</v>
      </c>
      <c r="F450" t="s">
        <v>2094</v>
      </c>
      <c r="G450" s="6">
        <v>38</v>
      </c>
      <c r="H450" s="6">
        <v>42</v>
      </c>
      <c r="I450" s="6">
        <v>1596</v>
      </c>
    </row>
    <row r="451" spans="1:9" x14ac:dyDescent="0.25">
      <c r="A451" s="9">
        <v>45962</v>
      </c>
      <c r="B451" t="s">
        <v>85</v>
      </c>
      <c r="C451" t="s">
        <v>86</v>
      </c>
      <c r="D451" t="s">
        <v>58</v>
      </c>
      <c r="E451" t="s">
        <v>96</v>
      </c>
      <c r="F451" t="s">
        <v>2094</v>
      </c>
      <c r="G451" s="6">
        <v>66</v>
      </c>
      <c r="H451" s="6">
        <v>42</v>
      </c>
      <c r="I451" s="6">
        <v>2772</v>
      </c>
    </row>
    <row r="452" spans="1:9" x14ac:dyDescent="0.25">
      <c r="A452" s="9">
        <v>45962</v>
      </c>
      <c r="B452" t="s">
        <v>85</v>
      </c>
      <c r="C452" t="s">
        <v>86</v>
      </c>
      <c r="D452" t="s">
        <v>58</v>
      </c>
      <c r="E452" t="s">
        <v>96</v>
      </c>
      <c r="F452" t="s">
        <v>2091</v>
      </c>
      <c r="G452" s="6">
        <v>55</v>
      </c>
      <c r="H452" s="6">
        <v>23</v>
      </c>
      <c r="I452" s="6">
        <v>1265</v>
      </c>
    </row>
    <row r="453" spans="1:9" x14ac:dyDescent="0.25">
      <c r="A453" s="9">
        <v>45962</v>
      </c>
      <c r="B453" t="s">
        <v>85</v>
      </c>
      <c r="C453" t="s">
        <v>86</v>
      </c>
      <c r="D453" t="s">
        <v>58</v>
      </c>
      <c r="E453" t="s">
        <v>96</v>
      </c>
      <c r="F453" t="s">
        <v>2093</v>
      </c>
      <c r="G453" s="6">
        <v>28</v>
      </c>
      <c r="H453" s="6">
        <v>28</v>
      </c>
      <c r="I453" s="6">
        <v>784</v>
      </c>
    </row>
    <row r="454" spans="1:9" x14ac:dyDescent="0.25">
      <c r="A454" s="9">
        <v>45962</v>
      </c>
      <c r="B454" t="s">
        <v>103</v>
      </c>
      <c r="C454" t="s">
        <v>104</v>
      </c>
      <c r="D454" t="s">
        <v>58</v>
      </c>
      <c r="E454" t="s">
        <v>204</v>
      </c>
      <c r="F454" t="s">
        <v>2094</v>
      </c>
      <c r="G454" s="6">
        <v>93</v>
      </c>
      <c r="H454" s="6">
        <v>42</v>
      </c>
      <c r="I454" s="6">
        <v>3906</v>
      </c>
    </row>
    <row r="455" spans="1:9" x14ac:dyDescent="0.25">
      <c r="A455" s="9">
        <v>45992</v>
      </c>
      <c r="B455" t="s">
        <v>100</v>
      </c>
      <c r="C455" t="s">
        <v>101</v>
      </c>
      <c r="D455" t="s">
        <v>69</v>
      </c>
      <c r="E455" t="s">
        <v>105</v>
      </c>
      <c r="F455" t="s">
        <v>2093</v>
      </c>
      <c r="G455" s="6">
        <v>153</v>
      </c>
      <c r="H455" s="6">
        <v>28</v>
      </c>
      <c r="I455" s="6">
        <v>4284</v>
      </c>
    </row>
    <row r="456" spans="1:9" x14ac:dyDescent="0.25">
      <c r="A456" s="9">
        <v>45992</v>
      </c>
      <c r="B456" t="s">
        <v>100</v>
      </c>
      <c r="C456" t="s">
        <v>101</v>
      </c>
      <c r="D456" t="s">
        <v>69</v>
      </c>
      <c r="E456" t="s">
        <v>204</v>
      </c>
      <c r="F456" t="s">
        <v>2091</v>
      </c>
      <c r="G456" s="6">
        <v>183</v>
      </c>
      <c r="H456" s="6">
        <v>23</v>
      </c>
      <c r="I456" s="6">
        <v>4209</v>
      </c>
    </row>
    <row r="457" spans="1:9" x14ac:dyDescent="0.25">
      <c r="A457" s="9">
        <v>45992</v>
      </c>
      <c r="B457" t="s">
        <v>113</v>
      </c>
      <c r="C457" t="s">
        <v>114</v>
      </c>
      <c r="D457" t="s">
        <v>69</v>
      </c>
      <c r="E457" t="s">
        <v>204</v>
      </c>
      <c r="F457" t="s">
        <v>2091</v>
      </c>
      <c r="G457" s="6">
        <v>93</v>
      </c>
      <c r="H457" s="6">
        <v>23</v>
      </c>
      <c r="I457" s="6">
        <v>2139</v>
      </c>
    </row>
    <row r="458" spans="1:9" x14ac:dyDescent="0.25">
      <c r="A458" s="9">
        <v>45992</v>
      </c>
      <c r="B458" t="s">
        <v>113</v>
      </c>
      <c r="C458" t="s">
        <v>114</v>
      </c>
      <c r="D458" t="s">
        <v>69</v>
      </c>
      <c r="E458" t="s">
        <v>204</v>
      </c>
      <c r="F458" t="s">
        <v>2094</v>
      </c>
      <c r="G458" s="6">
        <v>129</v>
      </c>
      <c r="H458" s="6">
        <v>42</v>
      </c>
      <c r="I458" s="6">
        <v>5418</v>
      </c>
    </row>
    <row r="459" spans="1:9" x14ac:dyDescent="0.25">
      <c r="A459" s="9">
        <v>45992</v>
      </c>
      <c r="B459" t="s">
        <v>113</v>
      </c>
      <c r="C459" t="s">
        <v>114</v>
      </c>
      <c r="D459" t="s">
        <v>69</v>
      </c>
      <c r="E459" t="s">
        <v>105</v>
      </c>
      <c r="F459" t="s">
        <v>2093</v>
      </c>
      <c r="G459" s="6">
        <v>98</v>
      </c>
      <c r="H459" s="6">
        <v>28</v>
      </c>
      <c r="I459" s="6">
        <v>2744</v>
      </c>
    </row>
    <row r="460" spans="1:9" x14ac:dyDescent="0.25">
      <c r="A460" s="9">
        <v>45992</v>
      </c>
      <c r="B460" t="s">
        <v>143</v>
      </c>
      <c r="C460" t="s">
        <v>144</v>
      </c>
      <c r="D460" t="s">
        <v>69</v>
      </c>
      <c r="E460" t="s">
        <v>204</v>
      </c>
      <c r="F460" t="s">
        <v>2093</v>
      </c>
      <c r="G460" s="6">
        <v>107</v>
      </c>
      <c r="H460" s="6">
        <v>28</v>
      </c>
      <c r="I460" s="6">
        <v>2996</v>
      </c>
    </row>
    <row r="461" spans="1:9" x14ac:dyDescent="0.25">
      <c r="A461" s="9">
        <v>45992</v>
      </c>
      <c r="B461" t="s">
        <v>73</v>
      </c>
      <c r="C461" t="s">
        <v>74</v>
      </c>
      <c r="D461" t="s">
        <v>69</v>
      </c>
      <c r="E461" t="s">
        <v>96</v>
      </c>
      <c r="F461" t="s">
        <v>2093</v>
      </c>
      <c r="G461" s="6">
        <v>78</v>
      </c>
      <c r="H461" s="6">
        <v>28</v>
      </c>
      <c r="I461" s="6">
        <v>2184</v>
      </c>
    </row>
    <row r="462" spans="1:9" x14ac:dyDescent="0.25">
      <c r="A462" s="9">
        <v>45992</v>
      </c>
      <c r="B462" t="s">
        <v>73</v>
      </c>
      <c r="C462" t="s">
        <v>74</v>
      </c>
      <c r="D462" t="s">
        <v>69</v>
      </c>
      <c r="E462" t="s">
        <v>204</v>
      </c>
      <c r="F462" t="s">
        <v>2091</v>
      </c>
      <c r="G462" s="6">
        <v>96</v>
      </c>
      <c r="H462" s="6">
        <v>23</v>
      </c>
      <c r="I462" s="6">
        <v>2208</v>
      </c>
    </row>
    <row r="463" spans="1:9" x14ac:dyDescent="0.25">
      <c r="A463" s="9">
        <v>45992</v>
      </c>
      <c r="B463" t="s">
        <v>67</v>
      </c>
      <c r="C463" t="s">
        <v>68</v>
      </c>
      <c r="D463" t="s">
        <v>69</v>
      </c>
      <c r="E463" t="s">
        <v>204</v>
      </c>
      <c r="F463" t="s">
        <v>2093</v>
      </c>
      <c r="G463" s="6">
        <v>108</v>
      </c>
      <c r="H463" s="6">
        <v>28</v>
      </c>
      <c r="I463" s="6">
        <v>3024</v>
      </c>
    </row>
    <row r="464" spans="1:9" x14ac:dyDescent="0.25">
      <c r="A464" s="9">
        <v>45992</v>
      </c>
      <c r="B464" t="s">
        <v>32</v>
      </c>
      <c r="C464" t="s">
        <v>33</v>
      </c>
      <c r="D464" t="s">
        <v>34</v>
      </c>
      <c r="E464" t="s">
        <v>204</v>
      </c>
      <c r="F464" t="s">
        <v>2094</v>
      </c>
      <c r="G464" s="6">
        <v>69</v>
      </c>
      <c r="H464" s="6">
        <v>42</v>
      </c>
      <c r="I464" s="6">
        <v>2898</v>
      </c>
    </row>
    <row r="465" spans="1:9" x14ac:dyDescent="0.25">
      <c r="A465" s="9">
        <v>45992</v>
      </c>
      <c r="B465" t="s">
        <v>32</v>
      </c>
      <c r="C465" t="s">
        <v>33</v>
      </c>
      <c r="D465" t="s">
        <v>34</v>
      </c>
      <c r="E465" t="s">
        <v>204</v>
      </c>
      <c r="F465" t="s">
        <v>2091</v>
      </c>
      <c r="G465" s="6">
        <v>87</v>
      </c>
      <c r="H465" s="6">
        <v>23</v>
      </c>
      <c r="I465" s="6">
        <v>2001</v>
      </c>
    </row>
    <row r="466" spans="1:9" x14ac:dyDescent="0.25">
      <c r="A466" s="9">
        <v>45992</v>
      </c>
      <c r="B466" t="s">
        <v>94</v>
      </c>
      <c r="C466" t="s">
        <v>95</v>
      </c>
      <c r="D466" t="s">
        <v>34</v>
      </c>
      <c r="E466" t="s">
        <v>96</v>
      </c>
      <c r="F466" t="s">
        <v>2093</v>
      </c>
      <c r="G466" s="6">
        <v>87</v>
      </c>
      <c r="H466" s="6">
        <v>28</v>
      </c>
      <c r="I466" s="6">
        <v>2436</v>
      </c>
    </row>
    <row r="467" spans="1:9" x14ac:dyDescent="0.25">
      <c r="A467" s="9">
        <v>45992</v>
      </c>
      <c r="B467" t="s">
        <v>94</v>
      </c>
      <c r="C467" t="s">
        <v>95</v>
      </c>
      <c r="D467" t="s">
        <v>34</v>
      </c>
      <c r="E467" t="s">
        <v>204</v>
      </c>
      <c r="F467" t="s">
        <v>2091</v>
      </c>
      <c r="G467" s="6">
        <v>118</v>
      </c>
      <c r="H467" s="6">
        <v>23</v>
      </c>
      <c r="I467" s="6">
        <v>2714</v>
      </c>
    </row>
    <row r="468" spans="1:9" x14ac:dyDescent="0.25">
      <c r="A468" s="9">
        <v>45992</v>
      </c>
      <c r="B468" t="s">
        <v>41</v>
      </c>
      <c r="C468" t="s">
        <v>42</v>
      </c>
      <c r="D468" t="s">
        <v>34</v>
      </c>
      <c r="E468" t="s">
        <v>96</v>
      </c>
      <c r="F468" t="s">
        <v>2094</v>
      </c>
      <c r="G468" s="6">
        <v>52</v>
      </c>
      <c r="H468" s="6">
        <v>42</v>
      </c>
      <c r="I468" s="6">
        <v>2184</v>
      </c>
    </row>
    <row r="469" spans="1:9" x14ac:dyDescent="0.25">
      <c r="A469" s="9">
        <v>45992</v>
      </c>
      <c r="B469" t="s">
        <v>47</v>
      </c>
      <c r="C469" t="s">
        <v>48</v>
      </c>
      <c r="D469" t="s">
        <v>34</v>
      </c>
      <c r="E469" t="s">
        <v>204</v>
      </c>
      <c r="F469" t="s">
        <v>2094</v>
      </c>
      <c r="G469" s="6">
        <v>88</v>
      </c>
      <c r="H469" s="6">
        <v>42</v>
      </c>
      <c r="I469" s="6">
        <v>3696</v>
      </c>
    </row>
    <row r="470" spans="1:9" x14ac:dyDescent="0.25">
      <c r="A470" s="9">
        <v>45992</v>
      </c>
      <c r="B470" t="s">
        <v>47</v>
      </c>
      <c r="C470" t="s">
        <v>48</v>
      </c>
      <c r="D470" t="s">
        <v>34</v>
      </c>
      <c r="E470" t="s">
        <v>96</v>
      </c>
      <c r="F470" t="s">
        <v>2093</v>
      </c>
      <c r="G470" s="6">
        <v>156</v>
      </c>
      <c r="H470" s="6">
        <v>28</v>
      </c>
      <c r="I470" s="6">
        <v>4368</v>
      </c>
    </row>
    <row r="471" spans="1:9" x14ac:dyDescent="0.25">
      <c r="A471" s="9">
        <v>45992</v>
      </c>
      <c r="B471" t="s">
        <v>47</v>
      </c>
      <c r="C471" t="s">
        <v>48</v>
      </c>
      <c r="D471" t="s">
        <v>34</v>
      </c>
      <c r="E471" t="s">
        <v>204</v>
      </c>
      <c r="F471" t="s">
        <v>2091</v>
      </c>
      <c r="G471" s="6">
        <v>130</v>
      </c>
      <c r="H471" s="6">
        <v>23</v>
      </c>
      <c r="I471" s="6">
        <v>2990</v>
      </c>
    </row>
    <row r="472" spans="1:9" x14ac:dyDescent="0.25">
      <c r="A472" s="9">
        <v>45992</v>
      </c>
      <c r="B472" t="s">
        <v>121</v>
      </c>
      <c r="C472" t="s">
        <v>122</v>
      </c>
      <c r="D472" t="s">
        <v>34</v>
      </c>
      <c r="E472" t="s">
        <v>204</v>
      </c>
      <c r="F472" t="s">
        <v>2093</v>
      </c>
      <c r="G472" s="6">
        <v>137</v>
      </c>
      <c r="H472" s="6">
        <v>28</v>
      </c>
      <c r="I472" s="6">
        <v>3836</v>
      </c>
    </row>
    <row r="473" spans="1:9" x14ac:dyDescent="0.25">
      <c r="A473" s="9">
        <v>45992</v>
      </c>
      <c r="B473" t="s">
        <v>201</v>
      </c>
      <c r="C473" t="s">
        <v>202</v>
      </c>
      <c r="D473" t="s">
        <v>64</v>
      </c>
      <c r="E473" t="s">
        <v>105</v>
      </c>
      <c r="F473" t="s">
        <v>2091</v>
      </c>
      <c r="G473" s="6">
        <v>90</v>
      </c>
      <c r="H473" s="6">
        <v>23</v>
      </c>
      <c r="I473" s="6">
        <v>2070</v>
      </c>
    </row>
    <row r="474" spans="1:9" x14ac:dyDescent="0.25">
      <c r="A474" s="9">
        <v>45992</v>
      </c>
      <c r="B474" t="s">
        <v>118</v>
      </c>
      <c r="C474" t="s">
        <v>119</v>
      </c>
      <c r="D474" t="s">
        <v>64</v>
      </c>
      <c r="E474" t="s">
        <v>105</v>
      </c>
      <c r="F474" t="s">
        <v>2091</v>
      </c>
      <c r="G474" s="6">
        <v>101</v>
      </c>
      <c r="H474" s="6">
        <v>23</v>
      </c>
      <c r="I474" s="6">
        <v>2323</v>
      </c>
    </row>
    <row r="475" spans="1:9" x14ac:dyDescent="0.25">
      <c r="A475" s="9">
        <v>45992</v>
      </c>
      <c r="B475" t="s">
        <v>118</v>
      </c>
      <c r="C475" t="s">
        <v>119</v>
      </c>
      <c r="D475" t="s">
        <v>64</v>
      </c>
      <c r="E475" t="s">
        <v>105</v>
      </c>
      <c r="F475" t="s">
        <v>2094</v>
      </c>
      <c r="G475" s="6">
        <v>125</v>
      </c>
      <c r="H475" s="6">
        <v>42</v>
      </c>
      <c r="I475" s="6">
        <v>5250</v>
      </c>
    </row>
    <row r="476" spans="1:9" x14ac:dyDescent="0.25">
      <c r="A476" s="9">
        <v>45992</v>
      </c>
      <c r="B476" t="s">
        <v>62</v>
      </c>
      <c r="C476" t="s">
        <v>63</v>
      </c>
      <c r="D476" t="s">
        <v>64</v>
      </c>
      <c r="E476" t="s">
        <v>105</v>
      </c>
      <c r="F476" t="s">
        <v>2094</v>
      </c>
      <c r="G476" s="6">
        <v>144</v>
      </c>
      <c r="H476" s="6">
        <v>42</v>
      </c>
      <c r="I476" s="6">
        <v>6048</v>
      </c>
    </row>
    <row r="477" spans="1:9" x14ac:dyDescent="0.25">
      <c r="A477" s="9">
        <v>45992</v>
      </c>
      <c r="B477" t="s">
        <v>62</v>
      </c>
      <c r="C477" t="s">
        <v>63</v>
      </c>
      <c r="D477" t="s">
        <v>64</v>
      </c>
      <c r="E477" t="s">
        <v>96</v>
      </c>
      <c r="F477" t="s">
        <v>2093</v>
      </c>
      <c r="G477" s="6">
        <v>21</v>
      </c>
      <c r="H477" s="6">
        <v>28</v>
      </c>
      <c r="I477" s="6">
        <v>588</v>
      </c>
    </row>
    <row r="478" spans="1:9" x14ac:dyDescent="0.25">
      <c r="A478" s="9">
        <v>45992</v>
      </c>
      <c r="B478" t="s">
        <v>62</v>
      </c>
      <c r="C478" t="s">
        <v>63</v>
      </c>
      <c r="D478" t="s">
        <v>64</v>
      </c>
      <c r="E478" t="s">
        <v>105</v>
      </c>
      <c r="F478" t="s">
        <v>2091</v>
      </c>
      <c r="G478" s="6">
        <v>43</v>
      </c>
      <c r="H478" s="6">
        <v>23</v>
      </c>
      <c r="I478" s="6">
        <v>989</v>
      </c>
    </row>
    <row r="479" spans="1:9" x14ac:dyDescent="0.25">
      <c r="A479" s="9">
        <v>45992</v>
      </c>
      <c r="B479" t="s">
        <v>91</v>
      </c>
      <c r="C479" t="s">
        <v>92</v>
      </c>
      <c r="D479" t="s">
        <v>64</v>
      </c>
      <c r="E479" t="s">
        <v>204</v>
      </c>
      <c r="F479" t="s">
        <v>2094</v>
      </c>
      <c r="G479" s="6">
        <v>135</v>
      </c>
      <c r="H479" s="6">
        <v>42</v>
      </c>
      <c r="I479" s="6">
        <v>5670</v>
      </c>
    </row>
    <row r="480" spans="1:9" x14ac:dyDescent="0.25">
      <c r="A480" s="9">
        <v>45992</v>
      </c>
      <c r="B480" t="s">
        <v>91</v>
      </c>
      <c r="C480" t="s">
        <v>92</v>
      </c>
      <c r="D480" t="s">
        <v>64</v>
      </c>
      <c r="E480" t="s">
        <v>204</v>
      </c>
      <c r="F480" t="s">
        <v>2091</v>
      </c>
      <c r="G480" s="6">
        <v>80</v>
      </c>
      <c r="H480" s="6">
        <v>23</v>
      </c>
      <c r="I480" s="6">
        <v>1840</v>
      </c>
    </row>
    <row r="481" spans="1:9" x14ac:dyDescent="0.25">
      <c r="A481" s="9">
        <v>45992</v>
      </c>
      <c r="B481" t="s">
        <v>80</v>
      </c>
      <c r="C481" t="s">
        <v>81</v>
      </c>
      <c r="D481" t="s">
        <v>64</v>
      </c>
      <c r="E481" t="s">
        <v>105</v>
      </c>
      <c r="F481" t="s">
        <v>2091</v>
      </c>
      <c r="G481" s="6">
        <v>66</v>
      </c>
      <c r="H481" s="6">
        <v>23</v>
      </c>
      <c r="I481" s="6">
        <v>1518</v>
      </c>
    </row>
    <row r="482" spans="1:9" x14ac:dyDescent="0.25">
      <c r="A482" s="9">
        <v>45992</v>
      </c>
      <c r="B482" t="s">
        <v>80</v>
      </c>
      <c r="C482" t="s">
        <v>81</v>
      </c>
      <c r="D482" t="s">
        <v>64</v>
      </c>
      <c r="E482" t="s">
        <v>204</v>
      </c>
      <c r="F482" t="s">
        <v>2094</v>
      </c>
      <c r="G482" s="6">
        <v>46</v>
      </c>
      <c r="H482" s="6">
        <v>42</v>
      </c>
      <c r="I482" s="6">
        <v>1932</v>
      </c>
    </row>
    <row r="483" spans="1:9" x14ac:dyDescent="0.25">
      <c r="A483" s="9">
        <v>45992</v>
      </c>
      <c r="B483" t="s">
        <v>80</v>
      </c>
      <c r="C483" t="s">
        <v>81</v>
      </c>
      <c r="D483" t="s">
        <v>64</v>
      </c>
      <c r="E483" t="s">
        <v>105</v>
      </c>
      <c r="F483" t="s">
        <v>2093</v>
      </c>
      <c r="G483" s="6">
        <v>70</v>
      </c>
      <c r="H483" s="6">
        <v>28</v>
      </c>
      <c r="I483" s="6">
        <v>1960</v>
      </c>
    </row>
    <row r="484" spans="1:9" x14ac:dyDescent="0.25">
      <c r="A484" s="9">
        <v>45992</v>
      </c>
      <c r="B484" t="s">
        <v>56</v>
      </c>
      <c r="C484" t="s">
        <v>57</v>
      </c>
      <c r="D484" t="s">
        <v>58</v>
      </c>
      <c r="E484" t="s">
        <v>96</v>
      </c>
      <c r="F484" t="s">
        <v>2091</v>
      </c>
      <c r="G484" s="6">
        <v>40</v>
      </c>
      <c r="H484" s="6">
        <v>23</v>
      </c>
      <c r="I484" s="6">
        <v>920</v>
      </c>
    </row>
    <row r="485" spans="1:9" x14ac:dyDescent="0.25">
      <c r="A485" s="9">
        <v>45992</v>
      </c>
      <c r="B485" t="s">
        <v>56</v>
      </c>
      <c r="C485" t="s">
        <v>57</v>
      </c>
      <c r="D485" t="s">
        <v>58</v>
      </c>
      <c r="E485" t="s">
        <v>96</v>
      </c>
      <c r="F485" t="s">
        <v>2094</v>
      </c>
      <c r="G485" s="6">
        <v>163</v>
      </c>
      <c r="H485" s="6">
        <v>42</v>
      </c>
      <c r="I485" s="6">
        <v>6846</v>
      </c>
    </row>
    <row r="486" spans="1:9" x14ac:dyDescent="0.25">
      <c r="A486" s="9">
        <v>45992</v>
      </c>
      <c r="B486" t="s">
        <v>77</v>
      </c>
      <c r="C486" t="s">
        <v>78</v>
      </c>
      <c r="D486" t="s">
        <v>58</v>
      </c>
      <c r="E486" t="s">
        <v>204</v>
      </c>
      <c r="F486" t="s">
        <v>2094</v>
      </c>
      <c r="G486" s="6">
        <v>89</v>
      </c>
      <c r="H486" s="6">
        <v>42</v>
      </c>
      <c r="I486" s="6">
        <v>3738</v>
      </c>
    </row>
    <row r="487" spans="1:9" x14ac:dyDescent="0.25">
      <c r="A487" s="9">
        <v>45992</v>
      </c>
      <c r="B487" t="s">
        <v>77</v>
      </c>
      <c r="C487" t="s">
        <v>78</v>
      </c>
      <c r="D487" t="s">
        <v>58</v>
      </c>
      <c r="E487" t="s">
        <v>96</v>
      </c>
      <c r="F487" t="s">
        <v>2091</v>
      </c>
      <c r="G487" s="6">
        <v>87</v>
      </c>
      <c r="H487" s="6">
        <v>23</v>
      </c>
      <c r="I487" s="6">
        <v>2001</v>
      </c>
    </row>
    <row r="488" spans="1:9" x14ac:dyDescent="0.25">
      <c r="A488" s="9">
        <v>45992</v>
      </c>
      <c r="B488" t="s">
        <v>110</v>
      </c>
      <c r="C488" t="s">
        <v>111</v>
      </c>
      <c r="D488" t="s">
        <v>58</v>
      </c>
      <c r="E488" t="s">
        <v>105</v>
      </c>
      <c r="F488" t="s">
        <v>2091</v>
      </c>
      <c r="G488" s="6">
        <v>110</v>
      </c>
      <c r="H488" s="6">
        <v>23</v>
      </c>
      <c r="I488" s="6">
        <v>2530</v>
      </c>
    </row>
    <row r="489" spans="1:9" x14ac:dyDescent="0.25">
      <c r="A489" s="9">
        <v>45992</v>
      </c>
      <c r="B489" t="s">
        <v>110</v>
      </c>
      <c r="C489" t="s">
        <v>111</v>
      </c>
      <c r="D489" t="s">
        <v>58</v>
      </c>
      <c r="E489" t="s">
        <v>96</v>
      </c>
      <c r="F489" t="s">
        <v>2093</v>
      </c>
      <c r="G489" s="6">
        <v>123</v>
      </c>
      <c r="H489" s="6">
        <v>28</v>
      </c>
      <c r="I489" s="6">
        <v>3444</v>
      </c>
    </row>
    <row r="490" spans="1:9" x14ac:dyDescent="0.25">
      <c r="A490" s="9">
        <v>45992</v>
      </c>
      <c r="B490" t="s">
        <v>110</v>
      </c>
      <c r="C490" t="s">
        <v>111</v>
      </c>
      <c r="D490" t="s">
        <v>58</v>
      </c>
      <c r="E490" t="s">
        <v>204</v>
      </c>
      <c r="F490" t="s">
        <v>2094</v>
      </c>
      <c r="G490" s="6">
        <v>123</v>
      </c>
      <c r="H490" s="6">
        <v>42</v>
      </c>
      <c r="I490" s="6">
        <v>5166</v>
      </c>
    </row>
    <row r="491" spans="1:9" x14ac:dyDescent="0.25">
      <c r="A491" s="9">
        <v>45992</v>
      </c>
      <c r="B491" t="s">
        <v>85</v>
      </c>
      <c r="C491" t="s">
        <v>86</v>
      </c>
      <c r="D491" t="s">
        <v>58</v>
      </c>
      <c r="E491" t="s">
        <v>96</v>
      </c>
      <c r="F491" t="s">
        <v>2091</v>
      </c>
      <c r="G491" s="6">
        <v>127</v>
      </c>
      <c r="H491" s="6">
        <v>23</v>
      </c>
      <c r="I491" s="6">
        <v>2921</v>
      </c>
    </row>
    <row r="492" spans="1:9" x14ac:dyDescent="0.25">
      <c r="A492" s="9">
        <v>45992</v>
      </c>
      <c r="B492" t="s">
        <v>103</v>
      </c>
      <c r="C492" t="s">
        <v>104</v>
      </c>
      <c r="D492" t="s">
        <v>58</v>
      </c>
      <c r="E492" t="s">
        <v>204</v>
      </c>
      <c r="F492" t="s">
        <v>2094</v>
      </c>
      <c r="G492" s="6">
        <v>67</v>
      </c>
      <c r="H492" s="6">
        <v>42</v>
      </c>
      <c r="I492" s="6">
        <v>2814</v>
      </c>
    </row>
    <row r="493" spans="1:9" x14ac:dyDescent="0.25">
      <c r="A493" s="9">
        <v>45992</v>
      </c>
      <c r="B493" t="s">
        <v>103</v>
      </c>
      <c r="C493" t="s">
        <v>104</v>
      </c>
      <c r="D493" t="s">
        <v>58</v>
      </c>
      <c r="E493" t="s">
        <v>96</v>
      </c>
      <c r="F493" t="s">
        <v>2093</v>
      </c>
      <c r="G493" s="6">
        <v>79</v>
      </c>
      <c r="H493" s="6">
        <v>28</v>
      </c>
      <c r="I493" s="6">
        <v>2212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6" width="10.7109375" customWidth="1"/>
    <col min="7" max="7" width="13.7109375" customWidth="1"/>
    <col min="8" max="9" width="10.7109375" customWidth="1"/>
    <col min="10" max="10" width="11.7109375" customWidth="1"/>
    <col min="11" max="12" width="12.7109375" customWidth="1"/>
    <col min="13" max="13" width="10.7109375" customWidth="1"/>
    <col min="14" max="14" width="15.7109375" customWidth="1"/>
  </cols>
  <sheetData>
    <row r="1" spans="1:14" x14ac:dyDescent="0.25">
      <c r="A1" t="s">
        <v>1930</v>
      </c>
      <c r="B1" t="s">
        <v>17</v>
      </c>
      <c r="C1" t="s">
        <v>18</v>
      </c>
      <c r="D1" t="s">
        <v>19</v>
      </c>
      <c r="E1" t="s">
        <v>2102</v>
      </c>
      <c r="F1" t="s">
        <v>2103</v>
      </c>
      <c r="G1" t="s">
        <v>2104</v>
      </c>
      <c r="H1" t="s">
        <v>2105</v>
      </c>
      <c r="I1" t="s">
        <v>2098</v>
      </c>
      <c r="J1" t="s">
        <v>2106</v>
      </c>
      <c r="K1" t="s">
        <v>2107</v>
      </c>
      <c r="L1" t="s">
        <v>2108</v>
      </c>
      <c r="M1" t="s">
        <v>2109</v>
      </c>
      <c r="N1" t="s">
        <v>2110</v>
      </c>
    </row>
    <row r="2" spans="1:14" x14ac:dyDescent="0.25">
      <c r="A2" s="9">
        <v>45658</v>
      </c>
      <c r="B2" t="s">
        <v>100</v>
      </c>
      <c r="C2" t="s">
        <v>101</v>
      </c>
      <c r="D2" t="s">
        <v>69</v>
      </c>
      <c r="E2" s="7">
        <v>474619.09</v>
      </c>
      <c r="F2" s="7">
        <v>233960.25333333301</v>
      </c>
      <c r="G2" s="8">
        <v>29957.93</v>
      </c>
      <c r="H2" s="8">
        <v>2618.0500000000002</v>
      </c>
      <c r="I2" s="6">
        <v>10926</v>
      </c>
      <c r="J2" s="7">
        <v>35029.32</v>
      </c>
      <c r="K2" s="7">
        <v>300615.21000000002</v>
      </c>
      <c r="L2" s="7">
        <v>312491.55333333299</v>
      </c>
      <c r="M2" s="7">
        <v>162127.536666667</v>
      </c>
      <c r="N2" s="10">
        <v>0.34159506029702003</v>
      </c>
    </row>
    <row r="3" spans="1:14" x14ac:dyDescent="0.25">
      <c r="A3" s="9">
        <v>45658</v>
      </c>
      <c r="B3" t="s">
        <v>113</v>
      </c>
      <c r="C3" t="s">
        <v>114</v>
      </c>
      <c r="D3" t="s">
        <v>69</v>
      </c>
      <c r="E3" s="7">
        <v>322229.82</v>
      </c>
      <c r="F3" s="7">
        <v>162668.406666667</v>
      </c>
      <c r="G3" s="8">
        <v>46147.12</v>
      </c>
      <c r="H3" s="8">
        <v>2313.88</v>
      </c>
      <c r="I3" s="6">
        <v>8327</v>
      </c>
      <c r="J3" s="7">
        <v>18848.64</v>
      </c>
      <c r="K3" s="7">
        <v>237293.33</v>
      </c>
      <c r="L3" s="7">
        <v>238305.04666666701</v>
      </c>
      <c r="M3" s="7">
        <v>83924.773333333302</v>
      </c>
      <c r="N3" s="10">
        <v>0.26045005187084602</v>
      </c>
    </row>
    <row r="4" spans="1:14" x14ac:dyDescent="0.25">
      <c r="A4" s="9">
        <v>45658</v>
      </c>
      <c r="B4" t="s">
        <v>143</v>
      </c>
      <c r="C4" t="s">
        <v>144</v>
      </c>
      <c r="D4" t="s">
        <v>69</v>
      </c>
      <c r="E4" s="7">
        <v>443270.86</v>
      </c>
      <c r="F4" s="7">
        <v>209015.64666666699</v>
      </c>
      <c r="G4" s="8">
        <v>56737.51</v>
      </c>
      <c r="H4" s="8">
        <v>4026.14</v>
      </c>
      <c r="I4" s="6">
        <v>10572</v>
      </c>
      <c r="J4" s="7">
        <v>30594.89</v>
      </c>
      <c r="K4" s="7">
        <v>321242.96999999997</v>
      </c>
      <c r="L4" s="7">
        <v>310946.186666667</v>
      </c>
      <c r="M4" s="7">
        <v>132324.67333333299</v>
      </c>
      <c r="N4" s="10">
        <v>0.298518773224419</v>
      </c>
    </row>
    <row r="5" spans="1:14" x14ac:dyDescent="0.25">
      <c r="A5" s="9">
        <v>45658</v>
      </c>
      <c r="B5" t="s">
        <v>73</v>
      </c>
      <c r="C5" t="s">
        <v>74</v>
      </c>
      <c r="D5" t="s">
        <v>69</v>
      </c>
      <c r="E5" s="7">
        <v>225588.97</v>
      </c>
      <c r="F5" s="7">
        <v>126464.86333333301</v>
      </c>
      <c r="G5" s="8">
        <v>19671.36</v>
      </c>
      <c r="H5" s="8">
        <v>2389.81</v>
      </c>
      <c r="I5" s="6">
        <v>5978</v>
      </c>
      <c r="J5" s="7">
        <v>17476.53</v>
      </c>
      <c r="K5" s="7">
        <v>168715.6</v>
      </c>
      <c r="L5" s="7">
        <v>171980.563333333</v>
      </c>
      <c r="M5" s="7">
        <v>53608.406666666699</v>
      </c>
      <c r="N5" s="10">
        <v>0.23763753461291401</v>
      </c>
    </row>
    <row r="6" spans="1:14" x14ac:dyDescent="0.25">
      <c r="A6" s="9">
        <v>45658</v>
      </c>
      <c r="B6" t="s">
        <v>67</v>
      </c>
      <c r="C6" t="s">
        <v>68</v>
      </c>
      <c r="D6" t="s">
        <v>69</v>
      </c>
      <c r="E6" s="7">
        <v>480577.57</v>
      </c>
      <c r="F6" s="7">
        <v>198889.36333333299</v>
      </c>
      <c r="G6" s="8">
        <v>114638.36</v>
      </c>
      <c r="H6" s="8">
        <v>2136.15</v>
      </c>
      <c r="I6" s="6">
        <v>1820</v>
      </c>
      <c r="J6" s="7">
        <v>37508.21</v>
      </c>
      <c r="K6" s="7">
        <v>356469.83</v>
      </c>
      <c r="L6" s="7">
        <v>354992.08333333302</v>
      </c>
      <c r="M6" s="7">
        <v>125585.486666667</v>
      </c>
      <c r="N6" s="10">
        <v>0.26132198942756901</v>
      </c>
    </row>
    <row r="7" spans="1:14" x14ac:dyDescent="0.25">
      <c r="A7" s="9">
        <v>45658</v>
      </c>
      <c r="B7" t="s">
        <v>32</v>
      </c>
      <c r="C7" t="s">
        <v>33</v>
      </c>
      <c r="D7" t="s">
        <v>34</v>
      </c>
      <c r="E7" s="7">
        <v>253082.63</v>
      </c>
      <c r="F7" s="7">
        <v>105935.066666667</v>
      </c>
      <c r="G7" s="8">
        <v>39216.379999999997</v>
      </c>
      <c r="H7" s="8">
        <v>2082.71</v>
      </c>
      <c r="I7" s="6">
        <v>4172</v>
      </c>
      <c r="J7" s="7">
        <v>18193.509999999998</v>
      </c>
      <c r="K7" s="7">
        <v>172312.36</v>
      </c>
      <c r="L7" s="7">
        <v>169599.66666666701</v>
      </c>
      <c r="M7" s="7">
        <v>83482.963333333406</v>
      </c>
      <c r="N7" s="10">
        <v>0.32986445309712997</v>
      </c>
    </row>
    <row r="8" spans="1:14" x14ac:dyDescent="0.25">
      <c r="A8" s="9">
        <v>45658</v>
      </c>
      <c r="B8" t="s">
        <v>94</v>
      </c>
      <c r="C8" t="s">
        <v>95</v>
      </c>
      <c r="D8" t="s">
        <v>34</v>
      </c>
      <c r="E8" s="7">
        <v>459390.76</v>
      </c>
      <c r="F8" s="7">
        <v>194379.623333333</v>
      </c>
      <c r="G8" s="8">
        <v>80306.320000000007</v>
      </c>
      <c r="H8" s="8">
        <v>2365.0700000000002</v>
      </c>
      <c r="I8" s="6">
        <v>2890</v>
      </c>
      <c r="J8" s="7">
        <v>34864.61</v>
      </c>
      <c r="K8" s="7">
        <v>316673.53000000003</v>
      </c>
      <c r="L8" s="7">
        <v>314805.623333333</v>
      </c>
      <c r="M8" s="7">
        <v>144585.13666666701</v>
      </c>
      <c r="N8" s="10">
        <v>0.31473235697354202</v>
      </c>
    </row>
    <row r="9" spans="1:14" x14ac:dyDescent="0.25">
      <c r="A9" s="9">
        <v>45658</v>
      </c>
      <c r="B9" t="s">
        <v>41</v>
      </c>
      <c r="C9" t="s">
        <v>42</v>
      </c>
      <c r="D9" t="s">
        <v>34</v>
      </c>
      <c r="E9" s="7">
        <v>408256.15</v>
      </c>
      <c r="F9" s="7">
        <v>187881.8</v>
      </c>
      <c r="G9" s="8">
        <v>70155.570000000007</v>
      </c>
      <c r="H9" s="8">
        <v>3437.69</v>
      </c>
      <c r="I9" s="6">
        <v>4479</v>
      </c>
      <c r="J9" s="7">
        <v>30631.99</v>
      </c>
      <c r="K9" s="7">
        <v>301514.81</v>
      </c>
      <c r="L9" s="7">
        <v>296586.05</v>
      </c>
      <c r="M9" s="7">
        <v>111670.1</v>
      </c>
      <c r="N9" s="10">
        <v>0.27352949857583297</v>
      </c>
    </row>
    <row r="10" spans="1:14" x14ac:dyDescent="0.25">
      <c r="A10" s="9">
        <v>45658</v>
      </c>
      <c r="B10" t="s">
        <v>47</v>
      </c>
      <c r="C10" t="s">
        <v>48</v>
      </c>
      <c r="D10" t="s">
        <v>34</v>
      </c>
      <c r="E10" s="7">
        <v>257222.08</v>
      </c>
      <c r="F10" s="7">
        <v>107740.256666667</v>
      </c>
      <c r="G10" s="8">
        <v>46215.75</v>
      </c>
      <c r="H10" s="8">
        <v>5176.84</v>
      </c>
      <c r="I10" s="6">
        <v>8384</v>
      </c>
      <c r="J10" s="7">
        <v>15475.41</v>
      </c>
      <c r="K10" s="7">
        <v>179413.25</v>
      </c>
      <c r="L10" s="7">
        <v>182992.256666667</v>
      </c>
      <c r="M10" s="7">
        <v>74229.823333333305</v>
      </c>
      <c r="N10" s="10">
        <v>0.28858262608456198</v>
      </c>
    </row>
    <row r="11" spans="1:14" x14ac:dyDescent="0.25">
      <c r="A11" s="9">
        <v>45658</v>
      </c>
      <c r="B11" t="s">
        <v>121</v>
      </c>
      <c r="C11" t="s">
        <v>122</v>
      </c>
      <c r="D11" t="s">
        <v>34</v>
      </c>
      <c r="E11" s="7">
        <v>336788.75</v>
      </c>
      <c r="F11" s="7">
        <v>171773.51333333299</v>
      </c>
      <c r="G11" s="8">
        <v>23581.27</v>
      </c>
      <c r="H11" s="8">
        <v>4097.03</v>
      </c>
      <c r="I11" s="6">
        <v>9165</v>
      </c>
      <c r="J11" s="7">
        <v>18906.29</v>
      </c>
      <c r="K11" s="7">
        <v>229154.82</v>
      </c>
      <c r="L11" s="7">
        <v>227523.10333333301</v>
      </c>
      <c r="M11" s="7">
        <v>109265.646666667</v>
      </c>
      <c r="N11" s="10">
        <v>0.32443377834522902</v>
      </c>
    </row>
    <row r="12" spans="1:14" x14ac:dyDescent="0.25">
      <c r="A12" s="9">
        <v>45658</v>
      </c>
      <c r="B12" t="s">
        <v>201</v>
      </c>
      <c r="C12" t="s">
        <v>202</v>
      </c>
      <c r="D12" t="s">
        <v>64</v>
      </c>
      <c r="E12" s="7">
        <v>275996.19</v>
      </c>
      <c r="F12" s="7">
        <v>107439.8</v>
      </c>
      <c r="G12" s="8">
        <v>49352.19</v>
      </c>
      <c r="H12" s="8">
        <v>5448.97</v>
      </c>
      <c r="I12" s="6">
        <v>7647</v>
      </c>
      <c r="J12" s="7">
        <v>20130.61</v>
      </c>
      <c r="K12" s="7">
        <v>189971.53</v>
      </c>
      <c r="L12" s="7">
        <v>190018.57</v>
      </c>
      <c r="M12" s="7">
        <v>85977.62</v>
      </c>
      <c r="N12" s="10">
        <v>0.31151741623679702</v>
      </c>
    </row>
    <row r="13" spans="1:14" x14ac:dyDescent="0.25">
      <c r="A13" s="9">
        <v>45658</v>
      </c>
      <c r="B13" t="s">
        <v>118</v>
      </c>
      <c r="C13" t="s">
        <v>119</v>
      </c>
      <c r="D13" t="s">
        <v>64</v>
      </c>
      <c r="E13" s="7">
        <v>323384.21000000002</v>
      </c>
      <c r="F13" s="7">
        <v>148083.26666666701</v>
      </c>
      <c r="G13" s="8">
        <v>34609.06</v>
      </c>
      <c r="H13" s="8">
        <v>2439.87</v>
      </c>
      <c r="I13" s="6">
        <v>5498</v>
      </c>
      <c r="J13" s="7">
        <v>25385.59</v>
      </c>
      <c r="K13" s="7">
        <v>216520.19</v>
      </c>
      <c r="L13" s="7">
        <v>216015.786666667</v>
      </c>
      <c r="M13" s="7">
        <v>107368.423333333</v>
      </c>
      <c r="N13" s="10">
        <v>0.33201504592117598</v>
      </c>
    </row>
    <row r="14" spans="1:14" x14ac:dyDescent="0.25">
      <c r="A14" s="9">
        <v>45658</v>
      </c>
      <c r="B14" t="s">
        <v>62</v>
      </c>
      <c r="C14" t="s">
        <v>63</v>
      </c>
      <c r="D14" t="s">
        <v>64</v>
      </c>
      <c r="E14" s="7">
        <v>304742.86</v>
      </c>
      <c r="F14" s="7">
        <v>124718.6</v>
      </c>
      <c r="G14" s="8">
        <v>55216.89</v>
      </c>
      <c r="H14" s="8">
        <v>5503.6</v>
      </c>
      <c r="I14" s="6">
        <v>7063</v>
      </c>
      <c r="J14" s="7">
        <v>18805.810000000001</v>
      </c>
      <c r="K14" s="7">
        <v>203956.39</v>
      </c>
      <c r="L14" s="7">
        <v>211307.9</v>
      </c>
      <c r="M14" s="7">
        <v>93434.96</v>
      </c>
      <c r="N14" s="10">
        <v>0.30660262228949398</v>
      </c>
    </row>
    <row r="15" spans="1:14" x14ac:dyDescent="0.25">
      <c r="A15" s="9">
        <v>45658</v>
      </c>
      <c r="B15" t="s">
        <v>91</v>
      </c>
      <c r="C15" t="s">
        <v>92</v>
      </c>
      <c r="D15" t="s">
        <v>64</v>
      </c>
      <c r="E15" s="7">
        <v>305780.56</v>
      </c>
      <c r="F15" s="7">
        <v>125991.86</v>
      </c>
      <c r="G15" s="8">
        <v>57625.21</v>
      </c>
      <c r="H15" s="8">
        <v>4045.84</v>
      </c>
      <c r="I15" s="6">
        <v>6474</v>
      </c>
      <c r="J15" s="7">
        <v>20845.22</v>
      </c>
      <c r="K15" s="7">
        <v>208451.45</v>
      </c>
      <c r="L15" s="7">
        <v>214982.13</v>
      </c>
      <c r="M15" s="7">
        <v>90798.43</v>
      </c>
      <c r="N15" s="10">
        <v>0.29693983816368202</v>
      </c>
    </row>
    <row r="16" spans="1:14" x14ac:dyDescent="0.25">
      <c r="A16" s="9">
        <v>45658</v>
      </c>
      <c r="B16" t="s">
        <v>80</v>
      </c>
      <c r="C16" t="s">
        <v>81</v>
      </c>
      <c r="D16" t="s">
        <v>64</v>
      </c>
      <c r="E16" s="7">
        <v>360398.87</v>
      </c>
      <c r="F16" s="7">
        <v>158653.906666667</v>
      </c>
      <c r="G16" s="8">
        <v>65459.24</v>
      </c>
      <c r="H16" s="8">
        <v>2145.48</v>
      </c>
      <c r="I16" s="6">
        <v>4480</v>
      </c>
      <c r="J16" s="7">
        <v>26341.41</v>
      </c>
      <c r="K16" s="7">
        <v>262219.71999999997</v>
      </c>
      <c r="L16" s="7">
        <v>257080.036666667</v>
      </c>
      <c r="M16" s="7">
        <v>103318.83333333299</v>
      </c>
      <c r="N16" s="10">
        <v>0.28667912675012902</v>
      </c>
    </row>
    <row r="17" spans="1:14" x14ac:dyDescent="0.25">
      <c r="A17" s="9">
        <v>45658</v>
      </c>
      <c r="B17" t="s">
        <v>56</v>
      </c>
      <c r="C17" t="s">
        <v>57</v>
      </c>
      <c r="D17" t="s">
        <v>58</v>
      </c>
      <c r="E17" s="7">
        <v>291973.08</v>
      </c>
      <c r="F17" s="7">
        <v>120008.08</v>
      </c>
      <c r="G17" s="8">
        <v>72383.83</v>
      </c>
      <c r="H17" s="8">
        <v>3580.65</v>
      </c>
      <c r="I17" s="6">
        <v>1633</v>
      </c>
      <c r="J17" s="7">
        <v>24012.53</v>
      </c>
      <c r="K17" s="7">
        <v>229693</v>
      </c>
      <c r="L17" s="7">
        <v>221618.09</v>
      </c>
      <c r="M17" s="7">
        <v>70354.990000000005</v>
      </c>
      <c r="N17" s="10">
        <v>0.240963961472065</v>
      </c>
    </row>
    <row r="18" spans="1:14" x14ac:dyDescent="0.25">
      <c r="A18" s="9">
        <v>45658</v>
      </c>
      <c r="B18" t="s">
        <v>77</v>
      </c>
      <c r="C18" t="s">
        <v>78</v>
      </c>
      <c r="D18" t="s">
        <v>58</v>
      </c>
      <c r="E18" s="7">
        <v>201201.32</v>
      </c>
      <c r="F18" s="7">
        <v>82462.046666666705</v>
      </c>
      <c r="G18" s="8">
        <v>46251.9</v>
      </c>
      <c r="H18" s="8">
        <v>5071.3599999999997</v>
      </c>
      <c r="I18" s="6">
        <v>1242</v>
      </c>
      <c r="J18" s="7">
        <v>13993.28</v>
      </c>
      <c r="K18" s="7">
        <v>154415.67999999999</v>
      </c>
      <c r="L18" s="7">
        <v>149020.58666666699</v>
      </c>
      <c r="M18" s="7">
        <v>52180.733333333403</v>
      </c>
      <c r="N18" s="10">
        <v>0.259345879705627</v>
      </c>
    </row>
    <row r="19" spans="1:14" x14ac:dyDescent="0.25">
      <c r="A19" s="9">
        <v>45658</v>
      </c>
      <c r="B19" t="s">
        <v>110</v>
      </c>
      <c r="C19" t="s">
        <v>111</v>
      </c>
      <c r="D19" t="s">
        <v>58</v>
      </c>
      <c r="E19" s="7">
        <v>284831.13</v>
      </c>
      <c r="F19" s="7">
        <v>139224.43</v>
      </c>
      <c r="G19" s="8">
        <v>35418.92</v>
      </c>
      <c r="H19" s="8">
        <v>3243.53</v>
      </c>
      <c r="I19" s="6">
        <v>2277</v>
      </c>
      <c r="J19" s="7">
        <v>20545.02</v>
      </c>
      <c r="K19" s="7">
        <v>196666.49</v>
      </c>
      <c r="L19" s="7">
        <v>200708.9</v>
      </c>
      <c r="M19" s="7">
        <v>84122.23</v>
      </c>
      <c r="N19" s="10">
        <v>0.29534071644486298</v>
      </c>
    </row>
    <row r="20" spans="1:14" x14ac:dyDescent="0.25">
      <c r="A20" s="9">
        <v>45658</v>
      </c>
      <c r="B20" t="s">
        <v>85</v>
      </c>
      <c r="C20" t="s">
        <v>86</v>
      </c>
      <c r="D20" t="s">
        <v>58</v>
      </c>
      <c r="E20" s="7">
        <v>559247.42000000004</v>
      </c>
      <c r="F20" s="7">
        <v>151573.78333333301</v>
      </c>
      <c r="G20" s="8">
        <v>179125.04</v>
      </c>
      <c r="H20" s="8">
        <v>3030.36</v>
      </c>
      <c r="I20" s="6">
        <v>280</v>
      </c>
      <c r="J20" s="7">
        <v>43546.28</v>
      </c>
      <c r="K20" s="7">
        <v>375649.37</v>
      </c>
      <c r="L20" s="7">
        <v>377555.46333333303</v>
      </c>
      <c r="M20" s="7">
        <v>181691.95666666701</v>
      </c>
      <c r="N20" s="10">
        <v>0.32488653531323702</v>
      </c>
    </row>
    <row r="21" spans="1:14" x14ac:dyDescent="0.25">
      <c r="A21" s="9">
        <v>45658</v>
      </c>
      <c r="B21" t="s">
        <v>103</v>
      </c>
      <c r="C21" t="s">
        <v>104</v>
      </c>
      <c r="D21" t="s">
        <v>58</v>
      </c>
      <c r="E21" s="7">
        <v>290662.90999999997</v>
      </c>
      <c r="F21" s="7">
        <v>177234.67</v>
      </c>
      <c r="G21" s="8">
        <v>5931.72</v>
      </c>
      <c r="H21" s="8">
        <v>5584.87</v>
      </c>
      <c r="I21" s="6">
        <v>4130</v>
      </c>
      <c r="J21" s="7">
        <v>21993.45</v>
      </c>
      <c r="K21" s="7">
        <v>215139.23</v>
      </c>
      <c r="L21" s="7">
        <v>214874.71</v>
      </c>
      <c r="M21" s="7">
        <v>75788.2</v>
      </c>
      <c r="N21" s="10">
        <v>0.26074259010205297</v>
      </c>
    </row>
    <row r="22" spans="1:14" x14ac:dyDescent="0.25">
      <c r="A22" s="9">
        <v>45689</v>
      </c>
      <c r="B22" t="s">
        <v>100</v>
      </c>
      <c r="C22" t="s">
        <v>101</v>
      </c>
      <c r="D22" t="s">
        <v>69</v>
      </c>
      <c r="E22" s="7">
        <v>351203.43</v>
      </c>
      <c r="F22" s="7">
        <v>155986.98333333299</v>
      </c>
      <c r="G22" s="8">
        <v>50576.98</v>
      </c>
      <c r="H22" s="8">
        <v>4832</v>
      </c>
      <c r="I22" s="6">
        <v>6802</v>
      </c>
      <c r="J22" s="7">
        <v>22362.240000000002</v>
      </c>
      <c r="K22" s="7">
        <v>241877.75</v>
      </c>
      <c r="L22" s="7">
        <v>240560.20333333299</v>
      </c>
      <c r="M22" s="7">
        <v>110643.226666667</v>
      </c>
      <c r="N22" s="10">
        <v>0.31504027926682499</v>
      </c>
    </row>
    <row r="23" spans="1:14" x14ac:dyDescent="0.25">
      <c r="A23" s="9">
        <v>45689</v>
      </c>
      <c r="B23" t="s">
        <v>113</v>
      </c>
      <c r="C23" t="s">
        <v>114</v>
      </c>
      <c r="D23" t="s">
        <v>69</v>
      </c>
      <c r="E23" s="7">
        <v>359737.03</v>
      </c>
      <c r="F23" s="7">
        <v>178414.94333333301</v>
      </c>
      <c r="G23" s="8">
        <v>58187.33</v>
      </c>
      <c r="H23" s="8">
        <v>4629.9799999999996</v>
      </c>
      <c r="I23" s="6">
        <v>1708</v>
      </c>
      <c r="J23" s="7">
        <v>26374.62</v>
      </c>
      <c r="K23" s="7">
        <v>275929.53999999998</v>
      </c>
      <c r="L23" s="7">
        <v>269314.873333333</v>
      </c>
      <c r="M23" s="7">
        <v>90422.156666666706</v>
      </c>
      <c r="N23" s="10">
        <v>0.25135626617773199</v>
      </c>
    </row>
    <row r="24" spans="1:14" x14ac:dyDescent="0.25">
      <c r="A24" s="9">
        <v>45689</v>
      </c>
      <c r="B24" t="s">
        <v>143</v>
      </c>
      <c r="C24" t="s">
        <v>144</v>
      </c>
      <c r="D24" t="s">
        <v>69</v>
      </c>
      <c r="E24" s="7">
        <v>337699.18</v>
      </c>
      <c r="F24" s="7">
        <v>132360.12</v>
      </c>
      <c r="G24" s="8">
        <v>87404.68</v>
      </c>
      <c r="H24" s="8">
        <v>2855.6</v>
      </c>
      <c r="I24" s="6">
        <v>7406</v>
      </c>
      <c r="J24" s="7">
        <v>26906.65</v>
      </c>
      <c r="K24" s="7">
        <v>252084.49</v>
      </c>
      <c r="L24" s="7">
        <v>256933.05</v>
      </c>
      <c r="M24" s="7">
        <v>80766.13</v>
      </c>
      <c r="N24" s="10">
        <v>0.239165904992722</v>
      </c>
    </row>
    <row r="25" spans="1:14" x14ac:dyDescent="0.25">
      <c r="A25" s="9">
        <v>45689</v>
      </c>
      <c r="B25" t="s">
        <v>73</v>
      </c>
      <c r="C25" t="s">
        <v>74</v>
      </c>
      <c r="D25" t="s">
        <v>69</v>
      </c>
      <c r="E25" s="7">
        <v>397540.99</v>
      </c>
      <c r="F25" s="7">
        <v>188115.57666666701</v>
      </c>
      <c r="G25" s="8">
        <v>33281.51</v>
      </c>
      <c r="H25" s="8">
        <v>3648.79</v>
      </c>
      <c r="I25" s="6">
        <v>10391</v>
      </c>
      <c r="J25" s="7">
        <v>31979.65</v>
      </c>
      <c r="K25" s="7">
        <v>277166.63</v>
      </c>
      <c r="L25" s="7">
        <v>267416.52666666702</v>
      </c>
      <c r="M25" s="7">
        <v>130124.463333333</v>
      </c>
      <c r="N25" s="10">
        <v>0.32732338703823599</v>
      </c>
    </row>
    <row r="26" spans="1:14" x14ac:dyDescent="0.25">
      <c r="A26" s="9">
        <v>45689</v>
      </c>
      <c r="B26" t="s">
        <v>67</v>
      </c>
      <c r="C26" t="s">
        <v>68</v>
      </c>
      <c r="D26" t="s">
        <v>69</v>
      </c>
      <c r="E26" s="7">
        <v>285523.55</v>
      </c>
      <c r="F26" s="7">
        <v>143334.73666666701</v>
      </c>
      <c r="G26" s="8">
        <v>39452.870000000003</v>
      </c>
      <c r="H26" s="8">
        <v>3768.39</v>
      </c>
      <c r="I26" s="6">
        <v>5369</v>
      </c>
      <c r="J26" s="7">
        <v>17539.79</v>
      </c>
      <c r="K26" s="7">
        <v>201940.49</v>
      </c>
      <c r="L26" s="7">
        <v>209464.786666667</v>
      </c>
      <c r="M26" s="7">
        <v>76058.763333333307</v>
      </c>
      <c r="N26" s="10">
        <v>0.26638350263343702</v>
      </c>
    </row>
    <row r="27" spans="1:14" x14ac:dyDescent="0.25">
      <c r="A27" s="9">
        <v>45689</v>
      </c>
      <c r="B27" t="s">
        <v>32</v>
      </c>
      <c r="C27" t="s">
        <v>33</v>
      </c>
      <c r="D27" t="s">
        <v>34</v>
      </c>
      <c r="E27" s="7">
        <v>395483.58</v>
      </c>
      <c r="F27" s="7">
        <v>193280.96666666699</v>
      </c>
      <c r="G27" s="8">
        <v>50791.67</v>
      </c>
      <c r="H27" s="8">
        <v>3511.7</v>
      </c>
      <c r="I27" s="6">
        <v>3612</v>
      </c>
      <c r="J27" s="7">
        <v>32478.02</v>
      </c>
      <c r="K27" s="7">
        <v>291486.77</v>
      </c>
      <c r="L27" s="7">
        <v>283674.35666666698</v>
      </c>
      <c r="M27" s="7">
        <v>111809.22333333299</v>
      </c>
      <c r="N27" s="10">
        <v>0.28271520990412102</v>
      </c>
    </row>
    <row r="28" spans="1:14" x14ac:dyDescent="0.25">
      <c r="A28" s="9">
        <v>45689</v>
      </c>
      <c r="B28" t="s">
        <v>94</v>
      </c>
      <c r="C28" t="s">
        <v>95</v>
      </c>
      <c r="D28" t="s">
        <v>34</v>
      </c>
      <c r="E28" s="7">
        <v>363859.27</v>
      </c>
      <c r="F28" s="7">
        <v>170371.29</v>
      </c>
      <c r="G28" s="8">
        <v>61831.81</v>
      </c>
      <c r="H28" s="8">
        <v>2024.09</v>
      </c>
      <c r="I28" s="6">
        <v>11867</v>
      </c>
      <c r="J28" s="7">
        <v>24495.83</v>
      </c>
      <c r="K28" s="7">
        <v>277972.31</v>
      </c>
      <c r="L28" s="7">
        <v>270590.02</v>
      </c>
      <c r="M28" s="7">
        <v>93269.25</v>
      </c>
      <c r="N28" s="10">
        <v>0.25633330710524399</v>
      </c>
    </row>
    <row r="29" spans="1:14" x14ac:dyDescent="0.25">
      <c r="A29" s="9">
        <v>45689</v>
      </c>
      <c r="B29" t="s">
        <v>41</v>
      </c>
      <c r="C29" t="s">
        <v>42</v>
      </c>
      <c r="D29" t="s">
        <v>34</v>
      </c>
      <c r="E29" s="7">
        <v>344400.33</v>
      </c>
      <c r="F29" s="7">
        <v>182556.536666667</v>
      </c>
      <c r="G29" s="8">
        <v>22552.03</v>
      </c>
      <c r="H29" s="8">
        <v>3069.05</v>
      </c>
      <c r="I29" s="6">
        <v>3318</v>
      </c>
      <c r="J29" s="7">
        <v>25753.54</v>
      </c>
      <c r="K29" s="7">
        <v>239732.2</v>
      </c>
      <c r="L29" s="7">
        <v>237249.156666667</v>
      </c>
      <c r="M29" s="7">
        <v>107151.173333333</v>
      </c>
      <c r="N29" s="10">
        <v>0.31112389855530398</v>
      </c>
    </row>
    <row r="30" spans="1:14" x14ac:dyDescent="0.25">
      <c r="A30" s="9">
        <v>45689</v>
      </c>
      <c r="B30" t="s">
        <v>47</v>
      </c>
      <c r="C30" t="s">
        <v>48</v>
      </c>
      <c r="D30" t="s">
        <v>34</v>
      </c>
      <c r="E30" s="7">
        <v>462655.1</v>
      </c>
      <c r="F30" s="7">
        <v>223542.49666666699</v>
      </c>
      <c r="G30" s="8">
        <v>50717.33</v>
      </c>
      <c r="H30" s="8">
        <v>4125.71</v>
      </c>
      <c r="I30" s="6">
        <v>5745</v>
      </c>
      <c r="J30" s="7">
        <v>29047.68</v>
      </c>
      <c r="K30" s="7">
        <v>321937.67</v>
      </c>
      <c r="L30" s="7">
        <v>313178.21666666702</v>
      </c>
      <c r="M30" s="7">
        <v>149476.88333333301</v>
      </c>
      <c r="N30" s="10">
        <v>0.32308491429864999</v>
      </c>
    </row>
    <row r="31" spans="1:14" x14ac:dyDescent="0.25">
      <c r="A31" s="9">
        <v>45689</v>
      </c>
      <c r="B31" t="s">
        <v>121</v>
      </c>
      <c r="C31" t="s">
        <v>122</v>
      </c>
      <c r="D31" t="s">
        <v>34</v>
      </c>
      <c r="E31" s="7">
        <v>288783.43</v>
      </c>
      <c r="F31" s="7">
        <v>93107.503333333298</v>
      </c>
      <c r="G31" s="8">
        <v>69749.06</v>
      </c>
      <c r="H31" s="8">
        <v>4422.75</v>
      </c>
      <c r="I31" s="6">
        <v>3243</v>
      </c>
      <c r="J31" s="7">
        <v>20611.18</v>
      </c>
      <c r="K31" s="7">
        <v>198369.65</v>
      </c>
      <c r="L31" s="7">
        <v>191133.493333333</v>
      </c>
      <c r="M31" s="7">
        <v>97649.936666666705</v>
      </c>
      <c r="N31" s="10">
        <v>0.33814245043999502</v>
      </c>
    </row>
    <row r="32" spans="1:14" x14ac:dyDescent="0.25">
      <c r="A32" s="9">
        <v>45689</v>
      </c>
      <c r="B32" t="s">
        <v>201</v>
      </c>
      <c r="C32" t="s">
        <v>202</v>
      </c>
      <c r="D32" t="s">
        <v>64</v>
      </c>
      <c r="E32" s="7">
        <v>260889.87</v>
      </c>
      <c r="F32" s="7">
        <v>140156.01999999999</v>
      </c>
      <c r="G32" s="8">
        <v>30810.93</v>
      </c>
      <c r="H32" s="8">
        <v>2458.3000000000002</v>
      </c>
      <c r="I32" s="6">
        <v>3738</v>
      </c>
      <c r="J32" s="7">
        <v>17239.939999999999</v>
      </c>
      <c r="K32" s="7">
        <v>197541.9</v>
      </c>
      <c r="L32" s="7">
        <v>194403.19</v>
      </c>
      <c r="M32" s="7">
        <v>66486.679999999993</v>
      </c>
      <c r="N32" s="10">
        <v>0.25484577074610099</v>
      </c>
    </row>
    <row r="33" spans="1:14" x14ac:dyDescent="0.25">
      <c r="A33" s="9">
        <v>45689</v>
      </c>
      <c r="B33" t="s">
        <v>118</v>
      </c>
      <c r="C33" t="s">
        <v>119</v>
      </c>
      <c r="D33" t="s">
        <v>64</v>
      </c>
      <c r="E33" s="7">
        <v>373620.11</v>
      </c>
      <c r="F33" s="7">
        <v>108861.21666666699</v>
      </c>
      <c r="G33" s="8">
        <v>110044.66</v>
      </c>
      <c r="H33" s="8">
        <v>2223.44</v>
      </c>
      <c r="I33" s="6">
        <v>10056</v>
      </c>
      <c r="J33" s="7">
        <v>26298.62</v>
      </c>
      <c r="K33" s="7">
        <v>257575.74</v>
      </c>
      <c r="L33" s="7">
        <v>257483.936666667</v>
      </c>
      <c r="M33" s="7">
        <v>116136.173333333</v>
      </c>
      <c r="N33" s="10">
        <v>0.31084026321102798</v>
      </c>
    </row>
    <row r="34" spans="1:14" x14ac:dyDescent="0.25">
      <c r="A34" s="9">
        <v>45689</v>
      </c>
      <c r="B34" t="s">
        <v>62</v>
      </c>
      <c r="C34" t="s">
        <v>63</v>
      </c>
      <c r="D34" t="s">
        <v>64</v>
      </c>
      <c r="E34" s="7">
        <v>558321.97</v>
      </c>
      <c r="F34" s="7">
        <v>194811.85666666701</v>
      </c>
      <c r="G34" s="8">
        <v>124209.37</v>
      </c>
      <c r="H34" s="8">
        <v>3223.03</v>
      </c>
      <c r="I34" s="6">
        <v>2716</v>
      </c>
      <c r="J34" s="7">
        <v>40501.449999999997</v>
      </c>
      <c r="K34" s="7">
        <v>377180.82</v>
      </c>
      <c r="L34" s="7">
        <v>365461.70666666701</v>
      </c>
      <c r="M34" s="7">
        <v>192860.26333333299</v>
      </c>
      <c r="N34" s="10">
        <v>0.34542839740541298</v>
      </c>
    </row>
    <row r="35" spans="1:14" x14ac:dyDescent="0.25">
      <c r="A35" s="9">
        <v>45689</v>
      </c>
      <c r="B35" t="s">
        <v>91</v>
      </c>
      <c r="C35" t="s">
        <v>92</v>
      </c>
      <c r="D35" t="s">
        <v>64</v>
      </c>
      <c r="E35" s="7">
        <v>393025.84</v>
      </c>
      <c r="F35" s="7">
        <v>162027.376666667</v>
      </c>
      <c r="G35" s="8">
        <v>59107.53</v>
      </c>
      <c r="H35" s="8">
        <v>3757.23</v>
      </c>
      <c r="I35" s="6">
        <v>7350</v>
      </c>
      <c r="J35" s="7">
        <v>22600.959999999999</v>
      </c>
      <c r="K35" s="7">
        <v>253710.71</v>
      </c>
      <c r="L35" s="7">
        <v>254843.096666667</v>
      </c>
      <c r="M35" s="7">
        <v>138182.743333333</v>
      </c>
      <c r="N35" s="10">
        <v>0.35158691686361698</v>
      </c>
    </row>
    <row r="36" spans="1:14" x14ac:dyDescent="0.25">
      <c r="A36" s="9">
        <v>45689</v>
      </c>
      <c r="B36" t="s">
        <v>80</v>
      </c>
      <c r="C36" t="s">
        <v>81</v>
      </c>
      <c r="D36" t="s">
        <v>64</v>
      </c>
      <c r="E36" s="7">
        <v>272079.81</v>
      </c>
      <c r="F36" s="7">
        <v>140552.24666666699</v>
      </c>
      <c r="G36" s="8">
        <v>32889.410000000003</v>
      </c>
      <c r="H36" s="8">
        <v>5774.73</v>
      </c>
      <c r="I36" s="6">
        <v>7645</v>
      </c>
      <c r="J36" s="7">
        <v>21790.44</v>
      </c>
      <c r="K36" s="7">
        <v>208712.75</v>
      </c>
      <c r="L36" s="7">
        <v>208651.82666666701</v>
      </c>
      <c r="M36" s="7">
        <v>63427.983333333301</v>
      </c>
      <c r="N36" s="10">
        <v>0.23312271253546299</v>
      </c>
    </row>
    <row r="37" spans="1:14" x14ac:dyDescent="0.25">
      <c r="A37" s="9">
        <v>45689</v>
      </c>
      <c r="B37" t="s">
        <v>56</v>
      </c>
      <c r="C37" t="s">
        <v>57</v>
      </c>
      <c r="D37" t="s">
        <v>58</v>
      </c>
      <c r="E37" s="7">
        <v>354382.57</v>
      </c>
      <c r="F37" s="7">
        <v>168776.98</v>
      </c>
      <c r="G37" s="8">
        <v>45500.12</v>
      </c>
      <c r="H37" s="8">
        <v>3358.99</v>
      </c>
      <c r="I37" s="6">
        <v>2660</v>
      </c>
      <c r="J37" s="7">
        <v>22571.69</v>
      </c>
      <c r="K37" s="7">
        <v>246005.37</v>
      </c>
      <c r="L37" s="7">
        <v>242867.78</v>
      </c>
      <c r="M37" s="7">
        <v>111514.79</v>
      </c>
      <c r="N37" s="10">
        <v>0.31467346150799702</v>
      </c>
    </row>
    <row r="38" spans="1:14" x14ac:dyDescent="0.25">
      <c r="A38" s="9">
        <v>45689</v>
      </c>
      <c r="B38" t="s">
        <v>77</v>
      </c>
      <c r="C38" t="s">
        <v>78</v>
      </c>
      <c r="D38" t="s">
        <v>58</v>
      </c>
      <c r="E38" s="7">
        <v>314082.92</v>
      </c>
      <c r="F38" s="7">
        <v>172559.37</v>
      </c>
      <c r="G38" s="8">
        <v>30160.17</v>
      </c>
      <c r="H38" s="8">
        <v>4926.7</v>
      </c>
      <c r="I38" s="6">
        <v>7738</v>
      </c>
      <c r="J38" s="7">
        <v>25004.28</v>
      </c>
      <c r="K38" s="7">
        <v>232130.87</v>
      </c>
      <c r="L38" s="7">
        <v>240388.52</v>
      </c>
      <c r="M38" s="7">
        <v>73694.399999999994</v>
      </c>
      <c r="N38" s="10">
        <v>0.234633580202324</v>
      </c>
    </row>
    <row r="39" spans="1:14" x14ac:dyDescent="0.25">
      <c r="A39" s="9">
        <v>45689</v>
      </c>
      <c r="B39" t="s">
        <v>110</v>
      </c>
      <c r="C39" t="s">
        <v>111</v>
      </c>
      <c r="D39" t="s">
        <v>58</v>
      </c>
      <c r="E39" s="7">
        <v>476779.3</v>
      </c>
      <c r="F39" s="7">
        <v>269461.23333333299</v>
      </c>
      <c r="G39" s="8">
        <v>18460.07</v>
      </c>
      <c r="H39" s="8">
        <v>3566.86</v>
      </c>
      <c r="I39" s="6">
        <v>6949</v>
      </c>
      <c r="J39" s="7">
        <v>31929.93</v>
      </c>
      <c r="K39" s="7">
        <v>324024.99</v>
      </c>
      <c r="L39" s="7">
        <v>330367.09333333297</v>
      </c>
      <c r="M39" s="7">
        <v>146412.20666666701</v>
      </c>
      <c r="N39" s="10">
        <v>0.30708591305592903</v>
      </c>
    </row>
    <row r="40" spans="1:14" x14ac:dyDescent="0.25">
      <c r="A40" s="9">
        <v>45689</v>
      </c>
      <c r="B40" t="s">
        <v>85</v>
      </c>
      <c r="C40" t="s">
        <v>86</v>
      </c>
      <c r="D40" t="s">
        <v>58</v>
      </c>
      <c r="E40" s="7">
        <v>488956.01</v>
      </c>
      <c r="F40" s="7">
        <v>234469.10666666701</v>
      </c>
      <c r="G40" s="8">
        <v>61111.41</v>
      </c>
      <c r="H40" s="8">
        <v>4166.32</v>
      </c>
      <c r="I40" s="6">
        <v>6909</v>
      </c>
      <c r="J40" s="7">
        <v>29250.080000000002</v>
      </c>
      <c r="K40" s="7">
        <v>325700.90000000002</v>
      </c>
      <c r="L40" s="7">
        <v>335905.91666666698</v>
      </c>
      <c r="M40" s="7">
        <v>153050.093333333</v>
      </c>
      <c r="N40" s="10">
        <v>0.31301403439817299</v>
      </c>
    </row>
    <row r="41" spans="1:14" x14ac:dyDescent="0.25">
      <c r="A41" s="9">
        <v>45689</v>
      </c>
      <c r="B41" t="s">
        <v>103</v>
      </c>
      <c r="C41" t="s">
        <v>104</v>
      </c>
      <c r="D41" t="s">
        <v>58</v>
      </c>
      <c r="E41" s="7">
        <v>397565.47</v>
      </c>
      <c r="F41" s="7">
        <v>195071.79666666701</v>
      </c>
      <c r="G41" s="8">
        <v>26617.63</v>
      </c>
      <c r="H41" s="8">
        <v>5200.74</v>
      </c>
      <c r="I41" s="6">
        <v>6199</v>
      </c>
      <c r="J41" s="7">
        <v>32402.87</v>
      </c>
      <c r="K41" s="7">
        <v>265958.15999999997</v>
      </c>
      <c r="L41" s="7">
        <v>265492.03666666697</v>
      </c>
      <c r="M41" s="7">
        <v>132073.433333333</v>
      </c>
      <c r="N41" s="10">
        <v>0.33220549393621501</v>
      </c>
    </row>
    <row r="42" spans="1:14" x14ac:dyDescent="0.25">
      <c r="A42" s="9">
        <v>45717</v>
      </c>
      <c r="B42" t="s">
        <v>100</v>
      </c>
      <c r="C42" t="s">
        <v>101</v>
      </c>
      <c r="D42" t="s">
        <v>69</v>
      </c>
      <c r="E42" s="7">
        <v>291212.40000000002</v>
      </c>
      <c r="F42" s="7">
        <v>110484.61</v>
      </c>
      <c r="G42" s="8">
        <v>57946.44</v>
      </c>
      <c r="H42" s="8">
        <v>2276.5300000000002</v>
      </c>
      <c r="I42" s="6">
        <v>5880</v>
      </c>
      <c r="J42" s="7">
        <v>18053.46</v>
      </c>
      <c r="K42" s="7">
        <v>202159.73</v>
      </c>
      <c r="L42" s="7">
        <v>194641.04</v>
      </c>
      <c r="M42" s="7">
        <v>96571.36</v>
      </c>
      <c r="N42" s="10">
        <v>0.331618296473639</v>
      </c>
    </row>
    <row r="43" spans="1:14" x14ac:dyDescent="0.25">
      <c r="A43" s="9">
        <v>45717</v>
      </c>
      <c r="B43" t="s">
        <v>113</v>
      </c>
      <c r="C43" t="s">
        <v>114</v>
      </c>
      <c r="D43" t="s">
        <v>69</v>
      </c>
      <c r="E43" s="7">
        <v>400910.01</v>
      </c>
      <c r="F43" s="7">
        <v>192893.53333333301</v>
      </c>
      <c r="G43" s="8">
        <v>37350.660000000003</v>
      </c>
      <c r="H43" s="8">
        <v>2012.88</v>
      </c>
      <c r="I43" s="6">
        <v>1840</v>
      </c>
      <c r="J43" s="7">
        <v>26545.85</v>
      </c>
      <c r="K43" s="7">
        <v>269661.31</v>
      </c>
      <c r="L43" s="7">
        <v>260642.92333333299</v>
      </c>
      <c r="M43" s="7">
        <v>140267.08666666699</v>
      </c>
      <c r="N43" s="10">
        <v>0.34987174968932999</v>
      </c>
    </row>
    <row r="44" spans="1:14" x14ac:dyDescent="0.25">
      <c r="A44" s="9">
        <v>45717</v>
      </c>
      <c r="B44" t="s">
        <v>143</v>
      </c>
      <c r="C44" t="s">
        <v>144</v>
      </c>
      <c r="D44" t="s">
        <v>69</v>
      </c>
      <c r="E44" s="7">
        <v>278175.87</v>
      </c>
      <c r="F44" s="7">
        <v>116533.66</v>
      </c>
      <c r="G44" s="8">
        <v>51327.17</v>
      </c>
      <c r="H44" s="8">
        <v>4005.23</v>
      </c>
      <c r="I44" s="6">
        <v>2478</v>
      </c>
      <c r="J44" s="7">
        <v>15814.7</v>
      </c>
      <c r="K44" s="7">
        <v>182943.27</v>
      </c>
      <c r="L44" s="7">
        <v>190158.76</v>
      </c>
      <c r="M44" s="7">
        <v>88017.11</v>
      </c>
      <c r="N44" s="10">
        <v>0.31640814136754603</v>
      </c>
    </row>
    <row r="45" spans="1:14" x14ac:dyDescent="0.25">
      <c r="A45" s="9">
        <v>45717</v>
      </c>
      <c r="B45" t="s">
        <v>73</v>
      </c>
      <c r="C45" t="s">
        <v>74</v>
      </c>
      <c r="D45" t="s">
        <v>69</v>
      </c>
      <c r="E45" s="7">
        <v>268184.90999999997</v>
      </c>
      <c r="F45" s="7">
        <v>129373.2</v>
      </c>
      <c r="G45" s="8">
        <v>31278.92</v>
      </c>
      <c r="H45" s="8">
        <v>5124.8999999999996</v>
      </c>
      <c r="I45" s="6">
        <v>2277</v>
      </c>
      <c r="J45" s="7">
        <v>18119.55</v>
      </c>
      <c r="K45" s="7">
        <v>183495.62</v>
      </c>
      <c r="L45" s="7">
        <v>186173.57</v>
      </c>
      <c r="M45" s="7">
        <v>82011.34</v>
      </c>
      <c r="N45" s="10">
        <v>0.30580147108202299</v>
      </c>
    </row>
    <row r="46" spans="1:14" x14ac:dyDescent="0.25">
      <c r="A46" s="9">
        <v>45717</v>
      </c>
      <c r="B46" t="s">
        <v>67</v>
      </c>
      <c r="C46" t="s">
        <v>68</v>
      </c>
      <c r="D46" t="s">
        <v>69</v>
      </c>
      <c r="E46" s="7">
        <v>453023.57</v>
      </c>
      <c r="F46" s="7">
        <v>215201.92666666699</v>
      </c>
      <c r="G46" s="8">
        <v>58458.07</v>
      </c>
      <c r="H46" s="8">
        <v>2386.38</v>
      </c>
      <c r="I46" s="6">
        <v>1886</v>
      </c>
      <c r="J46" s="7">
        <v>36180.42</v>
      </c>
      <c r="K46" s="7">
        <v>306067.24</v>
      </c>
      <c r="L46" s="7">
        <v>314112.79666666698</v>
      </c>
      <c r="M46" s="7">
        <v>138910.773333333</v>
      </c>
      <c r="N46" s="10">
        <v>0.30663034449473198</v>
      </c>
    </row>
    <row r="47" spans="1:14" x14ac:dyDescent="0.25">
      <c r="A47" s="9">
        <v>45717</v>
      </c>
      <c r="B47" t="s">
        <v>32</v>
      </c>
      <c r="C47" t="s">
        <v>33</v>
      </c>
      <c r="D47" t="s">
        <v>34</v>
      </c>
      <c r="E47" s="7">
        <v>440414.93</v>
      </c>
      <c r="F47" s="7">
        <v>218610.26</v>
      </c>
      <c r="G47" s="8">
        <v>64322.09</v>
      </c>
      <c r="H47" s="8">
        <v>2952.65</v>
      </c>
      <c r="I47" s="6">
        <v>7528</v>
      </c>
      <c r="J47" s="7">
        <v>31667.1</v>
      </c>
      <c r="K47" s="7">
        <v>319867.26</v>
      </c>
      <c r="L47" s="7">
        <v>325080.09999999998</v>
      </c>
      <c r="M47" s="7">
        <v>115334.83</v>
      </c>
      <c r="N47" s="10">
        <v>0.26187765705399701</v>
      </c>
    </row>
    <row r="48" spans="1:14" x14ac:dyDescent="0.25">
      <c r="A48" s="9">
        <v>45717</v>
      </c>
      <c r="B48" t="s">
        <v>94</v>
      </c>
      <c r="C48" t="s">
        <v>95</v>
      </c>
      <c r="D48" t="s">
        <v>34</v>
      </c>
      <c r="E48" s="7">
        <v>252980.12</v>
      </c>
      <c r="F48" s="7">
        <v>106549.233333333</v>
      </c>
      <c r="G48" s="8">
        <v>44227.64</v>
      </c>
      <c r="H48" s="8">
        <v>5313.22</v>
      </c>
      <c r="I48" s="6">
        <v>6194</v>
      </c>
      <c r="J48" s="7">
        <v>19716.84</v>
      </c>
      <c r="K48" s="7">
        <v>184446.79</v>
      </c>
      <c r="L48" s="7">
        <v>182000.933333333</v>
      </c>
      <c r="M48" s="7">
        <v>70979.186666666705</v>
      </c>
      <c r="N48" s="10">
        <v>0.28057219146969598</v>
      </c>
    </row>
    <row r="49" spans="1:14" x14ac:dyDescent="0.25">
      <c r="A49" s="9">
        <v>45717</v>
      </c>
      <c r="B49" t="s">
        <v>41</v>
      </c>
      <c r="C49" t="s">
        <v>42</v>
      </c>
      <c r="D49" t="s">
        <v>34</v>
      </c>
      <c r="E49" s="7">
        <v>398203.09</v>
      </c>
      <c r="F49" s="7">
        <v>145621.53333333301</v>
      </c>
      <c r="G49" s="8">
        <v>76587.73</v>
      </c>
      <c r="H49" s="8">
        <v>4632.34</v>
      </c>
      <c r="I49" s="6">
        <v>7090</v>
      </c>
      <c r="J49" s="7">
        <v>28004.41</v>
      </c>
      <c r="K49" s="7">
        <v>261929.4</v>
      </c>
      <c r="L49" s="7">
        <v>261936.01333333299</v>
      </c>
      <c r="M49" s="7">
        <v>136267.07666666701</v>
      </c>
      <c r="N49" s="10">
        <v>0.34220497050052201</v>
      </c>
    </row>
    <row r="50" spans="1:14" x14ac:dyDescent="0.25">
      <c r="A50" s="9">
        <v>45717</v>
      </c>
      <c r="B50" t="s">
        <v>47</v>
      </c>
      <c r="C50" t="s">
        <v>48</v>
      </c>
      <c r="D50" t="s">
        <v>34</v>
      </c>
      <c r="E50" s="7">
        <v>432805.38</v>
      </c>
      <c r="F50" s="7">
        <v>225566.72</v>
      </c>
      <c r="G50" s="8">
        <v>21847.98</v>
      </c>
      <c r="H50" s="8">
        <v>2982.72</v>
      </c>
      <c r="I50" s="6">
        <v>8670</v>
      </c>
      <c r="J50" s="7">
        <v>27315.42</v>
      </c>
      <c r="K50" s="7">
        <v>278715.78999999998</v>
      </c>
      <c r="L50" s="7">
        <v>286382.84000000003</v>
      </c>
      <c r="M50" s="7">
        <v>146422.54</v>
      </c>
      <c r="N50" s="10">
        <v>0.33831035094804102</v>
      </c>
    </row>
    <row r="51" spans="1:14" x14ac:dyDescent="0.25">
      <c r="A51" s="9">
        <v>45717</v>
      </c>
      <c r="B51" t="s">
        <v>121</v>
      </c>
      <c r="C51" t="s">
        <v>122</v>
      </c>
      <c r="D51" t="s">
        <v>34</v>
      </c>
      <c r="E51" s="7">
        <v>513792.71</v>
      </c>
      <c r="F51" s="7">
        <v>169901.28333333301</v>
      </c>
      <c r="G51" s="8">
        <v>136761.76999999999</v>
      </c>
      <c r="H51" s="8">
        <v>3438.75</v>
      </c>
      <c r="I51" s="6">
        <v>4913</v>
      </c>
      <c r="J51" s="7">
        <v>36885.519999999997</v>
      </c>
      <c r="K51" s="7">
        <v>352032.26</v>
      </c>
      <c r="L51" s="7">
        <v>351900.32333333301</v>
      </c>
      <c r="M51" s="7">
        <v>161892.38666666701</v>
      </c>
      <c r="N51" s="10">
        <v>0.315092805942433</v>
      </c>
    </row>
    <row r="52" spans="1:14" x14ac:dyDescent="0.25">
      <c r="A52" s="9">
        <v>45717</v>
      </c>
      <c r="B52" t="s">
        <v>201</v>
      </c>
      <c r="C52" t="s">
        <v>202</v>
      </c>
      <c r="D52" t="s">
        <v>64</v>
      </c>
      <c r="E52" s="7">
        <v>428183.98</v>
      </c>
      <c r="F52" s="7">
        <v>161454.67666666699</v>
      </c>
      <c r="G52" s="8">
        <v>100140.99</v>
      </c>
      <c r="H52" s="8">
        <v>4638.72</v>
      </c>
      <c r="I52" s="6">
        <v>5610</v>
      </c>
      <c r="J52" s="7">
        <v>33211.96</v>
      </c>
      <c r="K52" s="7">
        <v>306974.44</v>
      </c>
      <c r="L52" s="7">
        <v>305056.34666666703</v>
      </c>
      <c r="M52" s="7">
        <v>123127.633333333</v>
      </c>
      <c r="N52" s="10">
        <v>0.28755777676066602</v>
      </c>
    </row>
    <row r="53" spans="1:14" x14ac:dyDescent="0.25">
      <c r="A53" s="9">
        <v>45717</v>
      </c>
      <c r="B53" t="s">
        <v>118</v>
      </c>
      <c r="C53" t="s">
        <v>119</v>
      </c>
      <c r="D53" t="s">
        <v>64</v>
      </c>
      <c r="E53" s="7">
        <v>451346.05</v>
      </c>
      <c r="F53" s="7">
        <v>172037.69666666701</v>
      </c>
      <c r="G53" s="8">
        <v>77058.600000000006</v>
      </c>
      <c r="H53" s="8">
        <v>5354.41</v>
      </c>
      <c r="I53" s="6">
        <v>7999</v>
      </c>
      <c r="J53" s="7">
        <v>37419.5</v>
      </c>
      <c r="K53" s="7">
        <v>299320.7</v>
      </c>
      <c r="L53" s="7">
        <v>299869.20666666701</v>
      </c>
      <c r="M53" s="7">
        <v>151476.843333333</v>
      </c>
      <c r="N53" s="10">
        <v>0.33561131937087602</v>
      </c>
    </row>
    <row r="54" spans="1:14" x14ac:dyDescent="0.25">
      <c r="A54" s="9">
        <v>45717</v>
      </c>
      <c r="B54" t="s">
        <v>62</v>
      </c>
      <c r="C54" t="s">
        <v>63</v>
      </c>
      <c r="D54" t="s">
        <v>64</v>
      </c>
      <c r="E54" s="7">
        <v>286903.15999999997</v>
      </c>
      <c r="F54" s="7">
        <v>100708.653333333</v>
      </c>
      <c r="G54" s="8">
        <v>70695.56</v>
      </c>
      <c r="H54" s="8">
        <v>2082.6799999999998</v>
      </c>
      <c r="I54" s="6">
        <v>3444</v>
      </c>
      <c r="J54" s="7">
        <v>18078.93</v>
      </c>
      <c r="K54" s="7">
        <v>196395.82</v>
      </c>
      <c r="L54" s="7">
        <v>195009.82333333301</v>
      </c>
      <c r="M54" s="7">
        <v>91893.336666666597</v>
      </c>
      <c r="N54" s="10">
        <v>0.32029391613067898</v>
      </c>
    </row>
    <row r="55" spans="1:14" x14ac:dyDescent="0.25">
      <c r="A55" s="9">
        <v>45717</v>
      </c>
      <c r="B55" t="s">
        <v>91</v>
      </c>
      <c r="C55" t="s">
        <v>92</v>
      </c>
      <c r="D55" t="s">
        <v>64</v>
      </c>
      <c r="E55" s="7">
        <v>370141.81</v>
      </c>
      <c r="F55" s="7">
        <v>161890.51333333299</v>
      </c>
      <c r="G55" s="8">
        <v>68547.850000000006</v>
      </c>
      <c r="H55" s="8">
        <v>3076.2</v>
      </c>
      <c r="I55" s="6">
        <v>11301</v>
      </c>
      <c r="J55" s="7">
        <v>21667.15</v>
      </c>
      <c r="K55" s="7">
        <v>275110.82</v>
      </c>
      <c r="L55" s="7">
        <v>266482.71333333303</v>
      </c>
      <c r="M55" s="7">
        <v>103659.096666667</v>
      </c>
      <c r="N55" s="10">
        <v>0.280052384967444</v>
      </c>
    </row>
    <row r="56" spans="1:14" x14ac:dyDescent="0.25">
      <c r="A56" s="9">
        <v>45717</v>
      </c>
      <c r="B56" t="s">
        <v>80</v>
      </c>
      <c r="C56" t="s">
        <v>81</v>
      </c>
      <c r="D56" t="s">
        <v>64</v>
      </c>
      <c r="E56" s="7">
        <v>272476.34000000003</v>
      </c>
      <c r="F56" s="7">
        <v>115822.12</v>
      </c>
      <c r="G56" s="8">
        <v>62611.98</v>
      </c>
      <c r="H56" s="8">
        <v>2698.25</v>
      </c>
      <c r="I56" s="6">
        <v>3738</v>
      </c>
      <c r="J56" s="7">
        <v>19735.25</v>
      </c>
      <c r="K56" s="7">
        <v>198262.71</v>
      </c>
      <c r="L56" s="7">
        <v>204605.6</v>
      </c>
      <c r="M56" s="7">
        <v>67870.740000000005</v>
      </c>
      <c r="N56" s="10">
        <v>0.24908856306569599</v>
      </c>
    </row>
    <row r="57" spans="1:14" x14ac:dyDescent="0.25">
      <c r="A57" s="9">
        <v>45717</v>
      </c>
      <c r="B57" t="s">
        <v>56</v>
      </c>
      <c r="C57" t="s">
        <v>57</v>
      </c>
      <c r="D57" t="s">
        <v>58</v>
      </c>
      <c r="E57" s="7">
        <v>329573.05</v>
      </c>
      <c r="F57" s="7">
        <v>123358.076666667</v>
      </c>
      <c r="G57" s="8">
        <v>75932.55</v>
      </c>
      <c r="H57" s="8">
        <v>3714.73</v>
      </c>
      <c r="I57" s="6">
        <v>7540</v>
      </c>
      <c r="J57" s="7">
        <v>23014.31</v>
      </c>
      <c r="K57" s="7">
        <v>234528.43</v>
      </c>
      <c r="L57" s="7">
        <v>233559.66666666701</v>
      </c>
      <c r="M57" s="7">
        <v>96013.383333333302</v>
      </c>
      <c r="N57" s="10">
        <v>0.29132656123834599</v>
      </c>
    </row>
    <row r="58" spans="1:14" x14ac:dyDescent="0.25">
      <c r="A58" s="9">
        <v>45717</v>
      </c>
      <c r="B58" t="s">
        <v>77</v>
      </c>
      <c r="C58" t="s">
        <v>78</v>
      </c>
      <c r="D58" t="s">
        <v>58</v>
      </c>
      <c r="E58" s="7">
        <v>341455.13</v>
      </c>
      <c r="F58" s="7">
        <v>146779.94</v>
      </c>
      <c r="G58" s="8">
        <v>70387.41</v>
      </c>
      <c r="H58" s="8">
        <v>3985.9</v>
      </c>
      <c r="I58" s="6">
        <v>3934</v>
      </c>
      <c r="J58" s="7">
        <v>23773.88</v>
      </c>
      <c r="K58" s="7">
        <v>252329.11</v>
      </c>
      <c r="L58" s="7">
        <v>248861.13</v>
      </c>
      <c r="M58" s="7">
        <v>92594</v>
      </c>
      <c r="N58" s="10">
        <v>0.27117472213699101</v>
      </c>
    </row>
    <row r="59" spans="1:14" x14ac:dyDescent="0.25">
      <c r="A59" s="9">
        <v>45717</v>
      </c>
      <c r="B59" t="s">
        <v>110</v>
      </c>
      <c r="C59" t="s">
        <v>111</v>
      </c>
      <c r="D59" t="s">
        <v>58</v>
      </c>
      <c r="E59" s="7">
        <v>257115.53</v>
      </c>
      <c r="F59" s="7">
        <v>106408.33333333299</v>
      </c>
      <c r="G59" s="8">
        <v>38264.46</v>
      </c>
      <c r="H59" s="8">
        <v>3962.45</v>
      </c>
      <c r="I59" s="6">
        <v>5484</v>
      </c>
      <c r="J59" s="7">
        <v>18408.53</v>
      </c>
      <c r="K59" s="7">
        <v>168720.16</v>
      </c>
      <c r="L59" s="7">
        <v>172527.773333333</v>
      </c>
      <c r="M59" s="7">
        <v>84587.756666666697</v>
      </c>
      <c r="N59" s="10">
        <v>0.32898734925372503</v>
      </c>
    </row>
    <row r="60" spans="1:14" x14ac:dyDescent="0.25">
      <c r="A60" s="9">
        <v>45717</v>
      </c>
      <c r="B60" t="s">
        <v>85</v>
      </c>
      <c r="C60" t="s">
        <v>86</v>
      </c>
      <c r="D60" t="s">
        <v>58</v>
      </c>
      <c r="E60" s="7">
        <v>463853.34</v>
      </c>
      <c r="F60" s="7">
        <v>212527.30333333299</v>
      </c>
      <c r="G60" s="8">
        <v>61643.71</v>
      </c>
      <c r="H60" s="8">
        <v>5312.94</v>
      </c>
      <c r="I60" s="6">
        <v>2464</v>
      </c>
      <c r="J60" s="7">
        <v>30438.65</v>
      </c>
      <c r="K60" s="7">
        <v>319359.84000000003</v>
      </c>
      <c r="L60" s="7">
        <v>312386.60333333298</v>
      </c>
      <c r="M60" s="7">
        <v>151466.73666666701</v>
      </c>
      <c r="N60" s="10">
        <v>0.32654014449193502</v>
      </c>
    </row>
    <row r="61" spans="1:14" x14ac:dyDescent="0.25">
      <c r="A61" s="9">
        <v>45717</v>
      </c>
      <c r="B61" t="s">
        <v>103</v>
      </c>
      <c r="C61" t="s">
        <v>104</v>
      </c>
      <c r="D61" t="s">
        <v>58</v>
      </c>
      <c r="E61" s="7">
        <v>414831.94</v>
      </c>
      <c r="F61" s="7">
        <v>173523.523333333</v>
      </c>
      <c r="G61" s="8">
        <v>82137.03</v>
      </c>
      <c r="H61" s="8">
        <v>4529.83</v>
      </c>
      <c r="I61" s="6">
        <v>3318</v>
      </c>
      <c r="J61" s="7">
        <v>32745.14</v>
      </c>
      <c r="K61" s="7">
        <v>303477.64</v>
      </c>
      <c r="L61" s="7">
        <v>296253.52333333303</v>
      </c>
      <c r="M61" s="7">
        <v>118578.41666666701</v>
      </c>
      <c r="N61" s="10">
        <v>0.285846882153449</v>
      </c>
    </row>
    <row r="62" spans="1:14" x14ac:dyDescent="0.25">
      <c r="A62" s="9">
        <v>45748</v>
      </c>
      <c r="B62" t="s">
        <v>100</v>
      </c>
      <c r="C62" t="s">
        <v>101</v>
      </c>
      <c r="D62" t="s">
        <v>69</v>
      </c>
      <c r="E62" s="7">
        <v>329750.40000000002</v>
      </c>
      <c r="F62" s="7">
        <v>121133.586666667</v>
      </c>
      <c r="G62" s="8">
        <v>68284.87</v>
      </c>
      <c r="H62" s="8">
        <v>3582.81</v>
      </c>
      <c r="I62" s="6">
        <v>9187</v>
      </c>
      <c r="J62" s="7">
        <v>22075.06</v>
      </c>
      <c r="K62" s="7">
        <v>220546.83</v>
      </c>
      <c r="L62" s="7">
        <v>224263.32666666701</v>
      </c>
      <c r="M62" s="7">
        <v>105487.073333333</v>
      </c>
      <c r="N62" s="10">
        <v>0.31989975852442698</v>
      </c>
    </row>
    <row r="63" spans="1:14" x14ac:dyDescent="0.25">
      <c r="A63" s="9">
        <v>45748</v>
      </c>
      <c r="B63" t="s">
        <v>113</v>
      </c>
      <c r="C63" t="s">
        <v>114</v>
      </c>
      <c r="D63" t="s">
        <v>69</v>
      </c>
      <c r="E63" s="7">
        <v>265453.58</v>
      </c>
      <c r="F63" s="7">
        <v>137696.92333333299</v>
      </c>
      <c r="G63" s="8">
        <v>32233.38</v>
      </c>
      <c r="H63" s="8">
        <v>4761.25</v>
      </c>
      <c r="I63" s="6">
        <v>6853</v>
      </c>
      <c r="J63" s="7">
        <v>19415.91</v>
      </c>
      <c r="K63" s="7">
        <v>199700.56</v>
      </c>
      <c r="L63" s="7">
        <v>200960.463333333</v>
      </c>
      <c r="M63" s="7">
        <v>64493.116666666698</v>
      </c>
      <c r="N63" s="10">
        <v>0.24295440531134199</v>
      </c>
    </row>
    <row r="64" spans="1:14" x14ac:dyDescent="0.25">
      <c r="A64" s="9">
        <v>45748</v>
      </c>
      <c r="B64" t="s">
        <v>143</v>
      </c>
      <c r="C64" t="s">
        <v>144</v>
      </c>
      <c r="D64" t="s">
        <v>69</v>
      </c>
      <c r="E64" s="7">
        <v>299705.71999999997</v>
      </c>
      <c r="F64" s="7">
        <v>112291.343333333</v>
      </c>
      <c r="G64" s="8">
        <v>66468.11</v>
      </c>
      <c r="H64" s="8">
        <v>2358.5</v>
      </c>
      <c r="I64" s="6">
        <v>3577</v>
      </c>
      <c r="J64" s="7">
        <v>23992.22</v>
      </c>
      <c r="K64" s="7">
        <v>206622.25</v>
      </c>
      <c r="L64" s="7">
        <v>208687.17333333299</v>
      </c>
      <c r="M64" s="7">
        <v>91018.546666666705</v>
      </c>
      <c r="N64" s="10">
        <v>0.30369305819944498</v>
      </c>
    </row>
    <row r="65" spans="1:14" x14ac:dyDescent="0.25">
      <c r="A65" s="9">
        <v>45748</v>
      </c>
      <c r="B65" t="s">
        <v>73</v>
      </c>
      <c r="C65" t="s">
        <v>74</v>
      </c>
      <c r="D65" t="s">
        <v>69</v>
      </c>
      <c r="E65" s="7">
        <v>334383.13</v>
      </c>
      <c r="F65" s="7">
        <v>195498.273333333</v>
      </c>
      <c r="G65" s="8">
        <v>6670.14</v>
      </c>
      <c r="H65" s="8">
        <v>2174.34</v>
      </c>
      <c r="I65" s="6">
        <v>4956</v>
      </c>
      <c r="J65" s="7">
        <v>25617.31</v>
      </c>
      <c r="K65" s="7">
        <v>243101.6</v>
      </c>
      <c r="L65" s="7">
        <v>234916.063333333</v>
      </c>
      <c r="M65" s="7">
        <v>99467.066666666695</v>
      </c>
      <c r="N65" s="10">
        <v>0.29746436869188497</v>
      </c>
    </row>
    <row r="66" spans="1:14" x14ac:dyDescent="0.25">
      <c r="A66" s="9">
        <v>45748</v>
      </c>
      <c r="B66" t="s">
        <v>67</v>
      </c>
      <c r="C66" t="s">
        <v>68</v>
      </c>
      <c r="D66" t="s">
        <v>69</v>
      </c>
      <c r="E66" s="7">
        <v>433912.36</v>
      </c>
      <c r="F66" s="7">
        <v>202028.97</v>
      </c>
      <c r="G66" s="8">
        <v>65986.100000000006</v>
      </c>
      <c r="H66" s="8">
        <v>4757.53</v>
      </c>
      <c r="I66" s="6">
        <v>4326</v>
      </c>
      <c r="J66" s="7">
        <v>27323.18</v>
      </c>
      <c r="K66" s="7">
        <v>304706.73</v>
      </c>
      <c r="L66" s="7">
        <v>304421.78000000003</v>
      </c>
      <c r="M66" s="7">
        <v>129490.58</v>
      </c>
      <c r="N66" s="10">
        <v>0.29842565443399699</v>
      </c>
    </row>
    <row r="67" spans="1:14" x14ac:dyDescent="0.25">
      <c r="A67" s="9">
        <v>45748</v>
      </c>
      <c r="B67" t="s">
        <v>32</v>
      </c>
      <c r="C67" t="s">
        <v>33</v>
      </c>
      <c r="D67" t="s">
        <v>34</v>
      </c>
      <c r="E67" s="7">
        <v>490275.57</v>
      </c>
      <c r="F67" s="7">
        <v>215047.813333333</v>
      </c>
      <c r="G67" s="8">
        <v>101847.6</v>
      </c>
      <c r="H67" s="8">
        <v>5269.58</v>
      </c>
      <c r="I67" s="6">
        <v>6668</v>
      </c>
      <c r="J67" s="7">
        <v>33494.839999999997</v>
      </c>
      <c r="K67" s="7">
        <v>352268.14</v>
      </c>
      <c r="L67" s="7">
        <v>362327.83333333302</v>
      </c>
      <c r="M67" s="7">
        <v>127947.736666667</v>
      </c>
      <c r="N67" s="10">
        <v>0.26097106300170497</v>
      </c>
    </row>
    <row r="68" spans="1:14" x14ac:dyDescent="0.25">
      <c r="A68" s="9">
        <v>45748</v>
      </c>
      <c r="B68" t="s">
        <v>94</v>
      </c>
      <c r="C68" t="s">
        <v>95</v>
      </c>
      <c r="D68" t="s">
        <v>34</v>
      </c>
      <c r="E68" s="7">
        <v>400686.66</v>
      </c>
      <c r="F68" s="7">
        <v>176907.69</v>
      </c>
      <c r="G68" s="8">
        <v>72641.5</v>
      </c>
      <c r="H68" s="8">
        <v>2979.43</v>
      </c>
      <c r="I68" s="6">
        <v>7444</v>
      </c>
      <c r="J68" s="7">
        <v>26676.94</v>
      </c>
      <c r="K68" s="7">
        <v>278848.27</v>
      </c>
      <c r="L68" s="7">
        <v>286649.56</v>
      </c>
      <c r="M68" s="7">
        <v>114037.1</v>
      </c>
      <c r="N68" s="10">
        <v>0.28460418422714701</v>
      </c>
    </row>
    <row r="69" spans="1:14" x14ac:dyDescent="0.25">
      <c r="A69" s="9">
        <v>45748</v>
      </c>
      <c r="B69" t="s">
        <v>41</v>
      </c>
      <c r="C69" t="s">
        <v>42</v>
      </c>
      <c r="D69" t="s">
        <v>34</v>
      </c>
      <c r="E69" s="7">
        <v>412735.8</v>
      </c>
      <c r="F69" s="7">
        <v>135715.51999999999</v>
      </c>
      <c r="G69" s="8">
        <v>96137.57</v>
      </c>
      <c r="H69" s="8">
        <v>2560.14</v>
      </c>
      <c r="I69" s="6">
        <v>8084</v>
      </c>
      <c r="J69" s="7">
        <v>29882.04</v>
      </c>
      <c r="K69" s="7">
        <v>266782.59999999998</v>
      </c>
      <c r="L69" s="7">
        <v>272379.27</v>
      </c>
      <c r="M69" s="7">
        <v>140356.53</v>
      </c>
      <c r="N69" s="10">
        <v>0.34006386167616198</v>
      </c>
    </row>
    <row r="70" spans="1:14" x14ac:dyDescent="0.25">
      <c r="A70" s="9">
        <v>45748</v>
      </c>
      <c r="B70" t="s">
        <v>47</v>
      </c>
      <c r="C70" t="s">
        <v>48</v>
      </c>
      <c r="D70" t="s">
        <v>34</v>
      </c>
      <c r="E70" s="7">
        <v>404644.76</v>
      </c>
      <c r="F70" s="7">
        <v>172992.44</v>
      </c>
      <c r="G70" s="8">
        <v>62160.78</v>
      </c>
      <c r="H70" s="8">
        <v>5480.92</v>
      </c>
      <c r="I70" s="6">
        <v>9118</v>
      </c>
      <c r="J70" s="7">
        <v>25596.42</v>
      </c>
      <c r="K70" s="7">
        <v>276377.52</v>
      </c>
      <c r="L70" s="7">
        <v>275348.56</v>
      </c>
      <c r="M70" s="7">
        <v>129296.2</v>
      </c>
      <c r="N70" s="10">
        <v>0.31953014787588002</v>
      </c>
    </row>
    <row r="71" spans="1:14" x14ac:dyDescent="0.25">
      <c r="A71" s="9">
        <v>45748</v>
      </c>
      <c r="B71" t="s">
        <v>121</v>
      </c>
      <c r="C71" t="s">
        <v>122</v>
      </c>
      <c r="D71" t="s">
        <v>34</v>
      </c>
      <c r="E71" s="7">
        <v>298128.25</v>
      </c>
      <c r="F71" s="7">
        <v>159938.006666667</v>
      </c>
      <c r="G71" s="8">
        <v>32490.7</v>
      </c>
      <c r="H71" s="8">
        <v>4656.84</v>
      </c>
      <c r="I71" s="6">
        <v>8507</v>
      </c>
      <c r="J71" s="7">
        <v>25051.67</v>
      </c>
      <c r="K71" s="7">
        <v>239134.77</v>
      </c>
      <c r="L71" s="7">
        <v>230644.21666666699</v>
      </c>
      <c r="M71" s="7">
        <v>67484.033333333296</v>
      </c>
      <c r="N71" s="10">
        <v>0.22635906974039999</v>
      </c>
    </row>
    <row r="72" spans="1:14" x14ac:dyDescent="0.25">
      <c r="A72" s="9">
        <v>45748</v>
      </c>
      <c r="B72" t="s">
        <v>201</v>
      </c>
      <c r="C72" t="s">
        <v>202</v>
      </c>
      <c r="D72" t="s">
        <v>64</v>
      </c>
      <c r="E72" s="7">
        <v>460374.02</v>
      </c>
      <c r="F72" s="7">
        <v>222189.686666667</v>
      </c>
      <c r="G72" s="8">
        <v>47088.67</v>
      </c>
      <c r="H72" s="8">
        <v>3928.36</v>
      </c>
      <c r="I72" s="6">
        <v>4087</v>
      </c>
      <c r="J72" s="7">
        <v>28993.23</v>
      </c>
      <c r="K72" s="7">
        <v>303839.84999999998</v>
      </c>
      <c r="L72" s="7">
        <v>306286.94666666701</v>
      </c>
      <c r="M72" s="7">
        <v>154087.07333333301</v>
      </c>
      <c r="N72" s="10">
        <v>0.33469975854270301</v>
      </c>
    </row>
    <row r="73" spans="1:14" x14ac:dyDescent="0.25">
      <c r="A73" s="9">
        <v>45748</v>
      </c>
      <c r="B73" t="s">
        <v>118</v>
      </c>
      <c r="C73" t="s">
        <v>119</v>
      </c>
      <c r="D73" t="s">
        <v>64</v>
      </c>
      <c r="E73" s="7">
        <v>502240.77</v>
      </c>
      <c r="F73" s="7">
        <v>150303.01</v>
      </c>
      <c r="G73" s="8">
        <v>146659.70000000001</v>
      </c>
      <c r="H73" s="8">
        <v>2411.8000000000002</v>
      </c>
      <c r="I73" s="6">
        <v>7224</v>
      </c>
      <c r="J73" s="7">
        <v>31057.85</v>
      </c>
      <c r="K73" s="7">
        <v>325259.99</v>
      </c>
      <c r="L73" s="7">
        <v>337656.36</v>
      </c>
      <c r="M73" s="7">
        <v>164584.41</v>
      </c>
      <c r="N73" s="10">
        <v>0.32770021836339602</v>
      </c>
    </row>
    <row r="74" spans="1:14" x14ac:dyDescent="0.25">
      <c r="A74" s="9">
        <v>45748</v>
      </c>
      <c r="B74" t="s">
        <v>62</v>
      </c>
      <c r="C74" t="s">
        <v>63</v>
      </c>
      <c r="D74" t="s">
        <v>64</v>
      </c>
      <c r="E74" s="7">
        <v>314487.96999999997</v>
      </c>
      <c r="F74" s="7">
        <v>154973.59</v>
      </c>
      <c r="G74" s="8">
        <v>35777.919999999998</v>
      </c>
      <c r="H74" s="8">
        <v>3959.79</v>
      </c>
      <c r="I74" s="6">
        <v>5894</v>
      </c>
      <c r="J74" s="7">
        <v>26590.080000000002</v>
      </c>
      <c r="K74" s="7">
        <v>225290.37</v>
      </c>
      <c r="L74" s="7">
        <v>227195.38</v>
      </c>
      <c r="M74" s="7">
        <v>87292.59</v>
      </c>
      <c r="N74" s="10">
        <v>0.27757052201392601</v>
      </c>
    </row>
    <row r="75" spans="1:14" x14ac:dyDescent="0.25">
      <c r="A75" s="9">
        <v>45748</v>
      </c>
      <c r="B75" t="s">
        <v>91</v>
      </c>
      <c r="C75" t="s">
        <v>92</v>
      </c>
      <c r="D75" t="s">
        <v>64</v>
      </c>
      <c r="E75" s="7">
        <v>314644.33</v>
      </c>
      <c r="F75" s="7">
        <v>174624.68</v>
      </c>
      <c r="G75" s="8">
        <v>24276.92</v>
      </c>
      <c r="H75" s="8">
        <v>5539.07</v>
      </c>
      <c r="I75" s="6">
        <v>6608</v>
      </c>
      <c r="J75" s="7">
        <v>26626.99</v>
      </c>
      <c r="K75" s="7">
        <v>238193.02</v>
      </c>
      <c r="L75" s="7">
        <v>237675.66</v>
      </c>
      <c r="M75" s="7">
        <v>76968.67</v>
      </c>
      <c r="N75" s="10">
        <v>0.244621188629078</v>
      </c>
    </row>
    <row r="76" spans="1:14" x14ac:dyDescent="0.25">
      <c r="A76" s="9">
        <v>45748</v>
      </c>
      <c r="B76" t="s">
        <v>80</v>
      </c>
      <c r="C76" t="s">
        <v>81</v>
      </c>
      <c r="D76" t="s">
        <v>64</v>
      </c>
      <c r="E76" s="7">
        <v>371597.81</v>
      </c>
      <c r="F76" s="7">
        <v>199281.156666667</v>
      </c>
      <c r="G76" s="8">
        <v>22201.39</v>
      </c>
      <c r="H76" s="8">
        <v>5630.21</v>
      </c>
      <c r="I76" s="6">
        <v>3332</v>
      </c>
      <c r="J76" s="7">
        <v>21197.61</v>
      </c>
      <c r="K76" s="7">
        <v>242020.67</v>
      </c>
      <c r="L76" s="7">
        <v>251642.36666666699</v>
      </c>
      <c r="M76" s="7">
        <v>119955.44333333299</v>
      </c>
      <c r="N76" s="10">
        <v>0.322809876983218</v>
      </c>
    </row>
    <row r="77" spans="1:14" x14ac:dyDescent="0.25">
      <c r="A77" s="9">
        <v>45748</v>
      </c>
      <c r="B77" t="s">
        <v>56</v>
      </c>
      <c r="C77" t="s">
        <v>57</v>
      </c>
      <c r="D77" t="s">
        <v>58</v>
      </c>
      <c r="E77" s="7">
        <v>412577.32</v>
      </c>
      <c r="F77" s="7">
        <v>158829.286666667</v>
      </c>
      <c r="G77" s="8">
        <v>75843.600000000006</v>
      </c>
      <c r="H77" s="8">
        <v>4508.3500000000004</v>
      </c>
      <c r="I77" s="6">
        <v>7146</v>
      </c>
      <c r="J77" s="7">
        <v>23795.58</v>
      </c>
      <c r="K77" s="7">
        <v>260913.86</v>
      </c>
      <c r="L77" s="7">
        <v>270122.816666667</v>
      </c>
      <c r="M77" s="7">
        <v>142454.50333333301</v>
      </c>
      <c r="N77" s="10">
        <v>0.34527953047281801</v>
      </c>
    </row>
    <row r="78" spans="1:14" x14ac:dyDescent="0.25">
      <c r="A78" s="9">
        <v>45748</v>
      </c>
      <c r="B78" t="s">
        <v>77</v>
      </c>
      <c r="C78" t="s">
        <v>78</v>
      </c>
      <c r="D78" t="s">
        <v>58</v>
      </c>
      <c r="E78" s="7">
        <v>527963.09</v>
      </c>
      <c r="F78" s="7">
        <v>170086.42</v>
      </c>
      <c r="G78" s="8">
        <v>127574.94</v>
      </c>
      <c r="H78" s="8">
        <v>4202.0600000000004</v>
      </c>
      <c r="I78" s="6">
        <v>5154</v>
      </c>
      <c r="J78" s="7">
        <v>30826.91</v>
      </c>
      <c r="K78" s="7">
        <v>348548.85</v>
      </c>
      <c r="L78" s="7">
        <v>337844.33</v>
      </c>
      <c r="M78" s="7">
        <v>190118.76</v>
      </c>
      <c r="N78" s="10">
        <v>0.36009858189139698</v>
      </c>
    </row>
    <row r="79" spans="1:14" x14ac:dyDescent="0.25">
      <c r="A79" s="9">
        <v>45748</v>
      </c>
      <c r="B79" t="s">
        <v>110</v>
      </c>
      <c r="C79" t="s">
        <v>111</v>
      </c>
      <c r="D79" t="s">
        <v>58</v>
      </c>
      <c r="E79" s="7">
        <v>300923.05</v>
      </c>
      <c r="F79" s="7">
        <v>122258.9</v>
      </c>
      <c r="G79" s="8">
        <v>40527.24</v>
      </c>
      <c r="H79" s="8">
        <v>3083.98</v>
      </c>
      <c r="I79" s="6">
        <v>9244</v>
      </c>
      <c r="J79" s="7">
        <v>18792.21</v>
      </c>
      <c r="K79" s="7">
        <v>196406.65</v>
      </c>
      <c r="L79" s="7">
        <v>193906.33</v>
      </c>
      <c r="M79" s="7">
        <v>107016.72</v>
      </c>
      <c r="N79" s="10">
        <v>0.35562819132665302</v>
      </c>
    </row>
    <row r="80" spans="1:14" x14ac:dyDescent="0.25">
      <c r="A80" s="9">
        <v>45748</v>
      </c>
      <c r="B80" t="s">
        <v>85</v>
      </c>
      <c r="C80" t="s">
        <v>86</v>
      </c>
      <c r="D80" t="s">
        <v>58</v>
      </c>
      <c r="E80" s="7">
        <v>340853.5</v>
      </c>
      <c r="F80" s="7">
        <v>149760.89333333299</v>
      </c>
      <c r="G80" s="8">
        <v>39677.83</v>
      </c>
      <c r="H80" s="8">
        <v>4106.91</v>
      </c>
      <c r="I80" s="6">
        <v>5026</v>
      </c>
      <c r="J80" s="7">
        <v>25292.32</v>
      </c>
      <c r="K80" s="7">
        <v>217832.97</v>
      </c>
      <c r="L80" s="7">
        <v>223863.95333333299</v>
      </c>
      <c r="M80" s="7">
        <v>116989.546666667</v>
      </c>
      <c r="N80" s="10">
        <v>0.343225305495372</v>
      </c>
    </row>
    <row r="81" spans="1:14" x14ac:dyDescent="0.25">
      <c r="A81" s="9">
        <v>45748</v>
      </c>
      <c r="B81" t="s">
        <v>103</v>
      </c>
      <c r="C81" t="s">
        <v>104</v>
      </c>
      <c r="D81" t="s">
        <v>58</v>
      </c>
      <c r="E81" s="7">
        <v>443514.12</v>
      </c>
      <c r="F81" s="7">
        <v>175488.89666666699</v>
      </c>
      <c r="G81" s="8">
        <v>77664.87</v>
      </c>
      <c r="H81" s="8">
        <v>2459.02</v>
      </c>
      <c r="I81" s="6">
        <v>9710</v>
      </c>
      <c r="J81" s="7">
        <v>27115.18</v>
      </c>
      <c r="K81" s="7">
        <v>290271.11</v>
      </c>
      <c r="L81" s="7">
        <v>292437.96666666702</v>
      </c>
      <c r="M81" s="7">
        <v>151076.153333333</v>
      </c>
      <c r="N81" s="10">
        <v>0.340634371084586</v>
      </c>
    </row>
    <row r="82" spans="1:14" x14ac:dyDescent="0.25">
      <c r="A82" s="9">
        <v>45778</v>
      </c>
      <c r="B82" t="s">
        <v>100</v>
      </c>
      <c r="C82" t="s">
        <v>101</v>
      </c>
      <c r="D82" t="s">
        <v>69</v>
      </c>
      <c r="E82" s="7">
        <v>382180.02</v>
      </c>
      <c r="F82" s="7">
        <v>207837.31</v>
      </c>
      <c r="G82" s="8">
        <v>33425.93</v>
      </c>
      <c r="H82" s="8">
        <v>2933.12</v>
      </c>
      <c r="I82" s="6">
        <v>8432</v>
      </c>
      <c r="J82" s="7">
        <v>26467.23</v>
      </c>
      <c r="K82" s="7">
        <v>277033.24</v>
      </c>
      <c r="L82" s="7">
        <v>279095.59000000003</v>
      </c>
      <c r="M82" s="7">
        <v>103084.43</v>
      </c>
      <c r="N82" s="10">
        <v>0.269727417984854</v>
      </c>
    </row>
    <row r="83" spans="1:14" x14ac:dyDescent="0.25">
      <c r="A83" s="9">
        <v>45778</v>
      </c>
      <c r="B83" t="s">
        <v>113</v>
      </c>
      <c r="C83" t="s">
        <v>114</v>
      </c>
      <c r="D83" t="s">
        <v>69</v>
      </c>
      <c r="E83" s="7">
        <v>287292.87</v>
      </c>
      <c r="F83" s="7">
        <v>120673.013333333</v>
      </c>
      <c r="G83" s="8">
        <v>67004.45</v>
      </c>
      <c r="H83" s="8">
        <v>3829.89</v>
      </c>
      <c r="I83" s="6">
        <v>6610</v>
      </c>
      <c r="J83" s="7">
        <v>17409.2</v>
      </c>
      <c r="K83" s="7">
        <v>211192.32000000001</v>
      </c>
      <c r="L83" s="7">
        <v>215526.55333333299</v>
      </c>
      <c r="M83" s="7">
        <v>71766.316666666695</v>
      </c>
      <c r="N83" s="10">
        <v>0.24980194136619799</v>
      </c>
    </row>
    <row r="84" spans="1:14" x14ac:dyDescent="0.25">
      <c r="A84" s="9">
        <v>45778</v>
      </c>
      <c r="B84" t="s">
        <v>143</v>
      </c>
      <c r="C84" t="s">
        <v>144</v>
      </c>
      <c r="D84" t="s">
        <v>69</v>
      </c>
      <c r="E84" s="7">
        <v>527637.25</v>
      </c>
      <c r="F84" s="7">
        <v>222170.45666666701</v>
      </c>
      <c r="G84" s="8">
        <v>76779.39</v>
      </c>
      <c r="H84" s="8">
        <v>4196.88</v>
      </c>
      <c r="I84" s="6">
        <v>7602</v>
      </c>
      <c r="J84" s="7">
        <v>34104.639999999999</v>
      </c>
      <c r="K84" s="7">
        <v>345158.04</v>
      </c>
      <c r="L84" s="7">
        <v>344853.36666666699</v>
      </c>
      <c r="M84" s="7">
        <v>182783.88333333301</v>
      </c>
      <c r="N84" s="10">
        <v>0.34641959667050298</v>
      </c>
    </row>
    <row r="85" spans="1:14" x14ac:dyDescent="0.25">
      <c r="A85" s="9">
        <v>45778</v>
      </c>
      <c r="B85" t="s">
        <v>73</v>
      </c>
      <c r="C85" t="s">
        <v>74</v>
      </c>
      <c r="D85" t="s">
        <v>69</v>
      </c>
      <c r="E85" s="7">
        <v>338295.3</v>
      </c>
      <c r="F85" s="7">
        <v>119195.9</v>
      </c>
      <c r="G85" s="8">
        <v>86616.61</v>
      </c>
      <c r="H85" s="8">
        <v>5494.94</v>
      </c>
      <c r="I85" s="6">
        <v>5804</v>
      </c>
      <c r="J85" s="7">
        <v>26519.9</v>
      </c>
      <c r="K85" s="7">
        <v>247535.92</v>
      </c>
      <c r="L85" s="7">
        <v>243631.35</v>
      </c>
      <c r="M85" s="7">
        <v>94663.95</v>
      </c>
      <c r="N85" s="10">
        <v>0.279826382453436</v>
      </c>
    </row>
    <row r="86" spans="1:14" x14ac:dyDescent="0.25">
      <c r="A86" s="9">
        <v>45778</v>
      </c>
      <c r="B86" t="s">
        <v>67</v>
      </c>
      <c r="C86" t="s">
        <v>68</v>
      </c>
      <c r="D86" t="s">
        <v>69</v>
      </c>
      <c r="E86" s="7">
        <v>454234.06</v>
      </c>
      <c r="F86" s="7">
        <v>174727.69333333301</v>
      </c>
      <c r="G86" s="8">
        <v>82290.23</v>
      </c>
      <c r="H86" s="8">
        <v>5232.7299999999996</v>
      </c>
      <c r="I86" s="6">
        <v>5623</v>
      </c>
      <c r="J86" s="7">
        <v>29892.91</v>
      </c>
      <c r="K86" s="7">
        <v>308632.62</v>
      </c>
      <c r="L86" s="7">
        <v>297766.563333333</v>
      </c>
      <c r="M86" s="7">
        <v>156467.49666666699</v>
      </c>
      <c r="N86" s="10">
        <v>0.344464474255116</v>
      </c>
    </row>
    <row r="87" spans="1:14" x14ac:dyDescent="0.25">
      <c r="A87" s="9">
        <v>45778</v>
      </c>
      <c r="B87" t="s">
        <v>32</v>
      </c>
      <c r="C87" t="s">
        <v>33</v>
      </c>
      <c r="D87" t="s">
        <v>34</v>
      </c>
      <c r="E87" s="7">
        <v>216851.37</v>
      </c>
      <c r="F87" s="7">
        <v>82215.520000000004</v>
      </c>
      <c r="G87" s="8">
        <v>44678.27</v>
      </c>
      <c r="H87" s="8">
        <v>2082.2399999999998</v>
      </c>
      <c r="I87" s="6">
        <v>2240</v>
      </c>
      <c r="J87" s="7">
        <v>15150.92</v>
      </c>
      <c r="K87" s="7">
        <v>143582.26</v>
      </c>
      <c r="L87" s="7">
        <v>146366.95000000001</v>
      </c>
      <c r="M87" s="7">
        <v>70484.42</v>
      </c>
      <c r="N87" s="10">
        <v>0.32503562232509797</v>
      </c>
    </row>
    <row r="88" spans="1:14" x14ac:dyDescent="0.25">
      <c r="A88" s="9">
        <v>45778</v>
      </c>
      <c r="B88" t="s">
        <v>94</v>
      </c>
      <c r="C88" t="s">
        <v>95</v>
      </c>
      <c r="D88" t="s">
        <v>34</v>
      </c>
      <c r="E88" s="7">
        <v>206059.13</v>
      </c>
      <c r="F88" s="7">
        <v>100372.11</v>
      </c>
      <c r="G88" s="8">
        <v>15559.25</v>
      </c>
      <c r="H88" s="8">
        <v>4356.28</v>
      </c>
      <c r="I88" s="6">
        <v>7193</v>
      </c>
      <c r="J88" s="7">
        <v>13984.72</v>
      </c>
      <c r="K88" s="7">
        <v>143166.18</v>
      </c>
      <c r="L88" s="7">
        <v>141465.35999999999</v>
      </c>
      <c r="M88" s="7">
        <v>64593.77</v>
      </c>
      <c r="N88" s="10">
        <v>0.31347201165024802</v>
      </c>
    </row>
    <row r="89" spans="1:14" x14ac:dyDescent="0.25">
      <c r="A89" s="9">
        <v>45778</v>
      </c>
      <c r="B89" t="s">
        <v>41</v>
      </c>
      <c r="C89" t="s">
        <v>42</v>
      </c>
      <c r="D89" t="s">
        <v>34</v>
      </c>
      <c r="E89" s="7">
        <v>328021.62</v>
      </c>
      <c r="F89" s="7">
        <v>91399.293333333306</v>
      </c>
      <c r="G89" s="8">
        <v>96503.3</v>
      </c>
      <c r="H89" s="8">
        <v>4822.6899999999996</v>
      </c>
      <c r="I89" s="6">
        <v>1863</v>
      </c>
      <c r="J89" s="7">
        <v>24900.26</v>
      </c>
      <c r="K89" s="7">
        <v>215513.17</v>
      </c>
      <c r="L89" s="7">
        <v>219488.54333333299</v>
      </c>
      <c r="M89" s="7">
        <v>108533.076666667</v>
      </c>
      <c r="N89" s="10">
        <v>0.33087171713458002</v>
      </c>
    </row>
    <row r="90" spans="1:14" x14ac:dyDescent="0.25">
      <c r="A90" s="9">
        <v>45778</v>
      </c>
      <c r="B90" t="s">
        <v>47</v>
      </c>
      <c r="C90" t="s">
        <v>48</v>
      </c>
      <c r="D90" t="s">
        <v>34</v>
      </c>
      <c r="E90" s="7">
        <v>224377.60000000001</v>
      </c>
      <c r="F90" s="7">
        <v>96505.513333333307</v>
      </c>
      <c r="G90" s="8">
        <v>28218.84</v>
      </c>
      <c r="H90" s="8">
        <v>1833.13</v>
      </c>
      <c r="I90" s="6">
        <v>8392</v>
      </c>
      <c r="J90" s="7">
        <v>15143.63</v>
      </c>
      <c r="K90" s="7">
        <v>154237.22</v>
      </c>
      <c r="L90" s="7">
        <v>150093.11333333299</v>
      </c>
      <c r="M90" s="7">
        <v>74284.486666666693</v>
      </c>
      <c r="N90" s="10">
        <v>0.331069084733354</v>
      </c>
    </row>
    <row r="91" spans="1:14" x14ac:dyDescent="0.25">
      <c r="A91" s="9">
        <v>45778</v>
      </c>
      <c r="B91" t="s">
        <v>121</v>
      </c>
      <c r="C91" t="s">
        <v>122</v>
      </c>
      <c r="D91" t="s">
        <v>34</v>
      </c>
      <c r="E91" s="7">
        <v>287438.68</v>
      </c>
      <c r="F91" s="7">
        <v>148813.84</v>
      </c>
      <c r="G91" s="8">
        <v>25712.07</v>
      </c>
      <c r="H91" s="8">
        <v>2545.5</v>
      </c>
      <c r="I91" s="6">
        <v>5208</v>
      </c>
      <c r="J91" s="7">
        <v>22193.16</v>
      </c>
      <c r="K91" s="7">
        <v>210959.68</v>
      </c>
      <c r="L91" s="7">
        <v>204472.57</v>
      </c>
      <c r="M91" s="7">
        <v>82966.11</v>
      </c>
      <c r="N91" s="10">
        <v>0.28863933691874699</v>
      </c>
    </row>
    <row r="92" spans="1:14" x14ac:dyDescent="0.25">
      <c r="A92" s="9">
        <v>45778</v>
      </c>
      <c r="B92" t="s">
        <v>201</v>
      </c>
      <c r="C92" t="s">
        <v>202</v>
      </c>
      <c r="D92" t="s">
        <v>64</v>
      </c>
      <c r="E92" s="7">
        <v>266529.05</v>
      </c>
      <c r="F92" s="7">
        <v>121139.676666667</v>
      </c>
      <c r="G92" s="8">
        <v>27796.13</v>
      </c>
      <c r="H92" s="8">
        <v>2292.84</v>
      </c>
      <c r="I92" s="6">
        <v>5418</v>
      </c>
      <c r="J92" s="7">
        <v>15181.5</v>
      </c>
      <c r="K92" s="7">
        <v>172045.16</v>
      </c>
      <c r="L92" s="7">
        <v>171828.14666666699</v>
      </c>
      <c r="M92" s="7">
        <v>94700.903333333306</v>
      </c>
      <c r="N92" s="10">
        <v>0.35531175057027897</v>
      </c>
    </row>
    <row r="93" spans="1:14" x14ac:dyDescent="0.25">
      <c r="A93" s="9">
        <v>45778</v>
      </c>
      <c r="B93" t="s">
        <v>118</v>
      </c>
      <c r="C93" t="s">
        <v>119</v>
      </c>
      <c r="D93" t="s">
        <v>64</v>
      </c>
      <c r="E93" s="7">
        <v>389049.96</v>
      </c>
      <c r="F93" s="7">
        <v>190803.28333333301</v>
      </c>
      <c r="G93" s="8">
        <v>37250.129999999997</v>
      </c>
      <c r="H93" s="8">
        <v>5597.3</v>
      </c>
      <c r="I93" s="6">
        <v>3712</v>
      </c>
      <c r="J93" s="7">
        <v>28337</v>
      </c>
      <c r="K93" s="7">
        <v>267256.39</v>
      </c>
      <c r="L93" s="7">
        <v>265699.71333333303</v>
      </c>
      <c r="M93" s="7">
        <v>123350.24666666699</v>
      </c>
      <c r="N93" s="10">
        <v>0.31705502981330902</v>
      </c>
    </row>
    <row r="94" spans="1:14" x14ac:dyDescent="0.25">
      <c r="A94" s="9">
        <v>45778</v>
      </c>
      <c r="B94" t="s">
        <v>62</v>
      </c>
      <c r="C94" t="s">
        <v>63</v>
      </c>
      <c r="D94" t="s">
        <v>64</v>
      </c>
      <c r="E94" s="7">
        <v>224493.95</v>
      </c>
      <c r="F94" s="7">
        <v>111460.9</v>
      </c>
      <c r="G94" s="8">
        <v>23391.29</v>
      </c>
      <c r="H94" s="8">
        <v>2655.39</v>
      </c>
      <c r="I94" s="6">
        <v>3013</v>
      </c>
      <c r="J94" s="7">
        <v>12628.89</v>
      </c>
      <c r="K94" s="7">
        <v>153652.31</v>
      </c>
      <c r="L94" s="7">
        <v>153149.47</v>
      </c>
      <c r="M94" s="7">
        <v>71344.479999999996</v>
      </c>
      <c r="N94" s="10">
        <v>0.31780134832141299</v>
      </c>
    </row>
    <row r="95" spans="1:14" x14ac:dyDescent="0.25">
      <c r="A95" s="9">
        <v>45778</v>
      </c>
      <c r="B95" t="s">
        <v>91</v>
      </c>
      <c r="C95" t="s">
        <v>92</v>
      </c>
      <c r="D95" t="s">
        <v>64</v>
      </c>
      <c r="E95" s="7">
        <v>416861.6</v>
      </c>
      <c r="F95" s="7">
        <v>195410.19666666701</v>
      </c>
      <c r="G95" s="8">
        <v>43213.91</v>
      </c>
      <c r="H95" s="8">
        <v>3778.23</v>
      </c>
      <c r="I95" s="6">
        <v>3528</v>
      </c>
      <c r="J95" s="7">
        <v>22963.05</v>
      </c>
      <c r="K95" s="7">
        <v>266757.40000000002</v>
      </c>
      <c r="L95" s="7">
        <v>268893.38666666701</v>
      </c>
      <c r="M95" s="7">
        <v>147968.213333333</v>
      </c>
      <c r="N95" s="10">
        <v>0.35495764861367302</v>
      </c>
    </row>
    <row r="96" spans="1:14" x14ac:dyDescent="0.25">
      <c r="A96" s="9">
        <v>45778</v>
      </c>
      <c r="B96" t="s">
        <v>80</v>
      </c>
      <c r="C96" t="s">
        <v>81</v>
      </c>
      <c r="D96" t="s">
        <v>64</v>
      </c>
      <c r="E96" s="7">
        <v>291945.57</v>
      </c>
      <c r="F96" s="7">
        <v>140972.89333333299</v>
      </c>
      <c r="G96" s="8">
        <v>29759.38</v>
      </c>
      <c r="H96" s="8">
        <v>3059.74</v>
      </c>
      <c r="I96" s="6">
        <v>504</v>
      </c>
      <c r="J96" s="7">
        <v>17331</v>
      </c>
      <c r="K96" s="7">
        <v>188124.05</v>
      </c>
      <c r="L96" s="7">
        <v>191627.01333333299</v>
      </c>
      <c r="M96" s="7">
        <v>100318.55666666701</v>
      </c>
      <c r="N96" s="10">
        <v>0.34362075323378499</v>
      </c>
    </row>
    <row r="97" spans="1:14" x14ac:dyDescent="0.25">
      <c r="A97" s="9">
        <v>45778</v>
      </c>
      <c r="B97" t="s">
        <v>56</v>
      </c>
      <c r="C97" t="s">
        <v>57</v>
      </c>
      <c r="D97" t="s">
        <v>58</v>
      </c>
      <c r="E97" s="7">
        <v>262639.59999999998</v>
      </c>
      <c r="F97" s="7">
        <v>120192.576666667</v>
      </c>
      <c r="G97" s="8">
        <v>36310.800000000003</v>
      </c>
      <c r="H97" s="8">
        <v>5759.85</v>
      </c>
      <c r="I97" s="6">
        <v>5069</v>
      </c>
      <c r="J97" s="7">
        <v>17704.79</v>
      </c>
      <c r="K97" s="7">
        <v>190185.35</v>
      </c>
      <c r="L97" s="7">
        <v>185037.01666666701</v>
      </c>
      <c r="M97" s="7">
        <v>77602.583333333299</v>
      </c>
      <c r="N97" s="10">
        <v>0.29547175419599098</v>
      </c>
    </row>
    <row r="98" spans="1:14" x14ac:dyDescent="0.25">
      <c r="A98" s="9">
        <v>45778</v>
      </c>
      <c r="B98" t="s">
        <v>77</v>
      </c>
      <c r="C98" t="s">
        <v>78</v>
      </c>
      <c r="D98" t="s">
        <v>58</v>
      </c>
      <c r="E98" s="7">
        <v>316247.90000000002</v>
      </c>
      <c r="F98" s="7">
        <v>159374.683333333</v>
      </c>
      <c r="G98" s="8">
        <v>49775.17</v>
      </c>
      <c r="H98" s="8">
        <v>3060.82</v>
      </c>
      <c r="I98" s="6">
        <v>1725</v>
      </c>
      <c r="J98" s="7">
        <v>19542.29</v>
      </c>
      <c r="K98" s="7">
        <v>230236.32</v>
      </c>
      <c r="L98" s="7">
        <v>233477.963333333</v>
      </c>
      <c r="M98" s="7">
        <v>82769.936666666705</v>
      </c>
      <c r="N98" s="10">
        <v>0.26172485783041299</v>
      </c>
    </row>
    <row r="99" spans="1:14" x14ac:dyDescent="0.25">
      <c r="A99" s="9">
        <v>45778</v>
      </c>
      <c r="B99" t="s">
        <v>110</v>
      </c>
      <c r="C99" t="s">
        <v>111</v>
      </c>
      <c r="D99" t="s">
        <v>58</v>
      </c>
      <c r="E99" s="7">
        <v>327296.25</v>
      </c>
      <c r="F99" s="7">
        <v>165817.816666667</v>
      </c>
      <c r="G99" s="8">
        <v>43546.14</v>
      </c>
      <c r="H99" s="8">
        <v>2811.29</v>
      </c>
      <c r="I99" s="6">
        <v>6041</v>
      </c>
      <c r="J99" s="7">
        <v>21875.040000000001</v>
      </c>
      <c r="K99" s="7">
        <v>237719.79</v>
      </c>
      <c r="L99" s="7">
        <v>240091.286666667</v>
      </c>
      <c r="M99" s="7">
        <v>87204.963333333304</v>
      </c>
      <c r="N99" s="10">
        <v>0.26644045977713898</v>
      </c>
    </row>
    <row r="100" spans="1:14" x14ac:dyDescent="0.25">
      <c r="A100" s="9">
        <v>45778</v>
      </c>
      <c r="B100" t="s">
        <v>85</v>
      </c>
      <c r="C100" t="s">
        <v>86</v>
      </c>
      <c r="D100" t="s">
        <v>58</v>
      </c>
      <c r="E100" s="7">
        <v>415788.28</v>
      </c>
      <c r="F100" s="7">
        <v>235556.406666667</v>
      </c>
      <c r="G100" s="8">
        <v>29666.38</v>
      </c>
      <c r="H100" s="8">
        <v>4724.1899999999996</v>
      </c>
      <c r="I100" s="6">
        <v>3318</v>
      </c>
      <c r="J100" s="7">
        <v>28134.54</v>
      </c>
      <c r="K100" s="7">
        <v>305333.82</v>
      </c>
      <c r="L100" s="7">
        <v>301399.51666666701</v>
      </c>
      <c r="M100" s="7">
        <v>114388.763333333</v>
      </c>
      <c r="N100" s="10">
        <v>0.27511300542991102</v>
      </c>
    </row>
    <row r="101" spans="1:14" x14ac:dyDescent="0.25">
      <c r="A101" s="9">
        <v>45778</v>
      </c>
      <c r="B101" t="s">
        <v>103</v>
      </c>
      <c r="C101" t="s">
        <v>104</v>
      </c>
      <c r="D101" t="s">
        <v>58</v>
      </c>
      <c r="E101" s="7">
        <v>413256.37</v>
      </c>
      <c r="F101" s="7">
        <v>185488.98</v>
      </c>
      <c r="G101" s="8">
        <v>56597.03</v>
      </c>
      <c r="H101" s="8">
        <v>4977.25</v>
      </c>
      <c r="I101" s="6">
        <v>8554</v>
      </c>
      <c r="J101" s="7">
        <v>34074.699999999997</v>
      </c>
      <c r="K101" s="7">
        <v>294301.09000000003</v>
      </c>
      <c r="L101" s="7">
        <v>289691.96000000002</v>
      </c>
      <c r="M101" s="7">
        <v>123564.41</v>
      </c>
      <c r="N101" s="10">
        <v>0.299001827848413</v>
      </c>
    </row>
    <row r="102" spans="1:14" x14ac:dyDescent="0.25">
      <c r="A102" s="9">
        <v>45809</v>
      </c>
      <c r="B102" t="s">
        <v>100</v>
      </c>
      <c r="C102" t="s">
        <v>101</v>
      </c>
      <c r="D102" t="s">
        <v>69</v>
      </c>
      <c r="E102" s="7">
        <v>551261.28</v>
      </c>
      <c r="F102" s="7">
        <v>149023.52666666699</v>
      </c>
      <c r="G102" s="8">
        <v>180155.9</v>
      </c>
      <c r="H102" s="8">
        <v>5096.4799999999996</v>
      </c>
      <c r="I102" s="6">
        <v>8745</v>
      </c>
      <c r="J102" s="7">
        <v>41837.629999999997</v>
      </c>
      <c r="K102" s="7">
        <v>386384.18</v>
      </c>
      <c r="L102" s="7">
        <v>384858.53666666697</v>
      </c>
      <c r="M102" s="7">
        <v>166402.743333333</v>
      </c>
      <c r="N102" s="10">
        <v>0.30185821019995002</v>
      </c>
    </row>
    <row r="103" spans="1:14" x14ac:dyDescent="0.25">
      <c r="A103" s="9">
        <v>45809</v>
      </c>
      <c r="B103" t="s">
        <v>113</v>
      </c>
      <c r="C103" t="s">
        <v>114</v>
      </c>
      <c r="D103" t="s">
        <v>69</v>
      </c>
      <c r="E103" s="7">
        <v>573866.81000000006</v>
      </c>
      <c r="F103" s="7">
        <v>241174.29666666701</v>
      </c>
      <c r="G103" s="8">
        <v>124283.68</v>
      </c>
      <c r="H103" s="8">
        <v>2641.11</v>
      </c>
      <c r="I103" s="6">
        <v>5966</v>
      </c>
      <c r="J103" s="7">
        <v>40286.42</v>
      </c>
      <c r="K103" s="7">
        <v>416579.77</v>
      </c>
      <c r="L103" s="7">
        <v>414351.506666667</v>
      </c>
      <c r="M103" s="7">
        <v>159515.30333333299</v>
      </c>
      <c r="N103" s="10">
        <v>0.27796572402110797</v>
      </c>
    </row>
    <row r="104" spans="1:14" x14ac:dyDescent="0.25">
      <c r="A104" s="9">
        <v>45809</v>
      </c>
      <c r="B104" t="s">
        <v>143</v>
      </c>
      <c r="C104" t="s">
        <v>144</v>
      </c>
      <c r="D104" t="s">
        <v>69</v>
      </c>
      <c r="E104" s="7">
        <v>420520.81</v>
      </c>
      <c r="F104" s="7">
        <v>210666.54333333299</v>
      </c>
      <c r="G104" s="8">
        <v>33510.25</v>
      </c>
      <c r="H104" s="8">
        <v>2231.7399999999998</v>
      </c>
      <c r="I104" s="6">
        <v>10642</v>
      </c>
      <c r="J104" s="7">
        <v>34063.01</v>
      </c>
      <c r="K104" s="7">
        <v>287092.14</v>
      </c>
      <c r="L104" s="7">
        <v>291113.54333333299</v>
      </c>
      <c r="M104" s="7">
        <v>129407.266666667</v>
      </c>
      <c r="N104" s="10">
        <v>0.30773094598259398</v>
      </c>
    </row>
    <row r="105" spans="1:14" x14ac:dyDescent="0.25">
      <c r="A105" s="9">
        <v>45809</v>
      </c>
      <c r="B105" t="s">
        <v>73</v>
      </c>
      <c r="C105" t="s">
        <v>74</v>
      </c>
      <c r="D105" t="s">
        <v>69</v>
      </c>
      <c r="E105" s="7">
        <v>221738.7</v>
      </c>
      <c r="F105" s="7">
        <v>59848.773333333302</v>
      </c>
      <c r="G105" s="8">
        <v>67583.64</v>
      </c>
      <c r="H105" s="8">
        <v>2869.5</v>
      </c>
      <c r="I105" s="6">
        <v>7522</v>
      </c>
      <c r="J105" s="7">
        <v>18707.400000000001</v>
      </c>
      <c r="K105" s="7">
        <v>160332.89000000001</v>
      </c>
      <c r="L105" s="7">
        <v>156531.313333333</v>
      </c>
      <c r="M105" s="7">
        <v>65207.386666666702</v>
      </c>
      <c r="N105" s="10">
        <v>0.294073098952356</v>
      </c>
    </row>
    <row r="106" spans="1:14" x14ac:dyDescent="0.25">
      <c r="A106" s="9">
        <v>45809</v>
      </c>
      <c r="B106" t="s">
        <v>67</v>
      </c>
      <c r="C106" t="s">
        <v>68</v>
      </c>
      <c r="D106" t="s">
        <v>69</v>
      </c>
      <c r="E106" s="7">
        <v>251148.27</v>
      </c>
      <c r="F106" s="7">
        <v>135836.03333333301</v>
      </c>
      <c r="G106" s="8">
        <v>25358.29</v>
      </c>
      <c r="H106" s="8">
        <v>4257.8</v>
      </c>
      <c r="I106" s="6">
        <v>6178</v>
      </c>
      <c r="J106" s="7">
        <v>14748.31</v>
      </c>
      <c r="K106" s="7">
        <v>180932.72</v>
      </c>
      <c r="L106" s="7">
        <v>186378.433333333</v>
      </c>
      <c r="M106" s="7">
        <v>64769.836666666699</v>
      </c>
      <c r="N106" s="10">
        <v>0.25789481514910201</v>
      </c>
    </row>
    <row r="107" spans="1:14" x14ac:dyDescent="0.25">
      <c r="A107" s="9">
        <v>45809</v>
      </c>
      <c r="B107" t="s">
        <v>32</v>
      </c>
      <c r="C107" t="s">
        <v>33</v>
      </c>
      <c r="D107" t="s">
        <v>34</v>
      </c>
      <c r="E107" s="7">
        <v>256892.87</v>
      </c>
      <c r="F107" s="7">
        <v>115018.97333333299</v>
      </c>
      <c r="G107" s="8">
        <v>35961.519999999997</v>
      </c>
      <c r="H107" s="8">
        <v>2904.14</v>
      </c>
      <c r="I107" s="6">
        <v>5502</v>
      </c>
      <c r="J107" s="7">
        <v>15520.81</v>
      </c>
      <c r="K107" s="7">
        <v>179732.35</v>
      </c>
      <c r="L107" s="7">
        <v>174907.44333333301</v>
      </c>
      <c r="M107" s="7">
        <v>81985.426666666594</v>
      </c>
      <c r="N107" s="10">
        <v>0.319142476265171</v>
      </c>
    </row>
    <row r="108" spans="1:14" x14ac:dyDescent="0.25">
      <c r="A108" s="9">
        <v>45809</v>
      </c>
      <c r="B108" t="s">
        <v>94</v>
      </c>
      <c r="C108" t="s">
        <v>95</v>
      </c>
      <c r="D108" t="s">
        <v>34</v>
      </c>
      <c r="E108" s="7">
        <v>364255.16</v>
      </c>
      <c r="F108" s="7">
        <v>194193.726666667</v>
      </c>
      <c r="G108" s="8">
        <v>16976.990000000002</v>
      </c>
      <c r="H108" s="8">
        <v>2991.52</v>
      </c>
      <c r="I108" s="6">
        <v>5152</v>
      </c>
      <c r="J108" s="7">
        <v>30903.599999999999</v>
      </c>
      <c r="K108" s="7">
        <v>245141.35</v>
      </c>
      <c r="L108" s="7">
        <v>250217.83666666699</v>
      </c>
      <c r="M108" s="7">
        <v>114037.323333333</v>
      </c>
      <c r="N108" s="10">
        <v>0.31306989126340301</v>
      </c>
    </row>
    <row r="109" spans="1:14" x14ac:dyDescent="0.25">
      <c r="A109" s="9">
        <v>45809</v>
      </c>
      <c r="B109" t="s">
        <v>41</v>
      </c>
      <c r="C109" t="s">
        <v>42</v>
      </c>
      <c r="D109" t="s">
        <v>34</v>
      </c>
      <c r="E109" s="7">
        <v>396854.85</v>
      </c>
      <c r="F109" s="7">
        <v>214538.08</v>
      </c>
      <c r="G109" s="8">
        <v>6952.93</v>
      </c>
      <c r="H109" s="8">
        <v>3980.42</v>
      </c>
      <c r="I109" s="6">
        <v>7868</v>
      </c>
      <c r="J109" s="7">
        <v>32412.97</v>
      </c>
      <c r="K109" s="7">
        <v>256068.14</v>
      </c>
      <c r="L109" s="7">
        <v>265752.40000000002</v>
      </c>
      <c r="M109" s="7">
        <v>131102.45000000001</v>
      </c>
      <c r="N109" s="10">
        <v>0.33035365449105603</v>
      </c>
    </row>
    <row r="110" spans="1:14" x14ac:dyDescent="0.25">
      <c r="A110" s="9">
        <v>45809</v>
      </c>
      <c r="B110" t="s">
        <v>47</v>
      </c>
      <c r="C110" t="s">
        <v>48</v>
      </c>
      <c r="D110" t="s">
        <v>34</v>
      </c>
      <c r="E110" s="7">
        <v>401579.03</v>
      </c>
      <c r="F110" s="7">
        <v>188846.54333333299</v>
      </c>
      <c r="G110" s="8">
        <v>71419.179999999993</v>
      </c>
      <c r="H110" s="8">
        <v>3090.77</v>
      </c>
      <c r="I110" s="6">
        <v>7868</v>
      </c>
      <c r="J110" s="7">
        <v>27803.09</v>
      </c>
      <c r="K110" s="7">
        <v>297173.19</v>
      </c>
      <c r="L110" s="7">
        <v>299027.58333333302</v>
      </c>
      <c r="M110" s="7">
        <v>102551.44666666701</v>
      </c>
      <c r="N110" s="10">
        <v>0.25537052237679497</v>
      </c>
    </row>
    <row r="111" spans="1:14" x14ac:dyDescent="0.25">
      <c r="A111" s="9">
        <v>45809</v>
      </c>
      <c r="B111" t="s">
        <v>121</v>
      </c>
      <c r="C111" t="s">
        <v>122</v>
      </c>
      <c r="D111" t="s">
        <v>34</v>
      </c>
      <c r="E111" s="7">
        <v>322846.95</v>
      </c>
      <c r="F111" s="7">
        <v>177078.98</v>
      </c>
      <c r="G111" s="8">
        <v>10462.82</v>
      </c>
      <c r="H111" s="8">
        <v>4492.45</v>
      </c>
      <c r="I111" s="6">
        <v>4033</v>
      </c>
      <c r="J111" s="7">
        <v>19955.84</v>
      </c>
      <c r="K111" s="7">
        <v>217682.26</v>
      </c>
      <c r="L111" s="7">
        <v>216023.09</v>
      </c>
      <c r="M111" s="7">
        <v>106823.86</v>
      </c>
      <c r="N111" s="10">
        <v>0.33088080900253197</v>
      </c>
    </row>
    <row r="112" spans="1:14" x14ac:dyDescent="0.25">
      <c r="A112" s="9">
        <v>45809</v>
      </c>
      <c r="B112" t="s">
        <v>201</v>
      </c>
      <c r="C112" t="s">
        <v>202</v>
      </c>
      <c r="D112" t="s">
        <v>64</v>
      </c>
      <c r="E112" s="7">
        <v>478516.35</v>
      </c>
      <c r="F112" s="7">
        <v>216970.32</v>
      </c>
      <c r="G112" s="8">
        <v>65618.509999999995</v>
      </c>
      <c r="H112" s="8">
        <v>4301.3500000000004</v>
      </c>
      <c r="I112" s="6">
        <v>2553</v>
      </c>
      <c r="J112" s="7">
        <v>34289.129999999997</v>
      </c>
      <c r="K112" s="7">
        <v>321010</v>
      </c>
      <c r="L112" s="7">
        <v>323732.31</v>
      </c>
      <c r="M112" s="7">
        <v>154784.04</v>
      </c>
      <c r="N112" s="10">
        <v>0.32346656493555598</v>
      </c>
    </row>
    <row r="113" spans="1:14" x14ac:dyDescent="0.25">
      <c r="A113" s="9">
        <v>45809</v>
      </c>
      <c r="B113" t="s">
        <v>118</v>
      </c>
      <c r="C113" t="s">
        <v>119</v>
      </c>
      <c r="D113" t="s">
        <v>64</v>
      </c>
      <c r="E113" s="7">
        <v>262619.32</v>
      </c>
      <c r="F113" s="7">
        <v>120855.97</v>
      </c>
      <c r="G113" s="8">
        <v>34299.69</v>
      </c>
      <c r="H113" s="8">
        <v>5579.73</v>
      </c>
      <c r="I113" s="6">
        <v>7208</v>
      </c>
      <c r="J113" s="7">
        <v>16402.310000000001</v>
      </c>
      <c r="K113" s="7">
        <v>191363.58</v>
      </c>
      <c r="L113" s="7">
        <v>184345.7</v>
      </c>
      <c r="M113" s="7">
        <v>78273.62</v>
      </c>
      <c r="N113" s="10">
        <v>0.298049739828738</v>
      </c>
    </row>
    <row r="114" spans="1:14" x14ac:dyDescent="0.25">
      <c r="A114" s="9">
        <v>45809</v>
      </c>
      <c r="B114" t="s">
        <v>62</v>
      </c>
      <c r="C114" t="s">
        <v>63</v>
      </c>
      <c r="D114" t="s">
        <v>64</v>
      </c>
      <c r="E114" s="7">
        <v>299146.59999999998</v>
      </c>
      <c r="F114" s="7">
        <v>148747.686666667</v>
      </c>
      <c r="G114" s="8">
        <v>30701.23</v>
      </c>
      <c r="H114" s="8">
        <v>2334.5</v>
      </c>
      <c r="I114" s="6">
        <v>2323</v>
      </c>
      <c r="J114" s="7">
        <v>17350.580000000002</v>
      </c>
      <c r="K114" s="7">
        <v>202734.54</v>
      </c>
      <c r="L114" s="7">
        <v>201456.99666666699</v>
      </c>
      <c r="M114" s="7">
        <v>97689.603333333303</v>
      </c>
      <c r="N114" s="10">
        <v>0.32656096821201802</v>
      </c>
    </row>
    <row r="115" spans="1:14" x14ac:dyDescent="0.25">
      <c r="A115" s="9">
        <v>45809</v>
      </c>
      <c r="B115" t="s">
        <v>91</v>
      </c>
      <c r="C115" t="s">
        <v>92</v>
      </c>
      <c r="D115" t="s">
        <v>64</v>
      </c>
      <c r="E115" s="7">
        <v>273750.34999999998</v>
      </c>
      <c r="F115" s="7">
        <v>121724.8</v>
      </c>
      <c r="G115" s="8">
        <v>43623.12</v>
      </c>
      <c r="H115" s="8">
        <v>3283.23</v>
      </c>
      <c r="I115" s="6">
        <v>9306</v>
      </c>
      <c r="J115" s="7">
        <v>19979.62</v>
      </c>
      <c r="K115" s="7">
        <v>196000.67</v>
      </c>
      <c r="L115" s="7">
        <v>197916.77</v>
      </c>
      <c r="M115" s="7">
        <v>75833.58</v>
      </c>
      <c r="N115" s="10">
        <v>0.27701728965826</v>
      </c>
    </row>
    <row r="116" spans="1:14" x14ac:dyDescent="0.25">
      <c r="A116" s="9">
        <v>45809</v>
      </c>
      <c r="B116" t="s">
        <v>80</v>
      </c>
      <c r="C116" t="s">
        <v>81</v>
      </c>
      <c r="D116" t="s">
        <v>64</v>
      </c>
      <c r="E116" s="7">
        <v>138546.18</v>
      </c>
      <c r="F116" s="7">
        <v>76860.38</v>
      </c>
      <c r="G116" s="8">
        <v>15433.99</v>
      </c>
      <c r="H116" s="8">
        <v>2428.3000000000002</v>
      </c>
      <c r="I116" s="6">
        <v>690</v>
      </c>
      <c r="J116" s="7">
        <v>7723.01</v>
      </c>
      <c r="K116" s="7">
        <v>104423.34</v>
      </c>
      <c r="L116" s="7">
        <v>103135.67999999999</v>
      </c>
      <c r="M116" s="7">
        <v>35410.5</v>
      </c>
      <c r="N116" s="10">
        <v>0.255586260119189</v>
      </c>
    </row>
    <row r="117" spans="1:14" x14ac:dyDescent="0.25">
      <c r="A117" s="9">
        <v>45809</v>
      </c>
      <c r="B117" t="s">
        <v>56</v>
      </c>
      <c r="C117" t="s">
        <v>57</v>
      </c>
      <c r="D117" t="s">
        <v>58</v>
      </c>
      <c r="E117" s="7">
        <v>310626.07</v>
      </c>
      <c r="F117" s="7">
        <v>105989.55666666701</v>
      </c>
      <c r="G117" s="8">
        <v>80468.67</v>
      </c>
      <c r="H117" s="8">
        <v>5004.79</v>
      </c>
      <c r="I117" s="6">
        <v>2128</v>
      </c>
      <c r="J117" s="7">
        <v>24604.63</v>
      </c>
      <c r="K117" s="7">
        <v>214682.06</v>
      </c>
      <c r="L117" s="7">
        <v>218195.64666666699</v>
      </c>
      <c r="M117" s="7">
        <v>92430.423333333296</v>
      </c>
      <c r="N117" s="10">
        <v>0.29756170605169502</v>
      </c>
    </row>
    <row r="118" spans="1:14" x14ac:dyDescent="0.25">
      <c r="A118" s="9">
        <v>45809</v>
      </c>
      <c r="B118" t="s">
        <v>77</v>
      </c>
      <c r="C118" t="s">
        <v>78</v>
      </c>
      <c r="D118" t="s">
        <v>58</v>
      </c>
      <c r="E118" s="7">
        <v>452079.97</v>
      </c>
      <c r="F118" s="7">
        <v>148226.98666666701</v>
      </c>
      <c r="G118" s="8">
        <v>110275.8</v>
      </c>
      <c r="H118" s="8">
        <v>3203.96</v>
      </c>
      <c r="I118" s="6">
        <v>2321</v>
      </c>
      <c r="J118" s="7">
        <v>28257.95</v>
      </c>
      <c r="K118" s="7">
        <v>281692.28999999998</v>
      </c>
      <c r="L118" s="7">
        <v>292285.69666666701</v>
      </c>
      <c r="M118" s="7">
        <v>159794.273333333</v>
      </c>
      <c r="N118" s="10">
        <v>0.353464616743213</v>
      </c>
    </row>
    <row r="119" spans="1:14" x14ac:dyDescent="0.25">
      <c r="A119" s="9">
        <v>45809</v>
      </c>
      <c r="B119" t="s">
        <v>110</v>
      </c>
      <c r="C119" t="s">
        <v>111</v>
      </c>
      <c r="D119" t="s">
        <v>58</v>
      </c>
      <c r="E119" s="7">
        <v>379510.75</v>
      </c>
      <c r="F119" s="7">
        <v>146180.123333333</v>
      </c>
      <c r="G119" s="8">
        <v>69254.84</v>
      </c>
      <c r="H119" s="8">
        <v>4134.8999999999996</v>
      </c>
      <c r="I119" s="6">
        <v>3864</v>
      </c>
      <c r="J119" s="7">
        <v>32242.93</v>
      </c>
      <c r="K119" s="7">
        <v>259407.8</v>
      </c>
      <c r="L119" s="7">
        <v>255676.79333333299</v>
      </c>
      <c r="M119" s="7">
        <v>123833.956666667</v>
      </c>
      <c r="N119" s="10">
        <v>0.32629894322273301</v>
      </c>
    </row>
    <row r="120" spans="1:14" x14ac:dyDescent="0.25">
      <c r="A120" s="9">
        <v>45809</v>
      </c>
      <c r="B120" t="s">
        <v>85</v>
      </c>
      <c r="C120" t="s">
        <v>86</v>
      </c>
      <c r="D120" t="s">
        <v>58</v>
      </c>
      <c r="E120" s="7">
        <v>319177.65999999997</v>
      </c>
      <c r="F120" s="7">
        <v>162582.69666666701</v>
      </c>
      <c r="G120" s="8">
        <v>40705.839999999997</v>
      </c>
      <c r="H120" s="8">
        <v>4581.42</v>
      </c>
      <c r="I120" s="6">
        <v>1568</v>
      </c>
      <c r="J120" s="7">
        <v>26201.58</v>
      </c>
      <c r="K120" s="7">
        <v>242455.44</v>
      </c>
      <c r="L120" s="7">
        <v>235639.536666667</v>
      </c>
      <c r="M120" s="7">
        <v>83538.123333333293</v>
      </c>
      <c r="N120" s="10">
        <v>0.26172923046473001</v>
      </c>
    </row>
    <row r="121" spans="1:14" x14ac:dyDescent="0.25">
      <c r="A121" s="9">
        <v>45809</v>
      </c>
      <c r="B121" t="s">
        <v>103</v>
      </c>
      <c r="C121" t="s">
        <v>104</v>
      </c>
      <c r="D121" t="s">
        <v>58</v>
      </c>
      <c r="E121" s="7">
        <v>390699.85</v>
      </c>
      <c r="F121" s="7">
        <v>205231.71666666699</v>
      </c>
      <c r="G121" s="8">
        <v>29511.02</v>
      </c>
      <c r="H121" s="8">
        <v>2404.52</v>
      </c>
      <c r="I121" s="6">
        <v>4680</v>
      </c>
      <c r="J121" s="7">
        <v>26544.23</v>
      </c>
      <c r="K121" s="7">
        <v>266449.09000000003</v>
      </c>
      <c r="L121" s="7">
        <v>268371.48666666698</v>
      </c>
      <c r="M121" s="7">
        <v>122328.36333333301</v>
      </c>
      <c r="N121" s="10">
        <v>0.31310061504588099</v>
      </c>
    </row>
    <row r="122" spans="1:14" x14ac:dyDescent="0.25">
      <c r="A122" s="9">
        <v>45839</v>
      </c>
      <c r="B122" t="s">
        <v>100</v>
      </c>
      <c r="C122" t="s">
        <v>101</v>
      </c>
      <c r="D122" t="s">
        <v>69</v>
      </c>
      <c r="E122" s="7">
        <v>210666.5</v>
      </c>
      <c r="F122" s="7">
        <v>105612.683333333</v>
      </c>
      <c r="G122" s="8">
        <v>18557.46</v>
      </c>
      <c r="H122" s="8">
        <v>5907.37</v>
      </c>
      <c r="I122" s="6">
        <v>6874</v>
      </c>
      <c r="J122" s="7">
        <v>14340.94</v>
      </c>
      <c r="K122" s="7">
        <v>147199.44</v>
      </c>
      <c r="L122" s="7">
        <v>151292.45333333299</v>
      </c>
      <c r="M122" s="7">
        <v>59374.046666666698</v>
      </c>
      <c r="N122" s="10">
        <v>0.28183905208785798</v>
      </c>
    </row>
    <row r="123" spans="1:14" x14ac:dyDescent="0.25">
      <c r="A123" s="9">
        <v>45839</v>
      </c>
      <c r="B123" t="s">
        <v>113</v>
      </c>
      <c r="C123" t="s">
        <v>114</v>
      </c>
      <c r="D123" t="s">
        <v>69</v>
      </c>
      <c r="E123" s="7">
        <v>237830</v>
      </c>
      <c r="F123" s="7">
        <v>80123.326666666704</v>
      </c>
      <c r="G123" s="8">
        <v>51138.79</v>
      </c>
      <c r="H123" s="8">
        <v>3795.37</v>
      </c>
      <c r="I123" s="6">
        <v>7232</v>
      </c>
      <c r="J123" s="7">
        <v>19726.05</v>
      </c>
      <c r="K123" s="7">
        <v>159614.44</v>
      </c>
      <c r="L123" s="7">
        <v>162015.536666667</v>
      </c>
      <c r="M123" s="7">
        <v>75814.463333333406</v>
      </c>
      <c r="N123" s="10">
        <v>0.318775862310614</v>
      </c>
    </row>
    <row r="124" spans="1:14" x14ac:dyDescent="0.25">
      <c r="A124" s="9">
        <v>45839</v>
      </c>
      <c r="B124" t="s">
        <v>143</v>
      </c>
      <c r="C124" t="s">
        <v>144</v>
      </c>
      <c r="D124" t="s">
        <v>69</v>
      </c>
      <c r="E124" s="7">
        <v>190374.81</v>
      </c>
      <c r="F124" s="7">
        <v>88625.436666666705</v>
      </c>
      <c r="G124" s="8">
        <v>21499.67</v>
      </c>
      <c r="H124" s="8">
        <v>2027.05</v>
      </c>
      <c r="I124" s="6">
        <v>924</v>
      </c>
      <c r="J124" s="7">
        <v>13269.29</v>
      </c>
      <c r="K124" s="7">
        <v>125770.28</v>
      </c>
      <c r="L124" s="7">
        <v>126345.44666666701</v>
      </c>
      <c r="M124" s="7">
        <v>64029.363333333298</v>
      </c>
      <c r="N124" s="10">
        <v>0.33633316998889401</v>
      </c>
    </row>
    <row r="125" spans="1:14" x14ac:dyDescent="0.25">
      <c r="A125" s="9">
        <v>45839</v>
      </c>
      <c r="B125" t="s">
        <v>73</v>
      </c>
      <c r="C125" t="s">
        <v>74</v>
      </c>
      <c r="D125" t="s">
        <v>69</v>
      </c>
      <c r="E125" s="7">
        <v>387588.8</v>
      </c>
      <c r="F125" s="7">
        <v>119111.15</v>
      </c>
      <c r="G125" s="8">
        <v>113948.32</v>
      </c>
      <c r="H125" s="8">
        <v>4186.13</v>
      </c>
      <c r="I125" s="6">
        <v>5737</v>
      </c>
      <c r="J125" s="7">
        <v>21656.73</v>
      </c>
      <c r="K125" s="7">
        <v>263593.93</v>
      </c>
      <c r="L125" s="7">
        <v>264639.33</v>
      </c>
      <c r="M125" s="7">
        <v>122949.47</v>
      </c>
      <c r="N125" s="10">
        <v>0.317216261150993</v>
      </c>
    </row>
    <row r="126" spans="1:14" x14ac:dyDescent="0.25">
      <c r="A126" s="9">
        <v>45839</v>
      </c>
      <c r="B126" t="s">
        <v>67</v>
      </c>
      <c r="C126" t="s">
        <v>68</v>
      </c>
      <c r="D126" t="s">
        <v>69</v>
      </c>
      <c r="E126" s="7">
        <v>607256.57999999996</v>
      </c>
      <c r="F126" s="7">
        <v>256475.843333333</v>
      </c>
      <c r="G126" s="8">
        <v>90083.27</v>
      </c>
      <c r="H126" s="8">
        <v>2317.6999999999998</v>
      </c>
      <c r="I126" s="6">
        <v>6804</v>
      </c>
      <c r="J126" s="7">
        <v>47390.400000000001</v>
      </c>
      <c r="K126" s="7">
        <v>418057.65</v>
      </c>
      <c r="L126" s="7">
        <v>403071.21333333303</v>
      </c>
      <c r="M126" s="7">
        <v>204185.36666666699</v>
      </c>
      <c r="N126" s="10">
        <v>0.33624232884667399</v>
      </c>
    </row>
    <row r="127" spans="1:14" x14ac:dyDescent="0.25">
      <c r="A127" s="9">
        <v>45839</v>
      </c>
      <c r="B127" t="s">
        <v>32</v>
      </c>
      <c r="C127" t="s">
        <v>33</v>
      </c>
      <c r="D127" t="s">
        <v>34</v>
      </c>
      <c r="E127" s="7">
        <v>221864.18</v>
      </c>
      <c r="F127" s="7">
        <v>107988.456666667</v>
      </c>
      <c r="G127" s="8">
        <v>28608.55</v>
      </c>
      <c r="H127" s="8">
        <v>2263.6</v>
      </c>
      <c r="I127" s="6">
        <v>8860</v>
      </c>
      <c r="J127" s="7">
        <v>15573.24</v>
      </c>
      <c r="K127" s="7">
        <v>164712.68</v>
      </c>
      <c r="L127" s="7">
        <v>163293.846666667</v>
      </c>
      <c r="M127" s="7">
        <v>58570.333333333299</v>
      </c>
      <c r="N127" s="10">
        <v>0.26399184101432399</v>
      </c>
    </row>
    <row r="128" spans="1:14" x14ac:dyDescent="0.25">
      <c r="A128" s="9">
        <v>45839</v>
      </c>
      <c r="B128" t="s">
        <v>94</v>
      </c>
      <c r="C128" t="s">
        <v>95</v>
      </c>
      <c r="D128" t="s">
        <v>34</v>
      </c>
      <c r="E128" s="7">
        <v>424020.99</v>
      </c>
      <c r="F128" s="7">
        <v>230946.98333333299</v>
      </c>
      <c r="G128" s="8">
        <v>30121.17</v>
      </c>
      <c r="H128" s="8">
        <v>2833.98</v>
      </c>
      <c r="I128" s="6">
        <v>7074</v>
      </c>
      <c r="J128" s="7">
        <v>26406.12</v>
      </c>
      <c r="K128" s="7">
        <v>304096.68</v>
      </c>
      <c r="L128" s="7">
        <v>297382.25333333301</v>
      </c>
      <c r="M128" s="7">
        <v>126638.736666667</v>
      </c>
      <c r="N128" s="10">
        <v>0.29866148057120201</v>
      </c>
    </row>
    <row r="129" spans="1:14" x14ac:dyDescent="0.25">
      <c r="A129" s="9">
        <v>45839</v>
      </c>
      <c r="B129" t="s">
        <v>41</v>
      </c>
      <c r="C129" t="s">
        <v>42</v>
      </c>
      <c r="D129" t="s">
        <v>34</v>
      </c>
      <c r="E129" s="7">
        <v>322587.65999999997</v>
      </c>
      <c r="F129" s="7">
        <v>131237.816666667</v>
      </c>
      <c r="G129" s="8">
        <v>76261.539999999994</v>
      </c>
      <c r="H129" s="8">
        <v>2381.5100000000002</v>
      </c>
      <c r="I129" s="6">
        <v>2392</v>
      </c>
      <c r="J129" s="7">
        <v>21656.31</v>
      </c>
      <c r="K129" s="7">
        <v>231707.04</v>
      </c>
      <c r="L129" s="7">
        <v>233929.17666666699</v>
      </c>
      <c r="M129" s="7">
        <v>88658.483333333294</v>
      </c>
      <c r="N129" s="10">
        <v>0.27483532176442599</v>
      </c>
    </row>
    <row r="130" spans="1:14" x14ac:dyDescent="0.25">
      <c r="A130" s="9">
        <v>45839</v>
      </c>
      <c r="B130" t="s">
        <v>47</v>
      </c>
      <c r="C130" t="s">
        <v>48</v>
      </c>
      <c r="D130" t="s">
        <v>34</v>
      </c>
      <c r="E130" s="7">
        <v>384872.18</v>
      </c>
      <c r="F130" s="7">
        <v>206326.46</v>
      </c>
      <c r="G130" s="8">
        <v>34618.94</v>
      </c>
      <c r="H130" s="8">
        <v>5454.36</v>
      </c>
      <c r="I130" s="6">
        <v>12718</v>
      </c>
      <c r="J130" s="7">
        <v>28482.85</v>
      </c>
      <c r="K130" s="7">
        <v>293822.55</v>
      </c>
      <c r="L130" s="7">
        <v>287600.61</v>
      </c>
      <c r="M130" s="7">
        <v>97271.570000000094</v>
      </c>
      <c r="N130" s="10">
        <v>0.25273733736743498</v>
      </c>
    </row>
    <row r="131" spans="1:14" x14ac:dyDescent="0.25">
      <c r="A131" s="9">
        <v>45839</v>
      </c>
      <c r="B131" t="s">
        <v>121</v>
      </c>
      <c r="C131" t="s">
        <v>122</v>
      </c>
      <c r="D131" t="s">
        <v>34</v>
      </c>
      <c r="E131" s="7">
        <v>334834.78000000003</v>
      </c>
      <c r="F131" s="7">
        <v>181150.773333333</v>
      </c>
      <c r="G131" s="8">
        <v>29908.54</v>
      </c>
      <c r="H131" s="8">
        <v>2344.94</v>
      </c>
      <c r="I131" s="6">
        <v>3900</v>
      </c>
      <c r="J131" s="7">
        <v>21320.84</v>
      </c>
      <c r="K131" s="7">
        <v>231149.42</v>
      </c>
      <c r="L131" s="7">
        <v>238625.093333333</v>
      </c>
      <c r="M131" s="7">
        <v>96209.686666666705</v>
      </c>
      <c r="N131" s="10">
        <v>0.28733480633841801</v>
      </c>
    </row>
    <row r="132" spans="1:14" x14ac:dyDescent="0.25">
      <c r="A132" s="9">
        <v>45839</v>
      </c>
      <c r="B132" t="s">
        <v>201</v>
      </c>
      <c r="C132" t="s">
        <v>202</v>
      </c>
      <c r="D132" t="s">
        <v>64</v>
      </c>
      <c r="E132" s="7">
        <v>351844.58</v>
      </c>
      <c r="F132" s="7">
        <v>143173.27666666699</v>
      </c>
      <c r="G132" s="8">
        <v>67061.88</v>
      </c>
      <c r="H132" s="8">
        <v>3022.52</v>
      </c>
      <c r="I132" s="6">
        <v>3822</v>
      </c>
      <c r="J132" s="7">
        <v>25723.19</v>
      </c>
      <c r="K132" s="7">
        <v>239831.42</v>
      </c>
      <c r="L132" s="7">
        <v>242802.86666666699</v>
      </c>
      <c r="M132" s="7">
        <v>109041.713333333</v>
      </c>
      <c r="N132" s="10">
        <v>0.30991443248417599</v>
      </c>
    </row>
    <row r="133" spans="1:14" x14ac:dyDescent="0.25">
      <c r="A133" s="9">
        <v>45839</v>
      </c>
      <c r="B133" t="s">
        <v>118</v>
      </c>
      <c r="C133" t="s">
        <v>119</v>
      </c>
      <c r="D133" t="s">
        <v>64</v>
      </c>
      <c r="E133" s="7">
        <v>360975.73</v>
      </c>
      <c r="F133" s="7">
        <v>116657.95</v>
      </c>
      <c r="G133" s="8">
        <v>91438.25</v>
      </c>
      <c r="H133" s="8">
        <v>2613.81</v>
      </c>
      <c r="I133" s="6">
        <v>1648</v>
      </c>
      <c r="J133" s="7">
        <v>19952.82</v>
      </c>
      <c r="K133" s="7">
        <v>240337.92000000001</v>
      </c>
      <c r="L133" s="7">
        <v>232310.83</v>
      </c>
      <c r="M133" s="7">
        <v>128664.9</v>
      </c>
      <c r="N133" s="10">
        <v>0.35643642856543301</v>
      </c>
    </row>
    <row r="134" spans="1:14" x14ac:dyDescent="0.25">
      <c r="A134" s="9">
        <v>45839</v>
      </c>
      <c r="B134" t="s">
        <v>62</v>
      </c>
      <c r="C134" t="s">
        <v>63</v>
      </c>
      <c r="D134" t="s">
        <v>64</v>
      </c>
      <c r="E134" s="7">
        <v>307368.71999999997</v>
      </c>
      <c r="F134" s="7">
        <v>175140.13</v>
      </c>
      <c r="G134" s="8">
        <v>12622.74</v>
      </c>
      <c r="H134" s="8">
        <v>3797.45</v>
      </c>
      <c r="I134" s="6">
        <v>4856</v>
      </c>
      <c r="J134" s="7">
        <v>24794.59</v>
      </c>
      <c r="K134" s="7">
        <v>214458.04</v>
      </c>
      <c r="L134" s="7">
        <v>221210.91</v>
      </c>
      <c r="M134" s="7">
        <v>86157.81</v>
      </c>
      <c r="N134" s="10">
        <v>0.28030767086514202</v>
      </c>
    </row>
    <row r="135" spans="1:14" x14ac:dyDescent="0.25">
      <c r="A135" s="9">
        <v>45839</v>
      </c>
      <c r="B135" t="s">
        <v>91</v>
      </c>
      <c r="C135" t="s">
        <v>92</v>
      </c>
      <c r="D135" t="s">
        <v>64</v>
      </c>
      <c r="E135" s="7">
        <v>302351.76</v>
      </c>
      <c r="F135" s="7">
        <v>124791.99666666699</v>
      </c>
      <c r="G135" s="8">
        <v>67324.61</v>
      </c>
      <c r="H135" s="8">
        <v>3293.78</v>
      </c>
      <c r="I135" s="6">
        <v>7363</v>
      </c>
      <c r="J135" s="7">
        <v>18271.52</v>
      </c>
      <c r="K135" s="7">
        <v>225678.65</v>
      </c>
      <c r="L135" s="7">
        <v>221044.906666667</v>
      </c>
      <c r="M135" s="7">
        <v>81306.853333333303</v>
      </c>
      <c r="N135" s="10">
        <v>0.26891476779673201</v>
      </c>
    </row>
    <row r="136" spans="1:14" x14ac:dyDescent="0.25">
      <c r="A136" s="9">
        <v>45839</v>
      </c>
      <c r="B136" t="s">
        <v>80</v>
      </c>
      <c r="C136" t="s">
        <v>81</v>
      </c>
      <c r="D136" t="s">
        <v>64</v>
      </c>
      <c r="E136" s="7">
        <v>351251.8</v>
      </c>
      <c r="F136" s="7">
        <v>135569.10333333301</v>
      </c>
      <c r="G136" s="8">
        <v>81933.84</v>
      </c>
      <c r="H136" s="8">
        <v>3222.82</v>
      </c>
      <c r="I136" s="6">
        <v>2714</v>
      </c>
      <c r="J136" s="7">
        <v>29480.57</v>
      </c>
      <c r="K136" s="7">
        <v>252482.58</v>
      </c>
      <c r="L136" s="7">
        <v>252920.33333333299</v>
      </c>
      <c r="M136" s="7">
        <v>98331.466666666704</v>
      </c>
      <c r="N136" s="10">
        <v>0.27994580146398301</v>
      </c>
    </row>
    <row r="137" spans="1:14" x14ac:dyDescent="0.25">
      <c r="A137" s="9">
        <v>45839</v>
      </c>
      <c r="B137" t="s">
        <v>56</v>
      </c>
      <c r="C137" t="s">
        <v>57</v>
      </c>
      <c r="D137" t="s">
        <v>58</v>
      </c>
      <c r="E137" s="7">
        <v>426143.56</v>
      </c>
      <c r="F137" s="7">
        <v>170117.373333333</v>
      </c>
      <c r="G137" s="8">
        <v>81108.13</v>
      </c>
      <c r="H137" s="8">
        <v>3423.02</v>
      </c>
      <c r="I137" s="6">
        <v>7224</v>
      </c>
      <c r="J137" s="7">
        <v>27408.91</v>
      </c>
      <c r="K137" s="7">
        <v>280819.06</v>
      </c>
      <c r="L137" s="7">
        <v>289281.433333333</v>
      </c>
      <c r="M137" s="7">
        <v>136862.126666667</v>
      </c>
      <c r="N137" s="10">
        <v>0.32116436692523698</v>
      </c>
    </row>
    <row r="138" spans="1:14" x14ac:dyDescent="0.25">
      <c r="A138" s="9">
        <v>45839</v>
      </c>
      <c r="B138" t="s">
        <v>77</v>
      </c>
      <c r="C138" t="s">
        <v>78</v>
      </c>
      <c r="D138" t="s">
        <v>58</v>
      </c>
      <c r="E138" s="7">
        <v>311690.83</v>
      </c>
      <c r="F138" s="7">
        <v>150233.26333333299</v>
      </c>
      <c r="G138" s="8">
        <v>44102.879999999997</v>
      </c>
      <c r="H138" s="8">
        <v>2293.2600000000002</v>
      </c>
      <c r="I138" s="6">
        <v>6384</v>
      </c>
      <c r="J138" s="7">
        <v>17772.599999999999</v>
      </c>
      <c r="K138" s="7">
        <v>212444.69</v>
      </c>
      <c r="L138" s="7">
        <v>220786.00333333301</v>
      </c>
      <c r="M138" s="7">
        <v>90904.826666666704</v>
      </c>
      <c r="N138" s="10">
        <v>0.29165062913999301</v>
      </c>
    </row>
    <row r="139" spans="1:14" x14ac:dyDescent="0.25">
      <c r="A139" s="9">
        <v>45839</v>
      </c>
      <c r="B139" t="s">
        <v>110</v>
      </c>
      <c r="C139" t="s">
        <v>111</v>
      </c>
      <c r="D139" t="s">
        <v>58</v>
      </c>
      <c r="E139" s="7">
        <v>332315.87</v>
      </c>
      <c r="F139" s="7">
        <v>99956.93</v>
      </c>
      <c r="G139" s="8">
        <v>115715.25</v>
      </c>
      <c r="H139" s="8">
        <v>5181.99</v>
      </c>
      <c r="I139" s="6">
        <v>5004</v>
      </c>
      <c r="J139" s="7">
        <v>21078.1</v>
      </c>
      <c r="K139" s="7">
        <v>256487.65</v>
      </c>
      <c r="L139" s="7">
        <v>246936.27</v>
      </c>
      <c r="M139" s="7">
        <v>85379.6</v>
      </c>
      <c r="N139" s="10">
        <v>0.25692302928535998</v>
      </c>
    </row>
    <row r="140" spans="1:14" x14ac:dyDescent="0.25">
      <c r="A140" s="9">
        <v>45839</v>
      </c>
      <c r="B140" t="s">
        <v>85</v>
      </c>
      <c r="C140" t="s">
        <v>86</v>
      </c>
      <c r="D140" t="s">
        <v>58</v>
      </c>
      <c r="E140" s="7">
        <v>335817.17</v>
      </c>
      <c r="F140" s="7">
        <v>146653.346666667</v>
      </c>
      <c r="G140" s="8">
        <v>69232.179999999993</v>
      </c>
      <c r="H140" s="8">
        <v>3466.32</v>
      </c>
      <c r="I140" s="6">
        <v>8333</v>
      </c>
      <c r="J140" s="7">
        <v>27645</v>
      </c>
      <c r="K140" s="7">
        <v>262515.58</v>
      </c>
      <c r="L140" s="7">
        <v>255329.846666667</v>
      </c>
      <c r="M140" s="7">
        <v>80487.323333333305</v>
      </c>
      <c r="N140" s="10">
        <v>0.23967602172733901</v>
      </c>
    </row>
    <row r="141" spans="1:14" x14ac:dyDescent="0.25">
      <c r="A141" s="9">
        <v>45839</v>
      </c>
      <c r="B141" t="s">
        <v>103</v>
      </c>
      <c r="C141" t="s">
        <v>104</v>
      </c>
      <c r="D141" t="s">
        <v>58</v>
      </c>
      <c r="E141" s="7">
        <v>551620.5</v>
      </c>
      <c r="F141" s="7">
        <v>165375.9</v>
      </c>
      <c r="G141" s="8">
        <v>151904.41</v>
      </c>
      <c r="H141" s="8">
        <v>4637.2299999999996</v>
      </c>
      <c r="I141" s="6">
        <v>8369</v>
      </c>
      <c r="J141" s="7">
        <v>34496.160000000003</v>
      </c>
      <c r="K141" s="7">
        <v>373446.49</v>
      </c>
      <c r="L141" s="7">
        <v>364782.7</v>
      </c>
      <c r="M141" s="7">
        <v>186837.8</v>
      </c>
      <c r="N141" s="10">
        <v>0.33870713651867601</v>
      </c>
    </row>
    <row r="142" spans="1:14" x14ac:dyDescent="0.25">
      <c r="A142" s="9">
        <v>45870</v>
      </c>
      <c r="B142" t="s">
        <v>100</v>
      </c>
      <c r="C142" t="s">
        <v>101</v>
      </c>
      <c r="D142" t="s">
        <v>69</v>
      </c>
      <c r="E142" s="7">
        <v>437671.07</v>
      </c>
      <c r="F142" s="7">
        <v>227366.8</v>
      </c>
      <c r="G142" s="8">
        <v>32232.9</v>
      </c>
      <c r="H142" s="8">
        <v>3343.6</v>
      </c>
      <c r="I142" s="6">
        <v>6784</v>
      </c>
      <c r="J142" s="7">
        <v>37115.03</v>
      </c>
      <c r="K142" s="7">
        <v>294718.84999999998</v>
      </c>
      <c r="L142" s="7">
        <v>306842.33</v>
      </c>
      <c r="M142" s="7">
        <v>130828.74</v>
      </c>
      <c r="N142" s="10">
        <v>0.298920237062962</v>
      </c>
    </row>
    <row r="143" spans="1:14" x14ac:dyDescent="0.25">
      <c r="A143" s="9">
        <v>45870</v>
      </c>
      <c r="B143" t="s">
        <v>113</v>
      </c>
      <c r="C143" t="s">
        <v>114</v>
      </c>
      <c r="D143" t="s">
        <v>69</v>
      </c>
      <c r="E143" s="7">
        <v>416141.64</v>
      </c>
      <c r="F143" s="7">
        <v>177034.55666666699</v>
      </c>
      <c r="G143" s="8">
        <v>61007.9</v>
      </c>
      <c r="H143" s="8">
        <v>3795.05</v>
      </c>
      <c r="I143" s="6">
        <v>3790</v>
      </c>
      <c r="J143" s="7">
        <v>29589.96</v>
      </c>
      <c r="K143" s="7">
        <v>266594.31</v>
      </c>
      <c r="L143" s="7">
        <v>275217.46666666702</v>
      </c>
      <c r="M143" s="7">
        <v>140924.17333333299</v>
      </c>
      <c r="N143" s="10">
        <v>0.33864473003310402</v>
      </c>
    </row>
    <row r="144" spans="1:14" x14ac:dyDescent="0.25">
      <c r="A144" s="9">
        <v>45870</v>
      </c>
      <c r="B144" t="s">
        <v>143</v>
      </c>
      <c r="C144" t="s">
        <v>144</v>
      </c>
      <c r="D144" t="s">
        <v>69</v>
      </c>
      <c r="E144" s="7">
        <v>433894.31</v>
      </c>
      <c r="F144" s="7">
        <v>189490.19666666701</v>
      </c>
      <c r="G144" s="8">
        <v>62308.43</v>
      </c>
      <c r="H144" s="8">
        <v>4629.01</v>
      </c>
      <c r="I144" s="6">
        <v>13243</v>
      </c>
      <c r="J144" s="7">
        <v>36646.43</v>
      </c>
      <c r="K144" s="7">
        <v>305856.37</v>
      </c>
      <c r="L144" s="7">
        <v>306317.066666667</v>
      </c>
      <c r="M144" s="7">
        <v>127577.243333333</v>
      </c>
      <c r="N144" s="10">
        <v>0.29402838523817798</v>
      </c>
    </row>
    <row r="145" spans="1:14" x14ac:dyDescent="0.25">
      <c r="A145" s="9">
        <v>45870</v>
      </c>
      <c r="B145" t="s">
        <v>73</v>
      </c>
      <c r="C145" t="s">
        <v>74</v>
      </c>
      <c r="D145" t="s">
        <v>69</v>
      </c>
      <c r="E145" s="7">
        <v>401059.01</v>
      </c>
      <c r="F145" s="7">
        <v>180430.25333333301</v>
      </c>
      <c r="G145" s="8">
        <v>67071.13</v>
      </c>
      <c r="H145" s="8">
        <v>3928.51</v>
      </c>
      <c r="I145" s="6">
        <v>1840</v>
      </c>
      <c r="J145" s="7">
        <v>28781.95</v>
      </c>
      <c r="K145" s="7">
        <v>275189.71999999997</v>
      </c>
      <c r="L145" s="7">
        <v>282051.84333333297</v>
      </c>
      <c r="M145" s="7">
        <v>119007.16666666701</v>
      </c>
      <c r="N145" s="10">
        <v>0.29673231045642501</v>
      </c>
    </row>
    <row r="146" spans="1:14" x14ac:dyDescent="0.25">
      <c r="A146" s="9">
        <v>45870</v>
      </c>
      <c r="B146" t="s">
        <v>67</v>
      </c>
      <c r="C146" t="s">
        <v>68</v>
      </c>
      <c r="D146" t="s">
        <v>69</v>
      </c>
      <c r="E146" s="7">
        <v>303023.82</v>
      </c>
      <c r="F146" s="7">
        <v>144455.773333333</v>
      </c>
      <c r="G146" s="8">
        <v>51852.12</v>
      </c>
      <c r="H146" s="8">
        <v>2191.4299999999998</v>
      </c>
      <c r="I146" s="6">
        <v>7448</v>
      </c>
      <c r="J146" s="7">
        <v>21919.279999999999</v>
      </c>
      <c r="K146" s="7">
        <v>234838.93</v>
      </c>
      <c r="L146" s="7">
        <v>227866.60333333301</v>
      </c>
      <c r="M146" s="7">
        <v>75157.216666666704</v>
      </c>
      <c r="N146" s="10">
        <v>0.24802412122805001</v>
      </c>
    </row>
    <row r="147" spans="1:14" x14ac:dyDescent="0.25">
      <c r="A147" s="9">
        <v>45870</v>
      </c>
      <c r="B147" t="s">
        <v>32</v>
      </c>
      <c r="C147" t="s">
        <v>33</v>
      </c>
      <c r="D147" t="s">
        <v>34</v>
      </c>
      <c r="E147" s="7">
        <v>288854.65000000002</v>
      </c>
      <c r="F147" s="7">
        <v>141004.813333333</v>
      </c>
      <c r="G147" s="8">
        <v>38306.370000000003</v>
      </c>
      <c r="H147" s="8">
        <v>3613.2</v>
      </c>
      <c r="I147" s="6">
        <v>3824</v>
      </c>
      <c r="J147" s="7">
        <v>23952.33</v>
      </c>
      <c r="K147" s="7">
        <v>217397.04</v>
      </c>
      <c r="L147" s="7">
        <v>210700.713333333</v>
      </c>
      <c r="M147" s="7">
        <v>78153.936666666705</v>
      </c>
      <c r="N147" s="10">
        <v>0.27056492483907302</v>
      </c>
    </row>
    <row r="148" spans="1:14" x14ac:dyDescent="0.25">
      <c r="A148" s="9">
        <v>45870</v>
      </c>
      <c r="B148" t="s">
        <v>94</v>
      </c>
      <c r="C148" t="s">
        <v>95</v>
      </c>
      <c r="D148" t="s">
        <v>34</v>
      </c>
      <c r="E148" s="7">
        <v>493691.51</v>
      </c>
      <c r="F148" s="7">
        <v>239914.10666666701</v>
      </c>
      <c r="G148" s="8">
        <v>45615.6</v>
      </c>
      <c r="H148" s="8">
        <v>2991.89</v>
      </c>
      <c r="I148" s="6">
        <v>1652</v>
      </c>
      <c r="J148" s="7">
        <v>31199.29</v>
      </c>
      <c r="K148" s="7">
        <v>311986.48</v>
      </c>
      <c r="L148" s="7">
        <v>321372.88666666701</v>
      </c>
      <c r="M148" s="7">
        <v>172318.623333333</v>
      </c>
      <c r="N148" s="10">
        <v>0.34904109113266601</v>
      </c>
    </row>
    <row r="149" spans="1:14" x14ac:dyDescent="0.25">
      <c r="A149" s="9">
        <v>45870</v>
      </c>
      <c r="B149" t="s">
        <v>41</v>
      </c>
      <c r="C149" t="s">
        <v>42</v>
      </c>
      <c r="D149" t="s">
        <v>34</v>
      </c>
      <c r="E149" s="7">
        <v>299820.14</v>
      </c>
      <c r="F149" s="7">
        <v>144735.45000000001</v>
      </c>
      <c r="G149" s="8">
        <v>31000.53</v>
      </c>
      <c r="H149" s="8">
        <v>4688.5600000000004</v>
      </c>
      <c r="I149" s="6">
        <v>1955</v>
      </c>
      <c r="J149" s="7">
        <v>23618.59</v>
      </c>
      <c r="K149" s="7">
        <v>211811.26</v>
      </c>
      <c r="L149" s="7">
        <v>205998.13</v>
      </c>
      <c r="M149" s="7">
        <v>93822.01</v>
      </c>
      <c r="N149" s="10">
        <v>0.31292764388676497</v>
      </c>
    </row>
    <row r="150" spans="1:14" x14ac:dyDescent="0.25">
      <c r="A150" s="9">
        <v>45870</v>
      </c>
      <c r="B150" t="s">
        <v>47</v>
      </c>
      <c r="C150" t="s">
        <v>48</v>
      </c>
      <c r="D150" t="s">
        <v>34</v>
      </c>
      <c r="E150" s="7">
        <v>295332.58</v>
      </c>
      <c r="F150" s="7">
        <v>71549.743333333303</v>
      </c>
      <c r="G150" s="8">
        <v>99770.559999999998</v>
      </c>
      <c r="H150" s="8">
        <v>4299.79</v>
      </c>
      <c r="I150" s="6">
        <v>6412</v>
      </c>
      <c r="J150" s="7">
        <v>20008.68</v>
      </c>
      <c r="K150" s="7">
        <v>196339.58</v>
      </c>
      <c r="L150" s="7">
        <v>202040.773333333</v>
      </c>
      <c r="M150" s="7">
        <v>93291.8066666667</v>
      </c>
      <c r="N150" s="10">
        <v>0.315887284317452</v>
      </c>
    </row>
    <row r="151" spans="1:14" x14ac:dyDescent="0.25">
      <c r="A151" s="9">
        <v>45870</v>
      </c>
      <c r="B151" t="s">
        <v>121</v>
      </c>
      <c r="C151" t="s">
        <v>122</v>
      </c>
      <c r="D151" t="s">
        <v>34</v>
      </c>
      <c r="E151" s="7">
        <v>345257.09</v>
      </c>
      <c r="F151" s="7">
        <v>113901.02666666701</v>
      </c>
      <c r="G151" s="8">
        <v>108184.93</v>
      </c>
      <c r="H151" s="8">
        <v>3654.52</v>
      </c>
      <c r="I151" s="6">
        <v>7550</v>
      </c>
      <c r="J151" s="7">
        <v>20694.27</v>
      </c>
      <c r="K151" s="7">
        <v>247968.17</v>
      </c>
      <c r="L151" s="7">
        <v>253984.74666666699</v>
      </c>
      <c r="M151" s="7">
        <v>91272.343333333396</v>
      </c>
      <c r="N151" s="10">
        <v>0.26436051851486497</v>
      </c>
    </row>
    <row r="152" spans="1:14" x14ac:dyDescent="0.25">
      <c r="A152" s="9">
        <v>45870</v>
      </c>
      <c r="B152" t="s">
        <v>201</v>
      </c>
      <c r="C152" t="s">
        <v>202</v>
      </c>
      <c r="D152" t="s">
        <v>64</v>
      </c>
      <c r="E152" s="7">
        <v>463449.52</v>
      </c>
      <c r="F152" s="7">
        <v>196457.49666666699</v>
      </c>
      <c r="G152" s="8">
        <v>102361.9</v>
      </c>
      <c r="H152" s="8">
        <v>3100.17</v>
      </c>
      <c r="I152" s="6">
        <v>3417</v>
      </c>
      <c r="J152" s="7">
        <v>35714.57</v>
      </c>
      <c r="K152" s="7">
        <v>351541.81</v>
      </c>
      <c r="L152" s="7">
        <v>341051.13666666701</v>
      </c>
      <c r="M152" s="7">
        <v>122398.383333333</v>
      </c>
      <c r="N152" s="10">
        <v>0.26410294552324298</v>
      </c>
    </row>
    <row r="153" spans="1:14" x14ac:dyDescent="0.25">
      <c r="A153" s="9">
        <v>45870</v>
      </c>
      <c r="B153" t="s">
        <v>118</v>
      </c>
      <c r="C153" t="s">
        <v>119</v>
      </c>
      <c r="D153" t="s">
        <v>64</v>
      </c>
      <c r="E153" s="7">
        <v>278419.34000000003</v>
      </c>
      <c r="F153" s="7">
        <v>126439.486666667</v>
      </c>
      <c r="G153" s="8">
        <v>46560.26</v>
      </c>
      <c r="H153" s="8">
        <v>5384.99</v>
      </c>
      <c r="I153" s="6">
        <v>2128</v>
      </c>
      <c r="J153" s="7">
        <v>18905.37</v>
      </c>
      <c r="K153" s="7">
        <v>202551.91</v>
      </c>
      <c r="L153" s="7">
        <v>199418.10666666701</v>
      </c>
      <c r="M153" s="7">
        <v>79001.233333333395</v>
      </c>
      <c r="N153" s="10">
        <v>0.28374908630030299</v>
      </c>
    </row>
    <row r="154" spans="1:14" x14ac:dyDescent="0.25">
      <c r="A154" s="9">
        <v>45870</v>
      </c>
      <c r="B154" t="s">
        <v>62</v>
      </c>
      <c r="C154" t="s">
        <v>63</v>
      </c>
      <c r="D154" t="s">
        <v>64</v>
      </c>
      <c r="E154" s="7">
        <v>310345.37</v>
      </c>
      <c r="F154" s="7">
        <v>149844.156666667</v>
      </c>
      <c r="G154" s="8">
        <v>29998.32</v>
      </c>
      <c r="H154" s="8">
        <v>4077.35</v>
      </c>
      <c r="I154" s="6">
        <v>4515</v>
      </c>
      <c r="J154" s="7">
        <v>25135.48</v>
      </c>
      <c r="K154" s="7">
        <v>214122</v>
      </c>
      <c r="L154" s="7">
        <v>213570.30666666699</v>
      </c>
      <c r="M154" s="7">
        <v>96775.063333333295</v>
      </c>
      <c r="N154" s="10">
        <v>0.31183021461971</v>
      </c>
    </row>
    <row r="155" spans="1:14" x14ac:dyDescent="0.25">
      <c r="A155" s="9">
        <v>45870</v>
      </c>
      <c r="B155" t="s">
        <v>91</v>
      </c>
      <c r="C155" t="s">
        <v>92</v>
      </c>
      <c r="D155" t="s">
        <v>64</v>
      </c>
      <c r="E155" s="7">
        <v>379626.02</v>
      </c>
      <c r="F155" s="7">
        <v>200678.273333333</v>
      </c>
      <c r="G155" s="8">
        <v>32664.400000000001</v>
      </c>
      <c r="H155" s="8">
        <v>3674.41</v>
      </c>
      <c r="I155" s="6">
        <v>4088</v>
      </c>
      <c r="J155" s="7">
        <v>24869.54</v>
      </c>
      <c r="K155" s="7">
        <v>272762.32</v>
      </c>
      <c r="L155" s="7">
        <v>265974.623333333</v>
      </c>
      <c r="M155" s="7">
        <v>113651.396666667</v>
      </c>
      <c r="N155" s="10">
        <v>0.29937725729829301</v>
      </c>
    </row>
    <row r="156" spans="1:14" x14ac:dyDescent="0.25">
      <c r="A156" s="9">
        <v>45870</v>
      </c>
      <c r="B156" t="s">
        <v>80</v>
      </c>
      <c r="C156" t="s">
        <v>81</v>
      </c>
      <c r="D156" t="s">
        <v>64</v>
      </c>
      <c r="E156" s="7">
        <v>253122.71</v>
      </c>
      <c r="F156" s="7">
        <v>150535.70333333299</v>
      </c>
      <c r="G156" s="8">
        <v>2195.86</v>
      </c>
      <c r="H156" s="8">
        <v>4430.97</v>
      </c>
      <c r="I156" s="6">
        <v>12085</v>
      </c>
      <c r="J156" s="7">
        <v>21389.38</v>
      </c>
      <c r="K156" s="7">
        <v>197469.16</v>
      </c>
      <c r="L156" s="7">
        <v>190636.91333333301</v>
      </c>
      <c r="M156" s="7">
        <v>62485.796666666698</v>
      </c>
      <c r="N156" s="10">
        <v>0.24685970163114401</v>
      </c>
    </row>
    <row r="157" spans="1:14" x14ac:dyDescent="0.25">
      <c r="A157" s="9">
        <v>45870</v>
      </c>
      <c r="B157" t="s">
        <v>56</v>
      </c>
      <c r="C157" t="s">
        <v>57</v>
      </c>
      <c r="D157" t="s">
        <v>58</v>
      </c>
      <c r="E157" s="7">
        <v>238493.75</v>
      </c>
      <c r="F157" s="7">
        <v>146346.27666666699</v>
      </c>
      <c r="G157" s="8">
        <v>6210.68</v>
      </c>
      <c r="H157" s="8">
        <v>2326.83</v>
      </c>
      <c r="I157" s="6">
        <v>4409</v>
      </c>
      <c r="J157" s="7">
        <v>14032.38</v>
      </c>
      <c r="K157" s="7">
        <v>175706.64</v>
      </c>
      <c r="L157" s="7">
        <v>173325.16666666701</v>
      </c>
      <c r="M157" s="7">
        <v>65168.583333333299</v>
      </c>
      <c r="N157" s="10">
        <v>0.27325069664648799</v>
      </c>
    </row>
    <row r="158" spans="1:14" x14ac:dyDescent="0.25">
      <c r="A158" s="9">
        <v>45870</v>
      </c>
      <c r="B158" t="s">
        <v>77</v>
      </c>
      <c r="C158" t="s">
        <v>78</v>
      </c>
      <c r="D158" t="s">
        <v>58</v>
      </c>
      <c r="E158" s="7">
        <v>348348.46</v>
      </c>
      <c r="F158" s="7">
        <v>169946.22333333301</v>
      </c>
      <c r="G158" s="8">
        <v>34326.61</v>
      </c>
      <c r="H158" s="8">
        <v>3849.52</v>
      </c>
      <c r="I158" s="6">
        <v>4600</v>
      </c>
      <c r="J158" s="7">
        <v>21589.53</v>
      </c>
      <c r="K158" s="7">
        <v>231018.37</v>
      </c>
      <c r="L158" s="7">
        <v>234311.88333333301</v>
      </c>
      <c r="M158" s="7">
        <v>114036.576666667</v>
      </c>
      <c r="N158" s="10">
        <v>0.32736351602262498</v>
      </c>
    </row>
    <row r="159" spans="1:14" x14ac:dyDescent="0.25">
      <c r="A159" s="9">
        <v>45870</v>
      </c>
      <c r="B159" t="s">
        <v>110</v>
      </c>
      <c r="C159" t="s">
        <v>111</v>
      </c>
      <c r="D159" t="s">
        <v>58</v>
      </c>
      <c r="E159" s="7">
        <v>373852.38</v>
      </c>
      <c r="F159" s="7">
        <v>178543.403333333</v>
      </c>
      <c r="G159" s="8">
        <v>62431.5</v>
      </c>
      <c r="H159" s="8">
        <v>4208.84</v>
      </c>
      <c r="I159" s="6">
        <v>1036</v>
      </c>
      <c r="J159" s="7">
        <v>29499.75</v>
      </c>
      <c r="K159" s="7">
        <v>286305.98</v>
      </c>
      <c r="L159" s="7">
        <v>275719.493333333</v>
      </c>
      <c r="M159" s="7">
        <v>98132.886666666702</v>
      </c>
      <c r="N159" s="10">
        <v>0.26249100424789801</v>
      </c>
    </row>
    <row r="160" spans="1:14" x14ac:dyDescent="0.25">
      <c r="A160" s="9">
        <v>45870</v>
      </c>
      <c r="B160" t="s">
        <v>85</v>
      </c>
      <c r="C160" t="s">
        <v>86</v>
      </c>
      <c r="D160" t="s">
        <v>58</v>
      </c>
      <c r="E160" s="7">
        <v>390133.17</v>
      </c>
      <c r="F160" s="7">
        <v>216867.69666666701</v>
      </c>
      <c r="G160" s="8">
        <v>27935.01</v>
      </c>
      <c r="H160" s="8">
        <v>5471.84</v>
      </c>
      <c r="I160" s="6">
        <v>5978</v>
      </c>
      <c r="J160" s="7">
        <v>21825.25</v>
      </c>
      <c r="K160" s="7">
        <v>287967.86</v>
      </c>
      <c r="L160" s="7">
        <v>278077.79666666698</v>
      </c>
      <c r="M160" s="7">
        <v>112055.373333333</v>
      </c>
      <c r="N160" s="10">
        <v>0.28722339434335598</v>
      </c>
    </row>
    <row r="161" spans="1:14" x14ac:dyDescent="0.25">
      <c r="A161" s="9">
        <v>45870</v>
      </c>
      <c r="B161" t="s">
        <v>103</v>
      </c>
      <c r="C161" t="s">
        <v>104</v>
      </c>
      <c r="D161" t="s">
        <v>58</v>
      </c>
      <c r="E161" s="7">
        <v>293841.65000000002</v>
      </c>
      <c r="F161" s="7">
        <v>150903.89666666699</v>
      </c>
      <c r="G161" s="8">
        <v>36461.31</v>
      </c>
      <c r="H161" s="8">
        <v>3008.45</v>
      </c>
      <c r="I161" s="6">
        <v>3108</v>
      </c>
      <c r="J161" s="7">
        <v>21916.07</v>
      </c>
      <c r="K161" s="7">
        <v>211696.45</v>
      </c>
      <c r="L161" s="7">
        <v>215397.726666667</v>
      </c>
      <c r="M161" s="7">
        <v>78443.923333333296</v>
      </c>
      <c r="N161" s="10">
        <v>0.266959851788653</v>
      </c>
    </row>
    <row r="162" spans="1:14" x14ac:dyDescent="0.25">
      <c r="A162" s="9">
        <v>45901</v>
      </c>
      <c r="B162" t="s">
        <v>100</v>
      </c>
      <c r="C162" t="s">
        <v>101</v>
      </c>
      <c r="D162" t="s">
        <v>69</v>
      </c>
      <c r="E162" s="7">
        <v>323476.15999999997</v>
      </c>
      <c r="F162" s="7">
        <v>153550.13</v>
      </c>
      <c r="G162" s="8">
        <v>44548.85</v>
      </c>
      <c r="H162" s="8">
        <v>2953.79</v>
      </c>
      <c r="I162" s="6">
        <v>4179</v>
      </c>
      <c r="J162" s="7">
        <v>24970.1</v>
      </c>
      <c r="K162" s="7">
        <v>237013.46</v>
      </c>
      <c r="L162" s="7">
        <v>230201.87</v>
      </c>
      <c r="M162" s="7">
        <v>93274.29</v>
      </c>
      <c r="N162" s="10">
        <v>0.28834981223964101</v>
      </c>
    </row>
    <row r="163" spans="1:14" x14ac:dyDescent="0.25">
      <c r="A163" s="9">
        <v>45901</v>
      </c>
      <c r="B163" t="s">
        <v>113</v>
      </c>
      <c r="C163" t="s">
        <v>114</v>
      </c>
      <c r="D163" t="s">
        <v>69</v>
      </c>
      <c r="E163" s="7">
        <v>387244.95</v>
      </c>
      <c r="F163" s="7">
        <v>206238.4</v>
      </c>
      <c r="G163" s="8">
        <v>20673</v>
      </c>
      <c r="H163" s="8">
        <v>2454.7199999999998</v>
      </c>
      <c r="I163" s="6">
        <v>1372</v>
      </c>
      <c r="J163" s="7">
        <v>22189.57</v>
      </c>
      <c r="K163" s="7">
        <v>245642.23</v>
      </c>
      <c r="L163" s="7">
        <v>252927.69</v>
      </c>
      <c r="M163" s="7">
        <v>134317.26</v>
      </c>
      <c r="N163" s="10">
        <v>0.34685348382206199</v>
      </c>
    </row>
    <row r="164" spans="1:14" x14ac:dyDescent="0.25">
      <c r="A164" s="9">
        <v>45901</v>
      </c>
      <c r="B164" t="s">
        <v>143</v>
      </c>
      <c r="C164" t="s">
        <v>144</v>
      </c>
      <c r="D164" t="s">
        <v>69</v>
      </c>
      <c r="E164" s="7">
        <v>356440.27</v>
      </c>
      <c r="F164" s="7">
        <v>168697.876666667</v>
      </c>
      <c r="G164" s="8">
        <v>61718.13</v>
      </c>
      <c r="H164" s="8">
        <v>2947.63</v>
      </c>
      <c r="I164" s="6">
        <v>3906</v>
      </c>
      <c r="J164" s="7">
        <v>29598.67</v>
      </c>
      <c r="K164" s="7">
        <v>277216.94</v>
      </c>
      <c r="L164" s="7">
        <v>266868.30666666699</v>
      </c>
      <c r="M164" s="7">
        <v>89571.963333333304</v>
      </c>
      <c r="N164" s="10">
        <v>0.25129585760142498</v>
      </c>
    </row>
    <row r="165" spans="1:14" x14ac:dyDescent="0.25">
      <c r="A165" s="9">
        <v>45901</v>
      </c>
      <c r="B165" t="s">
        <v>73</v>
      </c>
      <c r="C165" t="s">
        <v>74</v>
      </c>
      <c r="D165" t="s">
        <v>69</v>
      </c>
      <c r="E165" s="7">
        <v>321482.12</v>
      </c>
      <c r="F165" s="7">
        <v>176847.876666667</v>
      </c>
      <c r="G165" s="8">
        <v>21974.15</v>
      </c>
      <c r="H165" s="8">
        <v>2587.36</v>
      </c>
      <c r="I165" s="6">
        <v>9112</v>
      </c>
      <c r="J165" s="7">
        <v>22863.17</v>
      </c>
      <c r="K165" s="7">
        <v>238338.84</v>
      </c>
      <c r="L165" s="7">
        <v>233384.55666666699</v>
      </c>
      <c r="M165" s="7">
        <v>88097.563333333397</v>
      </c>
      <c r="N165" s="10">
        <v>0.274035655025957</v>
      </c>
    </row>
    <row r="166" spans="1:14" x14ac:dyDescent="0.25">
      <c r="A166" s="9">
        <v>45901</v>
      </c>
      <c r="B166" t="s">
        <v>67</v>
      </c>
      <c r="C166" t="s">
        <v>68</v>
      </c>
      <c r="D166" t="s">
        <v>69</v>
      </c>
      <c r="E166" s="7">
        <v>293964.24</v>
      </c>
      <c r="F166" s="7">
        <v>137272.30666666699</v>
      </c>
      <c r="G166" s="8">
        <v>33069.43</v>
      </c>
      <c r="H166" s="8">
        <v>4421.6499999999996</v>
      </c>
      <c r="I166" s="6">
        <v>3682</v>
      </c>
      <c r="J166" s="7">
        <v>20500.36</v>
      </c>
      <c r="K166" s="7">
        <v>205949.99</v>
      </c>
      <c r="L166" s="7">
        <v>198945.74666666699</v>
      </c>
      <c r="M166" s="7">
        <v>95018.493333333405</v>
      </c>
      <c r="N166" s="10">
        <v>0.32323146969622302</v>
      </c>
    </row>
    <row r="167" spans="1:14" x14ac:dyDescent="0.25">
      <c r="A167" s="9">
        <v>45901</v>
      </c>
      <c r="B167" t="s">
        <v>32</v>
      </c>
      <c r="C167" t="s">
        <v>33</v>
      </c>
      <c r="D167" t="s">
        <v>34</v>
      </c>
      <c r="E167" s="7">
        <v>463979.36</v>
      </c>
      <c r="F167" s="7">
        <v>218644.37</v>
      </c>
      <c r="G167" s="8">
        <v>51897.02</v>
      </c>
      <c r="H167" s="8">
        <v>5940.57</v>
      </c>
      <c r="I167" s="6">
        <v>5054</v>
      </c>
      <c r="J167" s="7">
        <v>39205.64</v>
      </c>
      <c r="K167" s="7">
        <v>319477.88</v>
      </c>
      <c r="L167" s="7">
        <v>320741.59999999998</v>
      </c>
      <c r="M167" s="7">
        <v>143237.76000000001</v>
      </c>
      <c r="N167" s="10">
        <v>0.30871580149599798</v>
      </c>
    </row>
    <row r="168" spans="1:14" x14ac:dyDescent="0.25">
      <c r="A168" s="9">
        <v>45901</v>
      </c>
      <c r="B168" t="s">
        <v>94</v>
      </c>
      <c r="C168" t="s">
        <v>95</v>
      </c>
      <c r="D168" t="s">
        <v>34</v>
      </c>
      <c r="E168" s="7">
        <v>494509.72</v>
      </c>
      <c r="F168" s="7">
        <v>226728.65</v>
      </c>
      <c r="G168" s="8">
        <v>61427.24</v>
      </c>
      <c r="H168" s="8">
        <v>1920.4</v>
      </c>
      <c r="I168" s="6">
        <v>1960</v>
      </c>
      <c r="J168" s="7">
        <v>33104.620000000003</v>
      </c>
      <c r="K168" s="7">
        <v>317500.88</v>
      </c>
      <c r="L168" s="7">
        <v>325140.90999999997</v>
      </c>
      <c r="M168" s="7">
        <v>169368.81</v>
      </c>
      <c r="N168" s="10">
        <v>0.342498444722178</v>
      </c>
    </row>
    <row r="169" spans="1:14" x14ac:dyDescent="0.25">
      <c r="A169" s="9">
        <v>45901</v>
      </c>
      <c r="B169" t="s">
        <v>41</v>
      </c>
      <c r="C169" t="s">
        <v>42</v>
      </c>
      <c r="D169" t="s">
        <v>34</v>
      </c>
      <c r="E169" s="7">
        <v>418490.76</v>
      </c>
      <c r="F169" s="7">
        <v>205879.99</v>
      </c>
      <c r="G169" s="8">
        <v>38039.93</v>
      </c>
      <c r="H169" s="8">
        <v>2030.14</v>
      </c>
      <c r="I169" s="6">
        <v>10885</v>
      </c>
      <c r="J169" s="7">
        <v>31115.599999999999</v>
      </c>
      <c r="K169" s="7">
        <v>292063.02</v>
      </c>
      <c r="L169" s="7">
        <v>287950.65999999997</v>
      </c>
      <c r="M169" s="7">
        <v>130540.1</v>
      </c>
      <c r="N169" s="10">
        <v>0.31193066245954898</v>
      </c>
    </row>
    <row r="170" spans="1:14" x14ac:dyDescent="0.25">
      <c r="A170" s="9">
        <v>45901</v>
      </c>
      <c r="B170" t="s">
        <v>47</v>
      </c>
      <c r="C170" t="s">
        <v>48</v>
      </c>
      <c r="D170" t="s">
        <v>34</v>
      </c>
      <c r="E170" s="7">
        <v>296630.33</v>
      </c>
      <c r="F170" s="7">
        <v>93087.633333333302</v>
      </c>
      <c r="G170" s="8">
        <v>92231.37</v>
      </c>
      <c r="H170" s="8">
        <v>3590.01</v>
      </c>
      <c r="I170" s="6">
        <v>9517</v>
      </c>
      <c r="J170" s="7">
        <v>17825</v>
      </c>
      <c r="K170" s="7">
        <v>210916.16</v>
      </c>
      <c r="L170" s="7">
        <v>216251.01333333299</v>
      </c>
      <c r="M170" s="7">
        <v>80379.316666666695</v>
      </c>
      <c r="N170" s="10">
        <v>0.27097470668851298</v>
      </c>
    </row>
    <row r="171" spans="1:14" x14ac:dyDescent="0.25">
      <c r="A171" s="9">
        <v>45901</v>
      </c>
      <c r="B171" t="s">
        <v>121</v>
      </c>
      <c r="C171" t="s">
        <v>122</v>
      </c>
      <c r="D171" t="s">
        <v>34</v>
      </c>
      <c r="E171" s="7">
        <v>305654.99</v>
      </c>
      <c r="F171" s="7">
        <v>138908.58333333299</v>
      </c>
      <c r="G171" s="8">
        <v>34836.980000000003</v>
      </c>
      <c r="H171" s="8">
        <v>2352.48</v>
      </c>
      <c r="I171" s="6">
        <v>6404</v>
      </c>
      <c r="J171" s="7">
        <v>21752.51</v>
      </c>
      <c r="K171" s="7">
        <v>207278.88</v>
      </c>
      <c r="L171" s="7">
        <v>204254.55333333299</v>
      </c>
      <c r="M171" s="7">
        <v>101400.436666667</v>
      </c>
      <c r="N171" s="10">
        <v>0.33174801650274599</v>
      </c>
    </row>
    <row r="172" spans="1:14" x14ac:dyDescent="0.25">
      <c r="A172" s="9">
        <v>45901</v>
      </c>
      <c r="B172" t="s">
        <v>201</v>
      </c>
      <c r="C172" t="s">
        <v>202</v>
      </c>
      <c r="D172" t="s">
        <v>64</v>
      </c>
      <c r="E172" s="7">
        <v>395606.02</v>
      </c>
      <c r="F172" s="7">
        <v>190268.536666667</v>
      </c>
      <c r="G172" s="8">
        <v>37169.519999999997</v>
      </c>
      <c r="H172" s="8">
        <v>3127.82</v>
      </c>
      <c r="I172" s="6">
        <v>6139</v>
      </c>
      <c r="J172" s="7">
        <v>32412.86</v>
      </c>
      <c r="K172" s="7">
        <v>265966.48</v>
      </c>
      <c r="L172" s="7">
        <v>269117.73666666698</v>
      </c>
      <c r="M172" s="7">
        <v>126488.28333333301</v>
      </c>
      <c r="N172" s="10">
        <v>0.31973295890020398</v>
      </c>
    </row>
    <row r="173" spans="1:14" x14ac:dyDescent="0.25">
      <c r="A173" s="9">
        <v>45901</v>
      </c>
      <c r="B173" t="s">
        <v>118</v>
      </c>
      <c r="C173" t="s">
        <v>119</v>
      </c>
      <c r="D173" t="s">
        <v>64</v>
      </c>
      <c r="E173" s="7">
        <v>348017.67</v>
      </c>
      <c r="F173" s="7">
        <v>178859.22333333301</v>
      </c>
      <c r="G173" s="8">
        <v>56995.49</v>
      </c>
      <c r="H173" s="8">
        <v>2927.98</v>
      </c>
      <c r="I173" s="6">
        <v>667</v>
      </c>
      <c r="J173" s="7">
        <v>24809.16</v>
      </c>
      <c r="K173" s="7">
        <v>270626.34999999998</v>
      </c>
      <c r="L173" s="7">
        <v>264258.85333333298</v>
      </c>
      <c r="M173" s="7">
        <v>83758.816666666695</v>
      </c>
      <c r="N173" s="10">
        <v>0.24067403435769999</v>
      </c>
    </row>
    <row r="174" spans="1:14" x14ac:dyDescent="0.25">
      <c r="A174" s="9">
        <v>45901</v>
      </c>
      <c r="B174" t="s">
        <v>62</v>
      </c>
      <c r="C174" t="s">
        <v>63</v>
      </c>
      <c r="D174" t="s">
        <v>64</v>
      </c>
      <c r="E174" s="7">
        <v>311261.90000000002</v>
      </c>
      <c r="F174" s="7">
        <v>190468.14333333299</v>
      </c>
      <c r="G174" s="8">
        <v>8504.99</v>
      </c>
      <c r="H174" s="8">
        <v>2802.55</v>
      </c>
      <c r="I174" s="6">
        <v>10232</v>
      </c>
      <c r="J174" s="7">
        <v>24440.639999999999</v>
      </c>
      <c r="K174" s="7">
        <v>245193.43</v>
      </c>
      <c r="L174" s="7">
        <v>236448.32333333301</v>
      </c>
      <c r="M174" s="7">
        <v>74813.576666666704</v>
      </c>
      <c r="N174" s="10">
        <v>0.240355715449487</v>
      </c>
    </row>
    <row r="175" spans="1:14" x14ac:dyDescent="0.25">
      <c r="A175" s="9">
        <v>45901</v>
      </c>
      <c r="B175" t="s">
        <v>91</v>
      </c>
      <c r="C175" t="s">
        <v>92</v>
      </c>
      <c r="D175" t="s">
        <v>64</v>
      </c>
      <c r="E175" s="7">
        <v>293279.43</v>
      </c>
      <c r="F175" s="7">
        <v>128763.27</v>
      </c>
      <c r="G175" s="8">
        <v>34413.75</v>
      </c>
      <c r="H175" s="8">
        <v>4251.55</v>
      </c>
      <c r="I175" s="6">
        <v>7851</v>
      </c>
      <c r="J175" s="7">
        <v>18373.34</v>
      </c>
      <c r="K175" s="7">
        <v>196979.99</v>
      </c>
      <c r="L175" s="7">
        <v>193652.91</v>
      </c>
      <c r="M175" s="7">
        <v>99626.52</v>
      </c>
      <c r="N175" s="10">
        <v>0.33969828705681798</v>
      </c>
    </row>
    <row r="176" spans="1:14" x14ac:dyDescent="0.25">
      <c r="A176" s="9">
        <v>45901</v>
      </c>
      <c r="B176" t="s">
        <v>80</v>
      </c>
      <c r="C176" t="s">
        <v>81</v>
      </c>
      <c r="D176" t="s">
        <v>64</v>
      </c>
      <c r="E176" s="7">
        <v>273243.28999999998</v>
      </c>
      <c r="F176" s="7">
        <v>130860.44333333299</v>
      </c>
      <c r="G176" s="8">
        <v>42013.19</v>
      </c>
      <c r="H176" s="8">
        <v>2884.16</v>
      </c>
      <c r="I176" s="6">
        <v>6104</v>
      </c>
      <c r="J176" s="7">
        <v>18197.560000000001</v>
      </c>
      <c r="K176" s="7">
        <v>207970.98</v>
      </c>
      <c r="L176" s="7">
        <v>200059.35333333301</v>
      </c>
      <c r="M176" s="7">
        <v>73183.936666666705</v>
      </c>
      <c r="N176" s="10">
        <v>0.26783434157401098</v>
      </c>
    </row>
    <row r="177" spans="1:14" x14ac:dyDescent="0.25">
      <c r="A177" s="9">
        <v>45901</v>
      </c>
      <c r="B177" t="s">
        <v>56</v>
      </c>
      <c r="C177" t="s">
        <v>57</v>
      </c>
      <c r="D177" t="s">
        <v>58</v>
      </c>
      <c r="E177" s="7">
        <v>292678</v>
      </c>
      <c r="F177" s="7">
        <v>111358.836666667</v>
      </c>
      <c r="G177" s="8">
        <v>50393.4</v>
      </c>
      <c r="H177" s="8">
        <v>5364.93</v>
      </c>
      <c r="I177" s="6">
        <v>3611</v>
      </c>
      <c r="J177" s="7">
        <v>18950.900000000001</v>
      </c>
      <c r="K177" s="7">
        <v>190366.75</v>
      </c>
      <c r="L177" s="7">
        <v>189679.066666667</v>
      </c>
      <c r="M177" s="7">
        <v>102998.933333333</v>
      </c>
      <c r="N177" s="10">
        <v>0.35191894619114999</v>
      </c>
    </row>
    <row r="178" spans="1:14" x14ac:dyDescent="0.25">
      <c r="A178" s="9">
        <v>45901</v>
      </c>
      <c r="B178" t="s">
        <v>77</v>
      </c>
      <c r="C178" t="s">
        <v>78</v>
      </c>
      <c r="D178" t="s">
        <v>58</v>
      </c>
      <c r="E178" s="7">
        <v>228295.44</v>
      </c>
      <c r="F178" s="7">
        <v>115183.39</v>
      </c>
      <c r="G178" s="8">
        <v>10327.129999999999</v>
      </c>
      <c r="H178" s="8">
        <v>4701.18</v>
      </c>
      <c r="I178" s="6">
        <v>6163</v>
      </c>
      <c r="J178" s="7">
        <v>14383.29</v>
      </c>
      <c r="K178" s="7">
        <v>155507.4</v>
      </c>
      <c r="L178" s="7">
        <v>150757.99</v>
      </c>
      <c r="M178" s="7">
        <v>77537.45</v>
      </c>
      <c r="N178" s="10">
        <v>0.33963643776678099</v>
      </c>
    </row>
    <row r="179" spans="1:14" x14ac:dyDescent="0.25">
      <c r="A179" s="9">
        <v>45901</v>
      </c>
      <c r="B179" t="s">
        <v>110</v>
      </c>
      <c r="C179" t="s">
        <v>111</v>
      </c>
      <c r="D179" t="s">
        <v>58</v>
      </c>
      <c r="E179" s="7">
        <v>300434.96999999997</v>
      </c>
      <c r="F179" s="7">
        <v>124620.186666667</v>
      </c>
      <c r="G179" s="8">
        <v>57976.52</v>
      </c>
      <c r="H179" s="8">
        <v>2625.95</v>
      </c>
      <c r="I179" s="6">
        <v>9944</v>
      </c>
      <c r="J179" s="7">
        <v>18592.580000000002</v>
      </c>
      <c r="K179" s="7">
        <v>210434.57</v>
      </c>
      <c r="L179" s="7">
        <v>213759.23666666701</v>
      </c>
      <c r="M179" s="7">
        <v>86675.733333333294</v>
      </c>
      <c r="N179" s="10">
        <v>0.28850081378121001</v>
      </c>
    </row>
    <row r="180" spans="1:14" x14ac:dyDescent="0.25">
      <c r="A180" s="9">
        <v>45901</v>
      </c>
      <c r="B180" t="s">
        <v>85</v>
      </c>
      <c r="C180" t="s">
        <v>86</v>
      </c>
      <c r="D180" t="s">
        <v>58</v>
      </c>
      <c r="E180" s="7">
        <v>300146.23</v>
      </c>
      <c r="F180" s="7">
        <v>125305.96</v>
      </c>
      <c r="G180" s="8">
        <v>69866.69</v>
      </c>
      <c r="H180" s="8">
        <v>3250.37</v>
      </c>
      <c r="I180" s="6">
        <v>7205</v>
      </c>
      <c r="J180" s="7">
        <v>24799.58</v>
      </c>
      <c r="K180" s="7">
        <v>234114.53</v>
      </c>
      <c r="L180" s="7">
        <v>230427.6</v>
      </c>
      <c r="M180" s="7">
        <v>69718.63</v>
      </c>
      <c r="N180" s="10">
        <v>0.23228221124083401</v>
      </c>
    </row>
    <row r="181" spans="1:14" x14ac:dyDescent="0.25">
      <c r="A181" s="9">
        <v>45901</v>
      </c>
      <c r="B181" t="s">
        <v>103</v>
      </c>
      <c r="C181" t="s">
        <v>104</v>
      </c>
      <c r="D181" t="s">
        <v>58</v>
      </c>
      <c r="E181" s="7">
        <v>494798.8</v>
      </c>
      <c r="F181" s="7">
        <v>146147.89000000001</v>
      </c>
      <c r="G181" s="8">
        <v>148037.24</v>
      </c>
      <c r="H181" s="8">
        <v>4375.1499999999996</v>
      </c>
      <c r="I181" s="6">
        <v>6630</v>
      </c>
      <c r="J181" s="7">
        <v>28755.29</v>
      </c>
      <c r="K181" s="7">
        <v>322434.43</v>
      </c>
      <c r="L181" s="7">
        <v>333945.57</v>
      </c>
      <c r="M181" s="7">
        <v>160853.23000000001</v>
      </c>
      <c r="N181" s="10">
        <v>0.32508815704484301</v>
      </c>
    </row>
    <row r="182" spans="1:14" x14ac:dyDescent="0.25">
      <c r="A182" s="9">
        <v>45931</v>
      </c>
      <c r="B182" t="s">
        <v>100</v>
      </c>
      <c r="C182" t="s">
        <v>101</v>
      </c>
      <c r="D182" t="s">
        <v>69</v>
      </c>
      <c r="E182" s="7">
        <v>492289.89</v>
      </c>
      <c r="F182" s="7">
        <v>186629.22</v>
      </c>
      <c r="G182" s="8">
        <v>99969.96</v>
      </c>
      <c r="H182" s="8">
        <v>4491.26</v>
      </c>
      <c r="I182" s="6">
        <v>966</v>
      </c>
      <c r="J182" s="7">
        <v>33582.17</v>
      </c>
      <c r="K182" s="7">
        <v>325772.94</v>
      </c>
      <c r="L182" s="7">
        <v>325638.61</v>
      </c>
      <c r="M182" s="7">
        <v>166651.28</v>
      </c>
      <c r="N182" s="10">
        <v>0.33852265379652602</v>
      </c>
    </row>
    <row r="183" spans="1:14" x14ac:dyDescent="0.25">
      <c r="A183" s="9">
        <v>45931</v>
      </c>
      <c r="B183" t="s">
        <v>113</v>
      </c>
      <c r="C183" t="s">
        <v>114</v>
      </c>
      <c r="D183" t="s">
        <v>69</v>
      </c>
      <c r="E183" s="7">
        <v>354514.41</v>
      </c>
      <c r="F183" s="7">
        <v>195602.96</v>
      </c>
      <c r="G183" s="8">
        <v>14961.85</v>
      </c>
      <c r="H183" s="8">
        <v>5745.29</v>
      </c>
      <c r="I183" s="6">
        <v>6819</v>
      </c>
      <c r="J183" s="7">
        <v>20210.45</v>
      </c>
      <c r="K183" s="7">
        <v>241879.21</v>
      </c>
      <c r="L183" s="7">
        <v>243339.55</v>
      </c>
      <c r="M183" s="7">
        <v>111174.86</v>
      </c>
      <c r="N183" s="10">
        <v>0.313597577035021</v>
      </c>
    </row>
    <row r="184" spans="1:14" x14ac:dyDescent="0.25">
      <c r="A184" s="9">
        <v>45931</v>
      </c>
      <c r="B184" t="s">
        <v>143</v>
      </c>
      <c r="C184" t="s">
        <v>144</v>
      </c>
      <c r="D184" t="s">
        <v>69</v>
      </c>
      <c r="E184" s="7">
        <v>352965</v>
      </c>
      <c r="F184" s="7">
        <v>155027.70000000001</v>
      </c>
      <c r="G184" s="8">
        <v>44669.919999999998</v>
      </c>
      <c r="H184" s="8">
        <v>4055.83</v>
      </c>
      <c r="I184" s="6">
        <v>1817</v>
      </c>
      <c r="J184" s="7">
        <v>22365.85</v>
      </c>
      <c r="K184" s="7">
        <v>223457.69</v>
      </c>
      <c r="L184" s="7">
        <v>227936.3</v>
      </c>
      <c r="M184" s="7">
        <v>125028.7</v>
      </c>
      <c r="N184" s="10">
        <v>0.354224073208392</v>
      </c>
    </row>
    <row r="185" spans="1:14" x14ac:dyDescent="0.25">
      <c r="A185" s="9">
        <v>45931</v>
      </c>
      <c r="B185" t="s">
        <v>73</v>
      </c>
      <c r="C185" t="s">
        <v>74</v>
      </c>
      <c r="D185" t="s">
        <v>69</v>
      </c>
      <c r="E185" s="7">
        <v>506440.4</v>
      </c>
      <c r="F185" s="7">
        <v>192555.58</v>
      </c>
      <c r="G185" s="8">
        <v>112729.45</v>
      </c>
      <c r="H185" s="8">
        <v>4482.8100000000004</v>
      </c>
      <c r="I185" s="6">
        <v>759</v>
      </c>
      <c r="J185" s="7">
        <v>33315.64</v>
      </c>
      <c r="K185" s="7">
        <v>337292.63</v>
      </c>
      <c r="L185" s="7">
        <v>343842.48</v>
      </c>
      <c r="M185" s="7">
        <v>162597.92000000001</v>
      </c>
      <c r="N185" s="10">
        <v>0.32106032615091501</v>
      </c>
    </row>
    <row r="186" spans="1:14" x14ac:dyDescent="0.25">
      <c r="A186" s="9">
        <v>45931</v>
      </c>
      <c r="B186" t="s">
        <v>67</v>
      </c>
      <c r="C186" t="s">
        <v>68</v>
      </c>
      <c r="D186" t="s">
        <v>69</v>
      </c>
      <c r="E186" s="7">
        <v>232044.42</v>
      </c>
      <c r="F186" s="7">
        <v>102216.16666666701</v>
      </c>
      <c r="G186" s="8">
        <v>43005.72</v>
      </c>
      <c r="H186" s="8">
        <v>5534.61</v>
      </c>
      <c r="I186" s="6">
        <v>7696</v>
      </c>
      <c r="J186" s="7">
        <v>16464.04</v>
      </c>
      <c r="K186" s="7">
        <v>179386.69</v>
      </c>
      <c r="L186" s="7">
        <v>174916.536666667</v>
      </c>
      <c r="M186" s="7">
        <v>57127.883333333302</v>
      </c>
      <c r="N186" s="10">
        <v>0.24619373882523601</v>
      </c>
    </row>
    <row r="187" spans="1:14" x14ac:dyDescent="0.25">
      <c r="A187" s="9">
        <v>45931</v>
      </c>
      <c r="B187" t="s">
        <v>32</v>
      </c>
      <c r="C187" t="s">
        <v>33</v>
      </c>
      <c r="D187" t="s">
        <v>34</v>
      </c>
      <c r="E187" s="7">
        <v>350239.15</v>
      </c>
      <c r="F187" s="7">
        <v>131340.71666666699</v>
      </c>
      <c r="G187" s="8">
        <v>65997.33</v>
      </c>
      <c r="H187" s="8">
        <v>2472.7199999999998</v>
      </c>
      <c r="I187" s="6">
        <v>7759</v>
      </c>
      <c r="J187" s="7">
        <v>26496.65</v>
      </c>
      <c r="K187" s="7">
        <v>233600.37</v>
      </c>
      <c r="L187" s="7">
        <v>234066.41666666701</v>
      </c>
      <c r="M187" s="7">
        <v>116172.733333333</v>
      </c>
      <c r="N187" s="10">
        <v>0.33169545247392601</v>
      </c>
    </row>
    <row r="188" spans="1:14" x14ac:dyDescent="0.25">
      <c r="A188" s="9">
        <v>45931</v>
      </c>
      <c r="B188" t="s">
        <v>94</v>
      </c>
      <c r="C188" t="s">
        <v>95</v>
      </c>
      <c r="D188" t="s">
        <v>34</v>
      </c>
      <c r="E188" s="7">
        <v>501498.83</v>
      </c>
      <c r="F188" s="7">
        <v>175551.41666666701</v>
      </c>
      <c r="G188" s="8">
        <v>122616.94</v>
      </c>
      <c r="H188" s="8">
        <v>3948.21</v>
      </c>
      <c r="I188" s="6">
        <v>7972</v>
      </c>
      <c r="J188" s="7">
        <v>34357.730000000003</v>
      </c>
      <c r="K188" s="7">
        <v>352279.78</v>
      </c>
      <c r="L188" s="7">
        <v>344446.29666666698</v>
      </c>
      <c r="M188" s="7">
        <v>157052.53333333301</v>
      </c>
      <c r="N188" s="10">
        <v>0.31316630057408801</v>
      </c>
    </row>
    <row r="189" spans="1:14" x14ac:dyDescent="0.25">
      <c r="A189" s="9">
        <v>45931</v>
      </c>
      <c r="B189" t="s">
        <v>41</v>
      </c>
      <c r="C189" t="s">
        <v>42</v>
      </c>
      <c r="D189" t="s">
        <v>34</v>
      </c>
      <c r="E189" s="7">
        <v>456867.48</v>
      </c>
      <c r="F189" s="7">
        <v>240235.20333333299</v>
      </c>
      <c r="G189" s="8">
        <v>59693.58</v>
      </c>
      <c r="H189" s="8">
        <v>2501.52</v>
      </c>
      <c r="I189" s="6">
        <v>6487</v>
      </c>
      <c r="J189" s="7">
        <v>33924.06</v>
      </c>
      <c r="K189" s="7">
        <v>346980.44</v>
      </c>
      <c r="L189" s="7">
        <v>342841.36333333299</v>
      </c>
      <c r="M189" s="7">
        <v>114026.116666667</v>
      </c>
      <c r="N189" s="10">
        <v>0.24958247557183699</v>
      </c>
    </row>
    <row r="190" spans="1:14" x14ac:dyDescent="0.25">
      <c r="A190" s="9">
        <v>45931</v>
      </c>
      <c r="B190" t="s">
        <v>47</v>
      </c>
      <c r="C190" t="s">
        <v>48</v>
      </c>
      <c r="D190" t="s">
        <v>34</v>
      </c>
      <c r="E190" s="7">
        <v>358686.17</v>
      </c>
      <c r="F190" s="7">
        <v>112685.383333333</v>
      </c>
      <c r="G190" s="8">
        <v>85307.99</v>
      </c>
      <c r="H190" s="8">
        <v>3750.8</v>
      </c>
      <c r="I190" s="6">
        <v>9771</v>
      </c>
      <c r="J190" s="7">
        <v>27540.21</v>
      </c>
      <c r="K190" s="7">
        <v>235622.52</v>
      </c>
      <c r="L190" s="7">
        <v>239055.38333333301</v>
      </c>
      <c r="M190" s="7">
        <v>119630.786666667</v>
      </c>
      <c r="N190" s="10">
        <v>0.33352494930782201</v>
      </c>
    </row>
    <row r="191" spans="1:14" x14ac:dyDescent="0.25">
      <c r="A191" s="9">
        <v>45931</v>
      </c>
      <c r="B191" t="s">
        <v>121</v>
      </c>
      <c r="C191" t="s">
        <v>122</v>
      </c>
      <c r="D191" t="s">
        <v>34</v>
      </c>
      <c r="E191" s="7">
        <v>538091.89</v>
      </c>
      <c r="F191" s="7">
        <v>218275.32666666701</v>
      </c>
      <c r="G191" s="8">
        <v>107219.93</v>
      </c>
      <c r="H191" s="8">
        <v>2402.92</v>
      </c>
      <c r="I191" s="6">
        <v>3483</v>
      </c>
      <c r="J191" s="7">
        <v>31585.99</v>
      </c>
      <c r="K191" s="7">
        <v>364030.83</v>
      </c>
      <c r="L191" s="7">
        <v>362967.16666666698</v>
      </c>
      <c r="M191" s="7">
        <v>175124.72333333301</v>
      </c>
      <c r="N191" s="10">
        <v>0.32545505068536401</v>
      </c>
    </row>
    <row r="192" spans="1:14" x14ac:dyDescent="0.25">
      <c r="A192" s="9">
        <v>45931</v>
      </c>
      <c r="B192" t="s">
        <v>201</v>
      </c>
      <c r="C192" t="s">
        <v>202</v>
      </c>
      <c r="D192" t="s">
        <v>64</v>
      </c>
      <c r="E192" s="7">
        <v>362264.79</v>
      </c>
      <c r="F192" s="7">
        <v>165125.13333333301</v>
      </c>
      <c r="G192" s="8">
        <v>42672.23</v>
      </c>
      <c r="H192" s="8">
        <v>2349</v>
      </c>
      <c r="I192" s="6">
        <v>1792</v>
      </c>
      <c r="J192" s="7">
        <v>25494.3</v>
      </c>
      <c r="K192" s="7">
        <v>232787.66</v>
      </c>
      <c r="L192" s="7">
        <v>237432.66333333301</v>
      </c>
      <c r="M192" s="7">
        <v>124832.126666667</v>
      </c>
      <c r="N192" s="10">
        <v>0.34458807511120998</v>
      </c>
    </row>
    <row r="193" spans="1:14" x14ac:dyDescent="0.25">
      <c r="A193" s="9">
        <v>45931</v>
      </c>
      <c r="B193" t="s">
        <v>118</v>
      </c>
      <c r="C193" t="s">
        <v>119</v>
      </c>
      <c r="D193" t="s">
        <v>64</v>
      </c>
      <c r="E193" s="7">
        <v>282218.82</v>
      </c>
      <c r="F193" s="7">
        <v>126934.616666667</v>
      </c>
      <c r="G193" s="8">
        <v>44559.44</v>
      </c>
      <c r="H193" s="8">
        <v>1966.86</v>
      </c>
      <c r="I193" s="6">
        <v>3424</v>
      </c>
      <c r="J193" s="7">
        <v>18790.099999999999</v>
      </c>
      <c r="K193" s="7">
        <v>197586.35</v>
      </c>
      <c r="L193" s="7">
        <v>195675.01666666701</v>
      </c>
      <c r="M193" s="7">
        <v>86543.803333333301</v>
      </c>
      <c r="N193" s="10">
        <v>0.30665496841540701</v>
      </c>
    </row>
    <row r="194" spans="1:14" x14ac:dyDescent="0.25">
      <c r="A194" s="9">
        <v>45931</v>
      </c>
      <c r="B194" t="s">
        <v>62</v>
      </c>
      <c r="C194" t="s">
        <v>63</v>
      </c>
      <c r="D194" t="s">
        <v>64</v>
      </c>
      <c r="E194" s="7">
        <v>355315.27</v>
      </c>
      <c r="F194" s="7">
        <v>132980.506666667</v>
      </c>
      <c r="G194" s="8">
        <v>75875.61</v>
      </c>
      <c r="H194" s="8">
        <v>4007.42</v>
      </c>
      <c r="I194" s="6">
        <v>8323</v>
      </c>
      <c r="J194" s="7">
        <v>30075.72</v>
      </c>
      <c r="K194" s="7">
        <v>251818.93</v>
      </c>
      <c r="L194" s="7">
        <v>251262.256666667</v>
      </c>
      <c r="M194" s="7">
        <v>104053.013333333</v>
      </c>
      <c r="N194" s="10">
        <v>0.29284700692242499</v>
      </c>
    </row>
    <row r="195" spans="1:14" x14ac:dyDescent="0.25">
      <c r="A195" s="9">
        <v>45931</v>
      </c>
      <c r="B195" t="s">
        <v>91</v>
      </c>
      <c r="C195" t="s">
        <v>92</v>
      </c>
      <c r="D195" t="s">
        <v>64</v>
      </c>
      <c r="E195" s="7">
        <v>341157.63</v>
      </c>
      <c r="F195" s="7">
        <v>145117.88666666701</v>
      </c>
      <c r="G195" s="8">
        <v>52232.52</v>
      </c>
      <c r="H195" s="8">
        <v>3775.93</v>
      </c>
      <c r="I195" s="6">
        <v>4436</v>
      </c>
      <c r="J195" s="7">
        <v>27819.35</v>
      </c>
      <c r="K195" s="7">
        <v>238316.95</v>
      </c>
      <c r="L195" s="7">
        <v>233381.686666667</v>
      </c>
      <c r="M195" s="7">
        <v>107775.94333333299</v>
      </c>
      <c r="N195" s="10">
        <v>0.31591245176997301</v>
      </c>
    </row>
    <row r="196" spans="1:14" x14ac:dyDescent="0.25">
      <c r="A196" s="9">
        <v>45931</v>
      </c>
      <c r="B196" t="s">
        <v>80</v>
      </c>
      <c r="C196" t="s">
        <v>81</v>
      </c>
      <c r="D196" t="s">
        <v>64</v>
      </c>
      <c r="E196" s="7">
        <v>447332.46</v>
      </c>
      <c r="F196" s="7">
        <v>171539.936666667</v>
      </c>
      <c r="G196" s="8">
        <v>93545.17</v>
      </c>
      <c r="H196" s="8">
        <v>5308.86</v>
      </c>
      <c r="I196" s="6">
        <v>7161</v>
      </c>
      <c r="J196" s="7">
        <v>28710.799999999999</v>
      </c>
      <c r="K196" s="7">
        <v>318155.83</v>
      </c>
      <c r="L196" s="7">
        <v>306265.76666666701</v>
      </c>
      <c r="M196" s="7">
        <v>141066.69333333301</v>
      </c>
      <c r="N196" s="10">
        <v>0.31535089882217199</v>
      </c>
    </row>
    <row r="197" spans="1:14" x14ac:dyDescent="0.25">
      <c r="A197" s="9">
        <v>45931</v>
      </c>
      <c r="B197" t="s">
        <v>56</v>
      </c>
      <c r="C197" t="s">
        <v>57</v>
      </c>
      <c r="D197" t="s">
        <v>58</v>
      </c>
      <c r="E197" s="7">
        <v>516766.86</v>
      </c>
      <c r="F197" s="7">
        <v>238757.37</v>
      </c>
      <c r="G197" s="8">
        <v>80015.399999999994</v>
      </c>
      <c r="H197" s="8">
        <v>2449.31</v>
      </c>
      <c r="I197" s="6">
        <v>5859</v>
      </c>
      <c r="J197" s="7">
        <v>39321.99</v>
      </c>
      <c r="K197" s="7">
        <v>376296.26</v>
      </c>
      <c r="L197" s="7">
        <v>366403.07</v>
      </c>
      <c r="M197" s="7">
        <v>150363.79</v>
      </c>
      <c r="N197" s="10">
        <v>0.29097026461797498</v>
      </c>
    </row>
    <row r="198" spans="1:14" x14ac:dyDescent="0.25">
      <c r="A198" s="9">
        <v>45931</v>
      </c>
      <c r="B198" t="s">
        <v>77</v>
      </c>
      <c r="C198" t="s">
        <v>78</v>
      </c>
      <c r="D198" t="s">
        <v>58</v>
      </c>
      <c r="E198" s="7">
        <v>312681.84000000003</v>
      </c>
      <c r="F198" s="7">
        <v>148368.20000000001</v>
      </c>
      <c r="G198" s="8">
        <v>55854.23</v>
      </c>
      <c r="H198" s="8">
        <v>3122.25</v>
      </c>
      <c r="I198" s="6">
        <v>4176</v>
      </c>
      <c r="J198" s="7">
        <v>25074.7</v>
      </c>
      <c r="K198" s="7">
        <v>240021.73</v>
      </c>
      <c r="L198" s="7">
        <v>236595.38</v>
      </c>
      <c r="M198" s="7">
        <v>76086.460000000006</v>
      </c>
      <c r="N198" s="10">
        <v>0.243335078237994</v>
      </c>
    </row>
    <row r="199" spans="1:14" x14ac:dyDescent="0.25">
      <c r="A199" s="9">
        <v>45931</v>
      </c>
      <c r="B199" t="s">
        <v>110</v>
      </c>
      <c r="C199" t="s">
        <v>111</v>
      </c>
      <c r="D199" t="s">
        <v>58</v>
      </c>
      <c r="E199" s="7">
        <v>594924.5</v>
      </c>
      <c r="F199" s="7">
        <v>220063.4</v>
      </c>
      <c r="G199" s="8">
        <v>167020.63</v>
      </c>
      <c r="H199" s="8">
        <v>3199.07</v>
      </c>
      <c r="I199" s="6">
        <v>1495</v>
      </c>
      <c r="J199" s="7">
        <v>36871.360000000001</v>
      </c>
      <c r="K199" s="7">
        <v>439287.64</v>
      </c>
      <c r="L199" s="7">
        <v>428649.46</v>
      </c>
      <c r="M199" s="7">
        <v>166275.04</v>
      </c>
      <c r="N199" s="10">
        <v>0.279489313349845</v>
      </c>
    </row>
    <row r="200" spans="1:14" x14ac:dyDescent="0.25">
      <c r="A200" s="9">
        <v>45931</v>
      </c>
      <c r="B200" t="s">
        <v>85</v>
      </c>
      <c r="C200" t="s">
        <v>86</v>
      </c>
      <c r="D200" t="s">
        <v>58</v>
      </c>
      <c r="E200" s="7">
        <v>259428.88</v>
      </c>
      <c r="F200" s="7">
        <v>92927.553333333301</v>
      </c>
      <c r="G200" s="8">
        <v>50787.519999999997</v>
      </c>
      <c r="H200" s="8">
        <v>4999.2</v>
      </c>
      <c r="I200" s="6">
        <v>5460</v>
      </c>
      <c r="J200" s="7">
        <v>21946.35</v>
      </c>
      <c r="K200" s="7">
        <v>176690.51</v>
      </c>
      <c r="L200" s="7">
        <v>176120.623333333</v>
      </c>
      <c r="M200" s="7">
        <v>83308.256666666595</v>
      </c>
      <c r="N200" s="10">
        <v>0.32112175277735699</v>
      </c>
    </row>
    <row r="201" spans="1:14" x14ac:dyDescent="0.25">
      <c r="A201" s="9">
        <v>45931</v>
      </c>
      <c r="B201" t="s">
        <v>103</v>
      </c>
      <c r="C201" t="s">
        <v>104</v>
      </c>
      <c r="D201" t="s">
        <v>58</v>
      </c>
      <c r="E201" s="7">
        <v>435525.58</v>
      </c>
      <c r="F201" s="7">
        <v>172362.37</v>
      </c>
      <c r="G201" s="8">
        <v>70864</v>
      </c>
      <c r="H201" s="8">
        <v>3706.08</v>
      </c>
      <c r="I201" s="6">
        <v>7739</v>
      </c>
      <c r="J201" s="7">
        <v>33236.78</v>
      </c>
      <c r="K201" s="7">
        <v>280423.3</v>
      </c>
      <c r="L201" s="7">
        <v>287908.23</v>
      </c>
      <c r="M201" s="7">
        <v>147617.35</v>
      </c>
      <c r="N201" s="10">
        <v>0.338940711588054</v>
      </c>
    </row>
    <row r="202" spans="1:14" x14ac:dyDescent="0.25">
      <c r="A202" s="9">
        <v>45962</v>
      </c>
      <c r="B202" t="s">
        <v>100</v>
      </c>
      <c r="C202" t="s">
        <v>101</v>
      </c>
      <c r="D202" t="s">
        <v>69</v>
      </c>
      <c r="E202" s="7">
        <v>257891.78</v>
      </c>
      <c r="F202" s="7">
        <v>129763.006666667</v>
      </c>
      <c r="G202" s="8">
        <v>32972.11</v>
      </c>
      <c r="H202" s="8">
        <v>3330.22</v>
      </c>
      <c r="I202" s="6">
        <v>7518</v>
      </c>
      <c r="J202" s="7">
        <v>15760.3</v>
      </c>
      <c r="K202" s="7">
        <v>190203.21</v>
      </c>
      <c r="L202" s="7">
        <v>189343.63666666701</v>
      </c>
      <c r="M202" s="7">
        <v>68548.143333333399</v>
      </c>
      <c r="N202" s="10">
        <v>0.26580197063021299</v>
      </c>
    </row>
    <row r="203" spans="1:14" x14ac:dyDescent="0.25">
      <c r="A203" s="9">
        <v>45962</v>
      </c>
      <c r="B203" t="s">
        <v>113</v>
      </c>
      <c r="C203" t="s">
        <v>114</v>
      </c>
      <c r="D203" t="s">
        <v>69</v>
      </c>
      <c r="E203" s="7">
        <v>288091.18</v>
      </c>
      <c r="F203" s="7">
        <v>164773.51666666701</v>
      </c>
      <c r="G203" s="8">
        <v>11539.42</v>
      </c>
      <c r="H203" s="8">
        <v>4239.05</v>
      </c>
      <c r="I203" s="6">
        <v>10095</v>
      </c>
      <c r="J203" s="7">
        <v>19730.189999999999</v>
      </c>
      <c r="K203" s="7">
        <v>210738.41</v>
      </c>
      <c r="L203" s="7">
        <v>210377.17666666699</v>
      </c>
      <c r="M203" s="7">
        <v>77714.003333333298</v>
      </c>
      <c r="N203" s="10">
        <v>0.26975488570435702</v>
      </c>
    </row>
    <row r="204" spans="1:14" x14ac:dyDescent="0.25">
      <c r="A204" s="9">
        <v>45962</v>
      </c>
      <c r="B204" t="s">
        <v>143</v>
      </c>
      <c r="C204" t="s">
        <v>144</v>
      </c>
      <c r="D204" t="s">
        <v>69</v>
      </c>
      <c r="E204" s="7">
        <v>259756.58</v>
      </c>
      <c r="F204" s="7">
        <v>120788.456666667</v>
      </c>
      <c r="G204" s="8">
        <v>43645.61</v>
      </c>
      <c r="H204" s="8">
        <v>4284.04</v>
      </c>
      <c r="I204" s="6">
        <v>2814</v>
      </c>
      <c r="J204" s="7">
        <v>20461.150000000001</v>
      </c>
      <c r="K204" s="7">
        <v>186632</v>
      </c>
      <c r="L204" s="7">
        <v>191993.256666667</v>
      </c>
      <c r="M204" s="7">
        <v>67763.323333333305</v>
      </c>
      <c r="N204" s="10">
        <v>0.26087240343760798</v>
      </c>
    </row>
    <row r="205" spans="1:14" x14ac:dyDescent="0.25">
      <c r="A205" s="9">
        <v>45962</v>
      </c>
      <c r="B205" t="s">
        <v>73</v>
      </c>
      <c r="C205" t="s">
        <v>74</v>
      </c>
      <c r="D205" t="s">
        <v>69</v>
      </c>
      <c r="E205" s="7">
        <v>365699.75</v>
      </c>
      <c r="F205" s="7">
        <v>179514.87</v>
      </c>
      <c r="G205" s="8">
        <v>58785.83</v>
      </c>
      <c r="H205" s="8">
        <v>4310.79</v>
      </c>
      <c r="I205" s="6">
        <v>4410</v>
      </c>
      <c r="J205" s="7">
        <v>27201.53</v>
      </c>
      <c r="K205" s="7">
        <v>275313.45</v>
      </c>
      <c r="L205" s="7">
        <v>274223.02</v>
      </c>
      <c r="M205" s="7">
        <v>91476.73</v>
      </c>
      <c r="N205" s="10">
        <v>0.25014162574625798</v>
      </c>
    </row>
    <row r="206" spans="1:14" x14ac:dyDescent="0.25">
      <c r="A206" s="9">
        <v>45962</v>
      </c>
      <c r="B206" t="s">
        <v>67</v>
      </c>
      <c r="C206" t="s">
        <v>68</v>
      </c>
      <c r="D206" t="s">
        <v>69</v>
      </c>
      <c r="E206" s="7">
        <v>273609.92</v>
      </c>
      <c r="F206" s="7">
        <v>139893.47333333301</v>
      </c>
      <c r="G206" s="8">
        <v>39467.67</v>
      </c>
      <c r="H206" s="8">
        <v>4103.21</v>
      </c>
      <c r="I206" s="6">
        <v>4181</v>
      </c>
      <c r="J206" s="7">
        <v>22599.77</v>
      </c>
      <c r="K206" s="7">
        <v>204477.95</v>
      </c>
      <c r="L206" s="7">
        <v>210245.123333333</v>
      </c>
      <c r="M206" s="7">
        <v>63364.796666666603</v>
      </c>
      <c r="N206" s="10">
        <v>0.231588082283956</v>
      </c>
    </row>
    <row r="207" spans="1:14" x14ac:dyDescent="0.25">
      <c r="A207" s="9">
        <v>45962</v>
      </c>
      <c r="B207" t="s">
        <v>32</v>
      </c>
      <c r="C207" t="s">
        <v>33</v>
      </c>
      <c r="D207" t="s">
        <v>34</v>
      </c>
      <c r="E207" s="7">
        <v>413120.06</v>
      </c>
      <c r="F207" s="7">
        <v>152501.15</v>
      </c>
      <c r="G207" s="8">
        <v>83374.13</v>
      </c>
      <c r="H207" s="8">
        <v>5080.88</v>
      </c>
      <c r="I207" s="6">
        <v>3780</v>
      </c>
      <c r="J207" s="7">
        <v>25325.38</v>
      </c>
      <c r="K207" s="7">
        <v>262983.82</v>
      </c>
      <c r="L207" s="7">
        <v>270061.53999999998</v>
      </c>
      <c r="M207" s="7">
        <v>143058.51999999999</v>
      </c>
      <c r="N207" s="10">
        <v>0.34628800160418299</v>
      </c>
    </row>
    <row r="208" spans="1:14" x14ac:dyDescent="0.25">
      <c r="A208" s="9">
        <v>45962</v>
      </c>
      <c r="B208" t="s">
        <v>94</v>
      </c>
      <c r="C208" t="s">
        <v>95</v>
      </c>
      <c r="D208" t="s">
        <v>34</v>
      </c>
      <c r="E208" s="7">
        <v>298464.86</v>
      </c>
      <c r="F208" s="7">
        <v>140721.66666666701</v>
      </c>
      <c r="G208" s="8">
        <v>27445.87</v>
      </c>
      <c r="H208" s="8">
        <v>2800.53</v>
      </c>
      <c r="I208" s="6">
        <v>6260</v>
      </c>
      <c r="J208" s="7">
        <v>24690.39</v>
      </c>
      <c r="K208" s="7">
        <v>205338</v>
      </c>
      <c r="L208" s="7">
        <v>201918.45666666701</v>
      </c>
      <c r="M208" s="7">
        <v>96546.403333333306</v>
      </c>
      <c r="N208" s="10">
        <v>0.32347661742602901</v>
      </c>
    </row>
    <row r="209" spans="1:14" x14ac:dyDescent="0.25">
      <c r="A209" s="9">
        <v>45962</v>
      </c>
      <c r="B209" t="s">
        <v>41</v>
      </c>
      <c r="C209" t="s">
        <v>42</v>
      </c>
      <c r="D209" t="s">
        <v>34</v>
      </c>
      <c r="E209" s="7">
        <v>507316</v>
      </c>
      <c r="F209" s="7">
        <v>223789.86333333299</v>
      </c>
      <c r="G209" s="8">
        <v>87670.09</v>
      </c>
      <c r="H209" s="8">
        <v>4106.83</v>
      </c>
      <c r="I209" s="6">
        <v>1426</v>
      </c>
      <c r="J209" s="7">
        <v>31130.3</v>
      </c>
      <c r="K209" s="7">
        <v>338256.04</v>
      </c>
      <c r="L209" s="7">
        <v>348123.08333333302</v>
      </c>
      <c r="M209" s="7">
        <v>159192.91666666701</v>
      </c>
      <c r="N209" s="10">
        <v>0.31379439376378199</v>
      </c>
    </row>
    <row r="210" spans="1:14" x14ac:dyDescent="0.25">
      <c r="A210" s="9">
        <v>45962</v>
      </c>
      <c r="B210" t="s">
        <v>47</v>
      </c>
      <c r="C210" t="s">
        <v>48</v>
      </c>
      <c r="D210" t="s">
        <v>34</v>
      </c>
      <c r="E210" s="7">
        <v>249860.84</v>
      </c>
      <c r="F210" s="7">
        <v>98377.883333333302</v>
      </c>
      <c r="G210" s="8">
        <v>63831.68</v>
      </c>
      <c r="H210" s="8">
        <v>3097.23</v>
      </c>
      <c r="I210" s="6">
        <v>5586</v>
      </c>
      <c r="J210" s="7">
        <v>14619.16</v>
      </c>
      <c r="K210" s="7">
        <v>180838.75</v>
      </c>
      <c r="L210" s="7">
        <v>185511.95333333299</v>
      </c>
      <c r="M210" s="7">
        <v>64348.8866666666</v>
      </c>
      <c r="N210" s="10">
        <v>0.25753890312170002</v>
      </c>
    </row>
    <row r="211" spans="1:14" x14ac:dyDescent="0.25">
      <c r="A211" s="9">
        <v>45962</v>
      </c>
      <c r="B211" t="s">
        <v>121</v>
      </c>
      <c r="C211" t="s">
        <v>122</v>
      </c>
      <c r="D211" t="s">
        <v>34</v>
      </c>
      <c r="E211" s="7">
        <v>162893.88</v>
      </c>
      <c r="F211" s="7">
        <v>57416.863333333298</v>
      </c>
      <c r="G211" s="8">
        <v>42642.13</v>
      </c>
      <c r="H211" s="8">
        <v>3315.08</v>
      </c>
      <c r="I211" s="6">
        <v>5407</v>
      </c>
      <c r="J211" s="7">
        <v>8969.49</v>
      </c>
      <c r="K211" s="7">
        <v>113634.29</v>
      </c>
      <c r="L211" s="7">
        <v>117750.563333333</v>
      </c>
      <c r="M211" s="7">
        <v>45143.316666666702</v>
      </c>
      <c r="N211" s="10">
        <v>0.277133288658031</v>
      </c>
    </row>
    <row r="212" spans="1:14" x14ac:dyDescent="0.25">
      <c r="A212" s="9">
        <v>45962</v>
      </c>
      <c r="B212" t="s">
        <v>201</v>
      </c>
      <c r="C212" t="s">
        <v>202</v>
      </c>
      <c r="D212" t="s">
        <v>64</v>
      </c>
      <c r="E212" s="7">
        <v>314994.43</v>
      </c>
      <c r="F212" s="7">
        <v>124440.896666667</v>
      </c>
      <c r="G212" s="8">
        <v>60982.6</v>
      </c>
      <c r="H212" s="8">
        <v>2852.43</v>
      </c>
      <c r="I212" s="6">
        <v>9716</v>
      </c>
      <c r="J212" s="7">
        <v>21683.99</v>
      </c>
      <c r="K212" s="7">
        <v>217556.53</v>
      </c>
      <c r="L212" s="7">
        <v>219675.91666666701</v>
      </c>
      <c r="M212" s="7">
        <v>95318.513333333394</v>
      </c>
      <c r="N212" s="10">
        <v>0.30260380583025998</v>
      </c>
    </row>
    <row r="213" spans="1:14" x14ac:dyDescent="0.25">
      <c r="A213" s="9">
        <v>45962</v>
      </c>
      <c r="B213" t="s">
        <v>118</v>
      </c>
      <c r="C213" t="s">
        <v>119</v>
      </c>
      <c r="D213" t="s">
        <v>64</v>
      </c>
      <c r="E213" s="7">
        <v>341022.04</v>
      </c>
      <c r="F213" s="7">
        <v>171846.66666666701</v>
      </c>
      <c r="G213" s="8">
        <v>52263.199999999997</v>
      </c>
      <c r="H213" s="8">
        <v>3068.08</v>
      </c>
      <c r="I213" s="6">
        <v>6042</v>
      </c>
      <c r="J213" s="7">
        <v>19061.09</v>
      </c>
      <c r="K213" s="7">
        <v>259168.81</v>
      </c>
      <c r="L213" s="7">
        <v>252281.036666667</v>
      </c>
      <c r="M213" s="7">
        <v>88741.003333333298</v>
      </c>
      <c r="N213" s="10">
        <v>0.26022072747360597</v>
      </c>
    </row>
    <row r="214" spans="1:14" x14ac:dyDescent="0.25">
      <c r="A214" s="9">
        <v>45962</v>
      </c>
      <c r="B214" t="s">
        <v>62</v>
      </c>
      <c r="C214" t="s">
        <v>63</v>
      </c>
      <c r="D214" t="s">
        <v>64</v>
      </c>
      <c r="E214" s="7">
        <v>548461.30000000005</v>
      </c>
      <c r="F214" s="7">
        <v>214484.993333333</v>
      </c>
      <c r="G214" s="8">
        <v>114574.05</v>
      </c>
      <c r="H214" s="8">
        <v>2410.16</v>
      </c>
      <c r="I214" s="6">
        <v>8946</v>
      </c>
      <c r="J214" s="7">
        <v>44444.6</v>
      </c>
      <c r="K214" s="7">
        <v>397777.25</v>
      </c>
      <c r="L214" s="7">
        <v>384859.80333333299</v>
      </c>
      <c r="M214" s="7">
        <v>163601.49666666699</v>
      </c>
      <c r="N214" s="10">
        <v>0.29829177859343398</v>
      </c>
    </row>
    <row r="215" spans="1:14" x14ac:dyDescent="0.25">
      <c r="A215" s="9">
        <v>45962</v>
      </c>
      <c r="B215" t="s">
        <v>91</v>
      </c>
      <c r="C215" t="s">
        <v>92</v>
      </c>
      <c r="D215" t="s">
        <v>64</v>
      </c>
      <c r="E215" s="7">
        <v>403353.61</v>
      </c>
      <c r="F215" s="7">
        <v>227453.71666666699</v>
      </c>
      <c r="G215" s="8">
        <v>9145.4699999999993</v>
      </c>
      <c r="H215" s="8">
        <v>4522.99</v>
      </c>
      <c r="I215" s="6">
        <v>5922</v>
      </c>
      <c r="J215" s="7">
        <v>30834.76</v>
      </c>
      <c r="K215" s="7">
        <v>269469.27</v>
      </c>
      <c r="L215" s="7">
        <v>277878.936666667</v>
      </c>
      <c r="M215" s="7">
        <v>125474.673333333</v>
      </c>
      <c r="N215" s="10">
        <v>0.31107859263571103</v>
      </c>
    </row>
    <row r="216" spans="1:14" x14ac:dyDescent="0.25">
      <c r="A216" s="9">
        <v>45962</v>
      </c>
      <c r="B216" t="s">
        <v>80</v>
      </c>
      <c r="C216" t="s">
        <v>81</v>
      </c>
      <c r="D216" t="s">
        <v>64</v>
      </c>
      <c r="E216" s="7">
        <v>357389.1</v>
      </c>
      <c r="F216" s="7">
        <v>199007.83</v>
      </c>
      <c r="G216" s="8">
        <v>18744.09</v>
      </c>
      <c r="H216" s="8">
        <v>2290.21</v>
      </c>
      <c r="I216" s="6">
        <v>3621</v>
      </c>
      <c r="J216" s="7">
        <v>28424.9</v>
      </c>
      <c r="K216" s="7">
        <v>245823.16</v>
      </c>
      <c r="L216" s="7">
        <v>252088.03</v>
      </c>
      <c r="M216" s="7">
        <v>105301.07</v>
      </c>
      <c r="N216" s="10">
        <v>0.294639847717796</v>
      </c>
    </row>
    <row r="217" spans="1:14" x14ac:dyDescent="0.25">
      <c r="A217" s="9">
        <v>45962</v>
      </c>
      <c r="B217" t="s">
        <v>56</v>
      </c>
      <c r="C217" t="s">
        <v>57</v>
      </c>
      <c r="D217" t="s">
        <v>58</v>
      </c>
      <c r="E217" s="7">
        <v>268721.96000000002</v>
      </c>
      <c r="F217" s="7">
        <v>122396.16</v>
      </c>
      <c r="G217" s="8">
        <v>46019.38</v>
      </c>
      <c r="H217" s="8">
        <v>1768.37</v>
      </c>
      <c r="I217" s="6">
        <v>2783</v>
      </c>
      <c r="J217" s="7">
        <v>15528.96</v>
      </c>
      <c r="K217" s="7">
        <v>181886.63</v>
      </c>
      <c r="L217" s="7">
        <v>188495.87</v>
      </c>
      <c r="M217" s="7">
        <v>80226.09</v>
      </c>
      <c r="N217" s="10">
        <v>0.29854683256999198</v>
      </c>
    </row>
    <row r="218" spans="1:14" x14ac:dyDescent="0.25">
      <c r="A218" s="9">
        <v>45962</v>
      </c>
      <c r="B218" t="s">
        <v>77</v>
      </c>
      <c r="C218" t="s">
        <v>78</v>
      </c>
      <c r="D218" t="s">
        <v>58</v>
      </c>
      <c r="E218" s="7">
        <v>286152.52</v>
      </c>
      <c r="F218" s="7">
        <v>107851.273333333</v>
      </c>
      <c r="G218" s="8">
        <v>54896.7</v>
      </c>
      <c r="H218" s="8">
        <v>5283.75</v>
      </c>
      <c r="I218" s="6">
        <v>5856</v>
      </c>
      <c r="J218" s="7">
        <v>23445.11</v>
      </c>
      <c r="K218" s="7">
        <v>194007.59</v>
      </c>
      <c r="L218" s="7">
        <v>197332.83333333299</v>
      </c>
      <c r="M218" s="7">
        <v>88819.686666666705</v>
      </c>
      <c r="N218" s="10">
        <v>0.31039281662334001</v>
      </c>
    </row>
    <row r="219" spans="1:14" x14ac:dyDescent="0.25">
      <c r="A219" s="9">
        <v>45962</v>
      </c>
      <c r="B219" t="s">
        <v>110</v>
      </c>
      <c r="C219" t="s">
        <v>111</v>
      </c>
      <c r="D219" t="s">
        <v>58</v>
      </c>
      <c r="E219" s="7">
        <v>368262.52</v>
      </c>
      <c r="F219" s="7">
        <v>208078.843333333</v>
      </c>
      <c r="G219" s="8">
        <v>20516.27</v>
      </c>
      <c r="H219" s="8">
        <v>4900.16</v>
      </c>
      <c r="I219" s="6">
        <v>6225</v>
      </c>
      <c r="J219" s="7">
        <v>22949.77</v>
      </c>
      <c r="K219" s="7">
        <v>271987.59000000003</v>
      </c>
      <c r="L219" s="7">
        <v>262670.04333333299</v>
      </c>
      <c r="M219" s="7">
        <v>105592.476666667</v>
      </c>
      <c r="N219" s="10">
        <v>0.286731532349984</v>
      </c>
    </row>
    <row r="220" spans="1:14" x14ac:dyDescent="0.25">
      <c r="A220" s="9">
        <v>45962</v>
      </c>
      <c r="B220" t="s">
        <v>85</v>
      </c>
      <c r="C220" t="s">
        <v>86</v>
      </c>
      <c r="D220" t="s">
        <v>58</v>
      </c>
      <c r="E220" s="7">
        <v>163126.84</v>
      </c>
      <c r="F220" s="7">
        <v>71158.91</v>
      </c>
      <c r="G220" s="8">
        <v>20832.830000000002</v>
      </c>
      <c r="H220" s="8">
        <v>4558.6000000000004</v>
      </c>
      <c r="I220" s="6">
        <v>4821</v>
      </c>
      <c r="J220" s="7">
        <v>12667.37</v>
      </c>
      <c r="K220" s="7">
        <v>116649.46</v>
      </c>
      <c r="L220" s="7">
        <v>114038.71</v>
      </c>
      <c r="M220" s="7">
        <v>49088.13</v>
      </c>
      <c r="N220" s="10">
        <v>0.30092000801339602</v>
      </c>
    </row>
    <row r="221" spans="1:14" x14ac:dyDescent="0.25">
      <c r="A221" s="9">
        <v>45962</v>
      </c>
      <c r="B221" t="s">
        <v>103</v>
      </c>
      <c r="C221" t="s">
        <v>104</v>
      </c>
      <c r="D221" t="s">
        <v>58</v>
      </c>
      <c r="E221" s="7">
        <v>350962.84</v>
      </c>
      <c r="F221" s="7">
        <v>176811.66666666701</v>
      </c>
      <c r="G221" s="8">
        <v>45620.78</v>
      </c>
      <c r="H221" s="8">
        <v>3858.76</v>
      </c>
      <c r="I221" s="6">
        <v>3906</v>
      </c>
      <c r="J221" s="7">
        <v>27547.48</v>
      </c>
      <c r="K221" s="7">
        <v>263238.45</v>
      </c>
      <c r="L221" s="7">
        <v>257744.686666667</v>
      </c>
      <c r="M221" s="7">
        <v>93218.153333333394</v>
      </c>
      <c r="N221" s="10">
        <v>0.26560690394838798</v>
      </c>
    </row>
    <row r="222" spans="1:14" x14ac:dyDescent="0.25">
      <c r="A222" s="9">
        <v>45992</v>
      </c>
      <c r="B222" t="s">
        <v>100</v>
      </c>
      <c r="C222" t="s">
        <v>101</v>
      </c>
      <c r="D222" t="s">
        <v>69</v>
      </c>
      <c r="E222" s="7">
        <v>437725.53</v>
      </c>
      <c r="F222" s="7">
        <v>170746.22333333301</v>
      </c>
      <c r="G222" s="8">
        <v>91697.97</v>
      </c>
      <c r="H222" s="8">
        <v>2882.65</v>
      </c>
      <c r="I222" s="6">
        <v>8493</v>
      </c>
      <c r="J222" s="7">
        <v>25890.41</v>
      </c>
      <c r="K222" s="7">
        <v>295271.23</v>
      </c>
      <c r="L222" s="7">
        <v>299710.25333333301</v>
      </c>
      <c r="M222" s="7">
        <v>138015.27666666699</v>
      </c>
      <c r="N222" s="10">
        <v>0.31530095278351</v>
      </c>
    </row>
    <row r="223" spans="1:14" x14ac:dyDescent="0.25">
      <c r="A223" s="9">
        <v>45992</v>
      </c>
      <c r="B223" t="s">
        <v>113</v>
      </c>
      <c r="C223" t="s">
        <v>114</v>
      </c>
      <c r="D223" t="s">
        <v>69</v>
      </c>
      <c r="E223" s="7">
        <v>457079.4</v>
      </c>
      <c r="F223" s="7">
        <v>194777.06</v>
      </c>
      <c r="G223" s="8">
        <v>83436.84</v>
      </c>
      <c r="H223" s="8">
        <v>4420.8</v>
      </c>
      <c r="I223" s="6">
        <v>10301</v>
      </c>
      <c r="J223" s="7">
        <v>38610.99</v>
      </c>
      <c r="K223" s="7">
        <v>326676.73</v>
      </c>
      <c r="L223" s="7">
        <v>331546.69</v>
      </c>
      <c r="M223" s="7">
        <v>125532.71</v>
      </c>
      <c r="N223" s="10">
        <v>0.27464092671863999</v>
      </c>
    </row>
    <row r="224" spans="1:14" x14ac:dyDescent="0.25">
      <c r="A224" s="9">
        <v>45992</v>
      </c>
      <c r="B224" t="s">
        <v>143</v>
      </c>
      <c r="C224" t="s">
        <v>144</v>
      </c>
      <c r="D224" t="s">
        <v>69</v>
      </c>
      <c r="E224" s="7">
        <v>234338.98</v>
      </c>
      <c r="F224" s="7">
        <v>118583.33</v>
      </c>
      <c r="G224" s="8">
        <v>18907.62</v>
      </c>
      <c r="H224" s="8">
        <v>3050.7</v>
      </c>
      <c r="I224" s="6">
        <v>2996</v>
      </c>
      <c r="J224" s="7">
        <v>13575.2</v>
      </c>
      <c r="K224" s="7">
        <v>150874.21</v>
      </c>
      <c r="L224" s="7">
        <v>157112.85</v>
      </c>
      <c r="M224" s="7">
        <v>77226.13</v>
      </c>
      <c r="N224" s="10">
        <v>0.32954880148407201</v>
      </c>
    </row>
    <row r="225" spans="1:14" x14ac:dyDescent="0.25">
      <c r="A225" s="9">
        <v>45992</v>
      </c>
      <c r="B225" t="s">
        <v>73</v>
      </c>
      <c r="C225" t="s">
        <v>74</v>
      </c>
      <c r="D225" t="s">
        <v>69</v>
      </c>
      <c r="E225" s="7">
        <v>432460.48</v>
      </c>
      <c r="F225" s="7">
        <v>237322.64</v>
      </c>
      <c r="G225" s="8">
        <v>17764.689999999999</v>
      </c>
      <c r="H225" s="8">
        <v>2935.93</v>
      </c>
      <c r="I225" s="6">
        <v>4392</v>
      </c>
      <c r="J225" s="7">
        <v>36688.89</v>
      </c>
      <c r="K225" s="7">
        <v>298076.28999999998</v>
      </c>
      <c r="L225" s="7">
        <v>299104.15000000002</v>
      </c>
      <c r="M225" s="7">
        <v>133356.32999999999</v>
      </c>
      <c r="N225" s="10">
        <v>0.30836651247300101</v>
      </c>
    </row>
    <row r="226" spans="1:14" x14ac:dyDescent="0.25">
      <c r="A226" s="9">
        <v>45992</v>
      </c>
      <c r="B226" t="s">
        <v>67</v>
      </c>
      <c r="C226" t="s">
        <v>68</v>
      </c>
      <c r="D226" t="s">
        <v>69</v>
      </c>
      <c r="E226" s="7">
        <v>312770.59999999998</v>
      </c>
      <c r="F226" s="7">
        <v>112682.69666666701</v>
      </c>
      <c r="G226" s="8">
        <v>70955.38</v>
      </c>
      <c r="H226" s="8">
        <v>2559.7199999999998</v>
      </c>
      <c r="I226" s="6">
        <v>3024</v>
      </c>
      <c r="J226" s="7">
        <v>25797.31</v>
      </c>
      <c r="K226" s="7">
        <v>206478.69</v>
      </c>
      <c r="L226" s="7">
        <v>215019.10666666701</v>
      </c>
      <c r="M226" s="7">
        <v>97751.493333333303</v>
      </c>
      <c r="N226" s="10">
        <v>0.31253414909628102</v>
      </c>
    </row>
    <row r="227" spans="1:14" x14ac:dyDescent="0.25">
      <c r="A227" s="9">
        <v>45992</v>
      </c>
      <c r="B227" t="s">
        <v>32</v>
      </c>
      <c r="C227" t="s">
        <v>33</v>
      </c>
      <c r="D227" t="s">
        <v>34</v>
      </c>
      <c r="E227" s="7">
        <v>511098.99</v>
      </c>
      <c r="F227" s="7">
        <v>196879.93</v>
      </c>
      <c r="G227" s="8">
        <v>99707.76</v>
      </c>
      <c r="H227" s="8">
        <v>4434.24</v>
      </c>
      <c r="I227" s="6">
        <v>4899</v>
      </c>
      <c r="J227" s="7">
        <v>32387.54</v>
      </c>
      <c r="K227" s="7">
        <v>333691.88</v>
      </c>
      <c r="L227" s="7">
        <v>338308.47</v>
      </c>
      <c r="M227" s="7">
        <v>172790.52</v>
      </c>
      <c r="N227" s="10">
        <v>0.33807642625159601</v>
      </c>
    </row>
    <row r="228" spans="1:14" x14ac:dyDescent="0.25">
      <c r="A228" s="9">
        <v>45992</v>
      </c>
      <c r="B228" t="s">
        <v>94</v>
      </c>
      <c r="C228" t="s">
        <v>95</v>
      </c>
      <c r="D228" t="s">
        <v>34</v>
      </c>
      <c r="E228" s="7">
        <v>557994.17000000004</v>
      </c>
      <c r="F228" s="7">
        <v>273922.313333333</v>
      </c>
      <c r="G228" s="8">
        <v>56424.2</v>
      </c>
      <c r="H228" s="8">
        <v>2601.34</v>
      </c>
      <c r="I228" s="6">
        <v>5150</v>
      </c>
      <c r="J228" s="7">
        <v>37037.24</v>
      </c>
      <c r="K228" s="7">
        <v>385161.44</v>
      </c>
      <c r="L228" s="7">
        <v>375135.09333333297</v>
      </c>
      <c r="M228" s="7">
        <v>182859.07666666701</v>
      </c>
      <c r="N228" s="10">
        <v>0.32770786237187099</v>
      </c>
    </row>
    <row r="229" spans="1:14" x14ac:dyDescent="0.25">
      <c r="A229" s="9">
        <v>45992</v>
      </c>
      <c r="B229" t="s">
        <v>41</v>
      </c>
      <c r="C229" t="s">
        <v>42</v>
      </c>
      <c r="D229" t="s">
        <v>34</v>
      </c>
      <c r="E229" s="7">
        <v>409856.6</v>
      </c>
      <c r="F229" s="7">
        <v>185563.97333333301</v>
      </c>
      <c r="G229" s="8">
        <v>73513.710000000006</v>
      </c>
      <c r="H229" s="8">
        <v>4968.8599999999997</v>
      </c>
      <c r="I229" s="6">
        <v>2184</v>
      </c>
      <c r="J229" s="7">
        <v>33644.379999999997</v>
      </c>
      <c r="K229" s="7">
        <v>288985.32</v>
      </c>
      <c r="L229" s="7">
        <v>299874.92333333299</v>
      </c>
      <c r="M229" s="7">
        <v>109981.676666667</v>
      </c>
      <c r="N229" s="10">
        <v>0.268341846066811</v>
      </c>
    </row>
    <row r="230" spans="1:14" x14ac:dyDescent="0.25">
      <c r="A230" s="9">
        <v>45992</v>
      </c>
      <c r="B230" t="s">
        <v>47</v>
      </c>
      <c r="C230" t="s">
        <v>48</v>
      </c>
      <c r="D230" t="s">
        <v>34</v>
      </c>
      <c r="E230" s="7">
        <v>510462.64</v>
      </c>
      <c r="F230" s="7">
        <v>208781.94333333301</v>
      </c>
      <c r="G230" s="8">
        <v>101284.85</v>
      </c>
      <c r="H230" s="8">
        <v>4664.2</v>
      </c>
      <c r="I230" s="6">
        <v>11054</v>
      </c>
      <c r="J230" s="7">
        <v>41810.26</v>
      </c>
      <c r="K230" s="7">
        <v>364358.48</v>
      </c>
      <c r="L230" s="7">
        <v>367595.25333333301</v>
      </c>
      <c r="M230" s="7">
        <v>142867.38666666701</v>
      </c>
      <c r="N230" s="10">
        <v>0.27987824273813</v>
      </c>
    </row>
    <row r="231" spans="1:14" x14ac:dyDescent="0.25">
      <c r="A231" s="9">
        <v>45992</v>
      </c>
      <c r="B231" t="s">
        <v>121</v>
      </c>
      <c r="C231" t="s">
        <v>122</v>
      </c>
      <c r="D231" t="s">
        <v>34</v>
      </c>
      <c r="E231" s="7">
        <v>304088.18</v>
      </c>
      <c r="F231" s="7">
        <v>129173.843333333</v>
      </c>
      <c r="G231" s="8">
        <v>63357.74</v>
      </c>
      <c r="H231" s="8">
        <v>3356.47</v>
      </c>
      <c r="I231" s="6">
        <v>3836</v>
      </c>
      <c r="J231" s="7">
        <v>17398.34</v>
      </c>
      <c r="K231" s="7">
        <v>224156.93</v>
      </c>
      <c r="L231" s="7">
        <v>217122.39333333299</v>
      </c>
      <c r="M231" s="7">
        <v>86965.786666666696</v>
      </c>
      <c r="N231" s="10">
        <v>0.28598871112539398</v>
      </c>
    </row>
    <row r="232" spans="1:14" x14ac:dyDescent="0.25">
      <c r="A232" s="9">
        <v>45992</v>
      </c>
      <c r="B232" t="s">
        <v>201</v>
      </c>
      <c r="C232" t="s">
        <v>202</v>
      </c>
      <c r="D232" t="s">
        <v>64</v>
      </c>
      <c r="E232" s="7">
        <v>363877.9</v>
      </c>
      <c r="F232" s="7">
        <v>182159.54333333299</v>
      </c>
      <c r="G232" s="8">
        <v>47370.6</v>
      </c>
      <c r="H232" s="8">
        <v>2238.5300000000002</v>
      </c>
      <c r="I232" s="6">
        <v>2070</v>
      </c>
      <c r="J232" s="7">
        <v>24062.9</v>
      </c>
      <c r="K232" s="7">
        <v>265483.96000000002</v>
      </c>
      <c r="L232" s="7">
        <v>257901.57333333301</v>
      </c>
      <c r="M232" s="7">
        <v>105976.326666667</v>
      </c>
      <c r="N232" s="10">
        <v>0.291241448482215</v>
      </c>
    </row>
    <row r="233" spans="1:14" x14ac:dyDescent="0.25">
      <c r="A233" s="9">
        <v>45992</v>
      </c>
      <c r="B233" t="s">
        <v>118</v>
      </c>
      <c r="C233" t="s">
        <v>119</v>
      </c>
      <c r="D233" t="s">
        <v>64</v>
      </c>
      <c r="E233" s="7">
        <v>377068.21</v>
      </c>
      <c r="F233" s="7">
        <v>169247.36666666699</v>
      </c>
      <c r="G233" s="8">
        <v>48193.57</v>
      </c>
      <c r="H233" s="8">
        <v>4706.96</v>
      </c>
      <c r="I233" s="6">
        <v>7573</v>
      </c>
      <c r="J233" s="7">
        <v>28703.33</v>
      </c>
      <c r="K233" s="7">
        <v>266524.46000000002</v>
      </c>
      <c r="L233" s="7">
        <v>258424.226666667</v>
      </c>
      <c r="M233" s="7">
        <v>118643.983333333</v>
      </c>
      <c r="N233" s="10">
        <v>0.31464859722152999</v>
      </c>
    </row>
    <row r="234" spans="1:14" x14ac:dyDescent="0.25">
      <c r="A234" s="9">
        <v>45992</v>
      </c>
      <c r="B234" t="s">
        <v>62</v>
      </c>
      <c r="C234" t="s">
        <v>63</v>
      </c>
      <c r="D234" t="s">
        <v>64</v>
      </c>
      <c r="E234" s="7">
        <v>650243.61</v>
      </c>
      <c r="F234" s="7">
        <v>173498.346666667</v>
      </c>
      <c r="G234" s="8">
        <v>195894.16</v>
      </c>
      <c r="H234" s="8">
        <v>4468.7</v>
      </c>
      <c r="I234" s="6">
        <v>7625</v>
      </c>
      <c r="J234" s="7">
        <v>55012.85</v>
      </c>
      <c r="K234" s="7">
        <v>419094.47</v>
      </c>
      <c r="L234" s="7">
        <v>436499.05666666699</v>
      </c>
      <c r="M234" s="7">
        <v>213744.55333333299</v>
      </c>
      <c r="N234" s="10">
        <v>0.32871457719259001</v>
      </c>
    </row>
    <row r="235" spans="1:14" x14ac:dyDescent="0.25">
      <c r="A235" s="9">
        <v>45992</v>
      </c>
      <c r="B235" t="s">
        <v>91</v>
      </c>
      <c r="C235" t="s">
        <v>92</v>
      </c>
      <c r="D235" t="s">
        <v>64</v>
      </c>
      <c r="E235" s="7">
        <v>479140.44</v>
      </c>
      <c r="F235" s="7">
        <v>180517.68</v>
      </c>
      <c r="G235" s="8">
        <v>113788.21</v>
      </c>
      <c r="H235" s="8">
        <v>3233.94</v>
      </c>
      <c r="I235" s="6">
        <v>7510</v>
      </c>
      <c r="J235" s="7">
        <v>31008.98</v>
      </c>
      <c r="K235" s="7">
        <v>333338.7</v>
      </c>
      <c r="L235" s="7">
        <v>336058.81</v>
      </c>
      <c r="M235" s="7">
        <v>143081.63</v>
      </c>
      <c r="N235" s="10">
        <v>0.29862148559199098</v>
      </c>
    </row>
    <row r="236" spans="1:14" x14ac:dyDescent="0.25">
      <c r="A236" s="9">
        <v>45992</v>
      </c>
      <c r="B236" t="s">
        <v>80</v>
      </c>
      <c r="C236" t="s">
        <v>81</v>
      </c>
      <c r="D236" t="s">
        <v>64</v>
      </c>
      <c r="E236" s="7">
        <v>320626.61</v>
      </c>
      <c r="F236" s="7">
        <v>141109.75</v>
      </c>
      <c r="G236" s="8">
        <v>41498.11</v>
      </c>
      <c r="H236" s="8">
        <v>3877.01</v>
      </c>
      <c r="I236" s="6">
        <v>5410</v>
      </c>
      <c r="J236" s="7">
        <v>26448.240000000002</v>
      </c>
      <c r="K236" s="7">
        <v>214305.76</v>
      </c>
      <c r="L236" s="7">
        <v>218343.11</v>
      </c>
      <c r="M236" s="7">
        <v>102283.5</v>
      </c>
      <c r="N236" s="10">
        <v>0.31901126360036097</v>
      </c>
    </row>
    <row r="237" spans="1:14" x14ac:dyDescent="0.25">
      <c r="A237" s="9">
        <v>45992</v>
      </c>
      <c r="B237" t="s">
        <v>56</v>
      </c>
      <c r="C237" t="s">
        <v>57</v>
      </c>
      <c r="D237" t="s">
        <v>58</v>
      </c>
      <c r="E237" s="7">
        <v>278781.36</v>
      </c>
      <c r="F237" s="7">
        <v>145261.53</v>
      </c>
      <c r="G237" s="8">
        <v>15569.31</v>
      </c>
      <c r="H237" s="8">
        <v>3806.95</v>
      </c>
      <c r="I237" s="6">
        <v>7766</v>
      </c>
      <c r="J237" s="7">
        <v>15683.89</v>
      </c>
      <c r="K237" s="7">
        <v>189820.73</v>
      </c>
      <c r="L237" s="7">
        <v>188087.67999999999</v>
      </c>
      <c r="M237" s="7">
        <v>90693.68</v>
      </c>
      <c r="N237" s="10">
        <v>0.32532189383106502</v>
      </c>
    </row>
    <row r="238" spans="1:14" x14ac:dyDescent="0.25">
      <c r="A238" s="9">
        <v>45992</v>
      </c>
      <c r="B238" t="s">
        <v>77</v>
      </c>
      <c r="C238" t="s">
        <v>78</v>
      </c>
      <c r="D238" t="s">
        <v>58</v>
      </c>
      <c r="E238" s="7">
        <v>389870.99</v>
      </c>
      <c r="F238" s="7">
        <v>153837.05333333299</v>
      </c>
      <c r="G238" s="8">
        <v>87386.69</v>
      </c>
      <c r="H238" s="8">
        <v>4702.22</v>
      </c>
      <c r="I238" s="6">
        <v>5739</v>
      </c>
      <c r="J238" s="7">
        <v>28012.6</v>
      </c>
      <c r="K238" s="7">
        <v>272845.53999999998</v>
      </c>
      <c r="L238" s="7">
        <v>279677.563333333</v>
      </c>
      <c r="M238" s="7">
        <v>110193.426666667</v>
      </c>
      <c r="N238" s="10">
        <v>0.28264074397191402</v>
      </c>
    </row>
    <row r="239" spans="1:14" x14ac:dyDescent="0.25">
      <c r="A239" s="9">
        <v>45992</v>
      </c>
      <c r="B239" t="s">
        <v>110</v>
      </c>
      <c r="C239" t="s">
        <v>111</v>
      </c>
      <c r="D239" t="s">
        <v>58</v>
      </c>
      <c r="E239" s="7">
        <v>319157.36</v>
      </c>
      <c r="F239" s="7">
        <v>109024.68</v>
      </c>
      <c r="G239" s="8">
        <v>80733.539999999994</v>
      </c>
      <c r="H239" s="8">
        <v>3255.82</v>
      </c>
      <c r="I239" s="6">
        <v>11140</v>
      </c>
      <c r="J239" s="7">
        <v>19490.64</v>
      </c>
      <c r="K239" s="7">
        <v>224610.13</v>
      </c>
      <c r="L239" s="7">
        <v>223644.68</v>
      </c>
      <c r="M239" s="7">
        <v>95512.679999999906</v>
      </c>
      <c r="N239" s="10">
        <v>0.29926516499572497</v>
      </c>
    </row>
    <row r="240" spans="1:14" x14ac:dyDescent="0.25">
      <c r="A240" s="9">
        <v>45992</v>
      </c>
      <c r="B240" t="s">
        <v>85</v>
      </c>
      <c r="C240" t="s">
        <v>86</v>
      </c>
      <c r="D240" t="s">
        <v>58</v>
      </c>
      <c r="E240" s="7">
        <v>411712.42</v>
      </c>
      <c r="F240" s="7">
        <v>138868.656666667</v>
      </c>
      <c r="G240" s="8">
        <v>118854.2</v>
      </c>
      <c r="H240" s="8">
        <v>4628.17</v>
      </c>
      <c r="I240" s="6">
        <v>2921</v>
      </c>
      <c r="J240" s="7">
        <v>31606.53</v>
      </c>
      <c r="K240" s="7">
        <v>298412.87</v>
      </c>
      <c r="L240" s="7">
        <v>296878.55666666699</v>
      </c>
      <c r="M240" s="7">
        <v>114833.86333333301</v>
      </c>
      <c r="N240" s="10">
        <v>0.27891765648783001</v>
      </c>
    </row>
    <row r="241" spans="1:14" x14ac:dyDescent="0.25">
      <c r="A241" s="9">
        <v>45992</v>
      </c>
      <c r="B241" t="s">
        <v>103</v>
      </c>
      <c r="C241" t="s">
        <v>104</v>
      </c>
      <c r="D241" t="s">
        <v>58</v>
      </c>
      <c r="E241" s="7">
        <v>308061.88</v>
      </c>
      <c r="F241" s="7">
        <v>102978.726666667</v>
      </c>
      <c r="G241" s="8">
        <v>86456.91</v>
      </c>
      <c r="H241" s="8">
        <v>3087.47</v>
      </c>
      <c r="I241" s="6">
        <v>5026</v>
      </c>
      <c r="J241" s="7">
        <v>20533.07</v>
      </c>
      <c r="K241" s="7">
        <v>217368.84</v>
      </c>
      <c r="L241" s="7">
        <v>218082.17666666699</v>
      </c>
      <c r="M241" s="7">
        <v>89979.703333333295</v>
      </c>
      <c r="N241" s="10">
        <v>0.29208321176684798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4" width="10.7109375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2111</v>
      </c>
    </row>
    <row r="2" spans="1:4" x14ac:dyDescent="0.25">
      <c r="A2" t="s">
        <v>100</v>
      </c>
      <c r="B2" t="s">
        <v>101</v>
      </c>
      <c r="C2" t="s">
        <v>69</v>
      </c>
      <c r="D2" t="s">
        <v>2112</v>
      </c>
    </row>
    <row r="3" spans="1:4" x14ac:dyDescent="0.25">
      <c r="A3" t="s">
        <v>113</v>
      </c>
      <c r="B3" t="s">
        <v>114</v>
      </c>
      <c r="C3" t="s">
        <v>69</v>
      </c>
      <c r="D3" t="s">
        <v>2113</v>
      </c>
    </row>
    <row r="4" spans="1:4" x14ac:dyDescent="0.25">
      <c r="A4" t="s">
        <v>143</v>
      </c>
      <c r="B4" t="s">
        <v>144</v>
      </c>
      <c r="C4" t="s">
        <v>69</v>
      </c>
      <c r="D4" t="s">
        <v>2114</v>
      </c>
    </row>
    <row r="5" spans="1:4" x14ac:dyDescent="0.25">
      <c r="A5" t="s">
        <v>73</v>
      </c>
      <c r="B5" t="s">
        <v>74</v>
      </c>
      <c r="C5" t="s">
        <v>69</v>
      </c>
      <c r="D5" t="s">
        <v>2115</v>
      </c>
    </row>
    <row r="6" spans="1:4" x14ac:dyDescent="0.25">
      <c r="A6" t="s">
        <v>67</v>
      </c>
      <c r="B6" t="s">
        <v>68</v>
      </c>
      <c r="C6" t="s">
        <v>69</v>
      </c>
      <c r="D6" t="s">
        <v>2116</v>
      </c>
    </row>
    <row r="7" spans="1:4" x14ac:dyDescent="0.25">
      <c r="A7" t="s">
        <v>32</v>
      </c>
      <c r="B7" t="s">
        <v>33</v>
      </c>
      <c r="C7" t="s">
        <v>34</v>
      </c>
      <c r="D7" t="s">
        <v>2117</v>
      </c>
    </row>
    <row r="8" spans="1:4" x14ac:dyDescent="0.25">
      <c r="A8" t="s">
        <v>94</v>
      </c>
      <c r="B8" t="s">
        <v>95</v>
      </c>
      <c r="C8" t="s">
        <v>34</v>
      </c>
      <c r="D8" t="s">
        <v>2118</v>
      </c>
    </row>
    <row r="9" spans="1:4" x14ac:dyDescent="0.25">
      <c r="A9" t="s">
        <v>41</v>
      </c>
      <c r="B9" t="s">
        <v>42</v>
      </c>
      <c r="C9" t="s">
        <v>34</v>
      </c>
      <c r="D9" t="s">
        <v>2119</v>
      </c>
    </row>
    <row r="10" spans="1:4" x14ac:dyDescent="0.25">
      <c r="A10" t="s">
        <v>47</v>
      </c>
      <c r="B10" t="s">
        <v>48</v>
      </c>
      <c r="C10" t="s">
        <v>34</v>
      </c>
      <c r="D10" t="s">
        <v>2120</v>
      </c>
    </row>
    <row r="11" spans="1:4" x14ac:dyDescent="0.25">
      <c r="A11" t="s">
        <v>121</v>
      </c>
      <c r="B11" t="s">
        <v>122</v>
      </c>
      <c r="C11" t="s">
        <v>34</v>
      </c>
      <c r="D11" t="s">
        <v>2121</v>
      </c>
    </row>
    <row r="12" spans="1:4" x14ac:dyDescent="0.25">
      <c r="A12" t="s">
        <v>201</v>
      </c>
      <c r="B12" t="s">
        <v>202</v>
      </c>
      <c r="C12" t="s">
        <v>64</v>
      </c>
      <c r="D12" t="s">
        <v>2122</v>
      </c>
    </row>
    <row r="13" spans="1:4" x14ac:dyDescent="0.25">
      <c r="A13" t="s">
        <v>118</v>
      </c>
      <c r="B13" t="s">
        <v>119</v>
      </c>
      <c r="C13" t="s">
        <v>64</v>
      </c>
      <c r="D13" t="s">
        <v>2123</v>
      </c>
    </row>
    <row r="14" spans="1:4" x14ac:dyDescent="0.25">
      <c r="A14" t="s">
        <v>62</v>
      </c>
      <c r="B14" t="s">
        <v>63</v>
      </c>
      <c r="C14" t="s">
        <v>64</v>
      </c>
      <c r="D14" t="s">
        <v>2124</v>
      </c>
    </row>
    <row r="15" spans="1:4" x14ac:dyDescent="0.25">
      <c r="A15" t="s">
        <v>91</v>
      </c>
      <c r="B15" t="s">
        <v>92</v>
      </c>
      <c r="C15" t="s">
        <v>64</v>
      </c>
      <c r="D15" t="s">
        <v>2125</v>
      </c>
    </row>
    <row r="16" spans="1:4" x14ac:dyDescent="0.25">
      <c r="A16" t="s">
        <v>80</v>
      </c>
      <c r="B16" t="s">
        <v>81</v>
      </c>
      <c r="C16" t="s">
        <v>64</v>
      </c>
      <c r="D16" t="s">
        <v>2126</v>
      </c>
    </row>
    <row r="17" spans="1:4" x14ac:dyDescent="0.25">
      <c r="A17" t="s">
        <v>56</v>
      </c>
      <c r="B17" t="s">
        <v>57</v>
      </c>
      <c r="C17" t="s">
        <v>58</v>
      </c>
      <c r="D17" t="s">
        <v>2127</v>
      </c>
    </row>
    <row r="18" spans="1:4" x14ac:dyDescent="0.25">
      <c r="A18" t="s">
        <v>77</v>
      </c>
      <c r="B18" t="s">
        <v>78</v>
      </c>
      <c r="C18" t="s">
        <v>58</v>
      </c>
      <c r="D18" t="s">
        <v>2128</v>
      </c>
    </row>
    <row r="19" spans="1:4" x14ac:dyDescent="0.25">
      <c r="A19" t="s">
        <v>110</v>
      </c>
      <c r="B19" t="s">
        <v>111</v>
      </c>
      <c r="C19" t="s">
        <v>58</v>
      </c>
      <c r="D19" t="s">
        <v>2129</v>
      </c>
    </row>
    <row r="20" spans="1:4" x14ac:dyDescent="0.25">
      <c r="A20" t="s">
        <v>85</v>
      </c>
      <c r="B20" t="s">
        <v>86</v>
      </c>
      <c r="C20" t="s">
        <v>58</v>
      </c>
      <c r="D20" t="s">
        <v>2130</v>
      </c>
    </row>
    <row r="21" spans="1:4" x14ac:dyDescent="0.25">
      <c r="A21" t="s">
        <v>103</v>
      </c>
      <c r="B21" t="s">
        <v>104</v>
      </c>
      <c r="C21" t="s">
        <v>58</v>
      </c>
      <c r="D21" t="s">
        <v>2131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1" width="10.7109375" customWidth="1"/>
    <col min="2" max="2" width="18.7109375" customWidth="1"/>
    <col min="3" max="3" width="10.7109375" customWidth="1"/>
  </cols>
  <sheetData>
    <row r="1" spans="1:3" x14ac:dyDescent="0.25">
      <c r="A1" t="s">
        <v>21</v>
      </c>
      <c r="B1" t="s">
        <v>2132</v>
      </c>
      <c r="C1" t="s">
        <v>2133</v>
      </c>
    </row>
    <row r="2" spans="1:3" x14ac:dyDescent="0.25">
      <c r="A2" t="s">
        <v>50</v>
      </c>
      <c r="B2" s="10">
        <v>0.06</v>
      </c>
      <c r="C2" t="s">
        <v>2104</v>
      </c>
    </row>
    <row r="3" spans="1:3" x14ac:dyDescent="0.25">
      <c r="A3" t="s">
        <v>36</v>
      </c>
      <c r="B3" s="10">
        <v>0.04</v>
      </c>
      <c r="C3" t="s">
        <v>2104</v>
      </c>
    </row>
    <row r="4" spans="1:3" x14ac:dyDescent="0.25">
      <c r="A4" t="s">
        <v>89</v>
      </c>
      <c r="B4" s="10">
        <v>0.05</v>
      </c>
      <c r="C4" t="s">
        <v>89</v>
      </c>
    </row>
    <row r="5" spans="1:3" x14ac:dyDescent="0.25">
      <c r="A5" t="s">
        <v>54</v>
      </c>
      <c r="B5" s="10">
        <v>0.03</v>
      </c>
      <c r="C5" t="s">
        <v>2104</v>
      </c>
    </row>
    <row r="6" spans="1:3" x14ac:dyDescent="0.25">
      <c r="A6" t="s">
        <v>60</v>
      </c>
      <c r="B6" s="10">
        <v>0.08</v>
      </c>
      <c r="C6" t="s">
        <v>2134</v>
      </c>
    </row>
    <row r="7" spans="1:3" x14ac:dyDescent="0.25">
      <c r="A7" t="s">
        <v>71</v>
      </c>
      <c r="B7" s="10">
        <v>0.05</v>
      </c>
      <c r="C7" t="s">
        <v>2105</v>
      </c>
    </row>
    <row r="8" spans="1:3" x14ac:dyDescent="0.25">
      <c r="A8" t="s">
        <v>97</v>
      </c>
      <c r="B8" s="10">
        <v>7.0000000000000007E-2</v>
      </c>
      <c r="C8" t="s">
        <v>2135</v>
      </c>
    </row>
    <row r="9" spans="1:3" x14ac:dyDescent="0.25">
      <c r="A9" t="s">
        <v>108</v>
      </c>
      <c r="B9" s="10">
        <v>0.04</v>
      </c>
      <c r="C9" t="s">
        <v>2136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2" width="10.7109375" customWidth="1"/>
    <col min="3" max="3" width="12.7109375" customWidth="1"/>
  </cols>
  <sheetData>
    <row r="1" spans="1:3" x14ac:dyDescent="0.25">
      <c r="A1" t="s">
        <v>20</v>
      </c>
      <c r="B1" t="s">
        <v>21</v>
      </c>
      <c r="C1" t="s">
        <v>30</v>
      </c>
    </row>
    <row r="2" spans="1:3" x14ac:dyDescent="0.25">
      <c r="A2" t="s">
        <v>70</v>
      </c>
      <c r="B2" t="s">
        <v>71</v>
      </c>
      <c r="C2" t="s">
        <v>46</v>
      </c>
    </row>
    <row r="3" spans="1:3" x14ac:dyDescent="0.25">
      <c r="A3" t="s">
        <v>124</v>
      </c>
      <c r="B3" t="s">
        <v>89</v>
      </c>
      <c r="C3" t="s">
        <v>46</v>
      </c>
    </row>
    <row r="4" spans="1:3" x14ac:dyDescent="0.25">
      <c r="A4" t="s">
        <v>210</v>
      </c>
      <c r="B4" t="s">
        <v>50</v>
      </c>
      <c r="C4" t="s">
        <v>46</v>
      </c>
    </row>
    <row r="5" spans="1:3" x14ac:dyDescent="0.25">
      <c r="A5" t="s">
        <v>96</v>
      </c>
      <c r="B5" t="s">
        <v>97</v>
      </c>
      <c r="C5" t="s">
        <v>46</v>
      </c>
    </row>
    <row r="6" spans="1:3" x14ac:dyDescent="0.25">
      <c r="A6" t="s">
        <v>154</v>
      </c>
      <c r="B6" t="s">
        <v>89</v>
      </c>
      <c r="C6" t="s">
        <v>39</v>
      </c>
    </row>
    <row r="7" spans="1:3" x14ac:dyDescent="0.25">
      <c r="A7" t="s">
        <v>152</v>
      </c>
      <c r="B7" t="s">
        <v>50</v>
      </c>
      <c r="C7" t="s">
        <v>46</v>
      </c>
    </row>
    <row r="8" spans="1:3" x14ac:dyDescent="0.25">
      <c r="A8" t="s">
        <v>59</v>
      </c>
      <c r="B8" t="s">
        <v>630</v>
      </c>
      <c r="C8" t="s">
        <v>39</v>
      </c>
    </row>
    <row r="9" spans="1:3" x14ac:dyDescent="0.25">
      <c r="A9" t="s">
        <v>59</v>
      </c>
      <c r="B9" t="s">
        <v>60</v>
      </c>
      <c r="C9" t="s">
        <v>39</v>
      </c>
    </row>
    <row r="10" spans="1:3" x14ac:dyDescent="0.25">
      <c r="A10" t="s">
        <v>83</v>
      </c>
      <c r="B10" t="s">
        <v>71</v>
      </c>
      <c r="C10" t="s">
        <v>39</v>
      </c>
    </row>
    <row r="11" spans="1:3" x14ac:dyDescent="0.25">
      <c r="A11" t="s">
        <v>127</v>
      </c>
      <c r="B11" t="s">
        <v>36</v>
      </c>
      <c r="C11" t="s">
        <v>39</v>
      </c>
    </row>
    <row r="12" spans="1:3" x14ac:dyDescent="0.25">
      <c r="A12" t="s">
        <v>204</v>
      </c>
      <c r="B12" t="s">
        <v>97</v>
      </c>
      <c r="C12" t="s">
        <v>46</v>
      </c>
    </row>
    <row r="13" spans="1:3" x14ac:dyDescent="0.25">
      <c r="A13" t="s">
        <v>43</v>
      </c>
      <c r="B13" t="s">
        <v>36</v>
      </c>
      <c r="C13" t="s">
        <v>46</v>
      </c>
    </row>
    <row r="14" spans="1:3" x14ac:dyDescent="0.25">
      <c r="A14" t="s">
        <v>139</v>
      </c>
      <c r="B14" t="s">
        <v>108</v>
      </c>
      <c r="C14" t="s">
        <v>46</v>
      </c>
    </row>
    <row r="15" spans="1:3" x14ac:dyDescent="0.25">
      <c r="A15" t="s">
        <v>49</v>
      </c>
      <c r="B15" t="s">
        <v>50</v>
      </c>
      <c r="C15" t="s">
        <v>39</v>
      </c>
    </row>
    <row r="16" spans="1:3" x14ac:dyDescent="0.25">
      <c r="A16" t="s">
        <v>115</v>
      </c>
      <c r="B16" t="s">
        <v>60</v>
      </c>
      <c r="C16" t="s">
        <v>46</v>
      </c>
    </row>
    <row r="17" spans="1:3" x14ac:dyDescent="0.25">
      <c r="A17" t="s">
        <v>75</v>
      </c>
      <c r="B17" t="s">
        <v>36</v>
      </c>
      <c r="C17" t="s">
        <v>46</v>
      </c>
    </row>
    <row r="18" spans="1:3" x14ac:dyDescent="0.25">
      <c r="A18" t="s">
        <v>105</v>
      </c>
      <c r="B18" t="s">
        <v>97</v>
      </c>
      <c r="C18" t="s">
        <v>46</v>
      </c>
    </row>
    <row r="19" spans="1:3" x14ac:dyDescent="0.25">
      <c r="A19" t="s">
        <v>107</v>
      </c>
      <c r="B19" t="s">
        <v>108</v>
      </c>
      <c r="C19" t="s">
        <v>46</v>
      </c>
    </row>
    <row r="20" spans="1:3" x14ac:dyDescent="0.25">
      <c r="A20" t="s">
        <v>53</v>
      </c>
      <c r="B20" t="s">
        <v>54</v>
      </c>
      <c r="C20" t="s">
        <v>46</v>
      </c>
    </row>
    <row r="21" spans="1:3" x14ac:dyDescent="0.25">
      <c r="A21" t="s">
        <v>129</v>
      </c>
      <c r="B21" t="s">
        <v>108</v>
      </c>
      <c r="C21" t="s">
        <v>46</v>
      </c>
    </row>
    <row r="22" spans="1:3" x14ac:dyDescent="0.25">
      <c r="A22" t="s">
        <v>132</v>
      </c>
      <c r="B22" t="s">
        <v>71</v>
      </c>
      <c r="C22" t="s">
        <v>46</v>
      </c>
    </row>
    <row r="23" spans="1:3" x14ac:dyDescent="0.25">
      <c r="A23" t="s">
        <v>88</v>
      </c>
      <c r="B23" t="s">
        <v>89</v>
      </c>
      <c r="C23" t="s">
        <v>46</v>
      </c>
    </row>
    <row r="24" spans="1:3" x14ac:dyDescent="0.25">
      <c r="A24" t="s">
        <v>149</v>
      </c>
      <c r="B24" t="s">
        <v>60</v>
      </c>
      <c r="C24" t="s">
        <v>46</v>
      </c>
    </row>
    <row r="25" spans="1:3" x14ac:dyDescent="0.25">
      <c r="A25" t="s">
        <v>135</v>
      </c>
      <c r="B25" t="s">
        <v>54</v>
      </c>
      <c r="C25" t="s">
        <v>46</v>
      </c>
    </row>
    <row r="26" spans="1:3" x14ac:dyDescent="0.25">
      <c r="A26" t="s">
        <v>65</v>
      </c>
      <c r="B26" t="s">
        <v>54</v>
      </c>
      <c r="C26" t="s">
        <v>46</v>
      </c>
    </row>
    <row r="27" spans="1:3" x14ac:dyDescent="0.25">
      <c r="A27" t="s">
        <v>1359</v>
      </c>
      <c r="B27" t="s">
        <v>89</v>
      </c>
      <c r="C27" t="s">
        <v>46</v>
      </c>
    </row>
    <row r="28" spans="1:3" x14ac:dyDescent="0.25">
      <c r="A28" t="s">
        <v>1220</v>
      </c>
      <c r="B28" t="s">
        <v>71</v>
      </c>
      <c r="C28" t="s">
        <v>39</v>
      </c>
    </row>
    <row r="29" spans="1:3" x14ac:dyDescent="0.25">
      <c r="A29" t="s">
        <v>35</v>
      </c>
      <c r="B29" t="s">
        <v>36</v>
      </c>
      <c r="C29" t="s">
        <v>39</v>
      </c>
    </row>
    <row r="30" spans="1:3" x14ac:dyDescent="0.25">
      <c r="A30" t="s">
        <v>1497</v>
      </c>
      <c r="B30" t="s">
        <v>36</v>
      </c>
      <c r="C30" t="s">
        <v>46</v>
      </c>
    </row>
    <row r="31" spans="1:3" x14ac:dyDescent="0.25">
      <c r="A31" t="s">
        <v>1910</v>
      </c>
      <c r="B31" t="s">
        <v>108</v>
      </c>
      <c r="C31" t="s">
        <v>46</v>
      </c>
    </row>
    <row r="32" spans="1:3" x14ac:dyDescent="0.25">
      <c r="A32" t="s">
        <v>391</v>
      </c>
      <c r="B32" t="s">
        <v>60</v>
      </c>
      <c r="C32" t="s">
        <v>46</v>
      </c>
    </row>
    <row r="33" spans="1:3" x14ac:dyDescent="0.25">
      <c r="A33" t="s">
        <v>668</v>
      </c>
      <c r="B33" t="s">
        <v>36</v>
      </c>
      <c r="C33" t="s">
        <v>46</v>
      </c>
    </row>
    <row r="34" spans="1:3" x14ac:dyDescent="0.25">
      <c r="A34" t="s">
        <v>253</v>
      </c>
      <c r="B34" t="s">
        <v>108</v>
      </c>
      <c r="C34" t="s">
        <v>46</v>
      </c>
    </row>
    <row r="35" spans="1:3" x14ac:dyDescent="0.25">
      <c r="A35" t="s">
        <v>1635</v>
      </c>
      <c r="B35" t="s">
        <v>54</v>
      </c>
      <c r="C35" t="s">
        <v>46</v>
      </c>
    </row>
    <row r="36" spans="1:3" x14ac:dyDescent="0.25">
      <c r="A36" t="s">
        <v>944</v>
      </c>
      <c r="B36" t="s">
        <v>89</v>
      </c>
      <c r="C36" t="s">
        <v>46</v>
      </c>
    </row>
    <row r="37" spans="1:3" x14ac:dyDescent="0.25">
      <c r="A37" t="s">
        <v>529</v>
      </c>
      <c r="B37" t="s">
        <v>60</v>
      </c>
      <c r="C37" t="s">
        <v>46</v>
      </c>
    </row>
    <row r="38" spans="1:3" x14ac:dyDescent="0.25">
      <c r="A38" t="s">
        <v>806</v>
      </c>
      <c r="B38" t="s">
        <v>54</v>
      </c>
      <c r="C38" t="s">
        <v>46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8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18" width="18.7109375" customWidth="1"/>
  </cols>
  <sheetData>
    <row r="1" spans="1:1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30</v>
      </c>
      <c r="N1" t="s">
        <v>31</v>
      </c>
      <c r="O1" t="s">
        <v>2137</v>
      </c>
      <c r="P1" t="s">
        <v>2138</v>
      </c>
      <c r="Q1" t="s">
        <v>2139</v>
      </c>
      <c r="R1" t="s">
        <v>2140</v>
      </c>
    </row>
    <row r="2" spans="1:18" x14ac:dyDescent="0.25">
      <c r="A2" s="5">
        <f>Procurement_Raw!A2</f>
        <v>45798</v>
      </c>
      <c r="B2" t="str">
        <f>Procurement_Raw!B2</f>
        <v>S006</v>
      </c>
      <c r="C2" t="str">
        <f>Procurement_Raw!C2</f>
        <v>Birmingham Care &amp; Education Centre</v>
      </c>
      <c r="D2" t="str">
        <f>Procurement_Raw!D2</f>
        <v>Midlands</v>
      </c>
      <c r="E2" t="str">
        <f>Procurement_Raw!E2</f>
        <v>freshserve</v>
      </c>
      <c r="F2" t="str">
        <f>Procurement_Raw!F2</f>
        <v>Food &amp; Catering</v>
      </c>
      <c r="G2" t="str">
        <f>Procurement_Raw!G2</f>
        <v>INV-2025-00001</v>
      </c>
      <c r="H2" s="6">
        <f>Procurement_Raw!H2</f>
        <v>32</v>
      </c>
      <c r="I2" s="7">
        <f>Procurement_Raw!I2</f>
        <v>85.42</v>
      </c>
      <c r="J2" s="7">
        <f>Procurement_Raw!J2</f>
        <v>2733.44</v>
      </c>
      <c r="K2" s="6">
        <f>Procurement_Raw!K2</f>
        <v>30</v>
      </c>
      <c r="L2" t="str">
        <f>Procurement_Raw!L2</f>
        <v>ERP</v>
      </c>
      <c r="M2" s="8">
        <f>Procurement_Raw!M2</f>
        <v>546.68799999999999</v>
      </c>
      <c r="N2" s="7">
        <f>Procurement_Raw!N2</f>
        <v>2733.44</v>
      </c>
      <c r="O2" s="7">
        <f t="shared" ref="O2:O65" si="0">IFERROR(IF(J2="","",J2),0)</f>
        <v>2733.44</v>
      </c>
      <c r="P2" t="str">
        <f>IFERROR(INDEX(Supplier_Lookup!$B$2:$B$200,MATCH(E2,Supplier_Lookup!$A$2:$A$200,0)),"Unmapped")</f>
        <v>Food &amp; Catering</v>
      </c>
      <c r="Q2" s="10">
        <f>IFERROR(INDEX(Category_Targets!$B$2:$B$9,MATCH(F2,Category_Targets!$A$2:$A$9,0)),0)</f>
        <v>0.04</v>
      </c>
      <c r="R2" s="7">
        <f t="shared" ref="R2:R65" si="1">O2*Q2</f>
        <v>109.33760000000001</v>
      </c>
    </row>
    <row r="3" spans="1:18" x14ac:dyDescent="0.25">
      <c r="A3" s="5">
        <f>Procurement_Raw!A3</f>
        <v>45937</v>
      </c>
      <c r="B3" t="str">
        <f>Procurement_Raw!B3</f>
        <v>S008</v>
      </c>
      <c r="C3" t="str">
        <f>Procurement_Raw!C3</f>
        <v>Leicester Care &amp; Education Centre</v>
      </c>
      <c r="D3" t="str">
        <f>Procurement_Raw!D3</f>
        <v>Midlands</v>
      </c>
      <c r="E3" t="str">
        <f>Procurement_Raw!E3</f>
        <v>KitchenPro</v>
      </c>
      <c r="F3" t="str">
        <f>Procurement_Raw!F3</f>
        <v>Food &amp; Catering</v>
      </c>
      <c r="G3" t="str">
        <f>Procurement_Raw!G3</f>
        <v>INV-2025-00002</v>
      </c>
      <c r="H3" s="6">
        <f>Procurement_Raw!H3</f>
        <v>12</v>
      </c>
      <c r="I3" s="7">
        <f>Procurement_Raw!I3</f>
        <v>60.24</v>
      </c>
      <c r="J3" s="7">
        <f>Procurement_Raw!J3</f>
        <v>722.88</v>
      </c>
      <c r="K3" s="6">
        <f>Procurement_Raw!K3</f>
        <v>60</v>
      </c>
      <c r="L3" t="str">
        <f>Procurement_Raw!L3</f>
        <v>Procurement Portal</v>
      </c>
      <c r="M3" s="8">
        <f>Procurement_Raw!M3</f>
        <v>144.57599999999999</v>
      </c>
      <c r="N3" s="7">
        <f>Procurement_Raw!N3</f>
        <v>722.88</v>
      </c>
      <c r="O3" s="7">
        <f t="shared" si="0"/>
        <v>722.88</v>
      </c>
      <c r="P3" t="str">
        <f>IFERROR(INDEX(Supplier_Lookup!$B$2:$B$200,MATCH(E3,Supplier_Lookup!$A$2:$A$200,0)),"Unmapped")</f>
        <v>Food &amp; Catering</v>
      </c>
      <c r="Q3" s="10">
        <f>IFERROR(INDEX(Category_Targets!$B$2:$B$9,MATCH(F3,Category_Targets!$A$2:$A$9,0)),0)</f>
        <v>0.04</v>
      </c>
      <c r="R3" s="7">
        <f t="shared" si="1"/>
        <v>28.915199999999999</v>
      </c>
    </row>
    <row r="4" spans="1:18" x14ac:dyDescent="0.25">
      <c r="A4" s="5">
        <f>Procurement_Raw!A4</f>
        <v>45769</v>
      </c>
      <c r="B4" t="str">
        <f>Procurement_Raw!B4</f>
        <v>S009</v>
      </c>
      <c r="C4" t="str">
        <f>Procurement_Raw!C4</f>
        <v>Derby Care &amp; Education Centre</v>
      </c>
      <c r="D4" t="str">
        <f>Procurement_Raw!D4</f>
        <v>Midlands</v>
      </c>
      <c r="E4" t="str">
        <f>Procurement_Raw!E4</f>
        <v>MediSure</v>
      </c>
      <c r="F4" t="str">
        <f>Procurement_Raw!F4</f>
        <v>Medical Supplies</v>
      </c>
      <c r="G4" t="str">
        <f>Procurement_Raw!G4</f>
        <v>INV-2025-00003</v>
      </c>
      <c r="H4" s="6">
        <f>Procurement_Raw!H4</f>
        <v>30</v>
      </c>
      <c r="I4" s="7">
        <f>Procurement_Raw!I4</f>
        <v>171.35</v>
      </c>
      <c r="J4" s="7">
        <f>Procurement_Raw!J4</f>
        <v>5140.5600000000004</v>
      </c>
      <c r="K4" s="6">
        <f>Procurement_Raw!K4</f>
        <v>60</v>
      </c>
      <c r="L4" t="str">
        <f>Procurement_Raw!L4</f>
        <v>Legacy Spend File</v>
      </c>
      <c r="M4" s="8">
        <f>Procurement_Raw!M4</f>
        <v>1028.1120000000001</v>
      </c>
      <c r="N4" s="7">
        <f>Procurement_Raw!N4</f>
        <v>5140.5600000000004</v>
      </c>
      <c r="O4" s="7">
        <f t="shared" si="0"/>
        <v>5140.5600000000004</v>
      </c>
      <c r="P4" t="str">
        <f>IFERROR(INDEX(Supplier_Lookup!$B$2:$B$200,MATCH(E4,Supplier_Lookup!$A$2:$A$200,0)),"Unmapped")</f>
        <v>Medical Supplies</v>
      </c>
      <c r="Q4" s="10">
        <f>IFERROR(INDEX(Category_Targets!$B$2:$B$9,MATCH(F4,Category_Targets!$A$2:$A$9,0)),0)</f>
        <v>0.06</v>
      </c>
      <c r="R4" s="7">
        <f t="shared" si="1"/>
        <v>308.43360000000001</v>
      </c>
    </row>
    <row r="5" spans="1:18" x14ac:dyDescent="0.25">
      <c r="A5" s="5">
        <f>Procurement_Raw!A5</f>
        <v>45990</v>
      </c>
      <c r="B5" t="str">
        <f>Procurement_Raw!B5</f>
        <v>S006</v>
      </c>
      <c r="C5" t="str">
        <f>Procurement_Raw!C5</f>
        <v>Birmingham Care &amp; Education Centre</v>
      </c>
      <c r="D5" t="str">
        <f>Procurement_Raw!D5</f>
        <v>Midlands</v>
      </c>
      <c r="E5" t="str">
        <f>Procurement_Raw!E5</f>
        <v>PowerDirect</v>
      </c>
      <c r="F5" t="str">
        <f>Procurement_Raw!F5</f>
        <v>Utilities</v>
      </c>
      <c r="G5" t="str">
        <f>Procurement_Raw!G5</f>
        <v>INV-2025-00004</v>
      </c>
      <c r="H5" s="6">
        <f>Procurement_Raw!H5</f>
        <v>70</v>
      </c>
      <c r="I5" s="7">
        <f>Procurement_Raw!I5</f>
        <v>577.74</v>
      </c>
      <c r="J5" s="7">
        <f>Procurement_Raw!J5</f>
        <v>40441.94</v>
      </c>
      <c r="K5" s="6">
        <f>Procurement_Raw!K5</f>
        <v>45</v>
      </c>
      <c r="L5" t="str">
        <f>Procurement_Raw!L5</f>
        <v>ERP</v>
      </c>
      <c r="M5" s="8">
        <f>Procurement_Raw!M5</f>
        <v>8088.3879999999999</v>
      </c>
      <c r="N5" s="7">
        <f>Procurement_Raw!N5</f>
        <v>40441.94</v>
      </c>
      <c r="O5" s="7">
        <f t="shared" si="0"/>
        <v>40441.94</v>
      </c>
      <c r="P5" t="str">
        <f>IFERROR(INDEX(Supplier_Lookup!$B$2:$B$200,MATCH(E5,Supplier_Lookup!$A$2:$A$200,0)),"Unmapped")</f>
        <v>Utilities</v>
      </c>
      <c r="Q5" s="10">
        <f>IFERROR(INDEX(Category_Targets!$B$2:$B$9,MATCH(F5,Category_Targets!$A$2:$A$9,0)),0)</f>
        <v>0.03</v>
      </c>
      <c r="R5" s="7">
        <f t="shared" si="1"/>
        <v>1213.2582</v>
      </c>
    </row>
    <row r="6" spans="1:18" x14ac:dyDescent="0.25">
      <c r="A6" s="5">
        <f>Procurement_Raw!A6</f>
        <v>45739</v>
      </c>
      <c r="B6" t="str">
        <f>Procurement_Raw!B6</f>
        <v>S016</v>
      </c>
      <c r="C6" t="str">
        <f>Procurement_Raw!C6</f>
        <v>Cardiff Care &amp; Education Centre</v>
      </c>
      <c r="D6" t="str">
        <f>Procurement_Raw!D6</f>
        <v>Wales</v>
      </c>
      <c r="E6" t="str">
        <f>Procurement_Raw!E6</f>
        <v>CloudLink</v>
      </c>
      <c r="F6" t="str">
        <f>Procurement_Raw!F6</f>
        <v>IT &amp; Telecoms</v>
      </c>
      <c r="G6" t="str">
        <f>Procurement_Raw!G6</f>
        <v>INV-2025-00005</v>
      </c>
      <c r="H6" s="6">
        <f>Procurement_Raw!H6</f>
        <v>55</v>
      </c>
      <c r="I6" s="7">
        <f>Procurement_Raw!I6</f>
        <v>193.42</v>
      </c>
      <c r="J6" s="7">
        <f>Procurement_Raw!J6</f>
        <v>10637.88</v>
      </c>
      <c r="K6" s="6">
        <f>Procurement_Raw!K6</f>
        <v>45</v>
      </c>
      <c r="L6" t="str">
        <f>Procurement_Raw!L6</f>
        <v>Procurement Portal</v>
      </c>
      <c r="M6" s="8">
        <f>Procurement_Raw!M6</f>
        <v>2127.576</v>
      </c>
      <c r="N6" s="7">
        <f>Procurement_Raw!N6</f>
        <v>10637.88</v>
      </c>
      <c r="O6" s="7">
        <f t="shared" si="0"/>
        <v>10637.88</v>
      </c>
      <c r="P6" t="str">
        <f>IFERROR(INDEX(Supplier_Lookup!$B$2:$B$200,MATCH(E6,Supplier_Lookup!$A$2:$A$200,0)),"Unmapped")</f>
        <v>medical supplies</v>
      </c>
      <c r="Q6" s="10">
        <f>IFERROR(INDEX(Category_Targets!$B$2:$B$9,MATCH(F6,Category_Targets!$A$2:$A$9,0)),0)</f>
        <v>0.08</v>
      </c>
      <c r="R6" s="7">
        <f t="shared" si="1"/>
        <v>851.03039999999999</v>
      </c>
    </row>
    <row r="7" spans="1:18" x14ac:dyDescent="0.25">
      <c r="A7" s="5">
        <f>Procurement_Raw!A7</f>
        <v>45710</v>
      </c>
      <c r="B7" t="str">
        <f>Procurement_Raw!B7</f>
        <v>S013</v>
      </c>
      <c r="C7" t="str">
        <f>Procurement_Raw!C7</f>
        <v>Reading Care &amp; Education Centre</v>
      </c>
      <c r="D7" t="str">
        <f>Procurement_Raw!D7</f>
        <v>South</v>
      </c>
      <c r="E7" t="str">
        <f>Procurement_Raw!E7</f>
        <v>WaterGrid</v>
      </c>
      <c r="F7" t="str">
        <f>Procurement_Raw!F7</f>
        <v>Utilities</v>
      </c>
      <c r="G7" t="str">
        <f>Procurement_Raw!G7</f>
        <v>INV-2025-00006</v>
      </c>
      <c r="H7" s="6">
        <f>Procurement_Raw!H7</f>
        <v>12</v>
      </c>
      <c r="I7" s="7">
        <f>Procurement_Raw!I7</f>
        <v>219.79</v>
      </c>
      <c r="J7" s="7">
        <f>Procurement_Raw!J7</f>
        <v>2637.51</v>
      </c>
      <c r="K7" s="6">
        <f>Procurement_Raw!K7</f>
        <v>45</v>
      </c>
      <c r="L7" t="str">
        <f>Procurement_Raw!L7</f>
        <v>ERP</v>
      </c>
      <c r="M7" s="8">
        <f>Procurement_Raw!M7</f>
        <v>527.50199999999995</v>
      </c>
      <c r="N7" s="7">
        <f>Procurement_Raw!N7</f>
        <v>2637.51</v>
      </c>
      <c r="O7" s="7">
        <f t="shared" si="0"/>
        <v>2637.51</v>
      </c>
      <c r="P7" t="str">
        <f>IFERROR(INDEX(Supplier_Lookup!$B$2:$B$200,MATCH(E7,Supplier_Lookup!$A$2:$A$200,0)),"Unmapped")</f>
        <v>Utilities</v>
      </c>
      <c r="Q7" s="10">
        <f>IFERROR(INDEX(Category_Targets!$B$2:$B$9,MATCH(F7,Category_Targets!$A$2:$A$9,0)),0)</f>
        <v>0.03</v>
      </c>
      <c r="R7" s="7">
        <f t="shared" si="1"/>
        <v>79.12530000000001</v>
      </c>
    </row>
    <row r="8" spans="1:18" x14ac:dyDescent="0.25">
      <c r="A8" s="5">
        <f>Procurement_Raw!A8</f>
        <v>45793</v>
      </c>
      <c r="B8" t="str">
        <f>Procurement_Raw!B8</f>
        <v>S005</v>
      </c>
      <c r="C8" t="str">
        <f>Procurement_Raw!C8</f>
        <v>Sheffield Care &amp; Education Centre</v>
      </c>
      <c r="D8" t="str">
        <f>Procurement_Raw!D8</f>
        <v>North</v>
      </c>
      <c r="E8" t="str">
        <f>Procurement_Raw!E8</f>
        <v>AutoCare</v>
      </c>
      <c r="F8" t="str">
        <f>Procurement_Raw!F8</f>
        <v>Vehicle &amp; Fuel</v>
      </c>
      <c r="G8" t="str">
        <f>Procurement_Raw!G8</f>
        <v>INV-2025-00007</v>
      </c>
      <c r="H8" s="6">
        <f>Procurement_Raw!H8</f>
        <v>6</v>
      </c>
      <c r="I8" s="7">
        <f>Procurement_Raw!I8</f>
        <v>226.43</v>
      </c>
      <c r="J8" s="7">
        <f>Procurement_Raw!J8</f>
        <v>1358.59</v>
      </c>
      <c r="K8" s="6">
        <f>Procurement_Raw!K8</f>
        <v>60</v>
      </c>
      <c r="L8" t="str">
        <f>Procurement_Raw!L8</f>
        <v>Procurement Portal</v>
      </c>
      <c r="M8" s="8">
        <f>Procurement_Raw!M8</f>
        <v>271.71800000000002</v>
      </c>
      <c r="N8" s="7">
        <f>Procurement_Raw!N8</f>
        <v>1358.59</v>
      </c>
      <c r="O8" s="7">
        <f t="shared" si="0"/>
        <v>1358.59</v>
      </c>
      <c r="P8" t="str">
        <f>IFERROR(INDEX(Supplier_Lookup!$B$2:$B$200,MATCH(E8,Supplier_Lookup!$A$2:$A$200,0)),"Unmapped")</f>
        <v>Vehicle &amp; Fuel</v>
      </c>
      <c r="Q8" s="10">
        <f>IFERROR(INDEX(Category_Targets!$B$2:$B$9,MATCH(F8,Category_Targets!$A$2:$A$9,0)),0)</f>
        <v>0.05</v>
      </c>
      <c r="R8" s="7">
        <f t="shared" si="1"/>
        <v>67.929500000000004</v>
      </c>
    </row>
    <row r="9" spans="1:18" x14ac:dyDescent="0.25">
      <c r="A9" s="5">
        <f>Procurement_Raw!A9</f>
        <v>45698</v>
      </c>
      <c r="B9" t="str">
        <f>Procurement_Raw!B9</f>
        <v>S004</v>
      </c>
      <c r="C9" t="str">
        <f>Procurement_Raw!C9</f>
        <v>Newcastle Care &amp; Education Centre</v>
      </c>
      <c r="D9" t="str">
        <f>Procurement_Raw!D9</f>
        <v>North</v>
      </c>
      <c r="E9" t="str">
        <f>Procurement_Raw!E9</f>
        <v>NourishCo</v>
      </c>
      <c r="F9" t="str">
        <f>Procurement_Raw!F9</f>
        <v>Food &amp; Catering</v>
      </c>
      <c r="G9" t="str">
        <f>Procurement_Raw!G9</f>
        <v>INV-2025-00008</v>
      </c>
      <c r="H9" s="6">
        <f>Procurement_Raw!H9</f>
        <v>71</v>
      </c>
      <c r="I9" s="7">
        <f>Procurement_Raw!I9</f>
        <v>99.13</v>
      </c>
      <c r="J9" s="7">
        <f>Procurement_Raw!J9</f>
        <v>7038.54</v>
      </c>
      <c r="K9" s="6">
        <f>Procurement_Raw!K9</f>
        <v>45</v>
      </c>
      <c r="L9" t="str">
        <f>Procurement_Raw!L9</f>
        <v>Legacy Spend File</v>
      </c>
      <c r="M9" s="8">
        <f>Procurement_Raw!M9</f>
        <v>1407.7080000000001</v>
      </c>
      <c r="N9" s="7">
        <f>Procurement_Raw!N9</f>
        <v>7038.54</v>
      </c>
      <c r="O9" s="7">
        <f t="shared" si="0"/>
        <v>7038.54</v>
      </c>
      <c r="P9" t="str">
        <f>IFERROR(INDEX(Supplier_Lookup!$B$2:$B$200,MATCH(E9,Supplier_Lookup!$A$2:$A$200,0)),"Unmapped")</f>
        <v>Food &amp; Catering</v>
      </c>
      <c r="Q9" s="10">
        <f>IFERROR(INDEX(Category_Targets!$B$2:$B$9,MATCH(F9,Category_Targets!$A$2:$A$9,0)),0)</f>
        <v>0.04</v>
      </c>
      <c r="R9" s="7">
        <f t="shared" si="1"/>
        <v>281.54160000000002</v>
      </c>
    </row>
    <row r="10" spans="1:18" x14ac:dyDescent="0.25">
      <c r="A10" s="5">
        <f>Procurement_Raw!A10</f>
        <v>45756</v>
      </c>
      <c r="B10" t="str">
        <f>Procurement_Raw!B10</f>
        <v>S017</v>
      </c>
      <c r="C10" t="str">
        <f>Procurement_Raw!C10</f>
        <v>Swansea Care &amp; Education Centre</v>
      </c>
      <c r="D10" t="str">
        <f>Procurement_Raw!D10</f>
        <v>Wales</v>
      </c>
      <c r="E10" t="str">
        <f>Procurement_Raw!E10</f>
        <v>AutoCare</v>
      </c>
      <c r="F10" t="str">
        <f>Procurement_Raw!F10</f>
        <v>Vehicle &amp; Fuel</v>
      </c>
      <c r="G10" t="str">
        <f>Procurement_Raw!G10</f>
        <v>INV-2025-00009</v>
      </c>
      <c r="H10" s="6">
        <f>Procurement_Raw!H10</f>
        <v>9</v>
      </c>
      <c r="I10" s="7">
        <f>Procurement_Raw!I10</f>
        <v>73.38</v>
      </c>
      <c r="J10" s="7">
        <f>Procurement_Raw!J10</f>
        <v>660.43</v>
      </c>
      <c r="K10" s="6">
        <f>Procurement_Raw!K10</f>
        <v>30</v>
      </c>
      <c r="L10" t="str">
        <f>Procurement_Raw!L10</f>
        <v>Legacy Spend File</v>
      </c>
      <c r="M10" s="8">
        <f>Procurement_Raw!M10</f>
        <v>132.08600000000001</v>
      </c>
      <c r="N10" s="7">
        <f>Procurement_Raw!N10</f>
        <v>660.43</v>
      </c>
      <c r="O10" s="7">
        <f t="shared" si="0"/>
        <v>660.43</v>
      </c>
      <c r="P10" t="str">
        <f>IFERROR(INDEX(Supplier_Lookup!$B$2:$B$200,MATCH(E10,Supplier_Lookup!$A$2:$A$200,0)),"Unmapped")</f>
        <v>Vehicle &amp; Fuel</v>
      </c>
      <c r="Q10" s="10">
        <f>IFERROR(INDEX(Category_Targets!$B$2:$B$9,MATCH(F10,Category_Targets!$A$2:$A$9,0)),0)</f>
        <v>0.05</v>
      </c>
      <c r="R10" s="7">
        <f t="shared" si="1"/>
        <v>33.021499999999996</v>
      </c>
    </row>
    <row r="11" spans="1:18" x14ac:dyDescent="0.25">
      <c r="A11" s="5">
        <f>Procurement_Raw!A11</f>
        <v>45777</v>
      </c>
      <c r="B11" t="str">
        <f>Procurement_Raw!B11</f>
        <v>S015</v>
      </c>
      <c r="C11" t="str">
        <f>Procurement_Raw!C11</f>
        <v>Brighton Care &amp; Education Centre</v>
      </c>
      <c r="D11" t="str">
        <f>Procurement_Raw!D11</f>
        <v>South</v>
      </c>
      <c r="E11" t="str">
        <f>Procurement_Raw!E11</f>
        <v>CloudLink</v>
      </c>
      <c r="F11" t="str">
        <f>Procurement_Raw!F11</f>
        <v>IT &amp; Telecoms</v>
      </c>
      <c r="G11" t="str">
        <f>Procurement_Raw!G11</f>
        <v>INV-2025-00010</v>
      </c>
      <c r="H11" s="6">
        <f>Procurement_Raw!H11</f>
        <v>13</v>
      </c>
      <c r="I11" s="7">
        <f>Procurement_Raw!I11</f>
        <v>296.5</v>
      </c>
      <c r="J11" s="7">
        <f>Procurement_Raw!J11</f>
        <v>3854.46</v>
      </c>
      <c r="K11" s="6">
        <f>Procurement_Raw!K11</f>
        <v>45</v>
      </c>
      <c r="L11" t="str">
        <f>Procurement_Raw!L11</f>
        <v>Procurement Portal</v>
      </c>
      <c r="M11" s="8">
        <f>Procurement_Raw!M11</f>
        <v>770.89200000000005</v>
      </c>
      <c r="N11" s="7">
        <f>Procurement_Raw!N11</f>
        <v>3854.46</v>
      </c>
      <c r="O11" s="7">
        <f t="shared" si="0"/>
        <v>3854.46</v>
      </c>
      <c r="P11" t="str">
        <f>IFERROR(INDEX(Supplier_Lookup!$B$2:$B$200,MATCH(E11,Supplier_Lookup!$A$2:$A$200,0)),"Unmapped")</f>
        <v>medical supplies</v>
      </c>
      <c r="Q11" s="10">
        <f>IFERROR(INDEX(Category_Targets!$B$2:$B$9,MATCH(F11,Category_Targets!$A$2:$A$9,0)),0)</f>
        <v>0.08</v>
      </c>
      <c r="R11" s="7">
        <f t="shared" si="1"/>
        <v>308.35680000000002</v>
      </c>
    </row>
    <row r="12" spans="1:18" x14ac:dyDescent="0.25">
      <c r="A12" s="5">
        <f>Procurement_Raw!A12</f>
        <v>45847</v>
      </c>
      <c r="B12" t="str">
        <f>Procurement_Raw!B12</f>
        <v>S016</v>
      </c>
      <c r="C12" t="str">
        <f>Procurement_Raw!C12</f>
        <v>Cardiff Care &amp; Education Centre</v>
      </c>
      <c r="D12" t="str">
        <f>Procurement_Raw!D12</f>
        <v>Wales</v>
      </c>
      <c r="E12" t="str">
        <f>Procurement_Raw!E12</f>
        <v>FleetFuel</v>
      </c>
      <c r="F12" t="str">
        <f>Procurement_Raw!F12</f>
        <v>Vehicle &amp; Fuel</v>
      </c>
      <c r="G12" t="str">
        <f>Procurement_Raw!G12</f>
        <v>INV-2025-00011</v>
      </c>
      <c r="H12" s="6">
        <f>Procurement_Raw!H12</f>
        <v>46</v>
      </c>
      <c r="I12" s="7">
        <f>Procurement_Raw!I12</f>
        <v>73.63</v>
      </c>
      <c r="J12" s="7">
        <f>Procurement_Raw!J12</f>
        <v>3386.79</v>
      </c>
      <c r="K12" s="6">
        <f>Procurement_Raw!K12</f>
        <v>30</v>
      </c>
      <c r="L12" t="str">
        <f>Procurement_Raw!L12</f>
        <v>Legacy Spend File</v>
      </c>
      <c r="M12" s="8">
        <f>Procurement_Raw!M12</f>
        <v>677.35799999999995</v>
      </c>
      <c r="N12" s="7">
        <f>Procurement_Raw!N12</f>
        <v>3386.79</v>
      </c>
      <c r="O12" s="7">
        <f t="shared" si="0"/>
        <v>3386.79</v>
      </c>
      <c r="P12" t="str">
        <f>IFERROR(INDEX(Supplier_Lookup!$B$2:$B$200,MATCH(E12,Supplier_Lookup!$A$2:$A$200,0)),"Unmapped")</f>
        <v>Vehicle &amp; Fuel</v>
      </c>
      <c r="Q12" s="10">
        <f>IFERROR(INDEX(Category_Targets!$B$2:$B$9,MATCH(F12,Category_Targets!$A$2:$A$9,0)),0)</f>
        <v>0.05</v>
      </c>
      <c r="R12" s="7">
        <f t="shared" si="1"/>
        <v>169.33950000000002</v>
      </c>
    </row>
    <row r="13" spans="1:18" x14ac:dyDescent="0.25">
      <c r="A13" s="5">
        <f>Procurement_Raw!A13</f>
        <v>45983</v>
      </c>
      <c r="B13" t="str">
        <f>Procurement_Raw!B13</f>
        <v>S019</v>
      </c>
      <c r="C13" t="str">
        <f>Procurement_Raw!C13</f>
        <v>Wrexham Care &amp; Education Centre</v>
      </c>
      <c r="D13" t="str">
        <f>Procurement_Raw!D13</f>
        <v>Wales</v>
      </c>
      <c r="E13" t="str">
        <f>Procurement_Raw!E13</f>
        <v>KitchenPro</v>
      </c>
      <c r="F13" t="str">
        <f>Procurement_Raw!F13</f>
        <v>Food &amp; Catering</v>
      </c>
      <c r="G13" t="str">
        <f>Procurement_Raw!G13</f>
        <v>INV-2025-00012</v>
      </c>
      <c r="H13" s="6">
        <f>Procurement_Raw!H13</f>
        <v>22</v>
      </c>
      <c r="I13" s="7">
        <f>Procurement_Raw!I13</f>
        <v>50.31</v>
      </c>
      <c r="J13" s="7">
        <f>Procurement_Raw!J13</f>
        <v>1106.8599999999999</v>
      </c>
      <c r="K13" s="6">
        <f>Procurement_Raw!K13</f>
        <v>60</v>
      </c>
      <c r="L13" t="str">
        <f>Procurement_Raw!L13</f>
        <v>Legacy Spend File</v>
      </c>
      <c r="M13" s="8">
        <f>Procurement_Raw!M13</f>
        <v>221.37200000000001</v>
      </c>
      <c r="N13" s="7">
        <f>Procurement_Raw!N13</f>
        <v>1106.8599999999999</v>
      </c>
      <c r="O13" s="7">
        <f t="shared" si="0"/>
        <v>1106.8599999999999</v>
      </c>
      <c r="P13" t="str">
        <f>IFERROR(INDEX(Supplier_Lookup!$B$2:$B$200,MATCH(E13,Supplier_Lookup!$A$2:$A$200,0)),"Unmapped")</f>
        <v>Food &amp; Catering</v>
      </c>
      <c r="Q13" s="10">
        <f>IFERROR(INDEX(Category_Targets!$B$2:$B$9,MATCH(F13,Category_Targets!$A$2:$A$9,0)),0)</f>
        <v>0.04</v>
      </c>
      <c r="R13" s="7">
        <f t="shared" si="1"/>
        <v>44.2744</v>
      </c>
    </row>
    <row r="14" spans="1:18" x14ac:dyDescent="0.25">
      <c r="A14" s="5">
        <f>Procurement_Raw!A14</f>
        <v>45852</v>
      </c>
      <c r="B14" t="str">
        <f>Procurement_Raw!B14</f>
        <v>S009</v>
      </c>
      <c r="C14" t="str">
        <f>Procurement_Raw!C14</f>
        <v>Derby Care &amp; Education Centre</v>
      </c>
      <c r="D14" t="str">
        <f>Procurement_Raw!D14</f>
        <v>Midlands</v>
      </c>
      <c r="E14" t="str">
        <f>Procurement_Raw!E14</f>
        <v>SafeGuard FM</v>
      </c>
      <c r="F14" t="str">
        <f>Procurement_Raw!F14</f>
        <v>Facilities</v>
      </c>
      <c r="G14" t="str">
        <f>Procurement_Raw!G14</f>
        <v>INV-2025-00013</v>
      </c>
      <c r="H14" s="6">
        <f>Procurement_Raw!H14</f>
        <v>35</v>
      </c>
      <c r="I14" s="7">
        <f>Procurement_Raw!I14</f>
        <v>205.62</v>
      </c>
      <c r="J14" s="7">
        <f>Procurement_Raw!J14</f>
        <v>7196.75</v>
      </c>
      <c r="K14" s="6">
        <f>Procurement_Raw!K14</f>
        <v>60</v>
      </c>
      <c r="L14" t="str">
        <f>Procurement_Raw!L14</f>
        <v>Legacy Spend File</v>
      </c>
      <c r="M14" s="8">
        <f>Procurement_Raw!M14</f>
        <v>1439.35</v>
      </c>
      <c r="N14" s="7">
        <f>Procurement_Raw!N14</f>
        <v>7196.75</v>
      </c>
      <c r="O14" s="7">
        <f t="shared" si="0"/>
        <v>7196.75</v>
      </c>
      <c r="P14" t="str">
        <f>IFERROR(INDEX(Supplier_Lookup!$B$2:$B$200,MATCH(E14,Supplier_Lookup!$A$2:$A$200,0)),"Unmapped")</f>
        <v>Facilities</v>
      </c>
      <c r="Q14" s="10">
        <f>IFERROR(INDEX(Category_Targets!$B$2:$B$9,MATCH(F14,Category_Targets!$A$2:$A$9,0)),0)</f>
        <v>0.05</v>
      </c>
      <c r="R14" s="7">
        <f t="shared" si="1"/>
        <v>359.83750000000003</v>
      </c>
    </row>
    <row r="15" spans="1:18" x14ac:dyDescent="0.25">
      <c r="A15" s="5">
        <f>Procurement_Raw!A15</f>
        <v>45824</v>
      </c>
      <c r="B15" t="str">
        <f>Procurement_Raw!B15</f>
        <v>S014</v>
      </c>
      <c r="C15" t="str">
        <f>Procurement_Raw!C15</f>
        <v>Southampton Care &amp; Education Centre</v>
      </c>
      <c r="D15" t="str">
        <f>Procurement_Raw!D15</f>
        <v>South</v>
      </c>
      <c r="E15" t="str">
        <f>Procurement_Raw!E15</f>
        <v>PowerDirect</v>
      </c>
      <c r="F15" t="str">
        <f>Procurement_Raw!F15</f>
        <v>Utilities</v>
      </c>
      <c r="G15" t="str">
        <f>Procurement_Raw!G15</f>
        <v>INV-2025-00014</v>
      </c>
      <c r="H15" s="6">
        <f>Procurement_Raw!H15</f>
        <v>8</v>
      </c>
      <c r="I15" s="7">
        <f>Procurement_Raw!I15</f>
        <v>87.28</v>
      </c>
      <c r="J15" s="7">
        <f>Procurement_Raw!J15</f>
        <v>698.26</v>
      </c>
      <c r="K15" s="6">
        <f>Procurement_Raw!K15</f>
        <v>30</v>
      </c>
      <c r="L15" t="str">
        <f>Procurement_Raw!L15</f>
        <v>ERP</v>
      </c>
      <c r="M15" s="8">
        <f>Procurement_Raw!M15</f>
        <v>139.65199999999999</v>
      </c>
      <c r="N15" s="7">
        <f>Procurement_Raw!N15</f>
        <v>698.26</v>
      </c>
      <c r="O15" s="7">
        <f t="shared" si="0"/>
        <v>698.26</v>
      </c>
      <c r="P15" t="str">
        <f>IFERROR(INDEX(Supplier_Lookup!$B$2:$B$200,MATCH(E15,Supplier_Lookup!$A$2:$A$200,0)),"Unmapped")</f>
        <v>Utilities</v>
      </c>
      <c r="Q15" s="10">
        <f>IFERROR(INDEX(Category_Targets!$B$2:$B$9,MATCH(F15,Category_Targets!$A$2:$A$9,0)),0)</f>
        <v>0.03</v>
      </c>
      <c r="R15" s="7">
        <f t="shared" si="1"/>
        <v>20.947799999999997</v>
      </c>
    </row>
    <row r="16" spans="1:18" x14ac:dyDescent="0.25">
      <c r="A16" s="5">
        <f>Procurement_Raw!A16</f>
        <v>45691</v>
      </c>
      <c r="B16" t="str">
        <f>Procurement_Raw!B16</f>
        <v>S007</v>
      </c>
      <c r="C16" t="str">
        <f>Procurement_Raw!C16</f>
        <v>Nottingham Care &amp; Education Centre</v>
      </c>
      <c r="D16" t="str">
        <f>Procurement_Raw!D16</f>
        <v>Midlands</v>
      </c>
      <c r="E16" t="str">
        <f>Procurement_Raw!E16</f>
        <v>CareTemps</v>
      </c>
      <c r="F16" t="str">
        <f>Procurement_Raw!F16</f>
        <v>Agency Labour</v>
      </c>
      <c r="G16" t="str">
        <f>Procurement_Raw!G16</f>
        <v>INV-2025-00015</v>
      </c>
      <c r="H16" s="6">
        <f>Procurement_Raw!H16</f>
        <v>28</v>
      </c>
      <c r="I16" s="7">
        <f>Procurement_Raw!I16</f>
        <v>116.17</v>
      </c>
      <c r="J16" s="7">
        <f>Procurement_Raw!J16</f>
        <v>3252.83</v>
      </c>
      <c r="K16" s="6">
        <f>Procurement_Raw!K16</f>
        <v>60</v>
      </c>
      <c r="L16" t="str">
        <f>Procurement_Raw!L16</f>
        <v>Legacy Spend File</v>
      </c>
      <c r="M16" s="8">
        <f>Procurement_Raw!M16</f>
        <v>650.56600000000003</v>
      </c>
      <c r="N16" s="7">
        <f>Procurement_Raw!N16</f>
        <v>3252.83</v>
      </c>
      <c r="O16" s="7">
        <f t="shared" si="0"/>
        <v>3252.83</v>
      </c>
      <c r="P16" t="str">
        <f>IFERROR(INDEX(Supplier_Lookup!$B$2:$B$200,MATCH(E16,Supplier_Lookup!$A$2:$A$200,0)),"Unmapped")</f>
        <v>Agency Labour</v>
      </c>
      <c r="Q16" s="10">
        <f>IFERROR(INDEX(Category_Targets!$B$2:$B$9,MATCH(F16,Category_Targets!$A$2:$A$9,0)),0)</f>
        <v>7.0000000000000007E-2</v>
      </c>
      <c r="R16" s="7">
        <f t="shared" si="1"/>
        <v>227.69810000000001</v>
      </c>
    </row>
    <row r="17" spans="1:18" x14ac:dyDescent="0.25">
      <c r="A17" s="5">
        <f>Procurement_Raw!A17</f>
        <v>45913</v>
      </c>
      <c r="B17" t="str">
        <f>Procurement_Raw!B17</f>
        <v>S017</v>
      </c>
      <c r="C17" t="str">
        <f>Procurement_Raw!C17</f>
        <v>Swansea Care &amp; Education Centre</v>
      </c>
      <c r="D17" t="str">
        <f>Procurement_Raw!D17</f>
        <v>Wales</v>
      </c>
      <c r="E17" t="str">
        <f>Procurement_Raw!E17</f>
        <v>PowerDirect</v>
      </c>
      <c r="F17" t="str">
        <f>Procurement_Raw!F17</f>
        <v>Utilities</v>
      </c>
      <c r="G17" t="str">
        <f>Procurement_Raw!G17</f>
        <v>INV-2025-00016</v>
      </c>
      <c r="H17" s="6">
        <f>Procurement_Raw!H17</f>
        <v>51</v>
      </c>
      <c r="I17" s="7">
        <f>Procurement_Raw!I17</f>
        <v>183.5</v>
      </c>
      <c r="J17" s="7">
        <f>Procurement_Raw!J17</f>
        <v>9358.39</v>
      </c>
      <c r="K17" s="6">
        <f>Procurement_Raw!K17</f>
        <v>60</v>
      </c>
      <c r="L17" t="str">
        <f>Procurement_Raw!L17</f>
        <v>Procurement Portal</v>
      </c>
      <c r="M17" s="8">
        <f>Procurement_Raw!M17</f>
        <v>1871.6780000000001</v>
      </c>
      <c r="N17" s="7">
        <f>Procurement_Raw!N17</f>
        <v>9358.39</v>
      </c>
      <c r="O17" s="7">
        <f t="shared" si="0"/>
        <v>9358.39</v>
      </c>
      <c r="P17" t="str">
        <f>IFERROR(INDEX(Supplier_Lookup!$B$2:$B$200,MATCH(E17,Supplier_Lookup!$A$2:$A$200,0)),"Unmapped")</f>
        <v>Utilities</v>
      </c>
      <c r="Q17" s="10">
        <f>IFERROR(INDEX(Category_Targets!$B$2:$B$9,MATCH(F17,Category_Targets!$A$2:$A$9,0)),0)</f>
        <v>0.03</v>
      </c>
      <c r="R17" s="7">
        <f t="shared" si="1"/>
        <v>280.75169999999997</v>
      </c>
    </row>
    <row r="18" spans="1:18" x14ac:dyDescent="0.25">
      <c r="A18" s="5">
        <f>Procurement_Raw!A18</f>
        <v>45784</v>
      </c>
      <c r="B18" t="str">
        <f>Procurement_Raw!B18</f>
        <v>S001</v>
      </c>
      <c r="C18" t="str">
        <f>Procurement_Raw!C18</f>
        <v>Preston Care &amp; Education Centre</v>
      </c>
      <c r="D18" t="str">
        <f>Procurement_Raw!D18</f>
        <v>North</v>
      </c>
      <c r="E18" t="str">
        <f>Procurement_Raw!E18</f>
        <v>CloudLink</v>
      </c>
      <c r="F18" t="str">
        <f>Procurement_Raw!F18</f>
        <v>IT &amp; Telecoms</v>
      </c>
      <c r="G18" t="str">
        <f>Procurement_Raw!G18</f>
        <v>INV-2025-00017</v>
      </c>
      <c r="H18" s="6">
        <f>Procurement_Raw!H18</f>
        <v>72</v>
      </c>
      <c r="I18" s="7">
        <f>Procurement_Raw!I18</f>
        <v>126.04</v>
      </c>
      <c r="J18" s="7">
        <f>Procurement_Raw!J18</f>
        <v>9074.6200000000008</v>
      </c>
      <c r="K18" s="6">
        <f>Procurement_Raw!K18</f>
        <v>60</v>
      </c>
      <c r="L18" t="str">
        <f>Procurement_Raw!L18</f>
        <v>Procurement Portal</v>
      </c>
      <c r="M18" s="8">
        <f>Procurement_Raw!M18</f>
        <v>1814.924</v>
      </c>
      <c r="N18" s="7">
        <f>Procurement_Raw!N18</f>
        <v>9074.6200000000008</v>
      </c>
      <c r="O18" s="7">
        <f t="shared" si="0"/>
        <v>9074.6200000000008</v>
      </c>
      <c r="P18" t="str">
        <f>IFERROR(INDEX(Supplier_Lookup!$B$2:$B$200,MATCH(E18,Supplier_Lookup!$A$2:$A$200,0)),"Unmapped")</f>
        <v>medical supplies</v>
      </c>
      <c r="Q18" s="10">
        <f>IFERROR(INDEX(Category_Targets!$B$2:$B$9,MATCH(F18,Category_Targets!$A$2:$A$9,0)),0)</f>
        <v>0.08</v>
      </c>
      <c r="R18" s="7">
        <f t="shared" si="1"/>
        <v>725.96960000000013</v>
      </c>
    </row>
    <row r="19" spans="1:18" x14ac:dyDescent="0.25">
      <c r="A19" s="5">
        <f>Procurement_Raw!A19</f>
        <v>45862</v>
      </c>
      <c r="B19" t="str">
        <f>Procurement_Raw!B19</f>
        <v>S020</v>
      </c>
      <c r="C19" t="str">
        <f>Procurement_Raw!C19</f>
        <v>Bangor Care &amp; Education Centre</v>
      </c>
      <c r="D19" t="str">
        <f>Procurement_Raw!D19</f>
        <v>Wales</v>
      </c>
      <c r="E19" t="str">
        <f>Procurement_Raw!E19</f>
        <v>NurseLink</v>
      </c>
      <c r="F19" t="str">
        <f>Procurement_Raw!F19</f>
        <v>Agency Labour</v>
      </c>
      <c r="G19" t="str">
        <f>Procurement_Raw!G19</f>
        <v>INV-2025-00018</v>
      </c>
      <c r="H19" s="6">
        <f>Procurement_Raw!H19</f>
        <v>47</v>
      </c>
      <c r="I19" s="7">
        <f>Procurement_Raw!I19</f>
        <v>356.6</v>
      </c>
      <c r="J19" s="7">
        <f>Procurement_Raw!J19</f>
        <v>16760.259999999998</v>
      </c>
      <c r="K19" s="6">
        <f>Procurement_Raw!K19</f>
        <v>30</v>
      </c>
      <c r="L19" t="str">
        <f>Procurement_Raw!L19</f>
        <v>ERP</v>
      </c>
      <c r="M19" s="8">
        <f>Procurement_Raw!M19</f>
        <v>3352.0520000000001</v>
      </c>
      <c r="N19" s="7">
        <f>Procurement_Raw!N19</f>
        <v>16760.259999999998</v>
      </c>
      <c r="O19" s="7">
        <f t="shared" si="0"/>
        <v>16760.259999999998</v>
      </c>
      <c r="P19" t="str">
        <f>IFERROR(INDEX(Supplier_Lookup!$B$2:$B$200,MATCH(E19,Supplier_Lookup!$A$2:$A$200,0)),"Unmapped")</f>
        <v>Agency Labour</v>
      </c>
      <c r="Q19" s="10">
        <f>IFERROR(INDEX(Category_Targets!$B$2:$B$9,MATCH(F19,Category_Targets!$A$2:$A$9,0)),0)</f>
        <v>7.0000000000000007E-2</v>
      </c>
      <c r="R19" s="7">
        <f t="shared" si="1"/>
        <v>1173.2182</v>
      </c>
    </row>
    <row r="20" spans="1:18" x14ac:dyDescent="0.25">
      <c r="A20" s="5">
        <f>Procurement_Raw!A20</f>
        <v>45682</v>
      </c>
      <c r="B20" t="str">
        <f>Procurement_Raw!B20</f>
        <v>S007</v>
      </c>
      <c r="C20" t="str">
        <f>Procurement_Raw!C20</f>
        <v>Nottingham Care &amp; Education Centre</v>
      </c>
      <c r="D20" t="str">
        <f>Procurement_Raw!D20</f>
        <v>Midlands</v>
      </c>
      <c r="E20" t="str">
        <f>Procurement_Raw!E20</f>
        <v>OfficePlus</v>
      </c>
      <c r="F20" t="str">
        <f>Procurement_Raw!F20</f>
        <v>Office &amp; Training</v>
      </c>
      <c r="G20" t="str">
        <f>Procurement_Raw!G20</f>
        <v>INV-2025-00019</v>
      </c>
      <c r="H20" s="6">
        <f>Procurement_Raw!H20</f>
        <v>15</v>
      </c>
      <c r="I20" s="7">
        <f>Procurement_Raw!I20</f>
        <v>45.52</v>
      </c>
      <c r="J20" s="7">
        <f>Procurement_Raw!J20</f>
        <v>682.75</v>
      </c>
      <c r="K20" s="6">
        <f>Procurement_Raw!K20</f>
        <v>30</v>
      </c>
      <c r="L20" t="str">
        <f>Procurement_Raw!L20</f>
        <v>Legacy Spend File</v>
      </c>
      <c r="M20" s="8">
        <f>Procurement_Raw!M20</f>
        <v>136.55000000000001</v>
      </c>
      <c r="N20" s="7">
        <f>Procurement_Raw!N20</f>
        <v>682.75</v>
      </c>
      <c r="O20" s="7">
        <f t="shared" si="0"/>
        <v>682.75</v>
      </c>
      <c r="P20" t="str">
        <f>IFERROR(INDEX(Supplier_Lookup!$B$2:$B$200,MATCH(E20,Supplier_Lookup!$A$2:$A$200,0)),"Unmapped")</f>
        <v>Office &amp; Training</v>
      </c>
      <c r="Q20" s="10">
        <f>IFERROR(INDEX(Category_Targets!$B$2:$B$9,MATCH(F20,Category_Targets!$A$2:$A$9,0)),0)</f>
        <v>0.04</v>
      </c>
      <c r="R20" s="7">
        <f t="shared" si="1"/>
        <v>27.310000000000002</v>
      </c>
    </row>
    <row r="21" spans="1:18" x14ac:dyDescent="0.25">
      <c r="A21" s="5">
        <f>Procurement_Raw!A21</f>
        <v>45690</v>
      </c>
      <c r="B21" t="str">
        <f>Procurement_Raw!B21</f>
        <v>S018</v>
      </c>
      <c r="C21" t="str">
        <f>Procurement_Raw!C21</f>
        <v>Newport Care &amp; Education Centre</v>
      </c>
      <c r="D21" t="str">
        <f>Procurement_Raw!D21</f>
        <v>Wales</v>
      </c>
      <c r="E21" t="str">
        <f>Procurement_Raw!E21</f>
        <v>NurseLink</v>
      </c>
      <c r="F21" t="str">
        <f>Procurement_Raw!F21</f>
        <v>Agency Labour</v>
      </c>
      <c r="G21" t="str">
        <f>Procurement_Raw!G21</f>
        <v>INV-2025-00020</v>
      </c>
      <c r="H21" s="6">
        <f>Procurement_Raw!H21</f>
        <v>50</v>
      </c>
      <c r="I21" s="7">
        <f>Procurement_Raw!I21</f>
        <v>137.97</v>
      </c>
      <c r="J21" s="7">
        <f>Procurement_Raw!J21</f>
        <v>6898.36</v>
      </c>
      <c r="K21" s="6">
        <f>Procurement_Raw!K21</f>
        <v>45</v>
      </c>
      <c r="L21" t="str">
        <f>Procurement_Raw!L21</f>
        <v>Legacy Spend File</v>
      </c>
      <c r="M21" s="8">
        <f>Procurement_Raw!M21</f>
        <v>1379.672</v>
      </c>
      <c r="N21" s="7">
        <f>Procurement_Raw!N21</f>
        <v>6898.36</v>
      </c>
      <c r="O21" s="7">
        <f t="shared" si="0"/>
        <v>6898.36</v>
      </c>
      <c r="P21" t="str">
        <f>IFERROR(INDEX(Supplier_Lookup!$B$2:$B$200,MATCH(E21,Supplier_Lookup!$A$2:$A$200,0)),"Unmapped")</f>
        <v>Agency Labour</v>
      </c>
      <c r="Q21" s="10">
        <f>IFERROR(INDEX(Category_Targets!$B$2:$B$9,MATCH(F21,Category_Targets!$A$2:$A$9,0)),0)</f>
        <v>7.0000000000000007E-2</v>
      </c>
      <c r="R21" s="7">
        <f t="shared" si="1"/>
        <v>482.8852</v>
      </c>
    </row>
    <row r="22" spans="1:18" x14ac:dyDescent="0.25">
      <c r="A22" s="5">
        <f>Procurement_Raw!A22</f>
        <v>45663</v>
      </c>
      <c r="B22" t="str">
        <f>Procurement_Raw!B22</f>
        <v>S002</v>
      </c>
      <c r="C22" t="str">
        <f>Procurement_Raw!C22</f>
        <v>Manchester Care &amp; Education Centre</v>
      </c>
      <c r="D22" t="str">
        <f>Procurement_Raw!D22</f>
        <v>North</v>
      </c>
      <c r="E22" t="str">
        <f>Procurement_Raw!E22</f>
        <v>NetServe</v>
      </c>
      <c r="F22" t="str">
        <f>Procurement_Raw!F22</f>
        <v>IT &amp; Telecoms</v>
      </c>
      <c r="G22" t="str">
        <f>Procurement_Raw!G22</f>
        <v>INV-2025-00021</v>
      </c>
      <c r="H22" s="6">
        <f>Procurement_Raw!H22</f>
        <v>15</v>
      </c>
      <c r="I22" s="7">
        <f>Procurement_Raw!I22</f>
        <v>492.62</v>
      </c>
      <c r="J22" s="7">
        <f>Procurement_Raw!J22</f>
        <v>7389.27</v>
      </c>
      <c r="K22" s="6">
        <f>Procurement_Raw!K22</f>
        <v>60</v>
      </c>
      <c r="L22" t="str">
        <f>Procurement_Raw!L22</f>
        <v>Legacy Spend File</v>
      </c>
      <c r="M22" s="8">
        <f>Procurement_Raw!M22</f>
        <v>1477.854</v>
      </c>
      <c r="N22" s="7">
        <f>Procurement_Raw!N22</f>
        <v>7389.27</v>
      </c>
      <c r="O22" s="7">
        <f t="shared" si="0"/>
        <v>7389.27</v>
      </c>
      <c r="P22" t="str">
        <f>IFERROR(INDEX(Supplier_Lookup!$B$2:$B$200,MATCH(E22,Supplier_Lookup!$A$2:$A$200,0)),"Unmapped")</f>
        <v>IT &amp; Telecoms</v>
      </c>
      <c r="Q22" s="10">
        <f>IFERROR(INDEX(Category_Targets!$B$2:$B$9,MATCH(F22,Category_Targets!$A$2:$A$9,0)),0)</f>
        <v>0.08</v>
      </c>
      <c r="R22" s="7">
        <f t="shared" si="1"/>
        <v>591.14160000000004</v>
      </c>
    </row>
    <row r="23" spans="1:18" x14ac:dyDescent="0.25">
      <c r="A23" s="5">
        <f>Procurement_Raw!A23</f>
        <v>45832</v>
      </c>
      <c r="B23" t="str">
        <f>Procurement_Raw!B23</f>
        <v>S019</v>
      </c>
      <c r="C23" t="str">
        <f>Procurement_Raw!C23</f>
        <v>Wrexham Care &amp; Education Centre</v>
      </c>
      <c r="D23" t="str">
        <f>Procurement_Raw!D23</f>
        <v>Wales</v>
      </c>
      <c r="E23" t="str">
        <f>Procurement_Raw!E23</f>
        <v>NetServe</v>
      </c>
      <c r="F23" t="str">
        <f>Procurement_Raw!F23</f>
        <v>IT &amp; Telecoms</v>
      </c>
      <c r="G23" t="str">
        <f>Procurement_Raw!G23</f>
        <v>INV-2025-00022</v>
      </c>
      <c r="H23" s="6">
        <f>Procurement_Raw!H23</f>
        <v>15</v>
      </c>
      <c r="I23" s="7">
        <f>Procurement_Raw!I23</f>
        <v>194.31</v>
      </c>
      <c r="J23" s="7">
        <f>Procurement_Raw!J23</f>
        <v>2914.64</v>
      </c>
      <c r="K23" s="6">
        <f>Procurement_Raw!K23</f>
        <v>45</v>
      </c>
      <c r="L23" t="str">
        <f>Procurement_Raw!L23</f>
        <v>Procurement Portal</v>
      </c>
      <c r="M23" s="8">
        <f>Procurement_Raw!M23</f>
        <v>582.928</v>
      </c>
      <c r="N23" s="7">
        <f>Procurement_Raw!N23</f>
        <v>2914.64</v>
      </c>
      <c r="O23" s="7">
        <f t="shared" si="0"/>
        <v>2914.64</v>
      </c>
      <c r="P23" t="str">
        <f>IFERROR(INDEX(Supplier_Lookup!$B$2:$B$200,MATCH(E23,Supplier_Lookup!$A$2:$A$200,0)),"Unmapped")</f>
        <v>IT &amp; Telecoms</v>
      </c>
      <c r="Q23" s="10">
        <f>IFERROR(INDEX(Category_Targets!$B$2:$B$9,MATCH(F23,Category_Targets!$A$2:$A$9,0)),0)</f>
        <v>0.08</v>
      </c>
      <c r="R23" s="7">
        <f t="shared" si="1"/>
        <v>233.1712</v>
      </c>
    </row>
    <row r="24" spans="1:18" x14ac:dyDescent="0.25">
      <c r="A24" s="5">
        <f>Procurement_Raw!A24</f>
        <v>45792</v>
      </c>
      <c r="B24" t="str">
        <f>Procurement_Raw!B24</f>
        <v>S012</v>
      </c>
      <c r="C24" t="str">
        <f>Procurement_Raw!C24</f>
        <v>Bristol Care &amp; Education Centre</v>
      </c>
      <c r="D24" t="str">
        <f>Procurement_Raw!D24</f>
        <v>South</v>
      </c>
      <c r="E24" t="str">
        <f>Procurement_Raw!E24</f>
        <v>OfficePlus</v>
      </c>
      <c r="F24" t="str">
        <f>Procurement_Raw!F24</f>
        <v>Office &amp; Training</v>
      </c>
      <c r="G24" t="str">
        <f>Procurement_Raw!G24</f>
        <v>INV-2025-00023</v>
      </c>
      <c r="H24" s="6">
        <f>Procurement_Raw!H24</f>
        <v>65</v>
      </c>
      <c r="I24" s="7">
        <f>Procurement_Raw!I24</f>
        <v>77.84</v>
      </c>
      <c r="J24" s="7">
        <f>Procurement_Raw!J24</f>
        <v>5059.46</v>
      </c>
      <c r="K24" s="6">
        <f>Procurement_Raw!K24</f>
        <v>30</v>
      </c>
      <c r="L24" t="str">
        <f>Procurement_Raw!L24</f>
        <v>Legacy Spend File</v>
      </c>
      <c r="M24" s="8">
        <f>Procurement_Raw!M24</f>
        <v>1011.8920000000001</v>
      </c>
      <c r="N24" s="7">
        <f>Procurement_Raw!N24</f>
        <v>5059.46</v>
      </c>
      <c r="O24" s="7">
        <f t="shared" si="0"/>
        <v>5059.46</v>
      </c>
      <c r="P24" t="str">
        <f>IFERROR(INDEX(Supplier_Lookup!$B$2:$B$200,MATCH(E24,Supplier_Lookup!$A$2:$A$200,0)),"Unmapped")</f>
        <v>Office &amp; Training</v>
      </c>
      <c r="Q24" s="10">
        <f>IFERROR(INDEX(Category_Targets!$B$2:$B$9,MATCH(F24,Category_Targets!$A$2:$A$9,0)),0)</f>
        <v>0.04</v>
      </c>
      <c r="R24" s="7">
        <f t="shared" si="1"/>
        <v>202.3784</v>
      </c>
    </row>
    <row r="25" spans="1:18" x14ac:dyDescent="0.25">
      <c r="A25" s="5">
        <f>Procurement_Raw!A25</f>
        <v>45917</v>
      </c>
      <c r="B25" t="str">
        <f>Procurement_Raw!B25</f>
        <v>S010</v>
      </c>
      <c r="C25" t="str">
        <f>Procurement_Raw!C25</f>
        <v>Coventry Care &amp; Education Centre</v>
      </c>
      <c r="D25" t="str">
        <f>Procurement_Raw!D25</f>
        <v>Midlands</v>
      </c>
      <c r="E25" t="str">
        <f>Procurement_Raw!E25</f>
        <v>NetServe</v>
      </c>
      <c r="F25" t="str">
        <f>Procurement_Raw!F25</f>
        <v>IT &amp; Telecoms</v>
      </c>
      <c r="G25" t="str">
        <f>Procurement_Raw!G25</f>
        <v>INV-2025-00024</v>
      </c>
      <c r="H25" s="6">
        <f>Procurement_Raw!H25</f>
        <v>78</v>
      </c>
      <c r="I25" s="7">
        <f>Procurement_Raw!I25</f>
        <v>100.49</v>
      </c>
      <c r="J25" s="7">
        <f>Procurement_Raw!J25</f>
        <v>7837.89</v>
      </c>
      <c r="K25" s="6">
        <f>Procurement_Raw!K25</f>
        <v>30</v>
      </c>
      <c r="L25" t="str">
        <f>Procurement_Raw!L25</f>
        <v>ERP</v>
      </c>
      <c r="M25" s="8">
        <f>Procurement_Raw!M25</f>
        <v>1567.578</v>
      </c>
      <c r="N25" s="7">
        <f>Procurement_Raw!N25</f>
        <v>7837.89</v>
      </c>
      <c r="O25" s="7">
        <f t="shared" si="0"/>
        <v>7837.89</v>
      </c>
      <c r="P25" t="str">
        <f>IFERROR(INDEX(Supplier_Lookup!$B$2:$B$200,MATCH(E25,Supplier_Lookup!$A$2:$A$200,0)),"Unmapped")</f>
        <v>IT &amp; Telecoms</v>
      </c>
      <c r="Q25" s="10">
        <f>IFERROR(INDEX(Category_Targets!$B$2:$B$9,MATCH(F25,Category_Targets!$A$2:$A$9,0)),0)</f>
        <v>0.08</v>
      </c>
      <c r="R25" s="7">
        <f t="shared" si="1"/>
        <v>627.03120000000001</v>
      </c>
    </row>
    <row r="26" spans="1:18" x14ac:dyDescent="0.25">
      <c r="A26" s="5">
        <f>Procurement_Raw!A26</f>
        <v>45929</v>
      </c>
      <c r="B26" t="str">
        <f>Procurement_Raw!B26</f>
        <v>S001</v>
      </c>
      <c r="C26" t="str">
        <f>Procurement_Raw!C26</f>
        <v>Preston Care &amp; Education Centre</v>
      </c>
      <c r="D26" t="str">
        <f>Procurement_Raw!D26</f>
        <v>North</v>
      </c>
      <c r="E26" t="str">
        <f>Procurement_Raw!E26</f>
        <v>BuildCare</v>
      </c>
      <c r="F26" t="str">
        <f>Procurement_Raw!F26</f>
        <v>Facilities</v>
      </c>
      <c r="G26" t="str">
        <f>Procurement_Raw!G26</f>
        <v>INV-2025-00025</v>
      </c>
      <c r="H26" s="6">
        <f>Procurement_Raw!H26</f>
        <v>1</v>
      </c>
      <c r="I26" s="7">
        <f>Procurement_Raw!I26</f>
        <v>133.43</v>
      </c>
      <c r="J26" s="7">
        <f>Procurement_Raw!J26</f>
        <v>133.43</v>
      </c>
      <c r="K26" s="6">
        <f>Procurement_Raw!K26</f>
        <v>60</v>
      </c>
      <c r="L26" t="str">
        <f>Procurement_Raw!L26</f>
        <v>Procurement Portal</v>
      </c>
      <c r="M26" s="8">
        <f>Procurement_Raw!M26</f>
        <v>26.686</v>
      </c>
      <c r="N26" s="7">
        <f>Procurement_Raw!N26</f>
        <v>133.43</v>
      </c>
      <c r="O26" s="7">
        <f t="shared" si="0"/>
        <v>133.43</v>
      </c>
      <c r="P26" t="str">
        <f>IFERROR(INDEX(Supplier_Lookup!$B$2:$B$200,MATCH(E26,Supplier_Lookup!$A$2:$A$200,0)),"Unmapped")</f>
        <v>Facilities</v>
      </c>
      <c r="Q26" s="10">
        <f>IFERROR(INDEX(Category_Targets!$B$2:$B$9,MATCH(F26,Category_Targets!$A$2:$A$9,0)),0)</f>
        <v>0.05</v>
      </c>
      <c r="R26" s="7">
        <f t="shared" si="1"/>
        <v>6.6715000000000009</v>
      </c>
    </row>
    <row r="27" spans="1:18" x14ac:dyDescent="0.25">
      <c r="A27" s="5">
        <f>Procurement_Raw!A27</f>
        <v>45843</v>
      </c>
      <c r="B27" t="str">
        <f>Procurement_Raw!B27</f>
        <v>S014</v>
      </c>
      <c r="C27" t="str">
        <f>Procurement_Raw!C27</f>
        <v>Southampton Care &amp; Education Centre</v>
      </c>
      <c r="D27" t="str">
        <f>Procurement_Raw!D27</f>
        <v>South</v>
      </c>
      <c r="E27" t="str">
        <f>Procurement_Raw!E27</f>
        <v>MediSure</v>
      </c>
      <c r="F27" t="str">
        <f>Procurement_Raw!F27</f>
        <v>Medical Supplies</v>
      </c>
      <c r="G27" t="str">
        <f>Procurement_Raw!G27</f>
        <v>INV-2025-00026</v>
      </c>
      <c r="H27" s="6">
        <f>Procurement_Raw!H27</f>
        <v>40</v>
      </c>
      <c r="I27" s="7">
        <f>Procurement_Raw!I27</f>
        <v>127.55</v>
      </c>
      <c r="J27" s="7">
        <f>Procurement_Raw!J27</f>
        <v>5101.95</v>
      </c>
      <c r="K27" s="6">
        <f>Procurement_Raw!K27</f>
        <v>30</v>
      </c>
      <c r="L27" t="str">
        <f>Procurement_Raw!L27</f>
        <v>ERP</v>
      </c>
      <c r="M27" s="8">
        <f>Procurement_Raw!M27</f>
        <v>1020.39</v>
      </c>
      <c r="N27" s="7">
        <f>Procurement_Raw!N27</f>
        <v>5101.95</v>
      </c>
      <c r="O27" s="7">
        <f t="shared" si="0"/>
        <v>5101.95</v>
      </c>
      <c r="P27" t="str">
        <f>IFERROR(INDEX(Supplier_Lookup!$B$2:$B$200,MATCH(E27,Supplier_Lookup!$A$2:$A$200,0)),"Unmapped")</f>
        <v>Medical Supplies</v>
      </c>
      <c r="Q27" s="10">
        <f>IFERROR(INDEX(Category_Targets!$B$2:$B$9,MATCH(F27,Category_Targets!$A$2:$A$9,0)),0)</f>
        <v>0.06</v>
      </c>
      <c r="R27" s="7">
        <f t="shared" si="1"/>
        <v>306.11699999999996</v>
      </c>
    </row>
    <row r="28" spans="1:18" x14ac:dyDescent="0.25">
      <c r="A28" s="5">
        <f>Procurement_Raw!A28</f>
        <v>45906</v>
      </c>
      <c r="B28" t="str">
        <f>Procurement_Raw!B28</f>
        <v>S006</v>
      </c>
      <c r="C28" t="str">
        <f>Procurement_Raw!C28</f>
        <v>Birmingham Care &amp; Education Centre</v>
      </c>
      <c r="D28" t="str">
        <f>Procurement_Raw!D28</f>
        <v>Midlands</v>
      </c>
      <c r="E28" t="str">
        <f>Procurement_Raw!E28</f>
        <v>FreshServe</v>
      </c>
      <c r="F28" t="str">
        <f>Procurement_Raw!F28</f>
        <v>Food &amp; Catering</v>
      </c>
      <c r="G28" t="str">
        <f>Procurement_Raw!G28</f>
        <v>INV-2025-00027</v>
      </c>
      <c r="H28" s="6">
        <f>Procurement_Raw!H28</f>
        <v>9</v>
      </c>
      <c r="I28" s="7">
        <f>Procurement_Raw!I28</f>
        <v>34.51</v>
      </c>
      <c r="J28" s="7">
        <f>Procurement_Raw!J28</f>
        <v>310.62</v>
      </c>
      <c r="K28" s="6">
        <f>Procurement_Raw!K28</f>
        <v>60</v>
      </c>
      <c r="L28" t="str">
        <f>Procurement_Raw!L28</f>
        <v>ERP</v>
      </c>
      <c r="M28" s="8">
        <f>Procurement_Raw!M28</f>
        <v>62.124000000000002</v>
      </c>
      <c r="N28" s="7">
        <f>Procurement_Raw!N28</f>
        <v>310.62</v>
      </c>
      <c r="O28" s="7">
        <f t="shared" si="0"/>
        <v>310.62</v>
      </c>
      <c r="P28" t="str">
        <f>IFERROR(INDEX(Supplier_Lookup!$B$2:$B$200,MATCH(E28,Supplier_Lookup!$A$2:$A$200,0)),"Unmapped")</f>
        <v>Food &amp; Catering</v>
      </c>
      <c r="Q28" s="10">
        <f>IFERROR(INDEX(Category_Targets!$B$2:$B$9,MATCH(F28,Category_Targets!$A$2:$A$9,0)),0)</f>
        <v>0.04</v>
      </c>
      <c r="R28" s="7">
        <f t="shared" si="1"/>
        <v>12.424800000000001</v>
      </c>
    </row>
    <row r="29" spans="1:18" x14ac:dyDescent="0.25">
      <c r="A29" s="5">
        <f>Procurement_Raw!A29</f>
        <v>45742</v>
      </c>
      <c r="B29" t="str">
        <f>Procurement_Raw!B29</f>
        <v>S012</v>
      </c>
      <c r="C29" t="str">
        <f>Procurement_Raw!C29</f>
        <v>Bristol Care &amp; Education Centre</v>
      </c>
      <c r="D29" t="str">
        <f>Procurement_Raw!D29</f>
        <v>South</v>
      </c>
      <c r="E29" t="str">
        <f>Procurement_Raw!E29</f>
        <v>PrintCo</v>
      </c>
      <c r="F29" t="str">
        <f>Procurement_Raw!F29</f>
        <v>Office &amp; Training</v>
      </c>
      <c r="G29" t="str">
        <f>Procurement_Raw!G29</f>
        <v>INV-2025-00028</v>
      </c>
      <c r="H29" s="6">
        <f>Procurement_Raw!H29</f>
        <v>34</v>
      </c>
      <c r="I29" s="7">
        <f>Procurement_Raw!I29</f>
        <v>92.21</v>
      </c>
      <c r="J29" s="7">
        <f>Procurement_Raw!J29</f>
        <v>3135.31</v>
      </c>
      <c r="K29" s="6">
        <f>Procurement_Raw!K29</f>
        <v>60</v>
      </c>
      <c r="L29" t="str">
        <f>Procurement_Raw!L29</f>
        <v>Legacy Spend File</v>
      </c>
      <c r="M29" s="8">
        <f>Procurement_Raw!M29</f>
        <v>627.06200000000001</v>
      </c>
      <c r="N29" s="7">
        <f>Procurement_Raw!N29</f>
        <v>3135.31</v>
      </c>
      <c r="O29" s="7">
        <f t="shared" si="0"/>
        <v>3135.31</v>
      </c>
      <c r="P29" t="str">
        <f>IFERROR(INDEX(Supplier_Lookup!$B$2:$B$200,MATCH(E29,Supplier_Lookup!$A$2:$A$200,0)),"Unmapped")</f>
        <v>Office &amp; Training</v>
      </c>
      <c r="Q29" s="10">
        <f>IFERROR(INDEX(Category_Targets!$B$2:$B$9,MATCH(F29,Category_Targets!$A$2:$A$9,0)),0)</f>
        <v>0.04</v>
      </c>
      <c r="R29" s="7">
        <f t="shared" si="1"/>
        <v>125.41240000000001</v>
      </c>
    </row>
    <row r="30" spans="1:18" x14ac:dyDescent="0.25">
      <c r="A30" s="5">
        <f>Procurement_Raw!A30</f>
        <v>46011</v>
      </c>
      <c r="B30" t="str">
        <f>Procurement_Raw!B30</f>
        <v>S009</v>
      </c>
      <c r="C30" t="str">
        <f>Procurement_Raw!C30</f>
        <v>Derby Care &amp; Education Centre</v>
      </c>
      <c r="D30" t="str">
        <f>Procurement_Raw!D30</f>
        <v>Midlands</v>
      </c>
      <c r="E30" t="str">
        <f>Procurement_Raw!E30</f>
        <v>PowerDirect</v>
      </c>
      <c r="F30" t="str">
        <f>Procurement_Raw!F30</f>
        <v>Utilities</v>
      </c>
      <c r="G30" t="str">
        <f>Procurement_Raw!G30</f>
        <v>INV-2025-00029</v>
      </c>
      <c r="H30" s="6">
        <f>Procurement_Raw!H30</f>
        <v>26</v>
      </c>
      <c r="I30" s="7">
        <f>Procurement_Raw!I30</f>
        <v>179.67</v>
      </c>
      <c r="J30" s="7">
        <f>Procurement_Raw!J30</f>
        <v>4671.3599999999997</v>
      </c>
      <c r="K30" s="6">
        <f>Procurement_Raw!K30</f>
        <v>60</v>
      </c>
      <c r="L30" t="str">
        <f>Procurement_Raw!L30</f>
        <v>Procurement Portal</v>
      </c>
      <c r="M30" s="8">
        <f>Procurement_Raw!M30</f>
        <v>934.27200000000005</v>
      </c>
      <c r="N30" s="7">
        <f>Procurement_Raw!N30</f>
        <v>4671.3599999999997</v>
      </c>
      <c r="O30" s="7">
        <f t="shared" si="0"/>
        <v>4671.3599999999997</v>
      </c>
      <c r="P30" t="str">
        <f>IFERROR(INDEX(Supplier_Lookup!$B$2:$B$200,MATCH(E30,Supplier_Lookup!$A$2:$A$200,0)),"Unmapped")</f>
        <v>Utilities</v>
      </c>
      <c r="Q30" s="10">
        <f>IFERROR(INDEX(Category_Targets!$B$2:$B$9,MATCH(F30,Category_Targets!$A$2:$A$9,0)),0)</f>
        <v>0.03</v>
      </c>
      <c r="R30" s="7">
        <f t="shared" si="1"/>
        <v>140.14079999999998</v>
      </c>
    </row>
    <row r="31" spans="1:18" x14ac:dyDescent="0.25">
      <c r="A31" s="5">
        <f>Procurement_Raw!A31</f>
        <v>45922</v>
      </c>
      <c r="B31" t="str">
        <f>Procurement_Raw!B31</f>
        <v>S006</v>
      </c>
      <c r="C31" t="str">
        <f>Procurement_Raw!C31</f>
        <v>Birmingham Care &amp; Education Centre</v>
      </c>
      <c r="D31" t="str">
        <f>Procurement_Raw!D31</f>
        <v>Midlands</v>
      </c>
      <c r="E31" t="str">
        <f>Procurement_Raw!E31</f>
        <v>RoadReady</v>
      </c>
      <c r="F31" t="str">
        <f>Procurement_Raw!F31</f>
        <v>Vehicle &amp; Fuel</v>
      </c>
      <c r="G31" t="str">
        <f>Procurement_Raw!G31</f>
        <v>INV-2025-00030</v>
      </c>
      <c r="H31" s="6">
        <f>Procurement_Raw!H31</f>
        <v>58</v>
      </c>
      <c r="I31" s="7">
        <f>Procurement_Raw!I31</f>
        <v>80.92</v>
      </c>
      <c r="J31" s="7">
        <f>Procurement_Raw!J31</f>
        <v>4693.29</v>
      </c>
      <c r="K31" s="6">
        <f>Procurement_Raw!K31</f>
        <v>30</v>
      </c>
      <c r="L31" t="str">
        <f>Procurement_Raw!L31</f>
        <v>ERP</v>
      </c>
      <c r="M31" s="8">
        <f>Procurement_Raw!M31</f>
        <v>938.65800000000002</v>
      </c>
      <c r="N31" s="7">
        <f>Procurement_Raw!N31</f>
        <v>4693.29</v>
      </c>
      <c r="O31" s="7">
        <f t="shared" si="0"/>
        <v>4693.29</v>
      </c>
      <c r="P31" t="str">
        <f>IFERROR(INDEX(Supplier_Lookup!$B$2:$B$200,MATCH(E31,Supplier_Lookup!$A$2:$A$200,0)),"Unmapped")</f>
        <v>Vehicle &amp; Fuel</v>
      </c>
      <c r="Q31" s="10">
        <f>IFERROR(INDEX(Category_Targets!$B$2:$B$9,MATCH(F31,Category_Targets!$A$2:$A$9,0)),0)</f>
        <v>0.05</v>
      </c>
      <c r="R31" s="7">
        <f t="shared" si="1"/>
        <v>234.6645</v>
      </c>
    </row>
    <row r="32" spans="1:18" x14ac:dyDescent="0.25">
      <c r="A32" s="5">
        <f>Procurement_Raw!A32</f>
        <v>45668</v>
      </c>
      <c r="B32" t="str">
        <f>Procurement_Raw!B32</f>
        <v>S010</v>
      </c>
      <c r="C32" t="str">
        <f>Procurement_Raw!C32</f>
        <v>Coventry Care &amp; Education Centre</v>
      </c>
      <c r="D32" t="str">
        <f>Procurement_Raw!D32</f>
        <v>Midlands</v>
      </c>
      <c r="E32" t="str">
        <f>Procurement_Raw!E32</f>
        <v>NourishCo</v>
      </c>
      <c r="F32" t="str">
        <f>Procurement_Raw!F32</f>
        <v>Food &amp; Catering</v>
      </c>
      <c r="G32" t="str">
        <f>Procurement_Raw!G32</f>
        <v>INV-2025-00031</v>
      </c>
      <c r="H32" s="6">
        <f>Procurement_Raw!H32</f>
        <v>76</v>
      </c>
      <c r="I32" s="7">
        <f>Procurement_Raw!I32</f>
        <v>46.69</v>
      </c>
      <c r="J32" s="7">
        <f>Procurement_Raw!J32</f>
        <v>3548.15</v>
      </c>
      <c r="K32" s="6">
        <f>Procurement_Raw!K32</f>
        <v>60</v>
      </c>
      <c r="L32" t="str">
        <f>Procurement_Raw!L32</f>
        <v>ERP</v>
      </c>
      <c r="M32" s="8">
        <f>Procurement_Raw!M32</f>
        <v>709.63</v>
      </c>
      <c r="N32" s="7">
        <f>Procurement_Raw!N32</f>
        <v>3548.15</v>
      </c>
      <c r="O32" s="7">
        <f t="shared" si="0"/>
        <v>3548.15</v>
      </c>
      <c r="P32" t="str">
        <f>IFERROR(INDEX(Supplier_Lookup!$B$2:$B$200,MATCH(E32,Supplier_Lookup!$A$2:$A$200,0)),"Unmapped")</f>
        <v>Food &amp; Catering</v>
      </c>
      <c r="Q32" s="10">
        <f>IFERROR(INDEX(Category_Targets!$B$2:$B$9,MATCH(F32,Category_Targets!$A$2:$A$9,0)),0)</f>
        <v>0.04</v>
      </c>
      <c r="R32" s="7">
        <f t="shared" si="1"/>
        <v>141.92600000000002</v>
      </c>
    </row>
    <row r="33" spans="1:18" x14ac:dyDescent="0.25">
      <c r="A33" s="5">
        <f>Procurement_Raw!A33</f>
        <v>45694</v>
      </c>
      <c r="B33" t="str">
        <f>Procurement_Raw!B33</f>
        <v>S010</v>
      </c>
      <c r="C33" t="str">
        <f>Procurement_Raw!C33</f>
        <v>Coventry Care &amp; Education Centre</v>
      </c>
      <c r="D33" t="str">
        <f>Procurement_Raw!D33</f>
        <v>Midlands</v>
      </c>
      <c r="E33" t="str">
        <f>Procurement_Raw!E33</f>
        <v>UK Energy Partners</v>
      </c>
      <c r="F33" t="str">
        <f>Procurement_Raw!F33</f>
        <v>Utilities</v>
      </c>
      <c r="G33" t="str">
        <f>Procurement_Raw!G33</f>
        <v>INV-2025-00032</v>
      </c>
      <c r="H33" s="6">
        <f>Procurement_Raw!H33</f>
        <v>8</v>
      </c>
      <c r="I33" s="7">
        <f>Procurement_Raw!I33</f>
        <v>692.43</v>
      </c>
      <c r="J33" s="7">
        <f>Procurement_Raw!J33</f>
        <v>5539.48</v>
      </c>
      <c r="K33" s="6">
        <f>Procurement_Raw!K33</f>
        <v>30</v>
      </c>
      <c r="L33" t="str">
        <f>Procurement_Raw!L33</f>
        <v>ERP</v>
      </c>
      <c r="M33" s="8">
        <f>Procurement_Raw!M33</f>
        <v>1107.896</v>
      </c>
      <c r="N33" s="7">
        <f>Procurement_Raw!N33</f>
        <v>5539.48</v>
      </c>
      <c r="O33" s="7">
        <f t="shared" si="0"/>
        <v>5539.48</v>
      </c>
      <c r="P33" t="str">
        <f>IFERROR(INDEX(Supplier_Lookup!$B$2:$B$200,MATCH(E33,Supplier_Lookup!$A$2:$A$200,0)),"Unmapped")</f>
        <v>Utilities</v>
      </c>
      <c r="Q33" s="10">
        <f>IFERROR(INDEX(Category_Targets!$B$2:$B$9,MATCH(F33,Category_Targets!$A$2:$A$9,0)),0)</f>
        <v>0.03</v>
      </c>
      <c r="R33" s="7">
        <f t="shared" si="1"/>
        <v>166.18439999999998</v>
      </c>
    </row>
    <row r="34" spans="1:18" x14ac:dyDescent="0.25">
      <c r="A34" s="5">
        <f>Procurement_Raw!A34</f>
        <v>45921</v>
      </c>
      <c r="B34" t="str">
        <f>Procurement_Raw!B34</f>
        <v>S007</v>
      </c>
      <c r="C34" t="str">
        <f>Procurement_Raw!C34</f>
        <v>Nottingham Care &amp; Education Centre</v>
      </c>
      <c r="D34" t="str">
        <f>Procurement_Raw!D34</f>
        <v>Midlands</v>
      </c>
      <c r="E34" t="str">
        <f>Procurement_Raw!E34</f>
        <v>FleetFuel</v>
      </c>
      <c r="F34" t="str">
        <f>Procurement_Raw!F34</f>
        <v>Vehicle &amp; Fuel</v>
      </c>
      <c r="G34" t="str">
        <f>Procurement_Raw!G34</f>
        <v>INV-2025-00033</v>
      </c>
      <c r="H34" s="6">
        <f>Procurement_Raw!H34</f>
        <v>31</v>
      </c>
      <c r="I34" s="7">
        <f>Procurement_Raw!I34</f>
        <v>94.3</v>
      </c>
      <c r="J34" s="7">
        <f>Procurement_Raw!J34</f>
        <v>2923.22</v>
      </c>
      <c r="K34" s="6">
        <f>Procurement_Raw!K34</f>
        <v>45</v>
      </c>
      <c r="L34" t="str">
        <f>Procurement_Raw!L34</f>
        <v>Legacy Spend File</v>
      </c>
      <c r="M34" s="8">
        <f>Procurement_Raw!M34</f>
        <v>584.64400000000001</v>
      </c>
      <c r="N34" s="7">
        <f>Procurement_Raw!N34</f>
        <v>2923.22</v>
      </c>
      <c r="O34" s="7">
        <f t="shared" si="0"/>
        <v>2923.22</v>
      </c>
      <c r="P34" t="str">
        <f>IFERROR(INDEX(Supplier_Lookup!$B$2:$B$200,MATCH(E34,Supplier_Lookup!$A$2:$A$200,0)),"Unmapped")</f>
        <v>Vehicle &amp; Fuel</v>
      </c>
      <c r="Q34" s="10">
        <f>IFERROR(INDEX(Category_Targets!$B$2:$B$9,MATCH(F34,Category_Targets!$A$2:$A$9,0)),0)</f>
        <v>0.05</v>
      </c>
      <c r="R34" s="7">
        <f t="shared" si="1"/>
        <v>146.161</v>
      </c>
    </row>
    <row r="35" spans="1:18" x14ac:dyDescent="0.25">
      <c r="A35" s="5">
        <f>Procurement_Raw!A35</f>
        <v>45725</v>
      </c>
      <c r="B35" t="str">
        <f>Procurement_Raw!B35</f>
        <v>S018</v>
      </c>
      <c r="C35" t="str">
        <f>Procurement_Raw!C35</f>
        <v>Newport Care &amp; Education Centre</v>
      </c>
      <c r="D35" t="str">
        <f>Procurement_Raw!D35</f>
        <v>Wales</v>
      </c>
      <c r="E35" t="str">
        <f>Procurement_Raw!E35</f>
        <v>PowerDirect</v>
      </c>
      <c r="F35" t="str">
        <f>Procurement_Raw!F35</f>
        <v>Utilities</v>
      </c>
      <c r="G35" t="str">
        <f>Procurement_Raw!G35</f>
        <v>INV-2025-00034</v>
      </c>
      <c r="H35" s="6">
        <f>Procurement_Raw!H35</f>
        <v>74</v>
      </c>
      <c r="I35" s="7">
        <f>Procurement_Raw!I35</f>
        <v>139.72999999999999</v>
      </c>
      <c r="J35" s="7">
        <f>Procurement_Raw!J35</f>
        <v>10340.1</v>
      </c>
      <c r="K35" s="6">
        <f>Procurement_Raw!K35</f>
        <v>60</v>
      </c>
      <c r="L35" t="str">
        <f>Procurement_Raw!L35</f>
        <v>Procurement Portal</v>
      </c>
      <c r="M35" s="8">
        <f>Procurement_Raw!M35</f>
        <v>2068.02</v>
      </c>
      <c r="N35" s="7">
        <f>Procurement_Raw!N35</f>
        <v>10340.1</v>
      </c>
      <c r="O35" s="7">
        <f t="shared" si="0"/>
        <v>10340.1</v>
      </c>
      <c r="P35" t="str">
        <f>IFERROR(INDEX(Supplier_Lookup!$B$2:$B$200,MATCH(E35,Supplier_Lookup!$A$2:$A$200,0)),"Unmapped")</f>
        <v>Utilities</v>
      </c>
      <c r="Q35" s="10">
        <f>IFERROR(INDEX(Category_Targets!$B$2:$B$9,MATCH(F35,Category_Targets!$A$2:$A$9,0)),0)</f>
        <v>0.03</v>
      </c>
      <c r="R35" s="7">
        <f t="shared" si="1"/>
        <v>310.20299999999997</v>
      </c>
    </row>
    <row r="36" spans="1:18" x14ac:dyDescent="0.25">
      <c r="A36" s="5">
        <f>Procurement_Raw!A36</f>
        <v>45755</v>
      </c>
      <c r="B36" t="str">
        <f>Procurement_Raw!B36</f>
        <v>S015</v>
      </c>
      <c r="C36" t="str">
        <f>Procurement_Raw!C36</f>
        <v>Brighton Care &amp; Education Centre</v>
      </c>
      <c r="D36" t="str">
        <f>Procurement_Raw!D36</f>
        <v>South</v>
      </c>
      <c r="E36" t="str">
        <f>Procurement_Raw!E36</f>
        <v>LearnWell</v>
      </c>
      <c r="F36" t="str">
        <f>Procurement_Raw!F36</f>
        <v>Office &amp; Training</v>
      </c>
      <c r="G36" t="str">
        <f>Procurement_Raw!G36</f>
        <v>INV-2025-00035</v>
      </c>
      <c r="H36" s="6">
        <f>Procurement_Raw!H36</f>
        <v>13</v>
      </c>
      <c r="I36" s="7">
        <f>Procurement_Raw!I36</f>
        <v>117.91</v>
      </c>
      <c r="J36" s="7">
        <f>Procurement_Raw!J36</f>
        <v>1532.78</v>
      </c>
      <c r="K36" s="6">
        <f>Procurement_Raw!K36</f>
        <v>30</v>
      </c>
      <c r="L36" t="str">
        <f>Procurement_Raw!L36</f>
        <v>Legacy Spend File</v>
      </c>
      <c r="M36" s="8">
        <f>Procurement_Raw!M36</f>
        <v>306.55599999999998</v>
      </c>
      <c r="N36" s="7">
        <f>Procurement_Raw!N36</f>
        <v>1532.78</v>
      </c>
      <c r="O36" s="7">
        <f t="shared" si="0"/>
        <v>1532.78</v>
      </c>
      <c r="P36" t="str">
        <f>IFERROR(INDEX(Supplier_Lookup!$B$2:$B$200,MATCH(E36,Supplier_Lookup!$A$2:$A$200,0)),"Unmapped")</f>
        <v>Office &amp; Training</v>
      </c>
      <c r="Q36" s="10">
        <f>IFERROR(INDEX(Category_Targets!$B$2:$B$9,MATCH(F36,Category_Targets!$A$2:$A$9,0)),0)</f>
        <v>0.04</v>
      </c>
      <c r="R36" s="7">
        <f t="shared" si="1"/>
        <v>61.311199999999999</v>
      </c>
    </row>
    <row r="37" spans="1:18" x14ac:dyDescent="0.25">
      <c r="A37" s="5">
        <f>Procurement_Raw!A37</f>
        <v>45868</v>
      </c>
      <c r="B37" t="str">
        <f>Procurement_Raw!B37</f>
        <v>S017</v>
      </c>
      <c r="C37" t="str">
        <f>Procurement_Raw!C37</f>
        <v>Swansea Care &amp; Education Centre</v>
      </c>
      <c r="D37" t="str">
        <f>Procurement_Raw!D37</f>
        <v>Wales</v>
      </c>
      <c r="E37" t="str">
        <f>Procurement_Raw!E37</f>
        <v>RoadReady</v>
      </c>
      <c r="F37" t="str">
        <f>Procurement_Raw!F37</f>
        <v>Vehicle &amp; Fuel</v>
      </c>
      <c r="G37" t="str">
        <f>Procurement_Raw!G37</f>
        <v>INV-2025-00036</v>
      </c>
      <c r="H37" s="6">
        <f>Procurement_Raw!H37</f>
        <v>60</v>
      </c>
      <c r="I37" s="7">
        <f>Procurement_Raw!I37</f>
        <v>48.54</v>
      </c>
      <c r="J37" s="7">
        <f>Procurement_Raw!J37</f>
        <v>2912.47</v>
      </c>
      <c r="K37" s="6">
        <f>Procurement_Raw!K37</f>
        <v>60</v>
      </c>
      <c r="L37" t="str">
        <f>Procurement_Raw!L37</f>
        <v>ERP</v>
      </c>
      <c r="M37" s="8">
        <f>Procurement_Raw!M37</f>
        <v>582.49400000000003</v>
      </c>
      <c r="N37" s="7">
        <f>Procurement_Raw!N37</f>
        <v>2912.47</v>
      </c>
      <c r="O37" s="7">
        <f t="shared" si="0"/>
        <v>2912.47</v>
      </c>
      <c r="P37" t="str">
        <f>IFERROR(INDEX(Supplier_Lookup!$B$2:$B$200,MATCH(E37,Supplier_Lookup!$A$2:$A$200,0)),"Unmapped")</f>
        <v>Vehicle &amp; Fuel</v>
      </c>
      <c r="Q37" s="10">
        <f>IFERROR(INDEX(Category_Targets!$B$2:$B$9,MATCH(F37,Category_Targets!$A$2:$A$9,0)),0)</f>
        <v>0.05</v>
      </c>
      <c r="R37" s="7">
        <f t="shared" si="1"/>
        <v>145.62350000000001</v>
      </c>
    </row>
    <row r="38" spans="1:18" x14ac:dyDescent="0.25">
      <c r="A38" s="5">
        <f>Procurement_Raw!A38</f>
        <v>45864</v>
      </c>
      <c r="B38" t="str">
        <f>Procurement_Raw!B38</f>
        <v>S013</v>
      </c>
      <c r="C38" t="str">
        <f>Procurement_Raw!C38</f>
        <v>Reading Care &amp; Education Centre</v>
      </c>
      <c r="D38" t="str">
        <f>Procurement_Raw!D38</f>
        <v>South</v>
      </c>
      <c r="E38" t="str">
        <f>Procurement_Raw!E38</f>
        <v>FreshServe</v>
      </c>
      <c r="F38" t="str">
        <f>Procurement_Raw!F38</f>
        <v>Food &amp; Catering</v>
      </c>
      <c r="G38" t="str">
        <f>Procurement_Raw!G38</f>
        <v>INV-2025-00037</v>
      </c>
      <c r="H38" s="6">
        <f>Procurement_Raw!H38</f>
        <v>44</v>
      </c>
      <c r="I38" s="7">
        <f>Procurement_Raw!I38</f>
        <v>72.91</v>
      </c>
      <c r="J38" s="7">
        <f>Procurement_Raw!J38</f>
        <v>3208.16</v>
      </c>
      <c r="K38" s="6">
        <f>Procurement_Raw!K38</f>
        <v>30</v>
      </c>
      <c r="L38" t="str">
        <f>Procurement_Raw!L38</f>
        <v>ERP</v>
      </c>
      <c r="M38" s="8">
        <f>Procurement_Raw!M38</f>
        <v>641.63199999999995</v>
      </c>
      <c r="N38" s="7">
        <f>Procurement_Raw!N38</f>
        <v>3208.16</v>
      </c>
      <c r="O38" s="7">
        <f t="shared" si="0"/>
        <v>3208.16</v>
      </c>
      <c r="P38" t="str">
        <f>IFERROR(INDEX(Supplier_Lookup!$B$2:$B$200,MATCH(E38,Supplier_Lookup!$A$2:$A$200,0)),"Unmapped")</f>
        <v>Food &amp; Catering</v>
      </c>
      <c r="Q38" s="10">
        <f>IFERROR(INDEX(Category_Targets!$B$2:$B$9,MATCH(F38,Category_Targets!$A$2:$A$9,0)),0)</f>
        <v>0.04</v>
      </c>
      <c r="R38" s="7">
        <f t="shared" si="1"/>
        <v>128.32640000000001</v>
      </c>
    </row>
    <row r="39" spans="1:18" x14ac:dyDescent="0.25">
      <c r="A39" s="5">
        <f>Procurement_Raw!A39</f>
        <v>45887</v>
      </c>
      <c r="B39" t="str">
        <f>Procurement_Raw!B39</f>
        <v>S003</v>
      </c>
      <c r="C39" t="str">
        <f>Procurement_Raw!C39</f>
        <v>Leeds Care &amp; Education Centre</v>
      </c>
      <c r="D39" t="str">
        <f>Procurement_Raw!D39</f>
        <v>North</v>
      </c>
      <c r="E39" t="str">
        <f>Procurement_Raw!E39</f>
        <v>PowerDirect</v>
      </c>
      <c r="F39" t="str">
        <f>Procurement_Raw!F39</f>
        <v>Utilities</v>
      </c>
      <c r="G39" t="str">
        <f>Procurement_Raw!G39</f>
        <v>INV-2025-00038</v>
      </c>
      <c r="H39" s="6">
        <f>Procurement_Raw!H39</f>
        <v>18</v>
      </c>
      <c r="I39" s="7">
        <f>Procurement_Raw!I39</f>
        <v>85.08</v>
      </c>
      <c r="J39" s="7">
        <f>Procurement_Raw!J39</f>
        <v>1531.52</v>
      </c>
      <c r="K39" s="6">
        <f>Procurement_Raw!K39</f>
        <v>45</v>
      </c>
      <c r="L39" t="str">
        <f>Procurement_Raw!L39</f>
        <v>ERP</v>
      </c>
      <c r="M39" s="8">
        <f>Procurement_Raw!M39</f>
        <v>306.30399999999997</v>
      </c>
      <c r="N39" s="7">
        <f>Procurement_Raw!N39</f>
        <v>1531.52</v>
      </c>
      <c r="O39" s="7">
        <f t="shared" si="0"/>
        <v>1531.52</v>
      </c>
      <c r="P39" t="str">
        <f>IFERROR(INDEX(Supplier_Lookup!$B$2:$B$200,MATCH(E39,Supplier_Lookup!$A$2:$A$200,0)),"Unmapped")</f>
        <v>Utilities</v>
      </c>
      <c r="Q39" s="10">
        <f>IFERROR(INDEX(Category_Targets!$B$2:$B$9,MATCH(F39,Category_Targets!$A$2:$A$9,0)),0)</f>
        <v>0.03</v>
      </c>
      <c r="R39" s="7">
        <f t="shared" si="1"/>
        <v>45.945599999999999</v>
      </c>
    </row>
    <row r="40" spans="1:18" x14ac:dyDescent="0.25">
      <c r="A40" s="5">
        <f>Procurement_Raw!A40</f>
        <v>45696</v>
      </c>
      <c r="B40" t="str">
        <f>Procurement_Raw!B40</f>
        <v>S009</v>
      </c>
      <c r="C40" t="str">
        <f>Procurement_Raw!C40</f>
        <v>Derby Care &amp; Education Centre</v>
      </c>
      <c r="D40" t="str">
        <f>Procurement_Raw!D40</f>
        <v>Midlands</v>
      </c>
      <c r="E40" t="str">
        <f>Procurement_Raw!E40</f>
        <v>OfficePlus</v>
      </c>
      <c r="F40" t="str">
        <f>Procurement_Raw!F40</f>
        <v>Office &amp; Training</v>
      </c>
      <c r="G40" t="str">
        <f>Procurement_Raw!G40</f>
        <v>INV-2025-00039</v>
      </c>
      <c r="H40" s="6">
        <f>Procurement_Raw!H40</f>
        <v>57</v>
      </c>
      <c r="I40" s="7">
        <f>Procurement_Raw!I40</f>
        <v>36.130000000000003</v>
      </c>
      <c r="J40" s="7">
        <f>Procurement_Raw!J40</f>
        <v>2059.13</v>
      </c>
      <c r="K40" s="6">
        <f>Procurement_Raw!K40</f>
        <v>60</v>
      </c>
      <c r="L40" t="str">
        <f>Procurement_Raw!L40</f>
        <v>ERP</v>
      </c>
      <c r="M40" s="8">
        <f>Procurement_Raw!M40</f>
        <v>411.82600000000002</v>
      </c>
      <c r="N40" s="7">
        <f>Procurement_Raw!N40</f>
        <v>2059.13</v>
      </c>
      <c r="O40" s="7">
        <f t="shared" si="0"/>
        <v>2059.13</v>
      </c>
      <c r="P40" t="str">
        <f>IFERROR(INDEX(Supplier_Lookup!$B$2:$B$200,MATCH(E40,Supplier_Lookup!$A$2:$A$200,0)),"Unmapped")</f>
        <v>Office &amp; Training</v>
      </c>
      <c r="Q40" s="10">
        <f>IFERROR(INDEX(Category_Targets!$B$2:$B$9,MATCH(F40,Category_Targets!$A$2:$A$9,0)),0)</f>
        <v>0.04</v>
      </c>
      <c r="R40" s="7">
        <f t="shared" si="1"/>
        <v>82.365200000000002</v>
      </c>
    </row>
    <row r="41" spans="1:18" x14ac:dyDescent="0.25">
      <c r="A41" s="5">
        <f>Procurement_Raw!A41</f>
        <v>45779</v>
      </c>
      <c r="B41" t="str">
        <f>Procurement_Raw!B41</f>
        <v>S012</v>
      </c>
      <c r="C41" t="str">
        <f>Procurement_Raw!C41</f>
        <v>Bristol Care &amp; Education Centre</v>
      </c>
      <c r="D41" t="str">
        <f>Procurement_Raw!D41</f>
        <v>South</v>
      </c>
      <c r="E41" t="str">
        <f>Procurement_Raw!E41</f>
        <v>MediSure</v>
      </c>
      <c r="F41" t="str">
        <f>Procurement_Raw!F41</f>
        <v>Medical Supplies</v>
      </c>
      <c r="G41" t="str">
        <f>Procurement_Raw!G41</f>
        <v>INV-2025-00040</v>
      </c>
      <c r="H41" s="6">
        <f>Procurement_Raw!H41</f>
        <v>22</v>
      </c>
      <c r="I41" s="7">
        <f>Procurement_Raw!I41</f>
        <v>133.72</v>
      </c>
      <c r="J41" s="7">
        <f>Procurement_Raw!J41</f>
        <v>2941.89</v>
      </c>
      <c r="K41" s="6">
        <f>Procurement_Raw!K41</f>
        <v>45</v>
      </c>
      <c r="L41" t="str">
        <f>Procurement_Raw!L41</f>
        <v>Procurement Portal</v>
      </c>
      <c r="M41" s="8">
        <f>Procurement_Raw!M41</f>
        <v>588.37800000000004</v>
      </c>
      <c r="N41" s="7">
        <f>Procurement_Raw!N41</f>
        <v>2941.89</v>
      </c>
      <c r="O41" s="7">
        <f t="shared" si="0"/>
        <v>2941.89</v>
      </c>
      <c r="P41" t="str">
        <f>IFERROR(INDEX(Supplier_Lookup!$B$2:$B$200,MATCH(E41,Supplier_Lookup!$A$2:$A$200,0)),"Unmapped")</f>
        <v>Medical Supplies</v>
      </c>
      <c r="Q41" s="10">
        <f>IFERROR(INDEX(Category_Targets!$B$2:$B$9,MATCH(F41,Category_Targets!$A$2:$A$9,0)),0)</f>
        <v>0.06</v>
      </c>
      <c r="R41" s="7">
        <f t="shared" si="1"/>
        <v>176.51339999999999</v>
      </c>
    </row>
    <row r="42" spans="1:18" x14ac:dyDescent="0.25">
      <c r="A42" s="5">
        <f>Procurement_Raw!A42</f>
        <v>45688</v>
      </c>
      <c r="B42" t="str">
        <f>Procurement_Raw!B42</f>
        <v>S019</v>
      </c>
      <c r="C42" t="str">
        <f>Procurement_Raw!C42</f>
        <v>Wrexham Care &amp; Education Centre</v>
      </c>
      <c r="D42" t="str">
        <f>Procurement_Raw!D42</f>
        <v>Wales</v>
      </c>
      <c r="E42" t="str">
        <f>Procurement_Raw!E42</f>
        <v>WaterGrid</v>
      </c>
      <c r="F42" t="str">
        <f>Procurement_Raw!F42</f>
        <v>Utilities</v>
      </c>
      <c r="G42" t="str">
        <f>Procurement_Raw!G42</f>
        <v>INV-2025-00041</v>
      </c>
      <c r="H42" s="6">
        <f>Procurement_Raw!H42</f>
        <v>22</v>
      </c>
      <c r="I42" s="7">
        <f>Procurement_Raw!I42</f>
        <v>375.26</v>
      </c>
      <c r="J42" s="7">
        <f>Procurement_Raw!J42</f>
        <v>8255.7099999999991</v>
      </c>
      <c r="K42" s="6">
        <f>Procurement_Raw!K42</f>
        <v>45</v>
      </c>
      <c r="L42" t="str">
        <f>Procurement_Raw!L42</f>
        <v>ERP</v>
      </c>
      <c r="M42" s="8">
        <f>Procurement_Raw!M42</f>
        <v>1651.1420000000001</v>
      </c>
      <c r="N42" s="7">
        <f>Procurement_Raw!N42</f>
        <v>8255.7099999999991</v>
      </c>
      <c r="O42" s="7">
        <f t="shared" si="0"/>
        <v>8255.7099999999991</v>
      </c>
      <c r="P42" t="str">
        <f>IFERROR(INDEX(Supplier_Lookup!$B$2:$B$200,MATCH(E42,Supplier_Lookup!$A$2:$A$200,0)),"Unmapped")</f>
        <v>Utilities</v>
      </c>
      <c r="Q42" s="10">
        <f>IFERROR(INDEX(Category_Targets!$B$2:$B$9,MATCH(F42,Category_Targets!$A$2:$A$9,0)),0)</f>
        <v>0.03</v>
      </c>
      <c r="R42" s="7">
        <f t="shared" si="1"/>
        <v>247.67129999999997</v>
      </c>
    </row>
    <row r="43" spans="1:18" x14ac:dyDescent="0.25">
      <c r="A43" s="5">
        <f>Procurement_Raw!A43</f>
        <v>45804</v>
      </c>
      <c r="B43" t="str">
        <f>Procurement_Raw!B43</f>
        <v>S002</v>
      </c>
      <c r="C43" t="str">
        <f>Procurement_Raw!C43</f>
        <v>Manchester Care &amp; Education Centre</v>
      </c>
      <c r="D43" t="str">
        <f>Procurement_Raw!D43</f>
        <v>North</v>
      </c>
      <c r="E43" t="str">
        <f>Procurement_Raw!E43</f>
        <v>TeleCare IT</v>
      </c>
      <c r="F43" t="str">
        <f>Procurement_Raw!F43</f>
        <v>IT &amp; Telecoms</v>
      </c>
      <c r="G43" t="str">
        <f>Procurement_Raw!G43</f>
        <v>INV-2025-00042</v>
      </c>
      <c r="H43" s="6">
        <f>Procurement_Raw!H43</f>
        <v>55</v>
      </c>
      <c r="I43" s="7">
        <f>Procurement_Raw!I43</f>
        <v>241.74</v>
      </c>
      <c r="J43" s="7">
        <f>Procurement_Raw!J43</f>
        <v>13295.93</v>
      </c>
      <c r="K43" s="6">
        <f>Procurement_Raw!K43</f>
        <v>60</v>
      </c>
      <c r="L43" t="str">
        <f>Procurement_Raw!L43</f>
        <v>Legacy Spend File</v>
      </c>
      <c r="M43" s="8">
        <f>Procurement_Raw!M43</f>
        <v>2659.1860000000001</v>
      </c>
      <c r="N43" s="7">
        <f>Procurement_Raw!N43</f>
        <v>13295.93</v>
      </c>
      <c r="O43" s="7">
        <f t="shared" si="0"/>
        <v>13295.93</v>
      </c>
      <c r="P43" t="str">
        <f>IFERROR(INDEX(Supplier_Lookup!$B$2:$B$200,MATCH(E43,Supplier_Lookup!$A$2:$A$200,0)),"Unmapped")</f>
        <v>IT &amp; Telecoms</v>
      </c>
      <c r="Q43" s="10">
        <f>IFERROR(INDEX(Category_Targets!$B$2:$B$9,MATCH(F43,Category_Targets!$A$2:$A$9,0)),0)</f>
        <v>0.08</v>
      </c>
      <c r="R43" s="7">
        <f t="shared" si="1"/>
        <v>1063.6744000000001</v>
      </c>
    </row>
    <row r="44" spans="1:18" x14ac:dyDescent="0.25">
      <c r="A44" s="5">
        <f>Procurement_Raw!A44</f>
        <v>45755</v>
      </c>
      <c r="B44" t="str">
        <f>Procurement_Raw!B44</f>
        <v>S006</v>
      </c>
      <c r="C44" t="str">
        <f>Procurement_Raw!C44</f>
        <v>Birmingham Care &amp; Education Centre</v>
      </c>
      <c r="D44" t="str">
        <f>Procurement_Raw!D44</f>
        <v>Midlands</v>
      </c>
      <c r="E44" t="str">
        <f>Procurement_Raw!E44</f>
        <v>OfficePlus</v>
      </c>
      <c r="F44" t="str">
        <f>Procurement_Raw!F44</f>
        <v>Office &amp; Training</v>
      </c>
      <c r="G44" t="str">
        <f>Procurement_Raw!G44</f>
        <v>INV-2025-00043</v>
      </c>
      <c r="H44" s="6">
        <f>Procurement_Raw!H44</f>
        <v>38</v>
      </c>
      <c r="I44" s="7">
        <f>Procurement_Raw!I44</f>
        <v>70.38</v>
      </c>
      <c r="J44" s="7">
        <f>Procurement_Raw!J44</f>
        <v>2674.37</v>
      </c>
      <c r="K44" s="6">
        <f>Procurement_Raw!K44</f>
        <v>30</v>
      </c>
      <c r="L44" t="str">
        <f>Procurement_Raw!L44</f>
        <v>ERP</v>
      </c>
      <c r="M44" s="8">
        <f>Procurement_Raw!M44</f>
        <v>534.87400000000002</v>
      </c>
      <c r="N44" s="7">
        <f>Procurement_Raw!N44</f>
        <v>2674.37</v>
      </c>
      <c r="O44" s="7">
        <f t="shared" si="0"/>
        <v>2674.37</v>
      </c>
      <c r="P44" t="str">
        <f>IFERROR(INDEX(Supplier_Lookup!$B$2:$B$200,MATCH(E44,Supplier_Lookup!$A$2:$A$200,0)),"Unmapped")</f>
        <v>Office &amp; Training</v>
      </c>
      <c r="Q44" s="10">
        <f>IFERROR(INDEX(Category_Targets!$B$2:$B$9,MATCH(F44,Category_Targets!$A$2:$A$9,0)),0)</f>
        <v>0.04</v>
      </c>
      <c r="R44" s="7">
        <f t="shared" si="1"/>
        <v>106.9748</v>
      </c>
    </row>
    <row r="45" spans="1:18" x14ac:dyDescent="0.25">
      <c r="A45" s="5">
        <f>Procurement_Raw!A45</f>
        <v>45818</v>
      </c>
      <c r="B45" t="str">
        <f>Procurement_Raw!B45</f>
        <v>S002</v>
      </c>
      <c r="C45" t="str">
        <f>Procurement_Raw!C45</f>
        <v>Manchester Care &amp; Education Centre</v>
      </c>
      <c r="D45" t="str">
        <f>Procurement_Raw!D45</f>
        <v>North</v>
      </c>
      <c r="E45" t="str">
        <f>Procurement_Raw!E45</f>
        <v>ClinEquip</v>
      </c>
      <c r="F45" t="str">
        <f>Procurement_Raw!F45</f>
        <v>Medical Supplies</v>
      </c>
      <c r="G45" t="str">
        <f>Procurement_Raw!G45</f>
        <v>INV-2025-00044</v>
      </c>
      <c r="H45" s="6">
        <f>Procurement_Raw!H45</f>
        <v>8</v>
      </c>
      <c r="I45" s="7">
        <f>Procurement_Raw!I45</f>
        <v>101.69</v>
      </c>
      <c r="J45" s="7">
        <f>Procurement_Raw!J45</f>
        <v>813.48</v>
      </c>
      <c r="K45" s="6">
        <f>Procurement_Raw!K45</f>
        <v>30</v>
      </c>
      <c r="L45" t="str">
        <f>Procurement_Raw!L45</f>
        <v>Legacy Spend File</v>
      </c>
      <c r="M45" s="8">
        <f>Procurement_Raw!M45</f>
        <v>162.696</v>
      </c>
      <c r="N45" s="7">
        <f>Procurement_Raw!N45</f>
        <v>813.48</v>
      </c>
      <c r="O45" s="7">
        <f t="shared" si="0"/>
        <v>813.48</v>
      </c>
      <c r="P45" t="str">
        <f>IFERROR(INDEX(Supplier_Lookup!$B$2:$B$200,MATCH(E45,Supplier_Lookup!$A$2:$A$200,0)),"Unmapped")</f>
        <v>Medical Supplies</v>
      </c>
      <c r="Q45" s="10">
        <f>IFERROR(INDEX(Category_Targets!$B$2:$B$9,MATCH(F45,Category_Targets!$A$2:$A$9,0)),0)</f>
        <v>0.06</v>
      </c>
      <c r="R45" s="7">
        <f t="shared" si="1"/>
        <v>48.808799999999998</v>
      </c>
    </row>
    <row r="46" spans="1:18" x14ac:dyDescent="0.25">
      <c r="A46" s="5">
        <f>Procurement_Raw!A46</f>
        <v>45918</v>
      </c>
      <c r="B46" t="str">
        <f>Procurement_Raw!B46</f>
        <v>S001</v>
      </c>
      <c r="C46" t="str">
        <f>Procurement_Raw!C46</f>
        <v>Preston Care &amp; Education Centre</v>
      </c>
      <c r="D46" t="str">
        <f>Procurement_Raw!D46</f>
        <v>North</v>
      </c>
      <c r="E46" t="str">
        <f>Procurement_Raw!E46</f>
        <v>CleanWorks</v>
      </c>
      <c r="F46" t="str">
        <f>Procurement_Raw!F46</f>
        <v>Facilities</v>
      </c>
      <c r="G46" t="str">
        <f>Procurement_Raw!G46</f>
        <v>INV-2025-00045</v>
      </c>
      <c r="H46" s="6">
        <f>Procurement_Raw!H46</f>
        <v>11</v>
      </c>
      <c r="I46" s="7">
        <f>Procurement_Raw!I46</f>
        <v>79.819999999999993</v>
      </c>
      <c r="J46" s="7">
        <f>Procurement_Raw!J46</f>
        <v>878.02</v>
      </c>
      <c r="K46" s="6">
        <f>Procurement_Raw!K46</f>
        <v>30</v>
      </c>
      <c r="L46" t="str">
        <f>Procurement_Raw!L46</f>
        <v>ERP</v>
      </c>
      <c r="M46" s="8">
        <f>Procurement_Raw!M46</f>
        <v>175.60400000000001</v>
      </c>
      <c r="N46" s="7">
        <f>Procurement_Raw!N46</f>
        <v>878.02</v>
      </c>
      <c r="O46" s="7">
        <f t="shared" si="0"/>
        <v>878.02</v>
      </c>
      <c r="P46" t="str">
        <f>IFERROR(INDEX(Supplier_Lookup!$B$2:$B$200,MATCH(E46,Supplier_Lookup!$A$2:$A$200,0)),"Unmapped")</f>
        <v>Facilities</v>
      </c>
      <c r="Q46" s="10">
        <f>IFERROR(INDEX(Category_Targets!$B$2:$B$9,MATCH(F46,Category_Targets!$A$2:$A$9,0)),0)</f>
        <v>0.05</v>
      </c>
      <c r="R46" s="7">
        <f t="shared" si="1"/>
        <v>43.901000000000003</v>
      </c>
    </row>
    <row r="47" spans="1:18" x14ac:dyDescent="0.25">
      <c r="A47" s="5">
        <f>Procurement_Raw!A47</f>
        <v>45778</v>
      </c>
      <c r="B47" t="str">
        <f>Procurement_Raw!B47</f>
        <v>S018</v>
      </c>
      <c r="C47" t="str">
        <f>Procurement_Raw!C47</f>
        <v>Newport Care &amp; Education Centre</v>
      </c>
      <c r="D47" t="str">
        <f>Procurement_Raw!D47</f>
        <v>Wales</v>
      </c>
      <c r="E47" t="str">
        <f>Procurement_Raw!E47</f>
        <v>KitchenPro</v>
      </c>
      <c r="F47" t="str">
        <f>Procurement_Raw!F47</f>
        <v>Food &amp; Catering</v>
      </c>
      <c r="G47" t="str">
        <f>Procurement_Raw!G47</f>
        <v>INV-2025-00046</v>
      </c>
      <c r="H47" s="6">
        <f>Procurement_Raw!H47</f>
        <v>52</v>
      </c>
      <c r="I47" s="7">
        <f>Procurement_Raw!I47</f>
        <v>43.75</v>
      </c>
      <c r="J47" s="7">
        <f>Procurement_Raw!J47</f>
        <v>2274.96</v>
      </c>
      <c r="K47" s="6">
        <f>Procurement_Raw!K47</f>
        <v>30</v>
      </c>
      <c r="L47" t="str">
        <f>Procurement_Raw!L47</f>
        <v>Legacy Spend File</v>
      </c>
      <c r="M47" s="8">
        <f>Procurement_Raw!M47</f>
        <v>454.99200000000002</v>
      </c>
      <c r="N47" s="7">
        <f>Procurement_Raw!N47</f>
        <v>2274.96</v>
      </c>
      <c r="O47" s="7">
        <f t="shared" si="0"/>
        <v>2274.96</v>
      </c>
      <c r="P47" t="str">
        <f>IFERROR(INDEX(Supplier_Lookup!$B$2:$B$200,MATCH(E47,Supplier_Lookup!$A$2:$A$200,0)),"Unmapped")</f>
        <v>Food &amp; Catering</v>
      </c>
      <c r="Q47" s="10">
        <f>IFERROR(INDEX(Category_Targets!$B$2:$B$9,MATCH(F47,Category_Targets!$A$2:$A$9,0)),0)</f>
        <v>0.04</v>
      </c>
      <c r="R47" s="7">
        <f t="shared" si="1"/>
        <v>90.998400000000004</v>
      </c>
    </row>
    <row r="48" spans="1:18" x14ac:dyDescent="0.25">
      <c r="A48" s="5">
        <f>Procurement_Raw!A48</f>
        <v>45699</v>
      </c>
      <c r="B48" t="str">
        <f>Procurement_Raw!B48</f>
        <v>S005</v>
      </c>
      <c r="C48" t="str">
        <f>Procurement_Raw!C48</f>
        <v>Sheffield Care &amp; Education Centre</v>
      </c>
      <c r="D48" t="str">
        <f>Procurement_Raw!D48</f>
        <v>North</v>
      </c>
      <c r="E48" t="str">
        <f>Procurement_Raw!E48</f>
        <v>ClinEquip</v>
      </c>
      <c r="F48" t="str">
        <f>Procurement_Raw!F48</f>
        <v>Medical Supplies</v>
      </c>
      <c r="G48" t="str">
        <f>Procurement_Raw!G48</f>
        <v>INV-2025-00047</v>
      </c>
      <c r="H48" s="6">
        <f>Procurement_Raw!H48</f>
        <v>54</v>
      </c>
      <c r="I48" s="7">
        <f>Procurement_Raw!I48</f>
        <v>93.14</v>
      </c>
      <c r="J48" s="7">
        <f>Procurement_Raw!J48</f>
        <v>5029.74</v>
      </c>
      <c r="K48" s="6">
        <f>Procurement_Raw!K48</f>
        <v>60</v>
      </c>
      <c r="L48" t="str">
        <f>Procurement_Raw!L48</f>
        <v>Legacy Spend File</v>
      </c>
      <c r="M48" s="8">
        <f>Procurement_Raw!M48</f>
        <v>1005.948</v>
      </c>
      <c r="N48" s="7">
        <f>Procurement_Raw!N48</f>
        <v>5029.74</v>
      </c>
      <c r="O48" s="7">
        <f t="shared" si="0"/>
        <v>5029.74</v>
      </c>
      <c r="P48" t="str">
        <f>IFERROR(INDEX(Supplier_Lookup!$B$2:$B$200,MATCH(E48,Supplier_Lookup!$A$2:$A$200,0)),"Unmapped")</f>
        <v>Medical Supplies</v>
      </c>
      <c r="Q48" s="10">
        <f>IFERROR(INDEX(Category_Targets!$B$2:$B$9,MATCH(F48,Category_Targets!$A$2:$A$9,0)),0)</f>
        <v>0.06</v>
      </c>
      <c r="R48" s="7">
        <f t="shared" si="1"/>
        <v>301.78439999999995</v>
      </c>
    </row>
    <row r="49" spans="1:18" x14ac:dyDescent="0.25">
      <c r="A49" s="5">
        <f>Procurement_Raw!A49</f>
        <v>45762</v>
      </c>
      <c r="B49" t="str">
        <f>Procurement_Raw!B49</f>
        <v>S010</v>
      </c>
      <c r="C49" t="str">
        <f>Procurement_Raw!C49</f>
        <v>Coventry Care &amp; Education Centre</v>
      </c>
      <c r="D49" t="str">
        <f>Procurement_Raw!D49</f>
        <v>Midlands</v>
      </c>
      <c r="E49" t="str">
        <f>Procurement_Raw!E49</f>
        <v>RoadReady</v>
      </c>
      <c r="F49" t="str">
        <f>Procurement_Raw!F49</f>
        <v>Vehicle &amp; Fuel</v>
      </c>
      <c r="G49" t="str">
        <f>Procurement_Raw!G49</f>
        <v>INV-2025-00048</v>
      </c>
      <c r="H49" s="6">
        <f>Procurement_Raw!H49</f>
        <v>41</v>
      </c>
      <c r="I49" s="7">
        <f>Procurement_Raw!I49</f>
        <v>169.91</v>
      </c>
      <c r="J49" s="7">
        <f>Procurement_Raw!J49</f>
        <v>6966.49</v>
      </c>
      <c r="K49" s="6">
        <f>Procurement_Raw!K49</f>
        <v>30</v>
      </c>
      <c r="L49" t="str">
        <f>Procurement_Raw!L49</f>
        <v>Procurement Portal</v>
      </c>
      <c r="M49" s="8">
        <f>Procurement_Raw!M49</f>
        <v>1393.298</v>
      </c>
      <c r="N49" s="7">
        <f>Procurement_Raw!N49</f>
        <v>6966.49</v>
      </c>
      <c r="O49" s="7">
        <f t="shared" si="0"/>
        <v>6966.49</v>
      </c>
      <c r="P49" t="str">
        <f>IFERROR(INDEX(Supplier_Lookup!$B$2:$B$200,MATCH(E49,Supplier_Lookup!$A$2:$A$200,0)),"Unmapped")</f>
        <v>Vehicle &amp; Fuel</v>
      </c>
      <c r="Q49" s="10">
        <f>IFERROR(INDEX(Category_Targets!$B$2:$B$9,MATCH(F49,Category_Targets!$A$2:$A$9,0)),0)</f>
        <v>0.05</v>
      </c>
      <c r="R49" s="7">
        <f t="shared" si="1"/>
        <v>348.3245</v>
      </c>
    </row>
    <row r="50" spans="1:18" x14ac:dyDescent="0.25">
      <c r="A50" s="5">
        <f>Procurement_Raw!A50</f>
        <v>45988</v>
      </c>
      <c r="B50" t="str">
        <f>Procurement_Raw!B50</f>
        <v>S005</v>
      </c>
      <c r="C50" t="str">
        <f>Procurement_Raw!C50</f>
        <v>Sheffield Care &amp; Education Centre</v>
      </c>
      <c r="D50" t="str">
        <f>Procurement_Raw!D50</f>
        <v>North</v>
      </c>
      <c r="E50" t="str">
        <f>Procurement_Raw!E50</f>
        <v>BuildCare</v>
      </c>
      <c r="F50" t="str">
        <f>Procurement_Raw!F50</f>
        <v>Facilities</v>
      </c>
      <c r="G50" t="str">
        <f>Procurement_Raw!G50</f>
        <v>INV-2025-00049</v>
      </c>
      <c r="H50" s="6">
        <f>Procurement_Raw!H50</f>
        <v>39</v>
      </c>
      <c r="I50" s="7">
        <f>Procurement_Raw!I50</f>
        <v>217.45</v>
      </c>
      <c r="J50" s="7">
        <f>Procurement_Raw!J50</f>
        <v>8480.36</v>
      </c>
      <c r="K50" s="6">
        <f>Procurement_Raw!K50</f>
        <v>45</v>
      </c>
      <c r="L50" t="str">
        <f>Procurement_Raw!L50</f>
        <v>Procurement Portal</v>
      </c>
      <c r="M50" s="8">
        <f>Procurement_Raw!M50</f>
        <v>1696.0719999999999</v>
      </c>
      <c r="N50" s="7">
        <f>Procurement_Raw!N50</f>
        <v>8480.36</v>
      </c>
      <c r="O50" s="7">
        <f t="shared" si="0"/>
        <v>8480.36</v>
      </c>
      <c r="P50" t="str">
        <f>IFERROR(INDEX(Supplier_Lookup!$B$2:$B$200,MATCH(E50,Supplier_Lookup!$A$2:$A$200,0)),"Unmapped")</f>
        <v>Facilities</v>
      </c>
      <c r="Q50" s="10">
        <f>IFERROR(INDEX(Category_Targets!$B$2:$B$9,MATCH(F50,Category_Targets!$A$2:$A$9,0)),0)</f>
        <v>0.05</v>
      </c>
      <c r="R50" s="7">
        <f t="shared" si="1"/>
        <v>424.01800000000003</v>
      </c>
    </row>
    <row r="51" spans="1:18" x14ac:dyDescent="0.25">
      <c r="A51" s="5">
        <f>Procurement_Raw!A51</f>
        <v>45892</v>
      </c>
      <c r="B51" t="str">
        <f>Procurement_Raw!B51</f>
        <v>S009</v>
      </c>
      <c r="C51" t="str">
        <f>Procurement_Raw!C51</f>
        <v>Derby Care &amp; Education Centre</v>
      </c>
      <c r="D51" t="str">
        <f>Procurement_Raw!D51</f>
        <v>Midlands</v>
      </c>
      <c r="E51" t="str">
        <f>Procurement_Raw!E51</f>
        <v>FreshServe</v>
      </c>
      <c r="F51" t="str">
        <f>Procurement_Raw!F51</f>
        <v>Food &amp; Catering</v>
      </c>
      <c r="G51" t="str">
        <f>Procurement_Raw!G51</f>
        <v>INV-2025-00050</v>
      </c>
      <c r="H51" s="6">
        <f>Procurement_Raw!H51</f>
        <v>80</v>
      </c>
      <c r="I51" s="7">
        <f>Procurement_Raw!I51</f>
        <v>24.65</v>
      </c>
      <c r="J51" s="7">
        <f>Procurement_Raw!J51</f>
        <v>1971.88</v>
      </c>
      <c r="K51" s="6">
        <f>Procurement_Raw!K51</f>
        <v>60</v>
      </c>
      <c r="L51" t="str">
        <f>Procurement_Raw!L51</f>
        <v>ERP</v>
      </c>
      <c r="M51" s="8">
        <f>Procurement_Raw!M51</f>
        <v>394.37599999999998</v>
      </c>
      <c r="N51" s="7">
        <f>Procurement_Raw!N51</f>
        <v>1971.88</v>
      </c>
      <c r="O51" s="7">
        <f t="shared" si="0"/>
        <v>1971.88</v>
      </c>
      <c r="P51" t="str">
        <f>IFERROR(INDEX(Supplier_Lookup!$B$2:$B$200,MATCH(E51,Supplier_Lookup!$A$2:$A$200,0)),"Unmapped")</f>
        <v>Food &amp; Catering</v>
      </c>
      <c r="Q51" s="10">
        <f>IFERROR(INDEX(Category_Targets!$B$2:$B$9,MATCH(F51,Category_Targets!$A$2:$A$9,0)),0)</f>
        <v>0.04</v>
      </c>
      <c r="R51" s="7">
        <f t="shared" si="1"/>
        <v>78.875200000000007</v>
      </c>
    </row>
    <row r="52" spans="1:18" x14ac:dyDescent="0.25">
      <c r="A52" s="5">
        <f>Procurement_Raw!A52</f>
        <v>45793</v>
      </c>
      <c r="B52" t="str">
        <f>Procurement_Raw!B52</f>
        <v>S003</v>
      </c>
      <c r="C52" t="str">
        <f>Procurement_Raw!C52</f>
        <v>Leeds Care &amp; Education Centre</v>
      </c>
      <c r="D52" t="str">
        <f>Procurement_Raw!D52</f>
        <v>North</v>
      </c>
      <c r="E52" t="str">
        <f>Procurement_Raw!E52</f>
        <v>PowerDirect</v>
      </c>
      <c r="F52" t="str">
        <f>Procurement_Raw!F52</f>
        <v>Utilities</v>
      </c>
      <c r="G52" t="str">
        <f>Procurement_Raw!G52</f>
        <v>INV-2025-00051</v>
      </c>
      <c r="H52" s="6">
        <f>Procurement_Raw!H52</f>
        <v>17</v>
      </c>
      <c r="I52" s="7">
        <f>Procurement_Raw!I52</f>
        <v>298.77999999999997</v>
      </c>
      <c r="J52" s="7">
        <f>Procurement_Raw!J52</f>
        <v>5079.26</v>
      </c>
      <c r="K52" s="6">
        <f>Procurement_Raw!K52</f>
        <v>45</v>
      </c>
      <c r="L52" t="str">
        <f>Procurement_Raw!L52</f>
        <v>ERP</v>
      </c>
      <c r="M52" s="8">
        <f>Procurement_Raw!M52</f>
        <v>1015.852</v>
      </c>
      <c r="N52" s="7">
        <f>Procurement_Raw!N52</f>
        <v>5079.26</v>
      </c>
      <c r="O52" s="7">
        <f t="shared" si="0"/>
        <v>5079.26</v>
      </c>
      <c r="P52" t="str">
        <f>IFERROR(INDEX(Supplier_Lookup!$B$2:$B$200,MATCH(E52,Supplier_Lookup!$A$2:$A$200,0)),"Unmapped")</f>
        <v>Utilities</v>
      </c>
      <c r="Q52" s="10">
        <f>IFERROR(INDEX(Category_Targets!$B$2:$B$9,MATCH(F52,Category_Targets!$A$2:$A$9,0)),0)</f>
        <v>0.03</v>
      </c>
      <c r="R52" s="7">
        <f t="shared" si="1"/>
        <v>152.37780000000001</v>
      </c>
    </row>
    <row r="53" spans="1:18" x14ac:dyDescent="0.25">
      <c r="A53" s="5">
        <f>Procurement_Raw!A53</f>
        <v>45738</v>
      </c>
      <c r="B53" t="str">
        <f>Procurement_Raw!B53</f>
        <v>S006</v>
      </c>
      <c r="C53" t="str">
        <f>Procurement_Raw!C53</f>
        <v>Birmingham Care &amp; Education Centre</v>
      </c>
      <c r="D53" t="str">
        <f>Procurement_Raw!D53</f>
        <v>Midlands</v>
      </c>
      <c r="E53" t="str">
        <f>Procurement_Raw!E53</f>
        <v>RoadReady</v>
      </c>
      <c r="F53" t="str">
        <f>Procurement_Raw!F53</f>
        <v>Vehicle &amp; Fuel</v>
      </c>
      <c r="G53" t="str">
        <f>Procurement_Raw!G53</f>
        <v>INV-2025-00052</v>
      </c>
      <c r="H53" s="6">
        <f>Procurement_Raw!H53</f>
        <v>57</v>
      </c>
      <c r="I53" s="7">
        <f>Procurement_Raw!I53</f>
        <v>76.87</v>
      </c>
      <c r="J53" s="7">
        <f>Procurement_Raw!J53</f>
        <v>4381.4399999999996</v>
      </c>
      <c r="K53" s="6">
        <f>Procurement_Raw!K53</f>
        <v>60</v>
      </c>
      <c r="L53" t="str">
        <f>Procurement_Raw!L53</f>
        <v>Legacy Spend File</v>
      </c>
      <c r="M53" s="8">
        <f>Procurement_Raw!M53</f>
        <v>876.28800000000001</v>
      </c>
      <c r="N53" s="7">
        <f>Procurement_Raw!N53</f>
        <v>4381.4399999999996</v>
      </c>
      <c r="O53" s="7">
        <f t="shared" si="0"/>
        <v>4381.4399999999996</v>
      </c>
      <c r="P53" t="str">
        <f>IFERROR(INDEX(Supplier_Lookup!$B$2:$B$200,MATCH(E53,Supplier_Lookup!$A$2:$A$200,0)),"Unmapped")</f>
        <v>Vehicle &amp; Fuel</v>
      </c>
      <c r="Q53" s="10">
        <f>IFERROR(INDEX(Category_Targets!$B$2:$B$9,MATCH(F53,Category_Targets!$A$2:$A$9,0)),0)</f>
        <v>0.05</v>
      </c>
      <c r="R53" s="7">
        <f t="shared" si="1"/>
        <v>219.072</v>
      </c>
    </row>
    <row r="54" spans="1:18" x14ac:dyDescent="0.25">
      <c r="A54" s="5">
        <f>Procurement_Raw!A54</f>
        <v>45941</v>
      </c>
      <c r="B54" t="str">
        <f>Procurement_Raw!B54</f>
        <v>S004</v>
      </c>
      <c r="C54" t="str">
        <f>Procurement_Raw!C54</f>
        <v>Newcastle Care &amp; Education Centre</v>
      </c>
      <c r="D54" t="str">
        <f>Procurement_Raw!D54</f>
        <v>North</v>
      </c>
      <c r="E54" t="str">
        <f>Procurement_Raw!E54</f>
        <v>ClinEquip</v>
      </c>
      <c r="F54" t="str">
        <f>Procurement_Raw!F54</f>
        <v>Medical Supplies</v>
      </c>
      <c r="G54" t="str">
        <f>Procurement_Raw!G54</f>
        <v>INV-2025-00053</v>
      </c>
      <c r="H54" s="6">
        <f>Procurement_Raw!H54</f>
        <v>39</v>
      </c>
      <c r="I54" s="7">
        <f>Procurement_Raw!I54</f>
        <v>82.7</v>
      </c>
      <c r="J54" s="7">
        <f>Procurement_Raw!J54</f>
        <v>3225.19</v>
      </c>
      <c r="K54" s="6">
        <f>Procurement_Raw!K54</f>
        <v>60</v>
      </c>
      <c r="L54" t="str">
        <f>Procurement_Raw!L54</f>
        <v>ERP</v>
      </c>
      <c r="M54" s="8">
        <f>Procurement_Raw!M54</f>
        <v>645.03800000000001</v>
      </c>
      <c r="N54" s="7">
        <f>Procurement_Raw!N54</f>
        <v>3225.19</v>
      </c>
      <c r="O54" s="7">
        <f t="shared" si="0"/>
        <v>3225.19</v>
      </c>
      <c r="P54" t="str">
        <f>IFERROR(INDEX(Supplier_Lookup!$B$2:$B$200,MATCH(E54,Supplier_Lookup!$A$2:$A$200,0)),"Unmapped")</f>
        <v>Medical Supplies</v>
      </c>
      <c r="Q54" s="10">
        <f>IFERROR(INDEX(Category_Targets!$B$2:$B$9,MATCH(F54,Category_Targets!$A$2:$A$9,0)),0)</f>
        <v>0.06</v>
      </c>
      <c r="R54" s="7">
        <f t="shared" si="1"/>
        <v>193.51140000000001</v>
      </c>
    </row>
    <row r="55" spans="1:18" x14ac:dyDescent="0.25">
      <c r="A55" s="5">
        <f>Procurement_Raw!A55</f>
        <v>45712</v>
      </c>
      <c r="B55" t="str">
        <f>Procurement_Raw!B55</f>
        <v>S017</v>
      </c>
      <c r="C55" t="str">
        <f>Procurement_Raw!C55</f>
        <v>Swansea Care &amp; Education Centre</v>
      </c>
      <c r="D55" t="str">
        <f>Procurement_Raw!D55</f>
        <v>Wales</v>
      </c>
      <c r="E55" t="str">
        <f>Procurement_Raw!E55</f>
        <v>CloudLink</v>
      </c>
      <c r="F55" t="str">
        <f>Procurement_Raw!F55</f>
        <v>IT &amp; Telecoms</v>
      </c>
      <c r="G55" t="str">
        <f>Procurement_Raw!G55</f>
        <v>INV-2025-00054</v>
      </c>
      <c r="H55" s="6">
        <f>Procurement_Raw!H55</f>
        <v>71</v>
      </c>
      <c r="I55" s="7">
        <f>Procurement_Raw!I55</f>
        <v>307.98</v>
      </c>
      <c r="J55" s="7">
        <f>Procurement_Raw!J55</f>
        <v>21866.9</v>
      </c>
      <c r="K55" s="6">
        <f>Procurement_Raw!K55</f>
        <v>30</v>
      </c>
      <c r="L55" t="str">
        <f>Procurement_Raw!L55</f>
        <v>Procurement Portal</v>
      </c>
      <c r="M55" s="8">
        <f>Procurement_Raw!M55</f>
        <v>4373.38</v>
      </c>
      <c r="N55" s="7">
        <f>Procurement_Raw!N55</f>
        <v>21866.9</v>
      </c>
      <c r="O55" s="7">
        <f t="shared" si="0"/>
        <v>21866.9</v>
      </c>
      <c r="P55" t="str">
        <f>IFERROR(INDEX(Supplier_Lookup!$B$2:$B$200,MATCH(E55,Supplier_Lookup!$A$2:$A$200,0)),"Unmapped")</f>
        <v>medical supplies</v>
      </c>
      <c r="Q55" s="10">
        <f>IFERROR(INDEX(Category_Targets!$B$2:$B$9,MATCH(F55,Category_Targets!$A$2:$A$9,0)),0)</f>
        <v>0.08</v>
      </c>
      <c r="R55" s="7">
        <f t="shared" si="1"/>
        <v>1749.3520000000001</v>
      </c>
    </row>
    <row r="56" spans="1:18" x14ac:dyDescent="0.25">
      <c r="A56" s="5">
        <f>Procurement_Raw!A56</f>
        <v>45833</v>
      </c>
      <c r="B56" t="str">
        <f>Procurement_Raw!B56</f>
        <v>S013</v>
      </c>
      <c r="C56" t="str">
        <f>Procurement_Raw!C56</f>
        <v>Reading Care &amp; Education Centre</v>
      </c>
      <c r="D56" t="str">
        <f>Procurement_Raw!D56</f>
        <v>South</v>
      </c>
      <c r="E56" t="str">
        <f>Procurement_Raw!E56</f>
        <v>PowerDirect</v>
      </c>
      <c r="F56" t="str">
        <f>Procurement_Raw!F56</f>
        <v>Utilities</v>
      </c>
      <c r="G56" t="str">
        <f>Procurement_Raw!G56</f>
        <v>INV-2025-00055</v>
      </c>
      <c r="H56" s="6">
        <f>Procurement_Raw!H56</f>
        <v>27</v>
      </c>
      <c r="I56" s="7">
        <f>Procurement_Raw!I56</f>
        <v>440.76</v>
      </c>
      <c r="J56" s="7">
        <f>Procurement_Raw!J56</f>
        <v>11900.64</v>
      </c>
      <c r="K56" s="6">
        <f>Procurement_Raw!K56</f>
        <v>60</v>
      </c>
      <c r="L56" t="str">
        <f>Procurement_Raw!L56</f>
        <v>Legacy Spend File</v>
      </c>
      <c r="M56" s="8">
        <f>Procurement_Raw!M56</f>
        <v>2380.1280000000002</v>
      </c>
      <c r="N56" s="7">
        <f>Procurement_Raw!N56</f>
        <v>11900.64</v>
      </c>
      <c r="O56" s="7">
        <f t="shared" si="0"/>
        <v>11900.64</v>
      </c>
      <c r="P56" t="str">
        <f>IFERROR(INDEX(Supplier_Lookup!$B$2:$B$200,MATCH(E56,Supplier_Lookup!$A$2:$A$200,0)),"Unmapped")</f>
        <v>Utilities</v>
      </c>
      <c r="Q56" s="10">
        <f>IFERROR(INDEX(Category_Targets!$B$2:$B$9,MATCH(F56,Category_Targets!$A$2:$A$9,0)),0)</f>
        <v>0.03</v>
      </c>
      <c r="R56" s="7">
        <f t="shared" si="1"/>
        <v>357.01919999999996</v>
      </c>
    </row>
    <row r="57" spans="1:18" x14ac:dyDescent="0.25">
      <c r="A57" s="5">
        <f>Procurement_Raw!A57</f>
        <v>45684</v>
      </c>
      <c r="B57" t="str">
        <f>Procurement_Raw!B57</f>
        <v>S013</v>
      </c>
      <c r="C57" t="str">
        <f>Procurement_Raw!C57</f>
        <v>Reading Care &amp; Education Centre</v>
      </c>
      <c r="D57" t="str">
        <f>Procurement_Raw!D57</f>
        <v>South</v>
      </c>
      <c r="E57" t="str">
        <f>Procurement_Raw!E57</f>
        <v>LearnWell</v>
      </c>
      <c r="F57" t="str">
        <f>Procurement_Raw!F57</f>
        <v>Office &amp; Training</v>
      </c>
      <c r="G57" t="str">
        <f>Procurement_Raw!G57</f>
        <v>INV-2025-00056</v>
      </c>
      <c r="H57" s="6">
        <f>Procurement_Raw!H57</f>
        <v>12</v>
      </c>
      <c r="I57" s="7">
        <f>Procurement_Raw!I57</f>
        <v>125.17</v>
      </c>
      <c r="J57" s="7">
        <f>Procurement_Raw!J57</f>
        <v>1502.07</v>
      </c>
      <c r="K57" s="6">
        <f>Procurement_Raw!K57</f>
        <v>60</v>
      </c>
      <c r="L57" t="str">
        <f>Procurement_Raw!L57</f>
        <v>Procurement Portal</v>
      </c>
      <c r="M57" s="8">
        <f>Procurement_Raw!M57</f>
        <v>300.41399999999999</v>
      </c>
      <c r="N57" s="7">
        <f>Procurement_Raw!N57</f>
        <v>1502.07</v>
      </c>
      <c r="O57" s="7">
        <f t="shared" si="0"/>
        <v>1502.07</v>
      </c>
      <c r="P57" t="str">
        <f>IFERROR(INDEX(Supplier_Lookup!$B$2:$B$200,MATCH(E57,Supplier_Lookup!$A$2:$A$200,0)),"Unmapped")</f>
        <v>Office &amp; Training</v>
      </c>
      <c r="Q57" s="10">
        <f>IFERROR(INDEX(Category_Targets!$B$2:$B$9,MATCH(F57,Category_Targets!$A$2:$A$9,0)),0)</f>
        <v>0.04</v>
      </c>
      <c r="R57" s="7">
        <f t="shared" si="1"/>
        <v>60.082799999999999</v>
      </c>
    </row>
    <row r="58" spans="1:18" x14ac:dyDescent="0.25">
      <c r="A58" s="5">
        <f>Procurement_Raw!A58</f>
        <v>45828</v>
      </c>
      <c r="B58" t="str">
        <f>Procurement_Raw!B58</f>
        <v>S020</v>
      </c>
      <c r="C58" t="str">
        <f>Procurement_Raw!C58</f>
        <v>Bangor Care &amp; Education Centre</v>
      </c>
      <c r="D58" t="str">
        <f>Procurement_Raw!D58</f>
        <v>Wales</v>
      </c>
      <c r="E58" t="str">
        <f>Procurement_Raw!E58</f>
        <v>MediSure</v>
      </c>
      <c r="F58" t="str">
        <f>Procurement_Raw!F58</f>
        <v>Medical Supplies</v>
      </c>
      <c r="G58" t="str">
        <f>Procurement_Raw!G58</f>
        <v>INV-2025-00057</v>
      </c>
      <c r="H58" s="6">
        <f>Procurement_Raw!H58</f>
        <v>17</v>
      </c>
      <c r="I58" s="7">
        <f>Procurement_Raw!I58</f>
        <v>75.64</v>
      </c>
      <c r="J58" s="7">
        <f>Procurement_Raw!J58</f>
        <v>1285.8</v>
      </c>
      <c r="K58" s="6">
        <f>Procurement_Raw!K58</f>
        <v>60</v>
      </c>
      <c r="L58" t="str">
        <f>Procurement_Raw!L58</f>
        <v>Procurement Portal</v>
      </c>
      <c r="M58" s="8">
        <f>Procurement_Raw!M58</f>
        <v>257.16000000000003</v>
      </c>
      <c r="N58" s="7">
        <f>Procurement_Raw!N58</f>
        <v>1285.8</v>
      </c>
      <c r="O58" s="7">
        <f t="shared" si="0"/>
        <v>1285.8</v>
      </c>
      <c r="P58" t="str">
        <f>IFERROR(INDEX(Supplier_Lookup!$B$2:$B$200,MATCH(E58,Supplier_Lookup!$A$2:$A$200,0)),"Unmapped")</f>
        <v>Medical Supplies</v>
      </c>
      <c r="Q58" s="10">
        <f>IFERROR(INDEX(Category_Targets!$B$2:$B$9,MATCH(F58,Category_Targets!$A$2:$A$9,0)),0)</f>
        <v>0.06</v>
      </c>
      <c r="R58" s="7">
        <f t="shared" si="1"/>
        <v>77.147999999999996</v>
      </c>
    </row>
    <row r="59" spans="1:18" x14ac:dyDescent="0.25">
      <c r="A59" s="5">
        <f>Procurement_Raw!A59</f>
        <v>46019</v>
      </c>
      <c r="B59" t="str">
        <f>Procurement_Raw!B59</f>
        <v>S006</v>
      </c>
      <c r="C59" t="str">
        <f>Procurement_Raw!C59</f>
        <v>Birmingham Care &amp; Education Centre</v>
      </c>
      <c r="D59" t="str">
        <f>Procurement_Raw!D59</f>
        <v>Midlands</v>
      </c>
      <c r="E59" t="str">
        <f>Procurement_Raw!E59</f>
        <v>PrintCo</v>
      </c>
      <c r="F59" t="str">
        <f>Procurement_Raw!F59</f>
        <v>Office &amp; Training</v>
      </c>
      <c r="G59" t="str">
        <f>Procurement_Raw!G59</f>
        <v>INV-2025-00058</v>
      </c>
      <c r="H59" s="6">
        <f>Procurement_Raw!H59</f>
        <v>55</v>
      </c>
      <c r="I59" s="7">
        <f>Procurement_Raw!I59</f>
        <v>63.27</v>
      </c>
      <c r="J59" s="7">
        <f>Procurement_Raw!J59</f>
        <v>3479.88</v>
      </c>
      <c r="K59" s="6">
        <f>Procurement_Raw!K59</f>
        <v>60</v>
      </c>
      <c r="L59" t="str">
        <f>Procurement_Raw!L59</f>
        <v>ERP</v>
      </c>
      <c r="M59" s="8">
        <f>Procurement_Raw!M59</f>
        <v>695.976</v>
      </c>
      <c r="N59" s="7">
        <f>Procurement_Raw!N59</f>
        <v>3479.88</v>
      </c>
      <c r="O59" s="7">
        <f t="shared" si="0"/>
        <v>3479.88</v>
      </c>
      <c r="P59" t="str">
        <f>IFERROR(INDEX(Supplier_Lookup!$B$2:$B$200,MATCH(E59,Supplier_Lookup!$A$2:$A$200,0)),"Unmapped")</f>
        <v>Office &amp; Training</v>
      </c>
      <c r="Q59" s="10">
        <f>IFERROR(INDEX(Category_Targets!$B$2:$B$9,MATCH(F59,Category_Targets!$A$2:$A$9,0)),0)</f>
        <v>0.04</v>
      </c>
      <c r="R59" s="7">
        <f t="shared" si="1"/>
        <v>139.1952</v>
      </c>
    </row>
    <row r="60" spans="1:18" x14ac:dyDescent="0.25">
      <c r="A60" s="5">
        <f>Procurement_Raw!A60</f>
        <v>45734</v>
      </c>
      <c r="B60" t="str">
        <f>Procurement_Raw!B60</f>
        <v>S005</v>
      </c>
      <c r="C60" t="str">
        <f>Procurement_Raw!C60</f>
        <v>Sheffield Care &amp; Education Centre</v>
      </c>
      <c r="D60" t="str">
        <f>Procurement_Raw!D60</f>
        <v>North</v>
      </c>
      <c r="E60" t="str">
        <f>Procurement_Raw!E60</f>
        <v>KitchenPro</v>
      </c>
      <c r="F60" t="str">
        <f>Procurement_Raw!F60</f>
        <v>Food &amp; Catering</v>
      </c>
      <c r="G60" t="str">
        <f>Procurement_Raw!G60</f>
        <v>INV-2025-00059</v>
      </c>
      <c r="H60" s="6">
        <f>Procurement_Raw!H60</f>
        <v>70</v>
      </c>
      <c r="I60" s="7">
        <f>Procurement_Raw!I60</f>
        <v>77.989999999999995</v>
      </c>
      <c r="J60" s="7">
        <f>Procurement_Raw!J60</f>
        <v>5459.31</v>
      </c>
      <c r="K60" s="6">
        <f>Procurement_Raw!K60</f>
        <v>30</v>
      </c>
      <c r="L60" t="str">
        <f>Procurement_Raw!L60</f>
        <v>Procurement Portal</v>
      </c>
      <c r="M60" s="8">
        <f>Procurement_Raw!M60</f>
        <v>1091.8620000000001</v>
      </c>
      <c r="N60" s="7">
        <f>Procurement_Raw!N60</f>
        <v>5459.31</v>
      </c>
      <c r="O60" s="7">
        <f t="shared" si="0"/>
        <v>5459.31</v>
      </c>
      <c r="P60" t="str">
        <f>IFERROR(INDEX(Supplier_Lookup!$B$2:$B$200,MATCH(E60,Supplier_Lookup!$A$2:$A$200,0)),"Unmapped")</f>
        <v>Food &amp; Catering</v>
      </c>
      <c r="Q60" s="10">
        <f>IFERROR(INDEX(Category_Targets!$B$2:$B$9,MATCH(F60,Category_Targets!$A$2:$A$9,0)),0)</f>
        <v>0.04</v>
      </c>
      <c r="R60" s="7">
        <f t="shared" si="1"/>
        <v>218.37240000000003</v>
      </c>
    </row>
    <row r="61" spans="1:18" x14ac:dyDescent="0.25">
      <c r="A61" s="5">
        <f>Procurement_Raw!A61</f>
        <v>45723</v>
      </c>
      <c r="B61" t="str">
        <f>Procurement_Raw!B61</f>
        <v>S004</v>
      </c>
      <c r="C61" t="str">
        <f>Procurement_Raw!C61</f>
        <v>Newcastle Care &amp; Education Centre</v>
      </c>
      <c r="D61" t="str">
        <f>Procurement_Raw!D61</f>
        <v>North</v>
      </c>
      <c r="E61" t="str">
        <f>Procurement_Raw!E61</f>
        <v>SafeGuard FM</v>
      </c>
      <c r="F61" t="str">
        <f>Procurement_Raw!F61</f>
        <v>Facilities</v>
      </c>
      <c r="G61" t="str">
        <f>Procurement_Raw!G61</f>
        <v>INV-2025-00060</v>
      </c>
      <c r="H61" s="6">
        <f>Procurement_Raw!H61</f>
        <v>6</v>
      </c>
      <c r="I61" s="7">
        <f>Procurement_Raw!I61</f>
        <v>307.82</v>
      </c>
      <c r="J61" s="7">
        <f>Procurement_Raw!J61</f>
        <v>1846.9</v>
      </c>
      <c r="K61" s="6">
        <f>Procurement_Raw!K61</f>
        <v>45</v>
      </c>
      <c r="L61" t="str">
        <f>Procurement_Raw!L61</f>
        <v>Procurement Portal</v>
      </c>
      <c r="M61" s="8">
        <f>Procurement_Raw!M61</f>
        <v>369.38</v>
      </c>
      <c r="N61" s="7">
        <f>Procurement_Raw!N61</f>
        <v>1846.9</v>
      </c>
      <c r="O61" s="7">
        <f t="shared" si="0"/>
        <v>1846.9</v>
      </c>
      <c r="P61" t="str">
        <f>IFERROR(INDEX(Supplier_Lookup!$B$2:$B$200,MATCH(E61,Supplier_Lookup!$A$2:$A$200,0)),"Unmapped")</f>
        <v>Facilities</v>
      </c>
      <c r="Q61" s="10">
        <f>IFERROR(INDEX(Category_Targets!$B$2:$B$9,MATCH(F61,Category_Targets!$A$2:$A$9,0)),0)</f>
        <v>0.05</v>
      </c>
      <c r="R61" s="7">
        <f t="shared" si="1"/>
        <v>92.345000000000013</v>
      </c>
    </row>
    <row r="62" spans="1:18" x14ac:dyDescent="0.25">
      <c r="A62" s="5">
        <f>Procurement_Raw!A62</f>
        <v>46007</v>
      </c>
      <c r="B62" t="str">
        <f>Procurement_Raw!B62</f>
        <v>S001</v>
      </c>
      <c r="C62" t="str">
        <f>Procurement_Raw!C62</f>
        <v>Preston Care &amp; Education Centre</v>
      </c>
      <c r="D62" t="str">
        <f>Procurement_Raw!D62</f>
        <v>North</v>
      </c>
      <c r="E62" t="str">
        <f>Procurement_Raw!E62</f>
        <v>FleetFuel</v>
      </c>
      <c r="F62" t="str">
        <f>Procurement_Raw!F62</f>
        <v>Vehicle &amp; Fuel</v>
      </c>
      <c r="G62" t="str">
        <f>Procurement_Raw!G62</f>
        <v>INV-2025-00061</v>
      </c>
      <c r="H62" s="6">
        <f>Procurement_Raw!H62</f>
        <v>32</v>
      </c>
      <c r="I62" s="7">
        <f>Procurement_Raw!I62</f>
        <v>72.989999999999995</v>
      </c>
      <c r="J62" s="7">
        <f>Procurement_Raw!J62</f>
        <v>2335.6999999999998</v>
      </c>
      <c r="K62" s="6">
        <f>Procurement_Raw!K62</f>
        <v>60</v>
      </c>
      <c r="L62" t="str">
        <f>Procurement_Raw!L62</f>
        <v>ERP</v>
      </c>
      <c r="M62" s="8">
        <f>Procurement_Raw!M62</f>
        <v>467.14</v>
      </c>
      <c r="N62" s="7">
        <f>Procurement_Raw!N62</f>
        <v>2335.6999999999998</v>
      </c>
      <c r="O62" s="7">
        <f t="shared" si="0"/>
        <v>2335.6999999999998</v>
      </c>
      <c r="P62" t="str">
        <f>IFERROR(INDEX(Supplier_Lookup!$B$2:$B$200,MATCH(E62,Supplier_Lookup!$A$2:$A$200,0)),"Unmapped")</f>
        <v>Vehicle &amp; Fuel</v>
      </c>
      <c r="Q62" s="10">
        <f>IFERROR(INDEX(Category_Targets!$B$2:$B$9,MATCH(F62,Category_Targets!$A$2:$A$9,0)),0)</f>
        <v>0.05</v>
      </c>
      <c r="R62" s="7">
        <f t="shared" si="1"/>
        <v>116.785</v>
      </c>
    </row>
    <row r="63" spans="1:18" x14ac:dyDescent="0.25">
      <c r="A63" s="5">
        <f>Procurement_Raw!A63</f>
        <v>45737</v>
      </c>
      <c r="B63" t="str">
        <f>Procurement_Raw!B63</f>
        <v>S015</v>
      </c>
      <c r="C63" t="str">
        <f>Procurement_Raw!C63</f>
        <v>Brighton Care &amp; Education Centre</v>
      </c>
      <c r="D63" t="str">
        <f>Procurement_Raw!D63</f>
        <v>South</v>
      </c>
      <c r="E63" t="str">
        <f>Procurement_Raw!E63</f>
        <v>NurseLink</v>
      </c>
      <c r="F63" t="str">
        <f>Procurement_Raw!F63</f>
        <v>Agency Labour</v>
      </c>
      <c r="G63" t="str">
        <f>Procurement_Raw!G63</f>
        <v>INV-2025-00062</v>
      </c>
      <c r="H63" s="6">
        <f>Procurement_Raw!H63</f>
        <v>31</v>
      </c>
      <c r="I63" s="7">
        <f>Procurement_Raw!I63</f>
        <v>270.88</v>
      </c>
      <c r="J63" s="7">
        <f>Procurement_Raw!J63</f>
        <v>8397.23</v>
      </c>
      <c r="K63" s="6">
        <f>Procurement_Raw!K63</f>
        <v>30</v>
      </c>
      <c r="L63" t="str">
        <f>Procurement_Raw!L63</f>
        <v>ERP</v>
      </c>
      <c r="M63" s="8">
        <f>Procurement_Raw!M63</f>
        <v>1679.4459999999999</v>
      </c>
      <c r="N63" s="7">
        <f>Procurement_Raw!N63</f>
        <v>8397.23</v>
      </c>
      <c r="O63" s="7">
        <f t="shared" si="0"/>
        <v>8397.23</v>
      </c>
      <c r="P63" t="str">
        <f>IFERROR(INDEX(Supplier_Lookup!$B$2:$B$200,MATCH(E63,Supplier_Lookup!$A$2:$A$200,0)),"Unmapped")</f>
        <v>Agency Labour</v>
      </c>
      <c r="Q63" s="10">
        <f>IFERROR(INDEX(Category_Targets!$B$2:$B$9,MATCH(F63,Category_Targets!$A$2:$A$9,0)),0)</f>
        <v>7.0000000000000007E-2</v>
      </c>
      <c r="R63" s="7">
        <f t="shared" si="1"/>
        <v>587.80610000000001</v>
      </c>
    </row>
    <row r="64" spans="1:18" x14ac:dyDescent="0.25">
      <c r="A64" s="5">
        <f>Procurement_Raw!A64</f>
        <v>45828</v>
      </c>
      <c r="B64" t="str">
        <f>Procurement_Raw!B64</f>
        <v>S012</v>
      </c>
      <c r="C64" t="str">
        <f>Procurement_Raw!C64</f>
        <v>Bristol Care &amp; Education Centre</v>
      </c>
      <c r="D64" t="str">
        <f>Procurement_Raw!D64</f>
        <v>South</v>
      </c>
      <c r="E64" t="str">
        <f>Procurement_Raw!E64</f>
        <v>MediSure</v>
      </c>
      <c r="F64" t="str">
        <f>Procurement_Raw!F64</f>
        <v>Medical Supplies</v>
      </c>
      <c r="G64" t="str">
        <f>Procurement_Raw!G64</f>
        <v>INV-2025-00063</v>
      </c>
      <c r="H64" s="6">
        <f>Procurement_Raw!H64</f>
        <v>53</v>
      </c>
      <c r="I64" s="7">
        <f>Procurement_Raw!I64</f>
        <v>65.3</v>
      </c>
      <c r="J64" s="7">
        <f>Procurement_Raw!J64</f>
        <v>3460.95</v>
      </c>
      <c r="K64" s="6">
        <f>Procurement_Raw!K64</f>
        <v>60</v>
      </c>
      <c r="L64" t="str">
        <f>Procurement_Raw!L64</f>
        <v>Legacy Spend File</v>
      </c>
      <c r="M64" s="8">
        <f>Procurement_Raw!M64</f>
        <v>692.19</v>
      </c>
      <c r="N64" s="7">
        <f>Procurement_Raw!N64</f>
        <v>3460.95</v>
      </c>
      <c r="O64" s="7">
        <f t="shared" si="0"/>
        <v>3460.95</v>
      </c>
      <c r="P64" t="str">
        <f>IFERROR(INDEX(Supplier_Lookup!$B$2:$B$200,MATCH(E64,Supplier_Lookup!$A$2:$A$200,0)),"Unmapped")</f>
        <v>Medical Supplies</v>
      </c>
      <c r="Q64" s="10">
        <f>IFERROR(INDEX(Category_Targets!$B$2:$B$9,MATCH(F64,Category_Targets!$A$2:$A$9,0)),0)</f>
        <v>0.06</v>
      </c>
      <c r="R64" s="7">
        <f t="shared" si="1"/>
        <v>207.65699999999998</v>
      </c>
    </row>
    <row r="65" spans="1:18" x14ac:dyDescent="0.25">
      <c r="A65" s="5">
        <f>Procurement_Raw!A65</f>
        <v>46017</v>
      </c>
      <c r="B65" t="str">
        <f>Procurement_Raw!B65</f>
        <v>S014</v>
      </c>
      <c r="C65" t="str">
        <f>Procurement_Raw!C65</f>
        <v>Southampton Care &amp; Education Centre</v>
      </c>
      <c r="D65" t="str">
        <f>Procurement_Raw!D65</f>
        <v>South</v>
      </c>
      <c r="E65" t="str">
        <f>Procurement_Raw!E65</f>
        <v>CloudLink</v>
      </c>
      <c r="F65" t="str">
        <f>Procurement_Raw!F65</f>
        <v>IT &amp; Telecoms</v>
      </c>
      <c r="G65" t="str">
        <f>Procurement_Raw!G65</f>
        <v>INV-2025-00064</v>
      </c>
      <c r="H65" s="6">
        <f>Procurement_Raw!H65</f>
        <v>14</v>
      </c>
      <c r="I65" s="7">
        <f>Procurement_Raw!I65</f>
        <v>113.94</v>
      </c>
      <c r="J65" s="7">
        <f>Procurement_Raw!J65</f>
        <v>1595.23</v>
      </c>
      <c r="K65" s="6">
        <f>Procurement_Raw!K65</f>
        <v>45</v>
      </c>
      <c r="L65" t="str">
        <f>Procurement_Raw!L65</f>
        <v>ERP</v>
      </c>
      <c r="M65" s="8">
        <f>Procurement_Raw!M65</f>
        <v>319.04599999999999</v>
      </c>
      <c r="N65" s="7">
        <f>Procurement_Raw!N65</f>
        <v>1595.23</v>
      </c>
      <c r="O65" s="7">
        <f t="shared" si="0"/>
        <v>1595.23</v>
      </c>
      <c r="P65" t="str">
        <f>IFERROR(INDEX(Supplier_Lookup!$B$2:$B$200,MATCH(E65,Supplier_Lookup!$A$2:$A$200,0)),"Unmapped")</f>
        <v>medical supplies</v>
      </c>
      <c r="Q65" s="10">
        <f>IFERROR(INDEX(Category_Targets!$B$2:$B$9,MATCH(F65,Category_Targets!$A$2:$A$9,0)),0)</f>
        <v>0.08</v>
      </c>
      <c r="R65" s="7">
        <f t="shared" si="1"/>
        <v>127.61840000000001</v>
      </c>
    </row>
    <row r="66" spans="1:18" x14ac:dyDescent="0.25">
      <c r="A66" s="5">
        <f>Procurement_Raw!A66</f>
        <v>45893</v>
      </c>
      <c r="B66" t="str">
        <f>Procurement_Raw!B66</f>
        <v>S003</v>
      </c>
      <c r="C66" t="str">
        <f>Procurement_Raw!C66</f>
        <v>Leeds Care &amp; Education Centre</v>
      </c>
      <c r="D66" t="str">
        <f>Procurement_Raw!D66</f>
        <v>North</v>
      </c>
      <c r="E66" t="str">
        <f>Procurement_Raw!E66</f>
        <v>UK Energy Partners</v>
      </c>
      <c r="F66" t="str">
        <f>Procurement_Raw!F66</f>
        <v>Utilities</v>
      </c>
      <c r="G66" t="str">
        <f>Procurement_Raw!G66</f>
        <v>INV-2025-00065</v>
      </c>
      <c r="H66" s="6">
        <f>Procurement_Raw!H66</f>
        <v>45</v>
      </c>
      <c r="I66" s="7">
        <f>Procurement_Raw!I66</f>
        <v>390.86</v>
      </c>
      <c r="J66" s="7">
        <f>Procurement_Raw!J66</f>
        <v>17588.71</v>
      </c>
      <c r="K66" s="6">
        <f>Procurement_Raw!K66</f>
        <v>45</v>
      </c>
      <c r="L66" t="str">
        <f>Procurement_Raw!L66</f>
        <v>ERP</v>
      </c>
      <c r="M66" s="8">
        <f>Procurement_Raw!M66</f>
        <v>3517.7420000000002</v>
      </c>
      <c r="N66" s="7">
        <f>Procurement_Raw!N66</f>
        <v>17588.71</v>
      </c>
      <c r="O66" s="7">
        <f t="shared" ref="O66:O129" si="2">IFERROR(IF(J66="","",J66),0)</f>
        <v>17588.71</v>
      </c>
      <c r="P66" t="str">
        <f>IFERROR(INDEX(Supplier_Lookup!$B$2:$B$200,MATCH(E66,Supplier_Lookup!$A$2:$A$200,0)),"Unmapped")</f>
        <v>Utilities</v>
      </c>
      <c r="Q66" s="10">
        <f>IFERROR(INDEX(Category_Targets!$B$2:$B$9,MATCH(F66,Category_Targets!$A$2:$A$9,0)),0)</f>
        <v>0.03</v>
      </c>
      <c r="R66" s="7">
        <f t="shared" ref="R66:R129" si="3">O66*Q66</f>
        <v>527.66129999999998</v>
      </c>
    </row>
    <row r="67" spans="1:18" x14ac:dyDescent="0.25">
      <c r="A67" s="5">
        <f>Procurement_Raw!A67</f>
        <v>45756</v>
      </c>
      <c r="B67" t="str">
        <f>Procurement_Raw!B67</f>
        <v>S006</v>
      </c>
      <c r="C67" t="str">
        <f>Procurement_Raw!C67</f>
        <v>Birmingham Care &amp; Education Centre</v>
      </c>
      <c r="D67" t="str">
        <f>Procurement_Raw!D67</f>
        <v>Midlands</v>
      </c>
      <c r="E67" t="str">
        <f>Procurement_Raw!E67</f>
        <v>ClinEquip</v>
      </c>
      <c r="F67" t="str">
        <f>Procurement_Raw!F67</f>
        <v>Medical Supplies</v>
      </c>
      <c r="G67" t="str">
        <f>Procurement_Raw!G67</f>
        <v>INV-2025-00066</v>
      </c>
      <c r="H67" s="6">
        <f>Procurement_Raw!H67</f>
        <v>52</v>
      </c>
      <c r="I67" s="7">
        <f>Procurement_Raw!I67</f>
        <v>253.01</v>
      </c>
      <c r="J67" s="7">
        <f>Procurement_Raw!J67</f>
        <v>13156.45</v>
      </c>
      <c r="K67" s="6">
        <f>Procurement_Raw!K67</f>
        <v>45</v>
      </c>
      <c r="L67" t="str">
        <f>Procurement_Raw!L67</f>
        <v>Procurement Portal</v>
      </c>
      <c r="M67" s="8">
        <f>Procurement_Raw!M67</f>
        <v>2631.29</v>
      </c>
      <c r="N67" s="7">
        <f>Procurement_Raw!N67</f>
        <v>13156.45</v>
      </c>
      <c r="O67" s="7">
        <f t="shared" si="2"/>
        <v>13156.45</v>
      </c>
      <c r="P67" t="str">
        <f>IFERROR(INDEX(Supplier_Lookup!$B$2:$B$200,MATCH(E67,Supplier_Lookup!$A$2:$A$200,0)),"Unmapped")</f>
        <v>Medical Supplies</v>
      </c>
      <c r="Q67" s="10">
        <f>IFERROR(INDEX(Category_Targets!$B$2:$B$9,MATCH(F67,Category_Targets!$A$2:$A$9,0)),0)</f>
        <v>0.06</v>
      </c>
      <c r="R67" s="7">
        <f t="shared" si="3"/>
        <v>789.38700000000006</v>
      </c>
    </row>
    <row r="68" spans="1:18" x14ac:dyDescent="0.25">
      <c r="A68" s="5">
        <f>Procurement_Raw!A68</f>
        <v>45986</v>
      </c>
      <c r="B68" t="str">
        <f>Procurement_Raw!B68</f>
        <v>S009</v>
      </c>
      <c r="C68" t="str">
        <f>Procurement_Raw!C68</f>
        <v>Derby Care &amp; Education Centre</v>
      </c>
      <c r="D68" t="str">
        <f>Procurement_Raw!D68</f>
        <v>Midlands</v>
      </c>
      <c r="E68" t="str">
        <f>Procurement_Raw!E68</f>
        <v>TeleCare IT</v>
      </c>
      <c r="F68" t="str">
        <f>Procurement_Raw!F68</f>
        <v>IT &amp; Telecoms</v>
      </c>
      <c r="G68" t="str">
        <f>Procurement_Raw!G68</f>
        <v>INV-2025-00067</v>
      </c>
      <c r="H68" s="6">
        <f>Procurement_Raw!H68</f>
        <v>66</v>
      </c>
      <c r="I68" s="7">
        <f>Procurement_Raw!I68</f>
        <v>211.46</v>
      </c>
      <c r="J68" s="7">
        <f>Procurement_Raw!J68</f>
        <v>13956.17</v>
      </c>
      <c r="K68" s="6">
        <f>Procurement_Raw!K68</f>
        <v>45</v>
      </c>
      <c r="L68" t="str">
        <f>Procurement_Raw!L68</f>
        <v>Legacy Spend File</v>
      </c>
      <c r="M68" s="8">
        <f>Procurement_Raw!M68</f>
        <v>2791.2339999999999</v>
      </c>
      <c r="N68" s="7">
        <f>Procurement_Raw!N68</f>
        <v>13956.17</v>
      </c>
      <c r="O68" s="7">
        <f t="shared" si="2"/>
        <v>13956.17</v>
      </c>
      <c r="P68" t="str">
        <f>IFERROR(INDEX(Supplier_Lookup!$B$2:$B$200,MATCH(E68,Supplier_Lookup!$A$2:$A$200,0)),"Unmapped")</f>
        <v>IT &amp; Telecoms</v>
      </c>
      <c r="Q68" s="10">
        <f>IFERROR(INDEX(Category_Targets!$B$2:$B$9,MATCH(F68,Category_Targets!$A$2:$A$9,0)),0)</f>
        <v>0.08</v>
      </c>
      <c r="R68" s="7">
        <f t="shared" si="3"/>
        <v>1116.4936</v>
      </c>
    </row>
    <row r="69" spans="1:18" x14ac:dyDescent="0.25">
      <c r="A69" s="5">
        <f>Procurement_Raw!A69</f>
        <v>45717</v>
      </c>
      <c r="B69" t="str">
        <f>Procurement_Raw!B69</f>
        <v>S006</v>
      </c>
      <c r="C69" t="str">
        <f>Procurement_Raw!C69</f>
        <v>Birmingham Care &amp; Education Centre</v>
      </c>
      <c r="D69" t="str">
        <f>Procurement_Raw!D69</f>
        <v>Midlands</v>
      </c>
      <c r="E69" t="str">
        <f>Procurement_Raw!E69</f>
        <v>FleetFuel</v>
      </c>
      <c r="F69" t="str">
        <f>Procurement_Raw!F69</f>
        <v>Vehicle &amp; Fuel</v>
      </c>
      <c r="G69" t="str">
        <f>Procurement_Raw!G69</f>
        <v>INV-2025-00068</v>
      </c>
      <c r="H69" s="6">
        <f>Procurement_Raw!H69</f>
        <v>34</v>
      </c>
      <c r="I69" s="7">
        <f>Procurement_Raw!I69</f>
        <v>164.98</v>
      </c>
      <c r="J69" s="7">
        <f>Procurement_Raw!J69</f>
        <v>5609.3</v>
      </c>
      <c r="K69" s="6">
        <f>Procurement_Raw!K69</f>
        <v>30</v>
      </c>
      <c r="L69" t="str">
        <f>Procurement_Raw!L69</f>
        <v>Legacy Spend File</v>
      </c>
      <c r="M69" s="8">
        <f>Procurement_Raw!M69</f>
        <v>1121.8599999999999</v>
      </c>
      <c r="N69" s="7">
        <f>Procurement_Raw!N69</f>
        <v>5609.3</v>
      </c>
      <c r="O69" s="7">
        <f t="shared" si="2"/>
        <v>5609.3</v>
      </c>
      <c r="P69" t="str">
        <f>IFERROR(INDEX(Supplier_Lookup!$B$2:$B$200,MATCH(E69,Supplier_Lookup!$A$2:$A$200,0)),"Unmapped")</f>
        <v>Vehicle &amp; Fuel</v>
      </c>
      <c r="Q69" s="10">
        <f>IFERROR(INDEX(Category_Targets!$B$2:$B$9,MATCH(F69,Category_Targets!$A$2:$A$9,0)),0)</f>
        <v>0.05</v>
      </c>
      <c r="R69" s="7">
        <f t="shared" si="3"/>
        <v>280.46500000000003</v>
      </c>
    </row>
    <row r="70" spans="1:18" x14ac:dyDescent="0.25">
      <c r="A70" s="5">
        <f>Procurement_Raw!A70</f>
        <v>45963</v>
      </c>
      <c r="B70" t="str">
        <f>Procurement_Raw!B70</f>
        <v>S003</v>
      </c>
      <c r="C70" t="str">
        <f>Procurement_Raw!C70</f>
        <v>Leeds Care &amp; Education Centre</v>
      </c>
      <c r="D70" t="str">
        <f>Procurement_Raw!D70</f>
        <v>North</v>
      </c>
      <c r="E70" t="str">
        <f>Procurement_Raw!E70</f>
        <v>MediSure</v>
      </c>
      <c r="F70" t="str">
        <f>Procurement_Raw!F70</f>
        <v>Medical Supplies</v>
      </c>
      <c r="G70" t="str">
        <f>Procurement_Raw!G70</f>
        <v>INV-2025-00069</v>
      </c>
      <c r="H70" s="6">
        <f>Procurement_Raw!H70</f>
        <v>56</v>
      </c>
      <c r="I70" s="7">
        <f>Procurement_Raw!I70</f>
        <v>146.41</v>
      </c>
      <c r="J70" s="7">
        <f>Procurement_Raw!J70</f>
        <v>8198.7999999999993</v>
      </c>
      <c r="K70" s="6">
        <f>Procurement_Raw!K70</f>
        <v>45</v>
      </c>
      <c r="L70" t="str">
        <f>Procurement_Raw!L70</f>
        <v>Legacy Spend File</v>
      </c>
      <c r="M70" s="8">
        <f>Procurement_Raw!M70</f>
        <v>1639.76</v>
      </c>
      <c r="N70" s="7">
        <f>Procurement_Raw!N70</f>
        <v>8198.7999999999993</v>
      </c>
      <c r="O70" s="7">
        <f t="shared" si="2"/>
        <v>8198.7999999999993</v>
      </c>
      <c r="P70" t="str">
        <f>IFERROR(INDEX(Supplier_Lookup!$B$2:$B$200,MATCH(E70,Supplier_Lookup!$A$2:$A$200,0)),"Unmapped")</f>
        <v>Medical Supplies</v>
      </c>
      <c r="Q70" s="10">
        <f>IFERROR(INDEX(Category_Targets!$B$2:$B$9,MATCH(F70,Category_Targets!$A$2:$A$9,0)),0)</f>
        <v>0.06</v>
      </c>
      <c r="R70" s="7">
        <f t="shared" si="3"/>
        <v>491.92799999999994</v>
      </c>
    </row>
    <row r="71" spans="1:18" x14ac:dyDescent="0.25">
      <c r="A71" s="5">
        <f>Procurement_Raw!A71</f>
        <v>45919</v>
      </c>
      <c r="B71" t="str">
        <f>Procurement_Raw!B71</f>
        <v>S012</v>
      </c>
      <c r="C71" t="str">
        <f>Procurement_Raw!C71</f>
        <v>Bristol Care &amp; Education Centre</v>
      </c>
      <c r="D71" t="str">
        <f>Procurement_Raw!D71</f>
        <v>South</v>
      </c>
      <c r="E71" t="str">
        <f>Procurement_Raw!E71</f>
        <v>NurseLink</v>
      </c>
      <c r="F71" t="str">
        <f>Procurement_Raw!F71</f>
        <v>Agency Labour</v>
      </c>
      <c r="G71" t="str">
        <f>Procurement_Raw!G71</f>
        <v>INV-2025-00070</v>
      </c>
      <c r="H71" s="6">
        <f>Procurement_Raw!H71</f>
        <v>15</v>
      </c>
      <c r="I71" s="7">
        <f>Procurement_Raw!I71</f>
        <v>210.39</v>
      </c>
      <c r="J71" s="7">
        <f>Procurement_Raw!J71</f>
        <v>3155.86</v>
      </c>
      <c r="K71" s="6">
        <f>Procurement_Raw!K71</f>
        <v>45</v>
      </c>
      <c r="L71" t="str">
        <f>Procurement_Raw!L71</f>
        <v>Legacy Spend File</v>
      </c>
      <c r="M71" s="8">
        <f>Procurement_Raw!M71</f>
        <v>631.17200000000003</v>
      </c>
      <c r="N71" s="7">
        <f>Procurement_Raw!N71</f>
        <v>3155.86</v>
      </c>
      <c r="O71" s="7">
        <f t="shared" si="2"/>
        <v>3155.86</v>
      </c>
      <c r="P71" t="str">
        <f>IFERROR(INDEX(Supplier_Lookup!$B$2:$B$200,MATCH(E71,Supplier_Lookup!$A$2:$A$200,0)),"Unmapped")</f>
        <v>Agency Labour</v>
      </c>
      <c r="Q71" s="10">
        <f>IFERROR(INDEX(Category_Targets!$B$2:$B$9,MATCH(F71,Category_Targets!$A$2:$A$9,0)),0)</f>
        <v>7.0000000000000007E-2</v>
      </c>
      <c r="R71" s="7">
        <f t="shared" si="3"/>
        <v>220.91020000000003</v>
      </c>
    </row>
    <row r="72" spans="1:18" x14ac:dyDescent="0.25">
      <c r="A72" s="5">
        <f>Procurement_Raw!A72</f>
        <v>46020</v>
      </c>
      <c r="B72" t="str">
        <f>Procurement_Raw!B72</f>
        <v>S019</v>
      </c>
      <c r="C72" t="str">
        <f>Procurement_Raw!C72</f>
        <v>Wrexham Care &amp; Education Centre</v>
      </c>
      <c r="D72" t="str">
        <f>Procurement_Raw!D72</f>
        <v>Wales</v>
      </c>
      <c r="E72" t="str">
        <f>Procurement_Raw!E72</f>
        <v>CloudLink</v>
      </c>
      <c r="F72" t="str">
        <f>Procurement_Raw!F72</f>
        <v>IT &amp; Telecoms</v>
      </c>
      <c r="G72" t="str">
        <f>Procurement_Raw!G72</f>
        <v>INV-2025-00071</v>
      </c>
      <c r="H72" s="6">
        <f>Procurement_Raw!H72</f>
        <v>56</v>
      </c>
      <c r="I72" s="7">
        <f>Procurement_Raw!I72</f>
        <v>268.38</v>
      </c>
      <c r="J72" s="7">
        <f>Procurement_Raw!J72</f>
        <v>15029.15</v>
      </c>
      <c r="K72" s="6">
        <f>Procurement_Raw!K72</f>
        <v>30</v>
      </c>
      <c r="L72" t="str">
        <f>Procurement_Raw!L72</f>
        <v>Legacy Spend File</v>
      </c>
      <c r="M72" s="8">
        <f>Procurement_Raw!M72</f>
        <v>3005.83</v>
      </c>
      <c r="N72" s="7">
        <f>Procurement_Raw!N72</f>
        <v>15029.15</v>
      </c>
      <c r="O72" s="7">
        <f t="shared" si="2"/>
        <v>15029.15</v>
      </c>
      <c r="P72" t="str">
        <f>IFERROR(INDEX(Supplier_Lookup!$B$2:$B$200,MATCH(E72,Supplier_Lookup!$A$2:$A$200,0)),"Unmapped")</f>
        <v>medical supplies</v>
      </c>
      <c r="Q72" s="10">
        <f>IFERROR(INDEX(Category_Targets!$B$2:$B$9,MATCH(F72,Category_Targets!$A$2:$A$9,0)),0)</f>
        <v>0.08</v>
      </c>
      <c r="R72" s="7">
        <f t="shared" si="3"/>
        <v>1202.3320000000001</v>
      </c>
    </row>
    <row r="73" spans="1:18" x14ac:dyDescent="0.25">
      <c r="A73" s="5">
        <f>Procurement_Raw!A73</f>
        <v>45878</v>
      </c>
      <c r="B73" t="str">
        <f>Procurement_Raw!B73</f>
        <v>S013</v>
      </c>
      <c r="C73" t="str">
        <f>Procurement_Raw!C73</f>
        <v>Reading Care &amp; Education Centre</v>
      </c>
      <c r="D73" t="str">
        <f>Procurement_Raw!D73</f>
        <v>South</v>
      </c>
      <c r="E73" t="str">
        <f>Procurement_Raw!E73</f>
        <v>WaterGrid</v>
      </c>
      <c r="F73" t="str">
        <f>Procurement_Raw!F73</f>
        <v>Utilities</v>
      </c>
      <c r="G73" t="str">
        <f>Procurement_Raw!G73</f>
        <v>INV-2025-00072</v>
      </c>
      <c r="H73" s="6">
        <f>Procurement_Raw!H73</f>
        <v>9</v>
      </c>
      <c r="I73" s="7">
        <f>Procurement_Raw!I73</f>
        <v>582.53</v>
      </c>
      <c r="J73" s="7">
        <f>Procurement_Raw!J73</f>
        <v>5242.7700000000004</v>
      </c>
      <c r="K73" s="6">
        <f>Procurement_Raw!K73</f>
        <v>60</v>
      </c>
      <c r="L73" t="str">
        <f>Procurement_Raw!L73</f>
        <v>Procurement Portal</v>
      </c>
      <c r="M73" s="8">
        <f>Procurement_Raw!M73</f>
        <v>1048.5540000000001</v>
      </c>
      <c r="N73" s="7">
        <f>Procurement_Raw!N73</f>
        <v>5242.7700000000004</v>
      </c>
      <c r="O73" s="7">
        <f t="shared" si="2"/>
        <v>5242.7700000000004</v>
      </c>
      <c r="P73" t="str">
        <f>IFERROR(INDEX(Supplier_Lookup!$B$2:$B$200,MATCH(E73,Supplier_Lookup!$A$2:$A$200,0)),"Unmapped")</f>
        <v>Utilities</v>
      </c>
      <c r="Q73" s="10">
        <f>IFERROR(INDEX(Category_Targets!$B$2:$B$9,MATCH(F73,Category_Targets!$A$2:$A$9,0)),0)</f>
        <v>0.03</v>
      </c>
      <c r="R73" s="7">
        <f t="shared" si="3"/>
        <v>157.28310000000002</v>
      </c>
    </row>
    <row r="74" spans="1:18" x14ac:dyDescent="0.25">
      <c r="A74" s="5">
        <f>Procurement_Raw!A74</f>
        <v>45721</v>
      </c>
      <c r="B74" t="str">
        <f>Procurement_Raw!B74</f>
        <v>S018</v>
      </c>
      <c r="C74" t="str">
        <f>Procurement_Raw!C74</f>
        <v>Newport Care &amp; Education Centre</v>
      </c>
      <c r="D74" t="str">
        <f>Procurement_Raw!D74</f>
        <v>Wales</v>
      </c>
      <c r="E74" t="str">
        <f>Procurement_Raw!E74</f>
        <v>AutoCare</v>
      </c>
      <c r="F74" t="str">
        <f>Procurement_Raw!F74</f>
        <v>Vehicle &amp; Fuel</v>
      </c>
      <c r="G74" t="str">
        <f>Procurement_Raw!G74</f>
        <v>INV-2025-00073</v>
      </c>
      <c r="H74" s="6">
        <f>Procurement_Raw!H74</f>
        <v>39</v>
      </c>
      <c r="I74" s="7">
        <f>Procurement_Raw!I74</f>
        <v>93.15</v>
      </c>
      <c r="J74" s="7">
        <f>Procurement_Raw!J74</f>
        <v>3632.71</v>
      </c>
      <c r="K74" s="6">
        <f>Procurement_Raw!K74</f>
        <v>60</v>
      </c>
      <c r="L74" t="str">
        <f>Procurement_Raw!L74</f>
        <v>Procurement Portal</v>
      </c>
      <c r="M74" s="8">
        <f>Procurement_Raw!M74</f>
        <v>726.54200000000003</v>
      </c>
      <c r="N74" s="7">
        <f>Procurement_Raw!N74</f>
        <v>3632.71</v>
      </c>
      <c r="O74" s="7">
        <f t="shared" si="2"/>
        <v>3632.71</v>
      </c>
      <c r="P74" t="str">
        <f>IFERROR(INDEX(Supplier_Lookup!$B$2:$B$200,MATCH(E74,Supplier_Lookup!$A$2:$A$200,0)),"Unmapped")</f>
        <v>Vehicle &amp; Fuel</v>
      </c>
      <c r="Q74" s="10">
        <f>IFERROR(INDEX(Category_Targets!$B$2:$B$9,MATCH(F74,Category_Targets!$A$2:$A$9,0)),0)</f>
        <v>0.05</v>
      </c>
      <c r="R74" s="7">
        <f t="shared" si="3"/>
        <v>181.63550000000001</v>
      </c>
    </row>
    <row r="75" spans="1:18" x14ac:dyDescent="0.25">
      <c r="A75" s="5">
        <f>Procurement_Raw!A75</f>
        <v>45864</v>
      </c>
      <c r="B75" t="str">
        <f>Procurement_Raw!B75</f>
        <v>S019</v>
      </c>
      <c r="C75" t="str">
        <f>Procurement_Raw!C75</f>
        <v>Wrexham Care &amp; Education Centre</v>
      </c>
      <c r="D75" t="str">
        <f>Procurement_Raw!D75</f>
        <v>Wales</v>
      </c>
      <c r="E75" t="str">
        <f>Procurement_Raw!E75</f>
        <v>CareTemps</v>
      </c>
      <c r="F75" t="str">
        <f>Procurement_Raw!F75</f>
        <v>Agency Labour</v>
      </c>
      <c r="G75" t="str">
        <f>Procurement_Raw!G75</f>
        <v>INV-2025-00074</v>
      </c>
      <c r="H75" s="6">
        <f>Procurement_Raw!H75</f>
        <v>38</v>
      </c>
      <c r="I75" s="7">
        <f>Procurement_Raw!I75</f>
        <v>709.34</v>
      </c>
      <c r="J75" s="7">
        <f>Procurement_Raw!J75</f>
        <v>26954.959999999999</v>
      </c>
      <c r="K75" s="6">
        <f>Procurement_Raw!K75</f>
        <v>60</v>
      </c>
      <c r="L75" t="str">
        <f>Procurement_Raw!L75</f>
        <v>ERP</v>
      </c>
      <c r="M75" s="8">
        <f>Procurement_Raw!M75</f>
        <v>5390.9920000000002</v>
      </c>
      <c r="N75" s="7">
        <f>Procurement_Raw!N75</f>
        <v>26954.959999999999</v>
      </c>
      <c r="O75" s="7">
        <f t="shared" si="2"/>
        <v>26954.959999999999</v>
      </c>
      <c r="P75" t="str">
        <f>IFERROR(INDEX(Supplier_Lookup!$B$2:$B$200,MATCH(E75,Supplier_Lookup!$A$2:$A$200,0)),"Unmapped")</f>
        <v>Agency Labour</v>
      </c>
      <c r="Q75" s="10">
        <f>IFERROR(INDEX(Category_Targets!$B$2:$B$9,MATCH(F75,Category_Targets!$A$2:$A$9,0)),0)</f>
        <v>7.0000000000000007E-2</v>
      </c>
      <c r="R75" s="7">
        <f t="shared" si="3"/>
        <v>1886.8472000000002</v>
      </c>
    </row>
    <row r="76" spans="1:18" x14ac:dyDescent="0.25">
      <c r="A76" s="5">
        <f>Procurement_Raw!A76</f>
        <v>45852</v>
      </c>
      <c r="B76" t="str">
        <f>Procurement_Raw!B76</f>
        <v>S004</v>
      </c>
      <c r="C76" t="str">
        <f>Procurement_Raw!C76</f>
        <v>Newcastle Care &amp; Education Centre</v>
      </c>
      <c r="D76" t="str">
        <f>Procurement_Raw!D76</f>
        <v>North</v>
      </c>
      <c r="E76" t="str">
        <f>Procurement_Raw!E76</f>
        <v>NurseLink</v>
      </c>
      <c r="F76" t="str">
        <f>Procurement_Raw!F76</f>
        <v>Agency Labour</v>
      </c>
      <c r="G76" t="str">
        <f>Procurement_Raw!G76</f>
        <v>INV-2025-00075</v>
      </c>
      <c r="H76" s="6">
        <f>Procurement_Raw!H76</f>
        <v>23</v>
      </c>
      <c r="I76" s="7">
        <f>Procurement_Raw!I76</f>
        <v>71.02</v>
      </c>
      <c r="J76" s="7">
        <f>Procurement_Raw!J76</f>
        <v>1633.4</v>
      </c>
      <c r="K76" s="6">
        <f>Procurement_Raw!K76</f>
        <v>60</v>
      </c>
      <c r="L76" t="str">
        <f>Procurement_Raw!L76</f>
        <v>Legacy Spend File</v>
      </c>
      <c r="M76" s="8">
        <f>Procurement_Raw!M76</f>
        <v>326.68</v>
      </c>
      <c r="N76" s="7">
        <f>Procurement_Raw!N76</f>
        <v>1633.4</v>
      </c>
      <c r="O76" s="7">
        <f t="shared" si="2"/>
        <v>1633.4</v>
      </c>
      <c r="P76" t="str">
        <f>IFERROR(INDEX(Supplier_Lookup!$B$2:$B$200,MATCH(E76,Supplier_Lookup!$A$2:$A$200,0)),"Unmapped")</f>
        <v>Agency Labour</v>
      </c>
      <c r="Q76" s="10">
        <f>IFERROR(INDEX(Category_Targets!$B$2:$B$9,MATCH(F76,Category_Targets!$A$2:$A$9,0)),0)</f>
        <v>7.0000000000000007E-2</v>
      </c>
      <c r="R76" s="7">
        <f t="shared" si="3"/>
        <v>114.33800000000002</v>
      </c>
    </row>
    <row r="77" spans="1:18" x14ac:dyDescent="0.25">
      <c r="A77" s="5">
        <f>Procurement_Raw!A77</f>
        <v>45658</v>
      </c>
      <c r="B77" t="str">
        <f>Procurement_Raw!B77</f>
        <v>S008</v>
      </c>
      <c r="C77" t="str">
        <f>Procurement_Raw!C77</f>
        <v>Leicester Care &amp; Education Centre</v>
      </c>
      <c r="D77" t="str">
        <f>Procurement_Raw!D77</f>
        <v>Midlands</v>
      </c>
      <c r="E77" t="str">
        <f>Procurement_Raw!E77</f>
        <v>NurseLink</v>
      </c>
      <c r="F77" t="str">
        <f>Procurement_Raw!F77</f>
        <v>Agency Labour</v>
      </c>
      <c r="G77" t="str">
        <f>Procurement_Raw!G77</f>
        <v>INV-2025-00076</v>
      </c>
      <c r="H77" s="6">
        <f>Procurement_Raw!H77</f>
        <v>39</v>
      </c>
      <c r="I77" s="7">
        <f>Procurement_Raw!I77</f>
        <v>471.46</v>
      </c>
      <c r="J77" s="7">
        <f>Procurement_Raw!J77</f>
        <v>18386.84</v>
      </c>
      <c r="K77" s="6">
        <f>Procurement_Raw!K77</f>
        <v>45</v>
      </c>
      <c r="L77" t="str">
        <f>Procurement_Raw!L77</f>
        <v>ERP</v>
      </c>
      <c r="M77" s="8">
        <f>Procurement_Raw!M77</f>
        <v>3677.3679999999999</v>
      </c>
      <c r="N77" s="7">
        <f>Procurement_Raw!N77</f>
        <v>18386.84</v>
      </c>
      <c r="O77" s="7">
        <f t="shared" si="2"/>
        <v>18386.84</v>
      </c>
      <c r="P77" t="str">
        <f>IFERROR(INDEX(Supplier_Lookup!$B$2:$B$200,MATCH(E77,Supplier_Lookup!$A$2:$A$200,0)),"Unmapped")</f>
        <v>Agency Labour</v>
      </c>
      <c r="Q77" s="10">
        <f>IFERROR(INDEX(Category_Targets!$B$2:$B$9,MATCH(F77,Category_Targets!$A$2:$A$9,0)),0)</f>
        <v>7.0000000000000007E-2</v>
      </c>
      <c r="R77" s="7">
        <f t="shared" si="3"/>
        <v>1287.0788000000002</v>
      </c>
    </row>
    <row r="78" spans="1:18" x14ac:dyDescent="0.25">
      <c r="A78" s="5">
        <f>Procurement_Raw!A78</f>
        <v>45884</v>
      </c>
      <c r="B78" t="str">
        <f>Procurement_Raw!B78</f>
        <v>S014</v>
      </c>
      <c r="C78" t="str">
        <f>Procurement_Raw!C78</f>
        <v>Southampton Care &amp; Education Centre</v>
      </c>
      <c r="D78" t="str">
        <f>Procurement_Raw!D78</f>
        <v>South</v>
      </c>
      <c r="E78" t="str">
        <f>Procurement_Raw!E78</f>
        <v>RoadReady</v>
      </c>
      <c r="F78" t="str">
        <f>Procurement_Raw!F78</f>
        <v>Vehicle &amp; Fuel</v>
      </c>
      <c r="G78" t="str">
        <f>Procurement_Raw!G78</f>
        <v>INV-2025-00077</v>
      </c>
      <c r="H78" s="6">
        <f>Procurement_Raw!H78</f>
        <v>57</v>
      </c>
      <c r="I78" s="7">
        <f>Procurement_Raw!I78</f>
        <v>99.66</v>
      </c>
      <c r="J78" s="7">
        <f>Procurement_Raw!J78</f>
        <v>5680.55</v>
      </c>
      <c r="K78" s="6">
        <f>Procurement_Raw!K78</f>
        <v>60</v>
      </c>
      <c r="L78" t="str">
        <f>Procurement_Raw!L78</f>
        <v>ERP</v>
      </c>
      <c r="M78" s="8">
        <f>Procurement_Raw!M78</f>
        <v>1136.1099999999999</v>
      </c>
      <c r="N78" s="7">
        <f>Procurement_Raw!N78</f>
        <v>5680.55</v>
      </c>
      <c r="O78" s="7">
        <f t="shared" si="2"/>
        <v>5680.55</v>
      </c>
      <c r="P78" t="str">
        <f>IFERROR(INDEX(Supplier_Lookup!$B$2:$B$200,MATCH(E78,Supplier_Lookup!$A$2:$A$200,0)),"Unmapped")</f>
        <v>Vehicle &amp; Fuel</v>
      </c>
      <c r="Q78" s="10">
        <f>IFERROR(INDEX(Category_Targets!$B$2:$B$9,MATCH(F78,Category_Targets!$A$2:$A$9,0)),0)</f>
        <v>0.05</v>
      </c>
      <c r="R78" s="7">
        <f t="shared" si="3"/>
        <v>284.02750000000003</v>
      </c>
    </row>
    <row r="79" spans="1:18" x14ac:dyDescent="0.25">
      <c r="A79" s="5">
        <f>Procurement_Raw!A79</f>
        <v>45744</v>
      </c>
      <c r="B79" t="str">
        <f>Procurement_Raw!B79</f>
        <v>S005</v>
      </c>
      <c r="C79" t="str">
        <f>Procurement_Raw!C79</f>
        <v>Sheffield Care &amp; Education Centre</v>
      </c>
      <c r="D79" t="str">
        <f>Procurement_Raw!D79</f>
        <v>North</v>
      </c>
      <c r="E79">
        <f>Procurement_Raw!E79</f>
        <v>0</v>
      </c>
      <c r="F79" t="str">
        <f>Procurement_Raw!F79</f>
        <v>Office &amp; Training</v>
      </c>
      <c r="G79" t="str">
        <f>Procurement_Raw!G79</f>
        <v>INV-2025-00078</v>
      </c>
      <c r="H79" s="6">
        <f>Procurement_Raw!H79</f>
        <v>11</v>
      </c>
      <c r="I79" s="7">
        <f>Procurement_Raw!I79</f>
        <v>63.63</v>
      </c>
      <c r="J79" s="7">
        <f>Procurement_Raw!J79</f>
        <v>699.89</v>
      </c>
      <c r="K79" s="6">
        <f>Procurement_Raw!K79</f>
        <v>45</v>
      </c>
      <c r="L79" t="str">
        <f>Procurement_Raw!L79</f>
        <v>Legacy Spend File</v>
      </c>
      <c r="M79" s="8">
        <f>Procurement_Raw!M79</f>
        <v>139.97800000000001</v>
      </c>
      <c r="N79" s="7">
        <f>Procurement_Raw!N79</f>
        <v>699.89</v>
      </c>
      <c r="O79" s="7">
        <f t="shared" si="2"/>
        <v>699.89</v>
      </c>
      <c r="P79" t="str">
        <f>IFERROR(INDEX(Supplier_Lookup!$B$2:$B$200,MATCH(E79,Supplier_Lookup!$A$2:$A$200,0)),"Unmapped")</f>
        <v>Unmapped</v>
      </c>
      <c r="Q79" s="10">
        <f>IFERROR(INDEX(Category_Targets!$B$2:$B$9,MATCH(F79,Category_Targets!$A$2:$A$9,0)),0)</f>
        <v>0.04</v>
      </c>
      <c r="R79" s="7">
        <f t="shared" si="3"/>
        <v>27.9956</v>
      </c>
    </row>
    <row r="80" spans="1:18" x14ac:dyDescent="0.25">
      <c r="A80" s="5">
        <f>Procurement_Raw!A80</f>
        <v>45778</v>
      </c>
      <c r="B80" t="str">
        <f>Procurement_Raw!B80</f>
        <v>S020</v>
      </c>
      <c r="C80" t="str">
        <f>Procurement_Raw!C80</f>
        <v>Bangor Care &amp; Education Centre</v>
      </c>
      <c r="D80" t="str">
        <f>Procurement_Raw!D80</f>
        <v>Wales</v>
      </c>
      <c r="E80" t="str">
        <f>Procurement_Raw!E80</f>
        <v>FleetFuel</v>
      </c>
      <c r="F80" t="str">
        <f>Procurement_Raw!F80</f>
        <v>Vehicle &amp; Fuel</v>
      </c>
      <c r="G80" t="str">
        <f>Procurement_Raw!G80</f>
        <v>INV-2025-00079</v>
      </c>
      <c r="H80" s="6">
        <f>Procurement_Raw!H80</f>
        <v>40</v>
      </c>
      <c r="I80" s="7">
        <f>Procurement_Raw!I80</f>
        <v>99.92</v>
      </c>
      <c r="J80" s="7">
        <f>Procurement_Raw!J80</f>
        <v>3996.7</v>
      </c>
      <c r="K80" s="6">
        <f>Procurement_Raw!K80</f>
        <v>30</v>
      </c>
      <c r="L80" t="str">
        <f>Procurement_Raw!L80</f>
        <v>ERP</v>
      </c>
      <c r="M80" s="8">
        <f>Procurement_Raw!M80</f>
        <v>799.34</v>
      </c>
      <c r="N80" s="7">
        <f>Procurement_Raw!N80</f>
        <v>3996.7</v>
      </c>
      <c r="O80" s="7">
        <f t="shared" si="2"/>
        <v>3996.7</v>
      </c>
      <c r="P80" t="str">
        <f>IFERROR(INDEX(Supplier_Lookup!$B$2:$B$200,MATCH(E80,Supplier_Lookup!$A$2:$A$200,0)),"Unmapped")</f>
        <v>Vehicle &amp; Fuel</v>
      </c>
      <c r="Q80" s="10">
        <f>IFERROR(INDEX(Category_Targets!$B$2:$B$9,MATCH(F80,Category_Targets!$A$2:$A$9,0)),0)</f>
        <v>0.05</v>
      </c>
      <c r="R80" s="7">
        <f t="shared" si="3"/>
        <v>199.83500000000001</v>
      </c>
    </row>
    <row r="81" spans="1:18" x14ac:dyDescent="0.25">
      <c r="A81" s="5">
        <f>Procurement_Raw!A81</f>
        <v>45783</v>
      </c>
      <c r="B81" t="str">
        <f>Procurement_Raw!B81</f>
        <v>S017</v>
      </c>
      <c r="C81" t="str">
        <f>Procurement_Raw!C81</f>
        <v>Swansea Care &amp; Education Centre</v>
      </c>
      <c r="D81" t="str">
        <f>Procurement_Raw!D81</f>
        <v>Wales</v>
      </c>
      <c r="E81" t="str">
        <f>Procurement_Raw!E81</f>
        <v>MediSure</v>
      </c>
      <c r="F81" t="str">
        <f>Procurement_Raw!F81</f>
        <v>Medical Supplies</v>
      </c>
      <c r="G81" t="str">
        <f>Procurement_Raw!G81</f>
        <v>INV-2025-00080</v>
      </c>
      <c r="H81" s="6">
        <f>Procurement_Raw!H81</f>
        <v>61</v>
      </c>
      <c r="I81" s="7">
        <f>Procurement_Raw!I81</f>
        <v>40.22</v>
      </c>
      <c r="J81" s="7">
        <f>Procurement_Raw!J81</f>
        <v>2453.33</v>
      </c>
      <c r="K81" s="6">
        <f>Procurement_Raw!K81</f>
        <v>60</v>
      </c>
      <c r="L81" t="str">
        <f>Procurement_Raw!L81</f>
        <v>ERP</v>
      </c>
      <c r="M81" s="8">
        <f>Procurement_Raw!M81</f>
        <v>490.666</v>
      </c>
      <c r="N81" s="7">
        <f>Procurement_Raw!N81</f>
        <v>2453.33</v>
      </c>
      <c r="O81" s="7">
        <f t="shared" si="2"/>
        <v>2453.33</v>
      </c>
      <c r="P81" t="str">
        <f>IFERROR(INDEX(Supplier_Lookup!$B$2:$B$200,MATCH(E81,Supplier_Lookup!$A$2:$A$200,0)),"Unmapped")</f>
        <v>Medical Supplies</v>
      </c>
      <c r="Q81" s="10">
        <f>IFERROR(INDEX(Category_Targets!$B$2:$B$9,MATCH(F81,Category_Targets!$A$2:$A$9,0)),0)</f>
        <v>0.06</v>
      </c>
      <c r="R81" s="7">
        <f t="shared" si="3"/>
        <v>147.19979999999998</v>
      </c>
    </row>
    <row r="82" spans="1:18" x14ac:dyDescent="0.25">
      <c r="A82" s="5">
        <f>Procurement_Raw!A82</f>
        <v>45952</v>
      </c>
      <c r="B82" t="str">
        <f>Procurement_Raw!B82</f>
        <v>S008</v>
      </c>
      <c r="C82" t="str">
        <f>Procurement_Raw!C82</f>
        <v>Leicester Care &amp; Education Centre</v>
      </c>
      <c r="D82" t="str">
        <f>Procurement_Raw!D82</f>
        <v>Midlands</v>
      </c>
      <c r="E82" t="str">
        <f>Procurement_Raw!E82</f>
        <v>NurseLink</v>
      </c>
      <c r="F82" t="str">
        <f>Procurement_Raw!F82</f>
        <v>Agency Labour</v>
      </c>
      <c r="G82" t="str">
        <f>Procurement_Raw!G82</f>
        <v>INV-2025-00081</v>
      </c>
      <c r="H82" s="6">
        <f>Procurement_Raw!H82</f>
        <v>25</v>
      </c>
      <c r="I82" s="7">
        <f>Procurement_Raw!I82</f>
        <v>265.86</v>
      </c>
      <c r="J82" s="7">
        <f>Procurement_Raw!J82</f>
        <v>6646.45</v>
      </c>
      <c r="K82" s="6">
        <f>Procurement_Raw!K82</f>
        <v>60</v>
      </c>
      <c r="L82" t="str">
        <f>Procurement_Raw!L82</f>
        <v>Legacy Spend File</v>
      </c>
      <c r="M82" s="8">
        <f>Procurement_Raw!M82</f>
        <v>1329.29</v>
      </c>
      <c r="N82" s="7">
        <f>Procurement_Raw!N82</f>
        <v>6646.45</v>
      </c>
      <c r="O82" s="7">
        <f t="shared" si="2"/>
        <v>6646.45</v>
      </c>
      <c r="P82" t="str">
        <f>IFERROR(INDEX(Supplier_Lookup!$B$2:$B$200,MATCH(E82,Supplier_Lookup!$A$2:$A$200,0)),"Unmapped")</f>
        <v>Agency Labour</v>
      </c>
      <c r="Q82" s="10">
        <f>IFERROR(INDEX(Category_Targets!$B$2:$B$9,MATCH(F82,Category_Targets!$A$2:$A$9,0)),0)</f>
        <v>7.0000000000000007E-2</v>
      </c>
      <c r="R82" s="7">
        <f t="shared" si="3"/>
        <v>465.25150000000002</v>
      </c>
    </row>
    <row r="83" spans="1:18" x14ac:dyDescent="0.25">
      <c r="A83" s="5">
        <f>Procurement_Raw!A83</f>
        <v>45782</v>
      </c>
      <c r="B83" t="str">
        <f>Procurement_Raw!B83</f>
        <v>S019</v>
      </c>
      <c r="C83" t="str">
        <f>Procurement_Raw!C83</f>
        <v>Wrexham Care &amp; Education Centre</v>
      </c>
      <c r="D83" t="str">
        <f>Procurement_Raw!D83</f>
        <v>Wales</v>
      </c>
      <c r="E83" t="str">
        <f>Procurement_Raw!E83</f>
        <v>LearnWell</v>
      </c>
      <c r="F83" t="str">
        <f>Procurement_Raw!F83</f>
        <v>Office &amp; Training</v>
      </c>
      <c r="G83" t="str">
        <f>Procurement_Raw!G83</f>
        <v>INV-2025-00082</v>
      </c>
      <c r="H83" s="6">
        <f>Procurement_Raw!H83</f>
        <v>19</v>
      </c>
      <c r="I83" s="7">
        <f>Procurement_Raw!I83</f>
        <v>91.28</v>
      </c>
      <c r="J83" s="7">
        <f>Procurement_Raw!J83</f>
        <v>1734.27</v>
      </c>
      <c r="K83" s="6">
        <f>Procurement_Raw!K83</f>
        <v>60</v>
      </c>
      <c r="L83" t="str">
        <f>Procurement_Raw!L83</f>
        <v>Legacy Spend File</v>
      </c>
      <c r="M83" s="8">
        <f>Procurement_Raw!M83</f>
        <v>346.85399999999998</v>
      </c>
      <c r="N83" s="7">
        <f>Procurement_Raw!N83</f>
        <v>1734.27</v>
      </c>
      <c r="O83" s="7">
        <f t="shared" si="2"/>
        <v>1734.27</v>
      </c>
      <c r="P83" t="str">
        <f>IFERROR(INDEX(Supplier_Lookup!$B$2:$B$200,MATCH(E83,Supplier_Lookup!$A$2:$A$200,0)),"Unmapped")</f>
        <v>Office &amp; Training</v>
      </c>
      <c r="Q83" s="10">
        <f>IFERROR(INDEX(Category_Targets!$B$2:$B$9,MATCH(F83,Category_Targets!$A$2:$A$9,0)),0)</f>
        <v>0.04</v>
      </c>
      <c r="R83" s="7">
        <f t="shared" si="3"/>
        <v>69.370800000000003</v>
      </c>
    </row>
    <row r="84" spans="1:18" x14ac:dyDescent="0.25">
      <c r="A84" s="5">
        <f>Procurement_Raw!A84</f>
        <v>45770</v>
      </c>
      <c r="B84" t="str">
        <f>Procurement_Raw!B84</f>
        <v>S008</v>
      </c>
      <c r="C84" t="str">
        <f>Procurement_Raw!C84</f>
        <v>Leicester Care &amp; Education Centre</v>
      </c>
      <c r="D84" t="str">
        <f>Procurement_Raw!D84</f>
        <v>Midlands</v>
      </c>
      <c r="E84" t="str">
        <f>Procurement_Raw!E84</f>
        <v>NourishCo</v>
      </c>
      <c r="F84" t="str">
        <f>Procurement_Raw!F84</f>
        <v>Food &amp; Catering</v>
      </c>
      <c r="G84" t="str">
        <f>Procurement_Raw!G84</f>
        <v>INV-2025-00083</v>
      </c>
      <c r="H84" s="6">
        <f>Procurement_Raw!H84</f>
        <v>23</v>
      </c>
      <c r="I84" s="7">
        <f>Procurement_Raw!I84</f>
        <v>146.53</v>
      </c>
      <c r="J84" s="7">
        <f>Procurement_Raw!J84</f>
        <v>3370.19</v>
      </c>
      <c r="K84" s="6">
        <f>Procurement_Raw!K84</f>
        <v>60</v>
      </c>
      <c r="L84" t="str">
        <f>Procurement_Raw!L84</f>
        <v>Legacy Spend File</v>
      </c>
      <c r="M84" s="8">
        <f>Procurement_Raw!M84</f>
        <v>674.03800000000001</v>
      </c>
      <c r="N84" s="7">
        <f>Procurement_Raw!N84</f>
        <v>3370.19</v>
      </c>
      <c r="O84" s="7">
        <f t="shared" si="2"/>
        <v>3370.19</v>
      </c>
      <c r="P84" t="str">
        <f>IFERROR(INDEX(Supplier_Lookup!$B$2:$B$200,MATCH(E84,Supplier_Lookup!$A$2:$A$200,0)),"Unmapped")</f>
        <v>Food &amp; Catering</v>
      </c>
      <c r="Q84" s="10">
        <f>IFERROR(INDEX(Category_Targets!$B$2:$B$9,MATCH(F84,Category_Targets!$A$2:$A$9,0)),0)</f>
        <v>0.04</v>
      </c>
      <c r="R84" s="7">
        <f t="shared" si="3"/>
        <v>134.80760000000001</v>
      </c>
    </row>
    <row r="85" spans="1:18" x14ac:dyDescent="0.25">
      <c r="A85" s="5">
        <f>Procurement_Raw!A85</f>
        <v>45785</v>
      </c>
      <c r="B85" t="str">
        <f>Procurement_Raw!B85</f>
        <v>S014</v>
      </c>
      <c r="C85" t="str">
        <f>Procurement_Raw!C85</f>
        <v>Southampton Care &amp; Education Centre</v>
      </c>
      <c r="D85" t="str">
        <f>Procurement_Raw!D85</f>
        <v>South</v>
      </c>
      <c r="E85" t="str">
        <f>Procurement_Raw!E85</f>
        <v>ClinEquip</v>
      </c>
      <c r="F85" t="str">
        <f>Procurement_Raw!F85</f>
        <v>Medical Supplies</v>
      </c>
      <c r="G85" t="str">
        <f>Procurement_Raw!G85</f>
        <v>INV-2025-00084</v>
      </c>
      <c r="H85" s="6">
        <f>Procurement_Raw!H85</f>
        <v>16</v>
      </c>
      <c r="I85" s="7">
        <f>Procurement_Raw!I85</f>
        <v>90.24</v>
      </c>
      <c r="J85" s="7">
        <f>Procurement_Raw!J85</f>
        <v>1443.8</v>
      </c>
      <c r="K85" s="6">
        <f>Procurement_Raw!K85</f>
        <v>45</v>
      </c>
      <c r="L85" t="str">
        <f>Procurement_Raw!L85</f>
        <v>ERP</v>
      </c>
      <c r="M85" s="8">
        <f>Procurement_Raw!M85</f>
        <v>288.76</v>
      </c>
      <c r="N85" s="7">
        <f>Procurement_Raw!N85</f>
        <v>1443.8</v>
      </c>
      <c r="O85" s="7">
        <f t="shared" si="2"/>
        <v>1443.8</v>
      </c>
      <c r="P85" t="str">
        <f>IFERROR(INDEX(Supplier_Lookup!$B$2:$B$200,MATCH(E85,Supplier_Lookup!$A$2:$A$200,0)),"Unmapped")</f>
        <v>Medical Supplies</v>
      </c>
      <c r="Q85" s="10">
        <f>IFERROR(INDEX(Category_Targets!$B$2:$B$9,MATCH(F85,Category_Targets!$A$2:$A$9,0)),0)</f>
        <v>0.06</v>
      </c>
      <c r="R85" s="7">
        <f t="shared" si="3"/>
        <v>86.628</v>
      </c>
    </row>
    <row r="86" spans="1:18" x14ac:dyDescent="0.25">
      <c r="A86" s="5">
        <f>Procurement_Raw!A86</f>
        <v>45971</v>
      </c>
      <c r="B86" t="str">
        <f>Procurement_Raw!B86</f>
        <v>S012</v>
      </c>
      <c r="C86" t="str">
        <f>Procurement_Raw!C86</f>
        <v>Bristol Care &amp; Education Centre</v>
      </c>
      <c r="D86" t="str">
        <f>Procurement_Raw!D86</f>
        <v>South</v>
      </c>
      <c r="E86" t="str">
        <f>Procurement_Raw!E86</f>
        <v>RoadReady</v>
      </c>
      <c r="F86" t="str">
        <f>Procurement_Raw!F86</f>
        <v>Vehicle &amp; Fuel</v>
      </c>
      <c r="G86" t="str">
        <f>Procurement_Raw!G86</f>
        <v>INV-2025-00085</v>
      </c>
      <c r="H86" s="6">
        <f>Procurement_Raw!H86</f>
        <v>65</v>
      </c>
      <c r="I86" s="7">
        <f>Procurement_Raw!I86</f>
        <v>60.9</v>
      </c>
      <c r="J86" s="7">
        <f>Procurement_Raw!J86</f>
        <v>3958.39</v>
      </c>
      <c r="K86" s="6">
        <f>Procurement_Raw!K86</f>
        <v>45</v>
      </c>
      <c r="L86" t="str">
        <f>Procurement_Raw!L86</f>
        <v>Legacy Spend File</v>
      </c>
      <c r="M86" s="8">
        <f>Procurement_Raw!M86</f>
        <v>791.678</v>
      </c>
      <c r="N86" s="7">
        <f>Procurement_Raw!N86</f>
        <v>3958.39</v>
      </c>
      <c r="O86" s="7">
        <f t="shared" si="2"/>
        <v>3958.39</v>
      </c>
      <c r="P86" t="str">
        <f>IFERROR(INDEX(Supplier_Lookup!$B$2:$B$200,MATCH(E86,Supplier_Lookup!$A$2:$A$200,0)),"Unmapped")</f>
        <v>Vehicle &amp; Fuel</v>
      </c>
      <c r="Q86" s="10">
        <f>IFERROR(INDEX(Category_Targets!$B$2:$B$9,MATCH(F86,Category_Targets!$A$2:$A$9,0)),0)</f>
        <v>0.05</v>
      </c>
      <c r="R86" s="7">
        <f t="shared" si="3"/>
        <v>197.9195</v>
      </c>
    </row>
    <row r="87" spans="1:18" x14ac:dyDescent="0.25">
      <c r="A87" s="5">
        <f>Procurement_Raw!A87</f>
        <v>45901</v>
      </c>
      <c r="B87" t="str">
        <f>Procurement_Raw!B87</f>
        <v>S008</v>
      </c>
      <c r="C87" t="str">
        <f>Procurement_Raw!C87</f>
        <v>Leicester Care &amp; Education Centre</v>
      </c>
      <c r="D87" t="str">
        <f>Procurement_Raw!D87</f>
        <v>Midlands</v>
      </c>
      <c r="E87" t="str">
        <f>Procurement_Raw!E87</f>
        <v>BuildCare</v>
      </c>
      <c r="F87" t="str">
        <f>Procurement_Raw!F87</f>
        <v>Facilities</v>
      </c>
      <c r="G87" t="str">
        <f>Procurement_Raw!G87</f>
        <v>INV-2025-00086</v>
      </c>
      <c r="H87" s="6">
        <f>Procurement_Raw!H87</f>
        <v>58</v>
      </c>
      <c r="I87" s="7">
        <f>Procurement_Raw!I87</f>
        <v>136.59</v>
      </c>
      <c r="J87" s="7">
        <f>Procurement_Raw!J87</f>
        <v>7922.27</v>
      </c>
      <c r="K87" s="6">
        <f>Procurement_Raw!K87</f>
        <v>45</v>
      </c>
      <c r="L87" t="str">
        <f>Procurement_Raw!L87</f>
        <v>ERP</v>
      </c>
      <c r="M87" s="8">
        <f>Procurement_Raw!M87</f>
        <v>1584.454</v>
      </c>
      <c r="N87" s="7">
        <f>Procurement_Raw!N87</f>
        <v>7922.27</v>
      </c>
      <c r="O87" s="7">
        <f t="shared" si="2"/>
        <v>7922.27</v>
      </c>
      <c r="P87" t="str">
        <f>IFERROR(INDEX(Supplier_Lookup!$B$2:$B$200,MATCH(E87,Supplier_Lookup!$A$2:$A$200,0)),"Unmapped")</f>
        <v>Facilities</v>
      </c>
      <c r="Q87" s="10">
        <f>IFERROR(INDEX(Category_Targets!$B$2:$B$9,MATCH(F87,Category_Targets!$A$2:$A$9,0)),0)</f>
        <v>0.05</v>
      </c>
      <c r="R87" s="7">
        <f t="shared" si="3"/>
        <v>396.11350000000004</v>
      </c>
    </row>
    <row r="88" spans="1:18" x14ac:dyDescent="0.25">
      <c r="A88" s="5">
        <f>Procurement_Raw!A88</f>
        <v>45906</v>
      </c>
      <c r="B88" t="str">
        <f>Procurement_Raw!B88</f>
        <v>S007</v>
      </c>
      <c r="C88" t="str">
        <f>Procurement_Raw!C88</f>
        <v>Nottingham Care &amp; Education Centre</v>
      </c>
      <c r="D88" t="str">
        <f>Procurement_Raw!D88</f>
        <v>Midlands</v>
      </c>
      <c r="E88" t="str">
        <f>Procurement_Raw!E88</f>
        <v>NetServe</v>
      </c>
      <c r="F88" t="str">
        <f>Procurement_Raw!F88</f>
        <v>IT &amp; Telecoms</v>
      </c>
      <c r="G88" t="str">
        <f>Procurement_Raw!G88</f>
        <v>INV-2025-00087</v>
      </c>
      <c r="H88" s="6">
        <f>Procurement_Raw!H88</f>
        <v>31</v>
      </c>
      <c r="I88" s="7">
        <f>Procurement_Raw!I88</f>
        <v>363.98</v>
      </c>
      <c r="J88" s="7">
        <f>Procurement_Raw!J88</f>
        <v>11283.38</v>
      </c>
      <c r="K88" s="6">
        <f>Procurement_Raw!K88</f>
        <v>45</v>
      </c>
      <c r="L88" t="str">
        <f>Procurement_Raw!L88</f>
        <v>Procurement Portal</v>
      </c>
      <c r="M88" s="8">
        <f>Procurement_Raw!M88</f>
        <v>2256.6759999999999</v>
      </c>
      <c r="N88" s="7">
        <f>Procurement_Raw!N88</f>
        <v>11283.38</v>
      </c>
      <c r="O88" s="7">
        <f t="shared" si="2"/>
        <v>11283.38</v>
      </c>
      <c r="P88" t="str">
        <f>IFERROR(INDEX(Supplier_Lookup!$B$2:$B$200,MATCH(E88,Supplier_Lookup!$A$2:$A$200,0)),"Unmapped")</f>
        <v>IT &amp; Telecoms</v>
      </c>
      <c r="Q88" s="10">
        <f>IFERROR(INDEX(Category_Targets!$B$2:$B$9,MATCH(F88,Category_Targets!$A$2:$A$9,0)),0)</f>
        <v>0.08</v>
      </c>
      <c r="R88" s="7">
        <f t="shared" si="3"/>
        <v>902.67039999999997</v>
      </c>
    </row>
    <row r="89" spans="1:18" x14ac:dyDescent="0.25">
      <c r="A89" s="5">
        <f>Procurement_Raw!A89</f>
        <v>45797</v>
      </c>
      <c r="B89" t="str">
        <f>Procurement_Raw!B89</f>
        <v>S005</v>
      </c>
      <c r="C89" t="str">
        <f>Procurement_Raw!C89</f>
        <v>Sheffield Care &amp; Education Centre</v>
      </c>
      <c r="D89" t="str">
        <f>Procurement_Raw!D89</f>
        <v>North</v>
      </c>
      <c r="E89" t="str">
        <f>Procurement_Raw!E89</f>
        <v>CloudLink</v>
      </c>
      <c r="F89" t="str">
        <f>Procurement_Raw!F89</f>
        <v>IT &amp; Telecoms</v>
      </c>
      <c r="G89" t="str">
        <f>Procurement_Raw!G89</f>
        <v>INV-2025-00088</v>
      </c>
      <c r="H89" s="6">
        <f>Procurement_Raw!H89</f>
        <v>43</v>
      </c>
      <c r="I89" s="7">
        <f>Procurement_Raw!I89</f>
        <v>263.60000000000002</v>
      </c>
      <c r="J89" s="7">
        <f>Procurement_Raw!J89</f>
        <v>11334.89</v>
      </c>
      <c r="K89" s="6">
        <f>Procurement_Raw!K89</f>
        <v>45</v>
      </c>
      <c r="L89" t="str">
        <f>Procurement_Raw!L89</f>
        <v>Legacy Spend File</v>
      </c>
      <c r="M89" s="8">
        <f>Procurement_Raw!M89</f>
        <v>2266.9780000000001</v>
      </c>
      <c r="N89" s="7">
        <f>Procurement_Raw!N89</f>
        <v>11334.89</v>
      </c>
      <c r="O89" s="7">
        <f t="shared" si="2"/>
        <v>11334.89</v>
      </c>
      <c r="P89" t="str">
        <f>IFERROR(INDEX(Supplier_Lookup!$B$2:$B$200,MATCH(E89,Supplier_Lookup!$A$2:$A$200,0)),"Unmapped")</f>
        <v>medical supplies</v>
      </c>
      <c r="Q89" s="10">
        <f>IFERROR(INDEX(Category_Targets!$B$2:$B$9,MATCH(F89,Category_Targets!$A$2:$A$9,0)),0)</f>
        <v>0.08</v>
      </c>
      <c r="R89" s="7">
        <f t="shared" si="3"/>
        <v>906.7912</v>
      </c>
    </row>
    <row r="90" spans="1:18" x14ac:dyDescent="0.25">
      <c r="A90" s="5">
        <f>Procurement_Raw!A90</f>
        <v>45776</v>
      </c>
      <c r="B90" t="str">
        <f>Procurement_Raw!B90</f>
        <v>S007</v>
      </c>
      <c r="C90" t="str">
        <f>Procurement_Raw!C90</f>
        <v>Nottingham Care &amp; Education Centre</v>
      </c>
      <c r="D90" t="str">
        <f>Procurement_Raw!D90</f>
        <v>Midlands</v>
      </c>
      <c r="E90" t="str">
        <f>Procurement_Raw!E90</f>
        <v>CleanWorks</v>
      </c>
      <c r="F90" t="str">
        <f>Procurement_Raw!F90</f>
        <v>Facilities</v>
      </c>
      <c r="G90" t="str">
        <f>Procurement_Raw!G90</f>
        <v>INV-2025-00089</v>
      </c>
      <c r="H90" s="6">
        <f>Procurement_Raw!H90</f>
        <v>50</v>
      </c>
      <c r="I90" s="7">
        <f>Procurement_Raw!I90</f>
        <v>134.5</v>
      </c>
      <c r="J90" s="7">
        <f>Procurement_Raw!J90</f>
        <v>6725.17</v>
      </c>
      <c r="K90" s="6">
        <f>Procurement_Raw!K90</f>
        <v>60</v>
      </c>
      <c r="L90" t="str">
        <f>Procurement_Raw!L90</f>
        <v>ERP</v>
      </c>
      <c r="M90" s="8">
        <f>Procurement_Raw!M90</f>
        <v>1345.0340000000001</v>
      </c>
      <c r="N90" s="7">
        <f>Procurement_Raw!N90</f>
        <v>6725.17</v>
      </c>
      <c r="O90" s="7">
        <f t="shared" si="2"/>
        <v>6725.17</v>
      </c>
      <c r="P90" t="str">
        <f>IFERROR(INDEX(Supplier_Lookup!$B$2:$B$200,MATCH(E90,Supplier_Lookup!$A$2:$A$200,0)),"Unmapped")</f>
        <v>Facilities</v>
      </c>
      <c r="Q90" s="10">
        <f>IFERROR(INDEX(Category_Targets!$B$2:$B$9,MATCH(F90,Category_Targets!$A$2:$A$9,0)),0)</f>
        <v>0.05</v>
      </c>
      <c r="R90" s="7">
        <f t="shared" si="3"/>
        <v>336.25850000000003</v>
      </c>
    </row>
    <row r="91" spans="1:18" x14ac:dyDescent="0.25">
      <c r="A91" s="5">
        <f>Procurement_Raw!A91</f>
        <v>45870</v>
      </c>
      <c r="B91" t="str">
        <f>Procurement_Raw!B91</f>
        <v>S011</v>
      </c>
      <c r="C91" t="str">
        <f>Procurement_Raw!C91</f>
        <v>London Care &amp; Education Centre</v>
      </c>
      <c r="D91" t="str">
        <f>Procurement_Raw!D91</f>
        <v>South</v>
      </c>
      <c r="E91" t="str">
        <f>Procurement_Raw!E91</f>
        <v>UK Energy Partners</v>
      </c>
      <c r="F91" t="str">
        <f>Procurement_Raw!F91</f>
        <v>Utilities</v>
      </c>
      <c r="G91" t="str">
        <f>Procurement_Raw!G91</f>
        <v>INV-2025-00090</v>
      </c>
      <c r="H91" s="6">
        <f>Procurement_Raw!H91</f>
        <v>53</v>
      </c>
      <c r="I91" s="7">
        <f>Procurement_Raw!I91</f>
        <v>331.54</v>
      </c>
      <c r="J91" s="7">
        <f>Procurement_Raw!J91</f>
        <v>17571.79</v>
      </c>
      <c r="K91" s="6">
        <f>Procurement_Raw!K91</f>
        <v>45</v>
      </c>
      <c r="L91" t="str">
        <f>Procurement_Raw!L91</f>
        <v>Legacy Spend File</v>
      </c>
      <c r="M91" s="8">
        <f>Procurement_Raw!M91</f>
        <v>3514.3580000000002</v>
      </c>
      <c r="N91" s="7">
        <f>Procurement_Raw!N91</f>
        <v>17571.79</v>
      </c>
      <c r="O91" s="7">
        <f t="shared" si="2"/>
        <v>17571.79</v>
      </c>
      <c r="P91" t="str">
        <f>IFERROR(INDEX(Supplier_Lookup!$B$2:$B$200,MATCH(E91,Supplier_Lookup!$A$2:$A$200,0)),"Unmapped")</f>
        <v>Utilities</v>
      </c>
      <c r="Q91" s="10">
        <f>IFERROR(INDEX(Category_Targets!$B$2:$B$9,MATCH(F91,Category_Targets!$A$2:$A$9,0)),0)</f>
        <v>0.03</v>
      </c>
      <c r="R91" s="7">
        <f t="shared" si="3"/>
        <v>527.15369999999996</v>
      </c>
    </row>
    <row r="92" spans="1:18" x14ac:dyDescent="0.25">
      <c r="A92" s="5">
        <f>Procurement_Raw!A92</f>
        <v>45763</v>
      </c>
      <c r="B92" t="str">
        <f>Procurement_Raw!B92</f>
        <v>S020</v>
      </c>
      <c r="C92" t="str">
        <f>Procurement_Raw!C92</f>
        <v>Bangor Care &amp; Education Centre</v>
      </c>
      <c r="D92" t="str">
        <f>Procurement_Raw!D92</f>
        <v>Wales</v>
      </c>
      <c r="E92" t="str">
        <f>Procurement_Raw!E92</f>
        <v>HealthStaffing</v>
      </c>
      <c r="F92" t="str">
        <f>Procurement_Raw!F92</f>
        <v>Agency Labour</v>
      </c>
      <c r="G92" t="str">
        <f>Procurement_Raw!G92</f>
        <v>INV-2025-00091</v>
      </c>
      <c r="H92" s="6">
        <f>Procurement_Raw!H92</f>
        <v>54</v>
      </c>
      <c r="I92" s="7">
        <f>Procurement_Raw!I92</f>
        <v>316.45</v>
      </c>
      <c r="J92" s="7">
        <f>Procurement_Raw!J92</f>
        <v>17088.47</v>
      </c>
      <c r="K92" s="6">
        <f>Procurement_Raw!K92</f>
        <v>45</v>
      </c>
      <c r="L92" t="str">
        <f>Procurement_Raw!L92</f>
        <v>Legacy Spend File</v>
      </c>
      <c r="M92" s="8">
        <f>Procurement_Raw!M92</f>
        <v>3417.694</v>
      </c>
      <c r="N92" s="7">
        <f>Procurement_Raw!N92</f>
        <v>17088.47</v>
      </c>
      <c r="O92" s="7">
        <f t="shared" si="2"/>
        <v>17088.47</v>
      </c>
      <c r="P92" t="str">
        <f>IFERROR(INDEX(Supplier_Lookup!$B$2:$B$200,MATCH(E92,Supplier_Lookup!$A$2:$A$200,0)),"Unmapped")</f>
        <v>Agency Labour</v>
      </c>
      <c r="Q92" s="10">
        <f>IFERROR(INDEX(Category_Targets!$B$2:$B$9,MATCH(F92,Category_Targets!$A$2:$A$9,0)),0)</f>
        <v>7.0000000000000007E-2</v>
      </c>
      <c r="R92" s="7">
        <f t="shared" si="3"/>
        <v>1196.1929000000002</v>
      </c>
    </row>
    <row r="93" spans="1:18" x14ac:dyDescent="0.25">
      <c r="A93" s="5">
        <f>Procurement_Raw!A93</f>
        <v>45852</v>
      </c>
      <c r="B93" t="str">
        <f>Procurement_Raw!B93</f>
        <v>S004</v>
      </c>
      <c r="C93" t="str">
        <f>Procurement_Raw!C93</f>
        <v>Newcastle Care &amp; Education Centre</v>
      </c>
      <c r="D93" t="str">
        <f>Procurement_Raw!D93</f>
        <v>North</v>
      </c>
      <c r="E93" t="str">
        <f>Procurement_Raw!E93</f>
        <v>ClinEquip</v>
      </c>
      <c r="F93" t="str">
        <f>Procurement_Raw!F93</f>
        <v>Medical Supplies</v>
      </c>
      <c r="G93" t="str">
        <f>Procurement_Raw!G93</f>
        <v>INV-2025-00092</v>
      </c>
      <c r="H93" s="6">
        <f>Procurement_Raw!H93</f>
        <v>62</v>
      </c>
      <c r="I93" s="7">
        <f>Procurement_Raw!I93</f>
        <v>204.43</v>
      </c>
      <c r="J93" s="7">
        <f>Procurement_Raw!J93</f>
        <v>12674.92</v>
      </c>
      <c r="K93" s="6">
        <f>Procurement_Raw!K93</f>
        <v>30</v>
      </c>
      <c r="L93" t="str">
        <f>Procurement_Raw!L93</f>
        <v>Procurement Portal</v>
      </c>
      <c r="M93" s="8">
        <f>Procurement_Raw!M93</f>
        <v>2534.9839999999999</v>
      </c>
      <c r="N93" s="7">
        <f>Procurement_Raw!N93</f>
        <v>12674.92</v>
      </c>
      <c r="O93" s="7">
        <f t="shared" si="2"/>
        <v>12674.92</v>
      </c>
      <c r="P93" t="str">
        <f>IFERROR(INDEX(Supplier_Lookup!$B$2:$B$200,MATCH(E93,Supplier_Lookup!$A$2:$A$200,0)),"Unmapped")</f>
        <v>Medical Supplies</v>
      </c>
      <c r="Q93" s="10">
        <f>IFERROR(INDEX(Category_Targets!$B$2:$B$9,MATCH(F93,Category_Targets!$A$2:$A$9,0)),0)</f>
        <v>0.06</v>
      </c>
      <c r="R93" s="7">
        <f t="shared" si="3"/>
        <v>760.49519999999995</v>
      </c>
    </row>
    <row r="94" spans="1:18" x14ac:dyDescent="0.25">
      <c r="A94" s="5">
        <f>Procurement_Raw!A94</f>
        <v>45933</v>
      </c>
      <c r="B94" t="str">
        <f>Procurement_Raw!B94</f>
        <v>S009</v>
      </c>
      <c r="C94" t="str">
        <f>Procurement_Raw!C94</f>
        <v>Derby Care &amp; Education Centre</v>
      </c>
      <c r="D94" t="str">
        <f>Procurement_Raw!D94</f>
        <v>Midlands</v>
      </c>
      <c r="E94" t="str">
        <f>Procurement_Raw!E94</f>
        <v>CareTemps</v>
      </c>
      <c r="F94" t="str">
        <f>Procurement_Raw!F94</f>
        <v>Agency Labour</v>
      </c>
      <c r="G94" t="str">
        <f>Procurement_Raw!G94</f>
        <v>INV-2025-00093</v>
      </c>
      <c r="H94" s="6">
        <f>Procurement_Raw!H94</f>
        <v>70</v>
      </c>
      <c r="I94" s="7">
        <f>Procurement_Raw!I94</f>
        <v>203.9</v>
      </c>
      <c r="J94" s="7">
        <f>Procurement_Raw!J94</f>
        <v>14273.34</v>
      </c>
      <c r="K94" s="6">
        <f>Procurement_Raw!K94</f>
        <v>60</v>
      </c>
      <c r="L94" t="str">
        <f>Procurement_Raw!L94</f>
        <v>ERP</v>
      </c>
      <c r="M94" s="8">
        <f>Procurement_Raw!M94</f>
        <v>2854.6680000000001</v>
      </c>
      <c r="N94" s="7">
        <f>Procurement_Raw!N94</f>
        <v>14273.34</v>
      </c>
      <c r="O94" s="7">
        <f t="shared" si="2"/>
        <v>14273.34</v>
      </c>
      <c r="P94" t="str">
        <f>IFERROR(INDEX(Supplier_Lookup!$B$2:$B$200,MATCH(E94,Supplier_Lookup!$A$2:$A$200,0)),"Unmapped")</f>
        <v>Agency Labour</v>
      </c>
      <c r="Q94" s="10">
        <f>IFERROR(INDEX(Category_Targets!$B$2:$B$9,MATCH(F94,Category_Targets!$A$2:$A$9,0)),0)</f>
        <v>7.0000000000000007E-2</v>
      </c>
      <c r="R94" s="7">
        <f t="shared" si="3"/>
        <v>999.13380000000006</v>
      </c>
    </row>
    <row r="95" spans="1:18" x14ac:dyDescent="0.25">
      <c r="A95" s="5">
        <f>Procurement_Raw!A95</f>
        <v>45881</v>
      </c>
      <c r="B95" t="str">
        <f>Procurement_Raw!B95</f>
        <v>S003</v>
      </c>
      <c r="C95" t="str">
        <f>Procurement_Raw!C95</f>
        <v>Leeds Care &amp; Education Centre</v>
      </c>
      <c r="D95" t="str">
        <f>Procurement_Raw!D95</f>
        <v>North</v>
      </c>
      <c r="E95" t="str">
        <f>Procurement_Raw!E95</f>
        <v>WaterGrid</v>
      </c>
      <c r="F95" t="str">
        <f>Procurement_Raw!F95</f>
        <v>Utilities</v>
      </c>
      <c r="G95" t="str">
        <f>Procurement_Raw!G95</f>
        <v>INV-2025-00094</v>
      </c>
      <c r="H95" s="6">
        <f>Procurement_Raw!H95</f>
        <v>63</v>
      </c>
      <c r="I95" s="7">
        <f>Procurement_Raw!I95</f>
        <v>208.77</v>
      </c>
      <c r="J95" s="7">
        <f>Procurement_Raw!J95</f>
        <v>13152.69</v>
      </c>
      <c r="K95" s="6">
        <f>Procurement_Raw!K95</f>
        <v>30</v>
      </c>
      <c r="L95" t="str">
        <f>Procurement_Raw!L95</f>
        <v>Procurement Portal</v>
      </c>
      <c r="M95" s="8">
        <f>Procurement_Raw!M95</f>
        <v>2630.538</v>
      </c>
      <c r="N95" s="7">
        <f>Procurement_Raw!N95</f>
        <v>13152.69</v>
      </c>
      <c r="O95" s="7">
        <f t="shared" si="2"/>
        <v>13152.69</v>
      </c>
      <c r="P95" t="str">
        <f>IFERROR(INDEX(Supplier_Lookup!$B$2:$B$200,MATCH(E95,Supplier_Lookup!$A$2:$A$200,0)),"Unmapped")</f>
        <v>Utilities</v>
      </c>
      <c r="Q95" s="10">
        <f>IFERROR(INDEX(Category_Targets!$B$2:$B$9,MATCH(F95,Category_Targets!$A$2:$A$9,0)),0)</f>
        <v>0.03</v>
      </c>
      <c r="R95" s="7">
        <f t="shared" si="3"/>
        <v>394.58069999999998</v>
      </c>
    </row>
    <row r="96" spans="1:18" x14ac:dyDescent="0.25">
      <c r="A96" s="5">
        <f>Procurement_Raw!A96</f>
        <v>45742</v>
      </c>
      <c r="B96" t="str">
        <f>Procurement_Raw!B96</f>
        <v>S012</v>
      </c>
      <c r="C96" t="str">
        <f>Procurement_Raw!C96</f>
        <v>Bristol Care &amp; Education Centre</v>
      </c>
      <c r="D96" t="str">
        <f>Procurement_Raw!D96</f>
        <v>South</v>
      </c>
      <c r="E96" t="str">
        <f>Procurement_Raw!E96</f>
        <v>NurseLink</v>
      </c>
      <c r="F96" t="str">
        <f>Procurement_Raw!F96</f>
        <v>Agency Labour</v>
      </c>
      <c r="G96" t="str">
        <f>Procurement_Raw!G96</f>
        <v>INV-2025-00095</v>
      </c>
      <c r="H96" s="6">
        <f>Procurement_Raw!H96</f>
        <v>60</v>
      </c>
      <c r="I96" s="7">
        <f>Procurement_Raw!I96</f>
        <v>241.8</v>
      </c>
      <c r="J96" s="7">
        <f>Procurement_Raw!J96</f>
        <v>14508.17</v>
      </c>
      <c r="K96" s="6">
        <f>Procurement_Raw!K96</f>
        <v>30</v>
      </c>
      <c r="L96" t="str">
        <f>Procurement_Raw!L96</f>
        <v>Legacy Spend File</v>
      </c>
      <c r="M96" s="8">
        <f>Procurement_Raw!M96</f>
        <v>2901.634</v>
      </c>
      <c r="N96" s="7">
        <f>Procurement_Raw!N96</f>
        <v>14508.17</v>
      </c>
      <c r="O96" s="7">
        <f t="shared" si="2"/>
        <v>14508.17</v>
      </c>
      <c r="P96" t="str">
        <f>IFERROR(INDEX(Supplier_Lookup!$B$2:$B$200,MATCH(E96,Supplier_Lookup!$A$2:$A$200,0)),"Unmapped")</f>
        <v>Agency Labour</v>
      </c>
      <c r="Q96" s="10">
        <f>IFERROR(INDEX(Category_Targets!$B$2:$B$9,MATCH(F96,Category_Targets!$A$2:$A$9,0)),0)</f>
        <v>7.0000000000000007E-2</v>
      </c>
      <c r="R96" s="7">
        <f t="shared" si="3"/>
        <v>1015.5719000000001</v>
      </c>
    </row>
    <row r="97" spans="1:18" x14ac:dyDescent="0.25">
      <c r="A97" s="5">
        <f>Procurement_Raw!A97</f>
        <v>45961</v>
      </c>
      <c r="B97" t="str">
        <f>Procurement_Raw!B97</f>
        <v>S007</v>
      </c>
      <c r="C97" t="str">
        <f>Procurement_Raw!C97</f>
        <v>Nottingham Care &amp; Education Centre</v>
      </c>
      <c r="D97" t="str">
        <f>Procurement_Raw!D97</f>
        <v>Midlands</v>
      </c>
      <c r="E97" t="str">
        <f>Procurement_Raw!E97</f>
        <v>CareMed</v>
      </c>
      <c r="F97" t="str">
        <f>Procurement_Raw!F97</f>
        <v>Medical Supplies</v>
      </c>
      <c r="G97" t="str">
        <f>Procurement_Raw!G97</f>
        <v>INV-2025-00096</v>
      </c>
      <c r="H97" s="6">
        <f>Procurement_Raw!H97</f>
        <v>73</v>
      </c>
      <c r="I97" s="7">
        <f>Procurement_Raw!I97</f>
        <v>53.65</v>
      </c>
      <c r="J97" s="7">
        <f>Procurement_Raw!J97</f>
        <v>3916.75</v>
      </c>
      <c r="K97" s="6">
        <f>Procurement_Raw!K97</f>
        <v>60</v>
      </c>
      <c r="L97" t="str">
        <f>Procurement_Raw!L97</f>
        <v>ERP</v>
      </c>
      <c r="M97" s="8">
        <f>Procurement_Raw!M97</f>
        <v>783.35</v>
      </c>
      <c r="N97" s="7">
        <f>Procurement_Raw!N97</f>
        <v>3916.75</v>
      </c>
      <c r="O97" s="7">
        <f t="shared" si="2"/>
        <v>3916.75</v>
      </c>
      <c r="P97" t="str">
        <f>IFERROR(INDEX(Supplier_Lookup!$B$2:$B$200,MATCH(E97,Supplier_Lookup!$A$2:$A$200,0)),"Unmapped")</f>
        <v>Medical Supplies</v>
      </c>
      <c r="Q97" s="10">
        <f>IFERROR(INDEX(Category_Targets!$B$2:$B$9,MATCH(F97,Category_Targets!$A$2:$A$9,0)),0)</f>
        <v>0.06</v>
      </c>
      <c r="R97" s="7">
        <f t="shared" si="3"/>
        <v>235.005</v>
      </c>
    </row>
    <row r="98" spans="1:18" x14ac:dyDescent="0.25">
      <c r="A98" s="5">
        <f>Procurement_Raw!A98</f>
        <v>45894</v>
      </c>
      <c r="B98" t="str">
        <f>Procurement_Raw!B98</f>
        <v>S019</v>
      </c>
      <c r="C98" t="str">
        <f>Procurement_Raw!C98</f>
        <v>Wrexham Care &amp; Education Centre</v>
      </c>
      <c r="D98" t="str">
        <f>Procurement_Raw!D98</f>
        <v>Wales</v>
      </c>
      <c r="E98" t="str">
        <f>Procurement_Raw!E98</f>
        <v>HealthStaffing</v>
      </c>
      <c r="F98" t="str">
        <f>Procurement_Raw!F98</f>
        <v>Agency Labour</v>
      </c>
      <c r="G98" t="str">
        <f>Procurement_Raw!G98</f>
        <v>INV-2025-00097</v>
      </c>
      <c r="H98" s="6">
        <f>Procurement_Raw!H98</f>
        <v>24</v>
      </c>
      <c r="I98" s="7">
        <f>Procurement_Raw!I98</f>
        <v>353.06</v>
      </c>
      <c r="J98" s="7">
        <f>Procurement_Raw!J98</f>
        <v>8473.5300000000007</v>
      </c>
      <c r="K98" s="6">
        <f>Procurement_Raw!K98</f>
        <v>30</v>
      </c>
      <c r="L98" t="str">
        <f>Procurement_Raw!L98</f>
        <v>Procurement Portal</v>
      </c>
      <c r="M98" s="8">
        <f>Procurement_Raw!M98</f>
        <v>1694.7059999999999</v>
      </c>
      <c r="N98" s="7">
        <f>Procurement_Raw!N98</f>
        <v>8473.5300000000007</v>
      </c>
      <c r="O98" s="7">
        <f t="shared" si="2"/>
        <v>8473.5300000000007</v>
      </c>
      <c r="P98" t="str">
        <f>IFERROR(INDEX(Supplier_Lookup!$B$2:$B$200,MATCH(E98,Supplier_Lookup!$A$2:$A$200,0)),"Unmapped")</f>
        <v>Agency Labour</v>
      </c>
      <c r="Q98" s="10">
        <f>IFERROR(INDEX(Category_Targets!$B$2:$B$9,MATCH(F98,Category_Targets!$A$2:$A$9,0)),0)</f>
        <v>7.0000000000000007E-2</v>
      </c>
      <c r="R98" s="7">
        <f t="shared" si="3"/>
        <v>593.14710000000014</v>
      </c>
    </row>
    <row r="99" spans="1:18" x14ac:dyDescent="0.25">
      <c r="A99" s="5">
        <f>Procurement_Raw!A99</f>
        <v>45890</v>
      </c>
      <c r="B99" t="str">
        <f>Procurement_Raw!B99</f>
        <v>S017</v>
      </c>
      <c r="C99" t="str">
        <f>Procurement_Raw!C99</f>
        <v>Swansea Care &amp; Education Centre</v>
      </c>
      <c r="D99" t="str">
        <f>Procurement_Raw!D99</f>
        <v>Wales</v>
      </c>
      <c r="E99" t="str">
        <f>Procurement_Raw!E99</f>
        <v>FleetFuel</v>
      </c>
      <c r="F99" t="str">
        <f>Procurement_Raw!F99</f>
        <v>Vehicle &amp; Fuel</v>
      </c>
      <c r="G99" t="str">
        <f>Procurement_Raw!G99</f>
        <v>INV-2025-00098</v>
      </c>
      <c r="H99" s="6">
        <f>Procurement_Raw!H99</f>
        <v>42</v>
      </c>
      <c r="I99" s="7">
        <f>Procurement_Raw!I99</f>
        <v>109.67</v>
      </c>
      <c r="J99" s="7">
        <f>Procurement_Raw!J99</f>
        <v>4606.05</v>
      </c>
      <c r="K99" s="6">
        <f>Procurement_Raw!K99</f>
        <v>45</v>
      </c>
      <c r="L99" t="str">
        <f>Procurement_Raw!L99</f>
        <v>Procurement Portal</v>
      </c>
      <c r="M99" s="8">
        <f>Procurement_Raw!M99</f>
        <v>921.21</v>
      </c>
      <c r="N99" s="7">
        <f>Procurement_Raw!N99</f>
        <v>4606.05</v>
      </c>
      <c r="O99" s="7">
        <f t="shared" si="2"/>
        <v>4606.05</v>
      </c>
      <c r="P99" t="str">
        <f>IFERROR(INDEX(Supplier_Lookup!$B$2:$B$200,MATCH(E99,Supplier_Lookup!$A$2:$A$200,0)),"Unmapped")</f>
        <v>Vehicle &amp; Fuel</v>
      </c>
      <c r="Q99" s="10">
        <f>IFERROR(INDEX(Category_Targets!$B$2:$B$9,MATCH(F99,Category_Targets!$A$2:$A$9,0)),0)</f>
        <v>0.05</v>
      </c>
      <c r="R99" s="7">
        <f t="shared" si="3"/>
        <v>230.30250000000001</v>
      </c>
    </row>
    <row r="100" spans="1:18" x14ac:dyDescent="0.25">
      <c r="A100" s="5">
        <f>Procurement_Raw!A100</f>
        <v>45699</v>
      </c>
      <c r="B100" t="str">
        <f>Procurement_Raw!B100</f>
        <v>S007</v>
      </c>
      <c r="C100" t="str">
        <f>Procurement_Raw!C100</f>
        <v>Nottingham Care &amp; Education Centre</v>
      </c>
      <c r="D100" t="str">
        <f>Procurement_Raw!D100</f>
        <v>Midlands</v>
      </c>
      <c r="E100" t="str">
        <f>Procurement_Raw!E100</f>
        <v>CareTemps</v>
      </c>
      <c r="F100" t="str">
        <f>Procurement_Raw!F100</f>
        <v>Agency Labour</v>
      </c>
      <c r="G100" t="str">
        <f>Procurement_Raw!G100</f>
        <v>INV-2025-00099</v>
      </c>
      <c r="H100" s="6">
        <f>Procurement_Raw!H100</f>
        <v>61</v>
      </c>
      <c r="I100" s="7">
        <f>Procurement_Raw!I100</f>
        <v>300.83999999999997</v>
      </c>
      <c r="J100" s="7">
        <f>Procurement_Raw!J100</f>
        <v>18351.54</v>
      </c>
      <c r="K100" s="6">
        <f>Procurement_Raw!K100</f>
        <v>30</v>
      </c>
      <c r="L100" t="str">
        <f>Procurement_Raw!L100</f>
        <v>Legacy Spend File</v>
      </c>
      <c r="M100" s="8">
        <f>Procurement_Raw!M100</f>
        <v>3670.308</v>
      </c>
      <c r="N100" s="7">
        <f>Procurement_Raw!N100</f>
        <v>18351.54</v>
      </c>
      <c r="O100" s="7">
        <f t="shared" si="2"/>
        <v>18351.54</v>
      </c>
      <c r="P100" t="str">
        <f>IFERROR(INDEX(Supplier_Lookup!$B$2:$B$200,MATCH(E100,Supplier_Lookup!$A$2:$A$200,0)),"Unmapped")</f>
        <v>Agency Labour</v>
      </c>
      <c r="Q100" s="10">
        <f>IFERROR(INDEX(Category_Targets!$B$2:$B$9,MATCH(F100,Category_Targets!$A$2:$A$9,0)),0)</f>
        <v>7.0000000000000007E-2</v>
      </c>
      <c r="R100" s="7">
        <f t="shared" si="3"/>
        <v>1284.6078000000002</v>
      </c>
    </row>
    <row r="101" spans="1:18" x14ac:dyDescent="0.25">
      <c r="A101" s="5">
        <f>Procurement_Raw!A101</f>
        <v>45772</v>
      </c>
      <c r="B101" t="str">
        <f>Procurement_Raw!B101</f>
        <v>S002</v>
      </c>
      <c r="C101" t="str">
        <f>Procurement_Raw!C101</f>
        <v>Manchester Care &amp; Education Centre</v>
      </c>
      <c r="D101" t="str">
        <f>Procurement_Raw!D101</f>
        <v>North</v>
      </c>
      <c r="E101" t="str">
        <f>Procurement_Raw!E101</f>
        <v>CareMed</v>
      </c>
      <c r="F101" t="str">
        <f>Procurement_Raw!F101</f>
        <v>Medical Supplies</v>
      </c>
      <c r="G101" t="str">
        <f>Procurement_Raw!G101</f>
        <v>INV-2025-00100</v>
      </c>
      <c r="H101" s="6">
        <f>Procurement_Raw!H101</f>
        <v>9</v>
      </c>
      <c r="I101" s="7">
        <f>Procurement_Raw!I101</f>
        <v>105.47</v>
      </c>
      <c r="J101" s="7">
        <f>Procurement_Raw!J101</f>
        <v>949.27</v>
      </c>
      <c r="K101" s="6">
        <f>Procurement_Raw!K101</f>
        <v>60</v>
      </c>
      <c r="L101" t="str">
        <f>Procurement_Raw!L101</f>
        <v>ERP</v>
      </c>
      <c r="M101" s="8">
        <f>Procurement_Raw!M101</f>
        <v>189.85400000000001</v>
      </c>
      <c r="N101" s="7">
        <f>Procurement_Raw!N101</f>
        <v>949.27</v>
      </c>
      <c r="O101" s="7">
        <f t="shared" si="2"/>
        <v>949.27</v>
      </c>
      <c r="P101" t="str">
        <f>IFERROR(INDEX(Supplier_Lookup!$B$2:$B$200,MATCH(E101,Supplier_Lookup!$A$2:$A$200,0)),"Unmapped")</f>
        <v>Medical Supplies</v>
      </c>
      <c r="Q101" s="10">
        <f>IFERROR(INDEX(Category_Targets!$B$2:$B$9,MATCH(F101,Category_Targets!$A$2:$A$9,0)),0)</f>
        <v>0.06</v>
      </c>
      <c r="R101" s="7">
        <f t="shared" si="3"/>
        <v>56.956199999999995</v>
      </c>
    </row>
    <row r="102" spans="1:18" x14ac:dyDescent="0.25">
      <c r="A102" s="5">
        <f>Procurement_Raw!A102</f>
        <v>45760</v>
      </c>
      <c r="B102" t="str">
        <f>Procurement_Raw!B102</f>
        <v>S005</v>
      </c>
      <c r="C102" t="str">
        <f>Procurement_Raw!C102</f>
        <v>Sheffield Care &amp; Education Centre</v>
      </c>
      <c r="D102" t="str">
        <f>Procurement_Raw!D102</f>
        <v>North</v>
      </c>
      <c r="E102" t="str">
        <f>Procurement_Raw!E102</f>
        <v>MediSure</v>
      </c>
      <c r="F102" t="str">
        <f>Procurement_Raw!F102</f>
        <v>Medical Supplies</v>
      </c>
      <c r="G102" t="str">
        <f>Procurement_Raw!G102</f>
        <v>INV-2025-00101</v>
      </c>
      <c r="H102" s="6">
        <f>Procurement_Raw!H102</f>
        <v>3</v>
      </c>
      <c r="I102" s="7">
        <f>Procurement_Raw!I102</f>
        <v>55.09</v>
      </c>
      <c r="J102" s="7">
        <f>Procurement_Raw!J102</f>
        <v>165.28</v>
      </c>
      <c r="K102" s="6">
        <f>Procurement_Raw!K102</f>
        <v>60</v>
      </c>
      <c r="L102" t="str">
        <f>Procurement_Raw!L102</f>
        <v>ERP</v>
      </c>
      <c r="M102" s="8">
        <f>Procurement_Raw!M102</f>
        <v>33.055999999999997</v>
      </c>
      <c r="N102" s="7">
        <f>Procurement_Raw!N102</f>
        <v>165.28</v>
      </c>
      <c r="O102" s="7">
        <f t="shared" si="2"/>
        <v>165.28</v>
      </c>
      <c r="P102" t="str">
        <f>IFERROR(INDEX(Supplier_Lookup!$B$2:$B$200,MATCH(E102,Supplier_Lookup!$A$2:$A$200,0)),"Unmapped")</f>
        <v>Medical Supplies</v>
      </c>
      <c r="Q102" s="10">
        <f>IFERROR(INDEX(Category_Targets!$B$2:$B$9,MATCH(F102,Category_Targets!$A$2:$A$9,0)),0)</f>
        <v>0.06</v>
      </c>
      <c r="R102" s="7">
        <f t="shared" si="3"/>
        <v>9.9168000000000003</v>
      </c>
    </row>
    <row r="103" spans="1:18" x14ac:dyDescent="0.25">
      <c r="A103" s="5">
        <f>Procurement_Raw!A103</f>
        <v>46000</v>
      </c>
      <c r="B103" t="str">
        <f>Procurement_Raw!B103</f>
        <v>S002</v>
      </c>
      <c r="C103" t="str">
        <f>Procurement_Raw!C103</f>
        <v>Manchester Care &amp; Education Centre</v>
      </c>
      <c r="D103" t="str">
        <f>Procurement_Raw!D103</f>
        <v>North</v>
      </c>
      <c r="E103" t="str">
        <f>Procurement_Raw!E103</f>
        <v>SafeGuard FM</v>
      </c>
      <c r="F103" t="str">
        <f>Procurement_Raw!F103</f>
        <v>Facilities</v>
      </c>
      <c r="G103" t="str">
        <f>Procurement_Raw!G103</f>
        <v>INV-2025-00102</v>
      </c>
      <c r="H103" s="6">
        <f>Procurement_Raw!H103</f>
        <v>15</v>
      </c>
      <c r="I103" s="7">
        <f>Procurement_Raw!I103</f>
        <v>142.82</v>
      </c>
      <c r="J103" s="7">
        <f>Procurement_Raw!J103</f>
        <v>2142.34</v>
      </c>
      <c r="K103" s="6">
        <f>Procurement_Raw!K103</f>
        <v>60</v>
      </c>
      <c r="L103" t="str">
        <f>Procurement_Raw!L103</f>
        <v>ERP</v>
      </c>
      <c r="M103" s="8">
        <f>Procurement_Raw!M103</f>
        <v>428.46800000000002</v>
      </c>
      <c r="N103" s="7">
        <f>Procurement_Raw!N103</f>
        <v>2142.34</v>
      </c>
      <c r="O103" s="7">
        <f t="shared" si="2"/>
        <v>2142.34</v>
      </c>
      <c r="P103" t="str">
        <f>IFERROR(INDEX(Supplier_Lookup!$B$2:$B$200,MATCH(E103,Supplier_Lookup!$A$2:$A$200,0)),"Unmapped")</f>
        <v>Facilities</v>
      </c>
      <c r="Q103" s="10">
        <f>IFERROR(INDEX(Category_Targets!$B$2:$B$9,MATCH(F103,Category_Targets!$A$2:$A$9,0)),0)</f>
        <v>0.05</v>
      </c>
      <c r="R103" s="7">
        <f t="shared" si="3"/>
        <v>107.11700000000002</v>
      </c>
    </row>
    <row r="104" spans="1:18" x14ac:dyDescent="0.25">
      <c r="A104" s="5">
        <f>Procurement_Raw!A104</f>
        <v>45743</v>
      </c>
      <c r="B104" t="str">
        <f>Procurement_Raw!B104</f>
        <v>S015</v>
      </c>
      <c r="C104" t="str">
        <f>Procurement_Raw!C104</f>
        <v>Brighton Care &amp; Education Centre</v>
      </c>
      <c r="D104" t="str">
        <f>Procurement_Raw!D104</f>
        <v>South</v>
      </c>
      <c r="E104" t="str">
        <f>Procurement_Raw!E104</f>
        <v>TeleCare IT</v>
      </c>
      <c r="F104" t="str">
        <f>Procurement_Raw!F104</f>
        <v>IT &amp; Telecoms</v>
      </c>
      <c r="G104" t="str">
        <f>Procurement_Raw!G104</f>
        <v>INV-2025-00103</v>
      </c>
      <c r="H104" s="6">
        <f>Procurement_Raw!H104</f>
        <v>78</v>
      </c>
      <c r="I104" s="7">
        <f>Procurement_Raw!I104</f>
        <v>182.21</v>
      </c>
      <c r="J104" s="7">
        <f>Procurement_Raw!J104</f>
        <v>14212.02</v>
      </c>
      <c r="K104" s="6">
        <f>Procurement_Raw!K104</f>
        <v>60</v>
      </c>
      <c r="L104" t="str">
        <f>Procurement_Raw!L104</f>
        <v>Legacy Spend File</v>
      </c>
      <c r="M104" s="8">
        <f>Procurement_Raw!M104</f>
        <v>2842.404</v>
      </c>
      <c r="N104" s="7">
        <f>Procurement_Raw!N104</f>
        <v>14212.02</v>
      </c>
      <c r="O104" s="7">
        <f t="shared" si="2"/>
        <v>14212.02</v>
      </c>
      <c r="P104" t="str">
        <f>IFERROR(INDEX(Supplier_Lookup!$B$2:$B$200,MATCH(E104,Supplier_Lookup!$A$2:$A$200,0)),"Unmapped")</f>
        <v>IT &amp; Telecoms</v>
      </c>
      <c r="Q104" s="10">
        <f>IFERROR(INDEX(Category_Targets!$B$2:$B$9,MATCH(F104,Category_Targets!$A$2:$A$9,0)),0)</f>
        <v>0.08</v>
      </c>
      <c r="R104" s="7">
        <f t="shared" si="3"/>
        <v>1136.9616000000001</v>
      </c>
    </row>
    <row r="105" spans="1:18" x14ac:dyDescent="0.25">
      <c r="A105" s="5">
        <f>Procurement_Raw!A105</f>
        <v>45817</v>
      </c>
      <c r="B105" t="str">
        <f>Procurement_Raw!B105</f>
        <v>S017</v>
      </c>
      <c r="C105" t="str">
        <f>Procurement_Raw!C105</f>
        <v>Swansea Care &amp; Education Centre</v>
      </c>
      <c r="D105" t="str">
        <f>Procurement_Raw!D105</f>
        <v>Wales</v>
      </c>
      <c r="E105" t="str">
        <f>Procurement_Raw!E105</f>
        <v>FreshServe</v>
      </c>
      <c r="F105" t="str">
        <f>Procurement_Raw!F105</f>
        <v>Food &amp; Catering</v>
      </c>
      <c r="G105" t="str">
        <f>Procurement_Raw!G105</f>
        <v>INV-2025-00104</v>
      </c>
      <c r="H105" s="6">
        <f>Procurement_Raw!H105</f>
        <v>14</v>
      </c>
      <c r="I105" s="7">
        <f>Procurement_Raw!I105</f>
        <v>41.81</v>
      </c>
      <c r="J105" s="7">
        <f>Procurement_Raw!J105</f>
        <v>585.34</v>
      </c>
      <c r="K105" s="6">
        <f>Procurement_Raw!K105</f>
        <v>60</v>
      </c>
      <c r="L105" t="str">
        <f>Procurement_Raw!L105</f>
        <v>ERP</v>
      </c>
      <c r="M105" s="8">
        <f>Procurement_Raw!M105</f>
        <v>117.068</v>
      </c>
      <c r="N105" s="7">
        <f>Procurement_Raw!N105</f>
        <v>585.34</v>
      </c>
      <c r="O105" s="7">
        <f t="shared" si="2"/>
        <v>585.34</v>
      </c>
      <c r="P105" t="str">
        <f>IFERROR(INDEX(Supplier_Lookup!$B$2:$B$200,MATCH(E105,Supplier_Lookup!$A$2:$A$200,0)),"Unmapped")</f>
        <v>Food &amp; Catering</v>
      </c>
      <c r="Q105" s="10">
        <f>IFERROR(INDEX(Category_Targets!$B$2:$B$9,MATCH(F105,Category_Targets!$A$2:$A$9,0)),0)</f>
        <v>0.04</v>
      </c>
      <c r="R105" s="7">
        <f t="shared" si="3"/>
        <v>23.413600000000002</v>
      </c>
    </row>
    <row r="106" spans="1:18" x14ac:dyDescent="0.25">
      <c r="A106" s="5">
        <f>Procurement_Raw!A106</f>
        <v>45759</v>
      </c>
      <c r="B106" t="str">
        <f>Procurement_Raw!B106</f>
        <v>S005</v>
      </c>
      <c r="C106" t="str">
        <f>Procurement_Raw!C106</f>
        <v>Sheffield Care &amp; Education Centre</v>
      </c>
      <c r="D106" t="str">
        <f>Procurement_Raw!D106</f>
        <v>North</v>
      </c>
      <c r="E106" t="str">
        <f>Procurement_Raw!E106</f>
        <v>CareTemps</v>
      </c>
      <c r="F106" t="str">
        <f>Procurement_Raw!F106</f>
        <v>Agency Labour</v>
      </c>
      <c r="G106" t="str">
        <f>Procurement_Raw!G106</f>
        <v>INV-2025-00105</v>
      </c>
      <c r="H106" s="6">
        <f>Procurement_Raw!H106</f>
        <v>10</v>
      </c>
      <c r="I106" s="7">
        <f>Procurement_Raw!I106</f>
        <v>274.52999999999997</v>
      </c>
      <c r="J106" s="7">
        <f>Procurement_Raw!J106</f>
        <v>2745.34</v>
      </c>
      <c r="K106" s="6">
        <f>Procurement_Raw!K106</f>
        <v>60</v>
      </c>
      <c r="L106" t="str">
        <f>Procurement_Raw!L106</f>
        <v>Legacy Spend File</v>
      </c>
      <c r="M106" s="8">
        <f>Procurement_Raw!M106</f>
        <v>549.06799999999998</v>
      </c>
      <c r="N106" s="7">
        <f>Procurement_Raw!N106</f>
        <v>2745.34</v>
      </c>
      <c r="O106" s="7">
        <f t="shared" si="2"/>
        <v>2745.34</v>
      </c>
      <c r="P106" t="str">
        <f>IFERROR(INDEX(Supplier_Lookup!$B$2:$B$200,MATCH(E106,Supplier_Lookup!$A$2:$A$200,0)),"Unmapped")</f>
        <v>Agency Labour</v>
      </c>
      <c r="Q106" s="10">
        <f>IFERROR(INDEX(Category_Targets!$B$2:$B$9,MATCH(F106,Category_Targets!$A$2:$A$9,0)),0)</f>
        <v>7.0000000000000007E-2</v>
      </c>
      <c r="R106" s="7">
        <f t="shared" si="3"/>
        <v>192.17380000000003</v>
      </c>
    </row>
    <row r="107" spans="1:18" x14ac:dyDescent="0.25">
      <c r="A107" s="5">
        <f>Procurement_Raw!A107</f>
        <v>46014</v>
      </c>
      <c r="B107" t="str">
        <f>Procurement_Raw!B107</f>
        <v>S020</v>
      </c>
      <c r="C107" t="str">
        <f>Procurement_Raw!C107</f>
        <v>Bangor Care &amp; Education Centre</v>
      </c>
      <c r="D107" t="str">
        <f>Procurement_Raw!D107</f>
        <v>Wales</v>
      </c>
      <c r="E107" t="str">
        <f>Procurement_Raw!E107</f>
        <v>UK Energy Partners</v>
      </c>
      <c r="F107" t="str">
        <f>Procurement_Raw!F107</f>
        <v>Utilities</v>
      </c>
      <c r="G107" t="str">
        <f>Procurement_Raw!G107</f>
        <v>INV-2025-00106</v>
      </c>
      <c r="H107" s="6">
        <f>Procurement_Raw!H107</f>
        <v>39</v>
      </c>
      <c r="I107" s="7">
        <f>Procurement_Raw!I107</f>
        <v>312.20999999999998</v>
      </c>
      <c r="J107" s="7">
        <f>Procurement_Raw!J107</f>
        <v>12176.35</v>
      </c>
      <c r="K107" s="6">
        <f>Procurement_Raw!K107</f>
        <v>60</v>
      </c>
      <c r="L107" t="str">
        <f>Procurement_Raw!L107</f>
        <v>Legacy Spend File</v>
      </c>
      <c r="M107" s="8">
        <f>Procurement_Raw!M107</f>
        <v>2435.27</v>
      </c>
      <c r="N107" s="7">
        <f>Procurement_Raw!N107</f>
        <v>12176.35</v>
      </c>
      <c r="O107" s="7">
        <f t="shared" si="2"/>
        <v>12176.35</v>
      </c>
      <c r="P107" t="str">
        <f>IFERROR(INDEX(Supplier_Lookup!$B$2:$B$200,MATCH(E107,Supplier_Lookup!$A$2:$A$200,0)),"Unmapped")</f>
        <v>Utilities</v>
      </c>
      <c r="Q107" s="10">
        <f>IFERROR(INDEX(Category_Targets!$B$2:$B$9,MATCH(F107,Category_Targets!$A$2:$A$9,0)),0)</f>
        <v>0.03</v>
      </c>
      <c r="R107" s="7">
        <f t="shared" si="3"/>
        <v>365.29050000000001</v>
      </c>
    </row>
    <row r="108" spans="1:18" x14ac:dyDescent="0.25">
      <c r="A108" s="5">
        <f>Procurement_Raw!A108</f>
        <v>45930</v>
      </c>
      <c r="B108" t="str">
        <f>Procurement_Raw!B108</f>
        <v>S001</v>
      </c>
      <c r="C108" t="str">
        <f>Procurement_Raw!C108</f>
        <v>Preston Care &amp; Education Centre</v>
      </c>
      <c r="D108" t="str">
        <f>Procurement_Raw!D108</f>
        <v>North</v>
      </c>
      <c r="E108" t="str">
        <f>Procurement_Raw!E108</f>
        <v>CareMed</v>
      </c>
      <c r="F108" t="str">
        <f>Procurement_Raw!F108</f>
        <v>Medical Supplies</v>
      </c>
      <c r="G108" t="str">
        <f>Procurement_Raw!G108</f>
        <v>INV-2025-00107</v>
      </c>
      <c r="H108" s="6">
        <f>Procurement_Raw!H108</f>
        <v>55</v>
      </c>
      <c r="I108" s="7">
        <f>Procurement_Raw!I108</f>
        <v>338.63</v>
      </c>
      <c r="J108" s="7">
        <f>Procurement_Raw!J108</f>
        <v>18624.39</v>
      </c>
      <c r="K108" s="6">
        <f>Procurement_Raw!K108</f>
        <v>60</v>
      </c>
      <c r="L108" t="str">
        <f>Procurement_Raw!L108</f>
        <v>Procurement Portal</v>
      </c>
      <c r="M108" s="8">
        <f>Procurement_Raw!M108</f>
        <v>3724.8780000000002</v>
      </c>
      <c r="N108" s="7">
        <f>Procurement_Raw!N108</f>
        <v>18624.39</v>
      </c>
      <c r="O108" s="7">
        <f t="shared" si="2"/>
        <v>18624.39</v>
      </c>
      <c r="P108" t="str">
        <f>IFERROR(INDEX(Supplier_Lookup!$B$2:$B$200,MATCH(E108,Supplier_Lookup!$A$2:$A$200,0)),"Unmapped")</f>
        <v>Medical Supplies</v>
      </c>
      <c r="Q108" s="10">
        <f>IFERROR(INDEX(Category_Targets!$B$2:$B$9,MATCH(F108,Category_Targets!$A$2:$A$9,0)),0)</f>
        <v>0.06</v>
      </c>
      <c r="R108" s="7">
        <f t="shared" si="3"/>
        <v>1117.4633999999999</v>
      </c>
    </row>
    <row r="109" spans="1:18" x14ac:dyDescent="0.25">
      <c r="A109" s="5">
        <f>Procurement_Raw!A109</f>
        <v>45873</v>
      </c>
      <c r="B109" t="str">
        <f>Procurement_Raw!B109</f>
        <v>S009</v>
      </c>
      <c r="C109" t="str">
        <f>Procurement_Raw!C109</f>
        <v>Derby Care &amp; Education Centre</v>
      </c>
      <c r="D109" t="str">
        <f>Procurement_Raw!D109</f>
        <v>Midlands</v>
      </c>
      <c r="E109" t="str">
        <f>Procurement_Raw!E109</f>
        <v>FleetFuel</v>
      </c>
      <c r="F109" t="str">
        <f>Procurement_Raw!F109</f>
        <v>Vehicle &amp; Fuel</v>
      </c>
      <c r="G109" t="str">
        <f>Procurement_Raw!G109</f>
        <v>INV-2025-00108</v>
      </c>
      <c r="H109" s="6">
        <f>Procurement_Raw!H109</f>
        <v>63</v>
      </c>
      <c r="I109" s="7">
        <f>Procurement_Raw!I109</f>
        <v>104.57</v>
      </c>
      <c r="J109" s="7">
        <f>Procurement_Raw!J109</f>
        <v>6588.16</v>
      </c>
      <c r="K109" s="6">
        <f>Procurement_Raw!K109</f>
        <v>30</v>
      </c>
      <c r="L109" t="str">
        <f>Procurement_Raw!L109</f>
        <v>Procurement Portal</v>
      </c>
      <c r="M109" s="8">
        <f>Procurement_Raw!M109</f>
        <v>1317.6320000000001</v>
      </c>
      <c r="N109" s="7">
        <f>Procurement_Raw!N109</f>
        <v>6588.16</v>
      </c>
      <c r="O109" s="7">
        <f t="shared" si="2"/>
        <v>6588.16</v>
      </c>
      <c r="P109" t="str">
        <f>IFERROR(INDEX(Supplier_Lookup!$B$2:$B$200,MATCH(E109,Supplier_Lookup!$A$2:$A$200,0)),"Unmapped")</f>
        <v>Vehicle &amp; Fuel</v>
      </c>
      <c r="Q109" s="10">
        <f>IFERROR(INDEX(Category_Targets!$B$2:$B$9,MATCH(F109,Category_Targets!$A$2:$A$9,0)),0)</f>
        <v>0.05</v>
      </c>
      <c r="R109" s="7">
        <f t="shared" si="3"/>
        <v>329.40800000000002</v>
      </c>
    </row>
    <row r="110" spans="1:18" x14ac:dyDescent="0.25">
      <c r="A110" s="5">
        <f>Procurement_Raw!A110</f>
        <v>45736</v>
      </c>
      <c r="B110" t="str">
        <f>Procurement_Raw!B110</f>
        <v>S011</v>
      </c>
      <c r="C110" t="str">
        <f>Procurement_Raw!C110</f>
        <v>London Care &amp; Education Centre</v>
      </c>
      <c r="D110" t="str">
        <f>Procurement_Raw!D110</f>
        <v>South</v>
      </c>
      <c r="E110" t="str">
        <f>Procurement_Raw!E110</f>
        <v>PrintCo</v>
      </c>
      <c r="F110" t="str">
        <f>Procurement_Raw!F110</f>
        <v>Office &amp; Training</v>
      </c>
      <c r="G110" t="str">
        <f>Procurement_Raw!G110</f>
        <v>INV-2025-00109</v>
      </c>
      <c r="H110" s="6">
        <f>Procurement_Raw!H110</f>
        <v>56</v>
      </c>
      <c r="I110" s="7">
        <f>Procurement_Raw!I110</f>
        <v>86.41</v>
      </c>
      <c r="J110" s="7">
        <f>Procurement_Raw!J110</f>
        <v>4839.1400000000003</v>
      </c>
      <c r="K110" s="6">
        <f>Procurement_Raw!K110</f>
        <v>30</v>
      </c>
      <c r="L110" t="str">
        <f>Procurement_Raw!L110</f>
        <v>Legacy Spend File</v>
      </c>
      <c r="M110" s="8">
        <f>Procurement_Raw!M110</f>
        <v>967.82799999999997</v>
      </c>
      <c r="N110" s="7">
        <f>Procurement_Raw!N110</f>
        <v>4839.1400000000003</v>
      </c>
      <c r="O110" s="7">
        <f t="shared" si="2"/>
        <v>4839.1400000000003</v>
      </c>
      <c r="P110" t="str">
        <f>IFERROR(INDEX(Supplier_Lookup!$B$2:$B$200,MATCH(E110,Supplier_Lookup!$A$2:$A$200,0)),"Unmapped")</f>
        <v>Office &amp; Training</v>
      </c>
      <c r="Q110" s="10">
        <f>IFERROR(INDEX(Category_Targets!$B$2:$B$9,MATCH(F110,Category_Targets!$A$2:$A$9,0)),0)</f>
        <v>0.04</v>
      </c>
      <c r="R110" s="7">
        <f t="shared" si="3"/>
        <v>193.56560000000002</v>
      </c>
    </row>
    <row r="111" spans="1:18" x14ac:dyDescent="0.25">
      <c r="A111" s="5">
        <f>Procurement_Raw!A111</f>
        <v>45933</v>
      </c>
      <c r="B111" t="str">
        <f>Procurement_Raw!B111</f>
        <v>S019</v>
      </c>
      <c r="C111" t="str">
        <f>Procurement_Raw!C111</f>
        <v>Wrexham Care &amp; Education Centre</v>
      </c>
      <c r="D111" t="str">
        <f>Procurement_Raw!D111</f>
        <v>Wales</v>
      </c>
      <c r="E111" t="str">
        <f>Procurement_Raw!E111</f>
        <v>NetServe</v>
      </c>
      <c r="F111" t="str">
        <f>Procurement_Raw!F111</f>
        <v>IT &amp; Telecoms</v>
      </c>
      <c r="G111" t="str">
        <f>Procurement_Raw!G111</f>
        <v>INV-2025-00110</v>
      </c>
      <c r="H111" s="6">
        <f>Procurement_Raw!H111</f>
        <v>62</v>
      </c>
      <c r="I111" s="7">
        <f>Procurement_Raw!I111</f>
        <v>211.17</v>
      </c>
      <c r="J111" s="7">
        <f>Procurement_Raw!J111</f>
        <v>13092.79</v>
      </c>
      <c r="K111" s="6">
        <f>Procurement_Raw!K111</f>
        <v>45</v>
      </c>
      <c r="L111" t="str">
        <f>Procurement_Raw!L111</f>
        <v>Procurement Portal</v>
      </c>
      <c r="M111" s="8">
        <f>Procurement_Raw!M111</f>
        <v>2618.558</v>
      </c>
      <c r="N111" s="7">
        <f>Procurement_Raw!N111</f>
        <v>13092.79</v>
      </c>
      <c r="O111" s="7">
        <f t="shared" si="2"/>
        <v>13092.79</v>
      </c>
      <c r="P111" t="str">
        <f>IFERROR(INDEX(Supplier_Lookup!$B$2:$B$200,MATCH(E111,Supplier_Lookup!$A$2:$A$200,0)),"Unmapped")</f>
        <v>IT &amp; Telecoms</v>
      </c>
      <c r="Q111" s="10">
        <f>IFERROR(INDEX(Category_Targets!$B$2:$B$9,MATCH(F111,Category_Targets!$A$2:$A$9,0)),0)</f>
        <v>0.08</v>
      </c>
      <c r="R111" s="7">
        <f t="shared" si="3"/>
        <v>1047.4232000000002</v>
      </c>
    </row>
    <row r="112" spans="1:18" x14ac:dyDescent="0.25">
      <c r="A112" s="5">
        <f>Procurement_Raw!A112</f>
        <v>45783</v>
      </c>
      <c r="B112" t="str">
        <f>Procurement_Raw!B112</f>
        <v>S006</v>
      </c>
      <c r="C112" t="str">
        <f>Procurement_Raw!C112</f>
        <v>Birmingham Care &amp; Education Centre</v>
      </c>
      <c r="D112" t="str">
        <f>Procurement_Raw!D112</f>
        <v>Midlands</v>
      </c>
      <c r="E112" t="str">
        <f>Procurement_Raw!E112</f>
        <v>TeleCare IT</v>
      </c>
      <c r="F112" t="str">
        <f>Procurement_Raw!F112</f>
        <v>IT &amp; Telecoms</v>
      </c>
      <c r="G112" t="str">
        <f>Procurement_Raw!G112</f>
        <v>INV-2025-00111</v>
      </c>
      <c r="H112" s="6">
        <f>Procurement_Raw!H112</f>
        <v>12</v>
      </c>
      <c r="I112" s="7">
        <f>Procurement_Raw!I112</f>
        <v>76.58</v>
      </c>
      <c r="J112" s="7">
        <f>Procurement_Raw!J112</f>
        <v>918.93</v>
      </c>
      <c r="K112" s="6">
        <f>Procurement_Raw!K112</f>
        <v>45</v>
      </c>
      <c r="L112" t="str">
        <f>Procurement_Raw!L112</f>
        <v>Procurement Portal</v>
      </c>
      <c r="M112" s="8">
        <f>Procurement_Raw!M112</f>
        <v>183.786</v>
      </c>
      <c r="N112" s="7">
        <f>Procurement_Raw!N112</f>
        <v>918.93</v>
      </c>
      <c r="O112" s="7">
        <f t="shared" si="2"/>
        <v>918.93</v>
      </c>
      <c r="P112" t="str">
        <f>IFERROR(INDEX(Supplier_Lookup!$B$2:$B$200,MATCH(E112,Supplier_Lookup!$A$2:$A$200,0)),"Unmapped")</f>
        <v>IT &amp; Telecoms</v>
      </c>
      <c r="Q112" s="10">
        <f>IFERROR(INDEX(Category_Targets!$B$2:$B$9,MATCH(F112,Category_Targets!$A$2:$A$9,0)),0)</f>
        <v>0.08</v>
      </c>
      <c r="R112" s="7">
        <f t="shared" si="3"/>
        <v>73.514399999999995</v>
      </c>
    </row>
    <row r="113" spans="1:18" x14ac:dyDescent="0.25">
      <c r="A113" s="5">
        <f>Procurement_Raw!A113</f>
        <v>45970</v>
      </c>
      <c r="B113" t="str">
        <f>Procurement_Raw!B113</f>
        <v>S006</v>
      </c>
      <c r="C113" t="str">
        <f>Procurement_Raw!C113</f>
        <v>Birmingham Care &amp; Education Centre</v>
      </c>
      <c r="D113" t="str">
        <f>Procurement_Raw!D113</f>
        <v>Midlands</v>
      </c>
      <c r="E113" t="str">
        <f>Procurement_Raw!E113</f>
        <v>PrintCo</v>
      </c>
      <c r="F113" t="str">
        <f>Procurement_Raw!F113</f>
        <v>Office &amp; Training</v>
      </c>
      <c r="G113" t="str">
        <f>Procurement_Raw!G113</f>
        <v>INV-2025-00112</v>
      </c>
      <c r="H113" s="6">
        <f>Procurement_Raw!H113</f>
        <v>49</v>
      </c>
      <c r="I113" s="7">
        <f>Procurement_Raw!I113</f>
        <v>73.91</v>
      </c>
      <c r="J113" s="7">
        <f>Procurement_Raw!J113</f>
        <v>3621.8</v>
      </c>
      <c r="K113" s="6">
        <f>Procurement_Raw!K113</f>
        <v>45</v>
      </c>
      <c r="L113" t="str">
        <f>Procurement_Raw!L113</f>
        <v>ERP</v>
      </c>
      <c r="M113" s="8">
        <f>Procurement_Raw!M113</f>
        <v>724.36</v>
      </c>
      <c r="N113" s="7">
        <f>Procurement_Raw!N113</f>
        <v>3621.8</v>
      </c>
      <c r="O113" s="7">
        <f t="shared" si="2"/>
        <v>3621.8</v>
      </c>
      <c r="P113" t="str">
        <f>IFERROR(INDEX(Supplier_Lookup!$B$2:$B$200,MATCH(E113,Supplier_Lookup!$A$2:$A$200,0)),"Unmapped")</f>
        <v>Office &amp; Training</v>
      </c>
      <c r="Q113" s="10">
        <f>IFERROR(INDEX(Category_Targets!$B$2:$B$9,MATCH(F113,Category_Targets!$A$2:$A$9,0)),0)</f>
        <v>0.04</v>
      </c>
      <c r="R113" s="7">
        <f t="shared" si="3"/>
        <v>144.87200000000001</v>
      </c>
    </row>
    <row r="114" spans="1:18" x14ac:dyDescent="0.25">
      <c r="A114" s="5">
        <f>Procurement_Raw!A114</f>
        <v>45907</v>
      </c>
      <c r="B114" t="str">
        <f>Procurement_Raw!B114</f>
        <v>S018</v>
      </c>
      <c r="C114" t="str">
        <f>Procurement_Raw!C114</f>
        <v>Newport Care &amp; Education Centre</v>
      </c>
      <c r="D114" t="str">
        <f>Procurement_Raw!D114</f>
        <v>Wales</v>
      </c>
      <c r="E114" t="str">
        <f>Procurement_Raw!E114</f>
        <v>FleetFuel</v>
      </c>
      <c r="F114" t="str">
        <f>Procurement_Raw!F114</f>
        <v>Vehicle &amp; Fuel</v>
      </c>
      <c r="G114" t="str">
        <f>Procurement_Raw!G114</f>
        <v>INV-2025-00113</v>
      </c>
      <c r="H114" s="6">
        <f>Procurement_Raw!H114</f>
        <v>28</v>
      </c>
      <c r="I114" s="7">
        <f>Procurement_Raw!I114</f>
        <v>98.2</v>
      </c>
      <c r="J114" s="7">
        <f>Procurement_Raw!J114</f>
        <v>2749.59</v>
      </c>
      <c r="K114" s="6">
        <f>Procurement_Raw!K114</f>
        <v>45</v>
      </c>
      <c r="L114" t="str">
        <f>Procurement_Raw!L114</f>
        <v>Procurement Portal</v>
      </c>
      <c r="M114" s="8">
        <f>Procurement_Raw!M114</f>
        <v>549.91800000000001</v>
      </c>
      <c r="N114" s="7">
        <f>Procurement_Raw!N114</f>
        <v>2749.59</v>
      </c>
      <c r="O114" s="7">
        <f t="shared" si="2"/>
        <v>2749.59</v>
      </c>
      <c r="P114" t="str">
        <f>IFERROR(INDEX(Supplier_Lookup!$B$2:$B$200,MATCH(E114,Supplier_Lookup!$A$2:$A$200,0)),"Unmapped")</f>
        <v>Vehicle &amp; Fuel</v>
      </c>
      <c r="Q114" s="10">
        <f>IFERROR(INDEX(Category_Targets!$B$2:$B$9,MATCH(F114,Category_Targets!$A$2:$A$9,0)),0)</f>
        <v>0.05</v>
      </c>
      <c r="R114" s="7">
        <f t="shared" si="3"/>
        <v>137.4795</v>
      </c>
    </row>
    <row r="115" spans="1:18" x14ac:dyDescent="0.25">
      <c r="A115" s="5">
        <f>Procurement_Raw!A115</f>
        <v>46017</v>
      </c>
      <c r="B115" t="str">
        <f>Procurement_Raw!B115</f>
        <v>S018</v>
      </c>
      <c r="C115" t="str">
        <f>Procurement_Raw!C115</f>
        <v>Newport Care &amp; Education Centre</v>
      </c>
      <c r="D115" t="str">
        <f>Procurement_Raw!D115</f>
        <v>Wales</v>
      </c>
      <c r="E115" t="str">
        <f>Procurement_Raw!E115</f>
        <v>NetServe</v>
      </c>
      <c r="F115" t="str">
        <f>Procurement_Raw!F115</f>
        <v>IT &amp; Telecoms</v>
      </c>
      <c r="G115" t="str">
        <f>Procurement_Raw!G115</f>
        <v>INV-2025-00114</v>
      </c>
      <c r="H115" s="6">
        <f>Procurement_Raw!H115</f>
        <v>36</v>
      </c>
      <c r="I115" s="7">
        <f>Procurement_Raw!I115</f>
        <v>852.7</v>
      </c>
      <c r="J115" s="7">
        <f>Procurement_Raw!J115</f>
        <v>30697.29</v>
      </c>
      <c r="K115" s="6">
        <f>Procurement_Raw!K115</f>
        <v>60</v>
      </c>
      <c r="L115" t="str">
        <f>Procurement_Raw!L115</f>
        <v>ERP</v>
      </c>
      <c r="M115" s="8">
        <f>Procurement_Raw!M115</f>
        <v>6139.4579999999996</v>
      </c>
      <c r="N115" s="7">
        <f>Procurement_Raw!N115</f>
        <v>30697.29</v>
      </c>
      <c r="O115" s="7">
        <f t="shared" si="2"/>
        <v>30697.29</v>
      </c>
      <c r="P115" t="str">
        <f>IFERROR(INDEX(Supplier_Lookup!$B$2:$B$200,MATCH(E115,Supplier_Lookup!$A$2:$A$200,0)),"Unmapped")</f>
        <v>IT &amp; Telecoms</v>
      </c>
      <c r="Q115" s="10">
        <f>IFERROR(INDEX(Category_Targets!$B$2:$B$9,MATCH(F115,Category_Targets!$A$2:$A$9,0)),0)</f>
        <v>0.08</v>
      </c>
      <c r="R115" s="7">
        <f t="shared" si="3"/>
        <v>2455.7832000000003</v>
      </c>
    </row>
    <row r="116" spans="1:18" x14ac:dyDescent="0.25">
      <c r="A116" s="5">
        <f>Procurement_Raw!A116</f>
        <v>45781</v>
      </c>
      <c r="B116" t="str">
        <f>Procurement_Raw!B116</f>
        <v>S015</v>
      </c>
      <c r="C116" t="str">
        <f>Procurement_Raw!C116</f>
        <v>Brighton Care &amp; Education Centre</v>
      </c>
      <c r="D116" t="str">
        <f>Procurement_Raw!D116</f>
        <v>South</v>
      </c>
      <c r="E116" t="str">
        <f>Procurement_Raw!E116</f>
        <v>UK Energy Partners</v>
      </c>
      <c r="F116" t="str">
        <f>Procurement_Raw!F116</f>
        <v>Utilities</v>
      </c>
      <c r="G116" t="str">
        <f>Procurement_Raw!G116</f>
        <v>INV-2025-00115</v>
      </c>
      <c r="H116" s="6">
        <f>Procurement_Raw!H116</f>
        <v>53</v>
      </c>
      <c r="I116" s="7">
        <f>Procurement_Raw!I116</f>
        <v>224.9</v>
      </c>
      <c r="J116" s="7">
        <f>Procurement_Raw!J116</f>
        <v>11919.78</v>
      </c>
      <c r="K116" s="6">
        <f>Procurement_Raw!K116</f>
        <v>45</v>
      </c>
      <c r="L116" t="str">
        <f>Procurement_Raw!L116</f>
        <v>Legacy Spend File</v>
      </c>
      <c r="M116" s="8">
        <f>Procurement_Raw!M116</f>
        <v>2383.9560000000001</v>
      </c>
      <c r="N116" s="7">
        <f>Procurement_Raw!N116</f>
        <v>11919.78</v>
      </c>
      <c r="O116" s="7">
        <f t="shared" si="2"/>
        <v>11919.78</v>
      </c>
      <c r="P116" t="str">
        <f>IFERROR(INDEX(Supplier_Lookup!$B$2:$B$200,MATCH(E116,Supplier_Lookup!$A$2:$A$200,0)),"Unmapped")</f>
        <v>Utilities</v>
      </c>
      <c r="Q116" s="10">
        <f>IFERROR(INDEX(Category_Targets!$B$2:$B$9,MATCH(F116,Category_Targets!$A$2:$A$9,0)),0)</f>
        <v>0.03</v>
      </c>
      <c r="R116" s="7">
        <f t="shared" si="3"/>
        <v>357.59340000000003</v>
      </c>
    </row>
    <row r="117" spans="1:18" x14ac:dyDescent="0.25">
      <c r="A117" s="5">
        <f>Procurement_Raw!A117</f>
        <v>45901</v>
      </c>
      <c r="B117" t="str">
        <f>Procurement_Raw!B117</f>
        <v>S012</v>
      </c>
      <c r="C117" t="str">
        <f>Procurement_Raw!C117</f>
        <v>Bristol Care &amp; Education Centre</v>
      </c>
      <c r="D117" t="str">
        <f>Procurement_Raw!D117</f>
        <v>South</v>
      </c>
      <c r="E117" t="str">
        <f>Procurement_Raw!E117</f>
        <v>PowerDirect</v>
      </c>
      <c r="F117" t="str">
        <f>Procurement_Raw!F117</f>
        <v>Utilities</v>
      </c>
      <c r="G117" t="str">
        <f>Procurement_Raw!G117</f>
        <v>INV-2025-00116</v>
      </c>
      <c r="H117" s="6">
        <f>Procurement_Raw!H117</f>
        <v>63</v>
      </c>
      <c r="I117" s="7">
        <f>Procurement_Raw!I117</f>
        <v>295.10000000000002</v>
      </c>
      <c r="J117" s="7">
        <f>Procurement_Raw!J117</f>
        <v>18591.259999999998</v>
      </c>
      <c r="K117" s="6">
        <f>Procurement_Raw!K117</f>
        <v>45</v>
      </c>
      <c r="L117" t="str">
        <f>Procurement_Raw!L117</f>
        <v>ERP</v>
      </c>
      <c r="M117" s="8">
        <f>Procurement_Raw!M117</f>
        <v>3718.252</v>
      </c>
      <c r="N117" s="7">
        <f>Procurement_Raw!N117</f>
        <v>18591.259999999998</v>
      </c>
      <c r="O117" s="7">
        <f t="shared" si="2"/>
        <v>18591.259999999998</v>
      </c>
      <c r="P117" t="str">
        <f>IFERROR(INDEX(Supplier_Lookup!$B$2:$B$200,MATCH(E117,Supplier_Lookup!$A$2:$A$200,0)),"Unmapped")</f>
        <v>Utilities</v>
      </c>
      <c r="Q117" s="10">
        <f>IFERROR(INDEX(Category_Targets!$B$2:$B$9,MATCH(F117,Category_Targets!$A$2:$A$9,0)),0)</f>
        <v>0.03</v>
      </c>
      <c r="R117" s="7">
        <f t="shared" si="3"/>
        <v>557.73779999999988</v>
      </c>
    </row>
    <row r="118" spans="1:18" x14ac:dyDescent="0.25">
      <c r="A118" s="5">
        <f>Procurement_Raw!A118</f>
        <v>45865</v>
      </c>
      <c r="B118" t="str">
        <f>Procurement_Raw!B118</f>
        <v>S020</v>
      </c>
      <c r="C118" t="str">
        <f>Procurement_Raw!C118</f>
        <v>Bangor Care &amp; Education Centre</v>
      </c>
      <c r="D118" t="str">
        <f>Procurement_Raw!D118</f>
        <v>Wales</v>
      </c>
      <c r="E118" t="str">
        <f>Procurement_Raw!E118</f>
        <v>CloudLink</v>
      </c>
      <c r="F118" t="str">
        <f>Procurement_Raw!F118</f>
        <v>IT &amp; Telecoms</v>
      </c>
      <c r="G118" t="str">
        <f>Procurement_Raw!G118</f>
        <v>INV-2025-00117</v>
      </c>
      <c r="H118" s="6">
        <f>Procurement_Raw!H118</f>
        <v>32</v>
      </c>
      <c r="I118" s="7">
        <f>Procurement_Raw!I118</f>
        <v>215.84</v>
      </c>
      <c r="J118" s="7">
        <f>Procurement_Raw!J118</f>
        <v>6906.87</v>
      </c>
      <c r="K118" s="6">
        <f>Procurement_Raw!K118</f>
        <v>45</v>
      </c>
      <c r="L118" t="str">
        <f>Procurement_Raw!L118</f>
        <v>Legacy Spend File</v>
      </c>
      <c r="M118" s="8">
        <f>Procurement_Raw!M118</f>
        <v>1381.374</v>
      </c>
      <c r="N118" s="7">
        <f>Procurement_Raw!N118</f>
        <v>6906.87</v>
      </c>
      <c r="O118" s="7">
        <f t="shared" si="2"/>
        <v>6906.87</v>
      </c>
      <c r="P118" t="str">
        <f>IFERROR(INDEX(Supplier_Lookup!$B$2:$B$200,MATCH(E118,Supplier_Lookup!$A$2:$A$200,0)),"Unmapped")</f>
        <v>medical supplies</v>
      </c>
      <c r="Q118" s="10">
        <f>IFERROR(INDEX(Category_Targets!$B$2:$B$9,MATCH(F118,Category_Targets!$A$2:$A$9,0)),0)</f>
        <v>0.08</v>
      </c>
      <c r="R118" s="7">
        <f t="shared" si="3"/>
        <v>552.54960000000005</v>
      </c>
    </row>
    <row r="119" spans="1:18" x14ac:dyDescent="0.25">
      <c r="A119" s="5">
        <f>Procurement_Raw!A119</f>
        <v>45941</v>
      </c>
      <c r="B119" t="str">
        <f>Procurement_Raw!B119</f>
        <v>S015</v>
      </c>
      <c r="C119" t="str">
        <f>Procurement_Raw!C119</f>
        <v>Brighton Care &amp; Education Centre</v>
      </c>
      <c r="D119" t="str">
        <f>Procurement_Raw!D119</f>
        <v>South</v>
      </c>
      <c r="E119" t="str">
        <f>Procurement_Raw!E119</f>
        <v>RoadReady</v>
      </c>
      <c r="F119" t="str">
        <f>Procurement_Raw!F119</f>
        <v>Vehicle &amp; Fuel</v>
      </c>
      <c r="G119" t="str">
        <f>Procurement_Raw!G119</f>
        <v>INV-2025-00118</v>
      </c>
      <c r="H119" s="6">
        <f>Procurement_Raw!H119</f>
        <v>68</v>
      </c>
      <c r="I119" s="7">
        <f>Procurement_Raw!I119</f>
        <v>49.95</v>
      </c>
      <c r="J119" s="7">
        <f>Procurement_Raw!J119</f>
        <v>3396.88</v>
      </c>
      <c r="K119" s="6">
        <f>Procurement_Raw!K119</f>
        <v>45</v>
      </c>
      <c r="L119" t="str">
        <f>Procurement_Raw!L119</f>
        <v>Procurement Portal</v>
      </c>
      <c r="M119" s="8">
        <f>Procurement_Raw!M119</f>
        <v>679.37599999999998</v>
      </c>
      <c r="N119" s="7">
        <f>Procurement_Raw!N119</f>
        <v>3396.88</v>
      </c>
      <c r="O119" s="7">
        <f t="shared" si="2"/>
        <v>3396.88</v>
      </c>
      <c r="P119" t="str">
        <f>IFERROR(INDEX(Supplier_Lookup!$B$2:$B$200,MATCH(E119,Supplier_Lookup!$A$2:$A$200,0)),"Unmapped")</f>
        <v>Vehicle &amp; Fuel</v>
      </c>
      <c r="Q119" s="10">
        <f>IFERROR(INDEX(Category_Targets!$B$2:$B$9,MATCH(F119,Category_Targets!$A$2:$A$9,0)),0)</f>
        <v>0.05</v>
      </c>
      <c r="R119" s="7">
        <f t="shared" si="3"/>
        <v>169.84400000000002</v>
      </c>
    </row>
    <row r="120" spans="1:18" x14ac:dyDescent="0.25">
      <c r="A120" s="5">
        <f>Procurement_Raw!A120</f>
        <v>46017</v>
      </c>
      <c r="B120" t="str">
        <f>Procurement_Raw!B120</f>
        <v>S008</v>
      </c>
      <c r="C120" t="str">
        <f>Procurement_Raw!C120</f>
        <v>Leicester Care &amp; Education Centre</v>
      </c>
      <c r="D120" t="str">
        <f>Procurement_Raw!D120</f>
        <v>Midlands</v>
      </c>
      <c r="E120" t="str">
        <f>Procurement_Raw!E120</f>
        <v>RoadReady</v>
      </c>
      <c r="F120" t="str">
        <f>Procurement_Raw!F120</f>
        <v>Vehicle &amp; Fuel</v>
      </c>
      <c r="G120" t="str">
        <f>Procurement_Raw!G120</f>
        <v>INV-2025-00119</v>
      </c>
      <c r="H120" s="6">
        <f>Procurement_Raw!H120</f>
        <v>59</v>
      </c>
      <c r="I120" s="7">
        <f>Procurement_Raw!I120</f>
        <v>178.12</v>
      </c>
      <c r="J120" s="7">
        <f>Procurement_Raw!J120</f>
        <v>10508.79</v>
      </c>
      <c r="K120" s="6">
        <f>Procurement_Raw!K120</f>
        <v>45</v>
      </c>
      <c r="L120" t="str">
        <f>Procurement_Raw!L120</f>
        <v>Procurement Portal</v>
      </c>
      <c r="M120" s="8">
        <f>Procurement_Raw!M120</f>
        <v>2101.7579999999998</v>
      </c>
      <c r="N120" s="7">
        <f>Procurement_Raw!N120</f>
        <v>10508.79</v>
      </c>
      <c r="O120" s="7">
        <f t="shared" si="2"/>
        <v>10508.79</v>
      </c>
      <c r="P120" t="str">
        <f>IFERROR(INDEX(Supplier_Lookup!$B$2:$B$200,MATCH(E120,Supplier_Lookup!$A$2:$A$200,0)),"Unmapped")</f>
        <v>Vehicle &amp; Fuel</v>
      </c>
      <c r="Q120" s="10">
        <f>IFERROR(INDEX(Category_Targets!$B$2:$B$9,MATCH(F120,Category_Targets!$A$2:$A$9,0)),0)</f>
        <v>0.05</v>
      </c>
      <c r="R120" s="7">
        <f t="shared" si="3"/>
        <v>525.43950000000007</v>
      </c>
    </row>
    <row r="121" spans="1:18" x14ac:dyDescent="0.25">
      <c r="A121" s="5">
        <f>Procurement_Raw!A121</f>
        <v>45756</v>
      </c>
      <c r="B121" t="str">
        <f>Procurement_Raw!B121</f>
        <v>S008</v>
      </c>
      <c r="C121" t="str">
        <f>Procurement_Raw!C121</f>
        <v>Leicester Care &amp; Education Centre</v>
      </c>
      <c r="D121" t="str">
        <f>Procurement_Raw!D121</f>
        <v>Midlands</v>
      </c>
      <c r="E121" t="str">
        <f>Procurement_Raw!E121</f>
        <v>UK Energy Partners</v>
      </c>
      <c r="F121" t="str">
        <f>Procurement_Raw!F121</f>
        <v>Utilities</v>
      </c>
      <c r="G121" t="str">
        <f>Procurement_Raw!G121</f>
        <v>INV-2025-00120</v>
      </c>
      <c r="H121" s="6">
        <f>Procurement_Raw!H121</f>
        <v>41</v>
      </c>
      <c r="I121" s="7">
        <f>Procurement_Raw!I121</f>
        <v>378.05</v>
      </c>
      <c r="J121" s="7">
        <f>Procurement_Raw!J121</f>
        <v>15500.01</v>
      </c>
      <c r="K121" s="6">
        <f>Procurement_Raw!K121</f>
        <v>30</v>
      </c>
      <c r="L121" t="str">
        <f>Procurement_Raw!L121</f>
        <v>Legacy Spend File</v>
      </c>
      <c r="M121" s="8">
        <f>Procurement_Raw!M121</f>
        <v>3100.002</v>
      </c>
      <c r="N121" s="7">
        <f>Procurement_Raw!N121</f>
        <v>15500.01</v>
      </c>
      <c r="O121" s="7">
        <f t="shared" si="2"/>
        <v>15500.01</v>
      </c>
      <c r="P121" t="str">
        <f>IFERROR(INDEX(Supplier_Lookup!$B$2:$B$200,MATCH(E121,Supplier_Lookup!$A$2:$A$200,0)),"Unmapped")</f>
        <v>Utilities</v>
      </c>
      <c r="Q121" s="10">
        <f>IFERROR(INDEX(Category_Targets!$B$2:$B$9,MATCH(F121,Category_Targets!$A$2:$A$9,0)),0)</f>
        <v>0.03</v>
      </c>
      <c r="R121" s="7">
        <f t="shared" si="3"/>
        <v>465.00029999999998</v>
      </c>
    </row>
    <row r="122" spans="1:18" x14ac:dyDescent="0.25">
      <c r="A122" s="5">
        <f>Procurement_Raw!A122</f>
        <v>45768</v>
      </c>
      <c r="B122" t="str">
        <f>Procurement_Raw!B122</f>
        <v>S003</v>
      </c>
      <c r="C122" t="str">
        <f>Procurement_Raw!C122</f>
        <v>Leeds Care &amp; Education Centre</v>
      </c>
      <c r="D122" t="str">
        <f>Procurement_Raw!D122</f>
        <v>North</v>
      </c>
      <c r="E122" t="str">
        <f>Procurement_Raw!E122</f>
        <v>CleanWorks</v>
      </c>
      <c r="F122" t="str">
        <f>Procurement_Raw!F122</f>
        <v>Facilities</v>
      </c>
      <c r="G122" t="str">
        <f>Procurement_Raw!G122</f>
        <v>INV-2025-00121</v>
      </c>
      <c r="H122" s="6">
        <f>Procurement_Raw!H122</f>
        <v>62</v>
      </c>
      <c r="I122" s="7">
        <f>Procurement_Raw!I122</f>
        <v>278.11</v>
      </c>
      <c r="J122" s="7">
        <f>Procurement_Raw!J122</f>
        <v>17242.95</v>
      </c>
      <c r="K122" s="6">
        <f>Procurement_Raw!K122</f>
        <v>45</v>
      </c>
      <c r="L122" t="str">
        <f>Procurement_Raw!L122</f>
        <v>Legacy Spend File</v>
      </c>
      <c r="M122" s="8">
        <f>Procurement_Raw!M122</f>
        <v>3448.59</v>
      </c>
      <c r="N122" s="7">
        <f>Procurement_Raw!N122</f>
        <v>17242.95</v>
      </c>
      <c r="O122" s="7">
        <f t="shared" si="2"/>
        <v>17242.95</v>
      </c>
      <c r="P122" t="str">
        <f>IFERROR(INDEX(Supplier_Lookup!$B$2:$B$200,MATCH(E122,Supplier_Lookup!$A$2:$A$200,0)),"Unmapped")</f>
        <v>Facilities</v>
      </c>
      <c r="Q122" s="10">
        <f>IFERROR(INDEX(Category_Targets!$B$2:$B$9,MATCH(F122,Category_Targets!$A$2:$A$9,0)),0)</f>
        <v>0.05</v>
      </c>
      <c r="R122" s="7">
        <f t="shared" si="3"/>
        <v>862.14750000000004</v>
      </c>
    </row>
    <row r="123" spans="1:18" x14ac:dyDescent="0.25">
      <c r="A123" s="5">
        <f>Procurement_Raw!A123</f>
        <v>45757</v>
      </c>
      <c r="B123" t="str">
        <f>Procurement_Raw!B123</f>
        <v>S001</v>
      </c>
      <c r="C123" t="str">
        <f>Procurement_Raw!C123</f>
        <v>Preston Care &amp; Education Centre</v>
      </c>
      <c r="D123" t="str">
        <f>Procurement_Raw!D123</f>
        <v>North</v>
      </c>
      <c r="E123" t="str">
        <f>Procurement_Raw!E123</f>
        <v>CloudLink</v>
      </c>
      <c r="F123" t="str">
        <f>Procurement_Raw!F123</f>
        <v>IT &amp; Telecoms</v>
      </c>
      <c r="G123" t="str">
        <f>Procurement_Raw!G123</f>
        <v>INV-2025-00122</v>
      </c>
      <c r="H123" s="6">
        <f>Procurement_Raw!H123</f>
        <v>38</v>
      </c>
      <c r="I123" s="7">
        <f>Procurement_Raw!I123</f>
        <v>133.41</v>
      </c>
      <c r="J123" s="7">
        <f>Procurement_Raw!J123</f>
        <v>5069.7700000000004</v>
      </c>
      <c r="K123" s="6">
        <f>Procurement_Raw!K123</f>
        <v>30</v>
      </c>
      <c r="L123" t="str">
        <f>Procurement_Raw!L123</f>
        <v>Procurement Portal</v>
      </c>
      <c r="M123" s="8">
        <f>Procurement_Raw!M123</f>
        <v>1013.954</v>
      </c>
      <c r="N123" s="7">
        <f>Procurement_Raw!N123</f>
        <v>5069.7700000000004</v>
      </c>
      <c r="O123" s="7">
        <f t="shared" si="2"/>
        <v>5069.7700000000004</v>
      </c>
      <c r="P123" t="str">
        <f>IFERROR(INDEX(Supplier_Lookup!$B$2:$B$200,MATCH(E123,Supplier_Lookup!$A$2:$A$200,0)),"Unmapped")</f>
        <v>medical supplies</v>
      </c>
      <c r="Q123" s="10">
        <f>IFERROR(INDEX(Category_Targets!$B$2:$B$9,MATCH(F123,Category_Targets!$A$2:$A$9,0)),0)</f>
        <v>0.08</v>
      </c>
      <c r="R123" s="7">
        <f t="shared" si="3"/>
        <v>405.58160000000004</v>
      </c>
    </row>
    <row r="124" spans="1:18" x14ac:dyDescent="0.25">
      <c r="A124" s="5">
        <f>Procurement_Raw!A124</f>
        <v>46020</v>
      </c>
      <c r="B124" t="str">
        <f>Procurement_Raw!B124</f>
        <v>S013</v>
      </c>
      <c r="C124" t="str">
        <f>Procurement_Raw!C124</f>
        <v>Reading Care &amp; Education Centre</v>
      </c>
      <c r="D124" t="str">
        <f>Procurement_Raw!D124</f>
        <v>South</v>
      </c>
      <c r="E124" t="str">
        <f>Procurement_Raw!E124</f>
        <v>CloudLink</v>
      </c>
      <c r="F124" t="str">
        <f>Procurement_Raw!F124</f>
        <v>IT &amp; Telecoms</v>
      </c>
      <c r="G124" t="str">
        <f>Procurement_Raw!G124</f>
        <v>INV-2025-00123</v>
      </c>
      <c r="H124" s="6">
        <f>Procurement_Raw!H124</f>
        <v>69</v>
      </c>
      <c r="I124" s="7">
        <f>Procurement_Raw!I124</f>
        <v>475.88</v>
      </c>
      <c r="J124" s="7">
        <f>Procurement_Raw!J124</f>
        <v>32835.68</v>
      </c>
      <c r="K124" s="6">
        <f>Procurement_Raw!K124</f>
        <v>30</v>
      </c>
      <c r="L124" t="str">
        <f>Procurement_Raw!L124</f>
        <v>Procurement Portal</v>
      </c>
      <c r="M124" s="8">
        <f>Procurement_Raw!M124</f>
        <v>6567.1360000000004</v>
      </c>
      <c r="N124" s="7">
        <f>Procurement_Raw!N124</f>
        <v>32835.68</v>
      </c>
      <c r="O124" s="7">
        <f t="shared" si="2"/>
        <v>32835.68</v>
      </c>
      <c r="P124" t="str">
        <f>IFERROR(INDEX(Supplier_Lookup!$B$2:$B$200,MATCH(E124,Supplier_Lookup!$A$2:$A$200,0)),"Unmapped")</f>
        <v>medical supplies</v>
      </c>
      <c r="Q124" s="10">
        <f>IFERROR(INDEX(Category_Targets!$B$2:$B$9,MATCH(F124,Category_Targets!$A$2:$A$9,0)),0)</f>
        <v>0.08</v>
      </c>
      <c r="R124" s="7">
        <f t="shared" si="3"/>
        <v>2626.8544000000002</v>
      </c>
    </row>
    <row r="125" spans="1:18" x14ac:dyDescent="0.25">
      <c r="A125" s="5">
        <f>Procurement_Raw!A125</f>
        <v>45807</v>
      </c>
      <c r="B125" t="str">
        <f>Procurement_Raw!B125</f>
        <v>S006</v>
      </c>
      <c r="C125" t="str">
        <f>Procurement_Raw!C125</f>
        <v>Birmingham Care &amp; Education Centre</v>
      </c>
      <c r="D125" t="str">
        <f>Procurement_Raw!D125</f>
        <v>Midlands</v>
      </c>
      <c r="E125" t="str">
        <f>Procurement_Raw!E125</f>
        <v>ClinEquip</v>
      </c>
      <c r="F125" t="str">
        <f>Procurement_Raw!F125</f>
        <v>Medical Supplies</v>
      </c>
      <c r="G125" t="str">
        <f>Procurement_Raw!G125</f>
        <v>INV-2025-00124</v>
      </c>
      <c r="H125" s="6">
        <f>Procurement_Raw!H125</f>
        <v>17</v>
      </c>
      <c r="I125" s="7">
        <f>Procurement_Raw!I125</f>
        <v>55.51</v>
      </c>
      <c r="J125" s="7">
        <f>Procurement_Raw!J125</f>
        <v>943.59</v>
      </c>
      <c r="K125" s="6">
        <f>Procurement_Raw!K125</f>
        <v>60</v>
      </c>
      <c r="L125" t="str">
        <f>Procurement_Raw!L125</f>
        <v>Procurement Portal</v>
      </c>
      <c r="M125" s="8">
        <f>Procurement_Raw!M125</f>
        <v>188.71799999999999</v>
      </c>
      <c r="N125" s="7">
        <f>Procurement_Raw!N125</f>
        <v>943.59</v>
      </c>
      <c r="O125" s="7">
        <f t="shared" si="2"/>
        <v>943.59</v>
      </c>
      <c r="P125" t="str">
        <f>IFERROR(INDEX(Supplier_Lookup!$B$2:$B$200,MATCH(E125,Supplier_Lookup!$A$2:$A$200,0)),"Unmapped")</f>
        <v>Medical Supplies</v>
      </c>
      <c r="Q125" s="10">
        <f>IFERROR(INDEX(Category_Targets!$B$2:$B$9,MATCH(F125,Category_Targets!$A$2:$A$9,0)),0)</f>
        <v>0.06</v>
      </c>
      <c r="R125" s="7">
        <f t="shared" si="3"/>
        <v>56.615400000000001</v>
      </c>
    </row>
    <row r="126" spans="1:18" x14ac:dyDescent="0.25">
      <c r="A126" s="5">
        <f>Procurement_Raw!A126</f>
        <v>45803</v>
      </c>
      <c r="B126" t="str">
        <f>Procurement_Raw!B126</f>
        <v>S008</v>
      </c>
      <c r="C126" t="str">
        <f>Procurement_Raw!C126</f>
        <v>Leicester Care &amp; Education Centre</v>
      </c>
      <c r="D126" t="str">
        <f>Procurement_Raw!D126</f>
        <v>Midlands</v>
      </c>
      <c r="E126" t="str">
        <f>Procurement_Raw!E126</f>
        <v>ClinEquip</v>
      </c>
      <c r="F126" t="str">
        <f>Procurement_Raw!F126</f>
        <v>Medical Supplies</v>
      </c>
      <c r="G126" t="str">
        <f>Procurement_Raw!G126</f>
        <v>INV-2025-00125</v>
      </c>
      <c r="H126" s="6">
        <f>Procurement_Raw!H126</f>
        <v>61</v>
      </c>
      <c r="I126" s="7">
        <f>Procurement_Raw!I126</f>
        <v>165.71</v>
      </c>
      <c r="J126" s="7">
        <f>Procurement_Raw!J126</f>
        <v>10108.549999999999</v>
      </c>
      <c r="K126" s="6">
        <f>Procurement_Raw!K126</f>
        <v>45</v>
      </c>
      <c r="L126" t="str">
        <f>Procurement_Raw!L126</f>
        <v>Procurement Portal</v>
      </c>
      <c r="M126" s="8">
        <f>Procurement_Raw!M126</f>
        <v>2021.71</v>
      </c>
      <c r="N126" s="7">
        <f>Procurement_Raw!N126</f>
        <v>10108.549999999999</v>
      </c>
      <c r="O126" s="7">
        <f t="shared" si="2"/>
        <v>10108.549999999999</v>
      </c>
      <c r="P126" t="str">
        <f>IFERROR(INDEX(Supplier_Lookup!$B$2:$B$200,MATCH(E126,Supplier_Lookup!$A$2:$A$200,0)),"Unmapped")</f>
        <v>Medical Supplies</v>
      </c>
      <c r="Q126" s="10">
        <f>IFERROR(INDEX(Category_Targets!$B$2:$B$9,MATCH(F126,Category_Targets!$A$2:$A$9,0)),0)</f>
        <v>0.06</v>
      </c>
      <c r="R126" s="7">
        <f t="shared" si="3"/>
        <v>606.51299999999992</v>
      </c>
    </row>
    <row r="127" spans="1:18" x14ac:dyDescent="0.25">
      <c r="A127" s="5">
        <f>Procurement_Raw!A127</f>
        <v>45787</v>
      </c>
      <c r="B127" t="str">
        <f>Procurement_Raw!B127</f>
        <v>S003</v>
      </c>
      <c r="C127" t="str">
        <f>Procurement_Raw!C127</f>
        <v>Leeds Care &amp; Education Centre</v>
      </c>
      <c r="D127" t="str">
        <f>Procurement_Raw!D127</f>
        <v>North</v>
      </c>
      <c r="E127" t="str">
        <f>Procurement_Raw!E127</f>
        <v>CleanWorks</v>
      </c>
      <c r="F127" t="str">
        <f>Procurement_Raw!F127</f>
        <v>Facilities</v>
      </c>
      <c r="G127" t="str">
        <f>Procurement_Raw!G127</f>
        <v>INV-2025-00126</v>
      </c>
      <c r="H127" s="6">
        <f>Procurement_Raw!H127</f>
        <v>62</v>
      </c>
      <c r="I127" s="7">
        <f>Procurement_Raw!I127</f>
        <v>600.47</v>
      </c>
      <c r="J127" s="7">
        <f>Procurement_Raw!J127</f>
        <v>37228.949999999997</v>
      </c>
      <c r="K127" s="6">
        <f>Procurement_Raw!K127</f>
        <v>30</v>
      </c>
      <c r="L127" t="str">
        <f>Procurement_Raw!L127</f>
        <v>ERP</v>
      </c>
      <c r="M127" s="8">
        <f>Procurement_Raw!M127</f>
        <v>7445.79</v>
      </c>
      <c r="N127" s="7">
        <f>Procurement_Raw!N127</f>
        <v>37228.949999999997</v>
      </c>
      <c r="O127" s="7">
        <f t="shared" si="2"/>
        <v>37228.949999999997</v>
      </c>
      <c r="P127" t="str">
        <f>IFERROR(INDEX(Supplier_Lookup!$B$2:$B$200,MATCH(E127,Supplier_Lookup!$A$2:$A$200,0)),"Unmapped")</f>
        <v>Facilities</v>
      </c>
      <c r="Q127" s="10">
        <f>IFERROR(INDEX(Category_Targets!$B$2:$B$9,MATCH(F127,Category_Targets!$A$2:$A$9,0)),0)</f>
        <v>0.05</v>
      </c>
      <c r="R127" s="7">
        <f t="shared" si="3"/>
        <v>1861.4475</v>
      </c>
    </row>
    <row r="128" spans="1:18" x14ac:dyDescent="0.25">
      <c r="A128" s="5">
        <f>Procurement_Raw!A128</f>
        <v>45953</v>
      </c>
      <c r="B128" t="str">
        <f>Procurement_Raw!B128</f>
        <v>S010</v>
      </c>
      <c r="C128" t="str">
        <f>Procurement_Raw!C128</f>
        <v>Coventry Care &amp; Education Centre</v>
      </c>
      <c r="D128" t="str">
        <f>Procurement_Raw!D128</f>
        <v>Midlands</v>
      </c>
      <c r="E128" t="str">
        <f>Procurement_Raw!E128</f>
        <v>OfficePlus</v>
      </c>
      <c r="F128" t="str">
        <f>Procurement_Raw!F128</f>
        <v>Office &amp; Training</v>
      </c>
      <c r="G128" t="str">
        <f>Procurement_Raw!G128</f>
        <v>INV-2025-00127</v>
      </c>
      <c r="H128" s="6">
        <f>Procurement_Raw!H128</f>
        <v>7</v>
      </c>
      <c r="I128" s="7">
        <f>Procurement_Raw!I128</f>
        <v>43.5</v>
      </c>
      <c r="J128" s="7">
        <f>Procurement_Raw!J128</f>
        <v>304.48</v>
      </c>
      <c r="K128" s="6">
        <f>Procurement_Raw!K128</f>
        <v>30</v>
      </c>
      <c r="L128" t="str">
        <f>Procurement_Raw!L128</f>
        <v>ERP</v>
      </c>
      <c r="M128" s="8">
        <f>Procurement_Raw!M128</f>
        <v>60.896000000000001</v>
      </c>
      <c r="N128" s="7">
        <f>Procurement_Raw!N128</f>
        <v>304.48</v>
      </c>
      <c r="O128" s="7">
        <f t="shared" si="2"/>
        <v>304.48</v>
      </c>
      <c r="P128" t="str">
        <f>IFERROR(INDEX(Supplier_Lookup!$B$2:$B$200,MATCH(E128,Supplier_Lookup!$A$2:$A$200,0)),"Unmapped")</f>
        <v>Office &amp; Training</v>
      </c>
      <c r="Q128" s="10">
        <f>IFERROR(INDEX(Category_Targets!$B$2:$B$9,MATCH(F128,Category_Targets!$A$2:$A$9,0)),0)</f>
        <v>0.04</v>
      </c>
      <c r="R128" s="7">
        <f t="shared" si="3"/>
        <v>12.179200000000002</v>
      </c>
    </row>
    <row r="129" spans="1:18" x14ac:dyDescent="0.25">
      <c r="A129" s="5">
        <f>Procurement_Raw!A129</f>
        <v>45785</v>
      </c>
      <c r="B129" t="str">
        <f>Procurement_Raw!B129</f>
        <v>S011</v>
      </c>
      <c r="C129" t="str">
        <f>Procurement_Raw!C129</f>
        <v>London Care &amp; Education Centre</v>
      </c>
      <c r="D129" t="str">
        <f>Procurement_Raw!D129</f>
        <v>South</v>
      </c>
      <c r="E129" t="str">
        <f>Procurement_Raw!E129</f>
        <v>CloudLink</v>
      </c>
      <c r="F129" t="str">
        <f>Procurement_Raw!F129</f>
        <v>IT &amp; Telecoms</v>
      </c>
      <c r="G129" t="str">
        <f>Procurement_Raw!G129</f>
        <v>INV-2025-00128</v>
      </c>
      <c r="H129" s="6">
        <f>Procurement_Raw!H129</f>
        <v>16</v>
      </c>
      <c r="I129" s="7">
        <f>Procurement_Raw!I129</f>
        <v>161.12</v>
      </c>
      <c r="J129" s="7">
        <f>Procurement_Raw!J129</f>
        <v>2577.96</v>
      </c>
      <c r="K129" s="6">
        <f>Procurement_Raw!K129</f>
        <v>60</v>
      </c>
      <c r="L129" t="str">
        <f>Procurement_Raw!L129</f>
        <v>Procurement Portal</v>
      </c>
      <c r="M129" s="8">
        <f>Procurement_Raw!M129</f>
        <v>515.59199999999998</v>
      </c>
      <c r="N129" s="7">
        <f>Procurement_Raw!N129</f>
        <v>2577.96</v>
      </c>
      <c r="O129" s="7">
        <f t="shared" si="2"/>
        <v>2577.96</v>
      </c>
      <c r="P129" t="str">
        <f>IFERROR(INDEX(Supplier_Lookup!$B$2:$B$200,MATCH(E129,Supplier_Lookup!$A$2:$A$200,0)),"Unmapped")</f>
        <v>medical supplies</v>
      </c>
      <c r="Q129" s="10">
        <f>IFERROR(INDEX(Category_Targets!$B$2:$B$9,MATCH(F129,Category_Targets!$A$2:$A$9,0)),0)</f>
        <v>0.08</v>
      </c>
      <c r="R129" s="7">
        <f t="shared" si="3"/>
        <v>206.23680000000002</v>
      </c>
    </row>
    <row r="130" spans="1:18" x14ac:dyDescent="0.25">
      <c r="A130" s="5">
        <f>Procurement_Raw!A130</f>
        <v>45852</v>
      </c>
      <c r="B130" t="str">
        <f>Procurement_Raw!B130</f>
        <v>S008</v>
      </c>
      <c r="C130" t="str">
        <f>Procurement_Raw!C130</f>
        <v>Leicester Care &amp; Education Centre</v>
      </c>
      <c r="D130" t="str">
        <f>Procurement_Raw!D130</f>
        <v>Midlands</v>
      </c>
      <c r="E130" t="str">
        <f>Procurement_Raw!E130</f>
        <v>PowerDirect</v>
      </c>
      <c r="F130" t="str">
        <f>Procurement_Raw!F130</f>
        <v>Utilities</v>
      </c>
      <c r="G130" t="str">
        <f>Procurement_Raw!G130</f>
        <v>INV-2025-00129</v>
      </c>
      <c r="H130" s="6">
        <f>Procurement_Raw!H130</f>
        <v>58</v>
      </c>
      <c r="I130" s="7">
        <f>Procurement_Raw!I130</f>
        <v>264.08</v>
      </c>
      <c r="J130" s="7">
        <f>Procurement_Raw!J130</f>
        <v>15316.9</v>
      </c>
      <c r="K130" s="6">
        <f>Procurement_Raw!K130</f>
        <v>45</v>
      </c>
      <c r="L130" t="str">
        <f>Procurement_Raw!L130</f>
        <v>Procurement Portal</v>
      </c>
      <c r="M130" s="8">
        <f>Procurement_Raw!M130</f>
        <v>3063.38</v>
      </c>
      <c r="N130" s="7">
        <f>Procurement_Raw!N130</f>
        <v>15316.9</v>
      </c>
      <c r="O130" s="7">
        <f t="shared" ref="O130:O193" si="4">IFERROR(IF(J130="","",J130),0)</f>
        <v>15316.9</v>
      </c>
      <c r="P130" t="str">
        <f>IFERROR(INDEX(Supplier_Lookup!$B$2:$B$200,MATCH(E130,Supplier_Lookup!$A$2:$A$200,0)),"Unmapped")</f>
        <v>Utilities</v>
      </c>
      <c r="Q130" s="10">
        <f>IFERROR(INDEX(Category_Targets!$B$2:$B$9,MATCH(F130,Category_Targets!$A$2:$A$9,0)),0)</f>
        <v>0.03</v>
      </c>
      <c r="R130" s="7">
        <f t="shared" ref="R130:R193" si="5">O130*Q130</f>
        <v>459.50699999999995</v>
      </c>
    </row>
    <row r="131" spans="1:18" x14ac:dyDescent="0.25">
      <c r="A131" s="5">
        <f>Procurement_Raw!A131</f>
        <v>45949</v>
      </c>
      <c r="B131" t="str">
        <f>Procurement_Raw!B131</f>
        <v>S018</v>
      </c>
      <c r="C131" t="str">
        <f>Procurement_Raw!C131</f>
        <v>Newport Care &amp; Education Centre</v>
      </c>
      <c r="D131" t="str">
        <f>Procurement_Raw!D131</f>
        <v>Wales</v>
      </c>
      <c r="E131" t="str">
        <f>Procurement_Raw!E131</f>
        <v>CareTemps</v>
      </c>
      <c r="F131" t="str">
        <f>Procurement_Raw!F131</f>
        <v>Agency Labour</v>
      </c>
      <c r="G131" t="str">
        <f>Procurement_Raw!G131</f>
        <v>INV-2025-00130</v>
      </c>
      <c r="H131" s="6">
        <f>Procurement_Raw!H131</f>
        <v>80</v>
      </c>
      <c r="I131" s="7">
        <f>Procurement_Raw!I131</f>
        <v>227.44</v>
      </c>
      <c r="J131" s="7">
        <f>Procurement_Raw!J131</f>
        <v>18194.919999999998</v>
      </c>
      <c r="K131" s="6">
        <f>Procurement_Raw!K131</f>
        <v>30</v>
      </c>
      <c r="L131" t="str">
        <f>Procurement_Raw!L131</f>
        <v>Legacy Spend File</v>
      </c>
      <c r="M131" s="8">
        <f>Procurement_Raw!M131</f>
        <v>3638.9839999999999</v>
      </c>
      <c r="N131" s="7">
        <f>Procurement_Raw!N131</f>
        <v>18194.919999999998</v>
      </c>
      <c r="O131" s="7">
        <f t="shared" si="4"/>
        <v>18194.919999999998</v>
      </c>
      <c r="P131" t="str">
        <f>IFERROR(INDEX(Supplier_Lookup!$B$2:$B$200,MATCH(E131,Supplier_Lookup!$A$2:$A$200,0)),"Unmapped")</f>
        <v>Agency Labour</v>
      </c>
      <c r="Q131" s="10">
        <f>IFERROR(INDEX(Category_Targets!$B$2:$B$9,MATCH(F131,Category_Targets!$A$2:$A$9,0)),0)</f>
        <v>7.0000000000000007E-2</v>
      </c>
      <c r="R131" s="7">
        <f t="shared" si="5"/>
        <v>1273.6443999999999</v>
      </c>
    </row>
    <row r="132" spans="1:18" x14ac:dyDescent="0.25">
      <c r="A132" s="5">
        <f>Procurement_Raw!A132</f>
        <v>45978</v>
      </c>
      <c r="B132" t="str">
        <f>Procurement_Raw!B132</f>
        <v>S012</v>
      </c>
      <c r="C132" t="str">
        <f>Procurement_Raw!C132</f>
        <v>Bristol Care &amp; Education Centre</v>
      </c>
      <c r="D132" t="str">
        <f>Procurement_Raw!D132</f>
        <v>South</v>
      </c>
      <c r="E132" t="str">
        <f>Procurement_Raw!E132</f>
        <v>FreshServe</v>
      </c>
      <c r="F132" t="str">
        <f>Procurement_Raw!F132</f>
        <v>Food &amp; Catering</v>
      </c>
      <c r="G132" t="str">
        <f>Procurement_Raw!G132</f>
        <v>INV-2025-00131</v>
      </c>
      <c r="H132" s="6">
        <f>Procurement_Raw!H132</f>
        <v>28</v>
      </c>
      <c r="I132" s="7">
        <f>Procurement_Raw!I132</f>
        <v>27.7</v>
      </c>
      <c r="J132" s="7">
        <f>Procurement_Raw!J132</f>
        <v>775.67</v>
      </c>
      <c r="K132" s="6">
        <f>Procurement_Raw!K132</f>
        <v>45</v>
      </c>
      <c r="L132" t="str">
        <f>Procurement_Raw!L132</f>
        <v>Legacy Spend File</v>
      </c>
      <c r="M132" s="8">
        <f>Procurement_Raw!M132</f>
        <v>155.13399999999999</v>
      </c>
      <c r="N132" s="7">
        <f>Procurement_Raw!N132</f>
        <v>775.67</v>
      </c>
      <c r="O132" s="7">
        <f t="shared" si="4"/>
        <v>775.67</v>
      </c>
      <c r="P132" t="str">
        <f>IFERROR(INDEX(Supplier_Lookup!$B$2:$B$200,MATCH(E132,Supplier_Lookup!$A$2:$A$200,0)),"Unmapped")</f>
        <v>Food &amp; Catering</v>
      </c>
      <c r="Q132" s="10">
        <f>IFERROR(INDEX(Category_Targets!$B$2:$B$9,MATCH(F132,Category_Targets!$A$2:$A$9,0)),0)</f>
        <v>0.04</v>
      </c>
      <c r="R132" s="7">
        <f t="shared" si="5"/>
        <v>31.026799999999998</v>
      </c>
    </row>
    <row r="133" spans="1:18" x14ac:dyDescent="0.25">
      <c r="A133" s="5">
        <f>Procurement_Raw!A133</f>
        <v>45746</v>
      </c>
      <c r="B133" t="str">
        <f>Procurement_Raw!B133</f>
        <v>S002</v>
      </c>
      <c r="C133" t="str">
        <f>Procurement_Raw!C133</f>
        <v>Manchester Care &amp; Education Centre</v>
      </c>
      <c r="D133" t="str">
        <f>Procurement_Raw!D133</f>
        <v>North</v>
      </c>
      <c r="E133" t="str">
        <f>Procurement_Raw!E133</f>
        <v>CleanWorks</v>
      </c>
      <c r="F133" t="str">
        <f>Procurement_Raw!F133</f>
        <v>Facilities</v>
      </c>
      <c r="G133" t="str">
        <f>Procurement_Raw!G133</f>
        <v>INV-2025-00132</v>
      </c>
      <c r="H133" s="6">
        <f>Procurement_Raw!H133</f>
        <v>71</v>
      </c>
      <c r="I133" s="7">
        <f>Procurement_Raw!I133</f>
        <v>186.92</v>
      </c>
      <c r="J133" s="7">
        <f>Procurement_Raw!J133</f>
        <v>13271.13</v>
      </c>
      <c r="K133" s="6">
        <f>Procurement_Raw!K133</f>
        <v>30</v>
      </c>
      <c r="L133" t="str">
        <f>Procurement_Raw!L133</f>
        <v>ERP</v>
      </c>
      <c r="M133" s="8">
        <f>Procurement_Raw!M133</f>
        <v>2654.2260000000001</v>
      </c>
      <c r="N133" s="7">
        <f>Procurement_Raw!N133</f>
        <v>13271.13</v>
      </c>
      <c r="O133" s="7">
        <f t="shared" si="4"/>
        <v>13271.13</v>
      </c>
      <c r="P133" t="str">
        <f>IFERROR(INDEX(Supplier_Lookup!$B$2:$B$200,MATCH(E133,Supplier_Lookup!$A$2:$A$200,0)),"Unmapped")</f>
        <v>Facilities</v>
      </c>
      <c r="Q133" s="10">
        <f>IFERROR(INDEX(Category_Targets!$B$2:$B$9,MATCH(F133,Category_Targets!$A$2:$A$9,0)),0)</f>
        <v>0.05</v>
      </c>
      <c r="R133" s="7">
        <f t="shared" si="5"/>
        <v>663.55650000000003</v>
      </c>
    </row>
    <row r="134" spans="1:18" x14ac:dyDescent="0.25">
      <c r="A134" s="5">
        <f>Procurement_Raw!A134</f>
        <v>46010</v>
      </c>
      <c r="B134" t="str">
        <f>Procurement_Raw!B134</f>
        <v>S010</v>
      </c>
      <c r="C134" t="str">
        <f>Procurement_Raw!C134</f>
        <v>Coventry Care &amp; Education Centre</v>
      </c>
      <c r="D134" t="str">
        <f>Procurement_Raw!D134</f>
        <v>Midlands</v>
      </c>
      <c r="E134" t="str">
        <f>Procurement_Raw!E134</f>
        <v>CareTemps</v>
      </c>
      <c r="F134" t="str">
        <f>Procurement_Raw!F134</f>
        <v>Agency Labour</v>
      </c>
      <c r="G134" t="str">
        <f>Procurement_Raw!G134</f>
        <v>INV-2025-00133</v>
      </c>
      <c r="H134" s="6">
        <f>Procurement_Raw!H134</f>
        <v>77</v>
      </c>
      <c r="I134" s="7">
        <f>Procurement_Raw!I134</f>
        <v>167.25</v>
      </c>
      <c r="J134" s="7">
        <f>Procurement_Raw!J134</f>
        <v>12878.58</v>
      </c>
      <c r="K134" s="6">
        <f>Procurement_Raw!K134</f>
        <v>45</v>
      </c>
      <c r="L134" t="str">
        <f>Procurement_Raw!L134</f>
        <v>Procurement Portal</v>
      </c>
      <c r="M134" s="8">
        <f>Procurement_Raw!M134</f>
        <v>2575.7159999999999</v>
      </c>
      <c r="N134" s="7">
        <f>Procurement_Raw!N134</f>
        <v>12878.58</v>
      </c>
      <c r="O134" s="7">
        <f t="shared" si="4"/>
        <v>12878.58</v>
      </c>
      <c r="P134" t="str">
        <f>IFERROR(INDEX(Supplier_Lookup!$B$2:$B$200,MATCH(E134,Supplier_Lookup!$A$2:$A$200,0)),"Unmapped")</f>
        <v>Agency Labour</v>
      </c>
      <c r="Q134" s="10">
        <f>IFERROR(INDEX(Category_Targets!$B$2:$B$9,MATCH(F134,Category_Targets!$A$2:$A$9,0)),0)</f>
        <v>7.0000000000000007E-2</v>
      </c>
      <c r="R134" s="7">
        <f t="shared" si="5"/>
        <v>901.50060000000008</v>
      </c>
    </row>
    <row r="135" spans="1:18" x14ac:dyDescent="0.25">
      <c r="A135" s="5">
        <f>Procurement_Raw!A135</f>
        <v>46019</v>
      </c>
      <c r="B135" t="str">
        <f>Procurement_Raw!B135</f>
        <v>S019</v>
      </c>
      <c r="C135" t="str">
        <f>Procurement_Raw!C135</f>
        <v>Wrexham Care &amp; Education Centre</v>
      </c>
      <c r="D135" t="str">
        <f>Procurement_Raw!D135</f>
        <v>Wales</v>
      </c>
      <c r="E135" t="str">
        <f>Procurement_Raw!E135</f>
        <v>WaterGrid</v>
      </c>
      <c r="F135" t="str">
        <f>Procurement_Raw!F135</f>
        <v>Utilities</v>
      </c>
      <c r="G135" t="str">
        <f>Procurement_Raw!G135</f>
        <v>INV-2025-00134</v>
      </c>
      <c r="H135" s="6">
        <f>Procurement_Raw!H135</f>
        <v>37</v>
      </c>
      <c r="I135" s="7">
        <f>Procurement_Raw!I135</f>
        <v>324.39</v>
      </c>
      <c r="J135" s="7">
        <f>Procurement_Raw!J135</f>
        <v>12002.31</v>
      </c>
      <c r="K135" s="6">
        <f>Procurement_Raw!K135</f>
        <v>60</v>
      </c>
      <c r="L135" t="str">
        <f>Procurement_Raw!L135</f>
        <v>Procurement Portal</v>
      </c>
      <c r="M135" s="8">
        <f>Procurement_Raw!M135</f>
        <v>2400.462</v>
      </c>
      <c r="N135" s="7">
        <f>Procurement_Raw!N135</f>
        <v>12002.31</v>
      </c>
      <c r="O135" s="7">
        <f t="shared" si="4"/>
        <v>12002.31</v>
      </c>
      <c r="P135" t="str">
        <f>IFERROR(INDEX(Supplier_Lookup!$B$2:$B$200,MATCH(E135,Supplier_Lookup!$A$2:$A$200,0)),"Unmapped")</f>
        <v>Utilities</v>
      </c>
      <c r="Q135" s="10">
        <f>IFERROR(INDEX(Category_Targets!$B$2:$B$9,MATCH(F135,Category_Targets!$A$2:$A$9,0)),0)</f>
        <v>0.03</v>
      </c>
      <c r="R135" s="7">
        <f t="shared" si="5"/>
        <v>360.0693</v>
      </c>
    </row>
    <row r="136" spans="1:18" x14ac:dyDescent="0.25">
      <c r="A136" s="5">
        <f>Procurement_Raw!A136</f>
        <v>45978</v>
      </c>
      <c r="B136" t="str">
        <f>Procurement_Raw!B136</f>
        <v>S017</v>
      </c>
      <c r="C136" t="str">
        <f>Procurement_Raw!C136</f>
        <v>Swansea Care &amp; Education Centre</v>
      </c>
      <c r="D136" t="str">
        <f>Procurement_Raw!D136</f>
        <v>Wales</v>
      </c>
      <c r="E136" t="str">
        <f>Procurement_Raw!E136</f>
        <v>WaterGrid</v>
      </c>
      <c r="F136" t="str">
        <f>Procurement_Raw!F136</f>
        <v>Utilities</v>
      </c>
      <c r="G136" t="str">
        <f>Procurement_Raw!G136</f>
        <v>INV-2025-00135</v>
      </c>
      <c r="H136" s="6">
        <f>Procurement_Raw!H136</f>
        <v>76</v>
      </c>
      <c r="I136" s="7">
        <f>Procurement_Raw!I136</f>
        <v>150.77000000000001</v>
      </c>
      <c r="J136" s="7">
        <f>Procurement_Raw!J136</f>
        <v>11458.77</v>
      </c>
      <c r="K136" s="6">
        <f>Procurement_Raw!K136</f>
        <v>60</v>
      </c>
      <c r="L136" t="str">
        <f>Procurement_Raw!L136</f>
        <v>ERP</v>
      </c>
      <c r="M136" s="8">
        <f>Procurement_Raw!M136</f>
        <v>2291.7539999999999</v>
      </c>
      <c r="N136" s="7">
        <f>Procurement_Raw!N136</f>
        <v>11458.77</v>
      </c>
      <c r="O136" s="7">
        <f t="shared" si="4"/>
        <v>11458.77</v>
      </c>
      <c r="P136" t="str">
        <f>IFERROR(INDEX(Supplier_Lookup!$B$2:$B$200,MATCH(E136,Supplier_Lookup!$A$2:$A$200,0)),"Unmapped")</f>
        <v>Utilities</v>
      </c>
      <c r="Q136" s="10">
        <f>IFERROR(INDEX(Category_Targets!$B$2:$B$9,MATCH(F136,Category_Targets!$A$2:$A$9,0)),0)</f>
        <v>0.03</v>
      </c>
      <c r="R136" s="7">
        <f t="shared" si="5"/>
        <v>343.76310000000001</v>
      </c>
    </row>
    <row r="137" spans="1:18" x14ac:dyDescent="0.25">
      <c r="A137" s="5">
        <f>Procurement_Raw!A137</f>
        <v>45773</v>
      </c>
      <c r="B137" t="str">
        <f>Procurement_Raw!B137</f>
        <v>S012</v>
      </c>
      <c r="C137" t="str">
        <f>Procurement_Raw!C137</f>
        <v>Bristol Care &amp; Education Centre</v>
      </c>
      <c r="D137" t="str">
        <f>Procurement_Raw!D137</f>
        <v>South</v>
      </c>
      <c r="E137" t="str">
        <f>Procurement_Raw!E137</f>
        <v>KitchenPro</v>
      </c>
      <c r="F137" t="str">
        <f>Procurement_Raw!F137</f>
        <v>Food &amp; Catering</v>
      </c>
      <c r="G137" t="str">
        <f>Procurement_Raw!G137</f>
        <v>INV-2025-00136</v>
      </c>
      <c r="H137" s="6">
        <f>Procurement_Raw!H137</f>
        <v>20</v>
      </c>
      <c r="I137" s="7">
        <f>Procurement_Raw!I137</f>
        <v>152.44999999999999</v>
      </c>
      <c r="J137" s="7">
        <f>Procurement_Raw!J137</f>
        <v>3049.04</v>
      </c>
      <c r="K137" s="6">
        <f>Procurement_Raw!K137</f>
        <v>45</v>
      </c>
      <c r="L137" t="str">
        <f>Procurement_Raw!L137</f>
        <v>ERP</v>
      </c>
      <c r="M137" s="8">
        <f>Procurement_Raw!M137</f>
        <v>609.80799999999999</v>
      </c>
      <c r="N137" s="7">
        <f>Procurement_Raw!N137</f>
        <v>3049.04</v>
      </c>
      <c r="O137" s="7">
        <f t="shared" si="4"/>
        <v>3049.04</v>
      </c>
      <c r="P137" t="str">
        <f>IFERROR(INDEX(Supplier_Lookup!$B$2:$B$200,MATCH(E137,Supplier_Lookup!$A$2:$A$200,0)),"Unmapped")</f>
        <v>Food &amp; Catering</v>
      </c>
      <c r="Q137" s="10">
        <f>IFERROR(INDEX(Category_Targets!$B$2:$B$9,MATCH(F137,Category_Targets!$A$2:$A$9,0)),0)</f>
        <v>0.04</v>
      </c>
      <c r="R137" s="7">
        <f t="shared" si="5"/>
        <v>121.9616</v>
      </c>
    </row>
    <row r="138" spans="1:18" x14ac:dyDescent="0.25">
      <c r="A138" s="5">
        <f>Procurement_Raw!A138</f>
        <v>45815</v>
      </c>
      <c r="B138" t="str">
        <f>Procurement_Raw!B138</f>
        <v>S017</v>
      </c>
      <c r="C138" t="str">
        <f>Procurement_Raw!C138</f>
        <v>Swansea Care &amp; Education Centre</v>
      </c>
      <c r="D138" t="str">
        <f>Procurement_Raw!D138</f>
        <v>Wales</v>
      </c>
      <c r="E138" t="str">
        <f>Procurement_Raw!E138</f>
        <v>MediSure</v>
      </c>
      <c r="F138" t="str">
        <f>Procurement_Raw!F138</f>
        <v>Medical Supplies</v>
      </c>
      <c r="G138" t="str">
        <f>Procurement_Raw!G138</f>
        <v>INV-2025-00137</v>
      </c>
      <c r="H138" s="6">
        <f>Procurement_Raw!H138</f>
        <v>77</v>
      </c>
      <c r="I138" s="7">
        <f>Procurement_Raw!I138</f>
        <v>78</v>
      </c>
      <c r="J138" s="7">
        <f>Procurement_Raw!J138</f>
        <v>6005.96</v>
      </c>
      <c r="K138" s="6">
        <f>Procurement_Raw!K138</f>
        <v>60</v>
      </c>
      <c r="L138" t="str">
        <f>Procurement_Raw!L138</f>
        <v>Legacy Spend File</v>
      </c>
      <c r="M138" s="8">
        <f>Procurement_Raw!M138</f>
        <v>1201.192</v>
      </c>
      <c r="N138" s="7">
        <f>Procurement_Raw!N138</f>
        <v>6005.96</v>
      </c>
      <c r="O138" s="7">
        <f t="shared" si="4"/>
        <v>6005.96</v>
      </c>
      <c r="P138" t="str">
        <f>IFERROR(INDEX(Supplier_Lookup!$B$2:$B$200,MATCH(E138,Supplier_Lookup!$A$2:$A$200,0)),"Unmapped")</f>
        <v>Medical Supplies</v>
      </c>
      <c r="Q138" s="10">
        <f>IFERROR(INDEX(Category_Targets!$B$2:$B$9,MATCH(F138,Category_Targets!$A$2:$A$9,0)),0)</f>
        <v>0.06</v>
      </c>
      <c r="R138" s="7">
        <f t="shared" si="5"/>
        <v>360.35759999999999</v>
      </c>
    </row>
    <row r="139" spans="1:18" x14ac:dyDescent="0.25">
      <c r="A139" s="5">
        <f>Procurement_Raw!A139</f>
        <v>45897</v>
      </c>
      <c r="B139" t="str">
        <f>Procurement_Raw!B139</f>
        <v>S008</v>
      </c>
      <c r="C139" t="str">
        <f>Procurement_Raw!C139</f>
        <v>Leicester Care &amp; Education Centre</v>
      </c>
      <c r="D139" t="str">
        <f>Procurement_Raw!D139</f>
        <v>Midlands</v>
      </c>
      <c r="E139" t="str">
        <f>Procurement_Raw!E139</f>
        <v>officeplus</v>
      </c>
      <c r="F139" t="str">
        <f>Procurement_Raw!F139</f>
        <v>Office &amp; Training</v>
      </c>
      <c r="G139" t="str">
        <f>Procurement_Raw!G139</f>
        <v>INV-2025-00138</v>
      </c>
      <c r="H139" s="6">
        <f>Procurement_Raw!H139</f>
        <v>39</v>
      </c>
      <c r="I139" s="7">
        <f>Procurement_Raw!I139</f>
        <v>62.83</v>
      </c>
      <c r="J139" s="7">
        <f>Procurement_Raw!J139</f>
        <v>2450.1799999999998</v>
      </c>
      <c r="K139" s="6">
        <f>Procurement_Raw!K139</f>
        <v>60</v>
      </c>
      <c r="L139" t="str">
        <f>Procurement_Raw!L139</f>
        <v>Procurement Portal</v>
      </c>
      <c r="M139" s="8">
        <f>Procurement_Raw!M139</f>
        <v>490.036</v>
      </c>
      <c r="N139" s="7">
        <f>Procurement_Raw!N139</f>
        <v>2450.1799999999998</v>
      </c>
      <c r="O139" s="7">
        <f t="shared" si="4"/>
        <v>2450.1799999999998</v>
      </c>
      <c r="P139" t="str">
        <f>IFERROR(INDEX(Supplier_Lookup!$B$2:$B$200,MATCH(E139,Supplier_Lookup!$A$2:$A$200,0)),"Unmapped")</f>
        <v>Office &amp; Training</v>
      </c>
      <c r="Q139" s="10">
        <f>IFERROR(INDEX(Category_Targets!$B$2:$B$9,MATCH(F139,Category_Targets!$A$2:$A$9,0)),0)</f>
        <v>0.04</v>
      </c>
      <c r="R139" s="7">
        <f t="shared" si="5"/>
        <v>98.007199999999997</v>
      </c>
    </row>
    <row r="140" spans="1:18" x14ac:dyDescent="0.25">
      <c r="A140" s="5">
        <f>Procurement_Raw!A140</f>
        <v>45699</v>
      </c>
      <c r="B140" t="str">
        <f>Procurement_Raw!B140</f>
        <v>S003</v>
      </c>
      <c r="C140" t="str">
        <f>Procurement_Raw!C140</f>
        <v>Leeds Care &amp; Education Centre</v>
      </c>
      <c r="D140" t="str">
        <f>Procurement_Raw!D140</f>
        <v>North</v>
      </c>
      <c r="E140" t="str">
        <f>Procurement_Raw!E140</f>
        <v>LearnWell</v>
      </c>
      <c r="F140" t="str">
        <f>Procurement_Raw!F140</f>
        <v>Office &amp; Training</v>
      </c>
      <c r="G140" t="str">
        <f>Procurement_Raw!G140</f>
        <v>INV-2025-00139</v>
      </c>
      <c r="H140" s="6">
        <f>Procurement_Raw!H140</f>
        <v>77</v>
      </c>
      <c r="I140" s="7">
        <f>Procurement_Raw!I140</f>
        <v>117.32</v>
      </c>
      <c r="J140" s="7">
        <f>Procurement_Raw!J140</f>
        <v>9033.7999999999993</v>
      </c>
      <c r="K140" s="6">
        <f>Procurement_Raw!K140</f>
        <v>30</v>
      </c>
      <c r="L140" t="str">
        <f>Procurement_Raw!L140</f>
        <v>Procurement Portal</v>
      </c>
      <c r="M140" s="8">
        <f>Procurement_Raw!M140</f>
        <v>1806.76</v>
      </c>
      <c r="N140" s="7">
        <f>Procurement_Raw!N140</f>
        <v>9033.7999999999993</v>
      </c>
      <c r="O140" s="7">
        <f t="shared" si="4"/>
        <v>9033.7999999999993</v>
      </c>
      <c r="P140" t="str">
        <f>IFERROR(INDEX(Supplier_Lookup!$B$2:$B$200,MATCH(E140,Supplier_Lookup!$A$2:$A$200,0)),"Unmapped")</f>
        <v>Office &amp; Training</v>
      </c>
      <c r="Q140" s="10">
        <f>IFERROR(INDEX(Category_Targets!$B$2:$B$9,MATCH(F140,Category_Targets!$A$2:$A$9,0)),0)</f>
        <v>0.04</v>
      </c>
      <c r="R140" s="7">
        <f t="shared" si="5"/>
        <v>361.35199999999998</v>
      </c>
    </row>
    <row r="141" spans="1:18" x14ac:dyDescent="0.25">
      <c r="A141" s="5">
        <f>Procurement_Raw!A141</f>
        <v>45786</v>
      </c>
      <c r="B141" t="str">
        <f>Procurement_Raw!B141</f>
        <v>S008</v>
      </c>
      <c r="C141" t="str">
        <f>Procurement_Raw!C141</f>
        <v>Leicester Care &amp; Education Centre</v>
      </c>
      <c r="D141" t="str">
        <f>Procurement_Raw!D141</f>
        <v>Midlands</v>
      </c>
      <c r="E141" t="str">
        <f>Procurement_Raw!E141</f>
        <v>AutoCare</v>
      </c>
      <c r="F141" t="str">
        <f>Procurement_Raw!F141</f>
        <v>Vehicle &amp; Fuel</v>
      </c>
      <c r="G141" t="str">
        <f>Procurement_Raw!G141</f>
        <v>INV-2025-00140</v>
      </c>
      <c r="H141" s="6">
        <f>Procurement_Raw!H141</f>
        <v>4</v>
      </c>
      <c r="I141" s="7">
        <f>Procurement_Raw!I141</f>
        <v>48.27</v>
      </c>
      <c r="J141" s="7">
        <f>Procurement_Raw!J141</f>
        <v>193.1</v>
      </c>
      <c r="K141" s="6">
        <f>Procurement_Raw!K141</f>
        <v>30</v>
      </c>
      <c r="L141" t="str">
        <f>Procurement_Raw!L141</f>
        <v>ERP</v>
      </c>
      <c r="M141" s="8">
        <f>Procurement_Raw!M141</f>
        <v>38.619999999999997</v>
      </c>
      <c r="N141" s="7">
        <f>Procurement_Raw!N141</f>
        <v>193.1</v>
      </c>
      <c r="O141" s="7">
        <f t="shared" si="4"/>
        <v>193.1</v>
      </c>
      <c r="P141" t="str">
        <f>IFERROR(INDEX(Supplier_Lookup!$B$2:$B$200,MATCH(E141,Supplier_Lookup!$A$2:$A$200,0)),"Unmapped")</f>
        <v>Vehicle &amp; Fuel</v>
      </c>
      <c r="Q141" s="10">
        <f>IFERROR(INDEX(Category_Targets!$B$2:$B$9,MATCH(F141,Category_Targets!$A$2:$A$9,0)),0)</f>
        <v>0.05</v>
      </c>
      <c r="R141" s="7">
        <f t="shared" si="5"/>
        <v>9.6550000000000011</v>
      </c>
    </row>
    <row r="142" spans="1:18" x14ac:dyDescent="0.25">
      <c r="A142" s="5">
        <f>Procurement_Raw!A142</f>
        <v>45795</v>
      </c>
      <c r="B142" t="str">
        <f>Procurement_Raw!B142</f>
        <v>S015</v>
      </c>
      <c r="C142" t="str">
        <f>Procurement_Raw!C142</f>
        <v>Brighton Care &amp; Education Centre</v>
      </c>
      <c r="D142" t="str">
        <f>Procurement_Raw!D142</f>
        <v>South</v>
      </c>
      <c r="E142" t="str">
        <f>Procurement_Raw!E142</f>
        <v>ClinEquip</v>
      </c>
      <c r="F142" t="str">
        <f>Procurement_Raw!F142</f>
        <v>Medical Supplies</v>
      </c>
      <c r="G142" t="str">
        <f>Procurement_Raw!G142</f>
        <v>INV-2025-00141</v>
      </c>
      <c r="H142" s="6">
        <f>Procurement_Raw!H142</f>
        <v>74</v>
      </c>
      <c r="I142" s="7">
        <f>Procurement_Raw!I142</f>
        <v>135.99</v>
      </c>
      <c r="J142" s="7">
        <f>Procurement_Raw!J142</f>
        <v>10063.39</v>
      </c>
      <c r="K142" s="6">
        <f>Procurement_Raw!K142</f>
        <v>30</v>
      </c>
      <c r="L142" t="str">
        <f>Procurement_Raw!L142</f>
        <v>ERP</v>
      </c>
      <c r="M142" s="8">
        <f>Procurement_Raw!M142</f>
        <v>2012.6780000000001</v>
      </c>
      <c r="N142" s="7">
        <f>Procurement_Raw!N142</f>
        <v>10063.39</v>
      </c>
      <c r="O142" s="7">
        <f t="shared" si="4"/>
        <v>10063.39</v>
      </c>
      <c r="P142" t="str">
        <f>IFERROR(INDEX(Supplier_Lookup!$B$2:$B$200,MATCH(E142,Supplier_Lookup!$A$2:$A$200,0)),"Unmapped")</f>
        <v>Medical Supplies</v>
      </c>
      <c r="Q142" s="10">
        <f>IFERROR(INDEX(Category_Targets!$B$2:$B$9,MATCH(F142,Category_Targets!$A$2:$A$9,0)),0)</f>
        <v>0.06</v>
      </c>
      <c r="R142" s="7">
        <f t="shared" si="5"/>
        <v>603.8033999999999</v>
      </c>
    </row>
    <row r="143" spans="1:18" x14ac:dyDescent="0.25">
      <c r="A143" s="5">
        <f>Procurement_Raw!A143</f>
        <v>45750</v>
      </c>
      <c r="B143" t="str">
        <f>Procurement_Raw!B143</f>
        <v>S005</v>
      </c>
      <c r="C143" t="str">
        <f>Procurement_Raw!C143</f>
        <v>Sheffield Care &amp; Education Centre</v>
      </c>
      <c r="D143" t="str">
        <f>Procurement_Raw!D143</f>
        <v>North</v>
      </c>
      <c r="E143" t="str">
        <f>Procurement_Raw!E143</f>
        <v>LearnWell</v>
      </c>
      <c r="F143" t="str">
        <f>Procurement_Raw!F143</f>
        <v>Office &amp; Training</v>
      </c>
      <c r="G143" t="str">
        <f>Procurement_Raw!G143</f>
        <v>INV-2025-00142</v>
      </c>
      <c r="H143" s="6">
        <f>Procurement_Raw!H143</f>
        <v>75</v>
      </c>
      <c r="I143" s="7">
        <f>Procurement_Raw!I143</f>
        <v>153.91999999999999</v>
      </c>
      <c r="J143" s="7">
        <f>Procurement_Raw!J143</f>
        <v>11543.81</v>
      </c>
      <c r="K143" s="6">
        <f>Procurement_Raw!K143</f>
        <v>45</v>
      </c>
      <c r="L143" t="str">
        <f>Procurement_Raw!L143</f>
        <v>Legacy Spend File</v>
      </c>
      <c r="M143" s="8">
        <f>Procurement_Raw!M143</f>
        <v>2308.7620000000002</v>
      </c>
      <c r="N143" s="7">
        <f>Procurement_Raw!N143</f>
        <v>11543.81</v>
      </c>
      <c r="O143" s="7">
        <f t="shared" si="4"/>
        <v>11543.81</v>
      </c>
      <c r="P143" t="str">
        <f>IFERROR(INDEX(Supplier_Lookup!$B$2:$B$200,MATCH(E143,Supplier_Lookup!$A$2:$A$200,0)),"Unmapped")</f>
        <v>Office &amp; Training</v>
      </c>
      <c r="Q143" s="10">
        <f>IFERROR(INDEX(Category_Targets!$B$2:$B$9,MATCH(F143,Category_Targets!$A$2:$A$9,0)),0)</f>
        <v>0.04</v>
      </c>
      <c r="R143" s="7">
        <f t="shared" si="5"/>
        <v>461.75239999999997</v>
      </c>
    </row>
    <row r="144" spans="1:18" x14ac:dyDescent="0.25">
      <c r="A144" s="5">
        <f>Procurement_Raw!A144</f>
        <v>45836</v>
      </c>
      <c r="B144" t="str">
        <f>Procurement_Raw!B144</f>
        <v>S016</v>
      </c>
      <c r="C144" t="str">
        <f>Procurement_Raw!C144</f>
        <v>Cardiff Care &amp; Education Centre</v>
      </c>
      <c r="D144" t="str">
        <f>Procurement_Raw!D144</f>
        <v>Wales</v>
      </c>
      <c r="E144" t="str">
        <f>Procurement_Raw!E144</f>
        <v>NourishCo</v>
      </c>
      <c r="F144" t="str">
        <f>Procurement_Raw!F144</f>
        <v>Food &amp; Catering</v>
      </c>
      <c r="G144" t="str">
        <f>Procurement_Raw!G144</f>
        <v>INV-2025-00143</v>
      </c>
      <c r="H144" s="6">
        <f>Procurement_Raw!H144</f>
        <v>53</v>
      </c>
      <c r="I144" s="7">
        <f>Procurement_Raw!I144</f>
        <v>26.85</v>
      </c>
      <c r="J144" s="7">
        <f>Procurement_Raw!J144</f>
        <v>1423.06</v>
      </c>
      <c r="K144" s="6">
        <f>Procurement_Raw!K144</f>
        <v>45</v>
      </c>
      <c r="L144" t="str">
        <f>Procurement_Raw!L144</f>
        <v>Procurement Portal</v>
      </c>
      <c r="M144" s="8">
        <f>Procurement_Raw!M144</f>
        <v>284.61200000000002</v>
      </c>
      <c r="N144" s="7">
        <f>Procurement_Raw!N144</f>
        <v>1423.06</v>
      </c>
      <c r="O144" s="7">
        <f t="shared" si="4"/>
        <v>1423.06</v>
      </c>
      <c r="P144" t="str">
        <f>IFERROR(INDEX(Supplier_Lookup!$B$2:$B$200,MATCH(E144,Supplier_Lookup!$A$2:$A$200,0)),"Unmapped")</f>
        <v>Food &amp; Catering</v>
      </c>
      <c r="Q144" s="10">
        <f>IFERROR(INDEX(Category_Targets!$B$2:$B$9,MATCH(F144,Category_Targets!$A$2:$A$9,0)),0)</f>
        <v>0.04</v>
      </c>
      <c r="R144" s="7">
        <f t="shared" si="5"/>
        <v>56.922399999999996</v>
      </c>
    </row>
    <row r="145" spans="1:18" x14ac:dyDescent="0.25">
      <c r="A145" s="5">
        <f>Procurement_Raw!A145</f>
        <v>45826</v>
      </c>
      <c r="B145" t="str">
        <f>Procurement_Raw!B145</f>
        <v>S015</v>
      </c>
      <c r="C145" t="str">
        <f>Procurement_Raw!C145</f>
        <v>Brighton Care &amp; Education Centre</v>
      </c>
      <c r="D145" t="str">
        <f>Procurement_Raw!D145</f>
        <v>South</v>
      </c>
      <c r="E145" t="str">
        <f>Procurement_Raw!E145</f>
        <v>FreshServe</v>
      </c>
      <c r="F145" t="str">
        <f>Procurement_Raw!F145</f>
        <v>Food &amp; Catering</v>
      </c>
      <c r="G145" t="str">
        <f>Procurement_Raw!G145</f>
        <v>INV-2025-00144</v>
      </c>
      <c r="H145" s="6">
        <f>Procurement_Raw!H145</f>
        <v>53</v>
      </c>
      <c r="I145" s="7">
        <f>Procurement_Raw!I145</f>
        <v>71.95</v>
      </c>
      <c r="J145" s="7">
        <f>Procurement_Raw!J145</f>
        <v>3813.21</v>
      </c>
      <c r="K145" s="6">
        <f>Procurement_Raw!K145</f>
        <v>60</v>
      </c>
      <c r="L145" t="str">
        <f>Procurement_Raw!L145</f>
        <v>Procurement Portal</v>
      </c>
      <c r="M145" s="8">
        <f>Procurement_Raw!M145</f>
        <v>762.64200000000005</v>
      </c>
      <c r="N145" s="7">
        <f>Procurement_Raw!N145</f>
        <v>3813.21</v>
      </c>
      <c r="O145" s="7">
        <f t="shared" si="4"/>
        <v>3813.21</v>
      </c>
      <c r="P145" t="str">
        <f>IFERROR(INDEX(Supplier_Lookup!$B$2:$B$200,MATCH(E145,Supplier_Lookup!$A$2:$A$200,0)),"Unmapped")</f>
        <v>Food &amp; Catering</v>
      </c>
      <c r="Q145" s="10">
        <f>IFERROR(INDEX(Category_Targets!$B$2:$B$9,MATCH(F145,Category_Targets!$A$2:$A$9,0)),0)</f>
        <v>0.04</v>
      </c>
      <c r="R145" s="7">
        <f t="shared" si="5"/>
        <v>152.5284</v>
      </c>
    </row>
    <row r="146" spans="1:18" x14ac:dyDescent="0.25">
      <c r="A146" s="5">
        <f>Procurement_Raw!A146</f>
        <v>45676</v>
      </c>
      <c r="B146" t="str">
        <f>Procurement_Raw!B146</f>
        <v>S012</v>
      </c>
      <c r="C146" t="str">
        <f>Procurement_Raw!C146</f>
        <v>Bristol Care &amp; Education Centre</v>
      </c>
      <c r="D146" t="str">
        <f>Procurement_Raw!D146</f>
        <v>South</v>
      </c>
      <c r="E146" t="str">
        <f>Procurement_Raw!E146</f>
        <v>NurseLink</v>
      </c>
      <c r="F146" t="str">
        <f>Procurement_Raw!F146</f>
        <v>Agency Labour</v>
      </c>
      <c r="G146" t="str">
        <f>Procurement_Raw!G146</f>
        <v>INV-2025-00145</v>
      </c>
      <c r="H146" s="6">
        <f>Procurement_Raw!H146</f>
        <v>59</v>
      </c>
      <c r="I146" s="7">
        <f>Procurement_Raw!I146</f>
        <v>346.1</v>
      </c>
      <c r="J146" s="7">
        <f>Procurement_Raw!J146</f>
        <v>20419.7</v>
      </c>
      <c r="K146" s="6">
        <f>Procurement_Raw!K146</f>
        <v>30</v>
      </c>
      <c r="L146" t="str">
        <f>Procurement_Raw!L146</f>
        <v>Procurement Portal</v>
      </c>
      <c r="M146" s="8">
        <f>Procurement_Raw!M146</f>
        <v>4083.94</v>
      </c>
      <c r="N146" s="7">
        <f>Procurement_Raw!N146</f>
        <v>20419.7</v>
      </c>
      <c r="O146" s="7">
        <f t="shared" si="4"/>
        <v>20419.7</v>
      </c>
      <c r="P146" t="str">
        <f>IFERROR(INDEX(Supplier_Lookup!$B$2:$B$200,MATCH(E146,Supplier_Lookup!$A$2:$A$200,0)),"Unmapped")</f>
        <v>Agency Labour</v>
      </c>
      <c r="Q146" s="10">
        <f>IFERROR(INDEX(Category_Targets!$B$2:$B$9,MATCH(F146,Category_Targets!$A$2:$A$9,0)),0)</f>
        <v>7.0000000000000007E-2</v>
      </c>
      <c r="R146" s="7">
        <f t="shared" si="5"/>
        <v>1429.3790000000001</v>
      </c>
    </row>
    <row r="147" spans="1:18" x14ac:dyDescent="0.25">
      <c r="A147" s="5">
        <f>Procurement_Raw!A147</f>
        <v>45864</v>
      </c>
      <c r="B147" t="str">
        <f>Procurement_Raw!B147</f>
        <v>S009</v>
      </c>
      <c r="C147" t="str">
        <f>Procurement_Raw!C147</f>
        <v>Derby Care &amp; Education Centre</v>
      </c>
      <c r="D147" t="str">
        <f>Procurement_Raw!D147</f>
        <v>Midlands</v>
      </c>
      <c r="E147" t="str">
        <f>Procurement_Raw!E147</f>
        <v>FleetFuel</v>
      </c>
      <c r="F147" t="str">
        <f>Procurement_Raw!F147</f>
        <v>Vehicle &amp; Fuel</v>
      </c>
      <c r="G147" t="str">
        <f>Procurement_Raw!G147</f>
        <v>INV-2025-00146</v>
      </c>
      <c r="H147" s="6">
        <f>Procurement_Raw!H147</f>
        <v>66</v>
      </c>
      <c r="I147" s="7">
        <f>Procurement_Raw!I147</f>
        <v>146.04</v>
      </c>
      <c r="J147" s="7">
        <f>Procurement_Raw!J147</f>
        <v>9638.6299999999992</v>
      </c>
      <c r="K147" s="6">
        <f>Procurement_Raw!K147</f>
        <v>30</v>
      </c>
      <c r="L147" t="str">
        <f>Procurement_Raw!L147</f>
        <v>Legacy Spend File</v>
      </c>
      <c r="M147" s="8">
        <f>Procurement_Raw!M147</f>
        <v>1927.7260000000001</v>
      </c>
      <c r="N147" s="7">
        <f>Procurement_Raw!N147</f>
        <v>9638.6299999999992</v>
      </c>
      <c r="O147" s="7">
        <f t="shared" si="4"/>
        <v>9638.6299999999992</v>
      </c>
      <c r="P147" t="str">
        <f>IFERROR(INDEX(Supplier_Lookup!$B$2:$B$200,MATCH(E147,Supplier_Lookup!$A$2:$A$200,0)),"Unmapped")</f>
        <v>Vehicle &amp; Fuel</v>
      </c>
      <c r="Q147" s="10">
        <f>IFERROR(INDEX(Category_Targets!$B$2:$B$9,MATCH(F147,Category_Targets!$A$2:$A$9,0)),0)</f>
        <v>0.05</v>
      </c>
      <c r="R147" s="7">
        <f t="shared" si="5"/>
        <v>481.93149999999997</v>
      </c>
    </row>
    <row r="148" spans="1:18" x14ac:dyDescent="0.25">
      <c r="A148" s="5">
        <f>Procurement_Raw!A148</f>
        <v>45685</v>
      </c>
      <c r="B148" t="str">
        <f>Procurement_Raw!B148</f>
        <v>S018</v>
      </c>
      <c r="C148" t="str">
        <f>Procurement_Raw!C148</f>
        <v>Newport Care &amp; Education Centre</v>
      </c>
      <c r="D148" t="str">
        <f>Procurement_Raw!D148</f>
        <v>Wales</v>
      </c>
      <c r="E148" t="str">
        <f>Procurement_Raw!E148</f>
        <v>LearnWell</v>
      </c>
      <c r="F148" t="str">
        <f>Procurement_Raw!F148</f>
        <v>Office &amp; Training</v>
      </c>
      <c r="G148" t="str">
        <f>Procurement_Raw!G148</f>
        <v>INV-2025-00147</v>
      </c>
      <c r="H148" s="6">
        <f>Procurement_Raw!H148</f>
        <v>25</v>
      </c>
      <c r="I148" s="7">
        <f>Procurement_Raw!I148</f>
        <v>37.979999999999997</v>
      </c>
      <c r="J148" s="7">
        <f>Procurement_Raw!J148</f>
        <v>949.6</v>
      </c>
      <c r="K148" s="6">
        <f>Procurement_Raw!K148</f>
        <v>60</v>
      </c>
      <c r="L148" t="str">
        <f>Procurement_Raw!L148</f>
        <v>Procurement Portal</v>
      </c>
      <c r="M148" s="8">
        <f>Procurement_Raw!M148</f>
        <v>189.92</v>
      </c>
      <c r="N148" s="7">
        <f>Procurement_Raw!N148</f>
        <v>949.6</v>
      </c>
      <c r="O148" s="7">
        <f t="shared" si="4"/>
        <v>949.6</v>
      </c>
      <c r="P148" t="str">
        <f>IFERROR(INDEX(Supplier_Lookup!$B$2:$B$200,MATCH(E148,Supplier_Lookup!$A$2:$A$200,0)),"Unmapped")</f>
        <v>Office &amp; Training</v>
      </c>
      <c r="Q148" s="10">
        <f>IFERROR(INDEX(Category_Targets!$B$2:$B$9,MATCH(F148,Category_Targets!$A$2:$A$9,0)),0)</f>
        <v>0.04</v>
      </c>
      <c r="R148" s="7">
        <f t="shared" si="5"/>
        <v>37.984000000000002</v>
      </c>
    </row>
    <row r="149" spans="1:18" x14ac:dyDescent="0.25">
      <c r="A149" s="5">
        <f>Procurement_Raw!A149</f>
        <v>45884</v>
      </c>
      <c r="B149" t="str">
        <f>Procurement_Raw!B149</f>
        <v>S015</v>
      </c>
      <c r="C149" t="str">
        <f>Procurement_Raw!C149</f>
        <v>Brighton Care &amp; Education Centre</v>
      </c>
      <c r="D149" t="str">
        <f>Procurement_Raw!D149</f>
        <v>South</v>
      </c>
      <c r="E149" t="str">
        <f>Procurement_Raw!E149</f>
        <v>PrintCo</v>
      </c>
      <c r="F149" t="str">
        <f>Procurement_Raw!F149</f>
        <v>Office &amp; Training</v>
      </c>
      <c r="G149" t="str">
        <f>Procurement_Raw!G149</f>
        <v>INV-2025-00148</v>
      </c>
      <c r="H149" s="6">
        <f>Procurement_Raw!H149</f>
        <v>7</v>
      </c>
      <c r="I149" s="7">
        <f>Procurement_Raw!I149</f>
        <v>36.28</v>
      </c>
      <c r="J149" s="7">
        <f>Procurement_Raw!J149</f>
        <v>253.95</v>
      </c>
      <c r="K149" s="6">
        <f>Procurement_Raw!K149</f>
        <v>30</v>
      </c>
      <c r="L149" t="str">
        <f>Procurement_Raw!L149</f>
        <v>Procurement Portal</v>
      </c>
      <c r="M149" s="8">
        <f>Procurement_Raw!M149</f>
        <v>50.79</v>
      </c>
      <c r="N149" s="7">
        <f>Procurement_Raw!N149</f>
        <v>253.95</v>
      </c>
      <c r="O149" s="7">
        <f t="shared" si="4"/>
        <v>253.95</v>
      </c>
      <c r="P149" t="str">
        <f>IFERROR(INDEX(Supplier_Lookup!$B$2:$B$200,MATCH(E149,Supplier_Lookup!$A$2:$A$200,0)),"Unmapped")</f>
        <v>Office &amp; Training</v>
      </c>
      <c r="Q149" s="10">
        <f>IFERROR(INDEX(Category_Targets!$B$2:$B$9,MATCH(F149,Category_Targets!$A$2:$A$9,0)),0)</f>
        <v>0.04</v>
      </c>
      <c r="R149" s="7">
        <f t="shared" si="5"/>
        <v>10.157999999999999</v>
      </c>
    </row>
    <row r="150" spans="1:18" x14ac:dyDescent="0.25">
      <c r="A150" s="5">
        <f>Procurement_Raw!A150</f>
        <v>45882</v>
      </c>
      <c r="B150" t="str">
        <f>Procurement_Raw!B150</f>
        <v>S009</v>
      </c>
      <c r="C150" t="str">
        <f>Procurement_Raw!C150</f>
        <v>Derby Care &amp; Education Centre</v>
      </c>
      <c r="D150" t="str">
        <f>Procurement_Raw!D150</f>
        <v>Midlands</v>
      </c>
      <c r="E150" t="str">
        <f>Procurement_Raw!E150</f>
        <v>SafeGuard FM</v>
      </c>
      <c r="F150" t="str">
        <f>Procurement_Raw!F150</f>
        <v>Facilities</v>
      </c>
      <c r="G150" t="str">
        <f>Procurement_Raw!G150</f>
        <v>INV-2025-00149</v>
      </c>
      <c r="H150" s="6">
        <f>Procurement_Raw!H150</f>
        <v>63</v>
      </c>
      <c r="I150" s="7">
        <f>Procurement_Raw!I150</f>
        <v>239.85</v>
      </c>
      <c r="J150" s="7">
        <f>Procurement_Raw!J150</f>
        <v>15110.72</v>
      </c>
      <c r="K150" s="6">
        <f>Procurement_Raw!K150</f>
        <v>30</v>
      </c>
      <c r="L150" t="str">
        <f>Procurement_Raw!L150</f>
        <v>ERP</v>
      </c>
      <c r="M150" s="8">
        <f>Procurement_Raw!M150</f>
        <v>3022.1439999999998</v>
      </c>
      <c r="N150" s="7">
        <f>Procurement_Raw!N150</f>
        <v>15110.72</v>
      </c>
      <c r="O150" s="7">
        <f t="shared" si="4"/>
        <v>15110.72</v>
      </c>
      <c r="P150" t="str">
        <f>IFERROR(INDEX(Supplier_Lookup!$B$2:$B$200,MATCH(E150,Supplier_Lookup!$A$2:$A$200,0)),"Unmapped")</f>
        <v>Facilities</v>
      </c>
      <c r="Q150" s="10">
        <f>IFERROR(INDEX(Category_Targets!$B$2:$B$9,MATCH(F150,Category_Targets!$A$2:$A$9,0)),0)</f>
        <v>0.05</v>
      </c>
      <c r="R150" s="7">
        <f t="shared" si="5"/>
        <v>755.53600000000006</v>
      </c>
    </row>
    <row r="151" spans="1:18" x14ac:dyDescent="0.25">
      <c r="A151" s="5">
        <f>Procurement_Raw!A151</f>
        <v>45739</v>
      </c>
      <c r="B151" t="str">
        <f>Procurement_Raw!B151</f>
        <v>S005</v>
      </c>
      <c r="C151" t="str">
        <f>Procurement_Raw!C151</f>
        <v>Sheffield Care &amp; Education Centre</v>
      </c>
      <c r="D151" t="str">
        <f>Procurement_Raw!D151</f>
        <v>North</v>
      </c>
      <c r="E151" t="str">
        <f>Procurement_Raw!E151</f>
        <v>PowerDirect</v>
      </c>
      <c r="F151" t="str">
        <f>Procurement_Raw!F151</f>
        <v>Utilities</v>
      </c>
      <c r="G151" t="str">
        <f>Procurement_Raw!G151</f>
        <v>INV-2025-00150</v>
      </c>
      <c r="H151" s="6">
        <f>Procurement_Raw!H151</f>
        <v>40</v>
      </c>
      <c r="I151" s="7">
        <f>Procurement_Raw!I151</f>
        <v>294.36</v>
      </c>
      <c r="J151" s="7">
        <f>Procurement_Raw!J151</f>
        <v>11774.39</v>
      </c>
      <c r="K151" s="6">
        <f>Procurement_Raw!K151</f>
        <v>60</v>
      </c>
      <c r="L151" t="str">
        <f>Procurement_Raw!L151</f>
        <v>ERP</v>
      </c>
      <c r="M151" s="8">
        <f>Procurement_Raw!M151</f>
        <v>2354.8780000000002</v>
      </c>
      <c r="N151" s="7">
        <f>Procurement_Raw!N151</f>
        <v>11774.39</v>
      </c>
      <c r="O151" s="7">
        <f t="shared" si="4"/>
        <v>11774.39</v>
      </c>
      <c r="P151" t="str">
        <f>IFERROR(INDEX(Supplier_Lookup!$B$2:$B$200,MATCH(E151,Supplier_Lookup!$A$2:$A$200,0)),"Unmapped")</f>
        <v>Utilities</v>
      </c>
      <c r="Q151" s="10">
        <f>IFERROR(INDEX(Category_Targets!$B$2:$B$9,MATCH(F151,Category_Targets!$A$2:$A$9,0)),0)</f>
        <v>0.03</v>
      </c>
      <c r="R151" s="7">
        <f t="shared" si="5"/>
        <v>353.23169999999999</v>
      </c>
    </row>
    <row r="152" spans="1:18" x14ac:dyDescent="0.25">
      <c r="A152" s="5">
        <f>Procurement_Raw!A152</f>
        <v>45773</v>
      </c>
      <c r="B152" t="str">
        <f>Procurement_Raw!B152</f>
        <v>S005</v>
      </c>
      <c r="C152" t="str">
        <f>Procurement_Raw!C152</f>
        <v>Sheffield Care &amp; Education Centre</v>
      </c>
      <c r="D152" t="str">
        <f>Procurement_Raw!D152</f>
        <v>North</v>
      </c>
      <c r="E152" t="str">
        <f>Procurement_Raw!E152</f>
        <v>HealthStaffing</v>
      </c>
      <c r="F152" t="str">
        <f>Procurement_Raw!F152</f>
        <v>Agency Labour</v>
      </c>
      <c r="G152" t="str">
        <f>Procurement_Raw!G152</f>
        <v>INV-2025-00151</v>
      </c>
      <c r="H152" s="6">
        <f>Procurement_Raw!H152</f>
        <v>15</v>
      </c>
      <c r="I152" s="7">
        <f>Procurement_Raw!I152</f>
        <v>344.31</v>
      </c>
      <c r="J152" s="7">
        <f>Procurement_Raw!J152</f>
        <v>5164.71</v>
      </c>
      <c r="K152" s="6">
        <f>Procurement_Raw!K152</f>
        <v>45</v>
      </c>
      <c r="L152" t="str">
        <f>Procurement_Raw!L152</f>
        <v>ERP</v>
      </c>
      <c r="M152" s="8">
        <f>Procurement_Raw!M152</f>
        <v>1032.942</v>
      </c>
      <c r="N152" s="7">
        <f>Procurement_Raw!N152</f>
        <v>5164.71</v>
      </c>
      <c r="O152" s="7">
        <f t="shared" si="4"/>
        <v>5164.71</v>
      </c>
      <c r="P152" t="str">
        <f>IFERROR(INDEX(Supplier_Lookup!$B$2:$B$200,MATCH(E152,Supplier_Lookup!$A$2:$A$200,0)),"Unmapped")</f>
        <v>Agency Labour</v>
      </c>
      <c r="Q152" s="10">
        <f>IFERROR(INDEX(Category_Targets!$B$2:$B$9,MATCH(F152,Category_Targets!$A$2:$A$9,0)),0)</f>
        <v>7.0000000000000007E-2</v>
      </c>
      <c r="R152" s="7">
        <f t="shared" si="5"/>
        <v>361.52970000000005</v>
      </c>
    </row>
    <row r="153" spans="1:18" x14ac:dyDescent="0.25">
      <c r="A153" s="5">
        <f>Procurement_Raw!A153</f>
        <v>45807</v>
      </c>
      <c r="B153" t="str">
        <f>Procurement_Raw!B153</f>
        <v>S018</v>
      </c>
      <c r="C153" t="str">
        <f>Procurement_Raw!C153</f>
        <v>Newport Care &amp; Education Centre</v>
      </c>
      <c r="D153" t="str">
        <f>Procurement_Raw!D153</f>
        <v>Wales</v>
      </c>
      <c r="E153" t="str">
        <f>Procurement_Raw!E153</f>
        <v>SafeGuard FM</v>
      </c>
      <c r="F153" t="str">
        <f>Procurement_Raw!F153</f>
        <v>Facilities</v>
      </c>
      <c r="G153" t="str">
        <f>Procurement_Raw!G153</f>
        <v>INV-2025-00152</v>
      </c>
      <c r="H153" s="6">
        <f>Procurement_Raw!H153</f>
        <v>66</v>
      </c>
      <c r="I153" s="7">
        <f>Procurement_Raw!I153</f>
        <v>217.78</v>
      </c>
      <c r="J153" s="7">
        <f>Procurement_Raw!J153</f>
        <v>14373.74</v>
      </c>
      <c r="K153" s="6">
        <f>Procurement_Raw!K153</f>
        <v>60</v>
      </c>
      <c r="L153" t="str">
        <f>Procurement_Raw!L153</f>
        <v>Procurement Portal</v>
      </c>
      <c r="M153" s="8">
        <f>Procurement_Raw!M153</f>
        <v>2874.748</v>
      </c>
      <c r="N153" s="7">
        <f>Procurement_Raw!N153</f>
        <v>14373.74</v>
      </c>
      <c r="O153" s="7">
        <f t="shared" si="4"/>
        <v>14373.74</v>
      </c>
      <c r="P153" t="str">
        <f>IFERROR(INDEX(Supplier_Lookup!$B$2:$B$200,MATCH(E153,Supplier_Lookup!$A$2:$A$200,0)),"Unmapped")</f>
        <v>Facilities</v>
      </c>
      <c r="Q153" s="10">
        <f>IFERROR(INDEX(Category_Targets!$B$2:$B$9,MATCH(F153,Category_Targets!$A$2:$A$9,0)),0)</f>
        <v>0.05</v>
      </c>
      <c r="R153" s="7">
        <f t="shared" si="5"/>
        <v>718.68700000000001</v>
      </c>
    </row>
    <row r="154" spans="1:18" x14ac:dyDescent="0.25">
      <c r="A154" s="5">
        <f>Procurement_Raw!A154</f>
        <v>45782</v>
      </c>
      <c r="B154" t="str">
        <f>Procurement_Raw!B154</f>
        <v>S012</v>
      </c>
      <c r="C154" t="str">
        <f>Procurement_Raw!C154</f>
        <v>Bristol Care &amp; Education Centre</v>
      </c>
      <c r="D154" t="str">
        <f>Procurement_Raw!D154</f>
        <v>South</v>
      </c>
      <c r="E154" t="str">
        <f>Procurement_Raw!E154</f>
        <v>LearnWell</v>
      </c>
      <c r="F154" t="str">
        <f>Procurement_Raw!F154</f>
        <v>Office &amp; Training</v>
      </c>
      <c r="G154" t="str">
        <f>Procurement_Raw!G154</f>
        <v>INV-2025-00153</v>
      </c>
      <c r="H154" s="6">
        <f>Procurement_Raw!H154</f>
        <v>59</v>
      </c>
      <c r="I154" s="7">
        <f>Procurement_Raw!I154</f>
        <v>51.6</v>
      </c>
      <c r="J154" s="7">
        <f>Procurement_Raw!J154</f>
        <v>3044.26</v>
      </c>
      <c r="K154" s="6">
        <f>Procurement_Raw!K154</f>
        <v>60</v>
      </c>
      <c r="L154" t="str">
        <f>Procurement_Raw!L154</f>
        <v>ERP</v>
      </c>
      <c r="M154" s="8">
        <f>Procurement_Raw!M154</f>
        <v>608.85199999999998</v>
      </c>
      <c r="N154" s="7">
        <f>Procurement_Raw!N154</f>
        <v>3044.26</v>
      </c>
      <c r="O154" s="7">
        <f t="shared" si="4"/>
        <v>3044.26</v>
      </c>
      <c r="P154" t="str">
        <f>IFERROR(INDEX(Supplier_Lookup!$B$2:$B$200,MATCH(E154,Supplier_Lookup!$A$2:$A$200,0)),"Unmapped")</f>
        <v>Office &amp; Training</v>
      </c>
      <c r="Q154" s="10">
        <f>IFERROR(INDEX(Category_Targets!$B$2:$B$9,MATCH(F154,Category_Targets!$A$2:$A$9,0)),0)</f>
        <v>0.04</v>
      </c>
      <c r="R154" s="7">
        <f t="shared" si="5"/>
        <v>121.77040000000001</v>
      </c>
    </row>
    <row r="155" spans="1:18" x14ac:dyDescent="0.25">
      <c r="A155" s="5">
        <f>Procurement_Raw!A155</f>
        <v>45918</v>
      </c>
      <c r="B155" t="str">
        <f>Procurement_Raw!B155</f>
        <v>S005</v>
      </c>
      <c r="C155" t="str">
        <f>Procurement_Raw!C155</f>
        <v>Sheffield Care &amp; Education Centre</v>
      </c>
      <c r="D155" t="str">
        <f>Procurement_Raw!D155</f>
        <v>North</v>
      </c>
      <c r="E155" t="str">
        <f>Procurement_Raw!E155</f>
        <v>PowerDirect</v>
      </c>
      <c r="F155" t="str">
        <f>Procurement_Raw!F155</f>
        <v>Utilities</v>
      </c>
      <c r="G155" t="str">
        <f>Procurement_Raw!G155</f>
        <v>INV-2025-00154</v>
      </c>
      <c r="H155" s="6">
        <f>Procurement_Raw!H155</f>
        <v>18</v>
      </c>
      <c r="I155" s="7">
        <f>Procurement_Raw!I155</f>
        <v>284.06</v>
      </c>
      <c r="J155" s="7">
        <f>Procurement_Raw!J155</f>
        <v>5113.16</v>
      </c>
      <c r="K155" s="6">
        <f>Procurement_Raw!K155</f>
        <v>30</v>
      </c>
      <c r="L155" t="str">
        <f>Procurement_Raw!L155</f>
        <v>Procurement Portal</v>
      </c>
      <c r="M155" s="8">
        <f>Procurement_Raw!M155</f>
        <v>1022.6319999999999</v>
      </c>
      <c r="N155" s="7">
        <f>Procurement_Raw!N155</f>
        <v>5113.16</v>
      </c>
      <c r="O155" s="7">
        <f t="shared" si="4"/>
        <v>5113.16</v>
      </c>
      <c r="P155" t="str">
        <f>IFERROR(INDEX(Supplier_Lookup!$B$2:$B$200,MATCH(E155,Supplier_Lookup!$A$2:$A$200,0)),"Unmapped")</f>
        <v>Utilities</v>
      </c>
      <c r="Q155" s="10">
        <f>IFERROR(INDEX(Category_Targets!$B$2:$B$9,MATCH(F155,Category_Targets!$A$2:$A$9,0)),0)</f>
        <v>0.03</v>
      </c>
      <c r="R155" s="7">
        <f t="shared" si="5"/>
        <v>153.3948</v>
      </c>
    </row>
    <row r="156" spans="1:18" x14ac:dyDescent="0.25">
      <c r="A156" s="5">
        <f>Procurement_Raw!A156</f>
        <v>45794</v>
      </c>
      <c r="B156" t="str">
        <f>Procurement_Raw!B156</f>
        <v>S007</v>
      </c>
      <c r="C156" t="str">
        <f>Procurement_Raw!C156</f>
        <v>Nottingham Care &amp; Education Centre</v>
      </c>
      <c r="D156" t="str">
        <f>Procurement_Raw!D156</f>
        <v>Midlands</v>
      </c>
      <c r="E156" t="str">
        <f>Procurement_Raw!E156</f>
        <v>AutoCare</v>
      </c>
      <c r="F156" t="str">
        <f>Procurement_Raw!F156</f>
        <v>Vehicle &amp; Fuel</v>
      </c>
      <c r="G156" t="str">
        <f>Procurement_Raw!G156</f>
        <v>INV-2025-00155</v>
      </c>
      <c r="H156" s="6">
        <f>Procurement_Raw!H156</f>
        <v>1</v>
      </c>
      <c r="I156" s="7">
        <f>Procurement_Raw!I156</f>
        <v>111.62</v>
      </c>
      <c r="J156" s="7">
        <f>Procurement_Raw!J156</f>
        <v>111.62</v>
      </c>
      <c r="K156" s="6">
        <f>Procurement_Raw!K156</f>
        <v>45</v>
      </c>
      <c r="L156" t="str">
        <f>Procurement_Raw!L156</f>
        <v>Legacy Spend File</v>
      </c>
      <c r="M156" s="8">
        <f>Procurement_Raw!M156</f>
        <v>22.324000000000002</v>
      </c>
      <c r="N156" s="7">
        <f>Procurement_Raw!N156</f>
        <v>111.62</v>
      </c>
      <c r="O156" s="7">
        <f t="shared" si="4"/>
        <v>111.62</v>
      </c>
      <c r="P156" t="str">
        <f>IFERROR(INDEX(Supplier_Lookup!$B$2:$B$200,MATCH(E156,Supplier_Lookup!$A$2:$A$200,0)),"Unmapped")</f>
        <v>Vehicle &amp; Fuel</v>
      </c>
      <c r="Q156" s="10">
        <f>IFERROR(INDEX(Category_Targets!$B$2:$B$9,MATCH(F156,Category_Targets!$A$2:$A$9,0)),0)</f>
        <v>0.05</v>
      </c>
      <c r="R156" s="7">
        <f t="shared" si="5"/>
        <v>5.5810000000000004</v>
      </c>
    </row>
    <row r="157" spans="1:18" x14ac:dyDescent="0.25">
      <c r="A157" s="5">
        <f>Procurement_Raw!A157</f>
        <v>45886</v>
      </c>
      <c r="B157" t="str">
        <f>Procurement_Raw!B157</f>
        <v>S003</v>
      </c>
      <c r="C157" t="str">
        <f>Procurement_Raw!C157</f>
        <v>Leeds Care &amp; Education Centre</v>
      </c>
      <c r="D157" t="str">
        <f>Procurement_Raw!D157</f>
        <v>North</v>
      </c>
      <c r="E157" t="str">
        <f>Procurement_Raw!E157</f>
        <v>OfficePlus</v>
      </c>
      <c r="F157" t="str">
        <f>Procurement_Raw!F157</f>
        <v>Office &amp; Training</v>
      </c>
      <c r="G157" t="str">
        <f>Procurement_Raw!G157</f>
        <v>INV-2025-00156</v>
      </c>
      <c r="H157" s="6">
        <f>Procurement_Raw!H157</f>
        <v>69</v>
      </c>
      <c r="I157" s="7">
        <f>Procurement_Raw!I157</f>
        <v>50.63</v>
      </c>
      <c r="J157" s="7">
        <f>Procurement_Raw!J157</f>
        <v>3493.65</v>
      </c>
      <c r="K157" s="6">
        <f>Procurement_Raw!K157</f>
        <v>45</v>
      </c>
      <c r="L157" t="str">
        <f>Procurement_Raw!L157</f>
        <v>Procurement Portal</v>
      </c>
      <c r="M157" s="8">
        <f>Procurement_Raw!M157</f>
        <v>698.73</v>
      </c>
      <c r="N157" s="7">
        <f>Procurement_Raw!N157</f>
        <v>3493.65</v>
      </c>
      <c r="O157" s="7">
        <f t="shared" si="4"/>
        <v>3493.65</v>
      </c>
      <c r="P157" t="str">
        <f>IFERROR(INDEX(Supplier_Lookup!$B$2:$B$200,MATCH(E157,Supplier_Lookup!$A$2:$A$200,0)),"Unmapped")</f>
        <v>Office &amp; Training</v>
      </c>
      <c r="Q157" s="10">
        <f>IFERROR(INDEX(Category_Targets!$B$2:$B$9,MATCH(F157,Category_Targets!$A$2:$A$9,0)),0)</f>
        <v>0.04</v>
      </c>
      <c r="R157" s="7">
        <f t="shared" si="5"/>
        <v>139.74600000000001</v>
      </c>
    </row>
    <row r="158" spans="1:18" x14ac:dyDescent="0.25">
      <c r="A158" s="5">
        <f>Procurement_Raw!A158</f>
        <v>45822</v>
      </c>
      <c r="B158" t="str">
        <f>Procurement_Raw!B158</f>
        <v>S006</v>
      </c>
      <c r="C158" t="str">
        <f>Procurement_Raw!C158</f>
        <v>Birmingham Care &amp; Education Centre</v>
      </c>
      <c r="D158" t="str">
        <f>Procurement_Raw!D158</f>
        <v>Midlands</v>
      </c>
      <c r="E158" t="str">
        <f>Procurement_Raw!E158</f>
        <v>CareTemps</v>
      </c>
      <c r="F158" t="str">
        <f>Procurement_Raw!F158</f>
        <v>Agency Labour</v>
      </c>
      <c r="G158" t="str">
        <f>Procurement_Raw!G158</f>
        <v>INV-2025-00157</v>
      </c>
      <c r="H158" s="6">
        <f>Procurement_Raw!H158</f>
        <v>25</v>
      </c>
      <c r="I158" s="7">
        <f>Procurement_Raw!I158</f>
        <v>837.11</v>
      </c>
      <c r="J158" s="7">
        <f>Procurement_Raw!J158</f>
        <v>20927.810000000001</v>
      </c>
      <c r="K158" s="6">
        <f>Procurement_Raw!K158</f>
        <v>60</v>
      </c>
      <c r="L158" t="str">
        <f>Procurement_Raw!L158</f>
        <v>ERP</v>
      </c>
      <c r="M158" s="8">
        <f>Procurement_Raw!M158</f>
        <v>4185.5619999999999</v>
      </c>
      <c r="N158" s="7">
        <f>Procurement_Raw!N158</f>
        <v>20927.810000000001</v>
      </c>
      <c r="O158" s="7">
        <f t="shared" si="4"/>
        <v>20927.810000000001</v>
      </c>
      <c r="P158" t="str">
        <f>IFERROR(INDEX(Supplier_Lookup!$B$2:$B$200,MATCH(E158,Supplier_Lookup!$A$2:$A$200,0)),"Unmapped")</f>
        <v>Agency Labour</v>
      </c>
      <c r="Q158" s="10">
        <f>IFERROR(INDEX(Category_Targets!$B$2:$B$9,MATCH(F158,Category_Targets!$A$2:$A$9,0)),0)</f>
        <v>7.0000000000000007E-2</v>
      </c>
      <c r="R158" s="7">
        <f t="shared" si="5"/>
        <v>1464.9467000000002</v>
      </c>
    </row>
    <row r="159" spans="1:18" x14ac:dyDescent="0.25">
      <c r="A159" s="5">
        <f>Procurement_Raw!A159</f>
        <v>45868</v>
      </c>
      <c r="B159" t="str">
        <f>Procurement_Raw!B159</f>
        <v>S001</v>
      </c>
      <c r="C159" t="str">
        <f>Procurement_Raw!C159</f>
        <v>Preston Care &amp; Education Centre</v>
      </c>
      <c r="D159" t="str">
        <f>Procurement_Raw!D159</f>
        <v>North</v>
      </c>
      <c r="E159" t="str">
        <f>Procurement_Raw!E159</f>
        <v>HealthStaffing</v>
      </c>
      <c r="F159" t="str">
        <f>Procurement_Raw!F159</f>
        <v>Agency Labour</v>
      </c>
      <c r="G159" t="str">
        <f>Procurement_Raw!G159</f>
        <v>INV-2025-00158</v>
      </c>
      <c r="H159" s="6">
        <f>Procurement_Raw!H159</f>
        <v>6</v>
      </c>
      <c r="I159" s="7">
        <f>Procurement_Raw!I159</f>
        <v>389.32</v>
      </c>
      <c r="J159" s="7">
        <f>Procurement_Raw!J159</f>
        <v>2335.89</v>
      </c>
      <c r="K159" s="6">
        <f>Procurement_Raw!K159</f>
        <v>45</v>
      </c>
      <c r="L159" t="str">
        <f>Procurement_Raw!L159</f>
        <v>Legacy Spend File</v>
      </c>
      <c r="M159" s="8">
        <f>Procurement_Raw!M159</f>
        <v>467.178</v>
      </c>
      <c r="N159" s="7">
        <f>Procurement_Raw!N159</f>
        <v>2335.89</v>
      </c>
      <c r="O159" s="7">
        <f t="shared" si="4"/>
        <v>2335.89</v>
      </c>
      <c r="P159" t="str">
        <f>IFERROR(INDEX(Supplier_Lookup!$B$2:$B$200,MATCH(E159,Supplier_Lookup!$A$2:$A$200,0)),"Unmapped")</f>
        <v>Agency Labour</v>
      </c>
      <c r="Q159" s="10">
        <f>IFERROR(INDEX(Category_Targets!$B$2:$B$9,MATCH(F159,Category_Targets!$A$2:$A$9,0)),0)</f>
        <v>7.0000000000000007E-2</v>
      </c>
      <c r="R159" s="7">
        <f t="shared" si="5"/>
        <v>163.51230000000001</v>
      </c>
    </row>
    <row r="160" spans="1:18" x14ac:dyDescent="0.25">
      <c r="A160" s="5">
        <f>Procurement_Raw!A160</f>
        <v>45997</v>
      </c>
      <c r="B160" t="str">
        <f>Procurement_Raw!B160</f>
        <v>S017</v>
      </c>
      <c r="C160" t="str">
        <f>Procurement_Raw!C160</f>
        <v>Swansea Care &amp; Education Centre</v>
      </c>
      <c r="D160" t="str">
        <f>Procurement_Raw!D160</f>
        <v>Wales</v>
      </c>
      <c r="E160" t="str">
        <f>Procurement_Raw!E160</f>
        <v>CareTemps</v>
      </c>
      <c r="F160" t="str">
        <f>Procurement_Raw!F160</f>
        <v>Agency Labour</v>
      </c>
      <c r="G160" t="str">
        <f>Procurement_Raw!G160</f>
        <v>INV-2025-00159</v>
      </c>
      <c r="H160" s="6">
        <f>Procurement_Raw!H160</f>
        <v>20</v>
      </c>
      <c r="I160" s="7">
        <f>Procurement_Raw!I160</f>
        <v>155.80000000000001</v>
      </c>
      <c r="J160" s="7">
        <f>Procurement_Raw!J160</f>
        <v>3115.98</v>
      </c>
      <c r="K160" s="6">
        <f>Procurement_Raw!K160</f>
        <v>45</v>
      </c>
      <c r="L160" t="str">
        <f>Procurement_Raw!L160</f>
        <v>ERP</v>
      </c>
      <c r="M160" s="8">
        <f>Procurement_Raw!M160</f>
        <v>623.19600000000003</v>
      </c>
      <c r="N160" s="7">
        <f>Procurement_Raw!N160</f>
        <v>3115.98</v>
      </c>
      <c r="O160" s="7">
        <f t="shared" si="4"/>
        <v>3115.98</v>
      </c>
      <c r="P160" t="str">
        <f>IFERROR(INDEX(Supplier_Lookup!$B$2:$B$200,MATCH(E160,Supplier_Lookup!$A$2:$A$200,0)),"Unmapped")</f>
        <v>Agency Labour</v>
      </c>
      <c r="Q160" s="10">
        <f>IFERROR(INDEX(Category_Targets!$B$2:$B$9,MATCH(F160,Category_Targets!$A$2:$A$9,0)),0)</f>
        <v>7.0000000000000007E-2</v>
      </c>
      <c r="R160" s="7">
        <f t="shared" si="5"/>
        <v>218.11860000000001</v>
      </c>
    </row>
    <row r="161" spans="1:18" x14ac:dyDescent="0.25">
      <c r="A161" s="5">
        <f>Procurement_Raw!A161</f>
        <v>45883</v>
      </c>
      <c r="B161" t="str">
        <f>Procurement_Raw!B161</f>
        <v>S014</v>
      </c>
      <c r="C161" t="str">
        <f>Procurement_Raw!C161</f>
        <v>Southampton Care &amp; Education Centre</v>
      </c>
      <c r="D161" t="str">
        <f>Procurement_Raw!D161</f>
        <v>South</v>
      </c>
      <c r="E161" t="str">
        <f>Procurement_Raw!E161</f>
        <v>FleetFuel</v>
      </c>
      <c r="F161" t="str">
        <f>Procurement_Raw!F161</f>
        <v>Vehicle &amp; Fuel</v>
      </c>
      <c r="G161" t="str">
        <f>Procurement_Raw!G161</f>
        <v>INV-2025-00160</v>
      </c>
      <c r="H161" s="6">
        <f>Procurement_Raw!H161</f>
        <v>13</v>
      </c>
      <c r="I161" s="7">
        <f>Procurement_Raw!I161</f>
        <v>136.32</v>
      </c>
      <c r="J161" s="7">
        <f>Procurement_Raw!J161</f>
        <v>1772.12</v>
      </c>
      <c r="K161" s="6">
        <f>Procurement_Raw!K161</f>
        <v>60</v>
      </c>
      <c r="L161" t="str">
        <f>Procurement_Raw!L161</f>
        <v>Procurement Portal</v>
      </c>
      <c r="M161" s="8">
        <f>Procurement_Raw!M161</f>
        <v>354.42399999999998</v>
      </c>
      <c r="N161" s="7">
        <f>Procurement_Raw!N161</f>
        <v>1772.12</v>
      </c>
      <c r="O161" s="7">
        <f t="shared" si="4"/>
        <v>1772.12</v>
      </c>
      <c r="P161" t="str">
        <f>IFERROR(INDEX(Supplier_Lookup!$B$2:$B$200,MATCH(E161,Supplier_Lookup!$A$2:$A$200,0)),"Unmapped")</f>
        <v>Vehicle &amp; Fuel</v>
      </c>
      <c r="Q161" s="10">
        <f>IFERROR(INDEX(Category_Targets!$B$2:$B$9,MATCH(F161,Category_Targets!$A$2:$A$9,0)),0)</f>
        <v>0.05</v>
      </c>
      <c r="R161" s="7">
        <f t="shared" si="5"/>
        <v>88.605999999999995</v>
      </c>
    </row>
    <row r="162" spans="1:18" x14ac:dyDescent="0.25">
      <c r="A162" s="5">
        <f>Procurement_Raw!A162</f>
        <v>45993</v>
      </c>
      <c r="B162" t="str">
        <f>Procurement_Raw!B162</f>
        <v>S012</v>
      </c>
      <c r="C162" t="str">
        <f>Procurement_Raw!C162</f>
        <v>Bristol Care &amp; Education Centre</v>
      </c>
      <c r="D162" t="str">
        <f>Procurement_Raw!D162</f>
        <v>South</v>
      </c>
      <c r="E162" t="str">
        <f>Procurement_Raw!E162</f>
        <v>SafeGuard FM</v>
      </c>
      <c r="F162" t="str">
        <f>Procurement_Raw!F162</f>
        <v>Facilities</v>
      </c>
      <c r="G162" t="str">
        <f>Procurement_Raw!G162</f>
        <v>INV-2025-00161</v>
      </c>
      <c r="H162" s="6">
        <f>Procurement_Raw!H162</f>
        <v>20</v>
      </c>
      <c r="I162" s="7">
        <f>Procurement_Raw!I162</f>
        <v>105.31</v>
      </c>
      <c r="J162" s="7">
        <f>Procurement_Raw!J162</f>
        <v>2106.14</v>
      </c>
      <c r="K162" s="6">
        <f>Procurement_Raw!K162</f>
        <v>30</v>
      </c>
      <c r="L162" t="str">
        <f>Procurement_Raw!L162</f>
        <v>Procurement Portal</v>
      </c>
      <c r="M162" s="8">
        <f>Procurement_Raw!M162</f>
        <v>421.22800000000001</v>
      </c>
      <c r="N162" s="7">
        <f>Procurement_Raw!N162</f>
        <v>2106.14</v>
      </c>
      <c r="O162" s="7">
        <f t="shared" si="4"/>
        <v>2106.14</v>
      </c>
      <c r="P162" t="str">
        <f>IFERROR(INDEX(Supplier_Lookup!$B$2:$B$200,MATCH(E162,Supplier_Lookup!$A$2:$A$200,0)),"Unmapped")</f>
        <v>Facilities</v>
      </c>
      <c r="Q162" s="10">
        <f>IFERROR(INDEX(Category_Targets!$B$2:$B$9,MATCH(F162,Category_Targets!$A$2:$A$9,0)),0)</f>
        <v>0.05</v>
      </c>
      <c r="R162" s="7">
        <f t="shared" si="5"/>
        <v>105.307</v>
      </c>
    </row>
    <row r="163" spans="1:18" x14ac:dyDescent="0.25">
      <c r="A163" s="5">
        <f>Procurement_Raw!A163</f>
        <v>46012</v>
      </c>
      <c r="B163" t="str">
        <f>Procurement_Raw!B163</f>
        <v>S013</v>
      </c>
      <c r="C163" t="str">
        <f>Procurement_Raw!C163</f>
        <v>Reading Care &amp; Education Centre</v>
      </c>
      <c r="D163" t="str">
        <f>Procurement_Raw!D163</f>
        <v>South</v>
      </c>
      <c r="E163" t="str">
        <f>Procurement_Raw!E163</f>
        <v>AutoCare</v>
      </c>
      <c r="F163" t="str">
        <f>Procurement_Raw!F163</f>
        <v>Vehicle &amp; Fuel</v>
      </c>
      <c r="G163" t="str">
        <f>Procurement_Raw!G163</f>
        <v>INV-2025-00162</v>
      </c>
      <c r="H163" s="6">
        <f>Procurement_Raw!H163</f>
        <v>51</v>
      </c>
      <c r="I163" s="7">
        <f>Procurement_Raw!I163</f>
        <v>146.46</v>
      </c>
      <c r="J163" s="7">
        <f>Procurement_Raw!J163</f>
        <v>7469.62</v>
      </c>
      <c r="K163" s="6">
        <f>Procurement_Raw!K163</f>
        <v>60</v>
      </c>
      <c r="L163" t="str">
        <f>Procurement_Raw!L163</f>
        <v>ERP</v>
      </c>
      <c r="M163" s="8">
        <f>Procurement_Raw!M163</f>
        <v>1493.924</v>
      </c>
      <c r="N163" s="7">
        <f>Procurement_Raw!N163</f>
        <v>7469.62</v>
      </c>
      <c r="O163" s="7">
        <f t="shared" si="4"/>
        <v>7469.62</v>
      </c>
      <c r="P163" t="str">
        <f>IFERROR(INDEX(Supplier_Lookup!$B$2:$B$200,MATCH(E163,Supplier_Lookup!$A$2:$A$200,0)),"Unmapped")</f>
        <v>Vehicle &amp; Fuel</v>
      </c>
      <c r="Q163" s="10">
        <f>IFERROR(INDEX(Category_Targets!$B$2:$B$9,MATCH(F163,Category_Targets!$A$2:$A$9,0)),0)</f>
        <v>0.05</v>
      </c>
      <c r="R163" s="7">
        <f t="shared" si="5"/>
        <v>373.48099999999999</v>
      </c>
    </row>
    <row r="164" spans="1:18" x14ac:dyDescent="0.25">
      <c r="A164" s="5">
        <f>Procurement_Raw!A164</f>
        <v>45978</v>
      </c>
      <c r="B164" t="str">
        <f>Procurement_Raw!B164</f>
        <v>S013</v>
      </c>
      <c r="C164" t="str">
        <f>Procurement_Raw!C164</f>
        <v>Reading Care &amp; Education Centre</v>
      </c>
      <c r="D164" t="str">
        <f>Procurement_Raw!D164</f>
        <v>South</v>
      </c>
      <c r="E164" t="str">
        <f>Procurement_Raw!E164</f>
        <v>CareTemps</v>
      </c>
      <c r="F164" t="str">
        <f>Procurement_Raw!F164</f>
        <v>Agency Labour</v>
      </c>
      <c r="G164" t="str">
        <f>Procurement_Raw!G164</f>
        <v>INV-2025-00163</v>
      </c>
      <c r="H164" s="6">
        <f>Procurement_Raw!H164</f>
        <v>63</v>
      </c>
      <c r="I164" s="7">
        <f>Procurement_Raw!I164</f>
        <v>567.37</v>
      </c>
      <c r="J164" s="7">
        <f>Procurement_Raw!J164</f>
        <v>35744.25</v>
      </c>
      <c r="K164" s="6">
        <f>Procurement_Raw!K164</f>
        <v>60</v>
      </c>
      <c r="L164" t="str">
        <f>Procurement_Raw!L164</f>
        <v>ERP</v>
      </c>
      <c r="M164" s="8">
        <f>Procurement_Raw!M164</f>
        <v>7148.85</v>
      </c>
      <c r="N164" s="7">
        <f>Procurement_Raw!N164</f>
        <v>35744.25</v>
      </c>
      <c r="O164" s="7">
        <f t="shared" si="4"/>
        <v>35744.25</v>
      </c>
      <c r="P164" t="str">
        <f>IFERROR(INDEX(Supplier_Lookup!$B$2:$B$200,MATCH(E164,Supplier_Lookup!$A$2:$A$200,0)),"Unmapped")</f>
        <v>Agency Labour</v>
      </c>
      <c r="Q164" s="10">
        <f>IFERROR(INDEX(Category_Targets!$B$2:$B$9,MATCH(F164,Category_Targets!$A$2:$A$9,0)),0)</f>
        <v>7.0000000000000007E-2</v>
      </c>
      <c r="R164" s="7">
        <f t="shared" si="5"/>
        <v>2502.0975000000003</v>
      </c>
    </row>
    <row r="165" spans="1:18" x14ac:dyDescent="0.25">
      <c r="A165" s="5">
        <f>Procurement_Raw!A165</f>
        <v>45981</v>
      </c>
      <c r="B165" t="str">
        <f>Procurement_Raw!B165</f>
        <v>S005</v>
      </c>
      <c r="C165" t="str">
        <f>Procurement_Raw!C165</f>
        <v>Sheffield Care &amp; Education Centre</v>
      </c>
      <c r="D165" t="str">
        <f>Procurement_Raw!D165</f>
        <v>North</v>
      </c>
      <c r="E165" t="str">
        <f>Procurement_Raw!E165</f>
        <v>FreshServe</v>
      </c>
      <c r="F165" t="str">
        <f>Procurement_Raw!F165</f>
        <v>Food &amp; Catering</v>
      </c>
      <c r="G165" t="str">
        <f>Procurement_Raw!G165</f>
        <v>INV-2025-00164</v>
      </c>
      <c r="H165" s="6">
        <f>Procurement_Raw!H165</f>
        <v>37</v>
      </c>
      <c r="I165" s="7">
        <f>Procurement_Raw!I165</f>
        <v>41.39</v>
      </c>
      <c r="J165" s="7">
        <f>Procurement_Raw!J165</f>
        <v>1531.39</v>
      </c>
      <c r="K165" s="6">
        <f>Procurement_Raw!K165</f>
        <v>30</v>
      </c>
      <c r="L165" t="str">
        <f>Procurement_Raw!L165</f>
        <v>Legacy Spend File</v>
      </c>
      <c r="M165" s="8">
        <f>Procurement_Raw!M165</f>
        <v>306.27800000000002</v>
      </c>
      <c r="N165" s="7">
        <f>Procurement_Raw!N165</f>
        <v>1531.39</v>
      </c>
      <c r="O165" s="7">
        <f t="shared" si="4"/>
        <v>1531.39</v>
      </c>
      <c r="P165" t="str">
        <f>IFERROR(INDEX(Supplier_Lookup!$B$2:$B$200,MATCH(E165,Supplier_Lookup!$A$2:$A$200,0)),"Unmapped")</f>
        <v>Food &amp; Catering</v>
      </c>
      <c r="Q165" s="10">
        <f>IFERROR(INDEX(Category_Targets!$B$2:$B$9,MATCH(F165,Category_Targets!$A$2:$A$9,0)),0)</f>
        <v>0.04</v>
      </c>
      <c r="R165" s="7">
        <f t="shared" si="5"/>
        <v>61.255600000000008</v>
      </c>
    </row>
    <row r="166" spans="1:18" x14ac:dyDescent="0.25">
      <c r="A166" s="5">
        <f>Procurement_Raw!A166</f>
        <v>45982</v>
      </c>
      <c r="B166" t="str">
        <f>Procurement_Raw!B166</f>
        <v>S007</v>
      </c>
      <c r="C166" t="str">
        <f>Procurement_Raw!C166</f>
        <v>Nottingham Care &amp; Education Centre</v>
      </c>
      <c r="D166" t="str">
        <f>Procurement_Raw!D166</f>
        <v>Midlands</v>
      </c>
      <c r="E166" t="str">
        <f>Procurement_Raw!E166</f>
        <v>HealthStaffing</v>
      </c>
      <c r="F166" t="str">
        <f>Procurement_Raw!F166</f>
        <v>Agency Labour</v>
      </c>
      <c r="G166" t="str">
        <f>Procurement_Raw!G166</f>
        <v>INV-2025-00165</v>
      </c>
      <c r="H166" s="6">
        <f>Procurement_Raw!H166</f>
        <v>13</v>
      </c>
      <c r="I166" s="7">
        <f>Procurement_Raw!I166</f>
        <v>509.61</v>
      </c>
      <c r="J166" s="7">
        <f>Procurement_Raw!J166</f>
        <v>6624.89</v>
      </c>
      <c r="K166" s="6">
        <f>Procurement_Raw!K166</f>
        <v>45</v>
      </c>
      <c r="L166" t="str">
        <f>Procurement_Raw!L166</f>
        <v>ERP</v>
      </c>
      <c r="M166" s="8">
        <f>Procurement_Raw!M166</f>
        <v>1324.9780000000001</v>
      </c>
      <c r="N166" s="7">
        <f>Procurement_Raw!N166</f>
        <v>6624.89</v>
      </c>
      <c r="O166" s="7">
        <f t="shared" si="4"/>
        <v>6624.89</v>
      </c>
      <c r="P166" t="str">
        <f>IFERROR(INDEX(Supplier_Lookup!$B$2:$B$200,MATCH(E166,Supplier_Lookup!$A$2:$A$200,0)),"Unmapped")</f>
        <v>Agency Labour</v>
      </c>
      <c r="Q166" s="10">
        <f>IFERROR(INDEX(Category_Targets!$B$2:$B$9,MATCH(F166,Category_Targets!$A$2:$A$9,0)),0)</f>
        <v>7.0000000000000007E-2</v>
      </c>
      <c r="R166" s="7">
        <f t="shared" si="5"/>
        <v>463.74230000000006</v>
      </c>
    </row>
    <row r="167" spans="1:18" x14ac:dyDescent="0.25">
      <c r="A167" s="5">
        <f>Procurement_Raw!A167</f>
        <v>45681</v>
      </c>
      <c r="B167" t="str">
        <f>Procurement_Raw!B167</f>
        <v>S011</v>
      </c>
      <c r="C167" t="str">
        <f>Procurement_Raw!C167</f>
        <v>London Care &amp; Education Centre</v>
      </c>
      <c r="D167" t="str">
        <f>Procurement_Raw!D167</f>
        <v>South</v>
      </c>
      <c r="E167" t="str">
        <f>Procurement_Raw!E167</f>
        <v>CloudLink</v>
      </c>
      <c r="F167" t="str">
        <f>Procurement_Raw!F167</f>
        <v>IT &amp; Telecoms</v>
      </c>
      <c r="G167" t="str">
        <f>Procurement_Raw!G167</f>
        <v>INV-2025-00166</v>
      </c>
      <c r="H167" s="6">
        <f>Procurement_Raw!H167</f>
        <v>42</v>
      </c>
      <c r="I167" s="7">
        <f>Procurement_Raw!I167</f>
        <v>276.07</v>
      </c>
      <c r="J167" s="7">
        <f>Procurement_Raw!J167</f>
        <v>11594.97</v>
      </c>
      <c r="K167" s="6">
        <f>Procurement_Raw!K167</f>
        <v>30</v>
      </c>
      <c r="L167" t="str">
        <f>Procurement_Raw!L167</f>
        <v>Procurement Portal</v>
      </c>
      <c r="M167" s="8">
        <f>Procurement_Raw!M167</f>
        <v>2318.9940000000001</v>
      </c>
      <c r="N167" s="7">
        <f>Procurement_Raw!N167</f>
        <v>11594.97</v>
      </c>
      <c r="O167" s="7">
        <f t="shared" si="4"/>
        <v>11594.97</v>
      </c>
      <c r="P167" t="str">
        <f>IFERROR(INDEX(Supplier_Lookup!$B$2:$B$200,MATCH(E167,Supplier_Lookup!$A$2:$A$200,0)),"Unmapped")</f>
        <v>medical supplies</v>
      </c>
      <c r="Q167" s="10">
        <f>IFERROR(INDEX(Category_Targets!$B$2:$B$9,MATCH(F167,Category_Targets!$A$2:$A$9,0)),0)</f>
        <v>0.08</v>
      </c>
      <c r="R167" s="7">
        <f t="shared" si="5"/>
        <v>927.59759999999994</v>
      </c>
    </row>
    <row r="168" spans="1:18" x14ac:dyDescent="0.25">
      <c r="A168" s="5">
        <f>Procurement_Raw!A168</f>
        <v>45732</v>
      </c>
      <c r="B168" t="str">
        <f>Procurement_Raw!B168</f>
        <v>S009</v>
      </c>
      <c r="C168" t="str">
        <f>Procurement_Raw!C168</f>
        <v>Derby Care &amp; Education Centre</v>
      </c>
      <c r="D168" t="str">
        <f>Procurement_Raw!D168</f>
        <v>Midlands</v>
      </c>
      <c r="E168" t="str">
        <f>Procurement_Raw!E168</f>
        <v>RoadReady</v>
      </c>
      <c r="F168" t="str">
        <f>Procurement_Raw!F168</f>
        <v>Vehicle &amp; Fuel</v>
      </c>
      <c r="G168" t="str">
        <f>Procurement_Raw!G168</f>
        <v>INV-2025-00167</v>
      </c>
      <c r="H168" s="6">
        <f>Procurement_Raw!H168</f>
        <v>32</v>
      </c>
      <c r="I168" s="7">
        <f>Procurement_Raw!I168</f>
        <v>149.31</v>
      </c>
      <c r="J168" s="7">
        <f>Procurement_Raw!J168</f>
        <v>4777.8500000000004</v>
      </c>
      <c r="K168" s="6">
        <f>Procurement_Raw!K168</f>
        <v>60</v>
      </c>
      <c r="L168" t="str">
        <f>Procurement_Raw!L168</f>
        <v>Procurement Portal</v>
      </c>
      <c r="M168" s="8">
        <f>Procurement_Raw!M168</f>
        <v>955.57</v>
      </c>
      <c r="N168" s="7">
        <f>Procurement_Raw!N168</f>
        <v>4777.8500000000004</v>
      </c>
      <c r="O168" s="7">
        <f t="shared" si="4"/>
        <v>4777.8500000000004</v>
      </c>
      <c r="P168" t="str">
        <f>IFERROR(INDEX(Supplier_Lookup!$B$2:$B$200,MATCH(E168,Supplier_Lookup!$A$2:$A$200,0)),"Unmapped")</f>
        <v>Vehicle &amp; Fuel</v>
      </c>
      <c r="Q168" s="10">
        <f>IFERROR(INDEX(Category_Targets!$B$2:$B$9,MATCH(F168,Category_Targets!$A$2:$A$9,0)),0)</f>
        <v>0.05</v>
      </c>
      <c r="R168" s="7">
        <f t="shared" si="5"/>
        <v>238.89250000000004</v>
      </c>
    </row>
    <row r="169" spans="1:18" x14ac:dyDescent="0.25">
      <c r="A169" s="5">
        <f>Procurement_Raw!A169</f>
        <v>45747</v>
      </c>
      <c r="B169" t="str">
        <f>Procurement_Raw!B169</f>
        <v>S017</v>
      </c>
      <c r="C169" t="str">
        <f>Procurement_Raw!C169</f>
        <v>Swansea Care &amp; Education Centre</v>
      </c>
      <c r="D169" t="str">
        <f>Procurement_Raw!D169</f>
        <v>Wales</v>
      </c>
      <c r="E169" t="str">
        <f>Procurement_Raw!E169</f>
        <v>CleanWorks</v>
      </c>
      <c r="F169" t="str">
        <f>Procurement_Raw!F169</f>
        <v>Facilities</v>
      </c>
      <c r="G169" t="str">
        <f>Procurement_Raw!G169</f>
        <v>INV-2025-00168</v>
      </c>
      <c r="H169" s="6">
        <f>Procurement_Raw!H169</f>
        <v>11</v>
      </c>
      <c r="I169" s="7">
        <f>Procurement_Raw!I169</f>
        <v>510.91</v>
      </c>
      <c r="J169" s="7">
        <f>Procurement_Raw!J169</f>
        <v>5620.01</v>
      </c>
      <c r="K169" s="6">
        <f>Procurement_Raw!K169</f>
        <v>60</v>
      </c>
      <c r="L169" t="str">
        <f>Procurement_Raw!L169</f>
        <v>Procurement Portal</v>
      </c>
      <c r="M169" s="8">
        <f>Procurement_Raw!M169</f>
        <v>1124.002</v>
      </c>
      <c r="N169" s="7">
        <f>Procurement_Raw!N169</f>
        <v>5620.01</v>
      </c>
      <c r="O169" s="7">
        <f t="shared" si="4"/>
        <v>5620.01</v>
      </c>
      <c r="P169" t="str">
        <f>IFERROR(INDEX(Supplier_Lookup!$B$2:$B$200,MATCH(E169,Supplier_Lookup!$A$2:$A$200,0)),"Unmapped")</f>
        <v>Facilities</v>
      </c>
      <c r="Q169" s="10">
        <f>IFERROR(INDEX(Category_Targets!$B$2:$B$9,MATCH(F169,Category_Targets!$A$2:$A$9,0)),0)</f>
        <v>0.05</v>
      </c>
      <c r="R169" s="7">
        <f t="shared" si="5"/>
        <v>281.00050000000005</v>
      </c>
    </row>
    <row r="170" spans="1:18" x14ac:dyDescent="0.25">
      <c r="A170" s="5">
        <f>Procurement_Raw!A170</f>
        <v>45956</v>
      </c>
      <c r="B170" t="str">
        <f>Procurement_Raw!B170</f>
        <v>S006</v>
      </c>
      <c r="C170" t="str">
        <f>Procurement_Raw!C170</f>
        <v>Birmingham Care &amp; Education Centre</v>
      </c>
      <c r="D170" t="str">
        <f>Procurement_Raw!D170</f>
        <v>Midlands</v>
      </c>
      <c r="E170" t="str">
        <f>Procurement_Raw!E170</f>
        <v>WaterGrid</v>
      </c>
      <c r="F170" t="str">
        <f>Procurement_Raw!F170</f>
        <v>Utilities</v>
      </c>
      <c r="G170" t="str">
        <f>Procurement_Raw!G170</f>
        <v>INV-2025-00169</v>
      </c>
      <c r="H170" s="6">
        <f>Procurement_Raw!H170</f>
        <v>19</v>
      </c>
      <c r="I170" s="7">
        <f>Procurement_Raw!I170</f>
        <v>218.44</v>
      </c>
      <c r="J170" s="7">
        <f>Procurement_Raw!J170</f>
        <v>4150.3</v>
      </c>
      <c r="K170" s="6">
        <f>Procurement_Raw!K170</f>
        <v>30</v>
      </c>
      <c r="L170" t="str">
        <f>Procurement_Raw!L170</f>
        <v>Procurement Portal</v>
      </c>
      <c r="M170" s="8">
        <f>Procurement_Raw!M170</f>
        <v>830.06</v>
      </c>
      <c r="N170" s="7">
        <f>Procurement_Raw!N170</f>
        <v>4150.3</v>
      </c>
      <c r="O170" s="7">
        <f t="shared" si="4"/>
        <v>4150.3</v>
      </c>
      <c r="P170" t="str">
        <f>IFERROR(INDEX(Supplier_Lookup!$B$2:$B$200,MATCH(E170,Supplier_Lookup!$A$2:$A$200,0)),"Unmapped")</f>
        <v>Utilities</v>
      </c>
      <c r="Q170" s="10">
        <f>IFERROR(INDEX(Category_Targets!$B$2:$B$9,MATCH(F170,Category_Targets!$A$2:$A$9,0)),0)</f>
        <v>0.03</v>
      </c>
      <c r="R170" s="7">
        <f t="shared" si="5"/>
        <v>124.509</v>
      </c>
    </row>
    <row r="171" spans="1:18" x14ac:dyDescent="0.25">
      <c r="A171" s="5">
        <f>Procurement_Raw!A171</f>
        <v>45788</v>
      </c>
      <c r="B171" t="str">
        <f>Procurement_Raw!B171</f>
        <v>S001</v>
      </c>
      <c r="C171" t="str">
        <f>Procurement_Raw!C171</f>
        <v>Preston Care &amp; Education Centre</v>
      </c>
      <c r="D171" t="str">
        <f>Procurement_Raw!D171</f>
        <v>North</v>
      </c>
      <c r="E171" t="str">
        <f>Procurement_Raw!E171</f>
        <v>TeleCare IT</v>
      </c>
      <c r="F171" t="str">
        <f>Procurement_Raw!F171</f>
        <v>IT &amp; Telecoms</v>
      </c>
      <c r="G171" t="str">
        <f>Procurement_Raw!G171</f>
        <v>INV-2025-00170</v>
      </c>
      <c r="H171" s="6">
        <f>Procurement_Raw!H171</f>
        <v>2</v>
      </c>
      <c r="I171" s="7">
        <f>Procurement_Raw!I171</f>
        <v>145.34</v>
      </c>
      <c r="J171" s="7">
        <f>Procurement_Raw!J171</f>
        <v>290.68</v>
      </c>
      <c r="K171" s="6">
        <f>Procurement_Raw!K171</f>
        <v>45</v>
      </c>
      <c r="L171" t="str">
        <f>Procurement_Raw!L171</f>
        <v>Procurement Portal</v>
      </c>
      <c r="M171" s="8">
        <f>Procurement_Raw!M171</f>
        <v>58.136000000000003</v>
      </c>
      <c r="N171" s="7">
        <f>Procurement_Raw!N171</f>
        <v>290.68</v>
      </c>
      <c r="O171" s="7">
        <f t="shared" si="4"/>
        <v>290.68</v>
      </c>
      <c r="P171" t="str">
        <f>IFERROR(INDEX(Supplier_Lookup!$B$2:$B$200,MATCH(E171,Supplier_Lookup!$A$2:$A$200,0)),"Unmapped")</f>
        <v>IT &amp; Telecoms</v>
      </c>
      <c r="Q171" s="10">
        <f>IFERROR(INDEX(Category_Targets!$B$2:$B$9,MATCH(F171,Category_Targets!$A$2:$A$9,0)),0)</f>
        <v>0.08</v>
      </c>
      <c r="R171" s="7">
        <f t="shared" si="5"/>
        <v>23.2544</v>
      </c>
    </row>
    <row r="172" spans="1:18" x14ac:dyDescent="0.25">
      <c r="A172" s="5">
        <f>Procurement_Raw!A172</f>
        <v>45884</v>
      </c>
      <c r="B172" t="str">
        <f>Procurement_Raw!B172</f>
        <v>S010</v>
      </c>
      <c r="C172" t="str">
        <f>Procurement_Raw!C172</f>
        <v>Coventry Care &amp; Education Centre</v>
      </c>
      <c r="D172" t="str">
        <f>Procurement_Raw!D172</f>
        <v>Midlands</v>
      </c>
      <c r="E172" t="str">
        <f>Procurement_Raw!E172</f>
        <v>CleanWorks</v>
      </c>
      <c r="F172" t="str">
        <f>Procurement_Raw!F172</f>
        <v>Facilities</v>
      </c>
      <c r="G172" t="str">
        <f>Procurement_Raw!G172</f>
        <v>INV-2025-00171</v>
      </c>
      <c r="H172" s="6">
        <f>Procurement_Raw!H172</f>
        <v>45</v>
      </c>
      <c r="I172" s="7">
        <f>Procurement_Raw!I172</f>
        <v>110.36</v>
      </c>
      <c r="J172" s="7">
        <f>Procurement_Raw!J172</f>
        <v>4966.08</v>
      </c>
      <c r="K172" s="6">
        <f>Procurement_Raw!K172</f>
        <v>60</v>
      </c>
      <c r="L172" t="str">
        <f>Procurement_Raw!L172</f>
        <v>Procurement Portal</v>
      </c>
      <c r="M172" s="8">
        <f>Procurement_Raw!M172</f>
        <v>993.21600000000001</v>
      </c>
      <c r="N172" s="7">
        <f>Procurement_Raw!N172</f>
        <v>4966.08</v>
      </c>
      <c r="O172" s="7">
        <f t="shared" si="4"/>
        <v>4966.08</v>
      </c>
      <c r="P172" t="str">
        <f>IFERROR(INDEX(Supplier_Lookup!$B$2:$B$200,MATCH(E172,Supplier_Lookup!$A$2:$A$200,0)),"Unmapped")</f>
        <v>Facilities</v>
      </c>
      <c r="Q172" s="10">
        <f>IFERROR(INDEX(Category_Targets!$B$2:$B$9,MATCH(F172,Category_Targets!$A$2:$A$9,0)),0)</f>
        <v>0.05</v>
      </c>
      <c r="R172" s="7">
        <f t="shared" si="5"/>
        <v>248.304</v>
      </c>
    </row>
    <row r="173" spans="1:18" x14ac:dyDescent="0.25">
      <c r="A173" s="5">
        <f>Procurement_Raw!A173</f>
        <v>45786</v>
      </c>
      <c r="B173" t="str">
        <f>Procurement_Raw!B173</f>
        <v>S019</v>
      </c>
      <c r="C173" t="str">
        <f>Procurement_Raw!C173</f>
        <v>Wrexham Care &amp; Education Centre</v>
      </c>
      <c r="D173" t="str">
        <f>Procurement_Raw!D173</f>
        <v>Wales</v>
      </c>
      <c r="E173" t="str">
        <f>Procurement_Raw!E173</f>
        <v>NurseLink</v>
      </c>
      <c r="F173" t="str">
        <f>Procurement_Raw!F173</f>
        <v>Agency Labour</v>
      </c>
      <c r="G173" t="str">
        <f>Procurement_Raw!G173</f>
        <v>INV-2025-00172</v>
      </c>
      <c r="H173" s="6">
        <f>Procurement_Raw!H173</f>
        <v>59</v>
      </c>
      <c r="I173" s="7">
        <f>Procurement_Raw!I173</f>
        <v>191.54</v>
      </c>
      <c r="J173" s="7">
        <f>Procurement_Raw!J173</f>
        <v>11300.75</v>
      </c>
      <c r="K173" s="6">
        <f>Procurement_Raw!K173</f>
        <v>45</v>
      </c>
      <c r="L173" t="str">
        <f>Procurement_Raw!L173</f>
        <v>ERP</v>
      </c>
      <c r="M173" s="8">
        <f>Procurement_Raw!M173</f>
        <v>2260.15</v>
      </c>
      <c r="N173" s="7">
        <f>Procurement_Raw!N173</f>
        <v>11300.75</v>
      </c>
      <c r="O173" s="7">
        <f t="shared" si="4"/>
        <v>11300.75</v>
      </c>
      <c r="P173" t="str">
        <f>IFERROR(INDEX(Supplier_Lookup!$B$2:$B$200,MATCH(E173,Supplier_Lookup!$A$2:$A$200,0)),"Unmapped")</f>
        <v>Agency Labour</v>
      </c>
      <c r="Q173" s="10">
        <f>IFERROR(INDEX(Category_Targets!$B$2:$B$9,MATCH(F173,Category_Targets!$A$2:$A$9,0)),0)</f>
        <v>7.0000000000000007E-2</v>
      </c>
      <c r="R173" s="7">
        <f t="shared" si="5"/>
        <v>791.05250000000012</v>
      </c>
    </row>
    <row r="174" spans="1:18" x14ac:dyDescent="0.25">
      <c r="A174" s="5">
        <f>Procurement_Raw!A174</f>
        <v>45779</v>
      </c>
      <c r="B174" t="str">
        <f>Procurement_Raw!B174</f>
        <v>S020</v>
      </c>
      <c r="C174" t="str">
        <f>Procurement_Raw!C174</f>
        <v>Bangor Care &amp; Education Centre</v>
      </c>
      <c r="D174" t="str">
        <f>Procurement_Raw!D174</f>
        <v>Wales</v>
      </c>
      <c r="E174" t="str">
        <f>Procurement_Raw!E174</f>
        <v>OfficePlus</v>
      </c>
      <c r="F174" t="str">
        <f>Procurement_Raw!F174</f>
        <v>Office &amp; Training</v>
      </c>
      <c r="G174" t="str">
        <f>Procurement_Raw!G174</f>
        <v>INV-2025-00173</v>
      </c>
      <c r="H174" s="6">
        <f>Procurement_Raw!H174</f>
        <v>49</v>
      </c>
      <c r="I174" s="7">
        <f>Procurement_Raw!I174</f>
        <v>71.89</v>
      </c>
      <c r="J174" s="7">
        <f>Procurement_Raw!J174</f>
        <v>3522.42</v>
      </c>
      <c r="K174" s="6">
        <f>Procurement_Raw!K174</f>
        <v>60</v>
      </c>
      <c r="L174" t="str">
        <f>Procurement_Raw!L174</f>
        <v>Procurement Portal</v>
      </c>
      <c r="M174" s="8">
        <f>Procurement_Raw!M174</f>
        <v>704.48400000000004</v>
      </c>
      <c r="N174" s="7">
        <f>Procurement_Raw!N174</f>
        <v>3522.42</v>
      </c>
      <c r="O174" s="7">
        <f t="shared" si="4"/>
        <v>3522.42</v>
      </c>
      <c r="P174" t="str">
        <f>IFERROR(INDEX(Supplier_Lookup!$B$2:$B$200,MATCH(E174,Supplier_Lookup!$A$2:$A$200,0)),"Unmapped")</f>
        <v>Office &amp; Training</v>
      </c>
      <c r="Q174" s="10">
        <f>IFERROR(INDEX(Category_Targets!$B$2:$B$9,MATCH(F174,Category_Targets!$A$2:$A$9,0)),0)</f>
        <v>0.04</v>
      </c>
      <c r="R174" s="7">
        <f t="shared" si="5"/>
        <v>140.89680000000001</v>
      </c>
    </row>
    <row r="175" spans="1:18" x14ac:dyDescent="0.25">
      <c r="A175" s="5">
        <f>Procurement_Raw!A175</f>
        <v>45809</v>
      </c>
      <c r="B175" t="str">
        <f>Procurement_Raw!B175</f>
        <v>S015</v>
      </c>
      <c r="C175" t="str">
        <f>Procurement_Raw!C175</f>
        <v>Brighton Care &amp; Education Centre</v>
      </c>
      <c r="D175" t="str">
        <f>Procurement_Raw!D175</f>
        <v>South</v>
      </c>
      <c r="E175" t="str">
        <f>Procurement_Raw!E175</f>
        <v>NetServe</v>
      </c>
      <c r="F175" t="str">
        <f>Procurement_Raw!F175</f>
        <v>IT &amp; Telecoms</v>
      </c>
      <c r="G175" t="str">
        <f>Procurement_Raw!G175</f>
        <v>INV-2025-00174</v>
      </c>
      <c r="H175" s="6">
        <f>Procurement_Raw!H175</f>
        <v>3</v>
      </c>
      <c r="I175" s="7">
        <f>Procurement_Raw!I175</f>
        <v>265.41000000000003</v>
      </c>
      <c r="J175" s="7">
        <f>Procurement_Raw!J175</f>
        <v>796.22</v>
      </c>
      <c r="K175" s="6">
        <f>Procurement_Raw!K175</f>
        <v>60</v>
      </c>
      <c r="L175" t="str">
        <f>Procurement_Raw!L175</f>
        <v>Procurement Portal</v>
      </c>
      <c r="M175" s="8">
        <f>Procurement_Raw!M175</f>
        <v>159.244</v>
      </c>
      <c r="N175" s="7">
        <f>Procurement_Raw!N175</f>
        <v>796.22</v>
      </c>
      <c r="O175" s="7">
        <f t="shared" si="4"/>
        <v>796.22</v>
      </c>
      <c r="P175" t="str">
        <f>IFERROR(INDEX(Supplier_Lookup!$B$2:$B$200,MATCH(E175,Supplier_Lookup!$A$2:$A$200,0)),"Unmapped")</f>
        <v>IT &amp; Telecoms</v>
      </c>
      <c r="Q175" s="10">
        <f>IFERROR(INDEX(Category_Targets!$B$2:$B$9,MATCH(F175,Category_Targets!$A$2:$A$9,0)),0)</f>
        <v>0.08</v>
      </c>
      <c r="R175" s="7">
        <f t="shared" si="5"/>
        <v>63.697600000000001</v>
      </c>
    </row>
    <row r="176" spans="1:18" x14ac:dyDescent="0.25">
      <c r="A176" s="5">
        <f>Procurement_Raw!A176</f>
        <v>46009</v>
      </c>
      <c r="B176" t="str">
        <f>Procurement_Raw!B176</f>
        <v>S016</v>
      </c>
      <c r="C176" t="str">
        <f>Procurement_Raw!C176</f>
        <v>Cardiff Care &amp; Education Centre</v>
      </c>
      <c r="D176" t="str">
        <f>Procurement_Raw!D176</f>
        <v>Wales</v>
      </c>
      <c r="E176" t="str">
        <f>Procurement_Raw!E176</f>
        <v>ClinEquip</v>
      </c>
      <c r="F176" t="str">
        <f>Procurement_Raw!F176</f>
        <v>Medical Supplies</v>
      </c>
      <c r="G176" t="str">
        <f>Procurement_Raw!G176</f>
        <v>INV-2025-00175</v>
      </c>
      <c r="H176" s="6">
        <f>Procurement_Raw!H176</f>
        <v>7</v>
      </c>
      <c r="I176" s="7">
        <f>Procurement_Raw!I176</f>
        <v>139.72</v>
      </c>
      <c r="J176" s="7">
        <f>Procurement_Raw!J176</f>
        <v>978.07</v>
      </c>
      <c r="K176" s="6">
        <f>Procurement_Raw!K176</f>
        <v>60</v>
      </c>
      <c r="L176" t="str">
        <f>Procurement_Raw!L176</f>
        <v>Legacy Spend File</v>
      </c>
      <c r="M176" s="8">
        <f>Procurement_Raw!M176</f>
        <v>195.614</v>
      </c>
      <c r="N176" s="7">
        <f>Procurement_Raw!N176</f>
        <v>978.07</v>
      </c>
      <c r="O176" s="7">
        <f t="shared" si="4"/>
        <v>978.07</v>
      </c>
      <c r="P176" t="str">
        <f>IFERROR(INDEX(Supplier_Lookup!$B$2:$B$200,MATCH(E176,Supplier_Lookup!$A$2:$A$200,0)),"Unmapped")</f>
        <v>Medical Supplies</v>
      </c>
      <c r="Q176" s="10">
        <f>IFERROR(INDEX(Category_Targets!$B$2:$B$9,MATCH(F176,Category_Targets!$A$2:$A$9,0)),0)</f>
        <v>0.06</v>
      </c>
      <c r="R176" s="7">
        <f t="shared" si="5"/>
        <v>58.684200000000004</v>
      </c>
    </row>
    <row r="177" spans="1:18" x14ac:dyDescent="0.25">
      <c r="A177" s="5">
        <f>Procurement_Raw!A177</f>
        <v>45968</v>
      </c>
      <c r="B177" t="str">
        <f>Procurement_Raw!B177</f>
        <v>S006</v>
      </c>
      <c r="C177" t="str">
        <f>Procurement_Raw!C177</f>
        <v>Birmingham Care &amp; Education Centre</v>
      </c>
      <c r="D177" t="str">
        <f>Procurement_Raw!D177</f>
        <v>Midlands</v>
      </c>
      <c r="E177" t="str">
        <f>Procurement_Raw!E177</f>
        <v>CloudLink</v>
      </c>
      <c r="F177" t="str">
        <f>Procurement_Raw!F177</f>
        <v>IT &amp; Telecoms</v>
      </c>
      <c r="G177" t="str">
        <f>Procurement_Raw!G177</f>
        <v>INV-2025-00176</v>
      </c>
      <c r="H177" s="6">
        <f>Procurement_Raw!H177</f>
        <v>46</v>
      </c>
      <c r="I177" s="7">
        <f>Procurement_Raw!I177</f>
        <v>346.74</v>
      </c>
      <c r="J177" s="7">
        <f>Procurement_Raw!J177</f>
        <v>15950.09</v>
      </c>
      <c r="K177" s="6">
        <f>Procurement_Raw!K177</f>
        <v>30</v>
      </c>
      <c r="L177" t="str">
        <f>Procurement_Raw!L177</f>
        <v>Legacy Spend File</v>
      </c>
      <c r="M177" s="8">
        <f>Procurement_Raw!M177</f>
        <v>3190.018</v>
      </c>
      <c r="N177" s="7">
        <f>Procurement_Raw!N177</f>
        <v>15950.09</v>
      </c>
      <c r="O177" s="7">
        <f t="shared" si="4"/>
        <v>15950.09</v>
      </c>
      <c r="P177" t="str">
        <f>IFERROR(INDEX(Supplier_Lookup!$B$2:$B$200,MATCH(E177,Supplier_Lookup!$A$2:$A$200,0)),"Unmapped")</f>
        <v>medical supplies</v>
      </c>
      <c r="Q177" s="10">
        <f>IFERROR(INDEX(Category_Targets!$B$2:$B$9,MATCH(F177,Category_Targets!$A$2:$A$9,0)),0)</f>
        <v>0.08</v>
      </c>
      <c r="R177" s="7">
        <f t="shared" si="5"/>
        <v>1276.0072</v>
      </c>
    </row>
    <row r="178" spans="1:18" x14ac:dyDescent="0.25">
      <c r="A178" s="5">
        <f>Procurement_Raw!A178</f>
        <v>45995</v>
      </c>
      <c r="B178" t="str">
        <f>Procurement_Raw!B178</f>
        <v>S002</v>
      </c>
      <c r="C178" t="str">
        <f>Procurement_Raw!C178</f>
        <v>Manchester Care &amp; Education Centre</v>
      </c>
      <c r="D178" t="str">
        <f>Procurement_Raw!D178</f>
        <v>North</v>
      </c>
      <c r="E178" t="str">
        <f>Procurement_Raw!E178</f>
        <v>NetServe</v>
      </c>
      <c r="F178" t="str">
        <f>Procurement_Raw!F178</f>
        <v>IT &amp; Telecoms</v>
      </c>
      <c r="G178" t="str">
        <f>Procurement_Raw!G178</f>
        <v>INV-2025-00177</v>
      </c>
      <c r="H178" s="6">
        <f>Procurement_Raw!H178</f>
        <v>18</v>
      </c>
      <c r="I178" s="7">
        <f>Procurement_Raw!I178</f>
        <v>221.58</v>
      </c>
      <c r="J178" s="7">
        <f>Procurement_Raw!J178</f>
        <v>3988.42</v>
      </c>
      <c r="K178" s="6">
        <f>Procurement_Raw!K178</f>
        <v>60</v>
      </c>
      <c r="L178" t="str">
        <f>Procurement_Raw!L178</f>
        <v>ERP</v>
      </c>
      <c r="M178" s="8">
        <f>Procurement_Raw!M178</f>
        <v>797.68399999999997</v>
      </c>
      <c r="N178" s="7">
        <f>Procurement_Raw!N178</f>
        <v>3988.42</v>
      </c>
      <c r="O178" s="7">
        <f t="shared" si="4"/>
        <v>3988.42</v>
      </c>
      <c r="P178" t="str">
        <f>IFERROR(INDEX(Supplier_Lookup!$B$2:$B$200,MATCH(E178,Supplier_Lookup!$A$2:$A$200,0)),"Unmapped")</f>
        <v>IT &amp; Telecoms</v>
      </c>
      <c r="Q178" s="10">
        <f>IFERROR(INDEX(Category_Targets!$B$2:$B$9,MATCH(F178,Category_Targets!$A$2:$A$9,0)),0)</f>
        <v>0.08</v>
      </c>
      <c r="R178" s="7">
        <f t="shared" si="5"/>
        <v>319.0736</v>
      </c>
    </row>
    <row r="179" spans="1:18" x14ac:dyDescent="0.25">
      <c r="A179" s="5">
        <f>Procurement_Raw!A179</f>
        <v>45883</v>
      </c>
      <c r="B179" t="str">
        <f>Procurement_Raw!B179</f>
        <v>S012</v>
      </c>
      <c r="C179" t="str">
        <f>Procurement_Raw!C179</f>
        <v>Bristol Care &amp; Education Centre</v>
      </c>
      <c r="D179" t="str">
        <f>Procurement_Raw!D179</f>
        <v>South</v>
      </c>
      <c r="E179" t="str">
        <f>Procurement_Raw!E179</f>
        <v>CareMed</v>
      </c>
      <c r="F179" t="str">
        <f>Procurement_Raw!F179</f>
        <v>Medical Supplies</v>
      </c>
      <c r="G179" t="str">
        <f>Procurement_Raw!G179</f>
        <v>INV-2025-00178</v>
      </c>
      <c r="H179" s="6">
        <f>Procurement_Raw!H179</f>
        <v>5</v>
      </c>
      <c r="I179" s="7">
        <f>Procurement_Raw!I179</f>
        <v>266.92</v>
      </c>
      <c r="J179" s="7">
        <f>Procurement_Raw!J179</f>
        <v>1334.58</v>
      </c>
      <c r="K179" s="6">
        <f>Procurement_Raw!K179</f>
        <v>60</v>
      </c>
      <c r="L179" t="str">
        <f>Procurement_Raw!L179</f>
        <v>Procurement Portal</v>
      </c>
      <c r="M179" s="8">
        <f>Procurement_Raw!M179</f>
        <v>266.916</v>
      </c>
      <c r="N179" s="7">
        <f>Procurement_Raw!N179</f>
        <v>1334.58</v>
      </c>
      <c r="O179" s="7">
        <f t="shared" si="4"/>
        <v>1334.58</v>
      </c>
      <c r="P179" t="str">
        <f>IFERROR(INDEX(Supplier_Lookup!$B$2:$B$200,MATCH(E179,Supplier_Lookup!$A$2:$A$200,0)),"Unmapped")</f>
        <v>Medical Supplies</v>
      </c>
      <c r="Q179" s="10">
        <f>IFERROR(INDEX(Category_Targets!$B$2:$B$9,MATCH(F179,Category_Targets!$A$2:$A$9,0)),0)</f>
        <v>0.06</v>
      </c>
      <c r="R179" s="7">
        <f t="shared" si="5"/>
        <v>80.074799999999996</v>
      </c>
    </row>
    <row r="180" spans="1:18" x14ac:dyDescent="0.25">
      <c r="A180" s="5">
        <f>Procurement_Raw!A180</f>
        <v>45809</v>
      </c>
      <c r="B180" t="str">
        <f>Procurement_Raw!B180</f>
        <v>S005</v>
      </c>
      <c r="C180" t="str">
        <f>Procurement_Raw!C180</f>
        <v>Sheffield Care &amp; Education Centre</v>
      </c>
      <c r="D180" t="str">
        <f>Procurement_Raw!D180</f>
        <v>North</v>
      </c>
      <c r="E180" t="str">
        <f>Procurement_Raw!E180</f>
        <v>CleanWorks</v>
      </c>
      <c r="F180" t="str">
        <f>Procurement_Raw!F180</f>
        <v>Facilities</v>
      </c>
      <c r="G180" t="str">
        <f>Procurement_Raw!G180</f>
        <v>INV-2025-00179</v>
      </c>
      <c r="H180" s="6">
        <f>Procurement_Raw!H180</f>
        <v>42</v>
      </c>
      <c r="I180" s="7">
        <f>Procurement_Raw!I180</f>
        <v>155.62</v>
      </c>
      <c r="J180" s="7">
        <f>Procurement_Raw!J180</f>
        <v>6535.9</v>
      </c>
      <c r="K180" s="6">
        <f>Procurement_Raw!K180</f>
        <v>60</v>
      </c>
      <c r="L180" t="str">
        <f>Procurement_Raw!L180</f>
        <v>Procurement Portal</v>
      </c>
      <c r="M180" s="8">
        <f>Procurement_Raw!M180</f>
        <v>1307.18</v>
      </c>
      <c r="N180" s="7">
        <f>Procurement_Raw!N180</f>
        <v>6535.9</v>
      </c>
      <c r="O180" s="7">
        <f t="shared" si="4"/>
        <v>6535.9</v>
      </c>
      <c r="P180" t="str">
        <f>IFERROR(INDEX(Supplier_Lookup!$B$2:$B$200,MATCH(E180,Supplier_Lookup!$A$2:$A$200,0)),"Unmapped")</f>
        <v>Facilities</v>
      </c>
      <c r="Q180" s="10">
        <f>IFERROR(INDEX(Category_Targets!$B$2:$B$9,MATCH(F180,Category_Targets!$A$2:$A$9,0)),0)</f>
        <v>0.05</v>
      </c>
      <c r="R180" s="7">
        <f t="shared" si="5"/>
        <v>326.79500000000002</v>
      </c>
    </row>
    <row r="181" spans="1:18" x14ac:dyDescent="0.25">
      <c r="A181" s="5">
        <f>Procurement_Raw!A181</f>
        <v>45934</v>
      </c>
      <c r="B181" t="str">
        <f>Procurement_Raw!B181</f>
        <v>S018</v>
      </c>
      <c r="C181" t="str">
        <f>Procurement_Raw!C181</f>
        <v>Newport Care &amp; Education Centre</v>
      </c>
      <c r="D181" t="str">
        <f>Procurement_Raw!D181</f>
        <v>Wales</v>
      </c>
      <c r="E181" t="str">
        <f>Procurement_Raw!E181</f>
        <v>UK Energy Partners</v>
      </c>
      <c r="F181" t="str">
        <f>Procurement_Raw!F181</f>
        <v>Utilities</v>
      </c>
      <c r="G181" t="str">
        <f>Procurement_Raw!G181</f>
        <v>INV-2025-00180</v>
      </c>
      <c r="H181" s="6">
        <f>Procurement_Raw!H181</f>
        <v>47</v>
      </c>
      <c r="I181" s="7">
        <f>Procurement_Raw!I181</f>
        <v>1116.05</v>
      </c>
      <c r="J181" s="7">
        <f>Procurement_Raw!J181</f>
        <v>52454.51</v>
      </c>
      <c r="K181" s="6">
        <f>Procurement_Raw!K181</f>
        <v>60</v>
      </c>
      <c r="L181" t="str">
        <f>Procurement_Raw!L181</f>
        <v>Legacy Spend File</v>
      </c>
      <c r="M181" s="8">
        <f>Procurement_Raw!M181</f>
        <v>10490.902</v>
      </c>
      <c r="N181" s="7">
        <f>Procurement_Raw!N181</f>
        <v>52454.51</v>
      </c>
      <c r="O181" s="7">
        <f t="shared" si="4"/>
        <v>52454.51</v>
      </c>
      <c r="P181" t="str">
        <f>IFERROR(INDEX(Supplier_Lookup!$B$2:$B$200,MATCH(E181,Supplier_Lookup!$A$2:$A$200,0)),"Unmapped")</f>
        <v>Utilities</v>
      </c>
      <c r="Q181" s="10">
        <f>IFERROR(INDEX(Category_Targets!$B$2:$B$9,MATCH(F181,Category_Targets!$A$2:$A$9,0)),0)</f>
        <v>0.03</v>
      </c>
      <c r="R181" s="7">
        <f t="shared" si="5"/>
        <v>1573.6352999999999</v>
      </c>
    </row>
    <row r="182" spans="1:18" x14ac:dyDescent="0.25">
      <c r="A182" s="5">
        <f>Procurement_Raw!A182</f>
        <v>45904</v>
      </c>
      <c r="B182" t="str">
        <f>Procurement_Raw!B182</f>
        <v>S007</v>
      </c>
      <c r="C182" t="str">
        <f>Procurement_Raw!C182</f>
        <v>Nottingham Care &amp; Education Centre</v>
      </c>
      <c r="D182" t="str">
        <f>Procurement_Raw!D182</f>
        <v>Midlands</v>
      </c>
      <c r="E182" t="str">
        <f>Procurement_Raw!E182</f>
        <v>SafeGuard FM</v>
      </c>
      <c r="F182" t="str">
        <f>Procurement_Raw!F182</f>
        <v>Facilities</v>
      </c>
      <c r="G182" t="str">
        <f>Procurement_Raw!G182</f>
        <v>INV-2025-00181</v>
      </c>
      <c r="H182" s="6">
        <f>Procurement_Raw!H182</f>
        <v>38</v>
      </c>
      <c r="I182" s="7">
        <f>Procurement_Raw!I182</f>
        <v>253.93</v>
      </c>
      <c r="J182" s="7">
        <f>Procurement_Raw!J182</f>
        <v>9649.49</v>
      </c>
      <c r="K182" s="6">
        <f>Procurement_Raw!K182</f>
        <v>60</v>
      </c>
      <c r="L182" t="str">
        <f>Procurement_Raw!L182</f>
        <v>Procurement Portal</v>
      </c>
      <c r="M182" s="8">
        <f>Procurement_Raw!M182</f>
        <v>1929.8979999999999</v>
      </c>
      <c r="N182" s="7">
        <f>Procurement_Raw!N182</f>
        <v>9649.49</v>
      </c>
      <c r="O182" s="7">
        <f t="shared" si="4"/>
        <v>9649.49</v>
      </c>
      <c r="P182" t="str">
        <f>IFERROR(INDEX(Supplier_Lookup!$B$2:$B$200,MATCH(E182,Supplier_Lookup!$A$2:$A$200,0)),"Unmapped")</f>
        <v>Facilities</v>
      </c>
      <c r="Q182" s="10">
        <f>IFERROR(INDEX(Category_Targets!$B$2:$B$9,MATCH(F182,Category_Targets!$A$2:$A$9,0)),0)</f>
        <v>0.05</v>
      </c>
      <c r="R182" s="7">
        <f t="shared" si="5"/>
        <v>482.47450000000003</v>
      </c>
    </row>
    <row r="183" spans="1:18" x14ac:dyDescent="0.25">
      <c r="A183" s="5">
        <f>Procurement_Raw!A183</f>
        <v>45730</v>
      </c>
      <c r="B183" t="str">
        <f>Procurement_Raw!B183</f>
        <v>S018</v>
      </c>
      <c r="C183" t="str">
        <f>Procurement_Raw!C183</f>
        <v>Newport Care &amp; Education Centre</v>
      </c>
      <c r="D183" t="str">
        <f>Procurement_Raw!D183</f>
        <v>Wales</v>
      </c>
      <c r="E183" t="str">
        <f>Procurement_Raw!E183</f>
        <v>OfficePlus</v>
      </c>
      <c r="F183" t="str">
        <f>Procurement_Raw!F183</f>
        <v>Office &amp; Training</v>
      </c>
      <c r="G183" t="str">
        <f>Procurement_Raw!G183</f>
        <v>INV-2025-00182</v>
      </c>
      <c r="H183" s="6">
        <f>Procurement_Raw!H183</f>
        <v>29</v>
      </c>
      <c r="I183" s="7">
        <f>Procurement_Raw!I183</f>
        <v>46.81</v>
      </c>
      <c r="J183" s="7">
        <f>Procurement_Raw!J183</f>
        <v>1357.43</v>
      </c>
      <c r="K183" s="6">
        <f>Procurement_Raw!K183</f>
        <v>60</v>
      </c>
      <c r="L183" t="str">
        <f>Procurement_Raw!L183</f>
        <v>Legacy Spend File</v>
      </c>
      <c r="M183" s="8">
        <f>Procurement_Raw!M183</f>
        <v>271.48599999999999</v>
      </c>
      <c r="N183" s="7">
        <f>Procurement_Raw!N183</f>
        <v>1357.43</v>
      </c>
      <c r="O183" s="7">
        <f t="shared" si="4"/>
        <v>1357.43</v>
      </c>
      <c r="P183" t="str">
        <f>IFERROR(INDEX(Supplier_Lookup!$B$2:$B$200,MATCH(E183,Supplier_Lookup!$A$2:$A$200,0)),"Unmapped")</f>
        <v>Office &amp; Training</v>
      </c>
      <c r="Q183" s="10">
        <f>IFERROR(INDEX(Category_Targets!$B$2:$B$9,MATCH(F183,Category_Targets!$A$2:$A$9,0)),0)</f>
        <v>0.04</v>
      </c>
      <c r="R183" s="7">
        <f t="shared" si="5"/>
        <v>54.297200000000004</v>
      </c>
    </row>
    <row r="184" spans="1:18" x14ac:dyDescent="0.25">
      <c r="A184" s="5">
        <f>Procurement_Raw!A184</f>
        <v>45845</v>
      </c>
      <c r="B184" t="str">
        <f>Procurement_Raw!B184</f>
        <v>S014</v>
      </c>
      <c r="C184" t="str">
        <f>Procurement_Raw!C184</f>
        <v>Southampton Care &amp; Education Centre</v>
      </c>
      <c r="D184" t="str">
        <f>Procurement_Raw!D184</f>
        <v>South</v>
      </c>
      <c r="E184" t="str">
        <f>Procurement_Raw!E184</f>
        <v>NurseLink</v>
      </c>
      <c r="F184" t="str">
        <f>Procurement_Raw!F184</f>
        <v>Agency Labour</v>
      </c>
      <c r="G184" t="str">
        <f>Procurement_Raw!G184</f>
        <v>INV-2025-00183</v>
      </c>
      <c r="H184" s="6">
        <f>Procurement_Raw!H184</f>
        <v>12</v>
      </c>
      <c r="I184" s="7">
        <f>Procurement_Raw!I184</f>
        <v>166.47</v>
      </c>
      <c r="J184" s="7">
        <f>Procurement_Raw!J184</f>
        <v>1997.59</v>
      </c>
      <c r="K184" s="6">
        <f>Procurement_Raw!K184</f>
        <v>45</v>
      </c>
      <c r="L184" t="str">
        <f>Procurement_Raw!L184</f>
        <v>ERP</v>
      </c>
      <c r="M184" s="8">
        <f>Procurement_Raw!M184</f>
        <v>399.51799999999997</v>
      </c>
      <c r="N184" s="7">
        <f>Procurement_Raw!N184</f>
        <v>1997.59</v>
      </c>
      <c r="O184" s="7">
        <f t="shared" si="4"/>
        <v>1997.59</v>
      </c>
      <c r="P184" t="str">
        <f>IFERROR(INDEX(Supplier_Lookup!$B$2:$B$200,MATCH(E184,Supplier_Lookup!$A$2:$A$200,0)),"Unmapped")</f>
        <v>Agency Labour</v>
      </c>
      <c r="Q184" s="10">
        <f>IFERROR(INDEX(Category_Targets!$B$2:$B$9,MATCH(F184,Category_Targets!$A$2:$A$9,0)),0)</f>
        <v>7.0000000000000007E-2</v>
      </c>
      <c r="R184" s="7">
        <f t="shared" si="5"/>
        <v>139.8313</v>
      </c>
    </row>
    <row r="185" spans="1:18" x14ac:dyDescent="0.25">
      <c r="A185" s="5">
        <f>Procurement_Raw!A185</f>
        <v>45846</v>
      </c>
      <c r="B185" t="str">
        <f>Procurement_Raw!B185</f>
        <v>S019</v>
      </c>
      <c r="C185" t="str">
        <f>Procurement_Raw!C185</f>
        <v>Wrexham Care &amp; Education Centre</v>
      </c>
      <c r="D185" t="str">
        <f>Procurement_Raw!D185</f>
        <v>Wales</v>
      </c>
      <c r="E185" t="str">
        <f>Procurement_Raw!E185</f>
        <v>NourishCo</v>
      </c>
      <c r="F185" t="str">
        <f>Procurement_Raw!F185</f>
        <v>Food &amp; Catering</v>
      </c>
      <c r="G185" t="str">
        <f>Procurement_Raw!G185</f>
        <v>INV-2025-00184</v>
      </c>
      <c r="H185" s="6">
        <f>Procurement_Raw!H185</f>
        <v>34</v>
      </c>
      <c r="I185" s="7">
        <f>Procurement_Raw!I185</f>
        <v>84.75</v>
      </c>
      <c r="J185" s="7">
        <f>Procurement_Raw!J185</f>
        <v>2881.62</v>
      </c>
      <c r="K185" s="6">
        <f>Procurement_Raw!K185</f>
        <v>60</v>
      </c>
      <c r="L185" t="str">
        <f>Procurement_Raw!L185</f>
        <v>Procurement Portal</v>
      </c>
      <c r="M185" s="8">
        <f>Procurement_Raw!M185</f>
        <v>576.32399999999996</v>
      </c>
      <c r="N185" s="7">
        <f>Procurement_Raw!N185</f>
        <v>2881.62</v>
      </c>
      <c r="O185" s="7">
        <f t="shared" si="4"/>
        <v>2881.62</v>
      </c>
      <c r="P185" t="str">
        <f>IFERROR(INDEX(Supplier_Lookup!$B$2:$B$200,MATCH(E185,Supplier_Lookup!$A$2:$A$200,0)),"Unmapped")</f>
        <v>Food &amp; Catering</v>
      </c>
      <c r="Q185" s="10">
        <f>IFERROR(INDEX(Category_Targets!$B$2:$B$9,MATCH(F185,Category_Targets!$A$2:$A$9,0)),0)</f>
        <v>0.04</v>
      </c>
      <c r="R185" s="7">
        <f t="shared" si="5"/>
        <v>115.26479999999999</v>
      </c>
    </row>
    <row r="186" spans="1:18" x14ac:dyDescent="0.25">
      <c r="A186" s="5">
        <f>Procurement_Raw!A186</f>
        <v>46003</v>
      </c>
      <c r="B186" t="str">
        <f>Procurement_Raw!B186</f>
        <v>S018</v>
      </c>
      <c r="C186" t="str">
        <f>Procurement_Raw!C186</f>
        <v>Newport Care &amp; Education Centre</v>
      </c>
      <c r="D186" t="str">
        <f>Procurement_Raw!D186</f>
        <v>Wales</v>
      </c>
      <c r="E186" t="str">
        <f>Procurement_Raw!E186</f>
        <v>FleetFuel</v>
      </c>
      <c r="F186" t="str">
        <f>Procurement_Raw!F186</f>
        <v>Vehicle &amp; Fuel</v>
      </c>
      <c r="G186" t="str">
        <f>Procurement_Raw!G186</f>
        <v>INV-2025-00185</v>
      </c>
      <c r="H186" s="6">
        <f>Procurement_Raw!H186</f>
        <v>30</v>
      </c>
      <c r="I186" s="7">
        <f>Procurement_Raw!I186</f>
        <v>84.01</v>
      </c>
      <c r="J186" s="7">
        <f>Procurement_Raw!J186</f>
        <v>2520.39</v>
      </c>
      <c r="K186" s="6">
        <f>Procurement_Raw!K186</f>
        <v>45</v>
      </c>
      <c r="L186" t="str">
        <f>Procurement_Raw!L186</f>
        <v>ERP</v>
      </c>
      <c r="M186" s="8">
        <f>Procurement_Raw!M186</f>
        <v>504.07799999999997</v>
      </c>
      <c r="N186" s="7">
        <f>Procurement_Raw!N186</f>
        <v>2520.39</v>
      </c>
      <c r="O186" s="7">
        <f t="shared" si="4"/>
        <v>2520.39</v>
      </c>
      <c r="P186" t="str">
        <f>IFERROR(INDEX(Supplier_Lookup!$B$2:$B$200,MATCH(E186,Supplier_Lookup!$A$2:$A$200,0)),"Unmapped")</f>
        <v>Vehicle &amp; Fuel</v>
      </c>
      <c r="Q186" s="10">
        <f>IFERROR(INDEX(Category_Targets!$B$2:$B$9,MATCH(F186,Category_Targets!$A$2:$A$9,0)),0)</f>
        <v>0.05</v>
      </c>
      <c r="R186" s="7">
        <f t="shared" si="5"/>
        <v>126.01949999999999</v>
      </c>
    </row>
    <row r="187" spans="1:18" x14ac:dyDescent="0.25">
      <c r="A187" s="5">
        <f>Procurement_Raw!A187</f>
        <v>45771</v>
      </c>
      <c r="B187" t="str">
        <f>Procurement_Raw!B187</f>
        <v>S018</v>
      </c>
      <c r="C187" t="str">
        <f>Procurement_Raw!C187</f>
        <v>Newport Care &amp; Education Centre</v>
      </c>
      <c r="D187" t="str">
        <f>Procurement_Raw!D187</f>
        <v>Wales</v>
      </c>
      <c r="E187" t="str">
        <f>Procurement_Raw!E187</f>
        <v>AutoCare</v>
      </c>
      <c r="F187" t="str">
        <f>Procurement_Raw!F187</f>
        <v>Vehicle &amp; Fuel</v>
      </c>
      <c r="G187" t="str">
        <f>Procurement_Raw!G187</f>
        <v>INV-2025-00186</v>
      </c>
      <c r="H187" s="6">
        <f>Procurement_Raw!H187</f>
        <v>9</v>
      </c>
      <c r="I187" s="7">
        <f>Procurement_Raw!I187</f>
        <v>140.69</v>
      </c>
      <c r="J187" s="7">
        <f>Procurement_Raw!J187</f>
        <v>1266.23</v>
      </c>
      <c r="K187" s="6">
        <f>Procurement_Raw!K187</f>
        <v>60</v>
      </c>
      <c r="L187" t="str">
        <f>Procurement_Raw!L187</f>
        <v>Procurement Portal</v>
      </c>
      <c r="M187" s="8">
        <f>Procurement_Raw!M187</f>
        <v>253.24600000000001</v>
      </c>
      <c r="N187" s="7">
        <f>Procurement_Raw!N187</f>
        <v>1266.23</v>
      </c>
      <c r="O187" s="7">
        <f t="shared" si="4"/>
        <v>1266.23</v>
      </c>
      <c r="P187" t="str">
        <f>IFERROR(INDEX(Supplier_Lookup!$B$2:$B$200,MATCH(E187,Supplier_Lookup!$A$2:$A$200,0)),"Unmapped")</f>
        <v>Vehicle &amp; Fuel</v>
      </c>
      <c r="Q187" s="10">
        <f>IFERROR(INDEX(Category_Targets!$B$2:$B$9,MATCH(F187,Category_Targets!$A$2:$A$9,0)),0)</f>
        <v>0.05</v>
      </c>
      <c r="R187" s="7">
        <f t="shared" si="5"/>
        <v>63.311500000000002</v>
      </c>
    </row>
    <row r="188" spans="1:18" x14ac:dyDescent="0.25">
      <c r="A188" s="5">
        <f>Procurement_Raw!A188</f>
        <v>45867</v>
      </c>
      <c r="B188" t="str">
        <f>Procurement_Raw!B188</f>
        <v>S015</v>
      </c>
      <c r="C188" t="str">
        <f>Procurement_Raw!C188</f>
        <v>Brighton Care &amp; Education Centre</v>
      </c>
      <c r="D188" t="str">
        <f>Procurement_Raw!D188</f>
        <v>South</v>
      </c>
      <c r="E188" t="str">
        <f>Procurement_Raw!E188</f>
        <v>NetServe</v>
      </c>
      <c r="F188" t="str">
        <f>Procurement_Raw!F188</f>
        <v>IT &amp; Telecoms</v>
      </c>
      <c r="G188" t="str">
        <f>Procurement_Raw!G188</f>
        <v>INV-2025-00187</v>
      </c>
      <c r="H188" s="6">
        <f>Procurement_Raw!H188</f>
        <v>15</v>
      </c>
      <c r="I188" s="7">
        <f>Procurement_Raw!I188</f>
        <v>285.39999999999998</v>
      </c>
      <c r="J188" s="7">
        <f>Procurement_Raw!J188</f>
        <v>4281.07</v>
      </c>
      <c r="K188" s="6">
        <f>Procurement_Raw!K188</f>
        <v>30</v>
      </c>
      <c r="L188" t="str">
        <f>Procurement_Raw!L188</f>
        <v>ERP</v>
      </c>
      <c r="M188" s="8">
        <f>Procurement_Raw!M188</f>
        <v>856.21400000000006</v>
      </c>
      <c r="N188" s="7">
        <f>Procurement_Raw!N188</f>
        <v>4281.07</v>
      </c>
      <c r="O188" s="7">
        <f t="shared" si="4"/>
        <v>4281.07</v>
      </c>
      <c r="P188" t="str">
        <f>IFERROR(INDEX(Supplier_Lookup!$B$2:$B$200,MATCH(E188,Supplier_Lookup!$A$2:$A$200,0)),"Unmapped")</f>
        <v>IT &amp; Telecoms</v>
      </c>
      <c r="Q188" s="10">
        <f>IFERROR(INDEX(Category_Targets!$B$2:$B$9,MATCH(F188,Category_Targets!$A$2:$A$9,0)),0)</f>
        <v>0.08</v>
      </c>
      <c r="R188" s="7">
        <f t="shared" si="5"/>
        <v>342.48559999999998</v>
      </c>
    </row>
    <row r="189" spans="1:18" x14ac:dyDescent="0.25">
      <c r="A189" s="5">
        <f>Procurement_Raw!A189</f>
        <v>45717</v>
      </c>
      <c r="B189" t="str">
        <f>Procurement_Raw!B189</f>
        <v>S014</v>
      </c>
      <c r="C189" t="str">
        <f>Procurement_Raw!C189</f>
        <v>Southampton Care &amp; Education Centre</v>
      </c>
      <c r="D189" t="str">
        <f>Procurement_Raw!D189</f>
        <v>South</v>
      </c>
      <c r="E189" t="str">
        <f>Procurement_Raw!E189</f>
        <v>TeleCare IT</v>
      </c>
      <c r="F189" t="str">
        <f>Procurement_Raw!F189</f>
        <v>IT &amp; Telecoms</v>
      </c>
      <c r="G189" t="str">
        <f>Procurement_Raw!G189</f>
        <v>INV-2025-00188</v>
      </c>
      <c r="H189" s="6">
        <f>Procurement_Raw!H189</f>
        <v>13</v>
      </c>
      <c r="I189" s="7">
        <f>Procurement_Raw!I189</f>
        <v>211.36</v>
      </c>
      <c r="J189" s="7">
        <f>Procurement_Raw!J189</f>
        <v>2747.7</v>
      </c>
      <c r="K189" s="6">
        <f>Procurement_Raw!K189</f>
        <v>30</v>
      </c>
      <c r="L189" t="str">
        <f>Procurement_Raw!L189</f>
        <v>Legacy Spend File</v>
      </c>
      <c r="M189" s="8">
        <f>Procurement_Raw!M189</f>
        <v>549.54</v>
      </c>
      <c r="N189" s="7">
        <f>Procurement_Raw!N189</f>
        <v>2747.7</v>
      </c>
      <c r="O189" s="7">
        <f t="shared" si="4"/>
        <v>2747.7</v>
      </c>
      <c r="P189" t="str">
        <f>IFERROR(INDEX(Supplier_Lookup!$B$2:$B$200,MATCH(E189,Supplier_Lookup!$A$2:$A$200,0)),"Unmapped")</f>
        <v>IT &amp; Telecoms</v>
      </c>
      <c r="Q189" s="10">
        <f>IFERROR(INDEX(Category_Targets!$B$2:$B$9,MATCH(F189,Category_Targets!$A$2:$A$9,0)),0)</f>
        <v>0.08</v>
      </c>
      <c r="R189" s="7">
        <f t="shared" si="5"/>
        <v>219.816</v>
      </c>
    </row>
    <row r="190" spans="1:18" x14ac:dyDescent="0.25">
      <c r="A190" s="5">
        <f>Procurement_Raw!A190</f>
        <v>45847</v>
      </c>
      <c r="B190" t="str">
        <f>Procurement_Raw!B190</f>
        <v>S003</v>
      </c>
      <c r="C190" t="str">
        <f>Procurement_Raw!C190</f>
        <v>Leeds Care &amp; Education Centre</v>
      </c>
      <c r="D190" t="str">
        <f>Procurement_Raw!D190</f>
        <v>North</v>
      </c>
      <c r="E190" t="str">
        <f>Procurement_Raw!E190</f>
        <v>CareTemps</v>
      </c>
      <c r="F190" t="str">
        <f>Procurement_Raw!F190</f>
        <v>Agency Labour</v>
      </c>
      <c r="G190" t="str">
        <f>Procurement_Raw!G190</f>
        <v>INV-2025-00189</v>
      </c>
      <c r="H190" s="6">
        <f>Procurement_Raw!H190</f>
        <v>70</v>
      </c>
      <c r="I190" s="7">
        <f>Procurement_Raw!I190</f>
        <v>188.3</v>
      </c>
      <c r="J190" s="7">
        <f>Procurement_Raw!J190</f>
        <v>13181.13</v>
      </c>
      <c r="K190" s="6">
        <f>Procurement_Raw!K190</f>
        <v>45</v>
      </c>
      <c r="L190" t="str">
        <f>Procurement_Raw!L190</f>
        <v>Legacy Spend File</v>
      </c>
      <c r="M190" s="8">
        <f>Procurement_Raw!M190</f>
        <v>2636.2260000000001</v>
      </c>
      <c r="N190" s="7">
        <f>Procurement_Raw!N190</f>
        <v>13181.13</v>
      </c>
      <c r="O190" s="7">
        <f t="shared" si="4"/>
        <v>13181.13</v>
      </c>
      <c r="P190" t="str">
        <f>IFERROR(INDEX(Supplier_Lookup!$B$2:$B$200,MATCH(E190,Supplier_Lookup!$A$2:$A$200,0)),"Unmapped")</f>
        <v>Agency Labour</v>
      </c>
      <c r="Q190" s="10">
        <f>IFERROR(INDEX(Category_Targets!$B$2:$B$9,MATCH(F190,Category_Targets!$A$2:$A$9,0)),0)</f>
        <v>7.0000000000000007E-2</v>
      </c>
      <c r="R190" s="7">
        <f t="shared" si="5"/>
        <v>922.67910000000006</v>
      </c>
    </row>
    <row r="191" spans="1:18" x14ac:dyDescent="0.25">
      <c r="A191" s="5">
        <f>Procurement_Raw!A191</f>
        <v>45993</v>
      </c>
      <c r="B191" t="str">
        <f>Procurement_Raw!B191</f>
        <v>S010</v>
      </c>
      <c r="C191" t="str">
        <f>Procurement_Raw!C191</f>
        <v>Coventry Care &amp; Education Centre</v>
      </c>
      <c r="D191" t="str">
        <f>Procurement_Raw!D191</f>
        <v>Midlands</v>
      </c>
      <c r="E191" t="str">
        <f>Procurement_Raw!E191</f>
        <v>SafeGuard FM</v>
      </c>
      <c r="F191" t="str">
        <f>Procurement_Raw!F191</f>
        <v>Facilities</v>
      </c>
      <c r="G191" t="str">
        <f>Procurement_Raw!G191</f>
        <v>INV-2025-00190</v>
      </c>
      <c r="H191" s="6">
        <f>Procurement_Raw!H191</f>
        <v>13</v>
      </c>
      <c r="I191" s="7">
        <f>Procurement_Raw!I191</f>
        <v>78.239999999999995</v>
      </c>
      <c r="J191" s="7">
        <f>Procurement_Raw!J191</f>
        <v>1017.13</v>
      </c>
      <c r="K191" s="6">
        <f>Procurement_Raw!K191</f>
        <v>45</v>
      </c>
      <c r="L191" t="str">
        <f>Procurement_Raw!L191</f>
        <v>Legacy Spend File</v>
      </c>
      <c r="M191" s="8">
        <f>Procurement_Raw!M191</f>
        <v>203.42599999999999</v>
      </c>
      <c r="N191" s="7">
        <f>Procurement_Raw!N191</f>
        <v>1017.13</v>
      </c>
      <c r="O191" s="7">
        <f t="shared" si="4"/>
        <v>1017.13</v>
      </c>
      <c r="P191" t="str">
        <f>IFERROR(INDEX(Supplier_Lookup!$B$2:$B$200,MATCH(E191,Supplier_Lookup!$A$2:$A$200,0)),"Unmapped")</f>
        <v>Facilities</v>
      </c>
      <c r="Q191" s="10">
        <f>IFERROR(INDEX(Category_Targets!$B$2:$B$9,MATCH(F191,Category_Targets!$A$2:$A$9,0)),0)</f>
        <v>0.05</v>
      </c>
      <c r="R191" s="7">
        <f t="shared" si="5"/>
        <v>50.856500000000004</v>
      </c>
    </row>
    <row r="192" spans="1:18" x14ac:dyDescent="0.25">
      <c r="A192" s="5">
        <f>Procurement_Raw!A192</f>
        <v>46011</v>
      </c>
      <c r="B192" t="str">
        <f>Procurement_Raw!B192</f>
        <v>S007</v>
      </c>
      <c r="C192" t="str">
        <f>Procurement_Raw!C192</f>
        <v>Nottingham Care &amp; Education Centre</v>
      </c>
      <c r="D192" t="str">
        <f>Procurement_Raw!D192</f>
        <v>Midlands</v>
      </c>
      <c r="E192" t="str">
        <f>Procurement_Raw!E192</f>
        <v>CloudLink</v>
      </c>
      <c r="F192" t="str">
        <f>Procurement_Raw!F192</f>
        <v>IT &amp; Telecoms</v>
      </c>
      <c r="G192" t="str">
        <f>Procurement_Raw!G192</f>
        <v>INV-2025-00191</v>
      </c>
      <c r="H192" s="6">
        <f>Procurement_Raw!H192</f>
        <v>48</v>
      </c>
      <c r="I192" s="7">
        <f>Procurement_Raw!I192</f>
        <v>172.09</v>
      </c>
      <c r="J192" s="7">
        <f>Procurement_Raw!J192</f>
        <v>8260.5400000000009</v>
      </c>
      <c r="K192" s="6">
        <f>Procurement_Raw!K192</f>
        <v>30</v>
      </c>
      <c r="L192" t="str">
        <f>Procurement_Raw!L192</f>
        <v>Procurement Portal</v>
      </c>
      <c r="M192" s="8">
        <f>Procurement_Raw!M192</f>
        <v>1652.1079999999999</v>
      </c>
      <c r="N192" s="7">
        <f>Procurement_Raw!N192</f>
        <v>8260.5400000000009</v>
      </c>
      <c r="O192" s="7">
        <f t="shared" si="4"/>
        <v>8260.5400000000009</v>
      </c>
      <c r="P192" t="str">
        <f>IFERROR(INDEX(Supplier_Lookup!$B$2:$B$200,MATCH(E192,Supplier_Lookup!$A$2:$A$200,0)),"Unmapped")</f>
        <v>medical supplies</v>
      </c>
      <c r="Q192" s="10">
        <f>IFERROR(INDEX(Category_Targets!$B$2:$B$9,MATCH(F192,Category_Targets!$A$2:$A$9,0)),0)</f>
        <v>0.08</v>
      </c>
      <c r="R192" s="7">
        <f t="shared" si="5"/>
        <v>660.84320000000014</v>
      </c>
    </row>
    <row r="193" spans="1:18" x14ac:dyDescent="0.25">
      <c r="A193" s="5">
        <f>Procurement_Raw!A193</f>
        <v>45708</v>
      </c>
      <c r="B193" t="str">
        <f>Procurement_Raw!B193</f>
        <v>S011</v>
      </c>
      <c r="C193" t="str">
        <f>Procurement_Raw!C193</f>
        <v>London Care &amp; Education Centre</v>
      </c>
      <c r="D193" t="str">
        <f>Procurement_Raw!D193</f>
        <v>South</v>
      </c>
      <c r="E193" t="str">
        <f>Procurement_Raw!E193</f>
        <v>WaterGrid</v>
      </c>
      <c r="F193" t="str">
        <f>Procurement_Raw!F193</f>
        <v>Utilities</v>
      </c>
      <c r="G193" t="str">
        <f>Procurement_Raw!G193</f>
        <v>INV-2025-00192</v>
      </c>
      <c r="H193" s="6">
        <f>Procurement_Raw!H193</f>
        <v>48</v>
      </c>
      <c r="I193" s="7">
        <f>Procurement_Raw!I193</f>
        <v>400.41</v>
      </c>
      <c r="J193" s="7">
        <f>Procurement_Raw!J193</f>
        <v>19219.509999999998</v>
      </c>
      <c r="K193" s="6">
        <f>Procurement_Raw!K193</f>
        <v>60</v>
      </c>
      <c r="L193" t="str">
        <f>Procurement_Raw!L193</f>
        <v>Legacy Spend File</v>
      </c>
      <c r="M193" s="8">
        <f>Procurement_Raw!M193</f>
        <v>3843.902</v>
      </c>
      <c r="N193" s="7">
        <f>Procurement_Raw!N193</f>
        <v>19219.509999999998</v>
      </c>
      <c r="O193" s="7">
        <f t="shared" si="4"/>
        <v>19219.509999999998</v>
      </c>
      <c r="P193" t="str">
        <f>IFERROR(INDEX(Supplier_Lookup!$B$2:$B$200,MATCH(E193,Supplier_Lookup!$A$2:$A$200,0)),"Unmapped")</f>
        <v>Utilities</v>
      </c>
      <c r="Q193" s="10">
        <f>IFERROR(INDEX(Category_Targets!$B$2:$B$9,MATCH(F193,Category_Targets!$A$2:$A$9,0)),0)</f>
        <v>0.03</v>
      </c>
      <c r="R193" s="7">
        <f t="shared" si="5"/>
        <v>576.58529999999996</v>
      </c>
    </row>
    <row r="194" spans="1:18" x14ac:dyDescent="0.25">
      <c r="A194" s="5">
        <f>Procurement_Raw!A194</f>
        <v>45799</v>
      </c>
      <c r="B194" t="str">
        <f>Procurement_Raw!B194</f>
        <v>S017</v>
      </c>
      <c r="C194" t="str">
        <f>Procurement_Raw!C194</f>
        <v>Swansea Care &amp; Education Centre</v>
      </c>
      <c r="D194" t="str">
        <f>Procurement_Raw!D194</f>
        <v>Wales</v>
      </c>
      <c r="E194" t="str">
        <f>Procurement_Raw!E194</f>
        <v>CareMed</v>
      </c>
      <c r="F194" t="str">
        <f>Procurement_Raw!F194</f>
        <v>Medical Supplies</v>
      </c>
      <c r="G194" t="str">
        <f>Procurement_Raw!G194</f>
        <v>INV-2025-00193</v>
      </c>
      <c r="H194" s="6">
        <f>Procurement_Raw!H194</f>
        <v>25</v>
      </c>
      <c r="I194" s="7">
        <f>Procurement_Raw!I194</f>
        <v>135</v>
      </c>
      <c r="J194" s="7">
        <f>Procurement_Raw!J194</f>
        <v>3374.89</v>
      </c>
      <c r="K194" s="6">
        <f>Procurement_Raw!K194</f>
        <v>30</v>
      </c>
      <c r="L194" t="str">
        <f>Procurement_Raw!L194</f>
        <v>Procurement Portal</v>
      </c>
      <c r="M194" s="8">
        <f>Procurement_Raw!M194</f>
        <v>674.97799999999995</v>
      </c>
      <c r="N194" s="7">
        <f>Procurement_Raw!N194</f>
        <v>3374.89</v>
      </c>
      <c r="O194" s="7">
        <f t="shared" ref="O194:O257" si="6">IFERROR(IF(J194="","",J194),0)</f>
        <v>3374.89</v>
      </c>
      <c r="P194" t="str">
        <f>IFERROR(INDEX(Supplier_Lookup!$B$2:$B$200,MATCH(E194,Supplier_Lookup!$A$2:$A$200,0)),"Unmapped")</f>
        <v>Medical Supplies</v>
      </c>
      <c r="Q194" s="10">
        <f>IFERROR(INDEX(Category_Targets!$B$2:$B$9,MATCH(F194,Category_Targets!$A$2:$A$9,0)),0)</f>
        <v>0.06</v>
      </c>
      <c r="R194" s="7">
        <f t="shared" ref="R194:R257" si="7">O194*Q194</f>
        <v>202.49339999999998</v>
      </c>
    </row>
    <row r="195" spans="1:18" x14ac:dyDescent="0.25">
      <c r="A195" s="5">
        <f>Procurement_Raw!A195</f>
        <v>45985</v>
      </c>
      <c r="B195" t="str">
        <f>Procurement_Raw!B195</f>
        <v>S017</v>
      </c>
      <c r="C195" t="str">
        <f>Procurement_Raw!C195</f>
        <v>Swansea Care &amp; Education Centre</v>
      </c>
      <c r="D195" t="str">
        <f>Procurement_Raw!D195</f>
        <v>Wales</v>
      </c>
      <c r="E195" t="str">
        <f>Procurement_Raw!E195</f>
        <v>PowerDirect</v>
      </c>
      <c r="F195" t="str">
        <f>Procurement_Raw!F195</f>
        <v>Utilities</v>
      </c>
      <c r="G195" t="str">
        <f>Procurement_Raw!G195</f>
        <v>INV-2025-00194</v>
      </c>
      <c r="H195" s="6">
        <f>Procurement_Raw!H195</f>
        <v>77</v>
      </c>
      <c r="I195" s="7">
        <f>Procurement_Raw!I195</f>
        <v>126</v>
      </c>
      <c r="J195" s="7">
        <f>Procurement_Raw!J195</f>
        <v>9702.2199999999993</v>
      </c>
      <c r="K195" s="6">
        <f>Procurement_Raw!K195</f>
        <v>30</v>
      </c>
      <c r="L195" t="str">
        <f>Procurement_Raw!L195</f>
        <v>ERP</v>
      </c>
      <c r="M195" s="8">
        <f>Procurement_Raw!M195</f>
        <v>1940.444</v>
      </c>
      <c r="N195" s="7">
        <f>Procurement_Raw!N195</f>
        <v>9702.2199999999993</v>
      </c>
      <c r="O195" s="7">
        <f t="shared" si="6"/>
        <v>9702.2199999999993</v>
      </c>
      <c r="P195" t="str">
        <f>IFERROR(INDEX(Supplier_Lookup!$B$2:$B$200,MATCH(E195,Supplier_Lookup!$A$2:$A$200,0)),"Unmapped")</f>
        <v>Utilities</v>
      </c>
      <c r="Q195" s="10">
        <f>IFERROR(INDEX(Category_Targets!$B$2:$B$9,MATCH(F195,Category_Targets!$A$2:$A$9,0)),0)</f>
        <v>0.03</v>
      </c>
      <c r="R195" s="7">
        <f t="shared" si="7"/>
        <v>291.06659999999999</v>
      </c>
    </row>
    <row r="196" spans="1:18" x14ac:dyDescent="0.25">
      <c r="A196" s="5">
        <f>Procurement_Raw!A196</f>
        <v>45947</v>
      </c>
      <c r="B196" t="str">
        <f>Procurement_Raw!B196</f>
        <v>S004</v>
      </c>
      <c r="C196" t="str">
        <f>Procurement_Raw!C196</f>
        <v>Newcastle Care &amp; Education Centre</v>
      </c>
      <c r="D196" t="str">
        <f>Procurement_Raw!D196</f>
        <v>North</v>
      </c>
      <c r="E196" t="str">
        <f>Procurement_Raw!E196</f>
        <v>UK Energy Partners</v>
      </c>
      <c r="F196" t="str">
        <f>Procurement_Raw!F196</f>
        <v>Utilities</v>
      </c>
      <c r="G196" t="str">
        <f>Procurement_Raw!G196</f>
        <v>INV-2025-00195</v>
      </c>
      <c r="H196" s="6">
        <f>Procurement_Raw!H196</f>
        <v>27</v>
      </c>
      <c r="I196" s="7">
        <f>Procurement_Raw!I196</f>
        <v>274.98</v>
      </c>
      <c r="J196" s="7">
        <f>Procurement_Raw!J196</f>
        <v>7424.55</v>
      </c>
      <c r="K196" s="6">
        <f>Procurement_Raw!K196</f>
        <v>30</v>
      </c>
      <c r="L196" t="str">
        <f>Procurement_Raw!L196</f>
        <v>Legacy Spend File</v>
      </c>
      <c r="M196" s="8">
        <f>Procurement_Raw!M196</f>
        <v>1484.91</v>
      </c>
      <c r="N196" s="7">
        <f>Procurement_Raw!N196</f>
        <v>7424.55</v>
      </c>
      <c r="O196" s="7">
        <f t="shared" si="6"/>
        <v>7424.55</v>
      </c>
      <c r="P196" t="str">
        <f>IFERROR(INDEX(Supplier_Lookup!$B$2:$B$200,MATCH(E196,Supplier_Lookup!$A$2:$A$200,0)),"Unmapped")</f>
        <v>Utilities</v>
      </c>
      <c r="Q196" s="10">
        <f>IFERROR(INDEX(Category_Targets!$B$2:$B$9,MATCH(F196,Category_Targets!$A$2:$A$9,0)),0)</f>
        <v>0.03</v>
      </c>
      <c r="R196" s="7">
        <f t="shared" si="7"/>
        <v>222.73650000000001</v>
      </c>
    </row>
    <row r="197" spans="1:18" x14ac:dyDescent="0.25">
      <c r="A197" s="5">
        <f>Procurement_Raw!A197</f>
        <v>45826</v>
      </c>
      <c r="B197" t="str">
        <f>Procurement_Raw!B197</f>
        <v>S016</v>
      </c>
      <c r="C197" t="str">
        <f>Procurement_Raw!C197</f>
        <v>Cardiff Care &amp; Education Centre</v>
      </c>
      <c r="D197" t="str">
        <f>Procurement_Raw!D197</f>
        <v>Wales</v>
      </c>
      <c r="E197" t="str">
        <f>Procurement_Raw!E197</f>
        <v>UK Energy Partners</v>
      </c>
      <c r="F197" t="str">
        <f>Procurement_Raw!F197</f>
        <v>Utilities</v>
      </c>
      <c r="G197" t="str">
        <f>Procurement_Raw!G197</f>
        <v>INV-2025-00196</v>
      </c>
      <c r="H197" s="6">
        <f>Procurement_Raw!H197</f>
        <v>19</v>
      </c>
      <c r="I197" s="7">
        <f>Procurement_Raw!I197</f>
        <v>309.01</v>
      </c>
      <c r="J197" s="7">
        <f>Procurement_Raw!J197</f>
        <v>5871.26</v>
      </c>
      <c r="K197" s="6">
        <f>Procurement_Raw!K197</f>
        <v>60</v>
      </c>
      <c r="L197" t="str">
        <f>Procurement_Raw!L197</f>
        <v>ERP</v>
      </c>
      <c r="M197" s="8">
        <f>Procurement_Raw!M197</f>
        <v>1174.252</v>
      </c>
      <c r="N197" s="7">
        <f>Procurement_Raw!N197</f>
        <v>5871.26</v>
      </c>
      <c r="O197" s="7">
        <f t="shared" si="6"/>
        <v>5871.26</v>
      </c>
      <c r="P197" t="str">
        <f>IFERROR(INDEX(Supplier_Lookup!$B$2:$B$200,MATCH(E197,Supplier_Lookup!$A$2:$A$200,0)),"Unmapped")</f>
        <v>Utilities</v>
      </c>
      <c r="Q197" s="10">
        <f>IFERROR(INDEX(Category_Targets!$B$2:$B$9,MATCH(F197,Category_Targets!$A$2:$A$9,0)),0)</f>
        <v>0.03</v>
      </c>
      <c r="R197" s="7">
        <f t="shared" si="7"/>
        <v>176.1378</v>
      </c>
    </row>
    <row r="198" spans="1:18" x14ac:dyDescent="0.25">
      <c r="A198" s="5">
        <f>Procurement_Raw!A198</f>
        <v>45934</v>
      </c>
      <c r="B198" t="str">
        <f>Procurement_Raw!B198</f>
        <v>S004</v>
      </c>
      <c r="C198" t="str">
        <f>Procurement_Raw!C198</f>
        <v>Newcastle Care &amp; Education Centre</v>
      </c>
      <c r="D198" t="str">
        <f>Procurement_Raw!D198</f>
        <v>North</v>
      </c>
      <c r="E198" t="str">
        <f>Procurement_Raw!E198</f>
        <v>CleanWorks</v>
      </c>
      <c r="F198" t="str">
        <f>Procurement_Raw!F198</f>
        <v>Facilities</v>
      </c>
      <c r="G198" t="str">
        <f>Procurement_Raw!G198</f>
        <v>INV-2025-00197</v>
      </c>
      <c r="H198" s="6">
        <f>Procurement_Raw!H198</f>
        <v>33</v>
      </c>
      <c r="I198" s="7">
        <f>Procurement_Raw!I198</f>
        <v>110.7</v>
      </c>
      <c r="J198" s="7">
        <f>Procurement_Raw!J198</f>
        <v>3653.14</v>
      </c>
      <c r="K198" s="6">
        <f>Procurement_Raw!K198</f>
        <v>30</v>
      </c>
      <c r="L198" t="str">
        <f>Procurement_Raw!L198</f>
        <v>ERP</v>
      </c>
      <c r="M198" s="8">
        <f>Procurement_Raw!M198</f>
        <v>730.62800000000004</v>
      </c>
      <c r="N198" s="7">
        <f>Procurement_Raw!N198</f>
        <v>3653.14</v>
      </c>
      <c r="O198" s="7">
        <f t="shared" si="6"/>
        <v>3653.14</v>
      </c>
      <c r="P198" t="str">
        <f>IFERROR(INDEX(Supplier_Lookup!$B$2:$B$200,MATCH(E198,Supplier_Lookup!$A$2:$A$200,0)),"Unmapped")</f>
        <v>Facilities</v>
      </c>
      <c r="Q198" s="10">
        <f>IFERROR(INDEX(Category_Targets!$B$2:$B$9,MATCH(F198,Category_Targets!$A$2:$A$9,0)),0)</f>
        <v>0.05</v>
      </c>
      <c r="R198" s="7">
        <f t="shared" si="7"/>
        <v>182.65700000000001</v>
      </c>
    </row>
    <row r="199" spans="1:18" x14ac:dyDescent="0.25">
      <c r="A199" s="5">
        <f>Procurement_Raw!A199</f>
        <v>45665</v>
      </c>
      <c r="B199" t="str">
        <f>Procurement_Raw!B199</f>
        <v>S001</v>
      </c>
      <c r="C199" t="str">
        <f>Procurement_Raw!C199</f>
        <v>Preston Care &amp; Education Centre</v>
      </c>
      <c r="D199" t="str">
        <f>Procurement_Raw!D199</f>
        <v>North</v>
      </c>
      <c r="E199" t="str">
        <f>Procurement_Raw!E199</f>
        <v>MediSure</v>
      </c>
      <c r="F199" t="str">
        <f>Procurement_Raw!F199</f>
        <v>Medical Supplies</v>
      </c>
      <c r="G199" t="str">
        <f>Procurement_Raw!G199</f>
        <v>INV-2025-00198</v>
      </c>
      <c r="H199" s="6">
        <f>Procurement_Raw!H199</f>
        <v>46</v>
      </c>
      <c r="I199" s="7">
        <f>Procurement_Raw!I199</f>
        <v>130.59</v>
      </c>
      <c r="J199" s="7">
        <f>Procurement_Raw!J199</f>
        <v>6007.01</v>
      </c>
      <c r="K199" s="6">
        <f>Procurement_Raw!K199</f>
        <v>30</v>
      </c>
      <c r="L199" t="str">
        <f>Procurement_Raw!L199</f>
        <v>Legacy Spend File</v>
      </c>
      <c r="M199" s="8">
        <f>Procurement_Raw!M199</f>
        <v>1201.402</v>
      </c>
      <c r="N199" s="7">
        <f>Procurement_Raw!N199</f>
        <v>6007.01</v>
      </c>
      <c r="O199" s="7">
        <f t="shared" si="6"/>
        <v>6007.01</v>
      </c>
      <c r="P199" t="str">
        <f>IFERROR(INDEX(Supplier_Lookup!$B$2:$B$200,MATCH(E199,Supplier_Lookup!$A$2:$A$200,0)),"Unmapped")</f>
        <v>Medical Supplies</v>
      </c>
      <c r="Q199" s="10">
        <f>IFERROR(INDEX(Category_Targets!$B$2:$B$9,MATCH(F199,Category_Targets!$A$2:$A$9,0)),0)</f>
        <v>0.06</v>
      </c>
      <c r="R199" s="7">
        <f t="shared" si="7"/>
        <v>360.42059999999998</v>
      </c>
    </row>
    <row r="200" spans="1:18" x14ac:dyDescent="0.25">
      <c r="A200" s="5">
        <f>Procurement_Raw!A200</f>
        <v>45793</v>
      </c>
      <c r="B200" t="str">
        <f>Procurement_Raw!B200</f>
        <v>S004</v>
      </c>
      <c r="C200" t="str">
        <f>Procurement_Raw!C200</f>
        <v>Newcastle Care &amp; Education Centre</v>
      </c>
      <c r="D200" t="str">
        <f>Procurement_Raw!D200</f>
        <v>North</v>
      </c>
      <c r="E200" t="str">
        <f>Procurement_Raw!E200</f>
        <v>MediSure</v>
      </c>
      <c r="F200" t="str">
        <f>Procurement_Raw!F200</f>
        <v>Medical Supplies</v>
      </c>
      <c r="G200" t="str">
        <f>Procurement_Raw!G200</f>
        <v>INV-2025-00199</v>
      </c>
      <c r="H200" s="6">
        <f>Procurement_Raw!H200</f>
        <v>7</v>
      </c>
      <c r="I200" s="7">
        <f>Procurement_Raw!I200</f>
        <v>123.9</v>
      </c>
      <c r="J200" s="7">
        <f>Procurement_Raw!J200</f>
        <v>867.33</v>
      </c>
      <c r="K200" s="6">
        <f>Procurement_Raw!K200</f>
        <v>30</v>
      </c>
      <c r="L200" t="str">
        <f>Procurement_Raw!L200</f>
        <v>Legacy Spend File</v>
      </c>
      <c r="M200" s="8">
        <f>Procurement_Raw!M200</f>
        <v>173.46600000000001</v>
      </c>
      <c r="N200" s="7">
        <f>Procurement_Raw!N200</f>
        <v>867.33</v>
      </c>
      <c r="O200" s="7">
        <f t="shared" si="6"/>
        <v>867.33</v>
      </c>
      <c r="P200" t="str">
        <f>IFERROR(INDEX(Supplier_Lookup!$B$2:$B$200,MATCH(E200,Supplier_Lookup!$A$2:$A$200,0)),"Unmapped")</f>
        <v>Medical Supplies</v>
      </c>
      <c r="Q200" s="10">
        <f>IFERROR(INDEX(Category_Targets!$B$2:$B$9,MATCH(F200,Category_Targets!$A$2:$A$9,0)),0)</f>
        <v>0.06</v>
      </c>
      <c r="R200" s="7">
        <f t="shared" si="7"/>
        <v>52.0398</v>
      </c>
    </row>
    <row r="201" spans="1:18" x14ac:dyDescent="0.25">
      <c r="A201" s="5">
        <f>Procurement_Raw!A201</f>
        <v>45690</v>
      </c>
      <c r="B201" t="str">
        <f>Procurement_Raw!B201</f>
        <v>S002</v>
      </c>
      <c r="C201" t="str">
        <f>Procurement_Raw!C201</f>
        <v>Manchester Care &amp; Education Centre</v>
      </c>
      <c r="D201" t="str">
        <f>Procurement_Raw!D201</f>
        <v>North</v>
      </c>
      <c r="E201" t="str">
        <f>Procurement_Raw!E201</f>
        <v>KitchenPro</v>
      </c>
      <c r="F201" t="str">
        <f>Procurement_Raw!F201</f>
        <v>Food &amp; Catering</v>
      </c>
      <c r="G201" t="str">
        <f>Procurement_Raw!G201</f>
        <v>INV-2025-00200</v>
      </c>
      <c r="H201" s="6">
        <f>Procurement_Raw!H201</f>
        <v>61</v>
      </c>
      <c r="I201" s="7">
        <f>Procurement_Raw!I201</f>
        <v>34.67</v>
      </c>
      <c r="J201" s="7">
        <f>Procurement_Raw!J201</f>
        <v>2114.61</v>
      </c>
      <c r="K201" s="6">
        <f>Procurement_Raw!K201</f>
        <v>45</v>
      </c>
      <c r="L201" t="str">
        <f>Procurement_Raw!L201</f>
        <v>Procurement Portal</v>
      </c>
      <c r="M201" s="8">
        <f>Procurement_Raw!M201</f>
        <v>422.92200000000003</v>
      </c>
      <c r="N201" s="7">
        <f>Procurement_Raw!N201</f>
        <v>2114.61</v>
      </c>
      <c r="O201" s="7">
        <f t="shared" si="6"/>
        <v>2114.61</v>
      </c>
      <c r="P201" t="str">
        <f>IFERROR(INDEX(Supplier_Lookup!$B$2:$B$200,MATCH(E201,Supplier_Lookup!$A$2:$A$200,0)),"Unmapped")</f>
        <v>Food &amp; Catering</v>
      </c>
      <c r="Q201" s="10">
        <f>IFERROR(INDEX(Category_Targets!$B$2:$B$9,MATCH(F201,Category_Targets!$A$2:$A$9,0)),0)</f>
        <v>0.04</v>
      </c>
      <c r="R201" s="7">
        <f t="shared" si="7"/>
        <v>84.584400000000002</v>
      </c>
    </row>
    <row r="202" spans="1:18" x14ac:dyDescent="0.25">
      <c r="A202" s="5">
        <f>Procurement_Raw!A202</f>
        <v>45915</v>
      </c>
      <c r="B202" t="str">
        <f>Procurement_Raw!B202</f>
        <v>S013</v>
      </c>
      <c r="C202" t="str">
        <f>Procurement_Raw!C202</f>
        <v>Reading Care &amp; Education Centre</v>
      </c>
      <c r="D202" t="str">
        <f>Procurement_Raw!D202</f>
        <v>South</v>
      </c>
      <c r="E202" t="str">
        <f>Procurement_Raw!E202</f>
        <v>NourishCo</v>
      </c>
      <c r="F202" t="str">
        <f>Procurement_Raw!F202</f>
        <v>Food &amp; Catering</v>
      </c>
      <c r="G202" t="str">
        <f>Procurement_Raw!G202</f>
        <v>INV-2025-00201</v>
      </c>
      <c r="H202" s="6">
        <f>Procurement_Raw!H202</f>
        <v>29</v>
      </c>
      <c r="I202" s="7">
        <f>Procurement_Raw!I202</f>
        <v>79.14</v>
      </c>
      <c r="J202" s="7">
        <f>Procurement_Raw!J202</f>
        <v>2294.9499999999998</v>
      </c>
      <c r="K202" s="6">
        <f>Procurement_Raw!K202</f>
        <v>60</v>
      </c>
      <c r="L202" t="str">
        <f>Procurement_Raw!L202</f>
        <v>ERP</v>
      </c>
      <c r="M202" s="8">
        <f>Procurement_Raw!M202</f>
        <v>458.99</v>
      </c>
      <c r="N202" s="7">
        <f>Procurement_Raw!N202</f>
        <v>2294.9499999999998</v>
      </c>
      <c r="O202" s="7">
        <f t="shared" si="6"/>
        <v>2294.9499999999998</v>
      </c>
      <c r="P202" t="str">
        <f>IFERROR(INDEX(Supplier_Lookup!$B$2:$B$200,MATCH(E202,Supplier_Lookup!$A$2:$A$200,0)),"Unmapped")</f>
        <v>Food &amp; Catering</v>
      </c>
      <c r="Q202" s="10">
        <f>IFERROR(INDEX(Category_Targets!$B$2:$B$9,MATCH(F202,Category_Targets!$A$2:$A$9,0)),0)</f>
        <v>0.04</v>
      </c>
      <c r="R202" s="7">
        <f t="shared" si="7"/>
        <v>91.797999999999988</v>
      </c>
    </row>
    <row r="203" spans="1:18" x14ac:dyDescent="0.25">
      <c r="A203" s="5">
        <f>Procurement_Raw!A203</f>
        <v>45987</v>
      </c>
      <c r="B203" t="str">
        <f>Procurement_Raw!B203</f>
        <v>S017</v>
      </c>
      <c r="C203" t="str">
        <f>Procurement_Raw!C203</f>
        <v>Swansea Care &amp; Education Centre</v>
      </c>
      <c r="D203" t="str">
        <f>Procurement_Raw!D203</f>
        <v>Wales</v>
      </c>
      <c r="E203" t="str">
        <f>Procurement_Raw!E203</f>
        <v>TeleCare IT</v>
      </c>
      <c r="F203" t="str">
        <f>Procurement_Raw!F203</f>
        <v>IT &amp; Telecoms</v>
      </c>
      <c r="G203" t="str">
        <f>Procurement_Raw!G203</f>
        <v>INV-2025-00202</v>
      </c>
      <c r="H203" s="6">
        <f>Procurement_Raw!H203</f>
        <v>4</v>
      </c>
      <c r="I203" s="7">
        <f>Procurement_Raw!I203</f>
        <v>299.48</v>
      </c>
      <c r="J203" s="7">
        <f>Procurement_Raw!J203</f>
        <v>1197.93</v>
      </c>
      <c r="K203" s="6">
        <f>Procurement_Raw!K203</f>
        <v>30</v>
      </c>
      <c r="L203" t="str">
        <f>Procurement_Raw!L203</f>
        <v>Procurement Portal</v>
      </c>
      <c r="M203" s="8">
        <f>Procurement_Raw!M203</f>
        <v>239.58600000000001</v>
      </c>
      <c r="N203" s="7">
        <f>Procurement_Raw!N203</f>
        <v>1197.93</v>
      </c>
      <c r="O203" s="7">
        <f t="shared" si="6"/>
        <v>1197.93</v>
      </c>
      <c r="P203" t="str">
        <f>IFERROR(INDEX(Supplier_Lookup!$B$2:$B$200,MATCH(E203,Supplier_Lookup!$A$2:$A$200,0)),"Unmapped")</f>
        <v>IT &amp; Telecoms</v>
      </c>
      <c r="Q203" s="10">
        <f>IFERROR(INDEX(Category_Targets!$B$2:$B$9,MATCH(F203,Category_Targets!$A$2:$A$9,0)),0)</f>
        <v>0.08</v>
      </c>
      <c r="R203" s="7">
        <f t="shared" si="7"/>
        <v>95.834400000000002</v>
      </c>
    </row>
    <row r="204" spans="1:18" x14ac:dyDescent="0.25">
      <c r="A204" s="5">
        <f>Procurement_Raw!A204</f>
        <v>45713</v>
      </c>
      <c r="B204" t="str">
        <f>Procurement_Raw!B204</f>
        <v>S012</v>
      </c>
      <c r="C204" t="str">
        <f>Procurement_Raw!C204</f>
        <v>Bristol Care &amp; Education Centre</v>
      </c>
      <c r="D204" t="str">
        <f>Procurement_Raw!D204</f>
        <v>South</v>
      </c>
      <c r="E204" t="str">
        <f>Procurement_Raw!E204</f>
        <v>NurseLink</v>
      </c>
      <c r="F204" t="str">
        <f>Procurement_Raw!F204</f>
        <v>Agency Labour</v>
      </c>
      <c r="G204" t="str">
        <f>Procurement_Raw!G204</f>
        <v>INV-2025-00203</v>
      </c>
      <c r="H204" s="6">
        <f>Procurement_Raw!H204</f>
        <v>63</v>
      </c>
      <c r="I204" s="7">
        <f>Procurement_Raw!I204</f>
        <v>544.28</v>
      </c>
      <c r="J204" s="7">
        <f>Procurement_Raw!J204</f>
        <v>34289.53</v>
      </c>
      <c r="K204" s="6">
        <f>Procurement_Raw!K204</f>
        <v>60</v>
      </c>
      <c r="L204" t="str">
        <f>Procurement_Raw!L204</f>
        <v>Procurement Portal</v>
      </c>
      <c r="M204" s="8">
        <f>Procurement_Raw!M204</f>
        <v>6857.9059999999999</v>
      </c>
      <c r="N204" s="7">
        <f>Procurement_Raw!N204</f>
        <v>34289.53</v>
      </c>
      <c r="O204" s="7">
        <f t="shared" si="6"/>
        <v>34289.53</v>
      </c>
      <c r="P204" t="str">
        <f>IFERROR(INDEX(Supplier_Lookup!$B$2:$B$200,MATCH(E204,Supplier_Lookup!$A$2:$A$200,0)),"Unmapped")</f>
        <v>Agency Labour</v>
      </c>
      <c r="Q204" s="10">
        <f>IFERROR(INDEX(Category_Targets!$B$2:$B$9,MATCH(F204,Category_Targets!$A$2:$A$9,0)),0)</f>
        <v>7.0000000000000007E-2</v>
      </c>
      <c r="R204" s="7">
        <f t="shared" si="7"/>
        <v>2400.2671</v>
      </c>
    </row>
    <row r="205" spans="1:18" x14ac:dyDescent="0.25">
      <c r="A205" s="5">
        <f>Procurement_Raw!A205</f>
        <v>45969</v>
      </c>
      <c r="B205" t="str">
        <f>Procurement_Raw!B205</f>
        <v>S016</v>
      </c>
      <c r="C205" t="str">
        <f>Procurement_Raw!C205</f>
        <v>Cardiff Care &amp; Education Centre</v>
      </c>
      <c r="D205" t="str">
        <f>Procurement_Raw!D205</f>
        <v>Wales</v>
      </c>
      <c r="E205" t="str">
        <f>Procurement_Raw!E205</f>
        <v>NourishCo</v>
      </c>
      <c r="F205" t="str">
        <f>Procurement_Raw!F205</f>
        <v>Food &amp; Catering</v>
      </c>
      <c r="G205" t="str">
        <f>Procurement_Raw!G205</f>
        <v>INV-2025-00204</v>
      </c>
      <c r="H205" s="6">
        <f>Procurement_Raw!H205</f>
        <v>19</v>
      </c>
      <c r="I205" s="7">
        <f>Procurement_Raw!I205</f>
        <v>116.05</v>
      </c>
      <c r="J205" s="7">
        <f>Procurement_Raw!J205</f>
        <v>2204.86</v>
      </c>
      <c r="K205" s="6">
        <f>Procurement_Raw!K205</f>
        <v>30</v>
      </c>
      <c r="L205" t="str">
        <f>Procurement_Raw!L205</f>
        <v>ERP</v>
      </c>
      <c r="M205" s="8">
        <f>Procurement_Raw!M205</f>
        <v>440.97199999999998</v>
      </c>
      <c r="N205" s="7">
        <f>Procurement_Raw!N205</f>
        <v>2204.86</v>
      </c>
      <c r="O205" s="7">
        <f t="shared" si="6"/>
        <v>2204.86</v>
      </c>
      <c r="P205" t="str">
        <f>IFERROR(INDEX(Supplier_Lookup!$B$2:$B$200,MATCH(E205,Supplier_Lookup!$A$2:$A$200,0)),"Unmapped")</f>
        <v>Food &amp; Catering</v>
      </c>
      <c r="Q205" s="10">
        <f>IFERROR(INDEX(Category_Targets!$B$2:$B$9,MATCH(F205,Category_Targets!$A$2:$A$9,0)),0)</f>
        <v>0.04</v>
      </c>
      <c r="R205" s="7">
        <f t="shared" si="7"/>
        <v>88.194400000000002</v>
      </c>
    </row>
    <row r="206" spans="1:18" x14ac:dyDescent="0.25">
      <c r="A206" s="5">
        <f>Procurement_Raw!A206</f>
        <v>45963</v>
      </c>
      <c r="B206" t="str">
        <f>Procurement_Raw!B206</f>
        <v>S006</v>
      </c>
      <c r="C206" t="str">
        <f>Procurement_Raw!C206</f>
        <v>Birmingham Care &amp; Education Centre</v>
      </c>
      <c r="D206" t="str">
        <f>Procurement_Raw!D206</f>
        <v>Midlands</v>
      </c>
      <c r="E206" t="str">
        <f>Procurement_Raw!E206</f>
        <v>RoadReady</v>
      </c>
      <c r="F206" t="str">
        <f>Procurement_Raw!F206</f>
        <v>Vehicle &amp; Fuel</v>
      </c>
      <c r="G206" t="str">
        <f>Procurement_Raw!G206</f>
        <v>INV-2025-00205</v>
      </c>
      <c r="H206" s="6">
        <f>Procurement_Raw!H206</f>
        <v>68</v>
      </c>
      <c r="I206" s="7">
        <f>Procurement_Raw!I206</f>
        <v>44.53</v>
      </c>
      <c r="J206" s="7">
        <f>Procurement_Raw!J206</f>
        <v>3028.03</v>
      </c>
      <c r="K206" s="6">
        <f>Procurement_Raw!K206</f>
        <v>45</v>
      </c>
      <c r="L206" t="str">
        <f>Procurement_Raw!L206</f>
        <v>Procurement Portal</v>
      </c>
      <c r="M206" s="8">
        <f>Procurement_Raw!M206</f>
        <v>605.60599999999999</v>
      </c>
      <c r="N206" s="7">
        <f>Procurement_Raw!N206</f>
        <v>3028.03</v>
      </c>
      <c r="O206" s="7">
        <f t="shared" si="6"/>
        <v>3028.03</v>
      </c>
      <c r="P206" t="str">
        <f>IFERROR(INDEX(Supplier_Lookup!$B$2:$B$200,MATCH(E206,Supplier_Lookup!$A$2:$A$200,0)),"Unmapped")</f>
        <v>Vehicle &amp; Fuel</v>
      </c>
      <c r="Q206" s="10">
        <f>IFERROR(INDEX(Category_Targets!$B$2:$B$9,MATCH(F206,Category_Targets!$A$2:$A$9,0)),0)</f>
        <v>0.05</v>
      </c>
      <c r="R206" s="7">
        <f t="shared" si="7"/>
        <v>151.40150000000003</v>
      </c>
    </row>
    <row r="207" spans="1:18" x14ac:dyDescent="0.25">
      <c r="A207" s="5">
        <f>Procurement_Raw!A207</f>
        <v>46017</v>
      </c>
      <c r="B207" t="str">
        <f>Procurement_Raw!B207</f>
        <v>S015</v>
      </c>
      <c r="C207" t="str">
        <f>Procurement_Raw!C207</f>
        <v>Brighton Care &amp; Education Centre</v>
      </c>
      <c r="D207" t="str">
        <f>Procurement_Raw!D207</f>
        <v>South</v>
      </c>
      <c r="E207" t="str">
        <f>Procurement_Raw!E207</f>
        <v>HealthStaffing</v>
      </c>
      <c r="F207" t="str">
        <f>Procurement_Raw!F207</f>
        <v>Agency Labour</v>
      </c>
      <c r="G207" t="str">
        <f>Procurement_Raw!G207</f>
        <v>INV-2025-00206</v>
      </c>
      <c r="H207" s="6">
        <f>Procurement_Raw!H207</f>
        <v>15</v>
      </c>
      <c r="I207" s="7">
        <f>Procurement_Raw!I207</f>
        <v>179.11</v>
      </c>
      <c r="J207" s="7">
        <f>Procurement_Raw!J207</f>
        <v>2686.59</v>
      </c>
      <c r="K207" s="6">
        <f>Procurement_Raw!K207</f>
        <v>60</v>
      </c>
      <c r="L207" t="str">
        <f>Procurement_Raw!L207</f>
        <v>Legacy Spend File</v>
      </c>
      <c r="M207" s="8">
        <f>Procurement_Raw!M207</f>
        <v>537.31799999999998</v>
      </c>
      <c r="N207" s="7">
        <f>Procurement_Raw!N207</f>
        <v>2686.59</v>
      </c>
      <c r="O207" s="7">
        <f t="shared" si="6"/>
        <v>2686.59</v>
      </c>
      <c r="P207" t="str">
        <f>IFERROR(INDEX(Supplier_Lookup!$B$2:$B$200,MATCH(E207,Supplier_Lookup!$A$2:$A$200,0)),"Unmapped")</f>
        <v>Agency Labour</v>
      </c>
      <c r="Q207" s="10">
        <f>IFERROR(INDEX(Category_Targets!$B$2:$B$9,MATCH(F207,Category_Targets!$A$2:$A$9,0)),0)</f>
        <v>7.0000000000000007E-2</v>
      </c>
      <c r="R207" s="7">
        <f t="shared" si="7"/>
        <v>188.06130000000002</v>
      </c>
    </row>
    <row r="208" spans="1:18" x14ac:dyDescent="0.25">
      <c r="A208" s="5">
        <f>Procurement_Raw!A208</f>
        <v>45889</v>
      </c>
      <c r="B208" t="str">
        <f>Procurement_Raw!B208</f>
        <v>S001</v>
      </c>
      <c r="C208" t="str">
        <f>Procurement_Raw!C208</f>
        <v>Preston Care &amp; Education Centre</v>
      </c>
      <c r="D208" t="str">
        <f>Procurement_Raw!D208</f>
        <v>North</v>
      </c>
      <c r="E208" t="str">
        <f>Procurement_Raw!E208</f>
        <v>WaterGrid</v>
      </c>
      <c r="F208" t="str">
        <f>Procurement_Raw!F208</f>
        <v>Utilities</v>
      </c>
      <c r="G208" t="str">
        <f>Procurement_Raw!G208</f>
        <v>INV-2025-00207</v>
      </c>
      <c r="H208" s="6">
        <f>Procurement_Raw!H208</f>
        <v>30</v>
      </c>
      <c r="I208" s="7">
        <f>Procurement_Raw!I208</f>
        <v>331.87</v>
      </c>
      <c r="J208" s="7">
        <f>Procurement_Raw!J208</f>
        <v>9955.9699999999993</v>
      </c>
      <c r="K208" s="6">
        <f>Procurement_Raw!K208</f>
        <v>45</v>
      </c>
      <c r="L208" t="str">
        <f>Procurement_Raw!L208</f>
        <v>Procurement Portal</v>
      </c>
      <c r="M208" s="8">
        <f>Procurement_Raw!M208</f>
        <v>1991.194</v>
      </c>
      <c r="N208" s="7">
        <f>Procurement_Raw!N208</f>
        <v>9955.9699999999993</v>
      </c>
      <c r="O208" s="7">
        <f t="shared" si="6"/>
        <v>9955.9699999999993</v>
      </c>
      <c r="P208" t="str">
        <f>IFERROR(INDEX(Supplier_Lookup!$B$2:$B$200,MATCH(E208,Supplier_Lookup!$A$2:$A$200,0)),"Unmapped")</f>
        <v>Utilities</v>
      </c>
      <c r="Q208" s="10">
        <f>IFERROR(INDEX(Category_Targets!$B$2:$B$9,MATCH(F208,Category_Targets!$A$2:$A$9,0)),0)</f>
        <v>0.03</v>
      </c>
      <c r="R208" s="7">
        <f t="shared" si="7"/>
        <v>298.67909999999995</v>
      </c>
    </row>
    <row r="209" spans="1:18" x14ac:dyDescent="0.25">
      <c r="A209" s="5">
        <f>Procurement_Raw!A209</f>
        <v>45706</v>
      </c>
      <c r="B209" t="str">
        <f>Procurement_Raw!B209</f>
        <v>S010</v>
      </c>
      <c r="C209" t="str">
        <f>Procurement_Raw!C209</f>
        <v>Coventry Care &amp; Education Centre</v>
      </c>
      <c r="D209" t="str">
        <f>Procurement_Raw!D209</f>
        <v>Midlands</v>
      </c>
      <c r="E209" t="str">
        <f>Procurement_Raw!E209</f>
        <v>CareTemps</v>
      </c>
      <c r="F209" t="str">
        <f>Procurement_Raw!F209</f>
        <v>Agency Labour</v>
      </c>
      <c r="G209" t="str">
        <f>Procurement_Raw!G209</f>
        <v>INV-2025-00208</v>
      </c>
      <c r="H209" s="6">
        <f>Procurement_Raw!H209</f>
        <v>41</v>
      </c>
      <c r="I209" s="7">
        <f>Procurement_Raw!I209</f>
        <v>397.97</v>
      </c>
      <c r="J209" s="7">
        <f>Procurement_Raw!J209</f>
        <v>16316.58</v>
      </c>
      <c r="K209" s="6">
        <f>Procurement_Raw!K209</f>
        <v>45</v>
      </c>
      <c r="L209" t="str">
        <f>Procurement_Raw!L209</f>
        <v>Procurement Portal</v>
      </c>
      <c r="M209" s="8">
        <f>Procurement_Raw!M209</f>
        <v>3263.3159999999998</v>
      </c>
      <c r="N209" s="7">
        <f>Procurement_Raw!N209</f>
        <v>16316.58</v>
      </c>
      <c r="O209" s="7">
        <f t="shared" si="6"/>
        <v>16316.58</v>
      </c>
      <c r="P209" t="str">
        <f>IFERROR(INDEX(Supplier_Lookup!$B$2:$B$200,MATCH(E209,Supplier_Lookup!$A$2:$A$200,0)),"Unmapped")</f>
        <v>Agency Labour</v>
      </c>
      <c r="Q209" s="10">
        <f>IFERROR(INDEX(Category_Targets!$B$2:$B$9,MATCH(F209,Category_Targets!$A$2:$A$9,0)),0)</f>
        <v>7.0000000000000007E-2</v>
      </c>
      <c r="R209" s="7">
        <f t="shared" si="7"/>
        <v>1142.1606000000002</v>
      </c>
    </row>
    <row r="210" spans="1:18" x14ac:dyDescent="0.25">
      <c r="A210" s="5">
        <f>Procurement_Raw!A210</f>
        <v>45736</v>
      </c>
      <c r="B210" t="str">
        <f>Procurement_Raw!B210</f>
        <v>S020</v>
      </c>
      <c r="C210" t="str">
        <f>Procurement_Raw!C210</f>
        <v>Bangor Care &amp; Education Centre</v>
      </c>
      <c r="D210" t="str">
        <f>Procurement_Raw!D210</f>
        <v>Wales</v>
      </c>
      <c r="E210" t="str">
        <f>Procurement_Raw!E210</f>
        <v>TeleCare IT</v>
      </c>
      <c r="F210" t="str">
        <f>Procurement_Raw!F210</f>
        <v>IT &amp; Telecoms</v>
      </c>
      <c r="G210" t="str">
        <f>Procurement_Raw!G210</f>
        <v>INV-2025-00209</v>
      </c>
      <c r="H210" s="6">
        <f>Procurement_Raw!H210</f>
        <v>61</v>
      </c>
      <c r="I210" s="7">
        <f>Procurement_Raw!I210</f>
        <v>292.04000000000002</v>
      </c>
      <c r="J210" s="7">
        <f>Procurement_Raw!J210</f>
        <v>17814.669999999998</v>
      </c>
      <c r="K210" s="6">
        <f>Procurement_Raw!K210</f>
        <v>30</v>
      </c>
      <c r="L210" t="str">
        <f>Procurement_Raw!L210</f>
        <v>ERP</v>
      </c>
      <c r="M210" s="8">
        <f>Procurement_Raw!M210</f>
        <v>3562.9340000000002</v>
      </c>
      <c r="N210" s="7">
        <f>Procurement_Raw!N210</f>
        <v>17814.669999999998</v>
      </c>
      <c r="O210" s="7">
        <f t="shared" si="6"/>
        <v>17814.669999999998</v>
      </c>
      <c r="P210" t="str">
        <f>IFERROR(INDEX(Supplier_Lookup!$B$2:$B$200,MATCH(E210,Supplier_Lookup!$A$2:$A$200,0)),"Unmapped")</f>
        <v>IT &amp; Telecoms</v>
      </c>
      <c r="Q210" s="10">
        <f>IFERROR(INDEX(Category_Targets!$B$2:$B$9,MATCH(F210,Category_Targets!$A$2:$A$9,0)),0)</f>
        <v>0.08</v>
      </c>
      <c r="R210" s="7">
        <f t="shared" si="7"/>
        <v>1425.1735999999999</v>
      </c>
    </row>
    <row r="211" spans="1:18" x14ac:dyDescent="0.25">
      <c r="A211" s="5">
        <f>Procurement_Raw!A211</f>
        <v>45707</v>
      </c>
      <c r="B211" t="str">
        <f>Procurement_Raw!B211</f>
        <v>S009</v>
      </c>
      <c r="C211" t="str">
        <f>Procurement_Raw!C211</f>
        <v>Derby Care &amp; Education Centre</v>
      </c>
      <c r="D211" t="str">
        <f>Procurement_Raw!D211</f>
        <v>Midlands</v>
      </c>
      <c r="E211" t="str">
        <f>Procurement_Raw!E211</f>
        <v>NourishCo</v>
      </c>
      <c r="F211" t="str">
        <f>Procurement_Raw!F211</f>
        <v>Food &amp; Catering</v>
      </c>
      <c r="G211" t="str">
        <f>Procurement_Raw!G211</f>
        <v>INV-2025-00210</v>
      </c>
      <c r="H211" s="6">
        <f>Procurement_Raw!H211</f>
        <v>48</v>
      </c>
      <c r="I211" s="7">
        <f>Procurement_Raw!I211</f>
        <v>540.98</v>
      </c>
      <c r="J211" s="7">
        <f>Procurement_Raw!J211</f>
        <v>25967.23</v>
      </c>
      <c r="K211" s="6">
        <f>Procurement_Raw!K211</f>
        <v>30</v>
      </c>
      <c r="L211" t="str">
        <f>Procurement_Raw!L211</f>
        <v>Legacy Spend File</v>
      </c>
      <c r="M211" s="8">
        <f>Procurement_Raw!M211</f>
        <v>5193.4459999999999</v>
      </c>
      <c r="N211" s="7">
        <f>Procurement_Raw!N211</f>
        <v>25967.23</v>
      </c>
      <c r="O211" s="7">
        <f t="shared" si="6"/>
        <v>25967.23</v>
      </c>
      <c r="P211" t="str">
        <f>IFERROR(INDEX(Supplier_Lookup!$B$2:$B$200,MATCH(E211,Supplier_Lookup!$A$2:$A$200,0)),"Unmapped")</f>
        <v>Food &amp; Catering</v>
      </c>
      <c r="Q211" s="10">
        <f>IFERROR(INDEX(Category_Targets!$B$2:$B$9,MATCH(F211,Category_Targets!$A$2:$A$9,0)),0)</f>
        <v>0.04</v>
      </c>
      <c r="R211" s="7">
        <f t="shared" si="7"/>
        <v>1038.6892</v>
      </c>
    </row>
    <row r="212" spans="1:18" x14ac:dyDescent="0.25">
      <c r="A212" s="5">
        <f>Procurement_Raw!A212</f>
        <v>45720</v>
      </c>
      <c r="B212" t="str">
        <f>Procurement_Raw!B212</f>
        <v>S020</v>
      </c>
      <c r="C212" t="str">
        <f>Procurement_Raw!C212</f>
        <v>Bangor Care &amp; Education Centre</v>
      </c>
      <c r="D212" t="str">
        <f>Procurement_Raw!D212</f>
        <v>Wales</v>
      </c>
      <c r="E212" t="str">
        <f>Procurement_Raw!E212</f>
        <v>AutoCare</v>
      </c>
      <c r="F212" t="str">
        <f>Procurement_Raw!F212</f>
        <v>Vehicle &amp; Fuel</v>
      </c>
      <c r="G212" t="str">
        <f>Procurement_Raw!G212</f>
        <v>INV-2025-00211</v>
      </c>
      <c r="H212" s="6">
        <f>Procurement_Raw!H212</f>
        <v>53</v>
      </c>
      <c r="I212" s="7">
        <f>Procurement_Raw!I212</f>
        <v>130.04</v>
      </c>
      <c r="J212" s="7">
        <f>Procurement_Raw!J212</f>
        <v>6892.29</v>
      </c>
      <c r="K212" s="6">
        <f>Procurement_Raw!K212</f>
        <v>45</v>
      </c>
      <c r="L212" t="str">
        <f>Procurement_Raw!L212</f>
        <v>Legacy Spend File</v>
      </c>
      <c r="M212" s="8">
        <f>Procurement_Raw!M212</f>
        <v>1378.4580000000001</v>
      </c>
      <c r="N212" s="7">
        <f>Procurement_Raw!N212</f>
        <v>6892.29</v>
      </c>
      <c r="O212" s="7">
        <f t="shared" si="6"/>
        <v>6892.29</v>
      </c>
      <c r="P212" t="str">
        <f>IFERROR(INDEX(Supplier_Lookup!$B$2:$B$200,MATCH(E212,Supplier_Lookup!$A$2:$A$200,0)),"Unmapped")</f>
        <v>Vehicle &amp; Fuel</v>
      </c>
      <c r="Q212" s="10">
        <f>IFERROR(INDEX(Category_Targets!$B$2:$B$9,MATCH(F212,Category_Targets!$A$2:$A$9,0)),0)</f>
        <v>0.05</v>
      </c>
      <c r="R212" s="7">
        <f t="shared" si="7"/>
        <v>344.61450000000002</v>
      </c>
    </row>
    <row r="213" spans="1:18" x14ac:dyDescent="0.25">
      <c r="A213" s="5">
        <f>Procurement_Raw!A213</f>
        <v>45684</v>
      </c>
      <c r="B213" t="str">
        <f>Procurement_Raw!B213</f>
        <v>S009</v>
      </c>
      <c r="C213" t="str">
        <f>Procurement_Raw!C213</f>
        <v>Derby Care &amp; Education Centre</v>
      </c>
      <c r="D213" t="str">
        <f>Procurement_Raw!D213</f>
        <v>Midlands</v>
      </c>
      <c r="E213" t="str">
        <f>Procurement_Raw!E213</f>
        <v>NurseLink</v>
      </c>
      <c r="F213" t="str">
        <f>Procurement_Raw!F213</f>
        <v>Agency Labour</v>
      </c>
      <c r="G213" t="str">
        <f>Procurement_Raw!G213</f>
        <v>INV-2025-00212</v>
      </c>
      <c r="H213" s="6">
        <f>Procurement_Raw!H213</f>
        <v>37</v>
      </c>
      <c r="I213" s="7">
        <f>Procurement_Raw!I213</f>
        <v>560.23</v>
      </c>
      <c r="J213" s="7">
        <f>Procurement_Raw!J213</f>
        <v>20728.43</v>
      </c>
      <c r="K213" s="6">
        <f>Procurement_Raw!K213</f>
        <v>60</v>
      </c>
      <c r="L213" t="str">
        <f>Procurement_Raw!L213</f>
        <v>Procurement Portal</v>
      </c>
      <c r="M213" s="8">
        <f>Procurement_Raw!M213</f>
        <v>4145.6859999999997</v>
      </c>
      <c r="N213" s="7">
        <f>Procurement_Raw!N213</f>
        <v>20728.43</v>
      </c>
      <c r="O213" s="7">
        <f t="shared" si="6"/>
        <v>20728.43</v>
      </c>
      <c r="P213" t="str">
        <f>IFERROR(INDEX(Supplier_Lookup!$B$2:$B$200,MATCH(E213,Supplier_Lookup!$A$2:$A$200,0)),"Unmapped")</f>
        <v>Agency Labour</v>
      </c>
      <c r="Q213" s="10">
        <f>IFERROR(INDEX(Category_Targets!$B$2:$B$9,MATCH(F213,Category_Targets!$A$2:$A$9,0)),0)</f>
        <v>7.0000000000000007E-2</v>
      </c>
      <c r="R213" s="7">
        <f t="shared" si="7"/>
        <v>1450.9901000000002</v>
      </c>
    </row>
    <row r="214" spans="1:18" x14ac:dyDescent="0.25">
      <c r="A214" s="5">
        <f>Procurement_Raw!A214</f>
        <v>45917</v>
      </c>
      <c r="B214" t="str">
        <f>Procurement_Raw!B214</f>
        <v>S020</v>
      </c>
      <c r="C214" t="str">
        <f>Procurement_Raw!C214</f>
        <v>Bangor Care &amp; Education Centre</v>
      </c>
      <c r="D214" t="str">
        <f>Procurement_Raw!D214</f>
        <v>Wales</v>
      </c>
      <c r="E214" t="str">
        <f>Procurement_Raw!E214</f>
        <v>KitchenPro</v>
      </c>
      <c r="F214" t="str">
        <f>Procurement_Raw!F214</f>
        <v>Food &amp; Catering</v>
      </c>
      <c r="G214" t="str">
        <f>Procurement_Raw!G214</f>
        <v>INV-2025-00213</v>
      </c>
      <c r="H214" s="6">
        <f>Procurement_Raw!H214</f>
        <v>28</v>
      </c>
      <c r="I214" s="7">
        <f>Procurement_Raw!I214</f>
        <v>109.85</v>
      </c>
      <c r="J214" s="7">
        <f>Procurement_Raw!J214</f>
        <v>3075.72</v>
      </c>
      <c r="K214" s="6">
        <f>Procurement_Raw!K214</f>
        <v>30</v>
      </c>
      <c r="L214" t="str">
        <f>Procurement_Raw!L214</f>
        <v>Legacy Spend File</v>
      </c>
      <c r="M214" s="8">
        <f>Procurement_Raw!M214</f>
        <v>615.14400000000001</v>
      </c>
      <c r="N214" s="7">
        <f>Procurement_Raw!N214</f>
        <v>3075.72</v>
      </c>
      <c r="O214" s="7">
        <f t="shared" si="6"/>
        <v>3075.72</v>
      </c>
      <c r="P214" t="str">
        <f>IFERROR(INDEX(Supplier_Lookup!$B$2:$B$200,MATCH(E214,Supplier_Lookup!$A$2:$A$200,0)),"Unmapped")</f>
        <v>Food &amp; Catering</v>
      </c>
      <c r="Q214" s="10">
        <f>IFERROR(INDEX(Category_Targets!$B$2:$B$9,MATCH(F214,Category_Targets!$A$2:$A$9,0)),0)</f>
        <v>0.04</v>
      </c>
      <c r="R214" s="7">
        <f t="shared" si="7"/>
        <v>123.02879999999999</v>
      </c>
    </row>
    <row r="215" spans="1:18" x14ac:dyDescent="0.25">
      <c r="A215" s="5">
        <f>Procurement_Raw!A215</f>
        <v>45837</v>
      </c>
      <c r="B215" t="str">
        <f>Procurement_Raw!B215</f>
        <v>S002</v>
      </c>
      <c r="C215" t="str">
        <f>Procurement_Raw!C215</f>
        <v>Manchester Care &amp; Education Centre</v>
      </c>
      <c r="D215" t="str">
        <f>Procurement_Raw!D215</f>
        <v>North</v>
      </c>
      <c r="E215" t="str">
        <f>Procurement_Raw!E215</f>
        <v>UK Energy Partners</v>
      </c>
      <c r="F215" t="str">
        <f>Procurement_Raw!F215</f>
        <v>Utilities</v>
      </c>
      <c r="G215" t="str">
        <f>Procurement_Raw!G215</f>
        <v>INV-2025-00214</v>
      </c>
      <c r="H215" s="6">
        <f>Procurement_Raw!H215</f>
        <v>72</v>
      </c>
      <c r="I215" s="7">
        <f>Procurement_Raw!I215</f>
        <v>357.71</v>
      </c>
      <c r="J215" s="7">
        <f>Procurement_Raw!J215</f>
        <v>25755.21</v>
      </c>
      <c r="K215" s="6">
        <f>Procurement_Raw!K215</f>
        <v>45</v>
      </c>
      <c r="L215" t="str">
        <f>Procurement_Raw!L215</f>
        <v>ERP</v>
      </c>
      <c r="M215" s="8">
        <f>Procurement_Raw!M215</f>
        <v>5151.0420000000004</v>
      </c>
      <c r="N215" s="7">
        <f>Procurement_Raw!N215</f>
        <v>25755.21</v>
      </c>
      <c r="O215" s="7">
        <f t="shared" si="6"/>
        <v>25755.21</v>
      </c>
      <c r="P215" t="str">
        <f>IFERROR(INDEX(Supplier_Lookup!$B$2:$B$200,MATCH(E215,Supplier_Lookup!$A$2:$A$200,0)),"Unmapped")</f>
        <v>Utilities</v>
      </c>
      <c r="Q215" s="10">
        <f>IFERROR(INDEX(Category_Targets!$B$2:$B$9,MATCH(F215,Category_Targets!$A$2:$A$9,0)),0)</f>
        <v>0.03</v>
      </c>
      <c r="R215" s="7">
        <f t="shared" si="7"/>
        <v>772.65629999999999</v>
      </c>
    </row>
    <row r="216" spans="1:18" x14ac:dyDescent="0.25">
      <c r="A216" s="5">
        <f>Procurement_Raw!A216</f>
        <v>45773</v>
      </c>
      <c r="B216" t="str">
        <f>Procurement_Raw!B216</f>
        <v>S018</v>
      </c>
      <c r="C216" t="str">
        <f>Procurement_Raw!C216</f>
        <v>Newport Care &amp; Education Centre</v>
      </c>
      <c r="D216" t="str">
        <f>Procurement_Raw!D216</f>
        <v>Wales</v>
      </c>
      <c r="E216" t="str">
        <f>Procurement_Raw!E216</f>
        <v>NetServe</v>
      </c>
      <c r="F216" t="str">
        <f>Procurement_Raw!F216</f>
        <v>IT &amp; Telecoms</v>
      </c>
      <c r="G216" t="str">
        <f>Procurement_Raw!G216</f>
        <v>INV-2025-00215</v>
      </c>
      <c r="H216" s="6">
        <f>Procurement_Raw!H216</f>
        <v>55</v>
      </c>
      <c r="I216" s="7">
        <f>Procurement_Raw!I216</f>
        <v>184.98</v>
      </c>
      <c r="J216" s="7">
        <f>Procurement_Raw!J216</f>
        <v>10173.709999999999</v>
      </c>
      <c r="K216" s="6">
        <f>Procurement_Raw!K216</f>
        <v>60</v>
      </c>
      <c r="L216" t="str">
        <f>Procurement_Raw!L216</f>
        <v>Legacy Spend File</v>
      </c>
      <c r="M216" s="8">
        <f>Procurement_Raw!M216</f>
        <v>2034.742</v>
      </c>
      <c r="N216" s="7">
        <f>Procurement_Raw!N216</f>
        <v>10173.709999999999</v>
      </c>
      <c r="O216" s="7">
        <f t="shared" si="6"/>
        <v>10173.709999999999</v>
      </c>
      <c r="P216" t="str">
        <f>IFERROR(INDEX(Supplier_Lookup!$B$2:$B$200,MATCH(E216,Supplier_Lookup!$A$2:$A$200,0)),"Unmapped")</f>
        <v>IT &amp; Telecoms</v>
      </c>
      <c r="Q216" s="10">
        <f>IFERROR(INDEX(Category_Targets!$B$2:$B$9,MATCH(F216,Category_Targets!$A$2:$A$9,0)),0)</f>
        <v>0.08</v>
      </c>
      <c r="R216" s="7">
        <f t="shared" si="7"/>
        <v>813.89679999999998</v>
      </c>
    </row>
    <row r="217" spans="1:18" x14ac:dyDescent="0.25">
      <c r="A217" s="5">
        <f>Procurement_Raw!A217</f>
        <v>45994</v>
      </c>
      <c r="B217" t="str">
        <f>Procurement_Raw!B217</f>
        <v>S019</v>
      </c>
      <c r="C217" t="str">
        <f>Procurement_Raw!C217</f>
        <v>Wrexham Care &amp; Education Centre</v>
      </c>
      <c r="D217" t="str">
        <f>Procurement_Raw!D217</f>
        <v>Wales</v>
      </c>
      <c r="E217" t="str">
        <f>Procurement_Raw!E217</f>
        <v>ClinEquip</v>
      </c>
      <c r="F217" t="str">
        <f>Procurement_Raw!F217</f>
        <v>Medical Supplies</v>
      </c>
      <c r="G217" t="str">
        <f>Procurement_Raw!G217</f>
        <v>INV-2025-00216</v>
      </c>
      <c r="H217" s="6">
        <f>Procurement_Raw!H217</f>
        <v>35</v>
      </c>
      <c r="I217" s="7">
        <f>Procurement_Raw!I217</f>
        <v>182.17</v>
      </c>
      <c r="J217" s="7">
        <f>Procurement_Raw!J217</f>
        <v>6375.85</v>
      </c>
      <c r="K217" s="6">
        <f>Procurement_Raw!K217</f>
        <v>30</v>
      </c>
      <c r="L217" t="str">
        <f>Procurement_Raw!L217</f>
        <v>ERP</v>
      </c>
      <c r="M217" s="8">
        <f>Procurement_Raw!M217</f>
        <v>1275.17</v>
      </c>
      <c r="N217" s="7">
        <f>Procurement_Raw!N217</f>
        <v>6375.85</v>
      </c>
      <c r="O217" s="7">
        <f t="shared" si="6"/>
        <v>6375.85</v>
      </c>
      <c r="P217" t="str">
        <f>IFERROR(INDEX(Supplier_Lookup!$B$2:$B$200,MATCH(E217,Supplier_Lookup!$A$2:$A$200,0)),"Unmapped")</f>
        <v>Medical Supplies</v>
      </c>
      <c r="Q217" s="10">
        <f>IFERROR(INDEX(Category_Targets!$B$2:$B$9,MATCH(F217,Category_Targets!$A$2:$A$9,0)),0)</f>
        <v>0.06</v>
      </c>
      <c r="R217" s="7">
        <f t="shared" si="7"/>
        <v>382.55099999999999</v>
      </c>
    </row>
    <row r="218" spans="1:18" x14ac:dyDescent="0.25">
      <c r="A218" s="5">
        <f>Procurement_Raw!A218</f>
        <v>45837</v>
      </c>
      <c r="B218" t="str">
        <f>Procurement_Raw!B218</f>
        <v>S018</v>
      </c>
      <c r="C218" t="str">
        <f>Procurement_Raw!C218</f>
        <v>Newport Care &amp; Education Centre</v>
      </c>
      <c r="D218" t="str">
        <f>Procurement_Raw!D218</f>
        <v>Wales</v>
      </c>
      <c r="E218" t="str">
        <f>Procurement_Raw!E218</f>
        <v>TeleCare IT</v>
      </c>
      <c r="F218" t="str">
        <f>Procurement_Raw!F218</f>
        <v>IT &amp; Telecoms</v>
      </c>
      <c r="G218" t="str">
        <f>Procurement_Raw!G218</f>
        <v>INV-2025-00217</v>
      </c>
      <c r="H218" s="6">
        <f>Procurement_Raw!H218</f>
        <v>1</v>
      </c>
      <c r="I218" s="7">
        <f>Procurement_Raw!I218</f>
        <v>143.82</v>
      </c>
      <c r="J218" s="7">
        <f>Procurement_Raw!J218</f>
        <v>143.82</v>
      </c>
      <c r="K218" s="6">
        <f>Procurement_Raw!K218</f>
        <v>30</v>
      </c>
      <c r="L218" t="str">
        <f>Procurement_Raw!L218</f>
        <v>ERP</v>
      </c>
      <c r="M218" s="8">
        <f>Procurement_Raw!M218</f>
        <v>28.763999999999999</v>
      </c>
      <c r="N218" s="7">
        <f>Procurement_Raw!N218</f>
        <v>143.82</v>
      </c>
      <c r="O218" s="7">
        <f t="shared" si="6"/>
        <v>143.82</v>
      </c>
      <c r="P218" t="str">
        <f>IFERROR(INDEX(Supplier_Lookup!$B$2:$B$200,MATCH(E218,Supplier_Lookup!$A$2:$A$200,0)),"Unmapped")</f>
        <v>IT &amp; Telecoms</v>
      </c>
      <c r="Q218" s="10">
        <f>IFERROR(INDEX(Category_Targets!$B$2:$B$9,MATCH(F218,Category_Targets!$A$2:$A$9,0)),0)</f>
        <v>0.08</v>
      </c>
      <c r="R218" s="7">
        <f t="shared" si="7"/>
        <v>11.505599999999999</v>
      </c>
    </row>
    <row r="219" spans="1:18" x14ac:dyDescent="0.25">
      <c r="A219" s="5">
        <f>Procurement_Raw!A219</f>
        <v>45730</v>
      </c>
      <c r="B219" t="str">
        <f>Procurement_Raw!B219</f>
        <v>S004</v>
      </c>
      <c r="C219" t="str">
        <f>Procurement_Raw!C219</f>
        <v>Newcastle Care &amp; Education Centre</v>
      </c>
      <c r="D219" t="str">
        <f>Procurement_Raw!D219</f>
        <v>North</v>
      </c>
      <c r="E219" t="str">
        <f>Procurement_Raw!E219</f>
        <v>HealthStaffing</v>
      </c>
      <c r="F219" t="str">
        <f>Procurement_Raw!F219</f>
        <v>Agency Labour</v>
      </c>
      <c r="G219" t="str">
        <f>Procurement_Raw!G219</f>
        <v>INV-2025-00218</v>
      </c>
      <c r="H219" s="6">
        <f>Procurement_Raw!H219</f>
        <v>4</v>
      </c>
      <c r="I219" s="7">
        <f>Procurement_Raw!I219</f>
        <v>263.36</v>
      </c>
      <c r="J219" s="7">
        <f>Procurement_Raw!J219</f>
        <v>1053.45</v>
      </c>
      <c r="K219" s="6">
        <f>Procurement_Raw!K219</f>
        <v>30</v>
      </c>
      <c r="L219" t="str">
        <f>Procurement_Raw!L219</f>
        <v>Legacy Spend File</v>
      </c>
      <c r="M219" s="8">
        <f>Procurement_Raw!M219</f>
        <v>210.69</v>
      </c>
      <c r="N219" s="7">
        <f>Procurement_Raw!N219</f>
        <v>1053.45</v>
      </c>
      <c r="O219" s="7">
        <f t="shared" si="6"/>
        <v>1053.45</v>
      </c>
      <c r="P219" t="str">
        <f>IFERROR(INDEX(Supplier_Lookup!$B$2:$B$200,MATCH(E219,Supplier_Lookup!$A$2:$A$200,0)),"Unmapped")</f>
        <v>Agency Labour</v>
      </c>
      <c r="Q219" s="10">
        <f>IFERROR(INDEX(Category_Targets!$B$2:$B$9,MATCH(F219,Category_Targets!$A$2:$A$9,0)),0)</f>
        <v>7.0000000000000007E-2</v>
      </c>
      <c r="R219" s="7">
        <f t="shared" si="7"/>
        <v>73.741500000000016</v>
      </c>
    </row>
    <row r="220" spans="1:18" x14ac:dyDescent="0.25">
      <c r="A220" s="5">
        <f>Procurement_Raw!A220</f>
        <v>45872</v>
      </c>
      <c r="B220" t="str">
        <f>Procurement_Raw!B220</f>
        <v>S002</v>
      </c>
      <c r="C220" t="str">
        <f>Procurement_Raw!C220</f>
        <v>Manchester Care &amp; Education Centre</v>
      </c>
      <c r="D220" t="str">
        <f>Procurement_Raw!D220</f>
        <v>North</v>
      </c>
      <c r="E220" t="str">
        <f>Procurement_Raw!E220</f>
        <v>WaterGrid</v>
      </c>
      <c r="F220" t="str">
        <f>Procurement_Raw!F220</f>
        <v>Utilities</v>
      </c>
      <c r="G220" t="str">
        <f>Procurement_Raw!G220</f>
        <v>INV-2025-00219</v>
      </c>
      <c r="H220" s="6">
        <f>Procurement_Raw!H220</f>
        <v>59</v>
      </c>
      <c r="I220" s="7">
        <f>Procurement_Raw!I220</f>
        <v>191.43</v>
      </c>
      <c r="J220" s="7">
        <f>Procurement_Raw!J220</f>
        <v>11294.24</v>
      </c>
      <c r="K220" s="6">
        <f>Procurement_Raw!K220</f>
        <v>45</v>
      </c>
      <c r="L220" t="str">
        <f>Procurement_Raw!L220</f>
        <v>ERP</v>
      </c>
      <c r="M220" s="8">
        <f>Procurement_Raw!M220</f>
        <v>2258.848</v>
      </c>
      <c r="N220" s="7">
        <f>Procurement_Raw!N220</f>
        <v>11294.24</v>
      </c>
      <c r="O220" s="7">
        <f t="shared" si="6"/>
        <v>11294.24</v>
      </c>
      <c r="P220" t="str">
        <f>IFERROR(INDEX(Supplier_Lookup!$B$2:$B$200,MATCH(E220,Supplier_Lookup!$A$2:$A$200,0)),"Unmapped")</f>
        <v>Utilities</v>
      </c>
      <c r="Q220" s="10">
        <f>IFERROR(INDEX(Category_Targets!$B$2:$B$9,MATCH(F220,Category_Targets!$A$2:$A$9,0)),0)</f>
        <v>0.03</v>
      </c>
      <c r="R220" s="7">
        <f t="shared" si="7"/>
        <v>338.8272</v>
      </c>
    </row>
    <row r="221" spans="1:18" x14ac:dyDescent="0.25">
      <c r="A221" s="5">
        <f>Procurement_Raw!A221</f>
        <v>45824</v>
      </c>
      <c r="B221" t="str">
        <f>Procurement_Raw!B221</f>
        <v>S018</v>
      </c>
      <c r="C221" t="str">
        <f>Procurement_Raw!C221</f>
        <v>Newport Care &amp; Education Centre</v>
      </c>
      <c r="D221" t="str">
        <f>Procurement_Raw!D221</f>
        <v>Wales</v>
      </c>
      <c r="E221" t="str">
        <f>Procurement_Raw!E221</f>
        <v>NetServe</v>
      </c>
      <c r="F221" t="str">
        <f>Procurement_Raw!F221</f>
        <v>IT &amp; Telecoms</v>
      </c>
      <c r="G221" t="str">
        <f>Procurement_Raw!G221</f>
        <v>INV-2025-00220</v>
      </c>
      <c r="H221" s="6">
        <f>Procurement_Raw!H221</f>
        <v>73</v>
      </c>
      <c r="I221" s="7">
        <f>Procurement_Raw!I221</f>
        <v>230.13</v>
      </c>
      <c r="J221" s="7">
        <f>Procurement_Raw!J221</f>
        <v>16799.72</v>
      </c>
      <c r="K221" s="6">
        <f>Procurement_Raw!K221</f>
        <v>60</v>
      </c>
      <c r="L221" t="str">
        <f>Procurement_Raw!L221</f>
        <v>ERP</v>
      </c>
      <c r="M221" s="8">
        <f>Procurement_Raw!M221</f>
        <v>3359.944</v>
      </c>
      <c r="N221" s="7">
        <f>Procurement_Raw!N221</f>
        <v>16799.72</v>
      </c>
      <c r="O221" s="7">
        <f t="shared" si="6"/>
        <v>16799.72</v>
      </c>
      <c r="P221" t="str">
        <f>IFERROR(INDEX(Supplier_Lookup!$B$2:$B$200,MATCH(E221,Supplier_Lookup!$A$2:$A$200,0)),"Unmapped")</f>
        <v>IT &amp; Telecoms</v>
      </c>
      <c r="Q221" s="10">
        <f>IFERROR(INDEX(Category_Targets!$B$2:$B$9,MATCH(F221,Category_Targets!$A$2:$A$9,0)),0)</f>
        <v>0.08</v>
      </c>
      <c r="R221" s="7">
        <f t="shared" si="7"/>
        <v>1343.9776000000002</v>
      </c>
    </row>
    <row r="222" spans="1:18" x14ac:dyDescent="0.25">
      <c r="A222" s="5">
        <f>Procurement_Raw!A222</f>
        <v>45974</v>
      </c>
      <c r="B222" t="str">
        <f>Procurement_Raw!B222</f>
        <v>S004</v>
      </c>
      <c r="C222" t="str">
        <f>Procurement_Raw!C222</f>
        <v>Newcastle Care &amp; Education Centre</v>
      </c>
      <c r="D222" t="str">
        <f>Procurement_Raw!D222</f>
        <v>North</v>
      </c>
      <c r="E222" t="str">
        <f>Procurement_Raw!E222</f>
        <v>CleanWorks</v>
      </c>
      <c r="F222" t="str">
        <f>Procurement_Raw!F222</f>
        <v>Facilities</v>
      </c>
      <c r="G222" t="str">
        <f>Procurement_Raw!G222</f>
        <v>INV-2025-00221</v>
      </c>
      <c r="H222" s="6">
        <f>Procurement_Raw!H222</f>
        <v>7</v>
      </c>
      <c r="I222" s="7">
        <f>Procurement_Raw!I222</f>
        <v>642.91999999999996</v>
      </c>
      <c r="J222" s="7">
        <f>Procurement_Raw!J222</f>
        <v>4500.43</v>
      </c>
      <c r="K222" s="6">
        <f>Procurement_Raw!K222</f>
        <v>60</v>
      </c>
      <c r="L222" t="str">
        <f>Procurement_Raw!L222</f>
        <v>ERP</v>
      </c>
      <c r="M222" s="8">
        <f>Procurement_Raw!M222</f>
        <v>900.08600000000001</v>
      </c>
      <c r="N222" s="7">
        <f>Procurement_Raw!N222</f>
        <v>4500.43</v>
      </c>
      <c r="O222" s="7">
        <f t="shared" si="6"/>
        <v>4500.43</v>
      </c>
      <c r="P222" t="str">
        <f>IFERROR(INDEX(Supplier_Lookup!$B$2:$B$200,MATCH(E222,Supplier_Lookup!$A$2:$A$200,0)),"Unmapped")</f>
        <v>Facilities</v>
      </c>
      <c r="Q222" s="10">
        <f>IFERROR(INDEX(Category_Targets!$B$2:$B$9,MATCH(F222,Category_Targets!$A$2:$A$9,0)),0)</f>
        <v>0.05</v>
      </c>
      <c r="R222" s="7">
        <f t="shared" si="7"/>
        <v>225.02150000000003</v>
      </c>
    </row>
    <row r="223" spans="1:18" x14ac:dyDescent="0.25">
      <c r="A223" s="5">
        <f>Procurement_Raw!A223</f>
        <v>45875</v>
      </c>
      <c r="B223" t="str">
        <f>Procurement_Raw!B223</f>
        <v>S018</v>
      </c>
      <c r="C223" t="str">
        <f>Procurement_Raw!C223</f>
        <v>Newport Care &amp; Education Centre</v>
      </c>
      <c r="D223" t="str">
        <f>Procurement_Raw!D223</f>
        <v>Wales</v>
      </c>
      <c r="E223" t="str">
        <f>Procurement_Raw!E223</f>
        <v>PrintCo</v>
      </c>
      <c r="F223" t="str">
        <f>Procurement_Raw!F223</f>
        <v>Office &amp; Training</v>
      </c>
      <c r="G223" t="str">
        <f>Procurement_Raw!G223</f>
        <v>INV-2025-00222</v>
      </c>
      <c r="H223" s="6">
        <f>Procurement_Raw!H223</f>
        <v>63</v>
      </c>
      <c r="I223" s="7">
        <f>Procurement_Raw!I223</f>
        <v>26.86</v>
      </c>
      <c r="J223" s="7">
        <f>Procurement_Raw!J223</f>
        <v>1691.93</v>
      </c>
      <c r="K223" s="6">
        <f>Procurement_Raw!K223</f>
        <v>60</v>
      </c>
      <c r="L223" t="str">
        <f>Procurement_Raw!L223</f>
        <v>Procurement Portal</v>
      </c>
      <c r="M223" s="8">
        <f>Procurement_Raw!M223</f>
        <v>338.38600000000002</v>
      </c>
      <c r="N223" s="7">
        <f>Procurement_Raw!N223</f>
        <v>1691.93</v>
      </c>
      <c r="O223" s="7">
        <f t="shared" si="6"/>
        <v>1691.93</v>
      </c>
      <c r="P223" t="str">
        <f>IFERROR(INDEX(Supplier_Lookup!$B$2:$B$200,MATCH(E223,Supplier_Lookup!$A$2:$A$200,0)),"Unmapped")</f>
        <v>Office &amp; Training</v>
      </c>
      <c r="Q223" s="10">
        <f>IFERROR(INDEX(Category_Targets!$B$2:$B$9,MATCH(F223,Category_Targets!$A$2:$A$9,0)),0)</f>
        <v>0.04</v>
      </c>
      <c r="R223" s="7">
        <f t="shared" si="7"/>
        <v>67.677199999999999</v>
      </c>
    </row>
    <row r="224" spans="1:18" x14ac:dyDescent="0.25">
      <c r="A224" s="5">
        <f>Procurement_Raw!A224</f>
        <v>45920</v>
      </c>
      <c r="B224" t="str">
        <f>Procurement_Raw!B224</f>
        <v>S011</v>
      </c>
      <c r="C224" t="str">
        <f>Procurement_Raw!C224</f>
        <v>London Care &amp; Education Centre</v>
      </c>
      <c r="D224" t="str">
        <f>Procurement_Raw!D224</f>
        <v>South</v>
      </c>
      <c r="E224" t="str">
        <f>Procurement_Raw!E224</f>
        <v>CloudLink</v>
      </c>
      <c r="F224" t="str">
        <f>Procurement_Raw!F224</f>
        <v>IT &amp; Telecoms</v>
      </c>
      <c r="G224" t="str">
        <f>Procurement_Raw!G224</f>
        <v>INV-2025-00223</v>
      </c>
      <c r="H224" s="6">
        <f>Procurement_Raw!H224</f>
        <v>15</v>
      </c>
      <c r="I224" s="7">
        <f>Procurement_Raw!I224</f>
        <v>320.88</v>
      </c>
      <c r="J224" s="7">
        <f>Procurement_Raw!J224</f>
        <v>4813.22</v>
      </c>
      <c r="K224" s="6">
        <f>Procurement_Raw!K224</f>
        <v>45</v>
      </c>
      <c r="L224" t="str">
        <f>Procurement_Raw!L224</f>
        <v>Procurement Portal</v>
      </c>
      <c r="M224" s="8">
        <f>Procurement_Raw!M224</f>
        <v>962.64400000000001</v>
      </c>
      <c r="N224" s="7">
        <f>Procurement_Raw!N224</f>
        <v>4813.22</v>
      </c>
      <c r="O224" s="7">
        <f t="shared" si="6"/>
        <v>4813.22</v>
      </c>
      <c r="P224" t="str">
        <f>IFERROR(INDEX(Supplier_Lookup!$B$2:$B$200,MATCH(E224,Supplier_Lookup!$A$2:$A$200,0)),"Unmapped")</f>
        <v>medical supplies</v>
      </c>
      <c r="Q224" s="10">
        <f>IFERROR(INDEX(Category_Targets!$B$2:$B$9,MATCH(F224,Category_Targets!$A$2:$A$9,0)),0)</f>
        <v>0.08</v>
      </c>
      <c r="R224" s="7">
        <f t="shared" si="7"/>
        <v>385.05760000000004</v>
      </c>
    </row>
    <row r="225" spans="1:18" x14ac:dyDescent="0.25">
      <c r="A225" s="5">
        <f>Procurement_Raw!A225</f>
        <v>46005</v>
      </c>
      <c r="B225" t="str">
        <f>Procurement_Raw!B225</f>
        <v>S015</v>
      </c>
      <c r="C225" t="str">
        <f>Procurement_Raw!C225</f>
        <v>Brighton Care &amp; Education Centre</v>
      </c>
      <c r="D225" t="str">
        <f>Procurement_Raw!D225</f>
        <v>South</v>
      </c>
      <c r="E225" t="str">
        <f>Procurement_Raw!E225</f>
        <v>NetServe</v>
      </c>
      <c r="F225" t="str">
        <f>Procurement_Raw!F225</f>
        <v>IT &amp; Telecoms</v>
      </c>
      <c r="G225" t="str">
        <f>Procurement_Raw!G225</f>
        <v>INV-2025-00224</v>
      </c>
      <c r="H225" s="6">
        <f>Procurement_Raw!H225</f>
        <v>76</v>
      </c>
      <c r="I225" s="7">
        <f>Procurement_Raw!I225</f>
        <v>90.62</v>
      </c>
      <c r="J225" s="7">
        <f>Procurement_Raw!J225</f>
        <v>6886.84</v>
      </c>
      <c r="K225" s="6">
        <f>Procurement_Raw!K225</f>
        <v>45</v>
      </c>
      <c r="L225" t="str">
        <f>Procurement_Raw!L225</f>
        <v>Legacy Spend File</v>
      </c>
      <c r="M225" s="8">
        <f>Procurement_Raw!M225</f>
        <v>1377.3679999999999</v>
      </c>
      <c r="N225" s="7">
        <f>Procurement_Raw!N225</f>
        <v>6886.84</v>
      </c>
      <c r="O225" s="7">
        <f t="shared" si="6"/>
        <v>6886.84</v>
      </c>
      <c r="P225" t="str">
        <f>IFERROR(INDEX(Supplier_Lookup!$B$2:$B$200,MATCH(E225,Supplier_Lookup!$A$2:$A$200,0)),"Unmapped")</f>
        <v>IT &amp; Telecoms</v>
      </c>
      <c r="Q225" s="10">
        <f>IFERROR(INDEX(Category_Targets!$B$2:$B$9,MATCH(F225,Category_Targets!$A$2:$A$9,0)),0)</f>
        <v>0.08</v>
      </c>
      <c r="R225" s="7">
        <f t="shared" si="7"/>
        <v>550.94720000000007</v>
      </c>
    </row>
    <row r="226" spans="1:18" x14ac:dyDescent="0.25">
      <c r="A226" s="5">
        <f>Procurement_Raw!A226</f>
        <v>45770</v>
      </c>
      <c r="B226" t="str">
        <f>Procurement_Raw!B226</f>
        <v>S012</v>
      </c>
      <c r="C226" t="str">
        <f>Procurement_Raw!C226</f>
        <v>Bristol Care &amp; Education Centre</v>
      </c>
      <c r="D226" t="str">
        <f>Procurement_Raw!D226</f>
        <v>South</v>
      </c>
      <c r="E226" t="str">
        <f>Procurement_Raw!E226</f>
        <v>CloudLink</v>
      </c>
      <c r="F226" t="str">
        <f>Procurement_Raw!F226</f>
        <v>IT &amp; Telecoms</v>
      </c>
      <c r="G226" t="str">
        <f>Procurement_Raw!G226</f>
        <v>INV-2025-00225</v>
      </c>
      <c r="H226" s="6">
        <f>Procurement_Raw!H226</f>
        <v>51</v>
      </c>
      <c r="I226" s="7">
        <f>Procurement_Raw!I226</f>
        <v>169.71</v>
      </c>
      <c r="J226" s="7">
        <f>Procurement_Raw!J226</f>
        <v>8654.98</v>
      </c>
      <c r="K226" s="6">
        <f>Procurement_Raw!K226</f>
        <v>60</v>
      </c>
      <c r="L226" t="str">
        <f>Procurement_Raw!L226</f>
        <v>ERP</v>
      </c>
      <c r="M226" s="8">
        <f>Procurement_Raw!M226</f>
        <v>1730.9960000000001</v>
      </c>
      <c r="N226" s="7">
        <f>Procurement_Raw!N226</f>
        <v>8654.98</v>
      </c>
      <c r="O226" s="7">
        <f t="shared" si="6"/>
        <v>8654.98</v>
      </c>
      <c r="P226" t="str">
        <f>IFERROR(INDEX(Supplier_Lookup!$B$2:$B$200,MATCH(E226,Supplier_Lookup!$A$2:$A$200,0)),"Unmapped")</f>
        <v>medical supplies</v>
      </c>
      <c r="Q226" s="10">
        <f>IFERROR(INDEX(Category_Targets!$B$2:$B$9,MATCH(F226,Category_Targets!$A$2:$A$9,0)),0)</f>
        <v>0.08</v>
      </c>
      <c r="R226" s="7">
        <f t="shared" si="7"/>
        <v>692.39839999999992</v>
      </c>
    </row>
    <row r="227" spans="1:18" x14ac:dyDescent="0.25">
      <c r="A227" s="5">
        <f>Procurement_Raw!A227</f>
        <v>45766</v>
      </c>
      <c r="B227" t="str">
        <f>Procurement_Raw!B227</f>
        <v>S003</v>
      </c>
      <c r="C227" t="str">
        <f>Procurement_Raw!C227</f>
        <v>Leeds Care &amp; Education Centre</v>
      </c>
      <c r="D227" t="str">
        <f>Procurement_Raw!D227</f>
        <v>North</v>
      </c>
      <c r="E227" t="str">
        <f>Procurement_Raw!E227</f>
        <v>WaterGrid</v>
      </c>
      <c r="F227" t="str">
        <f>Procurement_Raw!F227</f>
        <v>Utilities</v>
      </c>
      <c r="G227" t="str">
        <f>Procurement_Raw!G227</f>
        <v>INV-2025-00226</v>
      </c>
      <c r="H227" s="6">
        <f>Procurement_Raw!H227</f>
        <v>18</v>
      </c>
      <c r="I227" s="7">
        <f>Procurement_Raw!I227</f>
        <v>455.04</v>
      </c>
      <c r="J227" s="7">
        <f>Procurement_Raw!J227</f>
        <v>8190.71</v>
      </c>
      <c r="K227" s="6">
        <f>Procurement_Raw!K227</f>
        <v>45</v>
      </c>
      <c r="L227" t="str">
        <f>Procurement_Raw!L227</f>
        <v>Procurement Portal</v>
      </c>
      <c r="M227" s="8">
        <f>Procurement_Raw!M227</f>
        <v>1638.1420000000001</v>
      </c>
      <c r="N227" s="7">
        <f>Procurement_Raw!N227</f>
        <v>8190.71</v>
      </c>
      <c r="O227" s="7">
        <f t="shared" si="6"/>
        <v>8190.71</v>
      </c>
      <c r="P227" t="str">
        <f>IFERROR(INDEX(Supplier_Lookup!$B$2:$B$200,MATCH(E227,Supplier_Lookup!$A$2:$A$200,0)),"Unmapped")</f>
        <v>Utilities</v>
      </c>
      <c r="Q227" s="10">
        <f>IFERROR(INDEX(Category_Targets!$B$2:$B$9,MATCH(F227,Category_Targets!$A$2:$A$9,0)),0)</f>
        <v>0.03</v>
      </c>
      <c r="R227" s="7">
        <f t="shared" si="7"/>
        <v>245.72129999999999</v>
      </c>
    </row>
    <row r="228" spans="1:18" x14ac:dyDescent="0.25">
      <c r="A228" s="5">
        <f>Procurement_Raw!A228</f>
        <v>45912</v>
      </c>
      <c r="B228" t="str">
        <f>Procurement_Raw!B228</f>
        <v>S011</v>
      </c>
      <c r="C228" t="str">
        <f>Procurement_Raw!C228</f>
        <v>London Care &amp; Education Centre</v>
      </c>
      <c r="D228" t="str">
        <f>Procurement_Raw!D228</f>
        <v>South</v>
      </c>
      <c r="E228" t="str">
        <f>Procurement_Raw!E228</f>
        <v>FreshServe</v>
      </c>
      <c r="F228" t="str">
        <f>Procurement_Raw!F228</f>
        <v>Food &amp; Catering</v>
      </c>
      <c r="G228" t="str">
        <f>Procurement_Raw!G228</f>
        <v>INV-2025-00227</v>
      </c>
      <c r="H228" s="6">
        <f>Procurement_Raw!H228</f>
        <v>56</v>
      </c>
      <c r="I228" s="7">
        <f>Procurement_Raw!I228</f>
        <v>67.34</v>
      </c>
      <c r="J228" s="7">
        <f>Procurement_Raw!J228</f>
        <v>3770.99</v>
      </c>
      <c r="K228" s="6">
        <f>Procurement_Raw!K228</f>
        <v>30</v>
      </c>
      <c r="L228" t="str">
        <f>Procurement_Raw!L228</f>
        <v>ERP</v>
      </c>
      <c r="M228" s="8">
        <f>Procurement_Raw!M228</f>
        <v>754.19799999999998</v>
      </c>
      <c r="N228" s="7">
        <f>Procurement_Raw!N228</f>
        <v>3770.99</v>
      </c>
      <c r="O228" s="7">
        <f t="shared" si="6"/>
        <v>3770.99</v>
      </c>
      <c r="P228" t="str">
        <f>IFERROR(INDEX(Supplier_Lookup!$B$2:$B$200,MATCH(E228,Supplier_Lookup!$A$2:$A$200,0)),"Unmapped")</f>
        <v>Food &amp; Catering</v>
      </c>
      <c r="Q228" s="10">
        <f>IFERROR(INDEX(Category_Targets!$B$2:$B$9,MATCH(F228,Category_Targets!$A$2:$A$9,0)),0)</f>
        <v>0.04</v>
      </c>
      <c r="R228" s="7">
        <f t="shared" si="7"/>
        <v>150.83959999999999</v>
      </c>
    </row>
    <row r="229" spans="1:18" x14ac:dyDescent="0.25">
      <c r="A229" s="5">
        <f>Procurement_Raw!A229</f>
        <v>45944</v>
      </c>
      <c r="B229" t="str">
        <f>Procurement_Raw!B229</f>
        <v>S008</v>
      </c>
      <c r="C229" t="str">
        <f>Procurement_Raw!C229</f>
        <v>Leicester Care &amp; Education Centre</v>
      </c>
      <c r="D229" t="str">
        <f>Procurement_Raw!D229</f>
        <v>Midlands</v>
      </c>
      <c r="E229" t="str">
        <f>Procurement_Raw!E229</f>
        <v>PowerDirect</v>
      </c>
      <c r="F229" t="str">
        <f>Procurement_Raw!F229</f>
        <v>Utilities</v>
      </c>
      <c r="G229" t="str">
        <f>Procurement_Raw!G229</f>
        <v>INV-2025-00228</v>
      </c>
      <c r="H229" s="6">
        <f>Procurement_Raw!H229</f>
        <v>46</v>
      </c>
      <c r="I229" s="7">
        <f>Procurement_Raw!I229</f>
        <v>138.19999999999999</v>
      </c>
      <c r="J229" s="7">
        <f>Procurement_Raw!J229</f>
        <v>6357.2</v>
      </c>
      <c r="K229" s="6">
        <f>Procurement_Raw!K229</f>
        <v>30</v>
      </c>
      <c r="L229" t="str">
        <f>Procurement_Raw!L229</f>
        <v>Procurement Portal</v>
      </c>
      <c r="M229" s="8">
        <f>Procurement_Raw!M229</f>
        <v>1271.44</v>
      </c>
      <c r="N229" s="7">
        <f>Procurement_Raw!N229</f>
        <v>6357.2</v>
      </c>
      <c r="O229" s="7">
        <f t="shared" si="6"/>
        <v>6357.2</v>
      </c>
      <c r="P229" t="str">
        <f>IFERROR(INDEX(Supplier_Lookup!$B$2:$B$200,MATCH(E229,Supplier_Lookup!$A$2:$A$200,0)),"Unmapped")</f>
        <v>Utilities</v>
      </c>
      <c r="Q229" s="10">
        <f>IFERROR(INDEX(Category_Targets!$B$2:$B$9,MATCH(F229,Category_Targets!$A$2:$A$9,0)),0)</f>
        <v>0.03</v>
      </c>
      <c r="R229" s="7">
        <f t="shared" si="7"/>
        <v>190.71599999999998</v>
      </c>
    </row>
    <row r="230" spans="1:18" x14ac:dyDescent="0.25">
      <c r="A230" s="5">
        <f>Procurement_Raw!A230</f>
        <v>45667</v>
      </c>
      <c r="B230" t="str">
        <f>Procurement_Raw!B230</f>
        <v>S007</v>
      </c>
      <c r="C230" t="str">
        <f>Procurement_Raw!C230</f>
        <v>Nottingham Care &amp; Education Centre</v>
      </c>
      <c r="D230" t="str">
        <f>Procurement_Raw!D230</f>
        <v>Midlands</v>
      </c>
      <c r="E230" t="str">
        <f>Procurement_Raw!E230</f>
        <v>CareMed</v>
      </c>
      <c r="F230" t="str">
        <f>Procurement_Raw!F230</f>
        <v>Medical Supplies</v>
      </c>
      <c r="G230" t="str">
        <f>Procurement_Raw!G230</f>
        <v>INV-2025-00229</v>
      </c>
      <c r="H230" s="6">
        <f>Procurement_Raw!H230</f>
        <v>59</v>
      </c>
      <c r="I230" s="7">
        <f>Procurement_Raw!I230</f>
        <v>80.97</v>
      </c>
      <c r="J230" s="7">
        <f>Procurement_Raw!J230</f>
        <v>4777.21</v>
      </c>
      <c r="K230" s="6">
        <f>Procurement_Raw!K230</f>
        <v>30</v>
      </c>
      <c r="L230" t="str">
        <f>Procurement_Raw!L230</f>
        <v>Procurement Portal</v>
      </c>
      <c r="M230" s="8">
        <f>Procurement_Raw!M230</f>
        <v>955.44200000000001</v>
      </c>
      <c r="N230" s="7">
        <f>Procurement_Raw!N230</f>
        <v>4777.21</v>
      </c>
      <c r="O230" s="7">
        <f t="shared" si="6"/>
        <v>4777.21</v>
      </c>
      <c r="P230" t="str">
        <f>IFERROR(INDEX(Supplier_Lookup!$B$2:$B$200,MATCH(E230,Supplier_Lookup!$A$2:$A$200,0)),"Unmapped")</f>
        <v>Medical Supplies</v>
      </c>
      <c r="Q230" s="10">
        <f>IFERROR(INDEX(Category_Targets!$B$2:$B$9,MATCH(F230,Category_Targets!$A$2:$A$9,0)),0)</f>
        <v>0.06</v>
      </c>
      <c r="R230" s="7">
        <f t="shared" si="7"/>
        <v>286.63259999999997</v>
      </c>
    </row>
    <row r="231" spans="1:18" x14ac:dyDescent="0.25">
      <c r="A231" s="5">
        <f>Procurement_Raw!A231</f>
        <v>45865</v>
      </c>
      <c r="B231" t="str">
        <f>Procurement_Raw!B231</f>
        <v>S005</v>
      </c>
      <c r="C231" t="str">
        <f>Procurement_Raw!C231</f>
        <v>Sheffield Care &amp; Education Centre</v>
      </c>
      <c r="D231" t="str">
        <f>Procurement_Raw!D231</f>
        <v>North</v>
      </c>
      <c r="E231" t="str">
        <f>Procurement_Raw!E231</f>
        <v>NurseLink</v>
      </c>
      <c r="F231" t="str">
        <f>Procurement_Raw!F231</f>
        <v>Agency Labour</v>
      </c>
      <c r="G231" t="str">
        <f>Procurement_Raw!G231</f>
        <v>INV-2025-00230</v>
      </c>
      <c r="H231" s="6">
        <f>Procurement_Raw!H231</f>
        <v>54</v>
      </c>
      <c r="I231" s="7">
        <f>Procurement_Raw!I231</f>
        <v>435.96</v>
      </c>
      <c r="J231" s="7">
        <f>Procurement_Raw!J231</f>
        <v>23542.09</v>
      </c>
      <c r="K231" s="6">
        <f>Procurement_Raw!K231</f>
        <v>45</v>
      </c>
      <c r="L231" t="str">
        <f>Procurement_Raw!L231</f>
        <v>ERP</v>
      </c>
      <c r="M231" s="8">
        <f>Procurement_Raw!M231</f>
        <v>4708.4179999999997</v>
      </c>
      <c r="N231" s="7">
        <f>Procurement_Raw!N231</f>
        <v>23542.09</v>
      </c>
      <c r="O231" s="7">
        <f t="shared" si="6"/>
        <v>23542.09</v>
      </c>
      <c r="P231" t="str">
        <f>IFERROR(INDEX(Supplier_Lookup!$B$2:$B$200,MATCH(E231,Supplier_Lookup!$A$2:$A$200,0)),"Unmapped")</f>
        <v>Agency Labour</v>
      </c>
      <c r="Q231" s="10">
        <f>IFERROR(INDEX(Category_Targets!$B$2:$B$9,MATCH(F231,Category_Targets!$A$2:$A$9,0)),0)</f>
        <v>7.0000000000000007E-2</v>
      </c>
      <c r="R231" s="7">
        <f t="shared" si="7"/>
        <v>1647.9463000000001</v>
      </c>
    </row>
    <row r="232" spans="1:18" x14ac:dyDescent="0.25">
      <c r="A232" s="5">
        <f>Procurement_Raw!A232</f>
        <v>45745</v>
      </c>
      <c r="B232" t="str">
        <f>Procurement_Raw!B232</f>
        <v>S011</v>
      </c>
      <c r="C232" t="str">
        <f>Procurement_Raw!C232</f>
        <v>London Care &amp; Education Centre</v>
      </c>
      <c r="D232" t="str">
        <f>Procurement_Raw!D232</f>
        <v>South</v>
      </c>
      <c r="E232" t="str">
        <f>Procurement_Raw!E232</f>
        <v>CareMed</v>
      </c>
      <c r="F232" t="str">
        <f>Procurement_Raw!F232</f>
        <v>Medical Supplies</v>
      </c>
      <c r="G232" t="str">
        <f>Procurement_Raw!G232</f>
        <v>INV-2025-00231</v>
      </c>
      <c r="H232" s="6">
        <f>Procurement_Raw!H232</f>
        <v>80</v>
      </c>
      <c r="I232" s="7">
        <f>Procurement_Raw!I232</f>
        <v>80.3</v>
      </c>
      <c r="J232" s="7">
        <f>Procurement_Raw!J232</f>
        <v>6424.13</v>
      </c>
      <c r="K232" s="6">
        <f>Procurement_Raw!K232</f>
        <v>45</v>
      </c>
      <c r="L232" t="str">
        <f>Procurement_Raw!L232</f>
        <v>Legacy Spend File</v>
      </c>
      <c r="M232" s="8">
        <f>Procurement_Raw!M232</f>
        <v>1284.826</v>
      </c>
      <c r="N232" s="7">
        <f>Procurement_Raw!N232</f>
        <v>6424.13</v>
      </c>
      <c r="O232" s="7">
        <f t="shared" si="6"/>
        <v>6424.13</v>
      </c>
      <c r="P232" t="str">
        <f>IFERROR(INDEX(Supplier_Lookup!$B$2:$B$200,MATCH(E232,Supplier_Lookup!$A$2:$A$200,0)),"Unmapped")</f>
        <v>Medical Supplies</v>
      </c>
      <c r="Q232" s="10">
        <f>IFERROR(INDEX(Category_Targets!$B$2:$B$9,MATCH(F232,Category_Targets!$A$2:$A$9,0)),0)</f>
        <v>0.06</v>
      </c>
      <c r="R232" s="7">
        <f t="shared" si="7"/>
        <v>385.44779999999997</v>
      </c>
    </row>
    <row r="233" spans="1:18" x14ac:dyDescent="0.25">
      <c r="A233" s="5">
        <f>Procurement_Raw!A233</f>
        <v>45712</v>
      </c>
      <c r="B233" t="str">
        <f>Procurement_Raw!B233</f>
        <v>S002</v>
      </c>
      <c r="C233" t="str">
        <f>Procurement_Raw!C233</f>
        <v>Manchester Care &amp; Education Centre</v>
      </c>
      <c r="D233" t="str">
        <f>Procurement_Raw!D233</f>
        <v>North</v>
      </c>
      <c r="E233" t="str">
        <f>Procurement_Raw!E233</f>
        <v>NourishCo</v>
      </c>
      <c r="F233" t="str">
        <f>Procurement_Raw!F233</f>
        <v>Food &amp; Catering</v>
      </c>
      <c r="G233" t="str">
        <f>Procurement_Raw!G233</f>
        <v>INV-2025-00232</v>
      </c>
      <c r="H233" s="6">
        <f>Procurement_Raw!H233</f>
        <v>32</v>
      </c>
      <c r="I233" s="7">
        <f>Procurement_Raw!I233</f>
        <v>73.22</v>
      </c>
      <c r="J233" s="7">
        <f>Procurement_Raw!J233</f>
        <v>2342.9699999999998</v>
      </c>
      <c r="K233" s="6">
        <f>Procurement_Raw!K233</f>
        <v>45</v>
      </c>
      <c r="L233" t="str">
        <f>Procurement_Raw!L233</f>
        <v>Legacy Spend File</v>
      </c>
      <c r="M233" s="8">
        <f>Procurement_Raw!M233</f>
        <v>468.59399999999999</v>
      </c>
      <c r="N233" s="7">
        <f>Procurement_Raw!N233</f>
        <v>2342.9699999999998</v>
      </c>
      <c r="O233" s="7">
        <f t="shared" si="6"/>
        <v>2342.9699999999998</v>
      </c>
      <c r="P233" t="str">
        <f>IFERROR(INDEX(Supplier_Lookup!$B$2:$B$200,MATCH(E233,Supplier_Lookup!$A$2:$A$200,0)),"Unmapped")</f>
        <v>Food &amp; Catering</v>
      </c>
      <c r="Q233" s="10">
        <f>IFERROR(INDEX(Category_Targets!$B$2:$B$9,MATCH(F233,Category_Targets!$A$2:$A$9,0)),0)</f>
        <v>0.04</v>
      </c>
      <c r="R233" s="7">
        <f t="shared" si="7"/>
        <v>93.718799999999987</v>
      </c>
    </row>
    <row r="234" spans="1:18" x14ac:dyDescent="0.25">
      <c r="A234" s="5">
        <f>Procurement_Raw!A234</f>
        <v>45816</v>
      </c>
      <c r="B234" t="str">
        <f>Procurement_Raw!B234</f>
        <v>S016</v>
      </c>
      <c r="C234" t="str">
        <f>Procurement_Raw!C234</f>
        <v>Cardiff Care &amp; Education Centre</v>
      </c>
      <c r="D234" t="str">
        <f>Procurement_Raw!D234</f>
        <v>Wales</v>
      </c>
      <c r="E234" t="str">
        <f>Procurement_Raw!E234</f>
        <v>NourishCo</v>
      </c>
      <c r="F234" t="str">
        <f>Procurement_Raw!F234</f>
        <v>Food &amp; Catering</v>
      </c>
      <c r="G234" t="str">
        <f>Procurement_Raw!G234</f>
        <v>INV-2025-00233</v>
      </c>
      <c r="H234" s="6">
        <f>Procurement_Raw!H234</f>
        <v>44</v>
      </c>
      <c r="I234" s="7">
        <f>Procurement_Raw!I234</f>
        <v>66.650000000000006</v>
      </c>
      <c r="J234" s="7">
        <f>Procurement_Raw!J234</f>
        <v>2932.59</v>
      </c>
      <c r="K234" s="6">
        <f>Procurement_Raw!K234</f>
        <v>30</v>
      </c>
      <c r="L234" t="str">
        <f>Procurement_Raw!L234</f>
        <v>Procurement Portal</v>
      </c>
      <c r="M234" s="8">
        <f>Procurement_Raw!M234</f>
        <v>586.51800000000003</v>
      </c>
      <c r="N234" s="7">
        <f>Procurement_Raw!N234</f>
        <v>2932.59</v>
      </c>
      <c r="O234" s="7">
        <f t="shared" si="6"/>
        <v>2932.59</v>
      </c>
      <c r="P234" t="str">
        <f>IFERROR(INDEX(Supplier_Lookup!$B$2:$B$200,MATCH(E234,Supplier_Lookup!$A$2:$A$200,0)),"Unmapped")</f>
        <v>Food &amp; Catering</v>
      </c>
      <c r="Q234" s="10">
        <f>IFERROR(INDEX(Category_Targets!$B$2:$B$9,MATCH(F234,Category_Targets!$A$2:$A$9,0)),0)</f>
        <v>0.04</v>
      </c>
      <c r="R234" s="7">
        <f t="shared" si="7"/>
        <v>117.3036</v>
      </c>
    </row>
    <row r="235" spans="1:18" x14ac:dyDescent="0.25">
      <c r="A235" s="5">
        <f>Procurement_Raw!A235</f>
        <v>45982</v>
      </c>
      <c r="B235" t="str">
        <f>Procurement_Raw!B235</f>
        <v>S011</v>
      </c>
      <c r="C235" t="str">
        <f>Procurement_Raw!C235</f>
        <v>London Care &amp; Education Centre</v>
      </c>
      <c r="D235" t="str">
        <f>Procurement_Raw!D235</f>
        <v>South</v>
      </c>
      <c r="E235" t="str">
        <f>Procurement_Raw!E235</f>
        <v>KitchenPro</v>
      </c>
      <c r="F235" t="str">
        <f>Procurement_Raw!F235</f>
        <v>Food &amp; Catering</v>
      </c>
      <c r="G235" t="str">
        <f>Procurement_Raw!G235</f>
        <v>INV-2025-00234</v>
      </c>
      <c r="H235" s="6">
        <f>Procurement_Raw!H235</f>
        <v>15</v>
      </c>
      <c r="I235" s="7">
        <f>Procurement_Raw!I235</f>
        <v>45.42</v>
      </c>
      <c r="J235" s="7">
        <f>Procurement_Raw!J235</f>
        <v>681.34</v>
      </c>
      <c r="K235" s="6">
        <f>Procurement_Raw!K235</f>
        <v>60</v>
      </c>
      <c r="L235" t="str">
        <f>Procurement_Raw!L235</f>
        <v>Legacy Spend File</v>
      </c>
      <c r="M235" s="8">
        <f>Procurement_Raw!M235</f>
        <v>136.268</v>
      </c>
      <c r="N235" s="7">
        <f>Procurement_Raw!N235</f>
        <v>681.34</v>
      </c>
      <c r="O235" s="7">
        <f t="shared" si="6"/>
        <v>681.34</v>
      </c>
      <c r="P235" t="str">
        <f>IFERROR(INDEX(Supplier_Lookup!$B$2:$B$200,MATCH(E235,Supplier_Lookup!$A$2:$A$200,0)),"Unmapped")</f>
        <v>Food &amp; Catering</v>
      </c>
      <c r="Q235" s="10">
        <f>IFERROR(INDEX(Category_Targets!$B$2:$B$9,MATCH(F235,Category_Targets!$A$2:$A$9,0)),0)</f>
        <v>0.04</v>
      </c>
      <c r="R235" s="7">
        <f t="shared" si="7"/>
        <v>27.253600000000002</v>
      </c>
    </row>
    <row r="236" spans="1:18" x14ac:dyDescent="0.25">
      <c r="A236" s="5">
        <f>Procurement_Raw!A236</f>
        <v>45988</v>
      </c>
      <c r="B236" t="str">
        <f>Procurement_Raw!B236</f>
        <v>S017</v>
      </c>
      <c r="C236" t="str">
        <f>Procurement_Raw!C236</f>
        <v>Swansea Care &amp; Education Centre</v>
      </c>
      <c r="D236" t="str">
        <f>Procurement_Raw!D236</f>
        <v>Wales</v>
      </c>
      <c r="E236" t="str">
        <f>Procurement_Raw!E236</f>
        <v>RoadReady</v>
      </c>
      <c r="F236" t="str">
        <f>Procurement_Raw!F236</f>
        <v>Vehicle &amp; Fuel</v>
      </c>
      <c r="G236" t="str">
        <f>Procurement_Raw!G236</f>
        <v>INV-2025-00235</v>
      </c>
      <c r="H236" s="6">
        <f>Procurement_Raw!H236</f>
        <v>19</v>
      </c>
      <c r="I236" s="7">
        <f>Procurement_Raw!I236</f>
        <v>308.91000000000003</v>
      </c>
      <c r="J236" s="7">
        <f>Procurement_Raw!J236</f>
        <v>5869.27</v>
      </c>
      <c r="K236" s="6">
        <f>Procurement_Raw!K236</f>
        <v>30</v>
      </c>
      <c r="L236" t="str">
        <f>Procurement_Raw!L236</f>
        <v>ERP</v>
      </c>
      <c r="M236" s="8">
        <f>Procurement_Raw!M236</f>
        <v>1173.854</v>
      </c>
      <c r="N236" s="7">
        <f>Procurement_Raw!N236</f>
        <v>5869.27</v>
      </c>
      <c r="O236" s="7">
        <f t="shared" si="6"/>
        <v>5869.27</v>
      </c>
      <c r="P236" t="str">
        <f>IFERROR(INDEX(Supplier_Lookup!$B$2:$B$200,MATCH(E236,Supplier_Lookup!$A$2:$A$200,0)),"Unmapped")</f>
        <v>Vehicle &amp; Fuel</v>
      </c>
      <c r="Q236" s="10">
        <f>IFERROR(INDEX(Category_Targets!$B$2:$B$9,MATCH(F236,Category_Targets!$A$2:$A$9,0)),0)</f>
        <v>0.05</v>
      </c>
      <c r="R236" s="7">
        <f t="shared" si="7"/>
        <v>293.46350000000001</v>
      </c>
    </row>
    <row r="237" spans="1:18" x14ac:dyDescent="0.25">
      <c r="A237" s="5">
        <f>Procurement_Raw!A237</f>
        <v>45746</v>
      </c>
      <c r="B237" t="str">
        <f>Procurement_Raw!B237</f>
        <v>S007</v>
      </c>
      <c r="C237" t="str">
        <f>Procurement_Raw!C237</f>
        <v>Nottingham Care &amp; Education Centre</v>
      </c>
      <c r="D237" t="str">
        <f>Procurement_Raw!D237</f>
        <v>Midlands</v>
      </c>
      <c r="E237" t="str">
        <f>Procurement_Raw!E237</f>
        <v>CloudLink</v>
      </c>
      <c r="F237" t="str">
        <f>Procurement_Raw!F237</f>
        <v>IT &amp; Telecoms</v>
      </c>
      <c r="G237" t="str">
        <f>Procurement_Raw!G237</f>
        <v>INV-2025-00236</v>
      </c>
      <c r="H237" s="6">
        <f>Procurement_Raw!H237</f>
        <v>78</v>
      </c>
      <c r="I237" s="7">
        <f>Procurement_Raw!I237</f>
        <v>311.77999999999997</v>
      </c>
      <c r="J237" s="7">
        <f>Procurement_Raw!J237</f>
        <v>24318.48</v>
      </c>
      <c r="K237" s="6">
        <f>Procurement_Raw!K237</f>
        <v>30</v>
      </c>
      <c r="L237" t="str">
        <f>Procurement_Raw!L237</f>
        <v>Legacy Spend File</v>
      </c>
      <c r="M237" s="8">
        <f>Procurement_Raw!M237</f>
        <v>4863.6959999999999</v>
      </c>
      <c r="N237" s="7">
        <f>Procurement_Raw!N237</f>
        <v>24318.48</v>
      </c>
      <c r="O237" s="7">
        <f t="shared" si="6"/>
        <v>24318.48</v>
      </c>
      <c r="P237" t="str">
        <f>IFERROR(INDEX(Supplier_Lookup!$B$2:$B$200,MATCH(E237,Supplier_Lookup!$A$2:$A$200,0)),"Unmapped")</f>
        <v>medical supplies</v>
      </c>
      <c r="Q237" s="10">
        <f>IFERROR(INDEX(Category_Targets!$B$2:$B$9,MATCH(F237,Category_Targets!$A$2:$A$9,0)),0)</f>
        <v>0.08</v>
      </c>
      <c r="R237" s="7">
        <f t="shared" si="7"/>
        <v>1945.4784</v>
      </c>
    </row>
    <row r="238" spans="1:18" x14ac:dyDescent="0.25">
      <c r="A238" s="5">
        <f>Procurement_Raw!A238</f>
        <v>45910</v>
      </c>
      <c r="B238" t="str">
        <f>Procurement_Raw!B238</f>
        <v>S016</v>
      </c>
      <c r="C238" t="str">
        <f>Procurement_Raw!C238</f>
        <v>Cardiff Care &amp; Education Centre</v>
      </c>
      <c r="D238" t="str">
        <f>Procurement_Raw!D238</f>
        <v>Wales</v>
      </c>
      <c r="E238" t="str">
        <f>Procurement_Raw!E238</f>
        <v>BuildCare</v>
      </c>
      <c r="F238" t="str">
        <f>Procurement_Raw!F238</f>
        <v>Facilities</v>
      </c>
      <c r="G238" t="str">
        <f>Procurement_Raw!G238</f>
        <v>INV-2025-00237</v>
      </c>
      <c r="H238" s="6">
        <f>Procurement_Raw!H238</f>
        <v>60</v>
      </c>
      <c r="I238" s="7">
        <f>Procurement_Raw!I238</f>
        <v>59.09</v>
      </c>
      <c r="J238" s="7">
        <f>Procurement_Raw!J238</f>
        <v>3545.64</v>
      </c>
      <c r="K238" s="6">
        <f>Procurement_Raw!K238</f>
        <v>60</v>
      </c>
      <c r="L238" t="str">
        <f>Procurement_Raw!L238</f>
        <v>Legacy Spend File</v>
      </c>
      <c r="M238" s="8">
        <f>Procurement_Raw!M238</f>
        <v>709.12800000000004</v>
      </c>
      <c r="N238" s="7">
        <f>Procurement_Raw!N238</f>
        <v>3545.64</v>
      </c>
      <c r="O238" s="7">
        <f t="shared" si="6"/>
        <v>3545.64</v>
      </c>
      <c r="P238" t="str">
        <f>IFERROR(INDEX(Supplier_Lookup!$B$2:$B$200,MATCH(E238,Supplier_Lookup!$A$2:$A$200,0)),"Unmapped")</f>
        <v>Facilities</v>
      </c>
      <c r="Q238" s="10">
        <f>IFERROR(INDEX(Category_Targets!$B$2:$B$9,MATCH(F238,Category_Targets!$A$2:$A$9,0)),0)</f>
        <v>0.05</v>
      </c>
      <c r="R238" s="7">
        <f t="shared" si="7"/>
        <v>177.28200000000001</v>
      </c>
    </row>
    <row r="239" spans="1:18" x14ac:dyDescent="0.25">
      <c r="A239" s="5">
        <f>Procurement_Raw!A239</f>
        <v>45819</v>
      </c>
      <c r="B239" t="str">
        <f>Procurement_Raw!B239</f>
        <v>S017</v>
      </c>
      <c r="C239" t="str">
        <f>Procurement_Raw!C239</f>
        <v>Swansea Care &amp; Education Centre</v>
      </c>
      <c r="D239" t="str">
        <f>Procurement_Raw!D239</f>
        <v>Wales</v>
      </c>
      <c r="E239" t="str">
        <f>Procurement_Raw!E239</f>
        <v>AutoCare</v>
      </c>
      <c r="F239" t="str">
        <f>Procurement_Raw!F239</f>
        <v>Vehicle &amp; Fuel</v>
      </c>
      <c r="G239" t="str">
        <f>Procurement_Raw!G239</f>
        <v>INV-2025-00238</v>
      </c>
      <c r="H239" s="6">
        <f>Procurement_Raw!H239</f>
        <v>20</v>
      </c>
      <c r="I239" s="7">
        <f>Procurement_Raw!I239</f>
        <v>105.26</v>
      </c>
      <c r="J239" s="7">
        <f>Procurement_Raw!J239</f>
        <v>2105.19</v>
      </c>
      <c r="K239" s="6">
        <f>Procurement_Raw!K239</f>
        <v>45</v>
      </c>
      <c r="L239" t="str">
        <f>Procurement_Raw!L239</f>
        <v>ERP</v>
      </c>
      <c r="M239" s="8">
        <f>Procurement_Raw!M239</f>
        <v>421.03800000000001</v>
      </c>
      <c r="N239" s="7">
        <f>Procurement_Raw!N239</f>
        <v>2105.19</v>
      </c>
      <c r="O239" s="7">
        <f t="shared" si="6"/>
        <v>2105.19</v>
      </c>
      <c r="P239" t="str">
        <f>IFERROR(INDEX(Supplier_Lookup!$B$2:$B$200,MATCH(E239,Supplier_Lookup!$A$2:$A$200,0)),"Unmapped")</f>
        <v>Vehicle &amp; Fuel</v>
      </c>
      <c r="Q239" s="10">
        <f>IFERROR(INDEX(Category_Targets!$B$2:$B$9,MATCH(F239,Category_Targets!$A$2:$A$9,0)),0)</f>
        <v>0.05</v>
      </c>
      <c r="R239" s="7">
        <f t="shared" si="7"/>
        <v>105.2595</v>
      </c>
    </row>
    <row r="240" spans="1:18" x14ac:dyDescent="0.25">
      <c r="A240" s="5">
        <f>Procurement_Raw!A240</f>
        <v>45813</v>
      </c>
      <c r="B240" t="str">
        <f>Procurement_Raw!B240</f>
        <v>S002</v>
      </c>
      <c r="C240" t="str">
        <f>Procurement_Raw!C240</f>
        <v>Manchester Care &amp; Education Centre</v>
      </c>
      <c r="D240" t="str">
        <f>Procurement_Raw!D240</f>
        <v>North</v>
      </c>
      <c r="E240" t="str">
        <f>Procurement_Raw!E240</f>
        <v>PrintCo</v>
      </c>
      <c r="F240" t="str">
        <f>Procurement_Raw!F240</f>
        <v>Office &amp; Training</v>
      </c>
      <c r="G240" t="str">
        <f>Procurement_Raw!G240</f>
        <v>INV-2025-00239</v>
      </c>
      <c r="H240" s="6">
        <f>Procurement_Raw!H240</f>
        <v>36</v>
      </c>
      <c r="I240" s="7">
        <f>Procurement_Raw!I240</f>
        <v>52.12</v>
      </c>
      <c r="J240" s="7">
        <f>Procurement_Raw!J240</f>
        <v>1876.24</v>
      </c>
      <c r="K240" s="6">
        <f>Procurement_Raw!K240</f>
        <v>60</v>
      </c>
      <c r="L240" t="str">
        <f>Procurement_Raw!L240</f>
        <v>ERP</v>
      </c>
      <c r="M240" s="8">
        <f>Procurement_Raw!M240</f>
        <v>375.24799999999999</v>
      </c>
      <c r="N240" s="7">
        <f>Procurement_Raw!N240</f>
        <v>1876.24</v>
      </c>
      <c r="O240" s="7">
        <f t="shared" si="6"/>
        <v>1876.24</v>
      </c>
      <c r="P240" t="str">
        <f>IFERROR(INDEX(Supplier_Lookup!$B$2:$B$200,MATCH(E240,Supplier_Lookup!$A$2:$A$200,0)),"Unmapped")</f>
        <v>Office &amp; Training</v>
      </c>
      <c r="Q240" s="10">
        <f>IFERROR(INDEX(Category_Targets!$B$2:$B$9,MATCH(F240,Category_Targets!$A$2:$A$9,0)),0)</f>
        <v>0.04</v>
      </c>
      <c r="R240" s="7">
        <f t="shared" si="7"/>
        <v>75.049599999999998</v>
      </c>
    </row>
    <row r="241" spans="1:18" x14ac:dyDescent="0.25">
      <c r="A241" s="5">
        <f>Procurement_Raw!A241</f>
        <v>45894</v>
      </c>
      <c r="B241" t="str">
        <f>Procurement_Raw!B241</f>
        <v>S003</v>
      </c>
      <c r="C241" t="str">
        <f>Procurement_Raw!C241</f>
        <v>Leeds Care &amp; Education Centre</v>
      </c>
      <c r="D241" t="str">
        <f>Procurement_Raw!D241</f>
        <v>North</v>
      </c>
      <c r="E241" t="str">
        <f>Procurement_Raw!E241</f>
        <v>NourishCo</v>
      </c>
      <c r="F241" t="str">
        <f>Procurement_Raw!F241</f>
        <v>Food &amp; Catering</v>
      </c>
      <c r="G241" t="str">
        <f>Procurement_Raw!G241</f>
        <v>INV-2025-00240</v>
      </c>
      <c r="H241" s="6">
        <f>Procurement_Raw!H241</f>
        <v>58</v>
      </c>
      <c r="I241" s="7">
        <f>Procurement_Raw!I241</f>
        <v>103.88</v>
      </c>
      <c r="J241" s="7">
        <f>Procurement_Raw!J241</f>
        <v>6024.98</v>
      </c>
      <c r="K241" s="6">
        <f>Procurement_Raw!K241</f>
        <v>30</v>
      </c>
      <c r="L241" t="str">
        <f>Procurement_Raw!L241</f>
        <v>ERP</v>
      </c>
      <c r="M241" s="8">
        <f>Procurement_Raw!M241</f>
        <v>1204.9960000000001</v>
      </c>
      <c r="N241" s="7">
        <f>Procurement_Raw!N241</f>
        <v>6024.98</v>
      </c>
      <c r="O241" s="7">
        <f t="shared" si="6"/>
        <v>6024.98</v>
      </c>
      <c r="P241" t="str">
        <f>IFERROR(INDEX(Supplier_Lookup!$B$2:$B$200,MATCH(E241,Supplier_Lookup!$A$2:$A$200,0)),"Unmapped")</f>
        <v>Food &amp; Catering</v>
      </c>
      <c r="Q241" s="10">
        <f>IFERROR(INDEX(Category_Targets!$B$2:$B$9,MATCH(F241,Category_Targets!$A$2:$A$9,0)),0)</f>
        <v>0.04</v>
      </c>
      <c r="R241" s="7">
        <f t="shared" si="7"/>
        <v>240.99919999999997</v>
      </c>
    </row>
    <row r="242" spans="1:18" x14ac:dyDescent="0.25">
      <c r="A242" s="5">
        <f>Procurement_Raw!A242</f>
        <v>45988</v>
      </c>
      <c r="B242" t="str">
        <f>Procurement_Raw!B242</f>
        <v>S016</v>
      </c>
      <c r="C242" t="str">
        <f>Procurement_Raw!C242</f>
        <v>Cardiff Care &amp; Education Centre</v>
      </c>
      <c r="D242" t="str">
        <f>Procurement_Raw!D242</f>
        <v>Wales</v>
      </c>
      <c r="E242" t="str">
        <f>Procurement_Raw!E242</f>
        <v>CloudLink</v>
      </c>
      <c r="F242" t="str">
        <f>Procurement_Raw!F242</f>
        <v>IT &amp; Telecoms</v>
      </c>
      <c r="G242" t="str">
        <f>Procurement_Raw!G242</f>
        <v>INV-2025-00241</v>
      </c>
      <c r="H242" s="6">
        <f>Procurement_Raw!H242</f>
        <v>12</v>
      </c>
      <c r="I242" s="7">
        <f>Procurement_Raw!I242</f>
        <v>142.27000000000001</v>
      </c>
      <c r="J242" s="7">
        <f>Procurement_Raw!J242</f>
        <v>1707.26</v>
      </c>
      <c r="K242" s="6">
        <f>Procurement_Raw!K242</f>
        <v>60</v>
      </c>
      <c r="L242" t="str">
        <f>Procurement_Raw!L242</f>
        <v>Legacy Spend File</v>
      </c>
      <c r="M242" s="8">
        <f>Procurement_Raw!M242</f>
        <v>341.452</v>
      </c>
      <c r="N242" s="7">
        <f>Procurement_Raw!N242</f>
        <v>1707.26</v>
      </c>
      <c r="O242" s="7">
        <f t="shared" si="6"/>
        <v>1707.26</v>
      </c>
      <c r="P242" t="str">
        <f>IFERROR(INDEX(Supplier_Lookup!$B$2:$B$200,MATCH(E242,Supplier_Lookup!$A$2:$A$200,0)),"Unmapped")</f>
        <v>medical supplies</v>
      </c>
      <c r="Q242" s="10">
        <f>IFERROR(INDEX(Category_Targets!$B$2:$B$9,MATCH(F242,Category_Targets!$A$2:$A$9,0)),0)</f>
        <v>0.08</v>
      </c>
      <c r="R242" s="7">
        <f t="shared" si="7"/>
        <v>136.58080000000001</v>
      </c>
    </row>
    <row r="243" spans="1:18" x14ac:dyDescent="0.25">
      <c r="A243" s="5">
        <f>Procurement_Raw!A243</f>
        <v>45955</v>
      </c>
      <c r="B243" t="str">
        <f>Procurement_Raw!B243</f>
        <v>S006</v>
      </c>
      <c r="C243" t="str">
        <f>Procurement_Raw!C243</f>
        <v>Birmingham Care &amp; Education Centre</v>
      </c>
      <c r="D243" t="str">
        <f>Procurement_Raw!D243</f>
        <v>Midlands</v>
      </c>
      <c r="E243" t="str">
        <f>Procurement_Raw!E243</f>
        <v>CareTemps</v>
      </c>
      <c r="F243" t="str">
        <f>Procurement_Raw!F243</f>
        <v>Agency Labour</v>
      </c>
      <c r="G243" t="str">
        <f>Procurement_Raw!G243</f>
        <v>INV-2025-00242</v>
      </c>
      <c r="H243" s="6">
        <f>Procurement_Raw!H243</f>
        <v>71</v>
      </c>
      <c r="I243" s="7">
        <f>Procurement_Raw!I243</f>
        <v>281.64999999999998</v>
      </c>
      <c r="J243" s="7">
        <f>Procurement_Raw!J243</f>
        <v>19997.400000000001</v>
      </c>
      <c r="K243" s="6">
        <f>Procurement_Raw!K243</f>
        <v>60</v>
      </c>
      <c r="L243" t="str">
        <f>Procurement_Raw!L243</f>
        <v>ERP</v>
      </c>
      <c r="M243" s="8">
        <f>Procurement_Raw!M243</f>
        <v>3999.48</v>
      </c>
      <c r="N243" s="7">
        <f>Procurement_Raw!N243</f>
        <v>19997.400000000001</v>
      </c>
      <c r="O243" s="7">
        <f t="shared" si="6"/>
        <v>19997.400000000001</v>
      </c>
      <c r="P243" t="str">
        <f>IFERROR(INDEX(Supplier_Lookup!$B$2:$B$200,MATCH(E243,Supplier_Lookup!$A$2:$A$200,0)),"Unmapped")</f>
        <v>Agency Labour</v>
      </c>
      <c r="Q243" s="10">
        <f>IFERROR(INDEX(Category_Targets!$B$2:$B$9,MATCH(F243,Category_Targets!$A$2:$A$9,0)),0)</f>
        <v>7.0000000000000007E-2</v>
      </c>
      <c r="R243" s="7">
        <f t="shared" si="7"/>
        <v>1399.8180000000002</v>
      </c>
    </row>
    <row r="244" spans="1:18" x14ac:dyDescent="0.25">
      <c r="A244" s="5">
        <f>Procurement_Raw!A244</f>
        <v>45967</v>
      </c>
      <c r="B244" t="str">
        <f>Procurement_Raw!B244</f>
        <v>S001</v>
      </c>
      <c r="C244" t="str">
        <f>Procurement_Raw!C244</f>
        <v>Preston Care &amp; Education Centre</v>
      </c>
      <c r="D244" t="str">
        <f>Procurement_Raw!D244</f>
        <v>North</v>
      </c>
      <c r="E244" t="str">
        <f>Procurement_Raw!E244</f>
        <v>WaterGrid</v>
      </c>
      <c r="F244" t="str">
        <f>Procurement_Raw!F244</f>
        <v>Utilities</v>
      </c>
      <c r="G244" t="str">
        <f>Procurement_Raw!G244</f>
        <v>INV-2025-00243</v>
      </c>
      <c r="H244" s="6">
        <f>Procurement_Raw!H244</f>
        <v>61</v>
      </c>
      <c r="I244" s="7">
        <f>Procurement_Raw!I244</f>
        <v>330.04</v>
      </c>
      <c r="J244" s="7">
        <f>Procurement_Raw!J244</f>
        <v>20132.240000000002</v>
      </c>
      <c r="K244" s="6">
        <f>Procurement_Raw!K244</f>
        <v>60</v>
      </c>
      <c r="L244" t="str">
        <f>Procurement_Raw!L244</f>
        <v>ERP</v>
      </c>
      <c r="M244" s="8">
        <f>Procurement_Raw!M244</f>
        <v>4026.4479999999999</v>
      </c>
      <c r="N244" s="7">
        <f>Procurement_Raw!N244</f>
        <v>20132.240000000002</v>
      </c>
      <c r="O244" s="7">
        <f t="shared" si="6"/>
        <v>20132.240000000002</v>
      </c>
      <c r="P244" t="str">
        <f>IFERROR(INDEX(Supplier_Lookup!$B$2:$B$200,MATCH(E244,Supplier_Lookup!$A$2:$A$200,0)),"Unmapped")</f>
        <v>Utilities</v>
      </c>
      <c r="Q244" s="10">
        <f>IFERROR(INDEX(Category_Targets!$B$2:$B$9,MATCH(F244,Category_Targets!$A$2:$A$9,0)),0)</f>
        <v>0.03</v>
      </c>
      <c r="R244" s="7">
        <f t="shared" si="7"/>
        <v>603.96720000000005</v>
      </c>
    </row>
    <row r="245" spans="1:18" x14ac:dyDescent="0.25">
      <c r="A245" s="5">
        <f>Procurement_Raw!A245</f>
        <v>45833</v>
      </c>
      <c r="B245" t="str">
        <f>Procurement_Raw!B245</f>
        <v>S018</v>
      </c>
      <c r="C245" t="str">
        <f>Procurement_Raw!C245</f>
        <v>Newport Care &amp; Education Centre</v>
      </c>
      <c r="D245" t="str">
        <f>Procurement_Raw!D245</f>
        <v>Wales</v>
      </c>
      <c r="E245" t="str">
        <f>Procurement_Raw!E245</f>
        <v>OfficePlus</v>
      </c>
      <c r="F245" t="str">
        <f>Procurement_Raw!F245</f>
        <v>Office &amp; Training</v>
      </c>
      <c r="G245" t="str">
        <f>Procurement_Raw!G245</f>
        <v>INV-2025-00244</v>
      </c>
      <c r="H245" s="6">
        <f>Procurement_Raw!H245</f>
        <v>11</v>
      </c>
      <c r="I245" s="7">
        <f>Procurement_Raw!I245</f>
        <v>120.74</v>
      </c>
      <c r="J245" s="7">
        <f>Procurement_Raw!J245</f>
        <v>1328.16</v>
      </c>
      <c r="K245" s="6">
        <f>Procurement_Raw!K245</f>
        <v>60</v>
      </c>
      <c r="L245" t="str">
        <f>Procurement_Raw!L245</f>
        <v>Legacy Spend File</v>
      </c>
      <c r="M245" s="8">
        <f>Procurement_Raw!M245</f>
        <v>265.63200000000001</v>
      </c>
      <c r="N245" s="7">
        <f>Procurement_Raw!N245</f>
        <v>1328.16</v>
      </c>
      <c r="O245" s="7">
        <f t="shared" si="6"/>
        <v>1328.16</v>
      </c>
      <c r="P245" t="str">
        <f>IFERROR(INDEX(Supplier_Lookup!$B$2:$B$200,MATCH(E245,Supplier_Lookup!$A$2:$A$200,0)),"Unmapped")</f>
        <v>Office &amp; Training</v>
      </c>
      <c r="Q245" s="10">
        <f>IFERROR(INDEX(Category_Targets!$B$2:$B$9,MATCH(F245,Category_Targets!$A$2:$A$9,0)),0)</f>
        <v>0.04</v>
      </c>
      <c r="R245" s="7">
        <f t="shared" si="7"/>
        <v>53.126400000000004</v>
      </c>
    </row>
    <row r="246" spans="1:18" x14ac:dyDescent="0.25">
      <c r="A246" s="5">
        <f>Procurement_Raw!A246</f>
        <v>46020</v>
      </c>
      <c r="B246" t="str">
        <f>Procurement_Raw!B246</f>
        <v>S018</v>
      </c>
      <c r="C246" t="str">
        <f>Procurement_Raw!C246</f>
        <v>Newport Care &amp; Education Centre</v>
      </c>
      <c r="D246" t="str">
        <f>Procurement_Raw!D246</f>
        <v>Wales</v>
      </c>
      <c r="E246" t="str">
        <f>Procurement_Raw!E246</f>
        <v>MediSure</v>
      </c>
      <c r="F246" t="str">
        <f>Procurement_Raw!F246</f>
        <v>Medical Supplies</v>
      </c>
      <c r="G246" t="str">
        <f>Procurement_Raw!G246</f>
        <v>INV-2025-00245</v>
      </c>
      <c r="H246" s="6">
        <f>Procurement_Raw!H246</f>
        <v>57</v>
      </c>
      <c r="I246" s="7">
        <f>Procurement_Raw!I246</f>
        <v>62.01</v>
      </c>
      <c r="J246" s="7">
        <f>Procurement_Raw!J246</f>
        <v>3534.69</v>
      </c>
      <c r="K246" s="6">
        <f>Procurement_Raw!K246</f>
        <v>45</v>
      </c>
      <c r="L246" t="str">
        <f>Procurement_Raw!L246</f>
        <v>Legacy Spend File</v>
      </c>
      <c r="M246" s="8">
        <f>Procurement_Raw!M246</f>
        <v>706.93799999999999</v>
      </c>
      <c r="N246" s="7">
        <f>Procurement_Raw!N246</f>
        <v>3534.69</v>
      </c>
      <c r="O246" s="7">
        <f t="shared" si="6"/>
        <v>3534.69</v>
      </c>
      <c r="P246" t="str">
        <f>IFERROR(INDEX(Supplier_Lookup!$B$2:$B$200,MATCH(E246,Supplier_Lookup!$A$2:$A$200,0)),"Unmapped")</f>
        <v>Medical Supplies</v>
      </c>
      <c r="Q246" s="10">
        <f>IFERROR(INDEX(Category_Targets!$B$2:$B$9,MATCH(F246,Category_Targets!$A$2:$A$9,0)),0)</f>
        <v>0.06</v>
      </c>
      <c r="R246" s="7">
        <f t="shared" si="7"/>
        <v>212.0814</v>
      </c>
    </row>
    <row r="247" spans="1:18" x14ac:dyDescent="0.25">
      <c r="A247" s="5">
        <f>Procurement_Raw!A247</f>
        <v>45848</v>
      </c>
      <c r="B247" t="str">
        <f>Procurement_Raw!B247</f>
        <v>S020</v>
      </c>
      <c r="C247" t="str">
        <f>Procurement_Raw!C247</f>
        <v>Bangor Care &amp; Education Centre</v>
      </c>
      <c r="D247" t="str">
        <f>Procurement_Raw!D247</f>
        <v>Wales</v>
      </c>
      <c r="E247" t="str">
        <f>Procurement_Raw!E247</f>
        <v>SafeGuard FM</v>
      </c>
      <c r="F247" t="str">
        <f>Procurement_Raw!F247</f>
        <v>Facilities</v>
      </c>
      <c r="G247" t="str">
        <f>Procurement_Raw!G247</f>
        <v>INV-2025-00246</v>
      </c>
      <c r="H247" s="6">
        <f>Procurement_Raw!H247</f>
        <v>37</v>
      </c>
      <c r="I247" s="7">
        <f>Procurement_Raw!I247</f>
        <v>149.75</v>
      </c>
      <c r="J247" s="7">
        <f>Procurement_Raw!J247</f>
        <v>5540.83</v>
      </c>
      <c r="K247" s="6">
        <f>Procurement_Raw!K247</f>
        <v>45</v>
      </c>
      <c r="L247" t="str">
        <f>Procurement_Raw!L247</f>
        <v>Procurement Portal</v>
      </c>
      <c r="M247" s="8">
        <f>Procurement_Raw!M247</f>
        <v>1108.1659999999999</v>
      </c>
      <c r="N247" s="7">
        <f>Procurement_Raw!N247</f>
        <v>5540.83</v>
      </c>
      <c r="O247" s="7">
        <f t="shared" si="6"/>
        <v>5540.83</v>
      </c>
      <c r="P247" t="str">
        <f>IFERROR(INDEX(Supplier_Lookup!$B$2:$B$200,MATCH(E247,Supplier_Lookup!$A$2:$A$200,0)),"Unmapped")</f>
        <v>Facilities</v>
      </c>
      <c r="Q247" s="10">
        <f>IFERROR(INDEX(Category_Targets!$B$2:$B$9,MATCH(F247,Category_Targets!$A$2:$A$9,0)),0)</f>
        <v>0.05</v>
      </c>
      <c r="R247" s="7">
        <f t="shared" si="7"/>
        <v>277.04149999999998</v>
      </c>
    </row>
    <row r="248" spans="1:18" x14ac:dyDescent="0.25">
      <c r="A248" s="5">
        <f>Procurement_Raw!A248</f>
        <v>45989</v>
      </c>
      <c r="B248" t="str">
        <f>Procurement_Raw!B248</f>
        <v>S013</v>
      </c>
      <c r="C248" t="str">
        <f>Procurement_Raw!C248</f>
        <v>Reading Care &amp; Education Centre</v>
      </c>
      <c r="D248" t="str">
        <f>Procurement_Raw!D248</f>
        <v>South</v>
      </c>
      <c r="E248" t="str">
        <f>Procurement_Raw!E248</f>
        <v>ClinEquip</v>
      </c>
      <c r="F248" t="str">
        <f>Procurement_Raw!F248</f>
        <v>Medical Supplies</v>
      </c>
      <c r="G248" t="str">
        <f>Procurement_Raw!G248</f>
        <v>INV-2025-00247</v>
      </c>
      <c r="H248" s="6">
        <f>Procurement_Raw!H248</f>
        <v>43</v>
      </c>
      <c r="I248" s="7">
        <f>Procurement_Raw!I248</f>
        <v>92.41</v>
      </c>
      <c r="J248" s="7">
        <f>Procurement_Raw!J248</f>
        <v>3973.78</v>
      </c>
      <c r="K248" s="6">
        <f>Procurement_Raw!K248</f>
        <v>30</v>
      </c>
      <c r="L248" t="str">
        <f>Procurement_Raw!L248</f>
        <v>Procurement Portal</v>
      </c>
      <c r="M248" s="8">
        <f>Procurement_Raw!M248</f>
        <v>794.75599999999997</v>
      </c>
      <c r="N248" s="7">
        <f>Procurement_Raw!N248</f>
        <v>3973.78</v>
      </c>
      <c r="O248" s="7">
        <f t="shared" si="6"/>
        <v>3973.78</v>
      </c>
      <c r="P248" t="str">
        <f>IFERROR(INDEX(Supplier_Lookup!$B$2:$B$200,MATCH(E248,Supplier_Lookup!$A$2:$A$200,0)),"Unmapped")</f>
        <v>Medical Supplies</v>
      </c>
      <c r="Q248" s="10">
        <f>IFERROR(INDEX(Category_Targets!$B$2:$B$9,MATCH(F248,Category_Targets!$A$2:$A$9,0)),0)</f>
        <v>0.06</v>
      </c>
      <c r="R248" s="7">
        <f t="shared" si="7"/>
        <v>238.42680000000001</v>
      </c>
    </row>
    <row r="249" spans="1:18" x14ac:dyDescent="0.25">
      <c r="A249" s="5">
        <f>Procurement_Raw!A249</f>
        <v>45787</v>
      </c>
      <c r="B249" t="str">
        <f>Procurement_Raw!B249</f>
        <v>S003</v>
      </c>
      <c r="C249" t="str">
        <f>Procurement_Raw!C249</f>
        <v>Leeds Care &amp; Education Centre</v>
      </c>
      <c r="D249" t="str">
        <f>Procurement_Raw!D249</f>
        <v>North</v>
      </c>
      <c r="E249" t="str">
        <f>Procurement_Raw!E249</f>
        <v>CareTemps</v>
      </c>
      <c r="F249" t="str">
        <f>Procurement_Raw!F249</f>
        <v>Agency Labour</v>
      </c>
      <c r="G249" t="str">
        <f>Procurement_Raw!G249</f>
        <v>INV-2025-00248</v>
      </c>
      <c r="H249" s="6">
        <f>Procurement_Raw!H249</f>
        <v>78</v>
      </c>
      <c r="I249" s="7">
        <f>Procurement_Raw!I249</f>
        <v>209.44</v>
      </c>
      <c r="J249" s="7">
        <f>Procurement_Raw!J249</f>
        <v>16336.55</v>
      </c>
      <c r="K249" s="6">
        <f>Procurement_Raw!K249</f>
        <v>30</v>
      </c>
      <c r="L249" t="str">
        <f>Procurement_Raw!L249</f>
        <v>Procurement Portal</v>
      </c>
      <c r="M249" s="8">
        <f>Procurement_Raw!M249</f>
        <v>3267.31</v>
      </c>
      <c r="N249" s="7">
        <f>Procurement_Raw!N249</f>
        <v>16336.55</v>
      </c>
      <c r="O249" s="7">
        <f t="shared" si="6"/>
        <v>16336.55</v>
      </c>
      <c r="P249" t="str">
        <f>IFERROR(INDEX(Supplier_Lookup!$B$2:$B$200,MATCH(E249,Supplier_Lookup!$A$2:$A$200,0)),"Unmapped")</f>
        <v>Agency Labour</v>
      </c>
      <c r="Q249" s="10">
        <f>IFERROR(INDEX(Category_Targets!$B$2:$B$9,MATCH(F249,Category_Targets!$A$2:$A$9,0)),0)</f>
        <v>7.0000000000000007E-2</v>
      </c>
      <c r="R249" s="7">
        <f t="shared" si="7"/>
        <v>1143.5585000000001</v>
      </c>
    </row>
    <row r="250" spans="1:18" x14ac:dyDescent="0.25">
      <c r="A250" s="5">
        <f>Procurement_Raw!A250</f>
        <v>45816</v>
      </c>
      <c r="B250" t="str">
        <f>Procurement_Raw!B250</f>
        <v>S017</v>
      </c>
      <c r="C250" t="str">
        <f>Procurement_Raw!C250</f>
        <v>Swansea Care &amp; Education Centre</v>
      </c>
      <c r="D250" t="str">
        <f>Procurement_Raw!D250</f>
        <v>Wales</v>
      </c>
      <c r="E250" t="str">
        <f>Procurement_Raw!E250</f>
        <v>SafeGuard FM</v>
      </c>
      <c r="F250" t="str">
        <f>Procurement_Raw!F250</f>
        <v>Facilities</v>
      </c>
      <c r="G250" t="str">
        <f>Procurement_Raw!G250</f>
        <v>INV-2025-00249</v>
      </c>
      <c r="H250" s="6">
        <f>Procurement_Raw!H250</f>
        <v>51</v>
      </c>
      <c r="I250" s="7">
        <f>Procurement_Raw!I250</f>
        <v>475.3</v>
      </c>
      <c r="J250" s="7">
        <f>Procurement_Raw!J250</f>
        <v>24240.55</v>
      </c>
      <c r="K250" s="6">
        <f>Procurement_Raw!K250</f>
        <v>30</v>
      </c>
      <c r="L250" t="str">
        <f>Procurement_Raw!L250</f>
        <v>Legacy Spend File</v>
      </c>
      <c r="M250" s="8">
        <f>Procurement_Raw!M250</f>
        <v>4848.1099999999997</v>
      </c>
      <c r="N250" s="7">
        <f>Procurement_Raw!N250</f>
        <v>24240.55</v>
      </c>
      <c r="O250" s="7">
        <f t="shared" si="6"/>
        <v>24240.55</v>
      </c>
      <c r="P250" t="str">
        <f>IFERROR(INDEX(Supplier_Lookup!$B$2:$B$200,MATCH(E250,Supplier_Lookup!$A$2:$A$200,0)),"Unmapped")</f>
        <v>Facilities</v>
      </c>
      <c r="Q250" s="10">
        <f>IFERROR(INDEX(Category_Targets!$B$2:$B$9,MATCH(F250,Category_Targets!$A$2:$A$9,0)),0)</f>
        <v>0.05</v>
      </c>
      <c r="R250" s="7">
        <f t="shared" si="7"/>
        <v>1212.0274999999999</v>
      </c>
    </row>
    <row r="251" spans="1:18" x14ac:dyDescent="0.25">
      <c r="A251" s="5">
        <f>Procurement_Raw!A251</f>
        <v>45944</v>
      </c>
      <c r="B251" t="str">
        <f>Procurement_Raw!B251</f>
        <v>S007</v>
      </c>
      <c r="C251" t="str">
        <f>Procurement_Raw!C251</f>
        <v>Nottingham Care &amp; Education Centre</v>
      </c>
      <c r="D251" t="str">
        <f>Procurement_Raw!D251</f>
        <v>Midlands</v>
      </c>
      <c r="E251" t="str">
        <f>Procurement_Raw!E251</f>
        <v>NourishCo</v>
      </c>
      <c r="F251" t="str">
        <f>Procurement_Raw!F251</f>
        <v>Food &amp; Catering</v>
      </c>
      <c r="G251" t="str">
        <f>Procurement_Raw!G251</f>
        <v>INV-2025-00250</v>
      </c>
      <c r="H251" s="6">
        <f>Procurement_Raw!H251</f>
        <v>49</v>
      </c>
      <c r="I251" s="7">
        <f>Procurement_Raw!I251</f>
        <v>81.22</v>
      </c>
      <c r="J251" s="7">
        <f>Procurement_Raw!J251</f>
        <v>3979.64</v>
      </c>
      <c r="K251" s="6">
        <f>Procurement_Raw!K251</f>
        <v>60</v>
      </c>
      <c r="L251" t="str">
        <f>Procurement_Raw!L251</f>
        <v>Procurement Portal</v>
      </c>
      <c r="M251" s="8">
        <f>Procurement_Raw!M251</f>
        <v>795.928</v>
      </c>
      <c r="N251" s="7">
        <f>Procurement_Raw!N251</f>
        <v>3979.64</v>
      </c>
      <c r="O251" s="7">
        <f t="shared" si="6"/>
        <v>3979.64</v>
      </c>
      <c r="P251" t="str">
        <f>IFERROR(INDEX(Supplier_Lookup!$B$2:$B$200,MATCH(E251,Supplier_Lookup!$A$2:$A$200,0)),"Unmapped")</f>
        <v>Food &amp; Catering</v>
      </c>
      <c r="Q251" s="10">
        <f>IFERROR(INDEX(Category_Targets!$B$2:$B$9,MATCH(F251,Category_Targets!$A$2:$A$9,0)),0)</f>
        <v>0.04</v>
      </c>
      <c r="R251" s="7">
        <f t="shared" si="7"/>
        <v>159.18559999999999</v>
      </c>
    </row>
    <row r="252" spans="1:18" x14ac:dyDescent="0.25">
      <c r="A252" s="5">
        <f>Procurement_Raw!A252</f>
        <v>46001</v>
      </c>
      <c r="B252" t="str">
        <f>Procurement_Raw!B252</f>
        <v>S020</v>
      </c>
      <c r="C252" t="str">
        <f>Procurement_Raw!C252</f>
        <v>Bangor Care &amp; Education Centre</v>
      </c>
      <c r="D252" t="str">
        <f>Procurement_Raw!D252</f>
        <v>Wales</v>
      </c>
      <c r="E252" t="str">
        <f>Procurement_Raw!E252</f>
        <v>KitchenPro</v>
      </c>
      <c r="F252" t="str">
        <f>Procurement_Raw!F252</f>
        <v>Food &amp; Catering</v>
      </c>
      <c r="G252" t="str">
        <f>Procurement_Raw!G252</f>
        <v>INV-2025-00249</v>
      </c>
      <c r="H252" s="6">
        <f>Procurement_Raw!H252</f>
        <v>55</v>
      </c>
      <c r="I252" s="7">
        <f>Procurement_Raw!I252</f>
        <v>32.49</v>
      </c>
      <c r="J252" s="7">
        <f>Procurement_Raw!J252</f>
        <v>1786.89</v>
      </c>
      <c r="K252" s="6">
        <f>Procurement_Raw!K252</f>
        <v>60</v>
      </c>
      <c r="L252" t="str">
        <f>Procurement_Raw!L252</f>
        <v>Procurement Portal</v>
      </c>
      <c r="M252" s="8">
        <f>Procurement_Raw!M252</f>
        <v>357.37799999999999</v>
      </c>
      <c r="N252" s="7">
        <f>Procurement_Raw!N252</f>
        <v>1786.89</v>
      </c>
      <c r="O252" s="7">
        <f t="shared" si="6"/>
        <v>1786.89</v>
      </c>
      <c r="P252" t="str">
        <f>IFERROR(INDEX(Supplier_Lookup!$B$2:$B$200,MATCH(E252,Supplier_Lookup!$A$2:$A$200,0)),"Unmapped")</f>
        <v>Food &amp; Catering</v>
      </c>
      <c r="Q252" s="10">
        <f>IFERROR(INDEX(Category_Targets!$B$2:$B$9,MATCH(F252,Category_Targets!$A$2:$A$9,0)),0)</f>
        <v>0.04</v>
      </c>
      <c r="R252" s="7">
        <f t="shared" si="7"/>
        <v>71.4756</v>
      </c>
    </row>
    <row r="253" spans="1:18" x14ac:dyDescent="0.25">
      <c r="A253" s="5">
        <f>Procurement_Raw!A253</f>
        <v>45750</v>
      </c>
      <c r="B253" t="str">
        <f>Procurement_Raw!B253</f>
        <v>S007</v>
      </c>
      <c r="C253" t="str">
        <f>Procurement_Raw!C253</f>
        <v>Nottingham Care &amp; Education Centre</v>
      </c>
      <c r="D253" t="str">
        <f>Procurement_Raw!D253</f>
        <v>Midlands</v>
      </c>
      <c r="E253" t="str">
        <f>Procurement_Raw!E253</f>
        <v>RoadReady</v>
      </c>
      <c r="F253" t="str">
        <f>Procurement_Raw!F253</f>
        <v>Vehicle &amp; Fuel</v>
      </c>
      <c r="G253" t="str">
        <f>Procurement_Raw!G253</f>
        <v>INV-2025-00252</v>
      </c>
      <c r="H253" s="6">
        <f>Procurement_Raw!H253</f>
        <v>28</v>
      </c>
      <c r="I253" s="7">
        <f>Procurement_Raw!I253</f>
        <v>157.38999999999999</v>
      </c>
      <c r="J253" s="7">
        <f>Procurement_Raw!J253</f>
        <v>4406.8100000000004</v>
      </c>
      <c r="K253" s="6">
        <f>Procurement_Raw!K253</f>
        <v>45</v>
      </c>
      <c r="L253" t="str">
        <f>Procurement_Raw!L253</f>
        <v>Procurement Portal</v>
      </c>
      <c r="M253" s="8">
        <f>Procurement_Raw!M253</f>
        <v>881.36199999999997</v>
      </c>
      <c r="N253" s="7">
        <f>Procurement_Raw!N253</f>
        <v>4406.8100000000004</v>
      </c>
      <c r="O253" s="7">
        <f t="shared" si="6"/>
        <v>4406.8100000000004</v>
      </c>
      <c r="P253" t="str">
        <f>IFERROR(INDEX(Supplier_Lookup!$B$2:$B$200,MATCH(E253,Supplier_Lookup!$A$2:$A$200,0)),"Unmapped")</f>
        <v>Vehicle &amp; Fuel</v>
      </c>
      <c r="Q253" s="10">
        <f>IFERROR(INDEX(Category_Targets!$B$2:$B$9,MATCH(F253,Category_Targets!$A$2:$A$9,0)),0)</f>
        <v>0.05</v>
      </c>
      <c r="R253" s="7">
        <f t="shared" si="7"/>
        <v>220.34050000000002</v>
      </c>
    </row>
    <row r="254" spans="1:18" x14ac:dyDescent="0.25">
      <c r="A254" s="5">
        <f>Procurement_Raw!A254</f>
        <v>45737</v>
      </c>
      <c r="B254" t="str">
        <f>Procurement_Raw!B254</f>
        <v>S006</v>
      </c>
      <c r="C254" t="str">
        <f>Procurement_Raw!C254</f>
        <v>Birmingham Care &amp; Education Centre</v>
      </c>
      <c r="D254" t="str">
        <f>Procurement_Raw!D254</f>
        <v>Midlands</v>
      </c>
      <c r="E254" t="str">
        <f>Procurement_Raw!E254</f>
        <v>UK Energy Partners</v>
      </c>
      <c r="F254" t="str">
        <f>Procurement_Raw!F254</f>
        <v>Utilities</v>
      </c>
      <c r="G254" t="str">
        <f>Procurement_Raw!G254</f>
        <v>INV-2025-00253</v>
      </c>
      <c r="H254" s="6">
        <f>Procurement_Raw!H254</f>
        <v>10</v>
      </c>
      <c r="I254" s="7">
        <f>Procurement_Raw!I254</f>
        <v>803.23</v>
      </c>
      <c r="J254" s="7">
        <f>Procurement_Raw!J254</f>
        <v>8032.35</v>
      </c>
      <c r="K254" s="6">
        <f>Procurement_Raw!K254</f>
        <v>45</v>
      </c>
      <c r="L254" t="str">
        <f>Procurement_Raw!L254</f>
        <v>ERP</v>
      </c>
      <c r="M254" s="8">
        <f>Procurement_Raw!M254</f>
        <v>1606.47</v>
      </c>
      <c r="N254" s="7">
        <f>Procurement_Raw!N254</f>
        <v>8032.35</v>
      </c>
      <c r="O254" s="7">
        <f t="shared" si="6"/>
        <v>8032.35</v>
      </c>
      <c r="P254" t="str">
        <f>IFERROR(INDEX(Supplier_Lookup!$B$2:$B$200,MATCH(E254,Supplier_Lookup!$A$2:$A$200,0)),"Unmapped")</f>
        <v>Utilities</v>
      </c>
      <c r="Q254" s="10">
        <f>IFERROR(INDEX(Category_Targets!$B$2:$B$9,MATCH(F254,Category_Targets!$A$2:$A$9,0)),0)</f>
        <v>0.03</v>
      </c>
      <c r="R254" s="7">
        <f t="shared" si="7"/>
        <v>240.97050000000002</v>
      </c>
    </row>
    <row r="255" spans="1:18" x14ac:dyDescent="0.25">
      <c r="A255" s="5">
        <f>Procurement_Raw!A255</f>
        <v>45830</v>
      </c>
      <c r="B255" t="str">
        <f>Procurement_Raw!B255</f>
        <v>S020</v>
      </c>
      <c r="C255" t="str">
        <f>Procurement_Raw!C255</f>
        <v>Bangor Care &amp; Education Centre</v>
      </c>
      <c r="D255" t="str">
        <f>Procurement_Raw!D255</f>
        <v>Wales</v>
      </c>
      <c r="E255" t="str">
        <f>Procurement_Raw!E255</f>
        <v>ClinEquip</v>
      </c>
      <c r="F255" t="str">
        <f>Procurement_Raw!F255</f>
        <v>Medical Supplies</v>
      </c>
      <c r="G255" t="str">
        <f>Procurement_Raw!G255</f>
        <v>INV-2025-00254</v>
      </c>
      <c r="H255" s="6">
        <f>Procurement_Raw!H255</f>
        <v>80</v>
      </c>
      <c r="I255" s="7">
        <f>Procurement_Raw!I255</f>
        <v>211.74</v>
      </c>
      <c r="J255" s="7">
        <f>Procurement_Raw!J255</f>
        <v>16939.009999999998</v>
      </c>
      <c r="K255" s="6">
        <f>Procurement_Raw!K255</f>
        <v>30</v>
      </c>
      <c r="L255" t="str">
        <f>Procurement_Raw!L255</f>
        <v>Legacy Spend File</v>
      </c>
      <c r="M255" s="8">
        <f>Procurement_Raw!M255</f>
        <v>3387.8020000000001</v>
      </c>
      <c r="N255" s="7">
        <f>Procurement_Raw!N255</f>
        <v>16939.009999999998</v>
      </c>
      <c r="O255" s="7">
        <f t="shared" si="6"/>
        <v>16939.009999999998</v>
      </c>
      <c r="P255" t="str">
        <f>IFERROR(INDEX(Supplier_Lookup!$B$2:$B$200,MATCH(E255,Supplier_Lookup!$A$2:$A$200,0)),"Unmapped")</f>
        <v>Medical Supplies</v>
      </c>
      <c r="Q255" s="10">
        <f>IFERROR(INDEX(Category_Targets!$B$2:$B$9,MATCH(F255,Category_Targets!$A$2:$A$9,0)),0)</f>
        <v>0.06</v>
      </c>
      <c r="R255" s="7">
        <f t="shared" si="7"/>
        <v>1016.3405999999999</v>
      </c>
    </row>
    <row r="256" spans="1:18" x14ac:dyDescent="0.25">
      <c r="A256" s="5">
        <f>Procurement_Raw!A256</f>
        <v>45750</v>
      </c>
      <c r="B256" t="str">
        <f>Procurement_Raw!B256</f>
        <v>S009</v>
      </c>
      <c r="C256" t="str">
        <f>Procurement_Raw!C256</f>
        <v>Derby Care &amp; Education Centre</v>
      </c>
      <c r="D256" t="str">
        <f>Procurement_Raw!D256</f>
        <v>Midlands</v>
      </c>
      <c r="E256" t="str">
        <f>Procurement_Raw!E256</f>
        <v>CleanWorks</v>
      </c>
      <c r="F256" t="str">
        <f>Procurement_Raw!F256</f>
        <v>Facilities</v>
      </c>
      <c r="G256" t="str">
        <f>Procurement_Raw!G256</f>
        <v>INV-2025-00255</v>
      </c>
      <c r="H256" s="6">
        <f>Procurement_Raw!H256</f>
        <v>80</v>
      </c>
      <c r="I256" s="7">
        <f>Procurement_Raw!I256</f>
        <v>78.05</v>
      </c>
      <c r="J256" s="7">
        <f>Procurement_Raw!J256</f>
        <v>6243.71</v>
      </c>
      <c r="K256" s="6">
        <f>Procurement_Raw!K256</f>
        <v>30</v>
      </c>
      <c r="L256" t="str">
        <f>Procurement_Raw!L256</f>
        <v>Legacy Spend File</v>
      </c>
      <c r="M256" s="8">
        <f>Procurement_Raw!M256</f>
        <v>1248.742</v>
      </c>
      <c r="N256" s="7">
        <f>Procurement_Raw!N256</f>
        <v>6243.71</v>
      </c>
      <c r="O256" s="7">
        <f t="shared" si="6"/>
        <v>6243.71</v>
      </c>
      <c r="P256" t="str">
        <f>IFERROR(INDEX(Supplier_Lookup!$B$2:$B$200,MATCH(E256,Supplier_Lookup!$A$2:$A$200,0)),"Unmapped")</f>
        <v>Facilities</v>
      </c>
      <c r="Q256" s="10">
        <f>IFERROR(INDEX(Category_Targets!$B$2:$B$9,MATCH(F256,Category_Targets!$A$2:$A$9,0)),0)</f>
        <v>0.05</v>
      </c>
      <c r="R256" s="7">
        <f t="shared" si="7"/>
        <v>312.18550000000005</v>
      </c>
    </row>
    <row r="257" spans="1:18" x14ac:dyDescent="0.25">
      <c r="A257" s="5">
        <f>Procurement_Raw!A257</f>
        <v>45844</v>
      </c>
      <c r="B257" t="str">
        <f>Procurement_Raw!B257</f>
        <v>S011</v>
      </c>
      <c r="C257" t="str">
        <f>Procurement_Raw!C257</f>
        <v>London Care &amp; Education Centre</v>
      </c>
      <c r="D257" t="str">
        <f>Procurement_Raw!D257</f>
        <v>South</v>
      </c>
      <c r="E257" t="str">
        <f>Procurement_Raw!E257</f>
        <v>CareMed</v>
      </c>
      <c r="F257" t="str">
        <f>Procurement_Raw!F257</f>
        <v>Medical Supplies</v>
      </c>
      <c r="G257" t="str">
        <f>Procurement_Raw!G257</f>
        <v>INV-2025-00256</v>
      </c>
      <c r="H257" s="6">
        <f>Procurement_Raw!H257</f>
        <v>31</v>
      </c>
      <c r="I257" s="7">
        <f>Procurement_Raw!I257</f>
        <v>91.94</v>
      </c>
      <c r="J257" s="7">
        <f>Procurement_Raw!J257</f>
        <v>2850.22</v>
      </c>
      <c r="K257" s="6">
        <f>Procurement_Raw!K257</f>
        <v>45</v>
      </c>
      <c r="L257" t="str">
        <f>Procurement_Raw!L257</f>
        <v>Legacy Spend File</v>
      </c>
      <c r="M257" s="8">
        <f>Procurement_Raw!M257</f>
        <v>570.04399999999998</v>
      </c>
      <c r="N257" s="7">
        <f>Procurement_Raw!N257</f>
        <v>2850.22</v>
      </c>
      <c r="O257" s="7">
        <f t="shared" si="6"/>
        <v>2850.22</v>
      </c>
      <c r="P257" t="str">
        <f>IFERROR(INDEX(Supplier_Lookup!$B$2:$B$200,MATCH(E257,Supplier_Lookup!$A$2:$A$200,0)),"Unmapped")</f>
        <v>Medical Supplies</v>
      </c>
      <c r="Q257" s="10">
        <f>IFERROR(INDEX(Category_Targets!$B$2:$B$9,MATCH(F257,Category_Targets!$A$2:$A$9,0)),0)</f>
        <v>0.06</v>
      </c>
      <c r="R257" s="7">
        <f t="shared" si="7"/>
        <v>171.01319999999998</v>
      </c>
    </row>
    <row r="258" spans="1:18" x14ac:dyDescent="0.25">
      <c r="A258" s="5">
        <f>Procurement_Raw!A258</f>
        <v>45931</v>
      </c>
      <c r="B258" t="str">
        <f>Procurement_Raw!B258</f>
        <v>S001</v>
      </c>
      <c r="C258" t="str">
        <f>Procurement_Raw!C258</f>
        <v>Preston Care &amp; Education Centre</v>
      </c>
      <c r="D258" t="str">
        <f>Procurement_Raw!D258</f>
        <v>North</v>
      </c>
      <c r="E258" t="str">
        <f>Procurement_Raw!E258</f>
        <v>OfficePlus</v>
      </c>
      <c r="F258" t="str">
        <f>Procurement_Raw!F258</f>
        <v>Office &amp; Training</v>
      </c>
      <c r="G258" t="str">
        <f>Procurement_Raw!G258</f>
        <v>INV-2025-00257</v>
      </c>
      <c r="H258" s="6">
        <f>Procurement_Raw!H258</f>
        <v>31</v>
      </c>
      <c r="I258" s="7">
        <f>Procurement_Raw!I258</f>
        <v>150.55000000000001</v>
      </c>
      <c r="J258" s="7">
        <f>Procurement_Raw!J258</f>
        <v>4667.0200000000004</v>
      </c>
      <c r="K258" s="6">
        <f>Procurement_Raw!K258</f>
        <v>45</v>
      </c>
      <c r="L258" t="str">
        <f>Procurement_Raw!L258</f>
        <v>Procurement Portal</v>
      </c>
      <c r="M258" s="8">
        <f>Procurement_Raw!M258</f>
        <v>933.404</v>
      </c>
      <c r="N258" s="7">
        <f>Procurement_Raw!N258</f>
        <v>4667.0200000000004</v>
      </c>
      <c r="O258" s="7">
        <f t="shared" ref="O258:O321" si="8">IFERROR(IF(J258="","",J258),0)</f>
        <v>4667.0200000000004</v>
      </c>
      <c r="P258" t="str">
        <f>IFERROR(INDEX(Supplier_Lookup!$B$2:$B$200,MATCH(E258,Supplier_Lookup!$A$2:$A$200,0)),"Unmapped")</f>
        <v>Office &amp; Training</v>
      </c>
      <c r="Q258" s="10">
        <f>IFERROR(INDEX(Category_Targets!$B$2:$B$9,MATCH(F258,Category_Targets!$A$2:$A$9,0)),0)</f>
        <v>0.04</v>
      </c>
      <c r="R258" s="7">
        <f t="shared" ref="R258:R321" si="9">O258*Q258</f>
        <v>186.68080000000003</v>
      </c>
    </row>
    <row r="259" spans="1:18" x14ac:dyDescent="0.25">
      <c r="A259" s="5">
        <f>Procurement_Raw!A259</f>
        <v>45950</v>
      </c>
      <c r="B259" t="str">
        <f>Procurement_Raw!B259</f>
        <v>S016</v>
      </c>
      <c r="C259" t="str">
        <f>Procurement_Raw!C259</f>
        <v>Cardiff Care &amp; Education Centre</v>
      </c>
      <c r="D259" t="str">
        <f>Procurement_Raw!D259</f>
        <v>Wales</v>
      </c>
      <c r="E259" t="str">
        <f>Procurement_Raw!E259</f>
        <v>AutoCare</v>
      </c>
      <c r="F259" t="str">
        <f>Procurement_Raw!F259</f>
        <v>Vehicle &amp; Fuel</v>
      </c>
      <c r="G259" t="str">
        <f>Procurement_Raw!G259</f>
        <v>INV-2025-00258</v>
      </c>
      <c r="H259" s="6">
        <f>Procurement_Raw!H259</f>
        <v>57</v>
      </c>
      <c r="I259" s="7">
        <f>Procurement_Raw!I259</f>
        <v>64.37</v>
      </c>
      <c r="J259" s="7">
        <f>Procurement_Raw!J259</f>
        <v>3669.13</v>
      </c>
      <c r="K259" s="6">
        <f>Procurement_Raw!K259</f>
        <v>45</v>
      </c>
      <c r="L259" t="str">
        <f>Procurement_Raw!L259</f>
        <v>Procurement Portal</v>
      </c>
      <c r="M259" s="8">
        <f>Procurement_Raw!M259</f>
        <v>733.82600000000002</v>
      </c>
      <c r="N259" s="7">
        <f>Procurement_Raw!N259</f>
        <v>3669.13</v>
      </c>
      <c r="O259" s="7">
        <f t="shared" si="8"/>
        <v>3669.13</v>
      </c>
      <c r="P259" t="str">
        <f>IFERROR(INDEX(Supplier_Lookup!$B$2:$B$200,MATCH(E259,Supplier_Lookup!$A$2:$A$200,0)),"Unmapped")</f>
        <v>Vehicle &amp; Fuel</v>
      </c>
      <c r="Q259" s="10">
        <f>IFERROR(INDEX(Category_Targets!$B$2:$B$9,MATCH(F259,Category_Targets!$A$2:$A$9,0)),0)</f>
        <v>0.05</v>
      </c>
      <c r="R259" s="7">
        <f t="shared" si="9"/>
        <v>183.45650000000001</v>
      </c>
    </row>
    <row r="260" spans="1:18" x14ac:dyDescent="0.25">
      <c r="A260" s="5">
        <f>Procurement_Raw!A260</f>
        <v>45760</v>
      </c>
      <c r="B260" t="str">
        <f>Procurement_Raw!B260</f>
        <v>S017</v>
      </c>
      <c r="C260" t="str">
        <f>Procurement_Raw!C260</f>
        <v>Swansea Care &amp; Education Centre</v>
      </c>
      <c r="D260" t="str">
        <f>Procurement_Raw!D260</f>
        <v>Wales</v>
      </c>
      <c r="E260" t="str">
        <f>Procurement_Raw!E260</f>
        <v>HealthStaffing</v>
      </c>
      <c r="F260" t="str">
        <f>Procurement_Raw!F260</f>
        <v>Agency Labour</v>
      </c>
      <c r="G260" t="str">
        <f>Procurement_Raw!G260</f>
        <v>INV-2025-00259</v>
      </c>
      <c r="H260" s="6">
        <f>Procurement_Raw!H260</f>
        <v>78</v>
      </c>
      <c r="I260" s="7">
        <f>Procurement_Raw!I260</f>
        <v>382.94</v>
      </c>
      <c r="J260" s="7">
        <f>Procurement_Raw!J260</f>
        <v>29869.46</v>
      </c>
      <c r="K260" s="6">
        <f>Procurement_Raw!K260</f>
        <v>30</v>
      </c>
      <c r="L260" t="str">
        <f>Procurement_Raw!L260</f>
        <v>Procurement Portal</v>
      </c>
      <c r="M260" s="8">
        <f>Procurement_Raw!M260</f>
        <v>5973.8919999999998</v>
      </c>
      <c r="N260" s="7">
        <f>Procurement_Raw!N260</f>
        <v>29869.46</v>
      </c>
      <c r="O260" s="7">
        <f t="shared" si="8"/>
        <v>29869.46</v>
      </c>
      <c r="P260" t="str">
        <f>IFERROR(INDEX(Supplier_Lookup!$B$2:$B$200,MATCH(E260,Supplier_Lookup!$A$2:$A$200,0)),"Unmapped")</f>
        <v>Agency Labour</v>
      </c>
      <c r="Q260" s="10">
        <f>IFERROR(INDEX(Category_Targets!$B$2:$B$9,MATCH(F260,Category_Targets!$A$2:$A$9,0)),0)</f>
        <v>7.0000000000000007E-2</v>
      </c>
      <c r="R260" s="7">
        <f t="shared" si="9"/>
        <v>2090.8622</v>
      </c>
    </row>
    <row r="261" spans="1:18" x14ac:dyDescent="0.25">
      <c r="A261" s="5">
        <f>Procurement_Raw!A261</f>
        <v>45941</v>
      </c>
      <c r="B261" t="str">
        <f>Procurement_Raw!B261</f>
        <v>S020</v>
      </c>
      <c r="C261" t="str">
        <f>Procurement_Raw!C261</f>
        <v>Bangor Care &amp; Education Centre</v>
      </c>
      <c r="D261" t="str">
        <f>Procurement_Raw!D261</f>
        <v>Wales</v>
      </c>
      <c r="E261" t="str">
        <f>Procurement_Raw!E261</f>
        <v>LearnWell</v>
      </c>
      <c r="F261" t="str">
        <f>Procurement_Raw!F261</f>
        <v>Office &amp; Training</v>
      </c>
      <c r="G261" t="str">
        <f>Procurement_Raw!G261</f>
        <v>INV-2025-00260</v>
      </c>
      <c r="H261" s="6">
        <f>Procurement_Raw!H261</f>
        <v>14</v>
      </c>
      <c r="I261" s="7">
        <f>Procurement_Raw!I261</f>
        <v>114.84</v>
      </c>
      <c r="J261" s="7">
        <f>Procurement_Raw!J261</f>
        <v>1607.76</v>
      </c>
      <c r="K261" s="6">
        <f>Procurement_Raw!K261</f>
        <v>60</v>
      </c>
      <c r="L261" t="str">
        <f>Procurement_Raw!L261</f>
        <v>Legacy Spend File</v>
      </c>
      <c r="M261" s="8">
        <f>Procurement_Raw!M261</f>
        <v>321.55200000000002</v>
      </c>
      <c r="N261" s="7">
        <f>Procurement_Raw!N261</f>
        <v>1607.76</v>
      </c>
      <c r="O261" s="7">
        <f t="shared" si="8"/>
        <v>1607.76</v>
      </c>
      <c r="P261" t="str">
        <f>IFERROR(INDEX(Supplier_Lookup!$B$2:$B$200,MATCH(E261,Supplier_Lookup!$A$2:$A$200,0)),"Unmapped")</f>
        <v>Office &amp; Training</v>
      </c>
      <c r="Q261" s="10">
        <f>IFERROR(INDEX(Category_Targets!$B$2:$B$9,MATCH(F261,Category_Targets!$A$2:$A$9,0)),0)</f>
        <v>0.04</v>
      </c>
      <c r="R261" s="7">
        <f t="shared" si="9"/>
        <v>64.310400000000001</v>
      </c>
    </row>
    <row r="262" spans="1:18" x14ac:dyDescent="0.25">
      <c r="A262" s="5">
        <f>Procurement_Raw!A262</f>
        <v>45740</v>
      </c>
      <c r="B262" t="str">
        <f>Procurement_Raw!B262</f>
        <v>S020</v>
      </c>
      <c r="C262" t="str">
        <f>Procurement_Raw!C262</f>
        <v>Bangor Care &amp; Education Centre</v>
      </c>
      <c r="D262" t="str">
        <f>Procurement_Raw!D262</f>
        <v>Wales</v>
      </c>
      <c r="E262" t="str">
        <f>Procurement_Raw!E262</f>
        <v>CloudLink</v>
      </c>
      <c r="F262" t="str">
        <f>Procurement_Raw!F262</f>
        <v>IT &amp; Telecoms</v>
      </c>
      <c r="G262" t="str">
        <f>Procurement_Raw!G262</f>
        <v>INV-2025-00261</v>
      </c>
      <c r="H262" s="6">
        <f>Procurement_Raw!H262</f>
        <v>35</v>
      </c>
      <c r="I262" s="7">
        <f>Procurement_Raw!I262</f>
        <v>132.13</v>
      </c>
      <c r="J262" s="7">
        <f>Procurement_Raw!J262</f>
        <v>4624.6899999999996</v>
      </c>
      <c r="K262" s="6">
        <f>Procurement_Raw!K262</f>
        <v>45</v>
      </c>
      <c r="L262" t="str">
        <f>Procurement_Raw!L262</f>
        <v>Legacy Spend File</v>
      </c>
      <c r="M262" s="8">
        <f>Procurement_Raw!M262</f>
        <v>924.93799999999999</v>
      </c>
      <c r="N262" s="7">
        <f>Procurement_Raw!N262</f>
        <v>4624.6899999999996</v>
      </c>
      <c r="O262" s="7">
        <f t="shared" si="8"/>
        <v>4624.6899999999996</v>
      </c>
      <c r="P262" t="str">
        <f>IFERROR(INDEX(Supplier_Lookup!$B$2:$B$200,MATCH(E262,Supplier_Lookup!$A$2:$A$200,0)),"Unmapped")</f>
        <v>medical supplies</v>
      </c>
      <c r="Q262" s="10">
        <f>IFERROR(INDEX(Category_Targets!$B$2:$B$9,MATCH(F262,Category_Targets!$A$2:$A$9,0)),0)</f>
        <v>0.08</v>
      </c>
      <c r="R262" s="7">
        <f t="shared" si="9"/>
        <v>369.97519999999997</v>
      </c>
    </row>
    <row r="263" spans="1:18" x14ac:dyDescent="0.25">
      <c r="A263" s="5">
        <f>Procurement_Raw!A263</f>
        <v>45771</v>
      </c>
      <c r="B263" t="str">
        <f>Procurement_Raw!B263</f>
        <v>S017</v>
      </c>
      <c r="C263" t="str">
        <f>Procurement_Raw!C263</f>
        <v>Swansea Care &amp; Education Centre</v>
      </c>
      <c r="D263" t="str">
        <f>Procurement_Raw!D263</f>
        <v>Wales</v>
      </c>
      <c r="E263" t="str">
        <f>Procurement_Raw!E263</f>
        <v>HealthStaffing</v>
      </c>
      <c r="F263" t="str">
        <f>Procurement_Raw!F263</f>
        <v>Agency Labour</v>
      </c>
      <c r="G263" t="str">
        <f>Procurement_Raw!G263</f>
        <v>INV-2025-00262</v>
      </c>
      <c r="H263" s="6">
        <f>Procurement_Raw!H263</f>
        <v>58</v>
      </c>
      <c r="I263" s="7">
        <f>Procurement_Raw!I263</f>
        <v>290.33999999999997</v>
      </c>
      <c r="J263" s="7">
        <f>Procurement_Raw!J263</f>
        <v>16839.57</v>
      </c>
      <c r="K263" s="6">
        <f>Procurement_Raw!K263</f>
        <v>45</v>
      </c>
      <c r="L263" t="str">
        <f>Procurement_Raw!L263</f>
        <v>ERP</v>
      </c>
      <c r="M263" s="8">
        <f>Procurement_Raw!M263</f>
        <v>3367.9140000000002</v>
      </c>
      <c r="N263" s="7">
        <f>Procurement_Raw!N263</f>
        <v>16839.57</v>
      </c>
      <c r="O263" s="7">
        <f t="shared" si="8"/>
        <v>16839.57</v>
      </c>
      <c r="P263" t="str">
        <f>IFERROR(INDEX(Supplier_Lookup!$B$2:$B$200,MATCH(E263,Supplier_Lookup!$A$2:$A$200,0)),"Unmapped")</f>
        <v>Agency Labour</v>
      </c>
      <c r="Q263" s="10">
        <f>IFERROR(INDEX(Category_Targets!$B$2:$B$9,MATCH(F263,Category_Targets!$A$2:$A$9,0)),0)</f>
        <v>7.0000000000000007E-2</v>
      </c>
      <c r="R263" s="7">
        <f t="shared" si="9"/>
        <v>1178.7699</v>
      </c>
    </row>
    <row r="264" spans="1:18" x14ac:dyDescent="0.25">
      <c r="A264" s="5">
        <f>Procurement_Raw!A264</f>
        <v>45915</v>
      </c>
      <c r="B264" t="str">
        <f>Procurement_Raw!B264</f>
        <v>S017</v>
      </c>
      <c r="C264" t="str">
        <f>Procurement_Raw!C264</f>
        <v>Swansea Care &amp; Education Centre</v>
      </c>
      <c r="D264" t="str">
        <f>Procurement_Raw!D264</f>
        <v>Wales</v>
      </c>
      <c r="E264" t="str">
        <f>Procurement_Raw!E264</f>
        <v>CareMed</v>
      </c>
      <c r="F264" t="str">
        <f>Procurement_Raw!F264</f>
        <v>Medical Supplies</v>
      </c>
      <c r="G264" t="str">
        <f>Procurement_Raw!G264</f>
        <v>INV-2025-00263</v>
      </c>
      <c r="H264" s="6">
        <f>Procurement_Raw!H264</f>
        <v>48</v>
      </c>
      <c r="I264" s="7">
        <f>Procurement_Raw!I264</f>
        <v>20.18</v>
      </c>
      <c r="J264" s="7">
        <f>Procurement_Raw!J264</f>
        <v>968.74</v>
      </c>
      <c r="K264" s="6">
        <f>Procurement_Raw!K264</f>
        <v>30</v>
      </c>
      <c r="L264" t="str">
        <f>Procurement_Raw!L264</f>
        <v>Procurement Portal</v>
      </c>
      <c r="M264" s="8">
        <f>Procurement_Raw!M264</f>
        <v>193.74799999999999</v>
      </c>
      <c r="N264" s="7">
        <f>Procurement_Raw!N264</f>
        <v>968.74</v>
      </c>
      <c r="O264" s="7">
        <f t="shared" si="8"/>
        <v>968.74</v>
      </c>
      <c r="P264" t="str">
        <f>IFERROR(INDEX(Supplier_Lookup!$B$2:$B$200,MATCH(E264,Supplier_Lookup!$A$2:$A$200,0)),"Unmapped")</f>
        <v>Medical Supplies</v>
      </c>
      <c r="Q264" s="10">
        <f>IFERROR(INDEX(Category_Targets!$B$2:$B$9,MATCH(F264,Category_Targets!$A$2:$A$9,0)),0)</f>
        <v>0.06</v>
      </c>
      <c r="R264" s="7">
        <f t="shared" si="9"/>
        <v>58.124400000000001</v>
      </c>
    </row>
    <row r="265" spans="1:18" x14ac:dyDescent="0.25">
      <c r="A265" s="5">
        <f>Procurement_Raw!A265</f>
        <v>45672</v>
      </c>
      <c r="B265" t="str">
        <f>Procurement_Raw!B265</f>
        <v>S016</v>
      </c>
      <c r="C265" t="str">
        <f>Procurement_Raw!C265</f>
        <v>Cardiff Care &amp; Education Centre</v>
      </c>
      <c r="D265" t="str">
        <f>Procurement_Raw!D265</f>
        <v>Wales</v>
      </c>
      <c r="E265" t="str">
        <f>Procurement_Raw!E265</f>
        <v>FleetFuel</v>
      </c>
      <c r="F265" t="str">
        <f>Procurement_Raw!F265</f>
        <v>Vehicle &amp; Fuel</v>
      </c>
      <c r="G265" t="str">
        <f>Procurement_Raw!G265</f>
        <v>INV-2025-00264</v>
      </c>
      <c r="H265" s="6">
        <f>Procurement_Raw!H265</f>
        <v>41</v>
      </c>
      <c r="I265" s="7">
        <f>Procurement_Raw!I265</f>
        <v>54.08</v>
      </c>
      <c r="J265" s="7">
        <f>Procurement_Raw!J265</f>
        <v>2217.2800000000002</v>
      </c>
      <c r="K265" s="6">
        <f>Procurement_Raw!K265</f>
        <v>30</v>
      </c>
      <c r="L265" t="str">
        <f>Procurement_Raw!L265</f>
        <v>Legacy Spend File</v>
      </c>
      <c r="M265" s="8">
        <f>Procurement_Raw!M265</f>
        <v>443.45600000000002</v>
      </c>
      <c r="N265" s="7">
        <f>Procurement_Raw!N265</f>
        <v>2217.2800000000002</v>
      </c>
      <c r="O265" s="7">
        <f t="shared" si="8"/>
        <v>2217.2800000000002</v>
      </c>
      <c r="P265" t="str">
        <f>IFERROR(INDEX(Supplier_Lookup!$B$2:$B$200,MATCH(E265,Supplier_Lookup!$A$2:$A$200,0)),"Unmapped")</f>
        <v>Vehicle &amp; Fuel</v>
      </c>
      <c r="Q265" s="10">
        <f>IFERROR(INDEX(Category_Targets!$B$2:$B$9,MATCH(F265,Category_Targets!$A$2:$A$9,0)),0)</f>
        <v>0.05</v>
      </c>
      <c r="R265" s="7">
        <f t="shared" si="9"/>
        <v>110.86400000000002</v>
      </c>
    </row>
    <row r="266" spans="1:18" x14ac:dyDescent="0.25">
      <c r="A266" s="5">
        <f>Procurement_Raw!A266</f>
        <v>45728</v>
      </c>
      <c r="B266" t="str">
        <f>Procurement_Raw!B266</f>
        <v>S009</v>
      </c>
      <c r="C266" t="str">
        <f>Procurement_Raw!C266</f>
        <v>Derby Care &amp; Education Centre</v>
      </c>
      <c r="D266" t="str">
        <f>Procurement_Raw!D266</f>
        <v>Midlands</v>
      </c>
      <c r="E266" t="str">
        <f>Procurement_Raw!E266</f>
        <v>FleetFuel</v>
      </c>
      <c r="F266" t="str">
        <f>Procurement_Raw!F266</f>
        <v>Vehicle &amp; Fuel</v>
      </c>
      <c r="G266" t="str">
        <f>Procurement_Raw!G266</f>
        <v>INV-2025-00265</v>
      </c>
      <c r="H266" s="6">
        <f>Procurement_Raw!H266</f>
        <v>5</v>
      </c>
      <c r="I266" s="7">
        <f>Procurement_Raw!I266</f>
        <v>82.68</v>
      </c>
      <c r="J266" s="7">
        <f>Procurement_Raw!J266</f>
        <v>413.39</v>
      </c>
      <c r="K266" s="6">
        <f>Procurement_Raw!K266</f>
        <v>45</v>
      </c>
      <c r="L266" t="str">
        <f>Procurement_Raw!L266</f>
        <v>Procurement Portal</v>
      </c>
      <c r="M266" s="8">
        <f>Procurement_Raw!M266</f>
        <v>82.677999999999997</v>
      </c>
      <c r="N266" s="7">
        <f>Procurement_Raw!N266</f>
        <v>413.39</v>
      </c>
      <c r="O266" s="7">
        <f t="shared" si="8"/>
        <v>413.39</v>
      </c>
      <c r="P266" t="str">
        <f>IFERROR(INDEX(Supplier_Lookup!$B$2:$B$200,MATCH(E266,Supplier_Lookup!$A$2:$A$200,0)),"Unmapped")</f>
        <v>Vehicle &amp; Fuel</v>
      </c>
      <c r="Q266" s="10">
        <f>IFERROR(INDEX(Category_Targets!$B$2:$B$9,MATCH(F266,Category_Targets!$A$2:$A$9,0)),0)</f>
        <v>0.05</v>
      </c>
      <c r="R266" s="7">
        <f t="shared" si="9"/>
        <v>20.669499999999999</v>
      </c>
    </row>
    <row r="267" spans="1:18" x14ac:dyDescent="0.25">
      <c r="A267" s="5">
        <f>Procurement_Raw!A267</f>
        <v>45898</v>
      </c>
      <c r="B267" t="str">
        <f>Procurement_Raw!B267</f>
        <v>S001</v>
      </c>
      <c r="C267" t="str">
        <f>Procurement_Raw!C267</f>
        <v>Preston Care &amp; Education Centre</v>
      </c>
      <c r="D267" t="str">
        <f>Procurement_Raw!D267</f>
        <v>North</v>
      </c>
      <c r="E267" t="str">
        <f>Procurement_Raw!E267</f>
        <v>BuildCare</v>
      </c>
      <c r="F267" t="str">
        <f>Procurement_Raw!F267</f>
        <v>Facilities</v>
      </c>
      <c r="G267" t="str">
        <f>Procurement_Raw!G267</f>
        <v>INV-2025-00266</v>
      </c>
      <c r="H267" s="6">
        <f>Procurement_Raw!H267</f>
        <v>58</v>
      </c>
      <c r="I267" s="7">
        <f>Procurement_Raw!I267</f>
        <v>90.62</v>
      </c>
      <c r="J267" s="7">
        <f>Procurement_Raw!J267</f>
        <v>5255.97</v>
      </c>
      <c r="K267" s="6">
        <f>Procurement_Raw!K267</f>
        <v>60</v>
      </c>
      <c r="L267" t="str">
        <f>Procurement_Raw!L267</f>
        <v>ERP</v>
      </c>
      <c r="M267" s="8">
        <f>Procurement_Raw!M267</f>
        <v>1051.194</v>
      </c>
      <c r="N267" s="7">
        <f>Procurement_Raw!N267</f>
        <v>5255.97</v>
      </c>
      <c r="O267" s="7">
        <f t="shared" si="8"/>
        <v>5255.97</v>
      </c>
      <c r="P267" t="str">
        <f>IFERROR(INDEX(Supplier_Lookup!$B$2:$B$200,MATCH(E267,Supplier_Lookup!$A$2:$A$200,0)),"Unmapped")</f>
        <v>Facilities</v>
      </c>
      <c r="Q267" s="10">
        <f>IFERROR(INDEX(Category_Targets!$B$2:$B$9,MATCH(F267,Category_Targets!$A$2:$A$9,0)),0)</f>
        <v>0.05</v>
      </c>
      <c r="R267" s="7">
        <f t="shared" si="9"/>
        <v>262.79850000000005</v>
      </c>
    </row>
    <row r="268" spans="1:18" x14ac:dyDescent="0.25">
      <c r="A268" s="5">
        <f>Procurement_Raw!A268</f>
        <v>45768</v>
      </c>
      <c r="B268" t="str">
        <f>Procurement_Raw!B268</f>
        <v>S014</v>
      </c>
      <c r="C268" t="str">
        <f>Procurement_Raw!C268</f>
        <v>Southampton Care &amp; Education Centre</v>
      </c>
      <c r="D268" t="str">
        <f>Procurement_Raw!D268</f>
        <v>South</v>
      </c>
      <c r="E268" t="str">
        <f>Procurement_Raw!E268</f>
        <v>CareMed</v>
      </c>
      <c r="F268" t="str">
        <f>Procurement_Raw!F268</f>
        <v>Medical Supplies</v>
      </c>
      <c r="G268" t="str">
        <f>Procurement_Raw!G268</f>
        <v>INV-2025-00267</v>
      </c>
      <c r="H268" s="6">
        <f>Procurement_Raw!H268</f>
        <v>20</v>
      </c>
      <c r="I268" s="7">
        <f>Procurement_Raw!I268</f>
        <v>294.51</v>
      </c>
      <c r="J268" s="7">
        <f>Procurement_Raw!J268</f>
        <v>5890.23</v>
      </c>
      <c r="K268" s="6">
        <f>Procurement_Raw!K268</f>
        <v>60</v>
      </c>
      <c r="L268" t="str">
        <f>Procurement_Raw!L268</f>
        <v>Legacy Spend File</v>
      </c>
      <c r="M268" s="8">
        <f>Procurement_Raw!M268</f>
        <v>1178.046</v>
      </c>
      <c r="N268" s="7">
        <f>Procurement_Raw!N268</f>
        <v>5890.23</v>
      </c>
      <c r="O268" s="7">
        <f t="shared" si="8"/>
        <v>5890.23</v>
      </c>
      <c r="P268" t="str">
        <f>IFERROR(INDEX(Supplier_Lookup!$B$2:$B$200,MATCH(E268,Supplier_Lookup!$A$2:$A$200,0)),"Unmapped")</f>
        <v>Medical Supplies</v>
      </c>
      <c r="Q268" s="10">
        <f>IFERROR(INDEX(Category_Targets!$B$2:$B$9,MATCH(F268,Category_Targets!$A$2:$A$9,0)),0)</f>
        <v>0.06</v>
      </c>
      <c r="R268" s="7">
        <f t="shared" si="9"/>
        <v>353.41379999999998</v>
      </c>
    </row>
    <row r="269" spans="1:18" x14ac:dyDescent="0.25">
      <c r="A269" s="5">
        <f>Procurement_Raw!A269</f>
        <v>45805</v>
      </c>
      <c r="B269" t="str">
        <f>Procurement_Raw!B269</f>
        <v>S010</v>
      </c>
      <c r="C269" t="str">
        <f>Procurement_Raw!C269</f>
        <v>Coventry Care &amp; Education Centre</v>
      </c>
      <c r="D269" t="str">
        <f>Procurement_Raw!D269</f>
        <v>Midlands</v>
      </c>
      <c r="E269" t="str">
        <f>Procurement_Raw!E269</f>
        <v>HealthStaffing</v>
      </c>
      <c r="F269" t="str">
        <f>Procurement_Raw!F269</f>
        <v>Agency Labour</v>
      </c>
      <c r="G269" t="str">
        <f>Procurement_Raw!G269</f>
        <v>INV-2025-00268</v>
      </c>
      <c r="H269" s="6">
        <f>Procurement_Raw!H269</f>
        <v>31</v>
      </c>
      <c r="I269" s="7">
        <f>Procurement_Raw!I269</f>
        <v>136.62</v>
      </c>
      <c r="J269" s="7">
        <f>Procurement_Raw!J269</f>
        <v>4235.2299999999996</v>
      </c>
      <c r="K269" s="6">
        <f>Procurement_Raw!K269</f>
        <v>45</v>
      </c>
      <c r="L269" t="str">
        <f>Procurement_Raw!L269</f>
        <v>ERP</v>
      </c>
      <c r="M269" s="8">
        <f>Procurement_Raw!M269</f>
        <v>847.04600000000005</v>
      </c>
      <c r="N269" s="7">
        <f>Procurement_Raw!N269</f>
        <v>4235.2299999999996</v>
      </c>
      <c r="O269" s="7">
        <f t="shared" si="8"/>
        <v>4235.2299999999996</v>
      </c>
      <c r="P269" t="str">
        <f>IFERROR(INDEX(Supplier_Lookup!$B$2:$B$200,MATCH(E269,Supplier_Lookup!$A$2:$A$200,0)),"Unmapped")</f>
        <v>Agency Labour</v>
      </c>
      <c r="Q269" s="10">
        <f>IFERROR(INDEX(Category_Targets!$B$2:$B$9,MATCH(F269,Category_Targets!$A$2:$A$9,0)),0)</f>
        <v>7.0000000000000007E-2</v>
      </c>
      <c r="R269" s="7">
        <f t="shared" si="9"/>
        <v>296.46609999999998</v>
      </c>
    </row>
    <row r="270" spans="1:18" x14ac:dyDescent="0.25">
      <c r="A270" s="5">
        <f>Procurement_Raw!A270</f>
        <v>45985</v>
      </c>
      <c r="B270" t="str">
        <f>Procurement_Raw!B270</f>
        <v>S008</v>
      </c>
      <c r="C270" t="str">
        <f>Procurement_Raw!C270</f>
        <v>Leicester Care &amp; Education Centre</v>
      </c>
      <c r="D270" t="str">
        <f>Procurement_Raw!D270</f>
        <v>Midlands</v>
      </c>
      <c r="E270" t="str">
        <f>Procurement_Raw!E270</f>
        <v>WaterGrid</v>
      </c>
      <c r="F270" t="str">
        <f>Procurement_Raw!F270</f>
        <v>Utilities</v>
      </c>
      <c r="G270" t="str">
        <f>Procurement_Raw!G270</f>
        <v>INV-2025-00269</v>
      </c>
      <c r="H270" s="6">
        <f>Procurement_Raw!H270</f>
        <v>80</v>
      </c>
      <c r="I270" s="7">
        <f>Procurement_Raw!I270</f>
        <v>196.26</v>
      </c>
      <c r="J270" s="7">
        <f>Procurement_Raw!J270</f>
        <v>15700.74</v>
      </c>
      <c r="K270" s="6">
        <f>Procurement_Raw!K270</f>
        <v>45</v>
      </c>
      <c r="L270" t="str">
        <f>Procurement_Raw!L270</f>
        <v>ERP</v>
      </c>
      <c r="M270" s="8">
        <f>Procurement_Raw!M270</f>
        <v>3140.1480000000001</v>
      </c>
      <c r="N270" s="7">
        <f>Procurement_Raw!N270</f>
        <v>15700.74</v>
      </c>
      <c r="O270" s="7">
        <f t="shared" si="8"/>
        <v>15700.74</v>
      </c>
      <c r="P270" t="str">
        <f>IFERROR(INDEX(Supplier_Lookup!$B$2:$B$200,MATCH(E270,Supplier_Lookup!$A$2:$A$200,0)),"Unmapped")</f>
        <v>Utilities</v>
      </c>
      <c r="Q270" s="10">
        <f>IFERROR(INDEX(Category_Targets!$B$2:$B$9,MATCH(F270,Category_Targets!$A$2:$A$9,0)),0)</f>
        <v>0.03</v>
      </c>
      <c r="R270" s="7">
        <f t="shared" si="9"/>
        <v>471.0222</v>
      </c>
    </row>
    <row r="271" spans="1:18" x14ac:dyDescent="0.25">
      <c r="A271" s="5">
        <f>Procurement_Raw!A271</f>
        <v>45932</v>
      </c>
      <c r="B271" t="str">
        <f>Procurement_Raw!B271</f>
        <v>S007</v>
      </c>
      <c r="C271" t="str">
        <f>Procurement_Raw!C271</f>
        <v>Nottingham Care &amp; Education Centre</v>
      </c>
      <c r="D271" t="str">
        <f>Procurement_Raw!D271</f>
        <v>Midlands</v>
      </c>
      <c r="E271" t="str">
        <f>Procurement_Raw!E271</f>
        <v>PrintCo</v>
      </c>
      <c r="F271" t="str">
        <f>Procurement_Raw!F271</f>
        <v>Office &amp; Training</v>
      </c>
      <c r="G271" t="str">
        <f>Procurement_Raw!G271</f>
        <v>INV-2025-00270</v>
      </c>
      <c r="H271" s="6">
        <f>Procurement_Raw!H271</f>
        <v>3</v>
      </c>
      <c r="I271" s="7">
        <f>Procurement_Raw!I271</f>
        <v>80.59</v>
      </c>
      <c r="J271" s="7">
        <f>Procurement_Raw!J271</f>
        <v>241.78</v>
      </c>
      <c r="K271" s="6">
        <f>Procurement_Raw!K271</f>
        <v>60</v>
      </c>
      <c r="L271" t="str">
        <f>Procurement_Raw!L271</f>
        <v>Legacy Spend File</v>
      </c>
      <c r="M271" s="8">
        <f>Procurement_Raw!M271</f>
        <v>48.356000000000002</v>
      </c>
      <c r="N271" s="7">
        <f>Procurement_Raw!N271</f>
        <v>241.78</v>
      </c>
      <c r="O271" s="7">
        <f t="shared" si="8"/>
        <v>241.78</v>
      </c>
      <c r="P271" t="str">
        <f>IFERROR(INDEX(Supplier_Lookup!$B$2:$B$200,MATCH(E271,Supplier_Lookup!$A$2:$A$200,0)),"Unmapped")</f>
        <v>Office &amp; Training</v>
      </c>
      <c r="Q271" s="10">
        <f>IFERROR(INDEX(Category_Targets!$B$2:$B$9,MATCH(F271,Category_Targets!$A$2:$A$9,0)),0)</f>
        <v>0.04</v>
      </c>
      <c r="R271" s="7">
        <f t="shared" si="9"/>
        <v>9.6712000000000007</v>
      </c>
    </row>
    <row r="272" spans="1:18" x14ac:dyDescent="0.25">
      <c r="A272" s="5">
        <f>Procurement_Raw!A272</f>
        <v>45731</v>
      </c>
      <c r="B272" t="str">
        <f>Procurement_Raw!B272</f>
        <v>S017</v>
      </c>
      <c r="C272" t="str">
        <f>Procurement_Raw!C272</f>
        <v>Swansea Care &amp; Education Centre</v>
      </c>
      <c r="D272" t="str">
        <f>Procurement_Raw!D272</f>
        <v>Wales</v>
      </c>
      <c r="E272" t="str">
        <f>Procurement_Raw!E272</f>
        <v>PowerDirect</v>
      </c>
      <c r="F272" t="str">
        <f>Procurement_Raw!F272</f>
        <v>Utilities</v>
      </c>
      <c r="G272" t="str">
        <f>Procurement_Raw!G272</f>
        <v>INV-2025-00271</v>
      </c>
      <c r="H272" s="6">
        <f>Procurement_Raw!H272</f>
        <v>38</v>
      </c>
      <c r="I272" s="7">
        <f>Procurement_Raw!I272</f>
        <v>552.34</v>
      </c>
      <c r="J272" s="7">
        <f>Procurement_Raw!J272</f>
        <v>20988.87</v>
      </c>
      <c r="K272" s="6">
        <f>Procurement_Raw!K272</f>
        <v>45</v>
      </c>
      <c r="L272" t="str">
        <f>Procurement_Raw!L272</f>
        <v>ERP</v>
      </c>
      <c r="M272" s="8">
        <f>Procurement_Raw!M272</f>
        <v>4197.7740000000003</v>
      </c>
      <c r="N272" s="7">
        <f>Procurement_Raw!N272</f>
        <v>20988.87</v>
      </c>
      <c r="O272" s="7">
        <f t="shared" si="8"/>
        <v>20988.87</v>
      </c>
      <c r="P272" t="str">
        <f>IFERROR(INDEX(Supplier_Lookup!$B$2:$B$200,MATCH(E272,Supplier_Lookup!$A$2:$A$200,0)),"Unmapped")</f>
        <v>Utilities</v>
      </c>
      <c r="Q272" s="10">
        <f>IFERROR(INDEX(Category_Targets!$B$2:$B$9,MATCH(F272,Category_Targets!$A$2:$A$9,0)),0)</f>
        <v>0.03</v>
      </c>
      <c r="R272" s="7">
        <f t="shared" si="9"/>
        <v>629.66609999999991</v>
      </c>
    </row>
    <row r="273" spans="1:18" x14ac:dyDescent="0.25">
      <c r="A273" s="5">
        <f>Procurement_Raw!A273</f>
        <v>45950</v>
      </c>
      <c r="B273" t="str">
        <f>Procurement_Raw!B273</f>
        <v>S011</v>
      </c>
      <c r="C273" t="str">
        <f>Procurement_Raw!C273</f>
        <v>London Care &amp; Education Centre</v>
      </c>
      <c r="D273" t="str">
        <f>Procurement_Raw!D273</f>
        <v>South</v>
      </c>
      <c r="E273" t="str">
        <f>Procurement_Raw!E273</f>
        <v>FleetFuel</v>
      </c>
      <c r="F273" t="str">
        <f>Procurement_Raw!F273</f>
        <v>Vehicle &amp; Fuel</v>
      </c>
      <c r="G273" t="str">
        <f>Procurement_Raw!G273</f>
        <v>INV-2025-00272</v>
      </c>
      <c r="H273" s="6">
        <f>Procurement_Raw!H273</f>
        <v>54</v>
      </c>
      <c r="I273" s="7">
        <f>Procurement_Raw!I273</f>
        <v>43.13</v>
      </c>
      <c r="J273" s="7">
        <f>Procurement_Raw!J273</f>
        <v>2328.87</v>
      </c>
      <c r="K273" s="6">
        <f>Procurement_Raw!K273</f>
        <v>30</v>
      </c>
      <c r="L273" t="str">
        <f>Procurement_Raw!L273</f>
        <v>Legacy Spend File</v>
      </c>
      <c r="M273" s="8">
        <f>Procurement_Raw!M273</f>
        <v>465.774</v>
      </c>
      <c r="N273" s="7">
        <f>Procurement_Raw!N273</f>
        <v>2328.87</v>
      </c>
      <c r="O273" s="7">
        <f t="shared" si="8"/>
        <v>2328.87</v>
      </c>
      <c r="P273" t="str">
        <f>IFERROR(INDEX(Supplier_Lookup!$B$2:$B$200,MATCH(E273,Supplier_Lookup!$A$2:$A$200,0)),"Unmapped")</f>
        <v>Vehicle &amp; Fuel</v>
      </c>
      <c r="Q273" s="10">
        <f>IFERROR(INDEX(Category_Targets!$B$2:$B$9,MATCH(F273,Category_Targets!$A$2:$A$9,0)),0)</f>
        <v>0.05</v>
      </c>
      <c r="R273" s="7">
        <f t="shared" si="9"/>
        <v>116.4435</v>
      </c>
    </row>
    <row r="274" spans="1:18" x14ac:dyDescent="0.25">
      <c r="A274" s="5">
        <f>Procurement_Raw!A274</f>
        <v>45842</v>
      </c>
      <c r="B274" t="str">
        <f>Procurement_Raw!B274</f>
        <v>S014</v>
      </c>
      <c r="C274" t="str">
        <f>Procurement_Raw!C274</f>
        <v>Southampton Care &amp; Education Centre</v>
      </c>
      <c r="D274" t="str">
        <f>Procurement_Raw!D274</f>
        <v>South</v>
      </c>
      <c r="E274" t="str">
        <f>Procurement_Raw!E274</f>
        <v>KitchenPro</v>
      </c>
      <c r="F274" t="str">
        <f>Procurement_Raw!F274</f>
        <v>Food &amp; Catering</v>
      </c>
      <c r="G274" t="str">
        <f>Procurement_Raw!G274</f>
        <v>INV-2025-00273</v>
      </c>
      <c r="H274" s="6">
        <f>Procurement_Raw!H274</f>
        <v>9</v>
      </c>
      <c r="I274" s="7">
        <f>Procurement_Raw!I274</f>
        <v>123.24</v>
      </c>
      <c r="J274" s="7">
        <f>Procurement_Raw!J274</f>
        <v>1109.1500000000001</v>
      </c>
      <c r="K274" s="6">
        <f>Procurement_Raw!K274</f>
        <v>60</v>
      </c>
      <c r="L274" t="str">
        <f>Procurement_Raw!L274</f>
        <v>Legacy Spend File</v>
      </c>
      <c r="M274" s="8">
        <f>Procurement_Raw!M274</f>
        <v>221.83</v>
      </c>
      <c r="N274" s="7">
        <f>Procurement_Raw!N274</f>
        <v>1109.1500000000001</v>
      </c>
      <c r="O274" s="7">
        <f t="shared" si="8"/>
        <v>1109.1500000000001</v>
      </c>
      <c r="P274" t="str">
        <f>IFERROR(INDEX(Supplier_Lookup!$B$2:$B$200,MATCH(E274,Supplier_Lookup!$A$2:$A$200,0)),"Unmapped")</f>
        <v>Food &amp; Catering</v>
      </c>
      <c r="Q274" s="10">
        <f>IFERROR(INDEX(Category_Targets!$B$2:$B$9,MATCH(F274,Category_Targets!$A$2:$A$9,0)),0)</f>
        <v>0.04</v>
      </c>
      <c r="R274" s="7">
        <f t="shared" si="9"/>
        <v>44.366000000000007</v>
      </c>
    </row>
    <row r="275" spans="1:18" x14ac:dyDescent="0.25">
      <c r="A275" s="5">
        <f>Procurement_Raw!A275</f>
        <v>45898</v>
      </c>
      <c r="B275" t="str">
        <f>Procurement_Raw!B275</f>
        <v>S006</v>
      </c>
      <c r="C275" t="str">
        <f>Procurement_Raw!C275</f>
        <v>Birmingham Care &amp; Education Centre</v>
      </c>
      <c r="D275" t="str">
        <f>Procurement_Raw!D275</f>
        <v>Midlands</v>
      </c>
      <c r="E275" t="str">
        <f>Procurement_Raw!E275</f>
        <v>CareMed</v>
      </c>
      <c r="F275" t="str">
        <f>Procurement_Raw!F275</f>
        <v>Medical Supplies</v>
      </c>
      <c r="G275" t="str">
        <f>Procurement_Raw!G275</f>
        <v>INV-2025-00274</v>
      </c>
      <c r="H275" s="6">
        <f>Procurement_Raw!H275</f>
        <v>6</v>
      </c>
      <c r="I275" s="7">
        <f>Procurement_Raw!I275</f>
        <v>120.68</v>
      </c>
      <c r="J275" s="7">
        <f>Procurement_Raw!J275</f>
        <v>724.06</v>
      </c>
      <c r="K275" s="6">
        <f>Procurement_Raw!K275</f>
        <v>60</v>
      </c>
      <c r="L275" t="str">
        <f>Procurement_Raw!L275</f>
        <v>Procurement Portal</v>
      </c>
      <c r="M275" s="8">
        <f>Procurement_Raw!M275</f>
        <v>144.81200000000001</v>
      </c>
      <c r="N275" s="7">
        <f>Procurement_Raw!N275</f>
        <v>724.06</v>
      </c>
      <c r="O275" s="7">
        <f t="shared" si="8"/>
        <v>724.06</v>
      </c>
      <c r="P275" t="str">
        <f>IFERROR(INDEX(Supplier_Lookup!$B$2:$B$200,MATCH(E275,Supplier_Lookup!$A$2:$A$200,0)),"Unmapped")</f>
        <v>Medical Supplies</v>
      </c>
      <c r="Q275" s="10">
        <f>IFERROR(INDEX(Category_Targets!$B$2:$B$9,MATCH(F275,Category_Targets!$A$2:$A$9,0)),0)</f>
        <v>0.06</v>
      </c>
      <c r="R275" s="7">
        <f t="shared" si="9"/>
        <v>43.443599999999996</v>
      </c>
    </row>
    <row r="276" spans="1:18" x14ac:dyDescent="0.25">
      <c r="A276" s="5">
        <f>Procurement_Raw!A276</f>
        <v>45666</v>
      </c>
      <c r="B276" t="str">
        <f>Procurement_Raw!B276</f>
        <v>S019</v>
      </c>
      <c r="C276" t="str">
        <f>Procurement_Raw!C276</f>
        <v>Wrexham Care &amp; Education Centre</v>
      </c>
      <c r="D276" t="str">
        <f>Procurement_Raw!D276</f>
        <v>Wales</v>
      </c>
      <c r="E276" t="str">
        <f>Procurement_Raw!E276</f>
        <v>netserve</v>
      </c>
      <c r="F276" t="str">
        <f>Procurement_Raw!F276</f>
        <v>IT &amp; Telecoms</v>
      </c>
      <c r="G276" t="str">
        <f>Procurement_Raw!G276</f>
        <v>INV-2025-00275</v>
      </c>
      <c r="H276" s="6">
        <f>Procurement_Raw!H276</f>
        <v>46</v>
      </c>
      <c r="I276" s="7">
        <f>Procurement_Raw!I276</f>
        <v>128.22999999999999</v>
      </c>
      <c r="J276" s="7">
        <f>Procurement_Raw!J276</f>
        <v>5898.42</v>
      </c>
      <c r="K276" s="6">
        <f>Procurement_Raw!K276</f>
        <v>30</v>
      </c>
      <c r="L276" t="str">
        <f>Procurement_Raw!L276</f>
        <v>Procurement Portal</v>
      </c>
      <c r="M276" s="8">
        <f>Procurement_Raw!M276</f>
        <v>1179.684</v>
      </c>
      <c r="N276" s="7">
        <f>Procurement_Raw!N276</f>
        <v>5898.42</v>
      </c>
      <c r="O276" s="7">
        <f t="shared" si="8"/>
        <v>5898.42</v>
      </c>
      <c r="P276" t="str">
        <f>IFERROR(INDEX(Supplier_Lookup!$B$2:$B$200,MATCH(E276,Supplier_Lookup!$A$2:$A$200,0)),"Unmapped")</f>
        <v>IT &amp; Telecoms</v>
      </c>
      <c r="Q276" s="10">
        <f>IFERROR(INDEX(Category_Targets!$B$2:$B$9,MATCH(F276,Category_Targets!$A$2:$A$9,0)),0)</f>
        <v>0.08</v>
      </c>
      <c r="R276" s="7">
        <f t="shared" si="9"/>
        <v>471.87360000000001</v>
      </c>
    </row>
    <row r="277" spans="1:18" x14ac:dyDescent="0.25">
      <c r="A277" s="5">
        <f>Procurement_Raw!A277</f>
        <v>45828</v>
      </c>
      <c r="B277" t="str">
        <f>Procurement_Raw!B277</f>
        <v>S016</v>
      </c>
      <c r="C277" t="str">
        <f>Procurement_Raw!C277</f>
        <v>Cardiff Care &amp; Education Centre</v>
      </c>
      <c r="D277" t="str">
        <f>Procurement_Raw!D277</f>
        <v>Wales</v>
      </c>
      <c r="E277" t="str">
        <f>Procurement_Raw!E277</f>
        <v>KitchenPro</v>
      </c>
      <c r="F277" t="str">
        <f>Procurement_Raw!F277</f>
        <v>Food &amp; Catering</v>
      </c>
      <c r="G277" t="str">
        <f>Procurement_Raw!G277</f>
        <v>INV-2025-00276</v>
      </c>
      <c r="H277" s="6">
        <f>Procurement_Raw!H277</f>
        <v>18</v>
      </c>
      <c r="I277" s="7">
        <f>Procurement_Raw!I277</f>
        <v>83.81</v>
      </c>
      <c r="J277" s="7">
        <f>Procurement_Raw!J277</f>
        <v>1508.57</v>
      </c>
      <c r="K277" s="6">
        <f>Procurement_Raw!K277</f>
        <v>30</v>
      </c>
      <c r="L277" t="str">
        <f>Procurement_Raw!L277</f>
        <v>Procurement Portal</v>
      </c>
      <c r="M277" s="8">
        <f>Procurement_Raw!M277</f>
        <v>301.714</v>
      </c>
      <c r="N277" s="7">
        <f>Procurement_Raw!N277</f>
        <v>1508.57</v>
      </c>
      <c r="O277" s="7">
        <f t="shared" si="8"/>
        <v>1508.57</v>
      </c>
      <c r="P277" t="str">
        <f>IFERROR(INDEX(Supplier_Lookup!$B$2:$B$200,MATCH(E277,Supplier_Lookup!$A$2:$A$200,0)),"Unmapped")</f>
        <v>Food &amp; Catering</v>
      </c>
      <c r="Q277" s="10">
        <f>IFERROR(INDEX(Category_Targets!$B$2:$B$9,MATCH(F277,Category_Targets!$A$2:$A$9,0)),0)</f>
        <v>0.04</v>
      </c>
      <c r="R277" s="7">
        <f t="shared" si="9"/>
        <v>60.342799999999997</v>
      </c>
    </row>
    <row r="278" spans="1:18" x14ac:dyDescent="0.25">
      <c r="A278" s="5">
        <f>Procurement_Raw!A278</f>
        <v>45747</v>
      </c>
      <c r="B278" t="str">
        <f>Procurement_Raw!B278</f>
        <v>S013</v>
      </c>
      <c r="C278" t="str">
        <f>Procurement_Raw!C278</f>
        <v>Reading Care &amp; Education Centre</v>
      </c>
      <c r="D278" t="str">
        <f>Procurement_Raw!D278</f>
        <v>South</v>
      </c>
      <c r="E278" t="str">
        <f>Procurement_Raw!E278</f>
        <v>AutoCare</v>
      </c>
      <c r="F278" t="str">
        <f>Procurement_Raw!F278</f>
        <v>Vehicle &amp; Fuel</v>
      </c>
      <c r="G278" t="str">
        <f>Procurement_Raw!G278</f>
        <v>INV-2025-00277</v>
      </c>
      <c r="H278" s="6">
        <f>Procurement_Raw!H278</f>
        <v>60</v>
      </c>
      <c r="I278" s="7">
        <f>Procurement_Raw!I278</f>
        <v>105.99</v>
      </c>
      <c r="J278" s="7">
        <f>Procurement_Raw!J278</f>
        <v>6359.5</v>
      </c>
      <c r="K278" s="6">
        <f>Procurement_Raw!K278</f>
        <v>60</v>
      </c>
      <c r="L278" t="str">
        <f>Procurement_Raw!L278</f>
        <v>Procurement Portal</v>
      </c>
      <c r="M278" s="8">
        <f>Procurement_Raw!M278</f>
        <v>1271.9000000000001</v>
      </c>
      <c r="N278" s="7">
        <f>Procurement_Raw!N278</f>
        <v>6359.5</v>
      </c>
      <c r="O278" s="7">
        <f t="shared" si="8"/>
        <v>6359.5</v>
      </c>
      <c r="P278" t="str">
        <f>IFERROR(INDEX(Supplier_Lookup!$B$2:$B$200,MATCH(E278,Supplier_Lookup!$A$2:$A$200,0)),"Unmapped")</f>
        <v>Vehicle &amp; Fuel</v>
      </c>
      <c r="Q278" s="10">
        <f>IFERROR(INDEX(Category_Targets!$B$2:$B$9,MATCH(F278,Category_Targets!$A$2:$A$9,0)),0)</f>
        <v>0.05</v>
      </c>
      <c r="R278" s="7">
        <f t="shared" si="9"/>
        <v>317.97500000000002</v>
      </c>
    </row>
    <row r="279" spans="1:18" x14ac:dyDescent="0.25">
      <c r="A279" s="5">
        <f>Procurement_Raw!A279</f>
        <v>45690</v>
      </c>
      <c r="B279" t="str">
        <f>Procurement_Raw!B279</f>
        <v>S007</v>
      </c>
      <c r="C279" t="str">
        <f>Procurement_Raw!C279</f>
        <v>Nottingham Care &amp; Education Centre</v>
      </c>
      <c r="D279" t="str">
        <f>Procurement_Raw!D279</f>
        <v>Midlands</v>
      </c>
      <c r="E279" t="str">
        <f>Procurement_Raw!E279</f>
        <v>CleanWorks</v>
      </c>
      <c r="F279" t="str">
        <f>Procurement_Raw!F279</f>
        <v>Facilities</v>
      </c>
      <c r="G279" t="str">
        <f>Procurement_Raw!G279</f>
        <v>INV-2025-00278</v>
      </c>
      <c r="H279" s="6">
        <f>Procurement_Raw!H279</f>
        <v>59</v>
      </c>
      <c r="I279" s="7">
        <f>Procurement_Raw!I279</f>
        <v>129.38999999999999</v>
      </c>
      <c r="J279" s="7">
        <f>Procurement_Raw!J279</f>
        <v>7634.06</v>
      </c>
      <c r="K279" s="6">
        <f>Procurement_Raw!K279</f>
        <v>30</v>
      </c>
      <c r="L279" t="str">
        <f>Procurement_Raw!L279</f>
        <v>Procurement Portal</v>
      </c>
      <c r="M279" s="8">
        <f>Procurement_Raw!M279</f>
        <v>1526.8119999999999</v>
      </c>
      <c r="N279" s="7">
        <f>Procurement_Raw!N279</f>
        <v>7634.06</v>
      </c>
      <c r="O279" s="7">
        <f t="shared" si="8"/>
        <v>7634.06</v>
      </c>
      <c r="P279" t="str">
        <f>IFERROR(INDEX(Supplier_Lookup!$B$2:$B$200,MATCH(E279,Supplier_Lookup!$A$2:$A$200,0)),"Unmapped")</f>
        <v>Facilities</v>
      </c>
      <c r="Q279" s="10">
        <f>IFERROR(INDEX(Category_Targets!$B$2:$B$9,MATCH(F279,Category_Targets!$A$2:$A$9,0)),0)</f>
        <v>0.05</v>
      </c>
      <c r="R279" s="7">
        <f t="shared" si="9"/>
        <v>381.70300000000003</v>
      </c>
    </row>
    <row r="280" spans="1:18" x14ac:dyDescent="0.25">
      <c r="A280" s="5">
        <f>Procurement_Raw!A280</f>
        <v>45679</v>
      </c>
      <c r="B280" t="str">
        <f>Procurement_Raw!B280</f>
        <v>S014</v>
      </c>
      <c r="C280" t="str">
        <f>Procurement_Raw!C280</f>
        <v>Southampton Care &amp; Education Centre</v>
      </c>
      <c r="D280" t="str">
        <f>Procurement_Raw!D280</f>
        <v>South</v>
      </c>
      <c r="E280" t="str">
        <f>Procurement_Raw!E280</f>
        <v>MediSure</v>
      </c>
      <c r="F280" t="str">
        <f>Procurement_Raw!F280</f>
        <v>Medical Supplies</v>
      </c>
      <c r="G280" t="str">
        <f>Procurement_Raw!G280</f>
        <v>INV-2025-00279</v>
      </c>
      <c r="H280" s="6">
        <f>Procurement_Raw!H280</f>
        <v>41</v>
      </c>
      <c r="I280" s="7">
        <f>Procurement_Raw!I280</f>
        <v>124.7</v>
      </c>
      <c r="J280" s="7">
        <f>Procurement_Raw!J280</f>
        <v>5112.5600000000004</v>
      </c>
      <c r="K280" s="6">
        <f>Procurement_Raw!K280</f>
        <v>45</v>
      </c>
      <c r="L280" t="str">
        <f>Procurement_Raw!L280</f>
        <v>Legacy Spend File</v>
      </c>
      <c r="M280" s="8">
        <f>Procurement_Raw!M280</f>
        <v>1022.5119999999999</v>
      </c>
      <c r="N280" s="7">
        <f>Procurement_Raw!N280</f>
        <v>5112.5600000000004</v>
      </c>
      <c r="O280" s="7">
        <f t="shared" si="8"/>
        <v>5112.5600000000004</v>
      </c>
      <c r="P280" t="str">
        <f>IFERROR(INDEX(Supplier_Lookup!$B$2:$B$200,MATCH(E280,Supplier_Lookup!$A$2:$A$200,0)),"Unmapped")</f>
        <v>Medical Supplies</v>
      </c>
      <c r="Q280" s="10">
        <f>IFERROR(INDEX(Category_Targets!$B$2:$B$9,MATCH(F280,Category_Targets!$A$2:$A$9,0)),0)</f>
        <v>0.06</v>
      </c>
      <c r="R280" s="7">
        <f t="shared" si="9"/>
        <v>306.75360000000001</v>
      </c>
    </row>
    <row r="281" spans="1:18" x14ac:dyDescent="0.25">
      <c r="A281" s="5">
        <f>Procurement_Raw!A281</f>
        <v>45676</v>
      </c>
      <c r="B281" t="str">
        <f>Procurement_Raw!B281</f>
        <v>S017</v>
      </c>
      <c r="C281" t="str">
        <f>Procurement_Raw!C281</f>
        <v>Swansea Care &amp; Education Centre</v>
      </c>
      <c r="D281" t="str">
        <f>Procurement_Raw!D281</f>
        <v>Wales</v>
      </c>
      <c r="E281" t="str">
        <f>Procurement_Raw!E281</f>
        <v>LearnWell</v>
      </c>
      <c r="F281" t="str">
        <f>Procurement_Raw!F281</f>
        <v>Office &amp; Training</v>
      </c>
      <c r="G281" t="str">
        <f>Procurement_Raw!G281</f>
        <v>INV-2025-00280</v>
      </c>
      <c r="H281" s="6">
        <f>Procurement_Raw!H281</f>
        <v>25</v>
      </c>
      <c r="I281" s="7">
        <f>Procurement_Raw!I281</f>
        <v>60.68</v>
      </c>
      <c r="J281" s="7">
        <f>Procurement_Raw!J281</f>
        <v>1516.93</v>
      </c>
      <c r="K281" s="6">
        <f>Procurement_Raw!K281</f>
        <v>45</v>
      </c>
      <c r="L281" t="str">
        <f>Procurement_Raw!L281</f>
        <v>Procurement Portal</v>
      </c>
      <c r="M281" s="8">
        <f>Procurement_Raw!M281</f>
        <v>303.38600000000002</v>
      </c>
      <c r="N281" s="7">
        <f>Procurement_Raw!N281</f>
        <v>1516.93</v>
      </c>
      <c r="O281" s="7">
        <f t="shared" si="8"/>
        <v>1516.93</v>
      </c>
      <c r="P281" t="str">
        <f>IFERROR(INDEX(Supplier_Lookup!$B$2:$B$200,MATCH(E281,Supplier_Lookup!$A$2:$A$200,0)),"Unmapped")</f>
        <v>Office &amp; Training</v>
      </c>
      <c r="Q281" s="10">
        <f>IFERROR(INDEX(Category_Targets!$B$2:$B$9,MATCH(F281,Category_Targets!$A$2:$A$9,0)),0)</f>
        <v>0.04</v>
      </c>
      <c r="R281" s="7">
        <f t="shared" si="9"/>
        <v>60.677200000000006</v>
      </c>
    </row>
    <row r="282" spans="1:18" x14ac:dyDescent="0.25">
      <c r="A282" s="5">
        <f>Procurement_Raw!A282</f>
        <v>45721</v>
      </c>
      <c r="B282" t="str">
        <f>Procurement_Raw!B282</f>
        <v>S007</v>
      </c>
      <c r="C282" t="str">
        <f>Procurement_Raw!C282</f>
        <v>Nottingham Care &amp; Education Centre</v>
      </c>
      <c r="D282" t="str">
        <f>Procurement_Raw!D282</f>
        <v>Midlands</v>
      </c>
      <c r="E282" t="str">
        <f>Procurement_Raw!E282</f>
        <v>RoadReady</v>
      </c>
      <c r="F282" t="str">
        <f>Procurement_Raw!F282</f>
        <v>Vehicle &amp; Fuel</v>
      </c>
      <c r="G282" t="str">
        <f>Procurement_Raw!G282</f>
        <v>INV-2025-00281</v>
      </c>
      <c r="H282" s="6">
        <f>Procurement_Raw!H282</f>
        <v>48</v>
      </c>
      <c r="I282" s="7">
        <f>Procurement_Raw!I282</f>
        <v>101.12</v>
      </c>
      <c r="J282" s="7">
        <f>Procurement_Raw!J282</f>
        <v>4853.78</v>
      </c>
      <c r="K282" s="6">
        <f>Procurement_Raw!K282</f>
        <v>45</v>
      </c>
      <c r="L282" t="str">
        <f>Procurement_Raw!L282</f>
        <v>Procurement Portal</v>
      </c>
      <c r="M282" s="8">
        <f>Procurement_Raw!M282</f>
        <v>970.75599999999997</v>
      </c>
      <c r="N282" s="7">
        <f>Procurement_Raw!N282</f>
        <v>4853.78</v>
      </c>
      <c r="O282" s="7">
        <f t="shared" si="8"/>
        <v>4853.78</v>
      </c>
      <c r="P282" t="str">
        <f>IFERROR(INDEX(Supplier_Lookup!$B$2:$B$200,MATCH(E282,Supplier_Lookup!$A$2:$A$200,0)),"Unmapped")</f>
        <v>Vehicle &amp; Fuel</v>
      </c>
      <c r="Q282" s="10">
        <f>IFERROR(INDEX(Category_Targets!$B$2:$B$9,MATCH(F282,Category_Targets!$A$2:$A$9,0)),0)</f>
        <v>0.05</v>
      </c>
      <c r="R282" s="7">
        <f t="shared" si="9"/>
        <v>242.68899999999999</v>
      </c>
    </row>
    <row r="283" spans="1:18" x14ac:dyDescent="0.25">
      <c r="A283" s="5">
        <f>Procurement_Raw!A283</f>
        <v>45831</v>
      </c>
      <c r="B283" t="str">
        <f>Procurement_Raw!B283</f>
        <v>S020</v>
      </c>
      <c r="C283" t="str">
        <f>Procurement_Raw!C283</f>
        <v>Bangor Care &amp; Education Centre</v>
      </c>
      <c r="D283" t="str">
        <f>Procurement_Raw!D283</f>
        <v>Wales</v>
      </c>
      <c r="E283" t="str">
        <f>Procurement_Raw!E283</f>
        <v>LearnWell</v>
      </c>
      <c r="F283" t="str">
        <f>Procurement_Raw!F283</f>
        <v>Office &amp; Training</v>
      </c>
      <c r="G283" t="str">
        <f>Procurement_Raw!G283</f>
        <v>INV-2025-00282</v>
      </c>
      <c r="H283" s="6">
        <f>Procurement_Raw!H283</f>
        <v>24</v>
      </c>
      <c r="I283" s="7">
        <f>Procurement_Raw!I283</f>
        <v>107.95</v>
      </c>
      <c r="J283" s="7">
        <f>Procurement_Raw!J283</f>
        <v>2590.7800000000002</v>
      </c>
      <c r="K283" s="6">
        <f>Procurement_Raw!K283</f>
        <v>45</v>
      </c>
      <c r="L283" t="str">
        <f>Procurement_Raw!L283</f>
        <v>Legacy Spend File</v>
      </c>
      <c r="M283" s="8">
        <f>Procurement_Raw!M283</f>
        <v>518.15599999999995</v>
      </c>
      <c r="N283" s="7">
        <f>Procurement_Raw!N283</f>
        <v>2590.7800000000002</v>
      </c>
      <c r="O283" s="7">
        <f t="shared" si="8"/>
        <v>2590.7800000000002</v>
      </c>
      <c r="P283" t="str">
        <f>IFERROR(INDEX(Supplier_Lookup!$B$2:$B$200,MATCH(E283,Supplier_Lookup!$A$2:$A$200,0)),"Unmapped")</f>
        <v>Office &amp; Training</v>
      </c>
      <c r="Q283" s="10">
        <f>IFERROR(INDEX(Category_Targets!$B$2:$B$9,MATCH(F283,Category_Targets!$A$2:$A$9,0)),0)</f>
        <v>0.04</v>
      </c>
      <c r="R283" s="7">
        <f t="shared" si="9"/>
        <v>103.63120000000001</v>
      </c>
    </row>
    <row r="284" spans="1:18" x14ac:dyDescent="0.25">
      <c r="A284" s="5">
        <f>Procurement_Raw!A284</f>
        <v>45794</v>
      </c>
      <c r="B284" t="str">
        <f>Procurement_Raw!B284</f>
        <v>S019</v>
      </c>
      <c r="C284" t="str">
        <f>Procurement_Raw!C284</f>
        <v>Wrexham Care &amp; Education Centre</v>
      </c>
      <c r="D284" t="str">
        <f>Procurement_Raw!D284</f>
        <v>Wales</v>
      </c>
      <c r="E284" t="str">
        <f>Procurement_Raw!E284</f>
        <v>AutoCare</v>
      </c>
      <c r="F284" t="str">
        <f>Procurement_Raw!F284</f>
        <v>Vehicle &amp; Fuel</v>
      </c>
      <c r="G284" t="str">
        <f>Procurement_Raw!G284</f>
        <v>INV-2025-00283</v>
      </c>
      <c r="H284" s="6">
        <f>Procurement_Raw!H284</f>
        <v>11</v>
      </c>
      <c r="I284" s="7">
        <f>Procurement_Raw!I284</f>
        <v>227.28</v>
      </c>
      <c r="J284" s="7">
        <f>Procurement_Raw!J284</f>
        <v>2500.09</v>
      </c>
      <c r="K284" s="6">
        <f>Procurement_Raw!K284</f>
        <v>60</v>
      </c>
      <c r="L284" t="str">
        <f>Procurement_Raw!L284</f>
        <v>Procurement Portal</v>
      </c>
      <c r="M284" s="8">
        <f>Procurement_Raw!M284</f>
        <v>500.01799999999997</v>
      </c>
      <c r="N284" s="7">
        <f>Procurement_Raw!N284</f>
        <v>2500.09</v>
      </c>
      <c r="O284" s="7">
        <f t="shared" si="8"/>
        <v>2500.09</v>
      </c>
      <c r="P284" t="str">
        <f>IFERROR(INDEX(Supplier_Lookup!$B$2:$B$200,MATCH(E284,Supplier_Lookup!$A$2:$A$200,0)),"Unmapped")</f>
        <v>Vehicle &amp; Fuel</v>
      </c>
      <c r="Q284" s="10">
        <f>IFERROR(INDEX(Category_Targets!$B$2:$B$9,MATCH(F284,Category_Targets!$A$2:$A$9,0)),0)</f>
        <v>0.05</v>
      </c>
      <c r="R284" s="7">
        <f t="shared" si="9"/>
        <v>125.00450000000001</v>
      </c>
    </row>
    <row r="285" spans="1:18" x14ac:dyDescent="0.25">
      <c r="A285" s="5">
        <f>Procurement_Raw!A285</f>
        <v>45750</v>
      </c>
      <c r="B285" t="str">
        <f>Procurement_Raw!B285</f>
        <v>S012</v>
      </c>
      <c r="C285" t="str">
        <f>Procurement_Raw!C285</f>
        <v>Bristol Care &amp; Education Centre</v>
      </c>
      <c r="D285" t="str">
        <f>Procurement_Raw!D285</f>
        <v>South</v>
      </c>
      <c r="E285" t="str">
        <f>Procurement_Raw!E285</f>
        <v>NurseLink</v>
      </c>
      <c r="F285" t="str">
        <f>Procurement_Raw!F285</f>
        <v>Agency Labour</v>
      </c>
      <c r="G285" t="str">
        <f>Procurement_Raw!G285</f>
        <v>INV-2025-00284</v>
      </c>
      <c r="H285" s="6">
        <f>Procurement_Raw!H285</f>
        <v>70</v>
      </c>
      <c r="I285" s="7">
        <f>Procurement_Raw!I285</f>
        <v>151.86000000000001</v>
      </c>
      <c r="J285" s="7">
        <f>Procurement_Raw!J285</f>
        <v>10630.46</v>
      </c>
      <c r="K285" s="6">
        <f>Procurement_Raw!K285</f>
        <v>45</v>
      </c>
      <c r="L285" t="str">
        <f>Procurement_Raw!L285</f>
        <v>Procurement Portal</v>
      </c>
      <c r="M285" s="8">
        <f>Procurement_Raw!M285</f>
        <v>2126.0920000000001</v>
      </c>
      <c r="N285" s="7">
        <f>Procurement_Raw!N285</f>
        <v>10630.46</v>
      </c>
      <c r="O285" s="7">
        <f t="shared" si="8"/>
        <v>10630.46</v>
      </c>
      <c r="P285" t="str">
        <f>IFERROR(INDEX(Supplier_Lookup!$B$2:$B$200,MATCH(E285,Supplier_Lookup!$A$2:$A$200,0)),"Unmapped")</f>
        <v>Agency Labour</v>
      </c>
      <c r="Q285" s="10">
        <f>IFERROR(INDEX(Category_Targets!$B$2:$B$9,MATCH(F285,Category_Targets!$A$2:$A$9,0)),0)</f>
        <v>7.0000000000000007E-2</v>
      </c>
      <c r="R285" s="7">
        <f t="shared" si="9"/>
        <v>744.13220000000001</v>
      </c>
    </row>
    <row r="286" spans="1:18" x14ac:dyDescent="0.25">
      <c r="A286" s="5">
        <f>Procurement_Raw!A286</f>
        <v>45996</v>
      </c>
      <c r="B286" t="str">
        <f>Procurement_Raw!B286</f>
        <v>S001</v>
      </c>
      <c r="C286" t="str">
        <f>Procurement_Raw!C286</f>
        <v>Preston Care &amp; Education Centre</v>
      </c>
      <c r="D286" t="str">
        <f>Procurement_Raw!D286</f>
        <v>North</v>
      </c>
      <c r="E286" t="str">
        <f>Procurement_Raw!E286</f>
        <v>NourishCo</v>
      </c>
      <c r="F286" t="str">
        <f>Procurement_Raw!F286</f>
        <v>Food &amp; Catering</v>
      </c>
      <c r="G286" t="str">
        <f>Procurement_Raw!G286</f>
        <v>INV-2025-00285</v>
      </c>
      <c r="H286" s="6">
        <f>Procurement_Raw!H286</f>
        <v>38</v>
      </c>
      <c r="I286" s="7">
        <f>Procurement_Raw!I286</f>
        <v>210.09</v>
      </c>
      <c r="J286" s="7">
        <f>Procurement_Raw!J286</f>
        <v>7983.58</v>
      </c>
      <c r="K286" s="6">
        <f>Procurement_Raw!K286</f>
        <v>45</v>
      </c>
      <c r="L286" t="str">
        <f>Procurement_Raw!L286</f>
        <v>Procurement Portal</v>
      </c>
      <c r="M286" s="8">
        <f>Procurement_Raw!M286</f>
        <v>1596.7159999999999</v>
      </c>
      <c r="N286" s="7">
        <f>Procurement_Raw!N286</f>
        <v>7983.58</v>
      </c>
      <c r="O286" s="7">
        <f t="shared" si="8"/>
        <v>7983.58</v>
      </c>
      <c r="P286" t="str">
        <f>IFERROR(INDEX(Supplier_Lookup!$B$2:$B$200,MATCH(E286,Supplier_Lookup!$A$2:$A$200,0)),"Unmapped")</f>
        <v>Food &amp; Catering</v>
      </c>
      <c r="Q286" s="10">
        <f>IFERROR(INDEX(Category_Targets!$B$2:$B$9,MATCH(F286,Category_Targets!$A$2:$A$9,0)),0)</f>
        <v>0.04</v>
      </c>
      <c r="R286" s="7">
        <f t="shared" si="9"/>
        <v>319.34320000000002</v>
      </c>
    </row>
    <row r="287" spans="1:18" x14ac:dyDescent="0.25">
      <c r="A287" s="5">
        <f>Procurement_Raw!A287</f>
        <v>46011</v>
      </c>
      <c r="B287" t="str">
        <f>Procurement_Raw!B287</f>
        <v>S012</v>
      </c>
      <c r="C287" t="str">
        <f>Procurement_Raw!C287</f>
        <v>Bristol Care &amp; Education Centre</v>
      </c>
      <c r="D287" t="str">
        <f>Procurement_Raw!D287</f>
        <v>South</v>
      </c>
      <c r="E287" t="str">
        <f>Procurement_Raw!E287</f>
        <v>HealthStaffing</v>
      </c>
      <c r="F287" t="str">
        <f>Procurement_Raw!F287</f>
        <v>Agency Labour</v>
      </c>
      <c r="G287" t="str">
        <f>Procurement_Raw!G287</f>
        <v>INV-2025-00286</v>
      </c>
      <c r="H287" s="6">
        <f>Procurement_Raw!H287</f>
        <v>57</v>
      </c>
      <c r="I287" s="7">
        <f>Procurement_Raw!I287</f>
        <v>102.53</v>
      </c>
      <c r="J287" s="7">
        <f>Procurement_Raw!J287</f>
        <v>5844.09</v>
      </c>
      <c r="K287" s="6">
        <f>Procurement_Raw!K287</f>
        <v>45</v>
      </c>
      <c r="L287" t="str">
        <f>Procurement_Raw!L287</f>
        <v>Procurement Portal</v>
      </c>
      <c r="M287" s="8">
        <f>Procurement_Raw!M287</f>
        <v>1168.818</v>
      </c>
      <c r="N287" s="7">
        <f>Procurement_Raw!N287</f>
        <v>5844.09</v>
      </c>
      <c r="O287" s="7">
        <f t="shared" si="8"/>
        <v>5844.09</v>
      </c>
      <c r="P287" t="str">
        <f>IFERROR(INDEX(Supplier_Lookup!$B$2:$B$200,MATCH(E287,Supplier_Lookup!$A$2:$A$200,0)),"Unmapped")</f>
        <v>Agency Labour</v>
      </c>
      <c r="Q287" s="10">
        <f>IFERROR(INDEX(Category_Targets!$B$2:$B$9,MATCH(F287,Category_Targets!$A$2:$A$9,0)),0)</f>
        <v>7.0000000000000007E-2</v>
      </c>
      <c r="R287" s="7">
        <f t="shared" si="9"/>
        <v>409.08630000000005</v>
      </c>
    </row>
    <row r="288" spans="1:18" x14ac:dyDescent="0.25">
      <c r="A288" s="5">
        <f>Procurement_Raw!A288</f>
        <v>45880</v>
      </c>
      <c r="B288" t="str">
        <f>Procurement_Raw!B288</f>
        <v>S002</v>
      </c>
      <c r="C288" t="str">
        <f>Procurement_Raw!C288</f>
        <v>Manchester Care &amp; Education Centre</v>
      </c>
      <c r="D288" t="str">
        <f>Procurement_Raw!D288</f>
        <v>North</v>
      </c>
      <c r="E288" t="str">
        <f>Procurement_Raw!E288</f>
        <v>AutoCare</v>
      </c>
      <c r="F288" t="str">
        <f>Procurement_Raw!F288</f>
        <v>Vehicle &amp; Fuel</v>
      </c>
      <c r="G288" t="str">
        <f>Procurement_Raw!G288</f>
        <v>INV-2025-00287</v>
      </c>
      <c r="H288" s="6">
        <f>Procurement_Raw!H288</f>
        <v>36</v>
      </c>
      <c r="I288" s="7">
        <f>Procurement_Raw!I288</f>
        <v>87.39</v>
      </c>
      <c r="J288" s="7">
        <f>Procurement_Raw!J288</f>
        <v>3146.08</v>
      </c>
      <c r="K288" s="6">
        <f>Procurement_Raw!K288</f>
        <v>60</v>
      </c>
      <c r="L288" t="str">
        <f>Procurement_Raw!L288</f>
        <v>ERP</v>
      </c>
      <c r="M288" s="8">
        <f>Procurement_Raw!M288</f>
        <v>629.21600000000001</v>
      </c>
      <c r="N288" s="7">
        <f>Procurement_Raw!N288</f>
        <v>3146.08</v>
      </c>
      <c r="O288" s="7">
        <f t="shared" si="8"/>
        <v>3146.08</v>
      </c>
      <c r="P288" t="str">
        <f>IFERROR(INDEX(Supplier_Lookup!$B$2:$B$200,MATCH(E288,Supplier_Lookup!$A$2:$A$200,0)),"Unmapped")</f>
        <v>Vehicle &amp; Fuel</v>
      </c>
      <c r="Q288" s="10">
        <f>IFERROR(INDEX(Category_Targets!$B$2:$B$9,MATCH(F288,Category_Targets!$A$2:$A$9,0)),0)</f>
        <v>0.05</v>
      </c>
      <c r="R288" s="7">
        <f t="shared" si="9"/>
        <v>157.304</v>
      </c>
    </row>
    <row r="289" spans="1:18" x14ac:dyDescent="0.25">
      <c r="A289" s="5">
        <f>Procurement_Raw!A289</f>
        <v>45920</v>
      </c>
      <c r="B289" t="str">
        <f>Procurement_Raw!B289</f>
        <v>S020</v>
      </c>
      <c r="C289" t="str">
        <f>Procurement_Raw!C289</f>
        <v>Bangor Care &amp; Education Centre</v>
      </c>
      <c r="D289" t="str">
        <f>Procurement_Raw!D289</f>
        <v>Wales</v>
      </c>
      <c r="E289" t="str">
        <f>Procurement_Raw!E289</f>
        <v>CareTemps</v>
      </c>
      <c r="F289" t="str">
        <f>Procurement_Raw!F289</f>
        <v>Agency Labour</v>
      </c>
      <c r="G289" t="str">
        <f>Procurement_Raw!G289</f>
        <v>INV-2025-00288</v>
      </c>
      <c r="H289" s="6">
        <f>Procurement_Raw!H289</f>
        <v>21</v>
      </c>
      <c r="I289" s="7">
        <f>Procurement_Raw!I289</f>
        <v>414.62</v>
      </c>
      <c r="J289" s="7">
        <f>Procurement_Raw!J289</f>
        <v>8706.9699999999993</v>
      </c>
      <c r="K289" s="6">
        <f>Procurement_Raw!K289</f>
        <v>30</v>
      </c>
      <c r="L289" t="str">
        <f>Procurement_Raw!L289</f>
        <v>ERP</v>
      </c>
      <c r="M289" s="8">
        <f>Procurement_Raw!M289</f>
        <v>1741.394</v>
      </c>
      <c r="N289" s="7">
        <f>Procurement_Raw!N289</f>
        <v>8706.9699999999993</v>
      </c>
      <c r="O289" s="7">
        <f t="shared" si="8"/>
        <v>8706.9699999999993</v>
      </c>
      <c r="P289" t="str">
        <f>IFERROR(INDEX(Supplier_Lookup!$B$2:$B$200,MATCH(E289,Supplier_Lookup!$A$2:$A$200,0)),"Unmapped")</f>
        <v>Agency Labour</v>
      </c>
      <c r="Q289" s="10">
        <f>IFERROR(INDEX(Category_Targets!$B$2:$B$9,MATCH(F289,Category_Targets!$A$2:$A$9,0)),0)</f>
        <v>7.0000000000000007E-2</v>
      </c>
      <c r="R289" s="7">
        <f t="shared" si="9"/>
        <v>609.48789999999997</v>
      </c>
    </row>
    <row r="290" spans="1:18" x14ac:dyDescent="0.25">
      <c r="A290" s="5">
        <f>Procurement_Raw!A290</f>
        <v>45722</v>
      </c>
      <c r="B290" t="str">
        <f>Procurement_Raw!B290</f>
        <v>S013</v>
      </c>
      <c r="C290" t="str">
        <f>Procurement_Raw!C290</f>
        <v>Reading Care &amp; Education Centre</v>
      </c>
      <c r="D290" t="str">
        <f>Procurement_Raw!D290</f>
        <v>South</v>
      </c>
      <c r="E290" t="str">
        <f>Procurement_Raw!E290</f>
        <v>OfficePlus</v>
      </c>
      <c r="F290" t="str">
        <f>Procurement_Raw!F290</f>
        <v>Office &amp; Training</v>
      </c>
      <c r="G290" t="str">
        <f>Procurement_Raw!G290</f>
        <v>INV-2025-00289</v>
      </c>
      <c r="H290" s="6">
        <f>Procurement_Raw!H290</f>
        <v>9</v>
      </c>
      <c r="I290" s="7">
        <f>Procurement_Raw!I290</f>
        <v>87.53</v>
      </c>
      <c r="J290" s="7">
        <f>Procurement_Raw!J290</f>
        <v>787.81</v>
      </c>
      <c r="K290" s="6">
        <f>Procurement_Raw!K290</f>
        <v>30</v>
      </c>
      <c r="L290" t="str">
        <f>Procurement_Raw!L290</f>
        <v>Legacy Spend File</v>
      </c>
      <c r="M290" s="8">
        <f>Procurement_Raw!M290</f>
        <v>157.56200000000001</v>
      </c>
      <c r="N290" s="7">
        <f>Procurement_Raw!N290</f>
        <v>787.81</v>
      </c>
      <c r="O290" s="7">
        <f t="shared" si="8"/>
        <v>787.81</v>
      </c>
      <c r="P290" t="str">
        <f>IFERROR(INDEX(Supplier_Lookup!$B$2:$B$200,MATCH(E290,Supplier_Lookup!$A$2:$A$200,0)),"Unmapped")</f>
        <v>Office &amp; Training</v>
      </c>
      <c r="Q290" s="10">
        <f>IFERROR(INDEX(Category_Targets!$B$2:$B$9,MATCH(F290,Category_Targets!$A$2:$A$9,0)),0)</f>
        <v>0.04</v>
      </c>
      <c r="R290" s="7">
        <f t="shared" si="9"/>
        <v>31.5124</v>
      </c>
    </row>
    <row r="291" spans="1:18" x14ac:dyDescent="0.25">
      <c r="A291" s="5">
        <f>Procurement_Raw!A291</f>
        <v>45948</v>
      </c>
      <c r="B291" t="str">
        <f>Procurement_Raw!B291</f>
        <v>S009</v>
      </c>
      <c r="C291" t="str">
        <f>Procurement_Raw!C291</f>
        <v>Derby Care &amp; Education Centre</v>
      </c>
      <c r="D291" t="str">
        <f>Procurement_Raw!D291</f>
        <v>Midlands</v>
      </c>
      <c r="E291" t="str">
        <f>Procurement_Raw!E291</f>
        <v>RoadReady</v>
      </c>
      <c r="F291" t="str">
        <f>Procurement_Raw!F291</f>
        <v>Vehicle &amp; Fuel</v>
      </c>
      <c r="G291" t="str">
        <f>Procurement_Raw!G291</f>
        <v>INV-2025-00290</v>
      </c>
      <c r="H291" s="6">
        <f>Procurement_Raw!H291</f>
        <v>5</v>
      </c>
      <c r="I291" s="7">
        <f>Procurement_Raw!I291</f>
        <v>67.45</v>
      </c>
      <c r="J291" s="7">
        <f>Procurement_Raw!J291</f>
        <v>337.25</v>
      </c>
      <c r="K291" s="6">
        <f>Procurement_Raw!K291</f>
        <v>60</v>
      </c>
      <c r="L291" t="str">
        <f>Procurement_Raw!L291</f>
        <v>ERP</v>
      </c>
      <c r="M291" s="8">
        <f>Procurement_Raw!M291</f>
        <v>67.45</v>
      </c>
      <c r="N291" s="7">
        <f>Procurement_Raw!N291</f>
        <v>337.25</v>
      </c>
      <c r="O291" s="7">
        <f t="shared" si="8"/>
        <v>337.25</v>
      </c>
      <c r="P291" t="str">
        <f>IFERROR(INDEX(Supplier_Lookup!$B$2:$B$200,MATCH(E291,Supplier_Lookup!$A$2:$A$200,0)),"Unmapped")</f>
        <v>Vehicle &amp; Fuel</v>
      </c>
      <c r="Q291" s="10">
        <f>IFERROR(INDEX(Category_Targets!$B$2:$B$9,MATCH(F291,Category_Targets!$A$2:$A$9,0)),0)</f>
        <v>0.05</v>
      </c>
      <c r="R291" s="7">
        <f t="shared" si="9"/>
        <v>16.862500000000001</v>
      </c>
    </row>
    <row r="292" spans="1:18" x14ac:dyDescent="0.25">
      <c r="A292" s="5">
        <f>Procurement_Raw!A292</f>
        <v>45848</v>
      </c>
      <c r="B292" t="str">
        <f>Procurement_Raw!B292</f>
        <v>S017</v>
      </c>
      <c r="C292" t="str">
        <f>Procurement_Raw!C292</f>
        <v>Swansea Care &amp; Education Centre</v>
      </c>
      <c r="D292" t="str">
        <f>Procurement_Raw!D292</f>
        <v>Wales</v>
      </c>
      <c r="E292" t="str">
        <f>Procurement_Raw!E292</f>
        <v>LearnWell</v>
      </c>
      <c r="F292" t="str">
        <f>Procurement_Raw!F292</f>
        <v>Office &amp; Training</v>
      </c>
      <c r="G292" t="str">
        <f>Procurement_Raw!G292</f>
        <v>INV-2025-00291</v>
      </c>
      <c r="H292" s="6">
        <f>Procurement_Raw!H292</f>
        <v>57</v>
      </c>
      <c r="I292" s="7">
        <f>Procurement_Raw!I292</f>
        <v>66.89</v>
      </c>
      <c r="J292" s="7">
        <f>Procurement_Raw!J292</f>
        <v>3812.62</v>
      </c>
      <c r="K292" s="6">
        <f>Procurement_Raw!K292</f>
        <v>30</v>
      </c>
      <c r="L292" t="str">
        <f>Procurement_Raw!L292</f>
        <v>Legacy Spend File</v>
      </c>
      <c r="M292" s="8">
        <f>Procurement_Raw!M292</f>
        <v>762.524</v>
      </c>
      <c r="N292" s="7">
        <f>Procurement_Raw!N292</f>
        <v>3812.62</v>
      </c>
      <c r="O292" s="7">
        <f t="shared" si="8"/>
        <v>3812.62</v>
      </c>
      <c r="P292" t="str">
        <f>IFERROR(INDEX(Supplier_Lookup!$B$2:$B$200,MATCH(E292,Supplier_Lookup!$A$2:$A$200,0)),"Unmapped")</f>
        <v>Office &amp; Training</v>
      </c>
      <c r="Q292" s="10">
        <f>IFERROR(INDEX(Category_Targets!$B$2:$B$9,MATCH(F292,Category_Targets!$A$2:$A$9,0)),0)</f>
        <v>0.04</v>
      </c>
      <c r="R292" s="7">
        <f t="shared" si="9"/>
        <v>152.50479999999999</v>
      </c>
    </row>
    <row r="293" spans="1:18" x14ac:dyDescent="0.25">
      <c r="A293" s="5">
        <f>Procurement_Raw!A293</f>
        <v>45818</v>
      </c>
      <c r="B293" t="str">
        <f>Procurement_Raw!B293</f>
        <v>S001</v>
      </c>
      <c r="C293" t="str">
        <f>Procurement_Raw!C293</f>
        <v>Preston Care &amp; Education Centre</v>
      </c>
      <c r="D293" t="str">
        <f>Procurement_Raw!D293</f>
        <v>North</v>
      </c>
      <c r="E293" t="str">
        <f>Procurement_Raw!E293</f>
        <v>RoadReady</v>
      </c>
      <c r="F293" t="str">
        <f>Procurement_Raw!F293</f>
        <v>Vehicle &amp; Fuel</v>
      </c>
      <c r="G293" t="str">
        <f>Procurement_Raw!G293</f>
        <v>INV-2025-00292</v>
      </c>
      <c r="H293" s="6">
        <f>Procurement_Raw!H293</f>
        <v>36</v>
      </c>
      <c r="I293" s="7">
        <f>Procurement_Raw!I293</f>
        <v>72.44</v>
      </c>
      <c r="J293" s="7">
        <f>Procurement_Raw!J293</f>
        <v>2607.7600000000002</v>
      </c>
      <c r="K293" s="6">
        <f>Procurement_Raw!K293</f>
        <v>30</v>
      </c>
      <c r="L293" t="str">
        <f>Procurement_Raw!L293</f>
        <v>ERP</v>
      </c>
      <c r="M293" s="8">
        <f>Procurement_Raw!M293</f>
        <v>521.55200000000002</v>
      </c>
      <c r="N293" s="7">
        <f>Procurement_Raw!N293</f>
        <v>2607.7600000000002</v>
      </c>
      <c r="O293" s="7">
        <f t="shared" si="8"/>
        <v>2607.7600000000002</v>
      </c>
      <c r="P293" t="str">
        <f>IFERROR(INDEX(Supplier_Lookup!$B$2:$B$200,MATCH(E293,Supplier_Lookup!$A$2:$A$200,0)),"Unmapped")</f>
        <v>Vehicle &amp; Fuel</v>
      </c>
      <c r="Q293" s="10">
        <f>IFERROR(INDEX(Category_Targets!$B$2:$B$9,MATCH(F293,Category_Targets!$A$2:$A$9,0)),0)</f>
        <v>0.05</v>
      </c>
      <c r="R293" s="7">
        <f t="shared" si="9"/>
        <v>130.38800000000001</v>
      </c>
    </row>
    <row r="294" spans="1:18" x14ac:dyDescent="0.25">
      <c r="A294" s="5">
        <f>Procurement_Raw!A294</f>
        <v>45923</v>
      </c>
      <c r="B294" t="str">
        <f>Procurement_Raw!B294</f>
        <v>S010</v>
      </c>
      <c r="C294" t="str">
        <f>Procurement_Raw!C294</f>
        <v>Coventry Care &amp; Education Centre</v>
      </c>
      <c r="D294" t="str">
        <f>Procurement_Raw!D294</f>
        <v>Midlands</v>
      </c>
      <c r="E294" t="str">
        <f>Procurement_Raw!E294</f>
        <v>SafeGuard FM</v>
      </c>
      <c r="F294" t="str">
        <f>Procurement_Raw!F294</f>
        <v>Facilities</v>
      </c>
      <c r="G294" t="str">
        <f>Procurement_Raw!G294</f>
        <v>INV-2025-00293</v>
      </c>
      <c r="H294" s="6">
        <f>Procurement_Raw!H294</f>
        <v>50</v>
      </c>
      <c r="I294" s="7">
        <f>Procurement_Raw!I294</f>
        <v>130.16999999999999</v>
      </c>
      <c r="J294" s="7">
        <f>Procurement_Raw!J294</f>
        <v>6508.27</v>
      </c>
      <c r="K294" s="6">
        <f>Procurement_Raw!K294</f>
        <v>60</v>
      </c>
      <c r="L294" t="str">
        <f>Procurement_Raw!L294</f>
        <v>ERP</v>
      </c>
      <c r="M294" s="8">
        <f>Procurement_Raw!M294</f>
        <v>1301.654</v>
      </c>
      <c r="N294" s="7">
        <f>Procurement_Raw!N294</f>
        <v>6508.27</v>
      </c>
      <c r="O294" s="7">
        <f t="shared" si="8"/>
        <v>6508.27</v>
      </c>
      <c r="P294" t="str">
        <f>IFERROR(INDEX(Supplier_Lookup!$B$2:$B$200,MATCH(E294,Supplier_Lookup!$A$2:$A$200,0)),"Unmapped")</f>
        <v>Facilities</v>
      </c>
      <c r="Q294" s="10">
        <f>IFERROR(INDEX(Category_Targets!$B$2:$B$9,MATCH(F294,Category_Targets!$A$2:$A$9,0)),0)</f>
        <v>0.05</v>
      </c>
      <c r="R294" s="7">
        <f t="shared" si="9"/>
        <v>325.41350000000006</v>
      </c>
    </row>
    <row r="295" spans="1:18" x14ac:dyDescent="0.25">
      <c r="A295" s="5">
        <f>Procurement_Raw!A295</f>
        <v>45886</v>
      </c>
      <c r="B295" t="str">
        <f>Procurement_Raw!B295</f>
        <v>S019</v>
      </c>
      <c r="C295" t="str">
        <f>Procurement_Raw!C295</f>
        <v>Wrexham Care &amp; Education Centre</v>
      </c>
      <c r="D295" t="str">
        <f>Procurement_Raw!D295</f>
        <v>Wales</v>
      </c>
      <c r="E295" t="str">
        <f>Procurement_Raw!E295</f>
        <v>NetServe</v>
      </c>
      <c r="F295" t="str">
        <f>Procurement_Raw!F295</f>
        <v>IT &amp; Telecoms</v>
      </c>
      <c r="G295" t="str">
        <f>Procurement_Raw!G295</f>
        <v>INV-2025-00294</v>
      </c>
      <c r="H295" s="6">
        <f>Procurement_Raw!H295</f>
        <v>28</v>
      </c>
      <c r="I295" s="7">
        <f>Procurement_Raw!I295</f>
        <v>351.04</v>
      </c>
      <c r="J295" s="7">
        <f>Procurement_Raw!J295</f>
        <v>9829.2000000000007</v>
      </c>
      <c r="K295" s="6">
        <f>Procurement_Raw!K295</f>
        <v>60</v>
      </c>
      <c r="L295" t="str">
        <f>Procurement_Raw!L295</f>
        <v>Procurement Portal</v>
      </c>
      <c r="M295" s="8">
        <f>Procurement_Raw!M295</f>
        <v>1965.84</v>
      </c>
      <c r="N295" s="7">
        <f>Procurement_Raw!N295</f>
        <v>9829.2000000000007</v>
      </c>
      <c r="O295" s="7">
        <f t="shared" si="8"/>
        <v>9829.2000000000007</v>
      </c>
      <c r="P295" t="str">
        <f>IFERROR(INDEX(Supplier_Lookup!$B$2:$B$200,MATCH(E295,Supplier_Lookup!$A$2:$A$200,0)),"Unmapped")</f>
        <v>IT &amp; Telecoms</v>
      </c>
      <c r="Q295" s="10">
        <f>IFERROR(INDEX(Category_Targets!$B$2:$B$9,MATCH(F295,Category_Targets!$A$2:$A$9,0)),0)</f>
        <v>0.08</v>
      </c>
      <c r="R295" s="7">
        <f t="shared" si="9"/>
        <v>786.33600000000013</v>
      </c>
    </row>
    <row r="296" spans="1:18" x14ac:dyDescent="0.25">
      <c r="A296" s="5">
        <f>Procurement_Raw!A296</f>
        <v>45720</v>
      </c>
      <c r="B296" t="str">
        <f>Procurement_Raw!B296</f>
        <v>S014</v>
      </c>
      <c r="C296" t="str">
        <f>Procurement_Raw!C296</f>
        <v>Southampton Care &amp; Education Centre</v>
      </c>
      <c r="D296" t="str">
        <f>Procurement_Raw!D296</f>
        <v>South</v>
      </c>
      <c r="E296" t="str">
        <f>Procurement_Raw!E296</f>
        <v>OfficePlus</v>
      </c>
      <c r="F296" t="str">
        <f>Procurement_Raw!F296</f>
        <v>Office &amp; Training</v>
      </c>
      <c r="G296" t="str">
        <f>Procurement_Raw!G296</f>
        <v>INV-2025-00295</v>
      </c>
      <c r="H296" s="6">
        <f>Procurement_Raw!H296</f>
        <v>18</v>
      </c>
      <c r="I296" s="7">
        <f>Procurement_Raw!I296</f>
        <v>91.27</v>
      </c>
      <c r="J296" s="7">
        <f>Procurement_Raw!J296</f>
        <v>1642.9</v>
      </c>
      <c r="K296" s="6">
        <f>Procurement_Raw!K296</f>
        <v>30</v>
      </c>
      <c r="L296" t="str">
        <f>Procurement_Raw!L296</f>
        <v>Procurement Portal</v>
      </c>
      <c r="M296" s="8">
        <f>Procurement_Raw!M296</f>
        <v>328.58</v>
      </c>
      <c r="N296" s="7">
        <f>Procurement_Raw!N296</f>
        <v>1642.9</v>
      </c>
      <c r="O296" s="7">
        <f t="shared" si="8"/>
        <v>1642.9</v>
      </c>
      <c r="P296" t="str">
        <f>IFERROR(INDEX(Supplier_Lookup!$B$2:$B$200,MATCH(E296,Supplier_Lookup!$A$2:$A$200,0)),"Unmapped")</f>
        <v>Office &amp; Training</v>
      </c>
      <c r="Q296" s="10">
        <f>IFERROR(INDEX(Category_Targets!$B$2:$B$9,MATCH(F296,Category_Targets!$A$2:$A$9,0)),0)</f>
        <v>0.04</v>
      </c>
      <c r="R296" s="7">
        <f t="shared" si="9"/>
        <v>65.716000000000008</v>
      </c>
    </row>
    <row r="297" spans="1:18" x14ac:dyDescent="0.25">
      <c r="A297" s="5">
        <f>Procurement_Raw!A297</f>
        <v>46007</v>
      </c>
      <c r="B297" t="str">
        <f>Procurement_Raw!B297</f>
        <v>S009</v>
      </c>
      <c r="C297" t="str">
        <f>Procurement_Raw!C297</f>
        <v>Derby Care &amp; Education Centre</v>
      </c>
      <c r="D297" t="str">
        <f>Procurement_Raw!D297</f>
        <v>Midlands</v>
      </c>
      <c r="E297" t="str">
        <f>Procurement_Raw!E297</f>
        <v>OfficePlus</v>
      </c>
      <c r="F297" t="str">
        <f>Procurement_Raw!F297</f>
        <v>Office &amp; Training</v>
      </c>
      <c r="G297" t="str">
        <f>Procurement_Raw!G297</f>
        <v>INV-2025-00296</v>
      </c>
      <c r="H297" s="6">
        <f>Procurement_Raw!H297</f>
        <v>41</v>
      </c>
      <c r="I297" s="7">
        <f>Procurement_Raw!I297</f>
        <v>51.23</v>
      </c>
      <c r="J297" s="7">
        <f>Procurement_Raw!J297</f>
        <v>2100.56</v>
      </c>
      <c r="K297" s="6">
        <f>Procurement_Raw!K297</f>
        <v>60</v>
      </c>
      <c r="L297" t="str">
        <f>Procurement_Raw!L297</f>
        <v>Procurement Portal</v>
      </c>
      <c r="M297" s="8">
        <f>Procurement_Raw!M297</f>
        <v>420.11200000000002</v>
      </c>
      <c r="N297" s="7">
        <f>Procurement_Raw!N297</f>
        <v>2100.56</v>
      </c>
      <c r="O297" s="7">
        <f t="shared" si="8"/>
        <v>2100.56</v>
      </c>
      <c r="P297" t="str">
        <f>IFERROR(INDEX(Supplier_Lookup!$B$2:$B$200,MATCH(E297,Supplier_Lookup!$A$2:$A$200,0)),"Unmapped")</f>
        <v>Office &amp; Training</v>
      </c>
      <c r="Q297" s="10">
        <f>IFERROR(INDEX(Category_Targets!$B$2:$B$9,MATCH(F297,Category_Targets!$A$2:$A$9,0)),0)</f>
        <v>0.04</v>
      </c>
      <c r="R297" s="7">
        <f t="shared" si="9"/>
        <v>84.022400000000005</v>
      </c>
    </row>
    <row r="298" spans="1:18" x14ac:dyDescent="0.25">
      <c r="A298" s="5">
        <f>Procurement_Raw!A298</f>
        <v>45935</v>
      </c>
      <c r="B298" t="str">
        <f>Procurement_Raw!B298</f>
        <v>S002</v>
      </c>
      <c r="C298" t="str">
        <f>Procurement_Raw!C298</f>
        <v>Manchester Care &amp; Education Centre</v>
      </c>
      <c r="D298" t="str">
        <f>Procurement_Raw!D298</f>
        <v>North</v>
      </c>
      <c r="E298" t="str">
        <f>Procurement_Raw!E298</f>
        <v>KitchenPro</v>
      </c>
      <c r="F298" t="str">
        <f>Procurement_Raw!F298</f>
        <v>Food &amp; Catering</v>
      </c>
      <c r="G298" t="str">
        <f>Procurement_Raw!G298</f>
        <v>INV-2025-00297</v>
      </c>
      <c r="H298" s="6">
        <f>Procurement_Raw!H298</f>
        <v>38</v>
      </c>
      <c r="I298" s="7">
        <f>Procurement_Raw!I298</f>
        <v>106.61</v>
      </c>
      <c r="J298" s="7">
        <f>Procurement_Raw!J298</f>
        <v>4051.14</v>
      </c>
      <c r="K298" s="6">
        <f>Procurement_Raw!K298</f>
        <v>45</v>
      </c>
      <c r="L298" t="str">
        <f>Procurement_Raw!L298</f>
        <v>ERP</v>
      </c>
      <c r="M298" s="8">
        <f>Procurement_Raw!M298</f>
        <v>810.22799999999995</v>
      </c>
      <c r="N298" s="7">
        <f>Procurement_Raw!N298</f>
        <v>4051.14</v>
      </c>
      <c r="O298" s="7">
        <f t="shared" si="8"/>
        <v>4051.14</v>
      </c>
      <c r="P298" t="str">
        <f>IFERROR(INDEX(Supplier_Lookup!$B$2:$B$200,MATCH(E298,Supplier_Lookup!$A$2:$A$200,0)),"Unmapped")</f>
        <v>Food &amp; Catering</v>
      </c>
      <c r="Q298" s="10">
        <f>IFERROR(INDEX(Category_Targets!$B$2:$B$9,MATCH(F298,Category_Targets!$A$2:$A$9,0)),0)</f>
        <v>0.04</v>
      </c>
      <c r="R298" s="7">
        <f t="shared" si="9"/>
        <v>162.04560000000001</v>
      </c>
    </row>
    <row r="299" spans="1:18" x14ac:dyDescent="0.25">
      <c r="A299" s="5">
        <f>Procurement_Raw!A299</f>
        <v>45918</v>
      </c>
      <c r="B299" t="str">
        <f>Procurement_Raw!B299</f>
        <v>S020</v>
      </c>
      <c r="C299" t="str">
        <f>Procurement_Raw!C299</f>
        <v>Bangor Care &amp; Education Centre</v>
      </c>
      <c r="D299" t="str">
        <f>Procurement_Raw!D299</f>
        <v>Wales</v>
      </c>
      <c r="E299" t="str">
        <f>Procurement_Raw!E299</f>
        <v>SafeGuard FM</v>
      </c>
      <c r="F299" t="str">
        <f>Procurement_Raw!F299</f>
        <v>Facilities</v>
      </c>
      <c r="G299" t="str">
        <f>Procurement_Raw!G299</f>
        <v>INV-2025-00298</v>
      </c>
      <c r="H299" s="6">
        <f>Procurement_Raw!H299</f>
        <v>29</v>
      </c>
      <c r="I299" s="7">
        <f>Procurement_Raw!I299</f>
        <v>213.14</v>
      </c>
      <c r="J299" s="7">
        <f>Procurement_Raw!J299</f>
        <v>6181.2</v>
      </c>
      <c r="K299" s="6">
        <f>Procurement_Raw!K299</f>
        <v>30</v>
      </c>
      <c r="L299" t="str">
        <f>Procurement_Raw!L299</f>
        <v>ERP</v>
      </c>
      <c r="M299" s="8">
        <f>Procurement_Raw!M299</f>
        <v>1236.24</v>
      </c>
      <c r="N299" s="7">
        <f>Procurement_Raw!N299</f>
        <v>6181.2</v>
      </c>
      <c r="O299" s="7">
        <f t="shared" si="8"/>
        <v>6181.2</v>
      </c>
      <c r="P299" t="str">
        <f>IFERROR(INDEX(Supplier_Lookup!$B$2:$B$200,MATCH(E299,Supplier_Lookup!$A$2:$A$200,0)),"Unmapped")</f>
        <v>Facilities</v>
      </c>
      <c r="Q299" s="10">
        <f>IFERROR(INDEX(Category_Targets!$B$2:$B$9,MATCH(F299,Category_Targets!$A$2:$A$9,0)),0)</f>
        <v>0.05</v>
      </c>
      <c r="R299" s="7">
        <f t="shared" si="9"/>
        <v>309.06</v>
      </c>
    </row>
    <row r="300" spans="1:18" x14ac:dyDescent="0.25">
      <c r="A300" s="5">
        <f>Procurement_Raw!A300</f>
        <v>45671</v>
      </c>
      <c r="B300" t="str">
        <f>Procurement_Raw!B300</f>
        <v>S013</v>
      </c>
      <c r="C300" t="str">
        <f>Procurement_Raw!C300</f>
        <v>Reading Care &amp; Education Centre</v>
      </c>
      <c r="D300" t="str">
        <f>Procurement_Raw!D300</f>
        <v>South</v>
      </c>
      <c r="E300" t="str">
        <f>Procurement_Raw!E300</f>
        <v>WaterGrid</v>
      </c>
      <c r="F300" t="str">
        <f>Procurement_Raw!F300</f>
        <v>Utilities</v>
      </c>
      <c r="G300" t="str">
        <f>Procurement_Raw!G300</f>
        <v>INV-2025-00299</v>
      </c>
      <c r="H300" s="6">
        <f>Procurement_Raw!H300</f>
        <v>47</v>
      </c>
      <c r="I300" s="7">
        <f>Procurement_Raw!I300</f>
        <v>390.93</v>
      </c>
      <c r="J300" s="7">
        <f>Procurement_Raw!J300</f>
        <v>18373.830000000002</v>
      </c>
      <c r="K300" s="6">
        <f>Procurement_Raw!K300</f>
        <v>60</v>
      </c>
      <c r="L300" t="str">
        <f>Procurement_Raw!L300</f>
        <v>Legacy Spend File</v>
      </c>
      <c r="M300" s="8">
        <f>Procurement_Raw!M300</f>
        <v>3674.7660000000001</v>
      </c>
      <c r="N300" s="7">
        <f>Procurement_Raw!N300</f>
        <v>18373.830000000002</v>
      </c>
      <c r="O300" s="7">
        <f t="shared" si="8"/>
        <v>18373.830000000002</v>
      </c>
      <c r="P300" t="str">
        <f>IFERROR(INDEX(Supplier_Lookup!$B$2:$B$200,MATCH(E300,Supplier_Lookup!$A$2:$A$200,0)),"Unmapped")</f>
        <v>Utilities</v>
      </c>
      <c r="Q300" s="10">
        <f>IFERROR(INDEX(Category_Targets!$B$2:$B$9,MATCH(F300,Category_Targets!$A$2:$A$9,0)),0)</f>
        <v>0.03</v>
      </c>
      <c r="R300" s="7">
        <f t="shared" si="9"/>
        <v>551.21490000000006</v>
      </c>
    </row>
    <row r="301" spans="1:18" x14ac:dyDescent="0.25">
      <c r="A301" s="5">
        <f>Procurement_Raw!A301</f>
        <v>45724</v>
      </c>
      <c r="B301" t="str">
        <f>Procurement_Raw!B301</f>
        <v>S013</v>
      </c>
      <c r="C301" t="str">
        <f>Procurement_Raw!C301</f>
        <v>Reading Care &amp; Education Centre</v>
      </c>
      <c r="D301" t="str">
        <f>Procurement_Raw!D301</f>
        <v>South</v>
      </c>
      <c r="E301" t="str">
        <f>Procurement_Raw!E301</f>
        <v>PrintCo</v>
      </c>
      <c r="F301" t="str">
        <f>Procurement_Raw!F301</f>
        <v>Office &amp; Training</v>
      </c>
      <c r="G301" t="str">
        <f>Procurement_Raw!G301</f>
        <v>INV-2025-00300</v>
      </c>
      <c r="H301" s="6">
        <f>Procurement_Raw!H301</f>
        <v>79</v>
      </c>
      <c r="I301" s="7">
        <f>Procurement_Raw!I301</f>
        <v>106.04</v>
      </c>
      <c r="J301" s="7">
        <f>Procurement_Raw!J301</f>
        <v>8376.89</v>
      </c>
      <c r="K301" s="6">
        <f>Procurement_Raw!K301</f>
        <v>30</v>
      </c>
      <c r="L301" t="str">
        <f>Procurement_Raw!L301</f>
        <v>ERP</v>
      </c>
      <c r="M301" s="8">
        <f>Procurement_Raw!M301</f>
        <v>1675.3779999999999</v>
      </c>
      <c r="N301" s="7">
        <f>Procurement_Raw!N301</f>
        <v>8376.89</v>
      </c>
      <c r="O301" s="7">
        <f t="shared" si="8"/>
        <v>8376.89</v>
      </c>
      <c r="P301" t="str">
        <f>IFERROR(INDEX(Supplier_Lookup!$B$2:$B$200,MATCH(E301,Supplier_Lookup!$A$2:$A$200,0)),"Unmapped")</f>
        <v>Office &amp; Training</v>
      </c>
      <c r="Q301" s="10">
        <f>IFERROR(INDEX(Category_Targets!$B$2:$B$9,MATCH(F301,Category_Targets!$A$2:$A$9,0)),0)</f>
        <v>0.04</v>
      </c>
      <c r="R301" s="7">
        <f t="shared" si="9"/>
        <v>335.07560000000001</v>
      </c>
    </row>
    <row r="302" spans="1:18" x14ac:dyDescent="0.25">
      <c r="A302" s="5">
        <f>Procurement_Raw!A302</f>
        <v>45903</v>
      </c>
      <c r="B302" t="str">
        <f>Procurement_Raw!B302</f>
        <v>S015</v>
      </c>
      <c r="C302" t="str">
        <f>Procurement_Raw!C302</f>
        <v>Brighton Care &amp; Education Centre</v>
      </c>
      <c r="D302" t="str">
        <f>Procurement_Raw!D302</f>
        <v>South</v>
      </c>
      <c r="E302" t="str">
        <f>Procurement_Raw!E302</f>
        <v>NurseLink</v>
      </c>
      <c r="F302" t="str">
        <f>Procurement_Raw!F302</f>
        <v>Agency Labour</v>
      </c>
      <c r="G302" t="str">
        <f>Procurement_Raw!G302</f>
        <v>INV-2025-00301</v>
      </c>
      <c r="H302" s="6">
        <f>Procurement_Raw!H302</f>
        <v>68</v>
      </c>
      <c r="I302" s="7">
        <f>Procurement_Raw!I302</f>
        <v>190.15</v>
      </c>
      <c r="J302" s="7">
        <f>Procurement_Raw!J302</f>
        <v>12930.48</v>
      </c>
      <c r="K302" s="6">
        <f>Procurement_Raw!K302</f>
        <v>45</v>
      </c>
      <c r="L302" t="str">
        <f>Procurement_Raw!L302</f>
        <v>Procurement Portal</v>
      </c>
      <c r="M302" s="8">
        <f>Procurement_Raw!M302</f>
        <v>2586.096</v>
      </c>
      <c r="N302" s="7">
        <f>Procurement_Raw!N302</f>
        <v>12930.48</v>
      </c>
      <c r="O302" s="7">
        <f t="shared" si="8"/>
        <v>12930.48</v>
      </c>
      <c r="P302" t="str">
        <f>IFERROR(INDEX(Supplier_Lookup!$B$2:$B$200,MATCH(E302,Supplier_Lookup!$A$2:$A$200,0)),"Unmapped")</f>
        <v>Agency Labour</v>
      </c>
      <c r="Q302" s="10">
        <f>IFERROR(INDEX(Category_Targets!$B$2:$B$9,MATCH(F302,Category_Targets!$A$2:$A$9,0)),0)</f>
        <v>7.0000000000000007E-2</v>
      </c>
      <c r="R302" s="7">
        <f t="shared" si="9"/>
        <v>905.1336</v>
      </c>
    </row>
    <row r="303" spans="1:18" x14ac:dyDescent="0.25">
      <c r="A303" s="5">
        <f>Procurement_Raw!A303</f>
        <v>45820</v>
      </c>
      <c r="B303" t="str">
        <f>Procurement_Raw!B303</f>
        <v>S019</v>
      </c>
      <c r="C303" t="str">
        <f>Procurement_Raw!C303</f>
        <v>Wrexham Care &amp; Education Centre</v>
      </c>
      <c r="D303" t="str">
        <f>Procurement_Raw!D303</f>
        <v>Wales</v>
      </c>
      <c r="E303" t="str">
        <f>Procurement_Raw!E303</f>
        <v>FreshServe</v>
      </c>
      <c r="F303" t="str">
        <f>Procurement_Raw!F303</f>
        <v>Food &amp; Catering</v>
      </c>
      <c r="G303" t="str">
        <f>Procurement_Raw!G303</f>
        <v>INV-2025-00302</v>
      </c>
      <c r="H303" s="6">
        <f>Procurement_Raw!H303</f>
        <v>10</v>
      </c>
      <c r="I303" s="7">
        <f>Procurement_Raw!I303</f>
        <v>47.76</v>
      </c>
      <c r="J303" s="7">
        <f>Procurement_Raw!J303</f>
        <v>477.65</v>
      </c>
      <c r="K303" s="6">
        <f>Procurement_Raw!K303</f>
        <v>45</v>
      </c>
      <c r="L303" t="str">
        <f>Procurement_Raw!L303</f>
        <v>Procurement Portal</v>
      </c>
      <c r="M303" s="8">
        <f>Procurement_Raw!M303</f>
        <v>95.53</v>
      </c>
      <c r="N303" s="7">
        <f>Procurement_Raw!N303</f>
        <v>477.65</v>
      </c>
      <c r="O303" s="7">
        <f t="shared" si="8"/>
        <v>477.65</v>
      </c>
      <c r="P303" t="str">
        <f>IFERROR(INDEX(Supplier_Lookup!$B$2:$B$200,MATCH(E303,Supplier_Lookup!$A$2:$A$200,0)),"Unmapped")</f>
        <v>Food &amp; Catering</v>
      </c>
      <c r="Q303" s="10">
        <f>IFERROR(INDEX(Category_Targets!$B$2:$B$9,MATCH(F303,Category_Targets!$A$2:$A$9,0)),0)</f>
        <v>0.04</v>
      </c>
      <c r="R303" s="7">
        <f t="shared" si="9"/>
        <v>19.105999999999998</v>
      </c>
    </row>
    <row r="304" spans="1:18" x14ac:dyDescent="0.25">
      <c r="A304" s="5">
        <f>Procurement_Raw!A304</f>
        <v>45940</v>
      </c>
      <c r="B304" t="str">
        <f>Procurement_Raw!B304</f>
        <v>S012</v>
      </c>
      <c r="C304" t="str">
        <f>Procurement_Raw!C304</f>
        <v>Bristol Care &amp; Education Centre</v>
      </c>
      <c r="D304" t="str">
        <f>Procurement_Raw!D304</f>
        <v>South</v>
      </c>
      <c r="E304" t="str">
        <f>Procurement_Raw!E304</f>
        <v>FleetFuel</v>
      </c>
      <c r="F304" t="str">
        <f>Procurement_Raw!F304</f>
        <v>Vehicle &amp; Fuel</v>
      </c>
      <c r="G304" t="str">
        <f>Procurement_Raw!G304</f>
        <v>INV-2025-00303</v>
      </c>
      <c r="H304" s="6">
        <f>Procurement_Raw!H304</f>
        <v>76</v>
      </c>
      <c r="I304" s="7">
        <f>Procurement_Raw!I304</f>
        <v>143.29</v>
      </c>
      <c r="J304" s="7">
        <f>Procurement_Raw!J304</f>
        <v>10890.23</v>
      </c>
      <c r="K304" s="6">
        <f>Procurement_Raw!K304</f>
        <v>30</v>
      </c>
      <c r="L304" t="str">
        <f>Procurement_Raw!L304</f>
        <v>ERP</v>
      </c>
      <c r="M304" s="8">
        <f>Procurement_Raw!M304</f>
        <v>2178.0459999999998</v>
      </c>
      <c r="N304" s="7">
        <f>Procurement_Raw!N304</f>
        <v>10890.23</v>
      </c>
      <c r="O304" s="7">
        <f t="shared" si="8"/>
        <v>10890.23</v>
      </c>
      <c r="P304" t="str">
        <f>IFERROR(INDEX(Supplier_Lookup!$B$2:$B$200,MATCH(E304,Supplier_Lookup!$A$2:$A$200,0)),"Unmapped")</f>
        <v>Vehicle &amp; Fuel</v>
      </c>
      <c r="Q304" s="10">
        <f>IFERROR(INDEX(Category_Targets!$B$2:$B$9,MATCH(F304,Category_Targets!$A$2:$A$9,0)),0)</f>
        <v>0.05</v>
      </c>
      <c r="R304" s="7">
        <f t="shared" si="9"/>
        <v>544.51149999999996</v>
      </c>
    </row>
    <row r="305" spans="1:18" x14ac:dyDescent="0.25">
      <c r="A305" s="5">
        <f>Procurement_Raw!A305</f>
        <v>45923</v>
      </c>
      <c r="B305" t="str">
        <f>Procurement_Raw!B305</f>
        <v>S016</v>
      </c>
      <c r="C305" t="str">
        <f>Procurement_Raw!C305</f>
        <v>Cardiff Care &amp; Education Centre</v>
      </c>
      <c r="D305" t="str">
        <f>Procurement_Raw!D305</f>
        <v>Wales</v>
      </c>
      <c r="E305" t="str">
        <f>Procurement_Raw!E305</f>
        <v>MediSure</v>
      </c>
      <c r="F305" t="str">
        <f>Procurement_Raw!F305</f>
        <v>Medical Supplies</v>
      </c>
      <c r="G305" t="str">
        <f>Procurement_Raw!G305</f>
        <v>INV-2025-00304</v>
      </c>
      <c r="H305" s="6">
        <f>Procurement_Raw!H305</f>
        <v>20</v>
      </c>
      <c r="I305" s="7">
        <f>Procurement_Raw!I305</f>
        <v>167.87</v>
      </c>
      <c r="J305" s="7">
        <f>Procurement_Raw!J305</f>
        <v>3357.42</v>
      </c>
      <c r="K305" s="6">
        <f>Procurement_Raw!K305</f>
        <v>45</v>
      </c>
      <c r="L305" t="str">
        <f>Procurement_Raw!L305</f>
        <v>ERP</v>
      </c>
      <c r="M305" s="8">
        <f>Procurement_Raw!M305</f>
        <v>671.48400000000004</v>
      </c>
      <c r="N305" s="7">
        <f>Procurement_Raw!N305</f>
        <v>3357.42</v>
      </c>
      <c r="O305" s="7">
        <f t="shared" si="8"/>
        <v>3357.42</v>
      </c>
      <c r="P305" t="str">
        <f>IFERROR(INDEX(Supplier_Lookup!$B$2:$B$200,MATCH(E305,Supplier_Lookup!$A$2:$A$200,0)),"Unmapped")</f>
        <v>Medical Supplies</v>
      </c>
      <c r="Q305" s="10">
        <f>IFERROR(INDEX(Category_Targets!$B$2:$B$9,MATCH(F305,Category_Targets!$A$2:$A$9,0)),0)</f>
        <v>0.06</v>
      </c>
      <c r="R305" s="7">
        <f t="shared" si="9"/>
        <v>201.4452</v>
      </c>
    </row>
    <row r="306" spans="1:18" x14ac:dyDescent="0.25">
      <c r="A306" s="5">
        <f>Procurement_Raw!A306</f>
        <v>45773</v>
      </c>
      <c r="B306" t="str">
        <f>Procurement_Raw!B306</f>
        <v>S010</v>
      </c>
      <c r="C306" t="str">
        <f>Procurement_Raw!C306</f>
        <v>Coventry Care &amp; Education Centre</v>
      </c>
      <c r="D306" t="str">
        <f>Procurement_Raw!D306</f>
        <v>Midlands</v>
      </c>
      <c r="E306" t="str">
        <f>Procurement_Raw!E306</f>
        <v>AutoCare</v>
      </c>
      <c r="F306" t="str">
        <f>Procurement_Raw!F306</f>
        <v>Vehicle &amp; Fuel</v>
      </c>
      <c r="G306" t="str">
        <f>Procurement_Raw!G306</f>
        <v>INV-2025-00305</v>
      </c>
      <c r="H306" s="6">
        <f>Procurement_Raw!H306</f>
        <v>45</v>
      </c>
      <c r="I306" s="7">
        <f>Procurement_Raw!I306</f>
        <v>93.91</v>
      </c>
      <c r="J306" s="7">
        <f>Procurement_Raw!J306</f>
        <v>4226.1400000000003</v>
      </c>
      <c r="K306" s="6">
        <f>Procurement_Raw!K306</f>
        <v>60</v>
      </c>
      <c r="L306" t="str">
        <f>Procurement_Raw!L306</f>
        <v>Procurement Portal</v>
      </c>
      <c r="M306" s="8">
        <f>Procurement_Raw!M306</f>
        <v>845.22799999999995</v>
      </c>
      <c r="N306" s="7">
        <f>Procurement_Raw!N306</f>
        <v>4226.1400000000003</v>
      </c>
      <c r="O306" s="7">
        <f t="shared" si="8"/>
        <v>4226.1400000000003</v>
      </c>
      <c r="P306" t="str">
        <f>IFERROR(INDEX(Supplier_Lookup!$B$2:$B$200,MATCH(E306,Supplier_Lookup!$A$2:$A$200,0)),"Unmapped")</f>
        <v>Vehicle &amp; Fuel</v>
      </c>
      <c r="Q306" s="10">
        <f>IFERROR(INDEX(Category_Targets!$B$2:$B$9,MATCH(F306,Category_Targets!$A$2:$A$9,0)),0)</f>
        <v>0.05</v>
      </c>
      <c r="R306" s="7">
        <f t="shared" si="9"/>
        <v>211.30700000000002</v>
      </c>
    </row>
    <row r="307" spans="1:18" x14ac:dyDescent="0.25">
      <c r="A307" s="5">
        <f>Procurement_Raw!A307</f>
        <v>45983</v>
      </c>
      <c r="B307" t="str">
        <f>Procurement_Raw!B307</f>
        <v>S010</v>
      </c>
      <c r="C307" t="str">
        <f>Procurement_Raw!C307</f>
        <v>Coventry Care &amp; Education Centre</v>
      </c>
      <c r="D307" t="str">
        <f>Procurement_Raw!D307</f>
        <v>Midlands</v>
      </c>
      <c r="E307" t="str">
        <f>Procurement_Raw!E307</f>
        <v>CloudLink</v>
      </c>
      <c r="F307" t="str">
        <f>Procurement_Raw!F307</f>
        <v>IT &amp; Telecoms</v>
      </c>
      <c r="G307" t="str">
        <f>Procurement_Raw!G307</f>
        <v>INV-2025-00306</v>
      </c>
      <c r="H307" s="6">
        <f>Procurement_Raw!H307</f>
        <v>71</v>
      </c>
      <c r="I307" s="7">
        <f>Procurement_Raw!I307</f>
        <v>234.66</v>
      </c>
      <c r="J307" s="7">
        <f>Procurement_Raw!J307</f>
        <v>16661.189999999999</v>
      </c>
      <c r="K307" s="6">
        <f>Procurement_Raw!K307</f>
        <v>45</v>
      </c>
      <c r="L307" t="str">
        <f>Procurement_Raw!L307</f>
        <v>ERP</v>
      </c>
      <c r="M307" s="8">
        <f>Procurement_Raw!M307</f>
        <v>3332.2379999999998</v>
      </c>
      <c r="N307" s="7">
        <f>Procurement_Raw!N307</f>
        <v>16661.189999999999</v>
      </c>
      <c r="O307" s="7">
        <f t="shared" si="8"/>
        <v>16661.189999999999</v>
      </c>
      <c r="P307" t="str">
        <f>IFERROR(INDEX(Supplier_Lookup!$B$2:$B$200,MATCH(E307,Supplier_Lookup!$A$2:$A$200,0)),"Unmapped")</f>
        <v>medical supplies</v>
      </c>
      <c r="Q307" s="10">
        <f>IFERROR(INDEX(Category_Targets!$B$2:$B$9,MATCH(F307,Category_Targets!$A$2:$A$9,0)),0)</f>
        <v>0.08</v>
      </c>
      <c r="R307" s="7">
        <f t="shared" si="9"/>
        <v>1332.8951999999999</v>
      </c>
    </row>
    <row r="308" spans="1:18" x14ac:dyDescent="0.25">
      <c r="A308" s="5">
        <f>Procurement_Raw!A308</f>
        <v>45931</v>
      </c>
      <c r="B308" t="str">
        <f>Procurement_Raw!B308</f>
        <v>S016</v>
      </c>
      <c r="C308" t="str">
        <f>Procurement_Raw!C308</f>
        <v>Cardiff Care &amp; Education Centre</v>
      </c>
      <c r="D308" t="str">
        <f>Procurement_Raw!D308</f>
        <v>Wales</v>
      </c>
      <c r="E308" t="str">
        <f>Procurement_Raw!E308</f>
        <v>NetServe</v>
      </c>
      <c r="F308" t="str">
        <f>Procurement_Raw!F308</f>
        <v>IT &amp; Telecoms</v>
      </c>
      <c r="G308" t="str">
        <f>Procurement_Raw!G308</f>
        <v>INV-2025-00307</v>
      </c>
      <c r="H308" s="6">
        <f>Procurement_Raw!H308</f>
        <v>12</v>
      </c>
      <c r="I308" s="7">
        <f>Procurement_Raw!I308</f>
        <v>444.23</v>
      </c>
      <c r="J308" s="7">
        <f>Procurement_Raw!J308</f>
        <v>5330.76</v>
      </c>
      <c r="K308" s="6">
        <f>Procurement_Raw!K308</f>
        <v>60</v>
      </c>
      <c r="L308" t="str">
        <f>Procurement_Raw!L308</f>
        <v>Legacy Spend File</v>
      </c>
      <c r="M308" s="8">
        <f>Procurement_Raw!M308</f>
        <v>1066.152</v>
      </c>
      <c r="N308" s="7">
        <f>Procurement_Raw!N308</f>
        <v>5330.76</v>
      </c>
      <c r="O308" s="7">
        <f t="shared" si="8"/>
        <v>5330.76</v>
      </c>
      <c r="P308" t="str">
        <f>IFERROR(INDEX(Supplier_Lookup!$B$2:$B$200,MATCH(E308,Supplier_Lookup!$A$2:$A$200,0)),"Unmapped")</f>
        <v>IT &amp; Telecoms</v>
      </c>
      <c r="Q308" s="10">
        <f>IFERROR(INDEX(Category_Targets!$B$2:$B$9,MATCH(F308,Category_Targets!$A$2:$A$9,0)),0)</f>
        <v>0.08</v>
      </c>
      <c r="R308" s="7">
        <f t="shared" si="9"/>
        <v>426.46080000000001</v>
      </c>
    </row>
    <row r="309" spans="1:18" x14ac:dyDescent="0.25">
      <c r="A309" s="5">
        <f>Procurement_Raw!A309</f>
        <v>45995</v>
      </c>
      <c r="B309" t="str">
        <f>Procurement_Raw!B309</f>
        <v>S010</v>
      </c>
      <c r="C309" t="str">
        <f>Procurement_Raw!C309</f>
        <v>Coventry Care &amp; Education Centre</v>
      </c>
      <c r="D309" t="str">
        <f>Procurement_Raw!D309</f>
        <v>Midlands</v>
      </c>
      <c r="E309" t="str">
        <f>Procurement_Raw!E309</f>
        <v>CleanWorks</v>
      </c>
      <c r="F309" t="str">
        <f>Procurement_Raw!F309</f>
        <v>Facilities</v>
      </c>
      <c r="G309" t="str">
        <f>Procurement_Raw!G309</f>
        <v>INV-2025-00308</v>
      </c>
      <c r="H309" s="6">
        <f>Procurement_Raw!H309</f>
        <v>80</v>
      </c>
      <c r="I309" s="7">
        <f>Procurement_Raw!I309</f>
        <v>130.01</v>
      </c>
      <c r="J309" s="7">
        <f>Procurement_Raw!J309</f>
        <v>10400.6</v>
      </c>
      <c r="K309" s="6">
        <f>Procurement_Raw!K309</f>
        <v>60</v>
      </c>
      <c r="L309" t="str">
        <f>Procurement_Raw!L309</f>
        <v>Legacy Spend File</v>
      </c>
      <c r="M309" s="8">
        <f>Procurement_Raw!M309</f>
        <v>2080.12</v>
      </c>
      <c r="N309" s="7">
        <f>Procurement_Raw!N309</f>
        <v>10400.6</v>
      </c>
      <c r="O309" s="7">
        <f t="shared" si="8"/>
        <v>10400.6</v>
      </c>
      <c r="P309" t="str">
        <f>IFERROR(INDEX(Supplier_Lookup!$B$2:$B$200,MATCH(E309,Supplier_Lookup!$A$2:$A$200,0)),"Unmapped")</f>
        <v>Facilities</v>
      </c>
      <c r="Q309" s="10">
        <f>IFERROR(INDEX(Category_Targets!$B$2:$B$9,MATCH(F309,Category_Targets!$A$2:$A$9,0)),0)</f>
        <v>0.05</v>
      </c>
      <c r="R309" s="7">
        <f t="shared" si="9"/>
        <v>520.03000000000009</v>
      </c>
    </row>
    <row r="310" spans="1:18" x14ac:dyDescent="0.25">
      <c r="A310" s="5">
        <f>Procurement_Raw!A310</f>
        <v>45699</v>
      </c>
      <c r="B310" t="str">
        <f>Procurement_Raw!B310</f>
        <v>S005</v>
      </c>
      <c r="C310" t="str">
        <f>Procurement_Raw!C310</f>
        <v>Sheffield Care &amp; Education Centre</v>
      </c>
      <c r="D310" t="str">
        <f>Procurement_Raw!D310</f>
        <v>North</v>
      </c>
      <c r="E310" t="str">
        <f>Procurement_Raw!E310</f>
        <v>MediSure</v>
      </c>
      <c r="F310" t="str">
        <f>Procurement_Raw!F310</f>
        <v>Medical Supplies</v>
      </c>
      <c r="G310" t="str">
        <f>Procurement_Raw!G310</f>
        <v>INV-2025-00309</v>
      </c>
      <c r="H310" s="6">
        <f>Procurement_Raw!H310</f>
        <v>6</v>
      </c>
      <c r="I310" s="7">
        <f>Procurement_Raw!I310</f>
        <v>162.13</v>
      </c>
      <c r="J310" s="7">
        <f>Procurement_Raw!J310</f>
        <v>972.78</v>
      </c>
      <c r="K310" s="6">
        <f>Procurement_Raw!K310</f>
        <v>60</v>
      </c>
      <c r="L310" t="str">
        <f>Procurement_Raw!L310</f>
        <v>Legacy Spend File</v>
      </c>
      <c r="M310" s="8">
        <f>Procurement_Raw!M310</f>
        <v>194.55600000000001</v>
      </c>
      <c r="N310" s="7">
        <f>Procurement_Raw!N310</f>
        <v>972.78</v>
      </c>
      <c r="O310" s="7">
        <f t="shared" si="8"/>
        <v>972.78</v>
      </c>
      <c r="P310" t="str">
        <f>IFERROR(INDEX(Supplier_Lookup!$B$2:$B$200,MATCH(E310,Supplier_Lookup!$A$2:$A$200,0)),"Unmapped")</f>
        <v>Medical Supplies</v>
      </c>
      <c r="Q310" s="10">
        <f>IFERROR(INDEX(Category_Targets!$B$2:$B$9,MATCH(F310,Category_Targets!$A$2:$A$9,0)),0)</f>
        <v>0.06</v>
      </c>
      <c r="R310" s="7">
        <f t="shared" si="9"/>
        <v>58.366799999999998</v>
      </c>
    </row>
    <row r="311" spans="1:18" x14ac:dyDescent="0.25">
      <c r="A311" s="5">
        <f>Procurement_Raw!A311</f>
        <v>45871</v>
      </c>
      <c r="B311" t="str">
        <f>Procurement_Raw!B311</f>
        <v>S004</v>
      </c>
      <c r="C311" t="str">
        <f>Procurement_Raw!C311</f>
        <v>Newcastle Care &amp; Education Centre</v>
      </c>
      <c r="D311" t="str">
        <f>Procurement_Raw!D311</f>
        <v>North</v>
      </c>
      <c r="E311" t="str">
        <f>Procurement_Raw!E311</f>
        <v>PowerDirect</v>
      </c>
      <c r="F311" t="str">
        <f>Procurement_Raw!F311</f>
        <v>Utilities</v>
      </c>
      <c r="G311" t="str">
        <f>Procurement_Raw!G311</f>
        <v>INV-2025-00310</v>
      </c>
      <c r="H311" s="6">
        <f>Procurement_Raw!H311</f>
        <v>80</v>
      </c>
      <c r="I311" s="7">
        <f>Procurement_Raw!I311</f>
        <v>223.69</v>
      </c>
      <c r="J311" s="7">
        <f>Procurement_Raw!J311</f>
        <v>17895.09</v>
      </c>
      <c r="K311" s="6">
        <f>Procurement_Raw!K311</f>
        <v>60</v>
      </c>
      <c r="L311" t="str">
        <f>Procurement_Raw!L311</f>
        <v>ERP</v>
      </c>
      <c r="M311" s="8">
        <f>Procurement_Raw!M311</f>
        <v>3579.018</v>
      </c>
      <c r="N311" s="7">
        <f>Procurement_Raw!N311</f>
        <v>17895.09</v>
      </c>
      <c r="O311" s="7">
        <f t="shared" si="8"/>
        <v>17895.09</v>
      </c>
      <c r="P311" t="str">
        <f>IFERROR(INDEX(Supplier_Lookup!$B$2:$B$200,MATCH(E311,Supplier_Lookup!$A$2:$A$200,0)),"Unmapped")</f>
        <v>Utilities</v>
      </c>
      <c r="Q311" s="10">
        <f>IFERROR(INDEX(Category_Targets!$B$2:$B$9,MATCH(F311,Category_Targets!$A$2:$A$9,0)),0)</f>
        <v>0.03</v>
      </c>
      <c r="R311" s="7">
        <f t="shared" si="9"/>
        <v>536.85270000000003</v>
      </c>
    </row>
    <row r="312" spans="1:18" x14ac:dyDescent="0.25">
      <c r="A312" s="5">
        <f>Procurement_Raw!A312</f>
        <v>45812</v>
      </c>
      <c r="B312" t="str">
        <f>Procurement_Raw!B312</f>
        <v>S011</v>
      </c>
      <c r="C312" t="str">
        <f>Procurement_Raw!C312</f>
        <v>London Care &amp; Education Centre</v>
      </c>
      <c r="D312" t="str">
        <f>Procurement_Raw!D312</f>
        <v>South</v>
      </c>
      <c r="E312" t="str">
        <f>Procurement_Raw!E312</f>
        <v>NetServe</v>
      </c>
      <c r="F312" t="str">
        <f>Procurement_Raw!F312</f>
        <v>IT &amp; Telecoms</v>
      </c>
      <c r="G312" t="str">
        <f>Procurement_Raw!G312</f>
        <v>INV-2025-00311</v>
      </c>
      <c r="H312" s="6">
        <f>Procurement_Raw!H312</f>
        <v>62</v>
      </c>
      <c r="I312" s="7">
        <f>Procurement_Raw!I312</f>
        <v>195.18</v>
      </c>
      <c r="J312" s="7">
        <f>Procurement_Raw!J312</f>
        <v>12100.93</v>
      </c>
      <c r="K312" s="6">
        <f>Procurement_Raw!K312</f>
        <v>30</v>
      </c>
      <c r="L312" t="str">
        <f>Procurement_Raw!L312</f>
        <v>Legacy Spend File</v>
      </c>
      <c r="M312" s="8">
        <f>Procurement_Raw!M312</f>
        <v>2420.1860000000001</v>
      </c>
      <c r="N312" s="7">
        <f>Procurement_Raw!N312</f>
        <v>12100.93</v>
      </c>
      <c r="O312" s="7">
        <f t="shared" si="8"/>
        <v>12100.93</v>
      </c>
      <c r="P312" t="str">
        <f>IFERROR(INDEX(Supplier_Lookup!$B$2:$B$200,MATCH(E312,Supplier_Lookup!$A$2:$A$200,0)),"Unmapped")</f>
        <v>IT &amp; Telecoms</v>
      </c>
      <c r="Q312" s="10">
        <f>IFERROR(INDEX(Category_Targets!$B$2:$B$9,MATCH(F312,Category_Targets!$A$2:$A$9,0)),0)</f>
        <v>0.08</v>
      </c>
      <c r="R312" s="7">
        <f t="shared" si="9"/>
        <v>968.07440000000008</v>
      </c>
    </row>
    <row r="313" spans="1:18" x14ac:dyDescent="0.25">
      <c r="A313" s="5">
        <f>Procurement_Raw!A313</f>
        <v>45695</v>
      </c>
      <c r="B313" t="str">
        <f>Procurement_Raw!B313</f>
        <v>S006</v>
      </c>
      <c r="C313" t="str">
        <f>Procurement_Raw!C313</f>
        <v>Birmingham Care &amp; Education Centre</v>
      </c>
      <c r="D313" t="str">
        <f>Procurement_Raw!D313</f>
        <v>Midlands</v>
      </c>
      <c r="E313" t="str">
        <f>Procurement_Raw!E313</f>
        <v>TeleCare IT</v>
      </c>
      <c r="F313" t="str">
        <f>Procurement_Raw!F313</f>
        <v>IT &amp; Telecoms</v>
      </c>
      <c r="G313" t="str">
        <f>Procurement_Raw!G313</f>
        <v>INV-2025-00312</v>
      </c>
      <c r="H313" s="6">
        <f>Procurement_Raw!H313</f>
        <v>8</v>
      </c>
      <c r="I313" s="7">
        <f>Procurement_Raw!I313</f>
        <v>402.6</v>
      </c>
      <c r="J313" s="7">
        <f>Procurement_Raw!J313</f>
        <v>3220.84</v>
      </c>
      <c r="K313" s="6">
        <f>Procurement_Raw!K313</f>
        <v>30</v>
      </c>
      <c r="L313" t="str">
        <f>Procurement_Raw!L313</f>
        <v>Procurement Portal</v>
      </c>
      <c r="M313" s="8">
        <f>Procurement_Raw!M313</f>
        <v>644.16800000000001</v>
      </c>
      <c r="N313" s="7">
        <f>Procurement_Raw!N313</f>
        <v>3220.84</v>
      </c>
      <c r="O313" s="7">
        <f t="shared" si="8"/>
        <v>3220.84</v>
      </c>
      <c r="P313" t="str">
        <f>IFERROR(INDEX(Supplier_Lookup!$B$2:$B$200,MATCH(E313,Supplier_Lookup!$A$2:$A$200,0)),"Unmapped")</f>
        <v>IT &amp; Telecoms</v>
      </c>
      <c r="Q313" s="10">
        <f>IFERROR(INDEX(Category_Targets!$B$2:$B$9,MATCH(F313,Category_Targets!$A$2:$A$9,0)),0)</f>
        <v>0.08</v>
      </c>
      <c r="R313" s="7">
        <f t="shared" si="9"/>
        <v>257.66720000000004</v>
      </c>
    </row>
    <row r="314" spans="1:18" x14ac:dyDescent="0.25">
      <c r="A314" s="5">
        <f>Procurement_Raw!A314</f>
        <v>45762</v>
      </c>
      <c r="B314" t="str">
        <f>Procurement_Raw!B314</f>
        <v>S015</v>
      </c>
      <c r="C314" t="str">
        <f>Procurement_Raw!C314</f>
        <v>Brighton Care &amp; Education Centre</v>
      </c>
      <c r="D314" t="str">
        <f>Procurement_Raw!D314</f>
        <v>South</v>
      </c>
      <c r="E314" t="str">
        <f>Procurement_Raw!E314</f>
        <v>LearnWell</v>
      </c>
      <c r="F314" t="str">
        <f>Procurement_Raw!F314</f>
        <v>Office &amp; Training</v>
      </c>
      <c r="G314" t="str">
        <f>Procurement_Raw!G314</f>
        <v>INV-2025-00313</v>
      </c>
      <c r="H314" s="6">
        <f>Procurement_Raw!H314</f>
        <v>44</v>
      </c>
      <c r="I314" s="7">
        <f>Procurement_Raw!I314</f>
        <v>118.09</v>
      </c>
      <c r="J314" s="7">
        <f>Procurement_Raw!J314</f>
        <v>5196.0600000000004</v>
      </c>
      <c r="K314" s="6">
        <f>Procurement_Raw!K314</f>
        <v>60</v>
      </c>
      <c r="L314" t="str">
        <f>Procurement_Raw!L314</f>
        <v>ERP</v>
      </c>
      <c r="M314" s="8">
        <f>Procurement_Raw!M314</f>
        <v>1039.212</v>
      </c>
      <c r="N314" s="7">
        <f>Procurement_Raw!N314</f>
        <v>5196.0600000000004</v>
      </c>
      <c r="O314" s="7">
        <f t="shared" si="8"/>
        <v>5196.0600000000004</v>
      </c>
      <c r="P314" t="str">
        <f>IFERROR(INDEX(Supplier_Lookup!$B$2:$B$200,MATCH(E314,Supplier_Lookup!$A$2:$A$200,0)),"Unmapped")</f>
        <v>Office &amp; Training</v>
      </c>
      <c r="Q314" s="10">
        <f>IFERROR(INDEX(Category_Targets!$B$2:$B$9,MATCH(F314,Category_Targets!$A$2:$A$9,0)),0)</f>
        <v>0.04</v>
      </c>
      <c r="R314" s="7">
        <f t="shared" si="9"/>
        <v>207.84240000000003</v>
      </c>
    </row>
    <row r="315" spans="1:18" x14ac:dyDescent="0.25">
      <c r="A315" s="5">
        <f>Procurement_Raw!A315</f>
        <v>45834</v>
      </c>
      <c r="B315" t="str">
        <f>Procurement_Raw!B315</f>
        <v>S004</v>
      </c>
      <c r="C315" t="str">
        <f>Procurement_Raw!C315</f>
        <v>Newcastle Care &amp; Education Centre</v>
      </c>
      <c r="D315" t="str">
        <f>Procurement_Raw!D315</f>
        <v>North</v>
      </c>
      <c r="E315" t="str">
        <f>Procurement_Raw!E315</f>
        <v>AutoCare</v>
      </c>
      <c r="F315" t="str">
        <f>Procurement_Raw!F315</f>
        <v>Vehicle &amp; Fuel</v>
      </c>
      <c r="G315" t="str">
        <f>Procurement_Raw!G315</f>
        <v>INV-2025-00314</v>
      </c>
      <c r="H315" s="6">
        <f>Procurement_Raw!H315</f>
        <v>52</v>
      </c>
      <c r="I315" s="7">
        <f>Procurement_Raw!I315</f>
        <v>148.61000000000001</v>
      </c>
      <c r="J315" s="7">
        <f>Procurement_Raw!J315</f>
        <v>7727.58</v>
      </c>
      <c r="K315" s="6">
        <f>Procurement_Raw!K315</f>
        <v>30</v>
      </c>
      <c r="L315" t="str">
        <f>Procurement_Raw!L315</f>
        <v>Procurement Portal</v>
      </c>
      <c r="M315" s="8">
        <f>Procurement_Raw!M315</f>
        <v>1545.5160000000001</v>
      </c>
      <c r="N315" s="7">
        <f>Procurement_Raw!N315</f>
        <v>7727.58</v>
      </c>
      <c r="O315" s="7">
        <f t="shared" si="8"/>
        <v>7727.58</v>
      </c>
      <c r="P315" t="str">
        <f>IFERROR(INDEX(Supplier_Lookup!$B$2:$B$200,MATCH(E315,Supplier_Lookup!$A$2:$A$200,0)),"Unmapped")</f>
        <v>Vehicle &amp; Fuel</v>
      </c>
      <c r="Q315" s="10">
        <f>IFERROR(INDEX(Category_Targets!$B$2:$B$9,MATCH(F315,Category_Targets!$A$2:$A$9,0)),0)</f>
        <v>0.05</v>
      </c>
      <c r="R315" s="7">
        <f t="shared" si="9"/>
        <v>386.37900000000002</v>
      </c>
    </row>
    <row r="316" spans="1:18" x14ac:dyDescent="0.25">
      <c r="A316" s="5">
        <f>Procurement_Raw!A316</f>
        <v>45781</v>
      </c>
      <c r="B316" t="str">
        <f>Procurement_Raw!B316</f>
        <v>S019</v>
      </c>
      <c r="C316" t="str">
        <f>Procurement_Raw!C316</f>
        <v>Wrexham Care &amp; Education Centre</v>
      </c>
      <c r="D316" t="str">
        <f>Procurement_Raw!D316</f>
        <v>Wales</v>
      </c>
      <c r="E316" t="str">
        <f>Procurement_Raw!E316</f>
        <v>NourishCo</v>
      </c>
      <c r="F316" t="str">
        <f>Procurement_Raw!F316</f>
        <v>Food &amp; Catering</v>
      </c>
      <c r="G316" t="str">
        <f>Procurement_Raw!G316</f>
        <v>INV-2025-00315</v>
      </c>
      <c r="H316" s="6">
        <f>Procurement_Raw!H316</f>
        <v>60</v>
      </c>
      <c r="I316" s="7">
        <f>Procurement_Raw!I316</f>
        <v>133.27000000000001</v>
      </c>
      <c r="J316" s="7">
        <f>Procurement_Raw!J316</f>
        <v>7996.39</v>
      </c>
      <c r="K316" s="6">
        <f>Procurement_Raw!K316</f>
        <v>30</v>
      </c>
      <c r="L316" t="str">
        <f>Procurement_Raw!L316</f>
        <v>Procurement Portal</v>
      </c>
      <c r="M316" s="8">
        <f>Procurement_Raw!M316</f>
        <v>1599.278</v>
      </c>
      <c r="N316" s="7">
        <f>Procurement_Raw!N316</f>
        <v>7996.39</v>
      </c>
      <c r="O316" s="7">
        <f t="shared" si="8"/>
        <v>7996.39</v>
      </c>
      <c r="P316" t="str">
        <f>IFERROR(INDEX(Supplier_Lookup!$B$2:$B$200,MATCH(E316,Supplier_Lookup!$A$2:$A$200,0)),"Unmapped")</f>
        <v>Food &amp; Catering</v>
      </c>
      <c r="Q316" s="10">
        <f>IFERROR(INDEX(Category_Targets!$B$2:$B$9,MATCH(F316,Category_Targets!$A$2:$A$9,0)),0)</f>
        <v>0.04</v>
      </c>
      <c r="R316" s="7">
        <f t="shared" si="9"/>
        <v>319.85560000000004</v>
      </c>
    </row>
    <row r="317" spans="1:18" x14ac:dyDescent="0.25">
      <c r="A317" s="5">
        <f>Procurement_Raw!A317</f>
        <v>45707</v>
      </c>
      <c r="B317" t="str">
        <f>Procurement_Raw!B317</f>
        <v>S004</v>
      </c>
      <c r="C317" t="str">
        <f>Procurement_Raw!C317</f>
        <v>Newcastle Care &amp; Education Centre</v>
      </c>
      <c r="D317" t="str">
        <f>Procurement_Raw!D317</f>
        <v>North</v>
      </c>
      <c r="E317" t="str">
        <f>Procurement_Raw!E317</f>
        <v>UK Energy Partners</v>
      </c>
      <c r="F317" t="str">
        <f>Procurement_Raw!F317</f>
        <v>Utilities</v>
      </c>
      <c r="G317" t="str">
        <f>Procurement_Raw!G317</f>
        <v>INV-2025-00316</v>
      </c>
      <c r="H317" s="6">
        <f>Procurement_Raw!H317</f>
        <v>7</v>
      </c>
      <c r="I317" s="7">
        <f>Procurement_Raw!I317</f>
        <v>252.9</v>
      </c>
      <c r="J317" s="7">
        <f>Procurement_Raw!J317</f>
        <v>1770.33</v>
      </c>
      <c r="K317" s="6">
        <f>Procurement_Raw!K317</f>
        <v>45</v>
      </c>
      <c r="L317" t="str">
        <f>Procurement_Raw!L317</f>
        <v>Procurement Portal</v>
      </c>
      <c r="M317" s="8">
        <f>Procurement_Raw!M317</f>
        <v>354.06599999999997</v>
      </c>
      <c r="N317" s="7">
        <f>Procurement_Raw!N317</f>
        <v>1770.33</v>
      </c>
      <c r="O317" s="7">
        <f t="shared" si="8"/>
        <v>1770.33</v>
      </c>
      <c r="P317" t="str">
        <f>IFERROR(INDEX(Supplier_Lookup!$B$2:$B$200,MATCH(E317,Supplier_Lookup!$A$2:$A$200,0)),"Unmapped")</f>
        <v>Utilities</v>
      </c>
      <c r="Q317" s="10">
        <f>IFERROR(INDEX(Category_Targets!$B$2:$B$9,MATCH(F317,Category_Targets!$A$2:$A$9,0)),0)</f>
        <v>0.03</v>
      </c>
      <c r="R317" s="7">
        <f t="shared" si="9"/>
        <v>53.109899999999996</v>
      </c>
    </row>
    <row r="318" spans="1:18" x14ac:dyDescent="0.25">
      <c r="A318" s="5">
        <f>Procurement_Raw!A318</f>
        <v>45739</v>
      </c>
      <c r="B318" t="str">
        <f>Procurement_Raw!B318</f>
        <v>S020</v>
      </c>
      <c r="C318" t="str">
        <f>Procurement_Raw!C318</f>
        <v>Bangor Care &amp; Education Centre</v>
      </c>
      <c r="D318" t="str">
        <f>Procurement_Raw!D318</f>
        <v>Wales</v>
      </c>
      <c r="E318" t="str">
        <f>Procurement_Raw!E318</f>
        <v>HealthStaffing</v>
      </c>
      <c r="F318" t="str">
        <f>Procurement_Raw!F318</f>
        <v>Agency Labour</v>
      </c>
      <c r="G318" t="str">
        <f>Procurement_Raw!G318</f>
        <v>INV-2025-00317</v>
      </c>
      <c r="H318" s="6">
        <f>Procurement_Raw!H318</f>
        <v>42</v>
      </c>
      <c r="I318" s="7">
        <f>Procurement_Raw!I318</f>
        <v>436.53</v>
      </c>
      <c r="J318" s="7">
        <f>Procurement_Raw!J318</f>
        <v>18334.25</v>
      </c>
      <c r="K318" s="6">
        <f>Procurement_Raw!K318</f>
        <v>60</v>
      </c>
      <c r="L318" t="str">
        <f>Procurement_Raw!L318</f>
        <v>Legacy Spend File</v>
      </c>
      <c r="M318" s="8">
        <f>Procurement_Raw!M318</f>
        <v>3666.85</v>
      </c>
      <c r="N318" s="7">
        <f>Procurement_Raw!N318</f>
        <v>18334.25</v>
      </c>
      <c r="O318" s="7">
        <f t="shared" si="8"/>
        <v>18334.25</v>
      </c>
      <c r="P318" t="str">
        <f>IFERROR(INDEX(Supplier_Lookup!$B$2:$B$200,MATCH(E318,Supplier_Lookup!$A$2:$A$200,0)),"Unmapped")</f>
        <v>Agency Labour</v>
      </c>
      <c r="Q318" s="10">
        <f>IFERROR(INDEX(Category_Targets!$B$2:$B$9,MATCH(F318,Category_Targets!$A$2:$A$9,0)),0)</f>
        <v>7.0000000000000007E-2</v>
      </c>
      <c r="R318" s="7">
        <f t="shared" si="9"/>
        <v>1283.3975</v>
      </c>
    </row>
    <row r="319" spans="1:18" x14ac:dyDescent="0.25">
      <c r="A319" s="5">
        <f>Procurement_Raw!A319</f>
        <v>45913</v>
      </c>
      <c r="B319" t="str">
        <f>Procurement_Raw!B319</f>
        <v>S015</v>
      </c>
      <c r="C319" t="str">
        <f>Procurement_Raw!C319</f>
        <v>Brighton Care &amp; Education Centre</v>
      </c>
      <c r="D319" t="str">
        <f>Procurement_Raw!D319</f>
        <v>South</v>
      </c>
      <c r="E319" t="str">
        <f>Procurement_Raw!E319</f>
        <v>UK Energy Partners</v>
      </c>
      <c r="F319" t="str">
        <f>Procurement_Raw!F319</f>
        <v>Utilities</v>
      </c>
      <c r="G319" t="str">
        <f>Procurement_Raw!G319</f>
        <v>INV-2025-00318</v>
      </c>
      <c r="H319" s="6">
        <f>Procurement_Raw!H319</f>
        <v>66</v>
      </c>
      <c r="I319" s="7">
        <f>Procurement_Raw!I319</f>
        <v>210.78</v>
      </c>
      <c r="J319" s="7">
        <f>Procurement_Raw!J319</f>
        <v>13911.47</v>
      </c>
      <c r="K319" s="6">
        <f>Procurement_Raw!K319</f>
        <v>45</v>
      </c>
      <c r="L319" t="str">
        <f>Procurement_Raw!L319</f>
        <v>Procurement Portal</v>
      </c>
      <c r="M319" s="8">
        <f>Procurement_Raw!M319</f>
        <v>2782.2939999999999</v>
      </c>
      <c r="N319" s="7">
        <f>Procurement_Raw!N319</f>
        <v>13911.47</v>
      </c>
      <c r="O319" s="7">
        <f t="shared" si="8"/>
        <v>13911.47</v>
      </c>
      <c r="P319" t="str">
        <f>IFERROR(INDEX(Supplier_Lookup!$B$2:$B$200,MATCH(E319,Supplier_Lookup!$A$2:$A$200,0)),"Unmapped")</f>
        <v>Utilities</v>
      </c>
      <c r="Q319" s="10">
        <f>IFERROR(INDEX(Category_Targets!$B$2:$B$9,MATCH(F319,Category_Targets!$A$2:$A$9,0)),0)</f>
        <v>0.03</v>
      </c>
      <c r="R319" s="7">
        <f t="shared" si="9"/>
        <v>417.34409999999997</v>
      </c>
    </row>
    <row r="320" spans="1:18" x14ac:dyDescent="0.25">
      <c r="A320" s="5">
        <f>Procurement_Raw!A320</f>
        <v>45704</v>
      </c>
      <c r="B320" t="str">
        <f>Procurement_Raw!B320</f>
        <v>S016</v>
      </c>
      <c r="C320" t="str">
        <f>Procurement_Raw!C320</f>
        <v>Cardiff Care &amp; Education Centre</v>
      </c>
      <c r="D320" t="str">
        <f>Procurement_Raw!D320</f>
        <v>Wales</v>
      </c>
      <c r="E320" t="str">
        <f>Procurement_Raw!E320</f>
        <v>OfficePlus</v>
      </c>
      <c r="F320" t="str">
        <f>Procurement_Raw!F320</f>
        <v>Office &amp; Training</v>
      </c>
      <c r="G320" t="str">
        <f>Procurement_Raw!G320</f>
        <v>INV-2025-00319</v>
      </c>
      <c r="H320" s="6">
        <f>Procurement_Raw!H320</f>
        <v>51</v>
      </c>
      <c r="I320" s="7">
        <f>Procurement_Raw!I320</f>
        <v>89.64</v>
      </c>
      <c r="J320" s="7">
        <f>Procurement_Raw!J320</f>
        <v>4571.54</v>
      </c>
      <c r="K320" s="6">
        <f>Procurement_Raw!K320</f>
        <v>60</v>
      </c>
      <c r="L320" t="str">
        <f>Procurement_Raw!L320</f>
        <v>Procurement Portal</v>
      </c>
      <c r="M320" s="8">
        <f>Procurement_Raw!M320</f>
        <v>914.30799999999999</v>
      </c>
      <c r="N320" s="7">
        <f>Procurement_Raw!N320</f>
        <v>4571.54</v>
      </c>
      <c r="O320" s="7">
        <f t="shared" si="8"/>
        <v>4571.54</v>
      </c>
      <c r="P320" t="str">
        <f>IFERROR(INDEX(Supplier_Lookup!$B$2:$B$200,MATCH(E320,Supplier_Lookup!$A$2:$A$200,0)),"Unmapped")</f>
        <v>Office &amp; Training</v>
      </c>
      <c r="Q320" s="10">
        <f>IFERROR(INDEX(Category_Targets!$B$2:$B$9,MATCH(F320,Category_Targets!$A$2:$A$9,0)),0)</f>
        <v>0.04</v>
      </c>
      <c r="R320" s="7">
        <f t="shared" si="9"/>
        <v>182.86160000000001</v>
      </c>
    </row>
    <row r="321" spans="1:18" x14ac:dyDescent="0.25">
      <c r="A321" s="5">
        <f>Procurement_Raw!A321</f>
        <v>45838</v>
      </c>
      <c r="B321" t="str">
        <f>Procurement_Raw!B321</f>
        <v>S015</v>
      </c>
      <c r="C321" t="str">
        <f>Procurement_Raw!C321</f>
        <v>Brighton Care &amp; Education Centre</v>
      </c>
      <c r="D321" t="str">
        <f>Procurement_Raw!D321</f>
        <v>South</v>
      </c>
      <c r="E321" t="str">
        <f>Procurement_Raw!E321</f>
        <v>PowerDirect</v>
      </c>
      <c r="F321" t="str">
        <f>Procurement_Raw!F321</f>
        <v>Utilities</v>
      </c>
      <c r="G321" t="str">
        <f>Procurement_Raw!G321</f>
        <v>INV-2025-00320</v>
      </c>
      <c r="H321" s="6">
        <f>Procurement_Raw!H321</f>
        <v>7</v>
      </c>
      <c r="I321" s="7">
        <f>Procurement_Raw!I321</f>
        <v>232.73</v>
      </c>
      <c r="J321" s="7">
        <f>Procurement_Raw!J321</f>
        <v>1629.12</v>
      </c>
      <c r="K321" s="6">
        <f>Procurement_Raw!K321</f>
        <v>30</v>
      </c>
      <c r="L321" t="str">
        <f>Procurement_Raw!L321</f>
        <v>Procurement Portal</v>
      </c>
      <c r="M321" s="8">
        <f>Procurement_Raw!M321</f>
        <v>325.82400000000001</v>
      </c>
      <c r="N321" s="7">
        <f>Procurement_Raw!N321</f>
        <v>1629.12</v>
      </c>
      <c r="O321" s="7">
        <f t="shared" si="8"/>
        <v>1629.12</v>
      </c>
      <c r="P321" t="str">
        <f>IFERROR(INDEX(Supplier_Lookup!$B$2:$B$200,MATCH(E321,Supplier_Lookup!$A$2:$A$200,0)),"Unmapped")</f>
        <v>Utilities</v>
      </c>
      <c r="Q321" s="10">
        <f>IFERROR(INDEX(Category_Targets!$B$2:$B$9,MATCH(F321,Category_Targets!$A$2:$A$9,0)),0)</f>
        <v>0.03</v>
      </c>
      <c r="R321" s="7">
        <f t="shared" si="9"/>
        <v>48.873599999999996</v>
      </c>
    </row>
    <row r="322" spans="1:18" x14ac:dyDescent="0.25">
      <c r="A322" s="5">
        <f>Procurement_Raw!A322</f>
        <v>45932</v>
      </c>
      <c r="B322" t="str">
        <f>Procurement_Raw!B322</f>
        <v>S016</v>
      </c>
      <c r="C322" t="str">
        <f>Procurement_Raw!C322</f>
        <v>Cardiff Care &amp; Education Centre</v>
      </c>
      <c r="D322" t="str">
        <f>Procurement_Raw!D322</f>
        <v>Wales</v>
      </c>
      <c r="E322" t="str">
        <f>Procurement_Raw!E322</f>
        <v>LearnWell</v>
      </c>
      <c r="F322" t="str">
        <f>Procurement_Raw!F322</f>
        <v>Office &amp; Training</v>
      </c>
      <c r="G322" t="str">
        <f>Procurement_Raw!G322</f>
        <v>INV-2025-00321</v>
      </c>
      <c r="H322" s="6">
        <f>Procurement_Raw!H322</f>
        <v>2</v>
      </c>
      <c r="I322" s="7">
        <f>Procurement_Raw!I322</f>
        <v>79.11</v>
      </c>
      <c r="J322" s="7">
        <f>Procurement_Raw!J322</f>
        <v>158.22</v>
      </c>
      <c r="K322" s="6">
        <f>Procurement_Raw!K322</f>
        <v>30</v>
      </c>
      <c r="L322" t="str">
        <f>Procurement_Raw!L322</f>
        <v>Procurement Portal</v>
      </c>
      <c r="M322" s="8">
        <f>Procurement_Raw!M322</f>
        <v>31.643999999999998</v>
      </c>
      <c r="N322" s="7">
        <f>Procurement_Raw!N322</f>
        <v>158.22</v>
      </c>
      <c r="O322" s="7">
        <f t="shared" ref="O322:O385" si="10">IFERROR(IF(J322="","",J322),0)</f>
        <v>158.22</v>
      </c>
      <c r="P322" t="str">
        <f>IFERROR(INDEX(Supplier_Lookup!$B$2:$B$200,MATCH(E322,Supplier_Lookup!$A$2:$A$200,0)),"Unmapped")</f>
        <v>Office &amp; Training</v>
      </c>
      <c r="Q322" s="10">
        <f>IFERROR(INDEX(Category_Targets!$B$2:$B$9,MATCH(F322,Category_Targets!$A$2:$A$9,0)),0)</f>
        <v>0.04</v>
      </c>
      <c r="R322" s="7">
        <f t="shared" ref="R322:R385" si="11">O322*Q322</f>
        <v>6.3288000000000002</v>
      </c>
    </row>
    <row r="323" spans="1:18" x14ac:dyDescent="0.25">
      <c r="A323" s="5">
        <f>Procurement_Raw!A323</f>
        <v>45845</v>
      </c>
      <c r="B323" t="str">
        <f>Procurement_Raw!B323</f>
        <v>S002</v>
      </c>
      <c r="C323" t="str">
        <f>Procurement_Raw!C323</f>
        <v>Manchester Care &amp; Education Centre</v>
      </c>
      <c r="D323" t="str">
        <f>Procurement_Raw!D323</f>
        <v>North</v>
      </c>
      <c r="E323" t="str">
        <f>Procurement_Raw!E323</f>
        <v>NetServe</v>
      </c>
      <c r="F323" t="str">
        <f>Procurement_Raw!F323</f>
        <v>IT &amp; Telecoms</v>
      </c>
      <c r="G323" t="str">
        <f>Procurement_Raw!G323</f>
        <v>INV-2025-00322</v>
      </c>
      <c r="H323" s="6">
        <f>Procurement_Raw!H323</f>
        <v>52</v>
      </c>
      <c r="I323" s="7">
        <f>Procurement_Raw!I323</f>
        <v>305.2</v>
      </c>
      <c r="J323" s="7">
        <f>Procurement_Raw!J323</f>
        <v>15870.35</v>
      </c>
      <c r="K323" s="6">
        <f>Procurement_Raw!K323</f>
        <v>45</v>
      </c>
      <c r="L323" t="str">
        <f>Procurement_Raw!L323</f>
        <v>ERP</v>
      </c>
      <c r="M323" s="8">
        <f>Procurement_Raw!M323</f>
        <v>3174.07</v>
      </c>
      <c r="N323" s="7">
        <f>Procurement_Raw!N323</f>
        <v>15870.35</v>
      </c>
      <c r="O323" s="7">
        <f t="shared" si="10"/>
        <v>15870.35</v>
      </c>
      <c r="P323" t="str">
        <f>IFERROR(INDEX(Supplier_Lookup!$B$2:$B$200,MATCH(E323,Supplier_Lookup!$A$2:$A$200,0)),"Unmapped")</f>
        <v>IT &amp; Telecoms</v>
      </c>
      <c r="Q323" s="10">
        <f>IFERROR(INDEX(Category_Targets!$B$2:$B$9,MATCH(F323,Category_Targets!$A$2:$A$9,0)),0)</f>
        <v>0.08</v>
      </c>
      <c r="R323" s="7">
        <f t="shared" si="11"/>
        <v>1269.6280000000002</v>
      </c>
    </row>
    <row r="324" spans="1:18" x14ac:dyDescent="0.25">
      <c r="A324" s="5">
        <f>Procurement_Raw!A324</f>
        <v>45945</v>
      </c>
      <c r="B324" t="str">
        <f>Procurement_Raw!B324</f>
        <v>S018</v>
      </c>
      <c r="C324" t="str">
        <f>Procurement_Raw!C324</f>
        <v>Newport Care &amp; Education Centre</v>
      </c>
      <c r="D324" t="str">
        <f>Procurement_Raw!D324</f>
        <v>Wales</v>
      </c>
      <c r="E324" t="str">
        <f>Procurement_Raw!E324</f>
        <v>ClinEquip</v>
      </c>
      <c r="F324" t="str">
        <f>Procurement_Raw!F324</f>
        <v>Medical Supplies</v>
      </c>
      <c r="G324" t="str">
        <f>Procurement_Raw!G324</f>
        <v>INV-2025-00323</v>
      </c>
      <c r="H324" s="6">
        <f>Procurement_Raw!H324</f>
        <v>25</v>
      </c>
      <c r="I324" s="7">
        <f>Procurement_Raw!I324</f>
        <v>76.510000000000005</v>
      </c>
      <c r="J324" s="7">
        <f>Procurement_Raw!J324</f>
        <v>1912.84</v>
      </c>
      <c r="K324" s="6">
        <f>Procurement_Raw!K324</f>
        <v>45</v>
      </c>
      <c r="L324" t="str">
        <f>Procurement_Raw!L324</f>
        <v>Legacy Spend File</v>
      </c>
      <c r="M324" s="8">
        <f>Procurement_Raw!M324</f>
        <v>382.56799999999998</v>
      </c>
      <c r="N324" s="7">
        <f>Procurement_Raw!N324</f>
        <v>1912.84</v>
      </c>
      <c r="O324" s="7">
        <f t="shared" si="10"/>
        <v>1912.84</v>
      </c>
      <c r="P324" t="str">
        <f>IFERROR(INDEX(Supplier_Lookup!$B$2:$B$200,MATCH(E324,Supplier_Lookup!$A$2:$A$200,0)),"Unmapped")</f>
        <v>Medical Supplies</v>
      </c>
      <c r="Q324" s="10">
        <f>IFERROR(INDEX(Category_Targets!$B$2:$B$9,MATCH(F324,Category_Targets!$A$2:$A$9,0)),0)</f>
        <v>0.06</v>
      </c>
      <c r="R324" s="7">
        <f t="shared" si="11"/>
        <v>114.7704</v>
      </c>
    </row>
    <row r="325" spans="1:18" x14ac:dyDescent="0.25">
      <c r="A325" s="5">
        <f>Procurement_Raw!A325</f>
        <v>45916</v>
      </c>
      <c r="B325" t="str">
        <f>Procurement_Raw!B325</f>
        <v>S019</v>
      </c>
      <c r="C325" t="str">
        <f>Procurement_Raw!C325</f>
        <v>Wrexham Care &amp; Education Centre</v>
      </c>
      <c r="D325" t="str">
        <f>Procurement_Raw!D325</f>
        <v>Wales</v>
      </c>
      <c r="E325" t="str">
        <f>Procurement_Raw!E325</f>
        <v>NourishCo</v>
      </c>
      <c r="F325" t="str">
        <f>Procurement_Raw!F325</f>
        <v>Food &amp; Catering</v>
      </c>
      <c r="G325" t="str">
        <f>Procurement_Raw!G325</f>
        <v>INV-2025-00324</v>
      </c>
      <c r="H325" s="6">
        <f>Procurement_Raw!H325</f>
        <v>58</v>
      </c>
      <c r="I325" s="7">
        <f>Procurement_Raw!I325</f>
        <v>205.45</v>
      </c>
      <c r="J325" s="7">
        <f>Procurement_Raw!J325</f>
        <v>11916.07</v>
      </c>
      <c r="K325" s="6">
        <f>Procurement_Raw!K325</f>
        <v>60</v>
      </c>
      <c r="L325" t="str">
        <f>Procurement_Raw!L325</f>
        <v>Procurement Portal</v>
      </c>
      <c r="M325" s="8">
        <f>Procurement_Raw!M325</f>
        <v>2383.2139999999999</v>
      </c>
      <c r="N325" s="7">
        <f>Procurement_Raw!N325</f>
        <v>11916.07</v>
      </c>
      <c r="O325" s="7">
        <f t="shared" si="10"/>
        <v>11916.07</v>
      </c>
      <c r="P325" t="str">
        <f>IFERROR(INDEX(Supplier_Lookup!$B$2:$B$200,MATCH(E325,Supplier_Lookup!$A$2:$A$200,0)),"Unmapped")</f>
        <v>Food &amp; Catering</v>
      </c>
      <c r="Q325" s="10">
        <f>IFERROR(INDEX(Category_Targets!$B$2:$B$9,MATCH(F325,Category_Targets!$A$2:$A$9,0)),0)</f>
        <v>0.04</v>
      </c>
      <c r="R325" s="7">
        <f t="shared" si="11"/>
        <v>476.64280000000002</v>
      </c>
    </row>
    <row r="326" spans="1:18" x14ac:dyDescent="0.25">
      <c r="A326" s="5">
        <f>Procurement_Raw!A326</f>
        <v>45707</v>
      </c>
      <c r="B326" t="str">
        <f>Procurement_Raw!B326</f>
        <v>S007</v>
      </c>
      <c r="C326" t="str">
        <f>Procurement_Raw!C326</f>
        <v>Nottingham Care &amp; Education Centre</v>
      </c>
      <c r="D326" t="str">
        <f>Procurement_Raw!D326</f>
        <v>Midlands</v>
      </c>
      <c r="E326" t="str">
        <f>Procurement_Raw!E326</f>
        <v>FreshServe</v>
      </c>
      <c r="F326" t="str">
        <f>Procurement_Raw!F326</f>
        <v>Food &amp; Catering</v>
      </c>
      <c r="G326" t="str">
        <f>Procurement_Raw!G326</f>
        <v>INV-2025-00325</v>
      </c>
      <c r="H326" s="6">
        <f>Procurement_Raw!H326</f>
        <v>51</v>
      </c>
      <c r="I326" s="7">
        <f>Procurement_Raw!I326</f>
        <v>37.380000000000003</v>
      </c>
      <c r="J326" s="7">
        <f>Procurement_Raw!J326</f>
        <v>1906.27</v>
      </c>
      <c r="K326" s="6">
        <f>Procurement_Raw!K326</f>
        <v>45</v>
      </c>
      <c r="L326" t="str">
        <f>Procurement_Raw!L326</f>
        <v>Procurement Portal</v>
      </c>
      <c r="M326" s="8">
        <f>Procurement_Raw!M326</f>
        <v>381.25400000000002</v>
      </c>
      <c r="N326" s="7">
        <f>Procurement_Raw!N326</f>
        <v>1906.27</v>
      </c>
      <c r="O326" s="7">
        <f t="shared" si="10"/>
        <v>1906.27</v>
      </c>
      <c r="P326" t="str">
        <f>IFERROR(INDEX(Supplier_Lookup!$B$2:$B$200,MATCH(E326,Supplier_Lookup!$A$2:$A$200,0)),"Unmapped")</f>
        <v>Food &amp; Catering</v>
      </c>
      <c r="Q326" s="10">
        <f>IFERROR(INDEX(Category_Targets!$B$2:$B$9,MATCH(F326,Category_Targets!$A$2:$A$9,0)),0)</f>
        <v>0.04</v>
      </c>
      <c r="R326" s="7">
        <f t="shared" si="11"/>
        <v>76.250799999999998</v>
      </c>
    </row>
    <row r="327" spans="1:18" x14ac:dyDescent="0.25">
      <c r="A327" s="5">
        <f>Procurement_Raw!A327</f>
        <v>45759</v>
      </c>
      <c r="B327" t="str">
        <f>Procurement_Raw!B327</f>
        <v>S017</v>
      </c>
      <c r="C327" t="str">
        <f>Procurement_Raw!C327</f>
        <v>Swansea Care &amp; Education Centre</v>
      </c>
      <c r="D327" t="str">
        <f>Procurement_Raw!D327</f>
        <v>Wales</v>
      </c>
      <c r="E327" t="str">
        <f>Procurement_Raw!E327</f>
        <v>FleetFuel</v>
      </c>
      <c r="F327" t="str">
        <f>Procurement_Raw!F327</f>
        <v>Vehicle &amp; Fuel</v>
      </c>
      <c r="G327" t="str">
        <f>Procurement_Raw!G327</f>
        <v>INV-2025-00326</v>
      </c>
      <c r="H327" s="6">
        <f>Procurement_Raw!H327</f>
        <v>78</v>
      </c>
      <c r="I327" s="7">
        <f>Procurement_Raw!I327</f>
        <v>48.72</v>
      </c>
      <c r="J327" s="7">
        <f>Procurement_Raw!J327</f>
        <v>3800.1</v>
      </c>
      <c r="K327" s="6">
        <f>Procurement_Raw!K327</f>
        <v>60</v>
      </c>
      <c r="L327" t="str">
        <f>Procurement_Raw!L327</f>
        <v>Procurement Portal</v>
      </c>
      <c r="M327" s="8">
        <f>Procurement_Raw!M327</f>
        <v>760.02</v>
      </c>
      <c r="N327" s="7">
        <f>Procurement_Raw!N327</f>
        <v>3800.1</v>
      </c>
      <c r="O327" s="7">
        <f t="shared" si="10"/>
        <v>3800.1</v>
      </c>
      <c r="P327" t="str">
        <f>IFERROR(INDEX(Supplier_Lookup!$B$2:$B$200,MATCH(E327,Supplier_Lookup!$A$2:$A$200,0)),"Unmapped")</f>
        <v>Vehicle &amp; Fuel</v>
      </c>
      <c r="Q327" s="10">
        <f>IFERROR(INDEX(Category_Targets!$B$2:$B$9,MATCH(F327,Category_Targets!$A$2:$A$9,0)),0)</f>
        <v>0.05</v>
      </c>
      <c r="R327" s="7">
        <f t="shared" si="11"/>
        <v>190.005</v>
      </c>
    </row>
    <row r="328" spans="1:18" x14ac:dyDescent="0.25">
      <c r="A328" s="5">
        <f>Procurement_Raw!A328</f>
        <v>45677</v>
      </c>
      <c r="B328" t="str">
        <f>Procurement_Raw!B328</f>
        <v>S004</v>
      </c>
      <c r="C328" t="str">
        <f>Procurement_Raw!C328</f>
        <v>Newcastle Care &amp; Education Centre</v>
      </c>
      <c r="D328" t="str">
        <f>Procurement_Raw!D328</f>
        <v>North</v>
      </c>
      <c r="E328" t="str">
        <f>Procurement_Raw!E328</f>
        <v>MediSure</v>
      </c>
      <c r="F328" t="str">
        <f>Procurement_Raw!F328</f>
        <v>Medical Supplies</v>
      </c>
      <c r="G328" t="str">
        <f>Procurement_Raw!G328</f>
        <v>INV-2025-00327</v>
      </c>
      <c r="H328" s="6">
        <f>Procurement_Raw!H328</f>
        <v>18</v>
      </c>
      <c r="I328" s="7">
        <f>Procurement_Raw!I328</f>
        <v>226.89</v>
      </c>
      <c r="J328" s="7">
        <f>Procurement_Raw!J328</f>
        <v>4083.97</v>
      </c>
      <c r="K328" s="6">
        <f>Procurement_Raw!K328</f>
        <v>60</v>
      </c>
      <c r="L328" t="str">
        <f>Procurement_Raw!L328</f>
        <v>Procurement Portal</v>
      </c>
      <c r="M328" s="8">
        <f>Procurement_Raw!M328</f>
        <v>816.79399999999998</v>
      </c>
      <c r="N328" s="7">
        <f>Procurement_Raw!N328</f>
        <v>4083.97</v>
      </c>
      <c r="O328" s="7">
        <f t="shared" si="10"/>
        <v>4083.97</v>
      </c>
      <c r="P328" t="str">
        <f>IFERROR(INDEX(Supplier_Lookup!$B$2:$B$200,MATCH(E328,Supplier_Lookup!$A$2:$A$200,0)),"Unmapped")</f>
        <v>Medical Supplies</v>
      </c>
      <c r="Q328" s="10">
        <f>IFERROR(INDEX(Category_Targets!$B$2:$B$9,MATCH(F328,Category_Targets!$A$2:$A$9,0)),0)</f>
        <v>0.06</v>
      </c>
      <c r="R328" s="7">
        <f t="shared" si="11"/>
        <v>245.03819999999999</v>
      </c>
    </row>
    <row r="329" spans="1:18" x14ac:dyDescent="0.25">
      <c r="A329" s="5">
        <f>Procurement_Raw!A329</f>
        <v>45968</v>
      </c>
      <c r="B329" t="str">
        <f>Procurement_Raw!B329</f>
        <v>S011</v>
      </c>
      <c r="C329" t="str">
        <f>Procurement_Raw!C329</f>
        <v>London Care &amp; Education Centre</v>
      </c>
      <c r="D329" t="str">
        <f>Procurement_Raw!D329</f>
        <v>South</v>
      </c>
      <c r="E329" t="str">
        <f>Procurement_Raw!E329</f>
        <v>OfficePlus</v>
      </c>
      <c r="F329" t="str">
        <f>Procurement_Raw!F329</f>
        <v>Office &amp; Training</v>
      </c>
      <c r="G329" t="str">
        <f>Procurement_Raw!G329</f>
        <v>INV-2025-00328</v>
      </c>
      <c r="H329" s="6">
        <f>Procurement_Raw!H329</f>
        <v>66</v>
      </c>
      <c r="I329" s="7">
        <f>Procurement_Raw!I329</f>
        <v>115.92</v>
      </c>
      <c r="J329" s="7">
        <f>Procurement_Raw!J329</f>
        <v>7650.74</v>
      </c>
      <c r="K329" s="6">
        <f>Procurement_Raw!K329</f>
        <v>30</v>
      </c>
      <c r="L329" t="str">
        <f>Procurement_Raw!L329</f>
        <v>Procurement Portal</v>
      </c>
      <c r="M329" s="8">
        <f>Procurement_Raw!M329</f>
        <v>1530.1479999999999</v>
      </c>
      <c r="N329" s="7">
        <f>Procurement_Raw!N329</f>
        <v>7650.74</v>
      </c>
      <c r="O329" s="7">
        <f t="shared" si="10"/>
        <v>7650.74</v>
      </c>
      <c r="P329" t="str">
        <f>IFERROR(INDEX(Supplier_Lookup!$B$2:$B$200,MATCH(E329,Supplier_Lookup!$A$2:$A$200,0)),"Unmapped")</f>
        <v>Office &amp; Training</v>
      </c>
      <c r="Q329" s="10">
        <f>IFERROR(INDEX(Category_Targets!$B$2:$B$9,MATCH(F329,Category_Targets!$A$2:$A$9,0)),0)</f>
        <v>0.04</v>
      </c>
      <c r="R329" s="7">
        <f t="shared" si="11"/>
        <v>306.02960000000002</v>
      </c>
    </row>
    <row r="330" spans="1:18" x14ac:dyDescent="0.25">
      <c r="A330" s="5">
        <f>Procurement_Raw!A330</f>
        <v>45859</v>
      </c>
      <c r="B330" t="str">
        <f>Procurement_Raw!B330</f>
        <v>S002</v>
      </c>
      <c r="C330" t="str">
        <f>Procurement_Raw!C330</f>
        <v>Manchester Care &amp; Education Centre</v>
      </c>
      <c r="D330" t="str">
        <f>Procurement_Raw!D330</f>
        <v>North</v>
      </c>
      <c r="E330" t="str">
        <f>Procurement_Raw!E330</f>
        <v>FleetFuel</v>
      </c>
      <c r="F330" t="str">
        <f>Procurement_Raw!F330</f>
        <v>Vehicle &amp; Fuel</v>
      </c>
      <c r="G330" t="str">
        <f>Procurement_Raw!G330</f>
        <v>INV-2025-00329</v>
      </c>
      <c r="H330" s="6">
        <f>Procurement_Raw!H330</f>
        <v>79</v>
      </c>
      <c r="I330" s="7">
        <f>Procurement_Raw!I330</f>
        <v>133.91</v>
      </c>
      <c r="J330" s="7">
        <f>Procurement_Raw!J330</f>
        <v>10578.62</v>
      </c>
      <c r="K330" s="6">
        <f>Procurement_Raw!K330</f>
        <v>60</v>
      </c>
      <c r="L330" t="str">
        <f>Procurement_Raw!L330</f>
        <v>Procurement Portal</v>
      </c>
      <c r="M330" s="8">
        <f>Procurement_Raw!M330</f>
        <v>2115.7240000000002</v>
      </c>
      <c r="N330" s="7">
        <f>Procurement_Raw!N330</f>
        <v>10578.62</v>
      </c>
      <c r="O330" s="7">
        <f t="shared" si="10"/>
        <v>10578.62</v>
      </c>
      <c r="P330" t="str">
        <f>IFERROR(INDEX(Supplier_Lookup!$B$2:$B$200,MATCH(E330,Supplier_Lookup!$A$2:$A$200,0)),"Unmapped")</f>
        <v>Vehicle &amp; Fuel</v>
      </c>
      <c r="Q330" s="10">
        <f>IFERROR(INDEX(Category_Targets!$B$2:$B$9,MATCH(F330,Category_Targets!$A$2:$A$9,0)),0)</f>
        <v>0.05</v>
      </c>
      <c r="R330" s="7">
        <f t="shared" si="11"/>
        <v>528.93100000000004</v>
      </c>
    </row>
    <row r="331" spans="1:18" x14ac:dyDescent="0.25">
      <c r="A331" s="5">
        <f>Procurement_Raw!A331</f>
        <v>45918</v>
      </c>
      <c r="B331" t="str">
        <f>Procurement_Raw!B331</f>
        <v>S014</v>
      </c>
      <c r="C331" t="str">
        <f>Procurement_Raw!C331</f>
        <v>Southampton Care &amp; Education Centre</v>
      </c>
      <c r="D331" t="str">
        <f>Procurement_Raw!D331</f>
        <v>South</v>
      </c>
      <c r="E331" t="str">
        <f>Procurement_Raw!E331</f>
        <v>AutoCare</v>
      </c>
      <c r="F331" t="str">
        <f>Procurement_Raw!F331</f>
        <v>Vehicle &amp; Fuel</v>
      </c>
      <c r="G331" t="str">
        <f>Procurement_Raw!G331</f>
        <v>INV-2025-00330</v>
      </c>
      <c r="H331" s="6">
        <f>Procurement_Raw!H331</f>
        <v>69</v>
      </c>
      <c r="I331" s="7">
        <f>Procurement_Raw!I331</f>
        <v>134.22</v>
      </c>
      <c r="J331" s="7">
        <f>Procurement_Raw!J331</f>
        <v>9261.06</v>
      </c>
      <c r="K331" s="6">
        <f>Procurement_Raw!K331</f>
        <v>45</v>
      </c>
      <c r="L331" t="str">
        <f>Procurement_Raw!L331</f>
        <v>Legacy Spend File</v>
      </c>
      <c r="M331" s="8">
        <f>Procurement_Raw!M331</f>
        <v>1852.212</v>
      </c>
      <c r="N331" s="7">
        <f>Procurement_Raw!N331</f>
        <v>9261.06</v>
      </c>
      <c r="O331" s="7">
        <f t="shared" si="10"/>
        <v>9261.06</v>
      </c>
      <c r="P331" t="str">
        <f>IFERROR(INDEX(Supplier_Lookup!$B$2:$B$200,MATCH(E331,Supplier_Lookup!$A$2:$A$200,0)),"Unmapped")</f>
        <v>Vehicle &amp; Fuel</v>
      </c>
      <c r="Q331" s="10">
        <f>IFERROR(INDEX(Category_Targets!$B$2:$B$9,MATCH(F331,Category_Targets!$A$2:$A$9,0)),0)</f>
        <v>0.05</v>
      </c>
      <c r="R331" s="7">
        <f t="shared" si="11"/>
        <v>463.053</v>
      </c>
    </row>
    <row r="332" spans="1:18" x14ac:dyDescent="0.25">
      <c r="A332" s="5">
        <f>Procurement_Raw!A332</f>
        <v>45666</v>
      </c>
      <c r="B332" t="str">
        <f>Procurement_Raw!B332</f>
        <v>S006</v>
      </c>
      <c r="C332" t="str">
        <f>Procurement_Raw!C332</f>
        <v>Birmingham Care &amp; Education Centre</v>
      </c>
      <c r="D332" t="str">
        <f>Procurement_Raw!D332</f>
        <v>Midlands</v>
      </c>
      <c r="E332" t="str">
        <f>Procurement_Raw!E332</f>
        <v>TeleCare IT</v>
      </c>
      <c r="F332" t="str">
        <f>Procurement_Raw!F332</f>
        <v>IT &amp; Telecoms</v>
      </c>
      <c r="G332" t="str">
        <f>Procurement_Raw!G332</f>
        <v>INV-2025-00331</v>
      </c>
      <c r="H332" s="6">
        <f>Procurement_Raw!H332</f>
        <v>48</v>
      </c>
      <c r="I332" s="7">
        <f>Procurement_Raw!I332</f>
        <v>218.52</v>
      </c>
      <c r="J332" s="7">
        <f>Procurement_Raw!J332</f>
        <v>10489.11</v>
      </c>
      <c r="K332" s="6">
        <f>Procurement_Raw!K332</f>
        <v>45</v>
      </c>
      <c r="L332" t="str">
        <f>Procurement_Raw!L332</f>
        <v>Legacy Spend File</v>
      </c>
      <c r="M332" s="8">
        <f>Procurement_Raw!M332</f>
        <v>2097.8220000000001</v>
      </c>
      <c r="N332" s="7">
        <f>Procurement_Raw!N332</f>
        <v>10489.11</v>
      </c>
      <c r="O332" s="7">
        <f t="shared" si="10"/>
        <v>10489.11</v>
      </c>
      <c r="P332" t="str">
        <f>IFERROR(INDEX(Supplier_Lookup!$B$2:$B$200,MATCH(E332,Supplier_Lookup!$A$2:$A$200,0)),"Unmapped")</f>
        <v>IT &amp; Telecoms</v>
      </c>
      <c r="Q332" s="10">
        <f>IFERROR(INDEX(Category_Targets!$B$2:$B$9,MATCH(F332,Category_Targets!$A$2:$A$9,0)),0)</f>
        <v>0.08</v>
      </c>
      <c r="R332" s="7">
        <f t="shared" si="11"/>
        <v>839.12880000000007</v>
      </c>
    </row>
    <row r="333" spans="1:18" x14ac:dyDescent="0.25">
      <c r="A333" s="5">
        <f>Procurement_Raw!A333</f>
        <v>45815</v>
      </c>
      <c r="B333" t="str">
        <f>Procurement_Raw!B333</f>
        <v>S010</v>
      </c>
      <c r="C333" t="str">
        <f>Procurement_Raw!C333</f>
        <v>Coventry Care &amp; Education Centre</v>
      </c>
      <c r="D333" t="str">
        <f>Procurement_Raw!D333</f>
        <v>Midlands</v>
      </c>
      <c r="E333" t="str">
        <f>Procurement_Raw!E333</f>
        <v>NurseLink</v>
      </c>
      <c r="F333" t="str">
        <f>Procurement_Raw!F333</f>
        <v>Agency Labour</v>
      </c>
      <c r="G333" t="str">
        <f>Procurement_Raw!G333</f>
        <v>INV-2025-00332</v>
      </c>
      <c r="H333" s="6">
        <f>Procurement_Raw!H333</f>
        <v>4</v>
      </c>
      <c r="I333" s="7">
        <f>Procurement_Raw!I333</f>
        <v>183.15</v>
      </c>
      <c r="J333" s="7">
        <f>Procurement_Raw!J333</f>
        <v>732.59</v>
      </c>
      <c r="K333" s="6">
        <f>Procurement_Raw!K333</f>
        <v>60</v>
      </c>
      <c r="L333" t="str">
        <f>Procurement_Raw!L333</f>
        <v>Procurement Portal</v>
      </c>
      <c r="M333" s="8">
        <f>Procurement_Raw!M333</f>
        <v>146.518</v>
      </c>
      <c r="N333" s="7">
        <f>Procurement_Raw!N333</f>
        <v>732.59</v>
      </c>
      <c r="O333" s="7">
        <f t="shared" si="10"/>
        <v>732.59</v>
      </c>
      <c r="P333" t="str">
        <f>IFERROR(INDEX(Supplier_Lookup!$B$2:$B$200,MATCH(E333,Supplier_Lookup!$A$2:$A$200,0)),"Unmapped")</f>
        <v>Agency Labour</v>
      </c>
      <c r="Q333" s="10">
        <f>IFERROR(INDEX(Category_Targets!$B$2:$B$9,MATCH(F333,Category_Targets!$A$2:$A$9,0)),0)</f>
        <v>7.0000000000000007E-2</v>
      </c>
      <c r="R333" s="7">
        <f t="shared" si="11"/>
        <v>51.281300000000009</v>
      </c>
    </row>
    <row r="334" spans="1:18" x14ac:dyDescent="0.25">
      <c r="A334" s="5">
        <f>Procurement_Raw!A334</f>
        <v>45684</v>
      </c>
      <c r="B334" t="str">
        <f>Procurement_Raw!B334</f>
        <v>S019</v>
      </c>
      <c r="C334" t="str">
        <f>Procurement_Raw!C334</f>
        <v>Wrexham Care &amp; Education Centre</v>
      </c>
      <c r="D334" t="str">
        <f>Procurement_Raw!D334</f>
        <v>Wales</v>
      </c>
      <c r="E334" t="str">
        <f>Procurement_Raw!E334</f>
        <v>PowerDirect</v>
      </c>
      <c r="F334" t="str">
        <f>Procurement_Raw!F334</f>
        <v>Utilities</v>
      </c>
      <c r="G334" t="str">
        <f>Procurement_Raw!G334</f>
        <v>INV-2025-00333</v>
      </c>
      <c r="H334" s="6">
        <f>Procurement_Raw!H334</f>
        <v>75</v>
      </c>
      <c r="I334" s="7">
        <f>Procurement_Raw!I334</f>
        <v>260.64</v>
      </c>
      <c r="J334" s="7">
        <f>Procurement_Raw!J334</f>
        <v>19548.259999999998</v>
      </c>
      <c r="K334" s="6">
        <f>Procurement_Raw!K334</f>
        <v>45</v>
      </c>
      <c r="L334" t="str">
        <f>Procurement_Raw!L334</f>
        <v>ERP</v>
      </c>
      <c r="M334" s="8">
        <f>Procurement_Raw!M334</f>
        <v>3909.652</v>
      </c>
      <c r="N334" s="7">
        <f>Procurement_Raw!N334</f>
        <v>19548.259999999998</v>
      </c>
      <c r="O334" s="7">
        <f t="shared" si="10"/>
        <v>19548.259999999998</v>
      </c>
      <c r="P334" t="str">
        <f>IFERROR(INDEX(Supplier_Lookup!$B$2:$B$200,MATCH(E334,Supplier_Lookup!$A$2:$A$200,0)),"Unmapped")</f>
        <v>Utilities</v>
      </c>
      <c r="Q334" s="10">
        <f>IFERROR(INDEX(Category_Targets!$B$2:$B$9,MATCH(F334,Category_Targets!$A$2:$A$9,0)),0)</f>
        <v>0.03</v>
      </c>
      <c r="R334" s="7">
        <f t="shared" si="11"/>
        <v>586.44779999999992</v>
      </c>
    </row>
    <row r="335" spans="1:18" x14ac:dyDescent="0.25">
      <c r="A335" s="5">
        <f>Procurement_Raw!A335</f>
        <v>46006</v>
      </c>
      <c r="B335" t="str">
        <f>Procurement_Raw!B335</f>
        <v>S010</v>
      </c>
      <c r="C335" t="str">
        <f>Procurement_Raw!C335</f>
        <v>Coventry Care &amp; Education Centre</v>
      </c>
      <c r="D335" t="str">
        <f>Procurement_Raw!D335</f>
        <v>Midlands</v>
      </c>
      <c r="E335" t="str">
        <f>Procurement_Raw!E335</f>
        <v>HealthStaffing</v>
      </c>
      <c r="F335" t="str">
        <f>Procurement_Raw!F335</f>
        <v>Agency Labour</v>
      </c>
      <c r="G335" t="str">
        <f>Procurement_Raw!G335</f>
        <v>INV-2025-00334</v>
      </c>
      <c r="H335" s="6">
        <f>Procurement_Raw!H335</f>
        <v>32</v>
      </c>
      <c r="I335" s="7">
        <f>Procurement_Raw!I335</f>
        <v>206.72</v>
      </c>
      <c r="J335" s="7">
        <f>Procurement_Raw!J335</f>
        <v>6614.9</v>
      </c>
      <c r="K335" s="6">
        <f>Procurement_Raw!K335</f>
        <v>30</v>
      </c>
      <c r="L335" t="str">
        <f>Procurement_Raw!L335</f>
        <v>Legacy Spend File</v>
      </c>
      <c r="M335" s="8">
        <f>Procurement_Raw!M335</f>
        <v>1322.98</v>
      </c>
      <c r="N335" s="7">
        <f>Procurement_Raw!N335</f>
        <v>6614.9</v>
      </c>
      <c r="O335" s="7">
        <f t="shared" si="10"/>
        <v>6614.9</v>
      </c>
      <c r="P335" t="str">
        <f>IFERROR(INDEX(Supplier_Lookup!$B$2:$B$200,MATCH(E335,Supplier_Lookup!$A$2:$A$200,0)),"Unmapped")</f>
        <v>Agency Labour</v>
      </c>
      <c r="Q335" s="10">
        <f>IFERROR(INDEX(Category_Targets!$B$2:$B$9,MATCH(F335,Category_Targets!$A$2:$A$9,0)),0)</f>
        <v>7.0000000000000007E-2</v>
      </c>
      <c r="R335" s="7">
        <f t="shared" si="11"/>
        <v>463.04300000000001</v>
      </c>
    </row>
    <row r="336" spans="1:18" x14ac:dyDescent="0.25">
      <c r="A336" s="5">
        <f>Procurement_Raw!A336</f>
        <v>45667</v>
      </c>
      <c r="B336" t="str">
        <f>Procurement_Raw!B336</f>
        <v>S002</v>
      </c>
      <c r="C336" t="str">
        <f>Procurement_Raw!C336</f>
        <v>Manchester Care &amp; Education Centre</v>
      </c>
      <c r="D336" t="str">
        <f>Procurement_Raw!D336</f>
        <v>North</v>
      </c>
      <c r="E336" t="str">
        <f>Procurement_Raw!E336</f>
        <v>FreshServe</v>
      </c>
      <c r="F336" t="str">
        <f>Procurement_Raw!F336</f>
        <v>Food &amp; Catering</v>
      </c>
      <c r="G336" t="str">
        <f>Procurement_Raw!G336</f>
        <v>INV-2025-00335</v>
      </c>
      <c r="H336" s="6">
        <f>Procurement_Raw!H336</f>
        <v>57</v>
      </c>
      <c r="I336" s="7">
        <f>Procurement_Raw!I336</f>
        <v>111.13</v>
      </c>
      <c r="J336" s="7">
        <f>Procurement_Raw!J336</f>
        <v>6334.43</v>
      </c>
      <c r="K336" s="6">
        <f>Procurement_Raw!K336</f>
        <v>45</v>
      </c>
      <c r="L336" t="str">
        <f>Procurement_Raw!L336</f>
        <v>Procurement Portal</v>
      </c>
      <c r="M336" s="8">
        <f>Procurement_Raw!M336</f>
        <v>1266.886</v>
      </c>
      <c r="N336" s="7">
        <f>Procurement_Raw!N336</f>
        <v>6334.43</v>
      </c>
      <c r="O336" s="7">
        <f t="shared" si="10"/>
        <v>6334.43</v>
      </c>
      <c r="P336" t="str">
        <f>IFERROR(INDEX(Supplier_Lookup!$B$2:$B$200,MATCH(E336,Supplier_Lookup!$A$2:$A$200,0)),"Unmapped")</f>
        <v>Food &amp; Catering</v>
      </c>
      <c r="Q336" s="10">
        <f>IFERROR(INDEX(Category_Targets!$B$2:$B$9,MATCH(F336,Category_Targets!$A$2:$A$9,0)),0)</f>
        <v>0.04</v>
      </c>
      <c r="R336" s="7">
        <f t="shared" si="11"/>
        <v>253.37720000000002</v>
      </c>
    </row>
    <row r="337" spans="1:18" x14ac:dyDescent="0.25">
      <c r="A337" s="5">
        <f>Procurement_Raw!A337</f>
        <v>45762</v>
      </c>
      <c r="B337" t="str">
        <f>Procurement_Raw!B337</f>
        <v>S019</v>
      </c>
      <c r="C337" t="str">
        <f>Procurement_Raw!C337</f>
        <v>Wrexham Care &amp; Education Centre</v>
      </c>
      <c r="D337" t="str">
        <f>Procurement_Raw!D337</f>
        <v>Wales</v>
      </c>
      <c r="E337" t="str">
        <f>Procurement_Raw!E337</f>
        <v>NurseLink</v>
      </c>
      <c r="F337" t="str">
        <f>Procurement_Raw!F337</f>
        <v>Agency Labour</v>
      </c>
      <c r="G337" t="str">
        <f>Procurement_Raw!G337</f>
        <v>INV-2025-00336</v>
      </c>
      <c r="H337" s="6">
        <f>Procurement_Raw!H337</f>
        <v>53</v>
      </c>
      <c r="I337" s="7">
        <f>Procurement_Raw!I337</f>
        <v>276.69</v>
      </c>
      <c r="J337" s="7">
        <f>Procurement_Raw!J337</f>
        <v>14664.62</v>
      </c>
      <c r="K337" s="6">
        <f>Procurement_Raw!K337</f>
        <v>60</v>
      </c>
      <c r="L337" t="str">
        <f>Procurement_Raw!L337</f>
        <v>Legacy Spend File</v>
      </c>
      <c r="M337" s="8">
        <f>Procurement_Raw!M337</f>
        <v>2932.924</v>
      </c>
      <c r="N337" s="7">
        <f>Procurement_Raw!N337</f>
        <v>14664.62</v>
      </c>
      <c r="O337" s="7">
        <f t="shared" si="10"/>
        <v>14664.62</v>
      </c>
      <c r="P337" t="str">
        <f>IFERROR(INDEX(Supplier_Lookup!$B$2:$B$200,MATCH(E337,Supplier_Lookup!$A$2:$A$200,0)),"Unmapped")</f>
        <v>Agency Labour</v>
      </c>
      <c r="Q337" s="10">
        <f>IFERROR(INDEX(Category_Targets!$B$2:$B$9,MATCH(F337,Category_Targets!$A$2:$A$9,0)),0)</f>
        <v>7.0000000000000007E-2</v>
      </c>
      <c r="R337" s="7">
        <f t="shared" si="11"/>
        <v>1026.5234000000003</v>
      </c>
    </row>
    <row r="338" spans="1:18" x14ac:dyDescent="0.25">
      <c r="A338" s="5">
        <f>Procurement_Raw!A338</f>
        <v>45728</v>
      </c>
      <c r="B338" t="str">
        <f>Procurement_Raw!B338</f>
        <v>S012</v>
      </c>
      <c r="C338" t="str">
        <f>Procurement_Raw!C338</f>
        <v>Bristol Care &amp; Education Centre</v>
      </c>
      <c r="D338" t="str">
        <f>Procurement_Raw!D338</f>
        <v>South</v>
      </c>
      <c r="E338" t="str">
        <f>Procurement_Raw!E338</f>
        <v>ClinEquip</v>
      </c>
      <c r="F338" t="str">
        <f>Procurement_Raw!F338</f>
        <v>Medical Supplies</v>
      </c>
      <c r="G338" t="str">
        <f>Procurement_Raw!G338</f>
        <v>INV-2025-00337</v>
      </c>
      <c r="H338" s="6">
        <f>Procurement_Raw!H338</f>
        <v>67</v>
      </c>
      <c r="I338" s="7">
        <f>Procurement_Raw!I338</f>
        <v>76.209999999999994</v>
      </c>
      <c r="J338" s="7">
        <f>Procurement_Raw!J338</f>
        <v>5105.95</v>
      </c>
      <c r="K338" s="6">
        <f>Procurement_Raw!K338</f>
        <v>30</v>
      </c>
      <c r="L338" t="str">
        <f>Procurement_Raw!L338</f>
        <v>Legacy Spend File</v>
      </c>
      <c r="M338" s="8">
        <f>Procurement_Raw!M338</f>
        <v>1021.19</v>
      </c>
      <c r="N338" s="7">
        <f>Procurement_Raw!N338</f>
        <v>5105.95</v>
      </c>
      <c r="O338" s="7">
        <f t="shared" si="10"/>
        <v>5105.95</v>
      </c>
      <c r="P338" t="str">
        <f>IFERROR(INDEX(Supplier_Lookup!$B$2:$B$200,MATCH(E338,Supplier_Lookup!$A$2:$A$200,0)),"Unmapped")</f>
        <v>Medical Supplies</v>
      </c>
      <c r="Q338" s="10">
        <f>IFERROR(INDEX(Category_Targets!$B$2:$B$9,MATCH(F338,Category_Targets!$A$2:$A$9,0)),0)</f>
        <v>0.06</v>
      </c>
      <c r="R338" s="7">
        <f t="shared" si="11"/>
        <v>306.35699999999997</v>
      </c>
    </row>
    <row r="339" spans="1:18" x14ac:dyDescent="0.25">
      <c r="A339" s="5">
        <f>Procurement_Raw!A339</f>
        <v>45850</v>
      </c>
      <c r="B339" t="str">
        <f>Procurement_Raw!B339</f>
        <v>S007</v>
      </c>
      <c r="C339" t="str">
        <f>Procurement_Raw!C339</f>
        <v>Nottingham Care &amp; Education Centre</v>
      </c>
      <c r="D339" t="str">
        <f>Procurement_Raw!D339</f>
        <v>Midlands</v>
      </c>
      <c r="E339" t="str">
        <f>Procurement_Raw!E339</f>
        <v>PrintCo</v>
      </c>
      <c r="F339" t="str">
        <f>Procurement_Raw!F339</f>
        <v>Office &amp; Training</v>
      </c>
      <c r="G339" t="str">
        <f>Procurement_Raw!G339</f>
        <v>INV-2025-00338</v>
      </c>
      <c r="H339" s="6">
        <f>Procurement_Raw!H339</f>
        <v>41</v>
      </c>
      <c r="I339" s="7">
        <f>Procurement_Raw!I339</f>
        <v>62.85</v>
      </c>
      <c r="J339" s="7">
        <f>Procurement_Raw!J339</f>
        <v>2576.79</v>
      </c>
      <c r="K339" s="6">
        <f>Procurement_Raw!K339</f>
        <v>30</v>
      </c>
      <c r="L339" t="str">
        <f>Procurement_Raw!L339</f>
        <v>Procurement Portal</v>
      </c>
      <c r="M339" s="8">
        <f>Procurement_Raw!M339</f>
        <v>515.35799999999995</v>
      </c>
      <c r="N339" s="7">
        <f>Procurement_Raw!N339</f>
        <v>2576.79</v>
      </c>
      <c r="O339" s="7">
        <f t="shared" si="10"/>
        <v>2576.79</v>
      </c>
      <c r="P339" t="str">
        <f>IFERROR(INDEX(Supplier_Lookup!$B$2:$B$200,MATCH(E339,Supplier_Lookup!$A$2:$A$200,0)),"Unmapped")</f>
        <v>Office &amp; Training</v>
      </c>
      <c r="Q339" s="10">
        <f>IFERROR(INDEX(Category_Targets!$B$2:$B$9,MATCH(F339,Category_Targets!$A$2:$A$9,0)),0)</f>
        <v>0.04</v>
      </c>
      <c r="R339" s="7">
        <f t="shared" si="11"/>
        <v>103.0716</v>
      </c>
    </row>
    <row r="340" spans="1:18" x14ac:dyDescent="0.25">
      <c r="A340" s="5">
        <f>Procurement_Raw!A340</f>
        <v>45839</v>
      </c>
      <c r="B340" t="str">
        <f>Procurement_Raw!B340</f>
        <v>S018</v>
      </c>
      <c r="C340" t="str">
        <f>Procurement_Raw!C340</f>
        <v>Newport Care &amp; Education Centre</v>
      </c>
      <c r="D340" t="str">
        <f>Procurement_Raw!D340</f>
        <v>Wales</v>
      </c>
      <c r="E340" t="str">
        <f>Procurement_Raw!E340</f>
        <v>AutoCare</v>
      </c>
      <c r="F340" t="str">
        <f>Procurement_Raw!F340</f>
        <v>Vehicle &amp; Fuel</v>
      </c>
      <c r="G340" t="str">
        <f>Procurement_Raw!G340</f>
        <v>INV-2025-00339</v>
      </c>
      <c r="H340" s="6">
        <f>Procurement_Raw!H340</f>
        <v>34</v>
      </c>
      <c r="I340" s="7">
        <f>Procurement_Raw!I340</f>
        <v>119.22</v>
      </c>
      <c r="J340" s="7">
        <f>Procurement_Raw!J340</f>
        <v>4053.56</v>
      </c>
      <c r="K340" s="6">
        <f>Procurement_Raw!K340</f>
        <v>60</v>
      </c>
      <c r="L340" t="str">
        <f>Procurement_Raw!L340</f>
        <v>Procurement Portal</v>
      </c>
      <c r="M340" s="8">
        <f>Procurement_Raw!M340</f>
        <v>810.71199999999999</v>
      </c>
      <c r="N340" s="7">
        <f>Procurement_Raw!N340</f>
        <v>4053.56</v>
      </c>
      <c r="O340" s="7">
        <f t="shared" si="10"/>
        <v>4053.56</v>
      </c>
      <c r="P340" t="str">
        <f>IFERROR(INDEX(Supplier_Lookup!$B$2:$B$200,MATCH(E340,Supplier_Lookup!$A$2:$A$200,0)),"Unmapped")</f>
        <v>Vehicle &amp; Fuel</v>
      </c>
      <c r="Q340" s="10">
        <f>IFERROR(INDEX(Category_Targets!$B$2:$B$9,MATCH(F340,Category_Targets!$A$2:$A$9,0)),0)</f>
        <v>0.05</v>
      </c>
      <c r="R340" s="7">
        <f t="shared" si="11"/>
        <v>202.678</v>
      </c>
    </row>
    <row r="341" spans="1:18" x14ac:dyDescent="0.25">
      <c r="A341" s="5">
        <f>Procurement_Raw!A341</f>
        <v>45943</v>
      </c>
      <c r="B341" t="str">
        <f>Procurement_Raw!B341</f>
        <v>S011</v>
      </c>
      <c r="C341" t="str">
        <f>Procurement_Raw!C341</f>
        <v>London Care &amp; Education Centre</v>
      </c>
      <c r="D341" t="str">
        <f>Procurement_Raw!D341</f>
        <v>South</v>
      </c>
      <c r="E341" t="str">
        <f>Procurement_Raw!E341</f>
        <v>WaterGrid</v>
      </c>
      <c r="F341" t="str">
        <f>Procurement_Raw!F341</f>
        <v>Utilities</v>
      </c>
      <c r="G341" t="str">
        <f>Procurement_Raw!G341</f>
        <v>INV-2025-00340</v>
      </c>
      <c r="H341" s="6">
        <f>Procurement_Raw!H341</f>
        <v>39</v>
      </c>
      <c r="I341" s="7">
        <f>Procurement_Raw!I341</f>
        <v>183.35</v>
      </c>
      <c r="J341" s="7">
        <f>Procurement_Raw!J341</f>
        <v>7150.76</v>
      </c>
      <c r="K341" s="6">
        <f>Procurement_Raw!K341</f>
        <v>30</v>
      </c>
      <c r="L341" t="str">
        <f>Procurement_Raw!L341</f>
        <v>Procurement Portal</v>
      </c>
      <c r="M341" s="8">
        <f>Procurement_Raw!M341</f>
        <v>1430.152</v>
      </c>
      <c r="N341" s="7">
        <f>Procurement_Raw!N341</f>
        <v>7150.76</v>
      </c>
      <c r="O341" s="7">
        <f t="shared" si="10"/>
        <v>7150.76</v>
      </c>
      <c r="P341" t="str">
        <f>IFERROR(INDEX(Supplier_Lookup!$B$2:$B$200,MATCH(E341,Supplier_Lookup!$A$2:$A$200,0)),"Unmapped")</f>
        <v>Utilities</v>
      </c>
      <c r="Q341" s="10">
        <f>IFERROR(INDEX(Category_Targets!$B$2:$B$9,MATCH(F341,Category_Targets!$A$2:$A$9,0)),0)</f>
        <v>0.03</v>
      </c>
      <c r="R341" s="7">
        <f t="shared" si="11"/>
        <v>214.52279999999999</v>
      </c>
    </row>
    <row r="342" spans="1:18" x14ac:dyDescent="0.25">
      <c r="A342" s="5">
        <f>Procurement_Raw!A342</f>
        <v>46018</v>
      </c>
      <c r="B342" t="str">
        <f>Procurement_Raw!B342</f>
        <v>S006</v>
      </c>
      <c r="C342" t="str">
        <f>Procurement_Raw!C342</f>
        <v>Birmingham Care &amp; Education Centre</v>
      </c>
      <c r="D342" t="str">
        <f>Procurement_Raw!D342</f>
        <v>Midlands</v>
      </c>
      <c r="E342" t="str">
        <f>Procurement_Raw!E342</f>
        <v>PowerDirect</v>
      </c>
      <c r="F342" t="str">
        <f>Procurement_Raw!F342</f>
        <v>Utilities</v>
      </c>
      <c r="G342" t="str">
        <f>Procurement_Raw!G342</f>
        <v>INV-2025-00341</v>
      </c>
      <c r="H342" s="6">
        <f>Procurement_Raw!H342</f>
        <v>63</v>
      </c>
      <c r="I342" s="7">
        <f>Procurement_Raw!I342</f>
        <v>159.05000000000001</v>
      </c>
      <c r="J342" s="7">
        <f>Procurement_Raw!J342</f>
        <v>10020.36</v>
      </c>
      <c r="K342" s="6">
        <f>Procurement_Raw!K342</f>
        <v>45</v>
      </c>
      <c r="L342" t="str">
        <f>Procurement_Raw!L342</f>
        <v>Procurement Portal</v>
      </c>
      <c r="M342" s="8">
        <f>Procurement_Raw!M342</f>
        <v>2004.0719999999999</v>
      </c>
      <c r="N342" s="7">
        <f>Procurement_Raw!N342</f>
        <v>10020.36</v>
      </c>
      <c r="O342" s="7">
        <f t="shared" si="10"/>
        <v>10020.36</v>
      </c>
      <c r="P342" t="str">
        <f>IFERROR(INDEX(Supplier_Lookup!$B$2:$B$200,MATCH(E342,Supplier_Lookup!$A$2:$A$200,0)),"Unmapped")</f>
        <v>Utilities</v>
      </c>
      <c r="Q342" s="10">
        <f>IFERROR(INDEX(Category_Targets!$B$2:$B$9,MATCH(F342,Category_Targets!$A$2:$A$9,0)),0)</f>
        <v>0.03</v>
      </c>
      <c r="R342" s="7">
        <f t="shared" si="11"/>
        <v>300.61079999999998</v>
      </c>
    </row>
    <row r="343" spans="1:18" x14ac:dyDescent="0.25">
      <c r="A343" s="5">
        <f>Procurement_Raw!A343</f>
        <v>45720</v>
      </c>
      <c r="B343" t="str">
        <f>Procurement_Raw!B343</f>
        <v>S004</v>
      </c>
      <c r="C343" t="str">
        <f>Procurement_Raw!C343</f>
        <v>Newcastle Care &amp; Education Centre</v>
      </c>
      <c r="D343" t="str">
        <f>Procurement_Raw!D343</f>
        <v>North</v>
      </c>
      <c r="E343" t="str">
        <f>Procurement_Raw!E343</f>
        <v>TeleCare IT</v>
      </c>
      <c r="F343" t="str">
        <f>Procurement_Raw!F343</f>
        <v>IT &amp; Telecoms</v>
      </c>
      <c r="G343" t="str">
        <f>Procurement_Raw!G343</f>
        <v>INV-2025-00342</v>
      </c>
      <c r="H343" s="6">
        <f>Procurement_Raw!H343</f>
        <v>74</v>
      </c>
      <c r="I343" s="7">
        <f>Procurement_Raw!I343</f>
        <v>251.55</v>
      </c>
      <c r="J343" s="7">
        <f>Procurement_Raw!J343</f>
        <v>18614.96</v>
      </c>
      <c r="K343" s="6">
        <f>Procurement_Raw!K343</f>
        <v>60</v>
      </c>
      <c r="L343" t="str">
        <f>Procurement_Raw!L343</f>
        <v>Legacy Spend File</v>
      </c>
      <c r="M343" s="8">
        <f>Procurement_Raw!M343</f>
        <v>3722.9920000000002</v>
      </c>
      <c r="N343" s="7">
        <f>Procurement_Raw!N343</f>
        <v>18614.96</v>
      </c>
      <c r="O343" s="7">
        <f t="shared" si="10"/>
        <v>18614.96</v>
      </c>
      <c r="P343" t="str">
        <f>IFERROR(INDEX(Supplier_Lookup!$B$2:$B$200,MATCH(E343,Supplier_Lookup!$A$2:$A$200,0)),"Unmapped")</f>
        <v>IT &amp; Telecoms</v>
      </c>
      <c r="Q343" s="10">
        <f>IFERROR(INDEX(Category_Targets!$B$2:$B$9,MATCH(F343,Category_Targets!$A$2:$A$9,0)),0)</f>
        <v>0.08</v>
      </c>
      <c r="R343" s="7">
        <f t="shared" si="11"/>
        <v>1489.1967999999999</v>
      </c>
    </row>
    <row r="344" spans="1:18" x14ac:dyDescent="0.25">
      <c r="A344" s="5">
        <f>Procurement_Raw!A344</f>
        <v>45732</v>
      </c>
      <c r="B344" t="str">
        <f>Procurement_Raw!B344</f>
        <v>S014</v>
      </c>
      <c r="C344" t="str">
        <f>Procurement_Raw!C344</f>
        <v>Southampton Care &amp; Education Centre</v>
      </c>
      <c r="D344" t="str">
        <f>Procurement_Raw!D344</f>
        <v>South</v>
      </c>
      <c r="E344" t="str">
        <f>Procurement_Raw!E344</f>
        <v>CareTemps</v>
      </c>
      <c r="F344" t="str">
        <f>Procurement_Raw!F344</f>
        <v>Agency Labour</v>
      </c>
      <c r="G344" t="str">
        <f>Procurement_Raw!G344</f>
        <v>INV-2025-00343</v>
      </c>
      <c r="H344" s="6">
        <f>Procurement_Raw!H344</f>
        <v>38</v>
      </c>
      <c r="I344" s="7">
        <f>Procurement_Raw!I344</f>
        <v>343.27</v>
      </c>
      <c r="J344" s="7">
        <f>Procurement_Raw!J344</f>
        <v>13044.22</v>
      </c>
      <c r="K344" s="6">
        <f>Procurement_Raw!K344</f>
        <v>30</v>
      </c>
      <c r="L344" t="str">
        <f>Procurement_Raw!L344</f>
        <v>Procurement Portal</v>
      </c>
      <c r="M344" s="8">
        <f>Procurement_Raw!M344</f>
        <v>2608.8440000000001</v>
      </c>
      <c r="N344" s="7">
        <f>Procurement_Raw!N344</f>
        <v>13044.22</v>
      </c>
      <c r="O344" s="7">
        <f t="shared" si="10"/>
        <v>13044.22</v>
      </c>
      <c r="P344" t="str">
        <f>IFERROR(INDEX(Supplier_Lookup!$B$2:$B$200,MATCH(E344,Supplier_Lookup!$A$2:$A$200,0)),"Unmapped")</f>
        <v>Agency Labour</v>
      </c>
      <c r="Q344" s="10">
        <f>IFERROR(INDEX(Category_Targets!$B$2:$B$9,MATCH(F344,Category_Targets!$A$2:$A$9,0)),0)</f>
        <v>7.0000000000000007E-2</v>
      </c>
      <c r="R344" s="7">
        <f t="shared" si="11"/>
        <v>913.09540000000004</v>
      </c>
    </row>
    <row r="345" spans="1:18" x14ac:dyDescent="0.25">
      <c r="A345" s="5">
        <f>Procurement_Raw!A345</f>
        <v>45884</v>
      </c>
      <c r="B345" t="str">
        <f>Procurement_Raw!B345</f>
        <v>S011</v>
      </c>
      <c r="C345" t="str">
        <f>Procurement_Raw!C345</f>
        <v>London Care &amp; Education Centre</v>
      </c>
      <c r="D345" t="str">
        <f>Procurement_Raw!D345</f>
        <v>South</v>
      </c>
      <c r="E345" t="str">
        <f>Procurement_Raw!E345</f>
        <v>NourishCo</v>
      </c>
      <c r="F345" t="str">
        <f>Procurement_Raw!F345</f>
        <v>Food &amp; Catering</v>
      </c>
      <c r="G345" t="str">
        <f>Procurement_Raw!G345</f>
        <v>INV-2025-00344</v>
      </c>
      <c r="H345" s="6">
        <f>Procurement_Raw!H345</f>
        <v>33</v>
      </c>
      <c r="I345" s="7">
        <f>Procurement_Raw!I345</f>
        <v>49.18</v>
      </c>
      <c r="J345" s="7">
        <f>Procurement_Raw!J345</f>
        <v>1623.07</v>
      </c>
      <c r="K345" s="6">
        <f>Procurement_Raw!K345</f>
        <v>60</v>
      </c>
      <c r="L345" t="str">
        <f>Procurement_Raw!L345</f>
        <v>Procurement Portal</v>
      </c>
      <c r="M345" s="8">
        <f>Procurement_Raw!M345</f>
        <v>324.61399999999998</v>
      </c>
      <c r="N345" s="7">
        <f>Procurement_Raw!N345</f>
        <v>1623.07</v>
      </c>
      <c r="O345" s="7">
        <f t="shared" si="10"/>
        <v>1623.07</v>
      </c>
      <c r="P345" t="str">
        <f>IFERROR(INDEX(Supplier_Lookup!$B$2:$B$200,MATCH(E345,Supplier_Lookup!$A$2:$A$200,0)),"Unmapped")</f>
        <v>Food &amp; Catering</v>
      </c>
      <c r="Q345" s="10">
        <f>IFERROR(INDEX(Category_Targets!$B$2:$B$9,MATCH(F345,Category_Targets!$A$2:$A$9,0)),0)</f>
        <v>0.04</v>
      </c>
      <c r="R345" s="7">
        <f t="shared" si="11"/>
        <v>64.922799999999995</v>
      </c>
    </row>
    <row r="346" spans="1:18" x14ac:dyDescent="0.25">
      <c r="A346" s="5">
        <f>Procurement_Raw!A346</f>
        <v>45796</v>
      </c>
      <c r="B346" t="str">
        <f>Procurement_Raw!B346</f>
        <v>S017</v>
      </c>
      <c r="C346" t="str">
        <f>Procurement_Raw!C346</f>
        <v>Swansea Care &amp; Education Centre</v>
      </c>
      <c r="D346" t="str">
        <f>Procurement_Raw!D346</f>
        <v>Wales</v>
      </c>
      <c r="E346" t="str">
        <f>Procurement_Raw!E346</f>
        <v>PowerDirect</v>
      </c>
      <c r="F346" t="str">
        <f>Procurement_Raw!F346</f>
        <v>Utilities</v>
      </c>
      <c r="G346" t="str">
        <f>Procurement_Raw!G346</f>
        <v>INV-2025-00345</v>
      </c>
      <c r="H346" s="6">
        <f>Procurement_Raw!H346</f>
        <v>72</v>
      </c>
      <c r="I346" s="7">
        <f>Procurement_Raw!I346</f>
        <v>192.94</v>
      </c>
      <c r="J346" s="7">
        <f>Procurement_Raw!J346</f>
        <v>13891.83</v>
      </c>
      <c r="K346" s="6">
        <f>Procurement_Raw!K346</f>
        <v>60</v>
      </c>
      <c r="L346" t="str">
        <f>Procurement_Raw!L346</f>
        <v>Procurement Portal</v>
      </c>
      <c r="M346" s="8">
        <f>Procurement_Raw!M346</f>
        <v>2778.366</v>
      </c>
      <c r="N346" s="7">
        <f>Procurement_Raw!N346</f>
        <v>13891.83</v>
      </c>
      <c r="O346" s="7">
        <f t="shared" si="10"/>
        <v>13891.83</v>
      </c>
      <c r="P346" t="str">
        <f>IFERROR(INDEX(Supplier_Lookup!$B$2:$B$200,MATCH(E346,Supplier_Lookup!$A$2:$A$200,0)),"Unmapped")</f>
        <v>Utilities</v>
      </c>
      <c r="Q346" s="10">
        <f>IFERROR(INDEX(Category_Targets!$B$2:$B$9,MATCH(F346,Category_Targets!$A$2:$A$9,0)),0)</f>
        <v>0.03</v>
      </c>
      <c r="R346" s="7">
        <f t="shared" si="11"/>
        <v>416.75489999999996</v>
      </c>
    </row>
    <row r="347" spans="1:18" x14ac:dyDescent="0.25">
      <c r="A347" s="5">
        <f>Procurement_Raw!A347</f>
        <v>45958</v>
      </c>
      <c r="B347" t="str">
        <f>Procurement_Raw!B347</f>
        <v>S017</v>
      </c>
      <c r="C347" t="str">
        <f>Procurement_Raw!C347</f>
        <v>Swansea Care &amp; Education Centre</v>
      </c>
      <c r="D347" t="str">
        <f>Procurement_Raw!D347</f>
        <v>Wales</v>
      </c>
      <c r="E347" t="str">
        <f>Procurement_Raw!E347</f>
        <v>KitchenPro</v>
      </c>
      <c r="F347" t="str">
        <f>Procurement_Raw!F347</f>
        <v>Food &amp; Catering</v>
      </c>
      <c r="G347" t="str">
        <f>Procurement_Raw!G347</f>
        <v>INV-2025-00346</v>
      </c>
      <c r="H347" s="6">
        <f>Procurement_Raw!H347</f>
        <v>31</v>
      </c>
      <c r="I347" s="7">
        <f>Procurement_Raw!I347</f>
        <v>73.849999999999994</v>
      </c>
      <c r="J347" s="7">
        <f>Procurement_Raw!J347</f>
        <v>2289.3000000000002</v>
      </c>
      <c r="K347" s="6">
        <f>Procurement_Raw!K347</f>
        <v>30</v>
      </c>
      <c r="L347" t="str">
        <f>Procurement_Raw!L347</f>
        <v>ERP</v>
      </c>
      <c r="M347" s="8">
        <f>Procurement_Raw!M347</f>
        <v>457.86</v>
      </c>
      <c r="N347" s="7">
        <f>Procurement_Raw!N347</f>
        <v>2289.3000000000002</v>
      </c>
      <c r="O347" s="7">
        <f t="shared" si="10"/>
        <v>2289.3000000000002</v>
      </c>
      <c r="P347" t="str">
        <f>IFERROR(INDEX(Supplier_Lookup!$B$2:$B$200,MATCH(E347,Supplier_Lookup!$A$2:$A$200,0)),"Unmapped")</f>
        <v>Food &amp; Catering</v>
      </c>
      <c r="Q347" s="10">
        <f>IFERROR(INDEX(Category_Targets!$B$2:$B$9,MATCH(F347,Category_Targets!$A$2:$A$9,0)),0)</f>
        <v>0.04</v>
      </c>
      <c r="R347" s="7">
        <f t="shared" si="11"/>
        <v>91.572000000000003</v>
      </c>
    </row>
    <row r="348" spans="1:18" x14ac:dyDescent="0.25">
      <c r="A348" s="5">
        <f>Procurement_Raw!A348</f>
        <v>45777</v>
      </c>
      <c r="B348" t="str">
        <f>Procurement_Raw!B348</f>
        <v>S020</v>
      </c>
      <c r="C348" t="str">
        <f>Procurement_Raw!C348</f>
        <v>Bangor Care &amp; Education Centre</v>
      </c>
      <c r="D348" t="str">
        <f>Procurement_Raw!D348</f>
        <v>Wales</v>
      </c>
      <c r="E348" t="str">
        <f>Procurement_Raw!E348</f>
        <v>PowerDirect</v>
      </c>
      <c r="F348" t="str">
        <f>Procurement_Raw!F348</f>
        <v>Utilities</v>
      </c>
      <c r="G348" t="str">
        <f>Procurement_Raw!G348</f>
        <v>INV-2025-00347</v>
      </c>
      <c r="H348" s="6">
        <f>Procurement_Raw!H348</f>
        <v>7</v>
      </c>
      <c r="I348" s="7">
        <f>Procurement_Raw!I348</f>
        <v>112.73</v>
      </c>
      <c r="J348" s="7">
        <f>Procurement_Raw!J348</f>
        <v>789.12</v>
      </c>
      <c r="K348" s="6">
        <f>Procurement_Raw!K348</f>
        <v>30</v>
      </c>
      <c r="L348" t="str">
        <f>Procurement_Raw!L348</f>
        <v>Procurement Portal</v>
      </c>
      <c r="M348" s="8">
        <f>Procurement_Raw!M348</f>
        <v>157.82400000000001</v>
      </c>
      <c r="N348" s="7">
        <f>Procurement_Raw!N348</f>
        <v>789.12</v>
      </c>
      <c r="O348" s="7">
        <f t="shared" si="10"/>
        <v>789.12</v>
      </c>
      <c r="P348" t="str">
        <f>IFERROR(INDEX(Supplier_Lookup!$B$2:$B$200,MATCH(E348,Supplier_Lookup!$A$2:$A$200,0)),"Unmapped")</f>
        <v>Utilities</v>
      </c>
      <c r="Q348" s="10">
        <f>IFERROR(INDEX(Category_Targets!$B$2:$B$9,MATCH(F348,Category_Targets!$A$2:$A$9,0)),0)</f>
        <v>0.03</v>
      </c>
      <c r="R348" s="7">
        <f t="shared" si="11"/>
        <v>23.6736</v>
      </c>
    </row>
    <row r="349" spans="1:18" x14ac:dyDescent="0.25">
      <c r="A349" s="5">
        <f>Procurement_Raw!A349</f>
        <v>46006</v>
      </c>
      <c r="B349" t="str">
        <f>Procurement_Raw!B349</f>
        <v>S020</v>
      </c>
      <c r="C349" t="str">
        <f>Procurement_Raw!C349</f>
        <v>Bangor Care &amp; Education Centre</v>
      </c>
      <c r="D349" t="str">
        <f>Procurement_Raw!D349</f>
        <v>Wales</v>
      </c>
      <c r="E349" t="str">
        <f>Procurement_Raw!E349</f>
        <v>OfficePlus</v>
      </c>
      <c r="F349" t="str">
        <f>Procurement_Raw!F349</f>
        <v>Office &amp; Training</v>
      </c>
      <c r="G349" t="str">
        <f>Procurement_Raw!G349</f>
        <v>INV-2025-00348</v>
      </c>
      <c r="H349" s="6">
        <f>Procurement_Raw!H349</f>
        <v>18</v>
      </c>
      <c r="I349" s="7">
        <f>Procurement_Raw!I349</f>
        <v>34.58</v>
      </c>
      <c r="J349" s="7">
        <f>Procurement_Raw!J349</f>
        <v>622.51</v>
      </c>
      <c r="K349" s="6">
        <f>Procurement_Raw!K349</f>
        <v>30</v>
      </c>
      <c r="L349" t="str">
        <f>Procurement_Raw!L349</f>
        <v>Legacy Spend File</v>
      </c>
      <c r="M349" s="8">
        <f>Procurement_Raw!M349</f>
        <v>124.502</v>
      </c>
      <c r="N349" s="7">
        <f>Procurement_Raw!N349</f>
        <v>622.51</v>
      </c>
      <c r="O349" s="7">
        <f t="shared" si="10"/>
        <v>622.51</v>
      </c>
      <c r="P349" t="str">
        <f>IFERROR(INDEX(Supplier_Lookup!$B$2:$B$200,MATCH(E349,Supplier_Lookup!$A$2:$A$200,0)),"Unmapped")</f>
        <v>Office &amp; Training</v>
      </c>
      <c r="Q349" s="10">
        <f>IFERROR(INDEX(Category_Targets!$B$2:$B$9,MATCH(F349,Category_Targets!$A$2:$A$9,0)),0)</f>
        <v>0.04</v>
      </c>
      <c r="R349" s="7">
        <f t="shared" si="11"/>
        <v>24.900400000000001</v>
      </c>
    </row>
    <row r="350" spans="1:18" x14ac:dyDescent="0.25">
      <c r="A350" s="5">
        <f>Procurement_Raw!A350</f>
        <v>45901</v>
      </c>
      <c r="B350" t="str">
        <f>Procurement_Raw!B350</f>
        <v>S012</v>
      </c>
      <c r="C350" t="str">
        <f>Procurement_Raw!C350</f>
        <v>Bristol Care &amp; Education Centre</v>
      </c>
      <c r="D350" t="str">
        <f>Procurement_Raw!D350</f>
        <v>South</v>
      </c>
      <c r="E350" t="str">
        <f>Procurement_Raw!E350</f>
        <v>NurseLink</v>
      </c>
      <c r="F350" t="str">
        <f>Procurement_Raw!F350</f>
        <v>Agency Labour</v>
      </c>
      <c r="G350" t="str">
        <f>Procurement_Raw!G350</f>
        <v>INV-2025-00349</v>
      </c>
      <c r="H350" s="6">
        <f>Procurement_Raw!H350</f>
        <v>62</v>
      </c>
      <c r="I350" s="7">
        <f>Procurement_Raw!I350</f>
        <v>202.07</v>
      </c>
      <c r="J350" s="7">
        <f>Procurement_Raw!J350</f>
        <v>12528.64</v>
      </c>
      <c r="K350" s="6">
        <f>Procurement_Raw!K350</f>
        <v>60</v>
      </c>
      <c r="L350" t="str">
        <f>Procurement_Raw!L350</f>
        <v>ERP</v>
      </c>
      <c r="M350" s="8">
        <f>Procurement_Raw!M350</f>
        <v>2505.7280000000001</v>
      </c>
      <c r="N350" s="7">
        <f>Procurement_Raw!N350</f>
        <v>12528.64</v>
      </c>
      <c r="O350" s="7">
        <f t="shared" si="10"/>
        <v>12528.64</v>
      </c>
      <c r="P350" t="str">
        <f>IFERROR(INDEX(Supplier_Lookup!$B$2:$B$200,MATCH(E350,Supplier_Lookup!$A$2:$A$200,0)),"Unmapped")</f>
        <v>Agency Labour</v>
      </c>
      <c r="Q350" s="10">
        <f>IFERROR(INDEX(Category_Targets!$B$2:$B$9,MATCH(F350,Category_Targets!$A$2:$A$9,0)),0)</f>
        <v>7.0000000000000007E-2</v>
      </c>
      <c r="R350" s="7">
        <f t="shared" si="11"/>
        <v>877.00480000000005</v>
      </c>
    </row>
    <row r="351" spans="1:18" x14ac:dyDescent="0.25">
      <c r="A351" s="5">
        <f>Procurement_Raw!A351</f>
        <v>45804</v>
      </c>
      <c r="B351" t="str">
        <f>Procurement_Raw!B351</f>
        <v>S020</v>
      </c>
      <c r="C351" t="str">
        <f>Procurement_Raw!C351</f>
        <v>Bangor Care &amp; Education Centre</v>
      </c>
      <c r="D351" t="str">
        <f>Procurement_Raw!D351</f>
        <v>Wales</v>
      </c>
      <c r="E351" t="str">
        <f>Procurement_Raw!E351</f>
        <v>TeleCare IT</v>
      </c>
      <c r="F351" t="str">
        <f>Procurement_Raw!F351</f>
        <v>IT &amp; Telecoms</v>
      </c>
      <c r="G351" t="str">
        <f>Procurement_Raw!G351</f>
        <v>INV-2025-00350</v>
      </c>
      <c r="H351" s="6">
        <f>Procurement_Raw!H351</f>
        <v>8</v>
      </c>
      <c r="I351" s="7">
        <f>Procurement_Raw!I351</f>
        <v>195.63</v>
      </c>
      <c r="J351" s="7">
        <f>Procurement_Raw!J351</f>
        <v>1565.05</v>
      </c>
      <c r="K351" s="6">
        <f>Procurement_Raw!K351</f>
        <v>30</v>
      </c>
      <c r="L351" t="str">
        <f>Procurement_Raw!L351</f>
        <v>Legacy Spend File</v>
      </c>
      <c r="M351" s="8">
        <f>Procurement_Raw!M351</f>
        <v>313.01</v>
      </c>
      <c r="N351" s="7">
        <f>Procurement_Raw!N351</f>
        <v>1565.05</v>
      </c>
      <c r="O351" s="7">
        <f t="shared" si="10"/>
        <v>1565.05</v>
      </c>
      <c r="P351" t="str">
        <f>IFERROR(INDEX(Supplier_Lookup!$B$2:$B$200,MATCH(E351,Supplier_Lookup!$A$2:$A$200,0)),"Unmapped")</f>
        <v>IT &amp; Telecoms</v>
      </c>
      <c r="Q351" s="10">
        <f>IFERROR(INDEX(Category_Targets!$B$2:$B$9,MATCH(F351,Category_Targets!$A$2:$A$9,0)),0)</f>
        <v>0.08</v>
      </c>
      <c r="R351" s="7">
        <f t="shared" si="11"/>
        <v>125.20399999999999</v>
      </c>
    </row>
    <row r="352" spans="1:18" x14ac:dyDescent="0.25">
      <c r="A352" s="5">
        <f>Procurement_Raw!A352</f>
        <v>45677</v>
      </c>
      <c r="B352" t="str">
        <f>Procurement_Raw!B352</f>
        <v>S005</v>
      </c>
      <c r="C352" t="str">
        <f>Procurement_Raw!C352</f>
        <v>Sheffield Care &amp; Education Centre</v>
      </c>
      <c r="D352" t="str">
        <f>Procurement_Raw!D352</f>
        <v>North</v>
      </c>
      <c r="E352" t="str">
        <f>Procurement_Raw!E352</f>
        <v>PowerDirect</v>
      </c>
      <c r="F352" t="str">
        <f>Procurement_Raw!F352</f>
        <v>Utilities</v>
      </c>
      <c r="G352" t="str">
        <f>Procurement_Raw!G352</f>
        <v>INV-2025-00351</v>
      </c>
      <c r="H352" s="6">
        <f>Procurement_Raw!H352</f>
        <v>23</v>
      </c>
      <c r="I352" s="7">
        <f>Procurement_Raw!I352</f>
        <v>296.62</v>
      </c>
      <c r="J352" s="7">
        <f>Procurement_Raw!J352</f>
        <v>6822.32</v>
      </c>
      <c r="K352" s="6">
        <f>Procurement_Raw!K352</f>
        <v>45</v>
      </c>
      <c r="L352" t="str">
        <f>Procurement_Raw!L352</f>
        <v>ERP</v>
      </c>
      <c r="M352" s="8">
        <f>Procurement_Raw!M352</f>
        <v>1364.4639999999999</v>
      </c>
      <c r="N352" s="7">
        <f>Procurement_Raw!N352</f>
        <v>6822.32</v>
      </c>
      <c r="O352" s="7">
        <f t="shared" si="10"/>
        <v>6822.32</v>
      </c>
      <c r="P352" t="str">
        <f>IFERROR(INDEX(Supplier_Lookup!$B$2:$B$200,MATCH(E352,Supplier_Lookup!$A$2:$A$200,0)),"Unmapped")</f>
        <v>Utilities</v>
      </c>
      <c r="Q352" s="10">
        <f>IFERROR(INDEX(Category_Targets!$B$2:$B$9,MATCH(F352,Category_Targets!$A$2:$A$9,0)),0)</f>
        <v>0.03</v>
      </c>
      <c r="R352" s="7">
        <f t="shared" si="11"/>
        <v>204.66959999999997</v>
      </c>
    </row>
    <row r="353" spans="1:18" x14ac:dyDescent="0.25">
      <c r="A353" s="5">
        <f>Procurement_Raw!A353</f>
        <v>45753</v>
      </c>
      <c r="B353" t="str">
        <f>Procurement_Raw!B353</f>
        <v>S005</v>
      </c>
      <c r="C353" t="str">
        <f>Procurement_Raw!C353</f>
        <v>Sheffield Care &amp; Education Centre</v>
      </c>
      <c r="D353" t="str">
        <f>Procurement_Raw!D353</f>
        <v>North</v>
      </c>
      <c r="E353" t="str">
        <f>Procurement_Raw!E353</f>
        <v>CareTemps</v>
      </c>
      <c r="F353" t="str">
        <f>Procurement_Raw!F353</f>
        <v>Agency Labour</v>
      </c>
      <c r="G353" t="str">
        <f>Procurement_Raw!G353</f>
        <v>INV-2025-00352</v>
      </c>
      <c r="H353" s="6">
        <f>Procurement_Raw!H353</f>
        <v>38</v>
      </c>
      <c r="I353" s="7">
        <f>Procurement_Raw!I353</f>
        <v>675.35</v>
      </c>
      <c r="J353" s="7">
        <f>Procurement_Raw!J353</f>
        <v>25663.23</v>
      </c>
      <c r="K353" s="6">
        <f>Procurement_Raw!K353</f>
        <v>30</v>
      </c>
      <c r="L353" t="str">
        <f>Procurement_Raw!L353</f>
        <v>ERP</v>
      </c>
      <c r="M353" s="8">
        <f>Procurement_Raw!M353</f>
        <v>5132.6459999999997</v>
      </c>
      <c r="N353" s="7">
        <f>Procurement_Raw!N353</f>
        <v>25663.23</v>
      </c>
      <c r="O353" s="7">
        <f t="shared" si="10"/>
        <v>25663.23</v>
      </c>
      <c r="P353" t="str">
        <f>IFERROR(INDEX(Supplier_Lookup!$B$2:$B$200,MATCH(E353,Supplier_Lookup!$A$2:$A$200,0)),"Unmapped")</f>
        <v>Agency Labour</v>
      </c>
      <c r="Q353" s="10">
        <f>IFERROR(INDEX(Category_Targets!$B$2:$B$9,MATCH(F353,Category_Targets!$A$2:$A$9,0)),0)</f>
        <v>7.0000000000000007E-2</v>
      </c>
      <c r="R353" s="7">
        <f t="shared" si="11"/>
        <v>1796.4261000000001</v>
      </c>
    </row>
    <row r="354" spans="1:18" x14ac:dyDescent="0.25">
      <c r="A354" s="5">
        <f>Procurement_Raw!A354</f>
        <v>45803</v>
      </c>
      <c r="B354" t="str">
        <f>Procurement_Raw!B354</f>
        <v>S020</v>
      </c>
      <c r="C354" t="str">
        <f>Procurement_Raw!C354</f>
        <v>Bangor Care &amp; Education Centre</v>
      </c>
      <c r="D354" t="str">
        <f>Procurement_Raw!D354</f>
        <v>Wales</v>
      </c>
      <c r="E354" t="str">
        <f>Procurement_Raw!E354</f>
        <v>NourishCo</v>
      </c>
      <c r="F354" t="str">
        <f>Procurement_Raw!F354</f>
        <v>Food &amp; Catering</v>
      </c>
      <c r="G354" t="str">
        <f>Procurement_Raw!G354</f>
        <v>INV-2025-00353</v>
      </c>
      <c r="H354" s="6">
        <f>Procurement_Raw!H354</f>
        <v>59</v>
      </c>
      <c r="I354" s="7">
        <f>Procurement_Raw!I354</f>
        <v>104.18</v>
      </c>
      <c r="J354" s="7">
        <f>Procurement_Raw!J354</f>
        <v>6146.5</v>
      </c>
      <c r="K354" s="6">
        <f>Procurement_Raw!K354</f>
        <v>60</v>
      </c>
      <c r="L354" t="str">
        <f>Procurement_Raw!L354</f>
        <v>Legacy Spend File</v>
      </c>
      <c r="M354" s="8">
        <f>Procurement_Raw!M354</f>
        <v>1229.3</v>
      </c>
      <c r="N354" s="7">
        <f>Procurement_Raw!N354</f>
        <v>6146.5</v>
      </c>
      <c r="O354" s="7">
        <f t="shared" si="10"/>
        <v>6146.5</v>
      </c>
      <c r="P354" t="str">
        <f>IFERROR(INDEX(Supplier_Lookup!$B$2:$B$200,MATCH(E354,Supplier_Lookup!$A$2:$A$200,0)),"Unmapped")</f>
        <v>Food &amp; Catering</v>
      </c>
      <c r="Q354" s="10">
        <f>IFERROR(INDEX(Category_Targets!$B$2:$B$9,MATCH(F354,Category_Targets!$A$2:$A$9,0)),0)</f>
        <v>0.04</v>
      </c>
      <c r="R354" s="7">
        <f t="shared" si="11"/>
        <v>245.86</v>
      </c>
    </row>
    <row r="355" spans="1:18" x14ac:dyDescent="0.25">
      <c r="A355" s="5">
        <f>Procurement_Raw!A355</f>
        <v>45916</v>
      </c>
      <c r="B355" t="str">
        <f>Procurement_Raw!B355</f>
        <v>S005</v>
      </c>
      <c r="C355" t="str">
        <f>Procurement_Raw!C355</f>
        <v>Sheffield Care &amp; Education Centre</v>
      </c>
      <c r="D355" t="str">
        <f>Procurement_Raw!D355</f>
        <v>North</v>
      </c>
      <c r="E355" t="str">
        <f>Procurement_Raw!E355</f>
        <v>OfficePlus</v>
      </c>
      <c r="F355" t="str">
        <f>Procurement_Raw!F355</f>
        <v>Office &amp; Training</v>
      </c>
      <c r="G355" t="str">
        <f>Procurement_Raw!G355</f>
        <v>INV-2025-00354</v>
      </c>
      <c r="H355" s="6">
        <f>Procurement_Raw!H355</f>
        <v>60</v>
      </c>
      <c r="I355" s="7">
        <f>Procurement_Raw!I355</f>
        <v>68.680000000000007</v>
      </c>
      <c r="J355" s="7">
        <f>Procurement_Raw!J355</f>
        <v>4121.0600000000004</v>
      </c>
      <c r="K355" s="6">
        <f>Procurement_Raw!K355</f>
        <v>45</v>
      </c>
      <c r="L355" t="str">
        <f>Procurement_Raw!L355</f>
        <v>ERP</v>
      </c>
      <c r="M355" s="8">
        <f>Procurement_Raw!M355</f>
        <v>824.21199999999999</v>
      </c>
      <c r="N355" s="7">
        <f>Procurement_Raw!N355</f>
        <v>4121.0600000000004</v>
      </c>
      <c r="O355" s="7">
        <f t="shared" si="10"/>
        <v>4121.0600000000004</v>
      </c>
      <c r="P355" t="str">
        <f>IFERROR(INDEX(Supplier_Lookup!$B$2:$B$200,MATCH(E355,Supplier_Lookup!$A$2:$A$200,0)),"Unmapped")</f>
        <v>Office &amp; Training</v>
      </c>
      <c r="Q355" s="10">
        <f>IFERROR(INDEX(Category_Targets!$B$2:$B$9,MATCH(F355,Category_Targets!$A$2:$A$9,0)),0)</f>
        <v>0.04</v>
      </c>
      <c r="R355" s="7">
        <f t="shared" si="11"/>
        <v>164.84240000000003</v>
      </c>
    </row>
    <row r="356" spans="1:18" x14ac:dyDescent="0.25">
      <c r="A356" s="5">
        <f>Procurement_Raw!A356</f>
        <v>45892</v>
      </c>
      <c r="B356" t="str">
        <f>Procurement_Raw!B356</f>
        <v>S005</v>
      </c>
      <c r="C356" t="str">
        <f>Procurement_Raw!C356</f>
        <v>Sheffield Care &amp; Education Centre</v>
      </c>
      <c r="D356" t="str">
        <f>Procurement_Raw!D356</f>
        <v>North</v>
      </c>
      <c r="E356" t="str">
        <f>Procurement_Raw!E356</f>
        <v>FleetFuel</v>
      </c>
      <c r="F356" t="str">
        <f>Procurement_Raw!F356</f>
        <v>Vehicle &amp; Fuel</v>
      </c>
      <c r="G356" t="str">
        <f>Procurement_Raw!G356</f>
        <v>INV-2025-00355</v>
      </c>
      <c r="H356" s="6">
        <f>Procurement_Raw!H356</f>
        <v>33</v>
      </c>
      <c r="I356" s="7">
        <f>Procurement_Raw!I356</f>
        <v>94.01</v>
      </c>
      <c r="J356" s="7">
        <f>Procurement_Raw!J356</f>
        <v>3102.38</v>
      </c>
      <c r="K356" s="6">
        <f>Procurement_Raw!K356</f>
        <v>60</v>
      </c>
      <c r="L356" t="str">
        <f>Procurement_Raw!L356</f>
        <v>ERP</v>
      </c>
      <c r="M356" s="8">
        <f>Procurement_Raw!M356</f>
        <v>620.476</v>
      </c>
      <c r="N356" s="7">
        <f>Procurement_Raw!N356</f>
        <v>3102.38</v>
      </c>
      <c r="O356" s="7">
        <f t="shared" si="10"/>
        <v>3102.38</v>
      </c>
      <c r="P356" t="str">
        <f>IFERROR(INDEX(Supplier_Lookup!$B$2:$B$200,MATCH(E356,Supplier_Lookup!$A$2:$A$200,0)),"Unmapped")</f>
        <v>Vehicle &amp; Fuel</v>
      </c>
      <c r="Q356" s="10">
        <f>IFERROR(INDEX(Category_Targets!$B$2:$B$9,MATCH(F356,Category_Targets!$A$2:$A$9,0)),0)</f>
        <v>0.05</v>
      </c>
      <c r="R356" s="7">
        <f t="shared" si="11"/>
        <v>155.11900000000003</v>
      </c>
    </row>
    <row r="357" spans="1:18" x14ac:dyDescent="0.25">
      <c r="A357" s="5">
        <f>Procurement_Raw!A357</f>
        <v>45948</v>
      </c>
      <c r="B357" t="str">
        <f>Procurement_Raw!B357</f>
        <v>S004</v>
      </c>
      <c r="C357" t="str">
        <f>Procurement_Raw!C357</f>
        <v>Newcastle Care &amp; Education Centre</v>
      </c>
      <c r="D357" t="str">
        <f>Procurement_Raw!D357</f>
        <v>North</v>
      </c>
      <c r="E357" t="str">
        <f>Procurement_Raw!E357</f>
        <v>RoadReady</v>
      </c>
      <c r="F357" t="str">
        <f>Procurement_Raw!F357</f>
        <v>Vehicle &amp; Fuel</v>
      </c>
      <c r="G357" t="str">
        <f>Procurement_Raw!G357</f>
        <v>INV-2025-00356</v>
      </c>
      <c r="H357" s="6">
        <f>Procurement_Raw!H357</f>
        <v>25</v>
      </c>
      <c r="I357" s="7">
        <f>Procurement_Raw!I357</f>
        <v>54.73</v>
      </c>
      <c r="J357" s="7">
        <f>Procurement_Raw!J357</f>
        <v>1368.35</v>
      </c>
      <c r="K357" s="6">
        <f>Procurement_Raw!K357</f>
        <v>30</v>
      </c>
      <c r="L357" t="str">
        <f>Procurement_Raw!L357</f>
        <v>Legacy Spend File</v>
      </c>
      <c r="M357" s="8">
        <f>Procurement_Raw!M357</f>
        <v>273.67</v>
      </c>
      <c r="N357" s="7">
        <f>Procurement_Raw!N357</f>
        <v>1368.35</v>
      </c>
      <c r="O357" s="7">
        <f t="shared" si="10"/>
        <v>1368.35</v>
      </c>
      <c r="P357" t="str">
        <f>IFERROR(INDEX(Supplier_Lookup!$B$2:$B$200,MATCH(E357,Supplier_Lookup!$A$2:$A$200,0)),"Unmapped")</f>
        <v>Vehicle &amp; Fuel</v>
      </c>
      <c r="Q357" s="10">
        <f>IFERROR(INDEX(Category_Targets!$B$2:$B$9,MATCH(F357,Category_Targets!$A$2:$A$9,0)),0)</f>
        <v>0.05</v>
      </c>
      <c r="R357" s="7">
        <f t="shared" si="11"/>
        <v>68.417500000000004</v>
      </c>
    </row>
    <row r="358" spans="1:18" x14ac:dyDescent="0.25">
      <c r="A358" s="5">
        <f>Procurement_Raw!A358</f>
        <v>45921</v>
      </c>
      <c r="B358" t="str">
        <f>Procurement_Raw!B358</f>
        <v>S020</v>
      </c>
      <c r="C358" t="str">
        <f>Procurement_Raw!C358</f>
        <v>Bangor Care &amp; Education Centre</v>
      </c>
      <c r="D358" t="str">
        <f>Procurement_Raw!D358</f>
        <v>Wales</v>
      </c>
      <c r="E358" t="str">
        <f>Procurement_Raw!E358</f>
        <v>CareTemps</v>
      </c>
      <c r="F358" t="str">
        <f>Procurement_Raw!F358</f>
        <v>Agency Labour</v>
      </c>
      <c r="G358" t="str">
        <f>Procurement_Raw!G358</f>
        <v>INV-2025-00357</v>
      </c>
      <c r="H358" s="6">
        <f>Procurement_Raw!H358</f>
        <v>42</v>
      </c>
      <c r="I358" s="7">
        <f>Procurement_Raw!I358</f>
        <v>296.95999999999998</v>
      </c>
      <c r="J358" s="7">
        <f>Procurement_Raw!J358</f>
        <v>12472.35</v>
      </c>
      <c r="K358" s="6">
        <f>Procurement_Raw!K358</f>
        <v>30</v>
      </c>
      <c r="L358" t="str">
        <f>Procurement_Raw!L358</f>
        <v>Procurement Portal</v>
      </c>
      <c r="M358" s="8">
        <f>Procurement_Raw!M358</f>
        <v>2494.4699999999998</v>
      </c>
      <c r="N358" s="7">
        <f>Procurement_Raw!N358</f>
        <v>12472.35</v>
      </c>
      <c r="O358" s="7">
        <f t="shared" si="10"/>
        <v>12472.35</v>
      </c>
      <c r="P358" t="str">
        <f>IFERROR(INDEX(Supplier_Lookup!$B$2:$B$200,MATCH(E358,Supplier_Lookup!$A$2:$A$200,0)),"Unmapped")</f>
        <v>Agency Labour</v>
      </c>
      <c r="Q358" s="10">
        <f>IFERROR(INDEX(Category_Targets!$B$2:$B$9,MATCH(F358,Category_Targets!$A$2:$A$9,0)),0)</f>
        <v>7.0000000000000007E-2</v>
      </c>
      <c r="R358" s="7">
        <f t="shared" si="11"/>
        <v>873.06450000000007</v>
      </c>
    </row>
    <row r="359" spans="1:18" x14ac:dyDescent="0.25">
      <c r="A359" s="5">
        <f>Procurement_Raw!A359</f>
        <v>45729</v>
      </c>
      <c r="B359" t="str">
        <f>Procurement_Raw!B359</f>
        <v>S014</v>
      </c>
      <c r="C359" t="str">
        <f>Procurement_Raw!C359</f>
        <v>Southampton Care &amp; Education Centre</v>
      </c>
      <c r="D359" t="str">
        <f>Procurement_Raw!D359</f>
        <v>South</v>
      </c>
      <c r="E359" t="str">
        <f>Procurement_Raw!E359</f>
        <v>FreshServe</v>
      </c>
      <c r="F359" t="str">
        <f>Procurement_Raw!F359</f>
        <v>Food &amp; Catering</v>
      </c>
      <c r="G359" t="str">
        <f>Procurement_Raw!G359</f>
        <v>INV-2025-00358</v>
      </c>
      <c r="H359" s="6">
        <f>Procurement_Raw!H359</f>
        <v>62</v>
      </c>
      <c r="I359" s="7">
        <f>Procurement_Raw!I359</f>
        <v>55.46</v>
      </c>
      <c r="J359" s="7">
        <f>Procurement_Raw!J359</f>
        <v>3438.39</v>
      </c>
      <c r="K359" s="6">
        <f>Procurement_Raw!K359</f>
        <v>45</v>
      </c>
      <c r="L359" t="str">
        <f>Procurement_Raw!L359</f>
        <v>ERP</v>
      </c>
      <c r="M359" s="8">
        <f>Procurement_Raw!M359</f>
        <v>687.678</v>
      </c>
      <c r="N359" s="7">
        <f>Procurement_Raw!N359</f>
        <v>3438.39</v>
      </c>
      <c r="O359" s="7">
        <f t="shared" si="10"/>
        <v>3438.39</v>
      </c>
      <c r="P359" t="str">
        <f>IFERROR(INDEX(Supplier_Lookup!$B$2:$B$200,MATCH(E359,Supplier_Lookup!$A$2:$A$200,0)),"Unmapped")</f>
        <v>Food &amp; Catering</v>
      </c>
      <c r="Q359" s="10">
        <f>IFERROR(INDEX(Category_Targets!$B$2:$B$9,MATCH(F359,Category_Targets!$A$2:$A$9,0)),0)</f>
        <v>0.04</v>
      </c>
      <c r="R359" s="7">
        <f t="shared" si="11"/>
        <v>137.53559999999999</v>
      </c>
    </row>
    <row r="360" spans="1:18" x14ac:dyDescent="0.25">
      <c r="A360" s="5">
        <f>Procurement_Raw!A360</f>
        <v>45778</v>
      </c>
      <c r="B360" t="str">
        <f>Procurement_Raw!B360</f>
        <v>S004</v>
      </c>
      <c r="C360" t="str">
        <f>Procurement_Raw!C360</f>
        <v>Newcastle Care &amp; Education Centre</v>
      </c>
      <c r="D360" t="str">
        <f>Procurement_Raw!D360</f>
        <v>North</v>
      </c>
      <c r="E360" t="str">
        <f>Procurement_Raw!E360</f>
        <v>TeleCare IT</v>
      </c>
      <c r="F360" t="str">
        <f>Procurement_Raw!F360</f>
        <v>IT &amp; Telecoms</v>
      </c>
      <c r="G360" t="str">
        <f>Procurement_Raw!G360</f>
        <v>INV-2025-00359</v>
      </c>
      <c r="H360" s="6">
        <f>Procurement_Raw!H360</f>
        <v>58</v>
      </c>
      <c r="I360" s="7">
        <f>Procurement_Raw!I360</f>
        <v>262.73</v>
      </c>
      <c r="J360" s="7">
        <f>Procurement_Raw!J360</f>
        <v>15238.28</v>
      </c>
      <c r="K360" s="6">
        <f>Procurement_Raw!K360</f>
        <v>45</v>
      </c>
      <c r="L360" t="str">
        <f>Procurement_Raw!L360</f>
        <v>Procurement Portal</v>
      </c>
      <c r="M360" s="8">
        <f>Procurement_Raw!M360</f>
        <v>3047.6559999999999</v>
      </c>
      <c r="N360" s="7">
        <f>Procurement_Raw!N360</f>
        <v>15238.28</v>
      </c>
      <c r="O360" s="7">
        <f t="shared" si="10"/>
        <v>15238.28</v>
      </c>
      <c r="P360" t="str">
        <f>IFERROR(INDEX(Supplier_Lookup!$B$2:$B$200,MATCH(E360,Supplier_Lookup!$A$2:$A$200,0)),"Unmapped")</f>
        <v>IT &amp; Telecoms</v>
      </c>
      <c r="Q360" s="10">
        <f>IFERROR(INDEX(Category_Targets!$B$2:$B$9,MATCH(F360,Category_Targets!$A$2:$A$9,0)),0)</f>
        <v>0.08</v>
      </c>
      <c r="R360" s="7">
        <f t="shared" si="11"/>
        <v>1219.0624</v>
      </c>
    </row>
    <row r="361" spans="1:18" x14ac:dyDescent="0.25">
      <c r="A361" s="5">
        <f>Procurement_Raw!A361</f>
        <v>45992</v>
      </c>
      <c r="B361" t="str">
        <f>Procurement_Raw!B361</f>
        <v>S002</v>
      </c>
      <c r="C361" t="str">
        <f>Procurement_Raw!C361</f>
        <v>Manchester Care &amp; Education Centre</v>
      </c>
      <c r="D361" t="str">
        <f>Procurement_Raw!D361</f>
        <v>North</v>
      </c>
      <c r="E361" t="str">
        <f>Procurement_Raw!E361</f>
        <v>CareMed</v>
      </c>
      <c r="F361" t="str">
        <f>Procurement_Raw!F361</f>
        <v>Medical Supplies</v>
      </c>
      <c r="G361" t="str">
        <f>Procurement_Raw!G361</f>
        <v>INV-2025-00360</v>
      </c>
      <c r="H361" s="6">
        <f>Procurement_Raw!H361</f>
        <v>47</v>
      </c>
      <c r="I361" s="7">
        <f>Procurement_Raw!I361</f>
        <v>76.14</v>
      </c>
      <c r="J361" s="7">
        <f>Procurement_Raw!J361</f>
        <v>3578.37</v>
      </c>
      <c r="K361" s="6">
        <f>Procurement_Raw!K361</f>
        <v>60</v>
      </c>
      <c r="L361" t="str">
        <f>Procurement_Raw!L361</f>
        <v>ERP</v>
      </c>
      <c r="M361" s="8">
        <f>Procurement_Raw!M361</f>
        <v>715.67399999999998</v>
      </c>
      <c r="N361" s="7">
        <f>Procurement_Raw!N361</f>
        <v>3578.37</v>
      </c>
      <c r="O361" s="7">
        <f t="shared" si="10"/>
        <v>3578.37</v>
      </c>
      <c r="P361" t="str">
        <f>IFERROR(INDEX(Supplier_Lookup!$B$2:$B$200,MATCH(E361,Supplier_Lookup!$A$2:$A$200,0)),"Unmapped")</f>
        <v>Medical Supplies</v>
      </c>
      <c r="Q361" s="10">
        <f>IFERROR(INDEX(Category_Targets!$B$2:$B$9,MATCH(F361,Category_Targets!$A$2:$A$9,0)),0)</f>
        <v>0.06</v>
      </c>
      <c r="R361" s="7">
        <f t="shared" si="11"/>
        <v>214.70219999999998</v>
      </c>
    </row>
    <row r="362" spans="1:18" x14ac:dyDescent="0.25">
      <c r="A362" s="5">
        <f>Procurement_Raw!A362</f>
        <v>45815</v>
      </c>
      <c r="B362" t="str">
        <f>Procurement_Raw!B362</f>
        <v>S002</v>
      </c>
      <c r="C362" t="str">
        <f>Procurement_Raw!C362</f>
        <v>Manchester Care &amp; Education Centre</v>
      </c>
      <c r="D362" t="str">
        <f>Procurement_Raw!D362</f>
        <v>North</v>
      </c>
      <c r="E362" t="str">
        <f>Procurement_Raw!E362</f>
        <v>NourishCo</v>
      </c>
      <c r="F362" t="str">
        <f>Procurement_Raw!F362</f>
        <v>Food &amp; Catering</v>
      </c>
      <c r="G362" t="str">
        <f>Procurement_Raw!G362</f>
        <v>INV-2025-00361</v>
      </c>
      <c r="H362" s="6">
        <f>Procurement_Raw!H362</f>
        <v>21</v>
      </c>
      <c r="I362" s="7">
        <f>Procurement_Raw!I362</f>
        <v>86.49</v>
      </c>
      <c r="J362" s="7">
        <f>Procurement_Raw!J362</f>
        <v>1816.29</v>
      </c>
      <c r="K362" s="6">
        <f>Procurement_Raw!K362</f>
        <v>45</v>
      </c>
      <c r="L362" t="str">
        <f>Procurement_Raw!L362</f>
        <v>Legacy Spend File</v>
      </c>
      <c r="M362" s="8">
        <f>Procurement_Raw!M362</f>
        <v>363.25799999999998</v>
      </c>
      <c r="N362" s="7">
        <f>Procurement_Raw!N362</f>
        <v>1816.29</v>
      </c>
      <c r="O362" s="7">
        <f t="shared" si="10"/>
        <v>1816.29</v>
      </c>
      <c r="P362" t="str">
        <f>IFERROR(INDEX(Supplier_Lookup!$B$2:$B$200,MATCH(E362,Supplier_Lookup!$A$2:$A$200,0)),"Unmapped")</f>
        <v>Food &amp; Catering</v>
      </c>
      <c r="Q362" s="10">
        <f>IFERROR(INDEX(Category_Targets!$B$2:$B$9,MATCH(F362,Category_Targets!$A$2:$A$9,0)),0)</f>
        <v>0.04</v>
      </c>
      <c r="R362" s="7">
        <f t="shared" si="11"/>
        <v>72.651600000000002</v>
      </c>
    </row>
    <row r="363" spans="1:18" x14ac:dyDescent="0.25">
      <c r="A363" s="5">
        <f>Procurement_Raw!A363</f>
        <v>45718</v>
      </c>
      <c r="B363" t="str">
        <f>Procurement_Raw!B363</f>
        <v>S001</v>
      </c>
      <c r="C363" t="str">
        <f>Procurement_Raw!C363</f>
        <v>Preston Care &amp; Education Centre</v>
      </c>
      <c r="D363" t="str">
        <f>Procurement_Raw!D363</f>
        <v>North</v>
      </c>
      <c r="E363" t="str">
        <f>Procurement_Raw!E363</f>
        <v>NetServe</v>
      </c>
      <c r="F363" t="str">
        <f>Procurement_Raw!F363</f>
        <v>IT &amp; Telecoms</v>
      </c>
      <c r="G363" t="str">
        <f>Procurement_Raw!G363</f>
        <v>INV-2025-00362</v>
      </c>
      <c r="H363" s="6">
        <f>Procurement_Raw!H363</f>
        <v>38</v>
      </c>
      <c r="I363" s="7">
        <f>Procurement_Raw!I363</f>
        <v>511.14</v>
      </c>
      <c r="J363" s="7">
        <f>Procurement_Raw!J363</f>
        <v>19423.13</v>
      </c>
      <c r="K363" s="6">
        <f>Procurement_Raw!K363</f>
        <v>45</v>
      </c>
      <c r="L363" t="str">
        <f>Procurement_Raw!L363</f>
        <v>Legacy Spend File</v>
      </c>
      <c r="M363" s="8">
        <f>Procurement_Raw!M363</f>
        <v>3884.6260000000002</v>
      </c>
      <c r="N363" s="7">
        <f>Procurement_Raw!N363</f>
        <v>19423.13</v>
      </c>
      <c r="O363" s="7">
        <f t="shared" si="10"/>
        <v>19423.13</v>
      </c>
      <c r="P363" t="str">
        <f>IFERROR(INDEX(Supplier_Lookup!$B$2:$B$200,MATCH(E363,Supplier_Lookup!$A$2:$A$200,0)),"Unmapped")</f>
        <v>IT &amp; Telecoms</v>
      </c>
      <c r="Q363" s="10">
        <f>IFERROR(INDEX(Category_Targets!$B$2:$B$9,MATCH(F363,Category_Targets!$A$2:$A$9,0)),0)</f>
        <v>0.08</v>
      </c>
      <c r="R363" s="7">
        <f t="shared" si="11"/>
        <v>1553.8504</v>
      </c>
    </row>
    <row r="364" spans="1:18" x14ac:dyDescent="0.25">
      <c r="A364" s="5">
        <f>Procurement_Raw!A364</f>
        <v>45902</v>
      </c>
      <c r="B364" t="str">
        <f>Procurement_Raw!B364</f>
        <v>S012</v>
      </c>
      <c r="C364" t="str">
        <f>Procurement_Raw!C364</f>
        <v>Bristol Care &amp; Education Centre</v>
      </c>
      <c r="D364" t="str">
        <f>Procurement_Raw!D364</f>
        <v>South</v>
      </c>
      <c r="E364" t="str">
        <f>Procurement_Raw!E364</f>
        <v>UK Energy Partners</v>
      </c>
      <c r="F364" t="str">
        <f>Procurement_Raw!F364</f>
        <v>Utilities</v>
      </c>
      <c r="G364" t="str">
        <f>Procurement_Raw!G364</f>
        <v>INV-2025-00363</v>
      </c>
      <c r="H364" s="6">
        <f>Procurement_Raw!H364</f>
        <v>20</v>
      </c>
      <c r="I364" s="7">
        <f>Procurement_Raw!I364</f>
        <v>235.48</v>
      </c>
      <c r="J364" s="7">
        <f>Procurement_Raw!J364</f>
        <v>4709.68</v>
      </c>
      <c r="K364" s="6">
        <f>Procurement_Raw!K364</f>
        <v>45</v>
      </c>
      <c r="L364" t="str">
        <f>Procurement_Raw!L364</f>
        <v>Legacy Spend File</v>
      </c>
      <c r="M364" s="8">
        <f>Procurement_Raw!M364</f>
        <v>941.93600000000004</v>
      </c>
      <c r="N364" s="7">
        <f>Procurement_Raw!N364</f>
        <v>4709.68</v>
      </c>
      <c r="O364" s="7">
        <f t="shared" si="10"/>
        <v>4709.68</v>
      </c>
      <c r="P364" t="str">
        <f>IFERROR(INDEX(Supplier_Lookup!$B$2:$B$200,MATCH(E364,Supplier_Lookup!$A$2:$A$200,0)),"Unmapped")</f>
        <v>Utilities</v>
      </c>
      <c r="Q364" s="10">
        <f>IFERROR(INDEX(Category_Targets!$B$2:$B$9,MATCH(F364,Category_Targets!$A$2:$A$9,0)),0)</f>
        <v>0.03</v>
      </c>
      <c r="R364" s="7">
        <f t="shared" si="11"/>
        <v>141.29040000000001</v>
      </c>
    </row>
    <row r="365" spans="1:18" x14ac:dyDescent="0.25">
      <c r="A365" s="5">
        <f>Procurement_Raw!A365</f>
        <v>46017</v>
      </c>
      <c r="B365" t="str">
        <f>Procurement_Raw!B365</f>
        <v>S018</v>
      </c>
      <c r="C365" t="str">
        <f>Procurement_Raw!C365</f>
        <v>Newport Care &amp; Education Centre</v>
      </c>
      <c r="D365" t="str">
        <f>Procurement_Raw!D365</f>
        <v>Wales</v>
      </c>
      <c r="E365" t="str">
        <f>Procurement_Raw!E365</f>
        <v>RoadReady</v>
      </c>
      <c r="F365" t="str">
        <f>Procurement_Raw!F365</f>
        <v>Vehicle &amp; Fuel</v>
      </c>
      <c r="G365" t="str">
        <f>Procurement_Raw!G365</f>
        <v>INV-2025-00364</v>
      </c>
      <c r="H365" s="6">
        <f>Procurement_Raw!H365</f>
        <v>71</v>
      </c>
      <c r="I365" s="7">
        <f>Procurement_Raw!I365</f>
        <v>118.49</v>
      </c>
      <c r="J365" s="7">
        <f>Procurement_Raw!J365</f>
        <v>8412.7000000000007</v>
      </c>
      <c r="K365" s="6">
        <f>Procurement_Raw!K365</f>
        <v>45</v>
      </c>
      <c r="L365" t="str">
        <f>Procurement_Raw!L365</f>
        <v>Legacy Spend File</v>
      </c>
      <c r="M365" s="8">
        <f>Procurement_Raw!M365</f>
        <v>1682.54</v>
      </c>
      <c r="N365" s="7">
        <f>Procurement_Raw!N365</f>
        <v>8412.7000000000007</v>
      </c>
      <c r="O365" s="7">
        <f t="shared" si="10"/>
        <v>8412.7000000000007</v>
      </c>
      <c r="P365" t="str">
        <f>IFERROR(INDEX(Supplier_Lookup!$B$2:$B$200,MATCH(E365,Supplier_Lookup!$A$2:$A$200,0)),"Unmapped")</f>
        <v>Vehicle &amp; Fuel</v>
      </c>
      <c r="Q365" s="10">
        <f>IFERROR(INDEX(Category_Targets!$B$2:$B$9,MATCH(F365,Category_Targets!$A$2:$A$9,0)),0)</f>
        <v>0.05</v>
      </c>
      <c r="R365" s="7">
        <f t="shared" si="11"/>
        <v>420.63500000000005</v>
      </c>
    </row>
    <row r="366" spans="1:18" x14ac:dyDescent="0.25">
      <c r="A366" s="5">
        <f>Procurement_Raw!A366</f>
        <v>46006</v>
      </c>
      <c r="B366" t="str">
        <f>Procurement_Raw!B366</f>
        <v>S012</v>
      </c>
      <c r="C366" t="str">
        <f>Procurement_Raw!C366</f>
        <v>Bristol Care &amp; Education Centre</v>
      </c>
      <c r="D366" t="str">
        <f>Procurement_Raw!D366</f>
        <v>South</v>
      </c>
      <c r="E366" t="str">
        <f>Procurement_Raw!E366</f>
        <v>UK Energy Partners</v>
      </c>
      <c r="F366" t="str">
        <f>Procurement_Raw!F366</f>
        <v>Utilities</v>
      </c>
      <c r="G366" t="str">
        <f>Procurement_Raw!G366</f>
        <v>INV-2025-00365</v>
      </c>
      <c r="H366" s="6">
        <f>Procurement_Raw!H366</f>
        <v>77</v>
      </c>
      <c r="I366" s="7">
        <f>Procurement_Raw!I366</f>
        <v>365.42</v>
      </c>
      <c r="J366" s="7">
        <f>Procurement_Raw!J366</f>
        <v>28137.14</v>
      </c>
      <c r="K366" s="6">
        <f>Procurement_Raw!K366</f>
        <v>30</v>
      </c>
      <c r="L366" t="str">
        <f>Procurement_Raw!L366</f>
        <v>Legacy Spend File</v>
      </c>
      <c r="M366" s="8">
        <f>Procurement_Raw!M366</f>
        <v>5627.4279999999999</v>
      </c>
      <c r="N366" s="7">
        <f>Procurement_Raw!N366</f>
        <v>28137.14</v>
      </c>
      <c r="O366" s="7">
        <f t="shared" si="10"/>
        <v>28137.14</v>
      </c>
      <c r="P366" t="str">
        <f>IFERROR(INDEX(Supplier_Lookup!$B$2:$B$200,MATCH(E366,Supplier_Lookup!$A$2:$A$200,0)),"Unmapped")</f>
        <v>Utilities</v>
      </c>
      <c r="Q366" s="10">
        <f>IFERROR(INDEX(Category_Targets!$B$2:$B$9,MATCH(F366,Category_Targets!$A$2:$A$9,0)),0)</f>
        <v>0.03</v>
      </c>
      <c r="R366" s="7">
        <f t="shared" si="11"/>
        <v>844.11419999999998</v>
      </c>
    </row>
    <row r="367" spans="1:18" x14ac:dyDescent="0.25">
      <c r="A367" s="5">
        <f>Procurement_Raw!A367</f>
        <v>45946</v>
      </c>
      <c r="B367" t="str">
        <f>Procurement_Raw!B367</f>
        <v>S019</v>
      </c>
      <c r="C367" t="str">
        <f>Procurement_Raw!C367</f>
        <v>Wrexham Care &amp; Education Centre</v>
      </c>
      <c r="D367" t="str">
        <f>Procurement_Raw!D367</f>
        <v>Wales</v>
      </c>
      <c r="E367" t="str">
        <f>Procurement_Raw!E367</f>
        <v>FleetFuel</v>
      </c>
      <c r="F367" t="str">
        <f>Procurement_Raw!F367</f>
        <v>Vehicle &amp; Fuel</v>
      </c>
      <c r="G367" t="str">
        <f>Procurement_Raw!G367</f>
        <v>INV-2025-00366</v>
      </c>
      <c r="H367" s="6">
        <f>Procurement_Raw!H367</f>
        <v>15</v>
      </c>
      <c r="I367" s="7">
        <f>Procurement_Raw!I367</f>
        <v>76.19</v>
      </c>
      <c r="J367" s="7">
        <f>Procurement_Raw!J367</f>
        <v>1142.82</v>
      </c>
      <c r="K367" s="6">
        <f>Procurement_Raw!K367</f>
        <v>30</v>
      </c>
      <c r="L367" t="str">
        <f>Procurement_Raw!L367</f>
        <v>Legacy Spend File</v>
      </c>
      <c r="M367" s="8">
        <f>Procurement_Raw!M367</f>
        <v>228.56399999999999</v>
      </c>
      <c r="N367" s="7">
        <f>Procurement_Raw!N367</f>
        <v>1142.82</v>
      </c>
      <c r="O367" s="7">
        <f t="shared" si="10"/>
        <v>1142.82</v>
      </c>
      <c r="P367" t="str">
        <f>IFERROR(INDEX(Supplier_Lookup!$B$2:$B$200,MATCH(E367,Supplier_Lookup!$A$2:$A$200,0)),"Unmapped")</f>
        <v>Vehicle &amp; Fuel</v>
      </c>
      <c r="Q367" s="10">
        <f>IFERROR(INDEX(Category_Targets!$B$2:$B$9,MATCH(F367,Category_Targets!$A$2:$A$9,0)),0)</f>
        <v>0.05</v>
      </c>
      <c r="R367" s="7">
        <f t="shared" si="11"/>
        <v>57.140999999999998</v>
      </c>
    </row>
    <row r="368" spans="1:18" x14ac:dyDescent="0.25">
      <c r="A368" s="5">
        <f>Procurement_Raw!A368</f>
        <v>45932</v>
      </c>
      <c r="B368" t="str">
        <f>Procurement_Raw!B368</f>
        <v>S019</v>
      </c>
      <c r="C368" t="str">
        <f>Procurement_Raw!C368</f>
        <v>Wrexham Care &amp; Education Centre</v>
      </c>
      <c r="D368" t="str">
        <f>Procurement_Raw!D368</f>
        <v>Wales</v>
      </c>
      <c r="E368" t="str">
        <f>Procurement_Raw!E368</f>
        <v>PowerDirect</v>
      </c>
      <c r="F368" t="str">
        <f>Procurement_Raw!F368</f>
        <v>Utilities</v>
      </c>
      <c r="G368" t="str">
        <f>Procurement_Raw!G368</f>
        <v>INV-2025-00367</v>
      </c>
      <c r="H368" s="6">
        <f>Procurement_Raw!H368</f>
        <v>20</v>
      </c>
      <c r="I368" s="7">
        <f>Procurement_Raw!I368</f>
        <v>282.79000000000002</v>
      </c>
      <c r="J368" s="7">
        <f>Procurement_Raw!J368</f>
        <v>5655.84</v>
      </c>
      <c r="K368" s="6">
        <f>Procurement_Raw!K368</f>
        <v>30</v>
      </c>
      <c r="L368" t="str">
        <f>Procurement_Raw!L368</f>
        <v>Procurement Portal</v>
      </c>
      <c r="M368" s="8">
        <f>Procurement_Raw!M368</f>
        <v>1131.1679999999999</v>
      </c>
      <c r="N368" s="7">
        <f>Procurement_Raw!N368</f>
        <v>5655.84</v>
      </c>
      <c r="O368" s="7">
        <f t="shared" si="10"/>
        <v>5655.84</v>
      </c>
      <c r="P368" t="str">
        <f>IFERROR(INDEX(Supplier_Lookup!$B$2:$B$200,MATCH(E368,Supplier_Lookup!$A$2:$A$200,0)),"Unmapped")</f>
        <v>Utilities</v>
      </c>
      <c r="Q368" s="10">
        <f>IFERROR(INDEX(Category_Targets!$B$2:$B$9,MATCH(F368,Category_Targets!$A$2:$A$9,0)),0)</f>
        <v>0.03</v>
      </c>
      <c r="R368" s="7">
        <f t="shared" si="11"/>
        <v>169.67519999999999</v>
      </c>
    </row>
    <row r="369" spans="1:18" x14ac:dyDescent="0.25">
      <c r="A369" s="5">
        <f>Procurement_Raw!A369</f>
        <v>46006</v>
      </c>
      <c r="B369" t="str">
        <f>Procurement_Raw!B369</f>
        <v>S020</v>
      </c>
      <c r="C369" t="str">
        <f>Procurement_Raw!C369</f>
        <v>Bangor Care &amp; Education Centre</v>
      </c>
      <c r="D369" t="str">
        <f>Procurement_Raw!D369</f>
        <v>Wales</v>
      </c>
      <c r="E369" t="str">
        <f>Procurement_Raw!E369</f>
        <v>OfficePlus</v>
      </c>
      <c r="F369" t="str">
        <f>Procurement_Raw!F369</f>
        <v>Office &amp; Training</v>
      </c>
      <c r="G369" t="str">
        <f>Procurement_Raw!G369</f>
        <v>INV-2025-00368</v>
      </c>
      <c r="H369" s="6">
        <f>Procurement_Raw!H369</f>
        <v>27</v>
      </c>
      <c r="I369" s="7">
        <f>Procurement_Raw!I369</f>
        <v>75.52</v>
      </c>
      <c r="J369" s="7">
        <f>Procurement_Raw!J369</f>
        <v>2039.07</v>
      </c>
      <c r="K369" s="6">
        <f>Procurement_Raw!K369</f>
        <v>60</v>
      </c>
      <c r="L369" t="str">
        <f>Procurement_Raw!L369</f>
        <v>Legacy Spend File</v>
      </c>
      <c r="M369" s="8">
        <f>Procurement_Raw!M369</f>
        <v>407.81400000000002</v>
      </c>
      <c r="N369" s="7">
        <f>Procurement_Raw!N369</f>
        <v>2039.07</v>
      </c>
      <c r="O369" s="7">
        <f t="shared" si="10"/>
        <v>2039.07</v>
      </c>
      <c r="P369" t="str">
        <f>IFERROR(INDEX(Supplier_Lookup!$B$2:$B$200,MATCH(E369,Supplier_Lookup!$A$2:$A$200,0)),"Unmapped")</f>
        <v>Office &amp; Training</v>
      </c>
      <c r="Q369" s="10">
        <f>IFERROR(INDEX(Category_Targets!$B$2:$B$9,MATCH(F369,Category_Targets!$A$2:$A$9,0)),0)</f>
        <v>0.04</v>
      </c>
      <c r="R369" s="7">
        <f t="shared" si="11"/>
        <v>81.562799999999996</v>
      </c>
    </row>
    <row r="370" spans="1:18" x14ac:dyDescent="0.25">
      <c r="A370" s="5">
        <f>Procurement_Raw!A370</f>
        <v>45886</v>
      </c>
      <c r="B370" t="str">
        <f>Procurement_Raw!B370</f>
        <v>S009</v>
      </c>
      <c r="C370" t="str">
        <f>Procurement_Raw!C370</f>
        <v>Derby Care &amp; Education Centre</v>
      </c>
      <c r="D370" t="str">
        <f>Procurement_Raw!D370</f>
        <v>Midlands</v>
      </c>
      <c r="E370" t="str">
        <f>Procurement_Raw!E370</f>
        <v>KitchenPro</v>
      </c>
      <c r="F370" t="str">
        <f>Procurement_Raw!F370</f>
        <v>Food &amp; Catering</v>
      </c>
      <c r="G370" t="str">
        <f>Procurement_Raw!G370</f>
        <v>INV-2025-00369</v>
      </c>
      <c r="H370" s="6">
        <f>Procurement_Raw!H370</f>
        <v>8</v>
      </c>
      <c r="I370" s="7">
        <f>Procurement_Raw!I370</f>
        <v>68.59</v>
      </c>
      <c r="J370" s="7">
        <f>Procurement_Raw!J370</f>
        <v>548.70000000000005</v>
      </c>
      <c r="K370" s="6">
        <f>Procurement_Raw!K370</f>
        <v>45</v>
      </c>
      <c r="L370" t="str">
        <f>Procurement_Raw!L370</f>
        <v>ERP</v>
      </c>
      <c r="M370" s="8">
        <f>Procurement_Raw!M370</f>
        <v>109.74</v>
      </c>
      <c r="N370" s="7">
        <f>Procurement_Raw!N370</f>
        <v>548.70000000000005</v>
      </c>
      <c r="O370" s="7">
        <f t="shared" si="10"/>
        <v>548.70000000000005</v>
      </c>
      <c r="P370" t="str">
        <f>IFERROR(INDEX(Supplier_Lookup!$B$2:$B$200,MATCH(E370,Supplier_Lookup!$A$2:$A$200,0)),"Unmapped")</f>
        <v>Food &amp; Catering</v>
      </c>
      <c r="Q370" s="10">
        <f>IFERROR(INDEX(Category_Targets!$B$2:$B$9,MATCH(F370,Category_Targets!$A$2:$A$9,0)),0)</f>
        <v>0.04</v>
      </c>
      <c r="R370" s="7">
        <f t="shared" si="11"/>
        <v>21.948000000000004</v>
      </c>
    </row>
    <row r="371" spans="1:18" x14ac:dyDescent="0.25">
      <c r="A371" s="5">
        <f>Procurement_Raw!A371</f>
        <v>45946</v>
      </c>
      <c r="B371" t="str">
        <f>Procurement_Raw!B371</f>
        <v>S019</v>
      </c>
      <c r="C371" t="str">
        <f>Procurement_Raw!C371</f>
        <v>Wrexham Care &amp; Education Centre</v>
      </c>
      <c r="D371" t="str">
        <f>Procurement_Raw!D371</f>
        <v>Wales</v>
      </c>
      <c r="E371" t="str">
        <f>Procurement_Raw!E371</f>
        <v>CareTemps</v>
      </c>
      <c r="F371" t="str">
        <f>Procurement_Raw!F371</f>
        <v>Agency Labour</v>
      </c>
      <c r="G371" t="str">
        <f>Procurement_Raw!G371</f>
        <v>INV-2025-00370</v>
      </c>
      <c r="H371" s="6">
        <f>Procurement_Raw!H371</f>
        <v>8</v>
      </c>
      <c r="I371" s="7">
        <f>Procurement_Raw!I371</f>
        <v>196.1</v>
      </c>
      <c r="J371" s="7">
        <f>Procurement_Raw!J371</f>
        <v>1568.8</v>
      </c>
      <c r="K371" s="6">
        <f>Procurement_Raw!K371</f>
        <v>60</v>
      </c>
      <c r="L371" t="str">
        <f>Procurement_Raw!L371</f>
        <v>Procurement Portal</v>
      </c>
      <c r="M371" s="8">
        <f>Procurement_Raw!M371</f>
        <v>313.76</v>
      </c>
      <c r="N371" s="7">
        <f>Procurement_Raw!N371</f>
        <v>1568.8</v>
      </c>
      <c r="O371" s="7">
        <f t="shared" si="10"/>
        <v>1568.8</v>
      </c>
      <c r="P371" t="str">
        <f>IFERROR(INDEX(Supplier_Lookup!$B$2:$B$200,MATCH(E371,Supplier_Lookup!$A$2:$A$200,0)),"Unmapped")</f>
        <v>Agency Labour</v>
      </c>
      <c r="Q371" s="10">
        <f>IFERROR(INDEX(Category_Targets!$B$2:$B$9,MATCH(F371,Category_Targets!$A$2:$A$9,0)),0)</f>
        <v>7.0000000000000007E-2</v>
      </c>
      <c r="R371" s="7">
        <f t="shared" si="11"/>
        <v>109.816</v>
      </c>
    </row>
    <row r="372" spans="1:18" x14ac:dyDescent="0.25">
      <c r="A372" s="5">
        <f>Procurement_Raw!A372</f>
        <v>45669</v>
      </c>
      <c r="B372" t="str">
        <f>Procurement_Raw!B372</f>
        <v>S019</v>
      </c>
      <c r="C372" t="str">
        <f>Procurement_Raw!C372</f>
        <v>Wrexham Care &amp; Education Centre</v>
      </c>
      <c r="D372" t="str">
        <f>Procurement_Raw!D372</f>
        <v>Wales</v>
      </c>
      <c r="E372" t="str">
        <f>Procurement_Raw!E372</f>
        <v>NetServe</v>
      </c>
      <c r="F372" t="str">
        <f>Procurement_Raw!F372</f>
        <v>IT &amp; Telecoms</v>
      </c>
      <c r="G372" t="str">
        <f>Procurement_Raw!G372</f>
        <v>INV-2025-00371</v>
      </c>
      <c r="H372" s="6">
        <f>Procurement_Raw!H372</f>
        <v>51</v>
      </c>
      <c r="I372" s="7">
        <f>Procurement_Raw!I372</f>
        <v>222.99</v>
      </c>
      <c r="J372" s="7">
        <f>Procurement_Raw!J372</f>
        <v>11372.28</v>
      </c>
      <c r="K372" s="6">
        <f>Procurement_Raw!K372</f>
        <v>45</v>
      </c>
      <c r="L372" t="str">
        <f>Procurement_Raw!L372</f>
        <v>ERP</v>
      </c>
      <c r="M372" s="8">
        <f>Procurement_Raw!M372</f>
        <v>2274.4560000000001</v>
      </c>
      <c r="N372" s="7">
        <f>Procurement_Raw!N372</f>
        <v>11372.28</v>
      </c>
      <c r="O372" s="7">
        <f t="shared" si="10"/>
        <v>11372.28</v>
      </c>
      <c r="P372" t="str">
        <f>IFERROR(INDEX(Supplier_Lookup!$B$2:$B$200,MATCH(E372,Supplier_Lookup!$A$2:$A$200,0)),"Unmapped")</f>
        <v>IT &amp; Telecoms</v>
      </c>
      <c r="Q372" s="10">
        <f>IFERROR(INDEX(Category_Targets!$B$2:$B$9,MATCH(F372,Category_Targets!$A$2:$A$9,0)),0)</f>
        <v>0.08</v>
      </c>
      <c r="R372" s="7">
        <f t="shared" si="11"/>
        <v>909.78240000000005</v>
      </c>
    </row>
    <row r="373" spans="1:18" x14ac:dyDescent="0.25">
      <c r="A373" s="5">
        <f>Procurement_Raw!A373</f>
        <v>45695</v>
      </c>
      <c r="B373" t="str">
        <f>Procurement_Raw!B373</f>
        <v>S019</v>
      </c>
      <c r="C373" t="str">
        <f>Procurement_Raw!C373</f>
        <v>Wrexham Care &amp; Education Centre</v>
      </c>
      <c r="D373" t="str">
        <f>Procurement_Raw!D373</f>
        <v>Wales</v>
      </c>
      <c r="E373" t="str">
        <f>Procurement_Raw!E373</f>
        <v>PowerDirect</v>
      </c>
      <c r="F373" t="str">
        <f>Procurement_Raw!F373</f>
        <v>Utilities</v>
      </c>
      <c r="G373" t="str">
        <f>Procurement_Raw!G373</f>
        <v>INV-2025-00372</v>
      </c>
      <c r="H373" s="6">
        <f>Procurement_Raw!H373</f>
        <v>6</v>
      </c>
      <c r="I373" s="7">
        <f>Procurement_Raw!I373</f>
        <v>328.77</v>
      </c>
      <c r="J373" s="7">
        <f>Procurement_Raw!J373</f>
        <v>1972.62</v>
      </c>
      <c r="K373" s="6">
        <f>Procurement_Raw!K373</f>
        <v>45</v>
      </c>
      <c r="L373" t="str">
        <f>Procurement_Raw!L373</f>
        <v>Procurement Portal</v>
      </c>
      <c r="M373" s="8">
        <f>Procurement_Raw!M373</f>
        <v>394.524</v>
      </c>
      <c r="N373" s="7">
        <f>Procurement_Raw!N373</f>
        <v>1972.62</v>
      </c>
      <c r="O373" s="7">
        <f t="shared" si="10"/>
        <v>1972.62</v>
      </c>
      <c r="P373" t="str">
        <f>IFERROR(INDEX(Supplier_Lookup!$B$2:$B$200,MATCH(E373,Supplier_Lookup!$A$2:$A$200,0)),"Unmapped")</f>
        <v>Utilities</v>
      </c>
      <c r="Q373" s="10">
        <f>IFERROR(INDEX(Category_Targets!$B$2:$B$9,MATCH(F373,Category_Targets!$A$2:$A$9,0)),0)</f>
        <v>0.03</v>
      </c>
      <c r="R373" s="7">
        <f t="shared" si="11"/>
        <v>59.178599999999996</v>
      </c>
    </row>
    <row r="374" spans="1:18" x14ac:dyDescent="0.25">
      <c r="A374" s="5">
        <f>Procurement_Raw!A374</f>
        <v>45688</v>
      </c>
      <c r="B374" t="str">
        <f>Procurement_Raw!B374</f>
        <v>S004</v>
      </c>
      <c r="C374" t="str">
        <f>Procurement_Raw!C374</f>
        <v>Newcastle Care &amp; Education Centre</v>
      </c>
      <c r="D374" t="str">
        <f>Procurement_Raw!D374</f>
        <v>North</v>
      </c>
      <c r="E374" t="str">
        <f>Procurement_Raw!E374</f>
        <v>KitchenPro</v>
      </c>
      <c r="F374" t="str">
        <f>Procurement_Raw!F374</f>
        <v>Food &amp; Catering</v>
      </c>
      <c r="G374" t="str">
        <f>Procurement_Raw!G374</f>
        <v>INV-2025-00373</v>
      </c>
      <c r="H374" s="6">
        <f>Procurement_Raw!H374</f>
        <v>9</v>
      </c>
      <c r="I374" s="7">
        <f>Procurement_Raw!I374</f>
        <v>144.38999999999999</v>
      </c>
      <c r="J374" s="7">
        <f>Procurement_Raw!J374</f>
        <v>1299.51</v>
      </c>
      <c r="K374" s="6">
        <f>Procurement_Raw!K374</f>
        <v>45</v>
      </c>
      <c r="L374" t="str">
        <f>Procurement_Raw!L374</f>
        <v>ERP</v>
      </c>
      <c r="M374" s="8">
        <f>Procurement_Raw!M374</f>
        <v>259.90199999999999</v>
      </c>
      <c r="N374" s="7">
        <f>Procurement_Raw!N374</f>
        <v>1299.51</v>
      </c>
      <c r="O374" s="7">
        <f t="shared" si="10"/>
        <v>1299.51</v>
      </c>
      <c r="P374" t="str">
        <f>IFERROR(INDEX(Supplier_Lookup!$B$2:$B$200,MATCH(E374,Supplier_Lookup!$A$2:$A$200,0)),"Unmapped")</f>
        <v>Food &amp; Catering</v>
      </c>
      <c r="Q374" s="10">
        <f>IFERROR(INDEX(Category_Targets!$B$2:$B$9,MATCH(F374,Category_Targets!$A$2:$A$9,0)),0)</f>
        <v>0.04</v>
      </c>
      <c r="R374" s="7">
        <f t="shared" si="11"/>
        <v>51.980400000000003</v>
      </c>
    </row>
    <row r="375" spans="1:18" x14ac:dyDescent="0.25">
      <c r="A375" s="5">
        <f>Procurement_Raw!A375</f>
        <v>45727</v>
      </c>
      <c r="B375" t="str">
        <f>Procurement_Raw!B375</f>
        <v>S010</v>
      </c>
      <c r="C375" t="str">
        <f>Procurement_Raw!C375</f>
        <v>Coventry Care &amp; Education Centre</v>
      </c>
      <c r="D375" t="str">
        <f>Procurement_Raw!D375</f>
        <v>Midlands</v>
      </c>
      <c r="E375" t="str">
        <f>Procurement_Raw!E375</f>
        <v>HealthStaffing</v>
      </c>
      <c r="F375" t="str">
        <f>Procurement_Raw!F375</f>
        <v>Agency Labour</v>
      </c>
      <c r="G375" t="str">
        <f>Procurement_Raw!G375</f>
        <v>INV-2025-00374</v>
      </c>
      <c r="H375" s="6">
        <f>Procurement_Raw!H375</f>
        <v>54</v>
      </c>
      <c r="I375" s="7">
        <f>Procurement_Raw!I375</f>
        <v>508.46</v>
      </c>
      <c r="J375" s="7">
        <f>Procurement_Raw!J375</f>
        <v>27456.7</v>
      </c>
      <c r="K375" s="6">
        <f>Procurement_Raw!K375</f>
        <v>45</v>
      </c>
      <c r="L375" t="str">
        <f>Procurement_Raw!L375</f>
        <v>Procurement Portal</v>
      </c>
      <c r="M375" s="8">
        <f>Procurement_Raw!M375</f>
        <v>5491.34</v>
      </c>
      <c r="N375" s="7">
        <f>Procurement_Raw!N375</f>
        <v>27456.7</v>
      </c>
      <c r="O375" s="7">
        <f t="shared" si="10"/>
        <v>27456.7</v>
      </c>
      <c r="P375" t="str">
        <f>IFERROR(INDEX(Supplier_Lookup!$B$2:$B$200,MATCH(E375,Supplier_Lookup!$A$2:$A$200,0)),"Unmapped")</f>
        <v>Agency Labour</v>
      </c>
      <c r="Q375" s="10">
        <f>IFERROR(INDEX(Category_Targets!$B$2:$B$9,MATCH(F375,Category_Targets!$A$2:$A$9,0)),0)</f>
        <v>7.0000000000000007E-2</v>
      </c>
      <c r="R375" s="7">
        <f t="shared" si="11"/>
        <v>1921.9690000000003</v>
      </c>
    </row>
    <row r="376" spans="1:18" x14ac:dyDescent="0.25">
      <c r="A376" s="5">
        <f>Procurement_Raw!A376</f>
        <v>45699</v>
      </c>
      <c r="B376" t="str">
        <f>Procurement_Raw!B376</f>
        <v>S013</v>
      </c>
      <c r="C376" t="str">
        <f>Procurement_Raw!C376</f>
        <v>Reading Care &amp; Education Centre</v>
      </c>
      <c r="D376" t="str">
        <f>Procurement_Raw!D376</f>
        <v>South</v>
      </c>
      <c r="E376" t="str">
        <f>Procurement_Raw!E376</f>
        <v>CareTemps</v>
      </c>
      <c r="F376" t="str">
        <f>Procurement_Raw!F376</f>
        <v>Agency Labour</v>
      </c>
      <c r="G376" t="str">
        <f>Procurement_Raw!G376</f>
        <v>INV-2025-00375</v>
      </c>
      <c r="H376" s="6">
        <f>Procurement_Raw!H376</f>
        <v>70</v>
      </c>
      <c r="I376" s="7">
        <f>Procurement_Raw!I376</f>
        <v>980.47</v>
      </c>
      <c r="J376" s="7">
        <f>Procurement_Raw!J376</f>
        <v>68632.95</v>
      </c>
      <c r="K376" s="6">
        <f>Procurement_Raw!K376</f>
        <v>30</v>
      </c>
      <c r="L376" t="str">
        <f>Procurement_Raw!L376</f>
        <v>Legacy Spend File</v>
      </c>
      <c r="M376" s="8">
        <f>Procurement_Raw!M376</f>
        <v>13726.59</v>
      </c>
      <c r="N376" s="7">
        <f>Procurement_Raw!N376</f>
        <v>68632.95</v>
      </c>
      <c r="O376" s="7">
        <f t="shared" si="10"/>
        <v>68632.95</v>
      </c>
      <c r="P376" t="str">
        <f>IFERROR(INDEX(Supplier_Lookup!$B$2:$B$200,MATCH(E376,Supplier_Lookup!$A$2:$A$200,0)),"Unmapped")</f>
        <v>Agency Labour</v>
      </c>
      <c r="Q376" s="10">
        <f>IFERROR(INDEX(Category_Targets!$B$2:$B$9,MATCH(F376,Category_Targets!$A$2:$A$9,0)),0)</f>
        <v>7.0000000000000007E-2</v>
      </c>
      <c r="R376" s="7">
        <f t="shared" si="11"/>
        <v>4804.3065000000006</v>
      </c>
    </row>
    <row r="377" spans="1:18" x14ac:dyDescent="0.25">
      <c r="A377" s="5">
        <f>Procurement_Raw!A377</f>
        <v>45933</v>
      </c>
      <c r="B377" t="str">
        <f>Procurement_Raw!B377</f>
        <v>S005</v>
      </c>
      <c r="C377" t="str">
        <f>Procurement_Raw!C377</f>
        <v>Sheffield Care &amp; Education Centre</v>
      </c>
      <c r="D377" t="str">
        <f>Procurement_Raw!D377</f>
        <v>North</v>
      </c>
      <c r="E377" t="str">
        <f>Procurement_Raw!E377</f>
        <v>FreshServe</v>
      </c>
      <c r="F377" t="str">
        <f>Procurement_Raw!F377</f>
        <v>Food &amp; Catering</v>
      </c>
      <c r="G377" t="str">
        <f>Procurement_Raw!G377</f>
        <v>INV-2025-00376</v>
      </c>
      <c r="H377" s="6">
        <f>Procurement_Raw!H377</f>
        <v>51</v>
      </c>
      <c r="I377" s="7">
        <f>Procurement_Raw!I377</f>
        <v>42.62</v>
      </c>
      <c r="J377" s="7">
        <f>Procurement_Raw!J377</f>
        <v>2173.67</v>
      </c>
      <c r="K377" s="6">
        <f>Procurement_Raw!K377</f>
        <v>60</v>
      </c>
      <c r="L377" t="str">
        <f>Procurement_Raw!L377</f>
        <v>ERP</v>
      </c>
      <c r="M377" s="8">
        <f>Procurement_Raw!M377</f>
        <v>434.73399999999998</v>
      </c>
      <c r="N377" s="7">
        <f>Procurement_Raw!N377</f>
        <v>2173.67</v>
      </c>
      <c r="O377" s="7">
        <f t="shared" si="10"/>
        <v>2173.67</v>
      </c>
      <c r="P377" t="str">
        <f>IFERROR(INDEX(Supplier_Lookup!$B$2:$B$200,MATCH(E377,Supplier_Lookup!$A$2:$A$200,0)),"Unmapped")</f>
        <v>Food &amp; Catering</v>
      </c>
      <c r="Q377" s="10">
        <f>IFERROR(INDEX(Category_Targets!$B$2:$B$9,MATCH(F377,Category_Targets!$A$2:$A$9,0)),0)</f>
        <v>0.04</v>
      </c>
      <c r="R377" s="7">
        <f t="shared" si="11"/>
        <v>86.94680000000001</v>
      </c>
    </row>
    <row r="378" spans="1:18" x14ac:dyDescent="0.25">
      <c r="A378" s="5">
        <f>Procurement_Raw!A378</f>
        <v>45669</v>
      </c>
      <c r="B378" t="str">
        <f>Procurement_Raw!B378</f>
        <v>S013</v>
      </c>
      <c r="C378" t="str">
        <f>Procurement_Raw!C378</f>
        <v>Reading Care &amp; Education Centre</v>
      </c>
      <c r="D378" t="str">
        <f>Procurement_Raw!D378</f>
        <v>South</v>
      </c>
      <c r="E378" t="str">
        <f>Procurement_Raw!E378</f>
        <v>UK Energy Partners</v>
      </c>
      <c r="F378" t="str">
        <f>Procurement_Raw!F378</f>
        <v>Utilities</v>
      </c>
      <c r="G378" t="str">
        <f>Procurement_Raw!G378</f>
        <v>INV-2025-00377</v>
      </c>
      <c r="H378" s="6">
        <f>Procurement_Raw!H378</f>
        <v>39</v>
      </c>
      <c r="I378" s="7">
        <f>Procurement_Raw!I378</f>
        <v>403.93</v>
      </c>
      <c r="J378" s="7">
        <f>Procurement_Raw!J378</f>
        <v>15753.2</v>
      </c>
      <c r="K378" s="6">
        <f>Procurement_Raw!K378</f>
        <v>45</v>
      </c>
      <c r="L378" t="str">
        <f>Procurement_Raw!L378</f>
        <v>Legacy Spend File</v>
      </c>
      <c r="M378" s="8">
        <f>Procurement_Raw!M378</f>
        <v>3150.64</v>
      </c>
      <c r="N378" s="7">
        <f>Procurement_Raw!N378</f>
        <v>15753.2</v>
      </c>
      <c r="O378" s="7">
        <f t="shared" si="10"/>
        <v>15753.2</v>
      </c>
      <c r="P378" t="str">
        <f>IFERROR(INDEX(Supplier_Lookup!$B$2:$B$200,MATCH(E378,Supplier_Lookup!$A$2:$A$200,0)),"Unmapped")</f>
        <v>Utilities</v>
      </c>
      <c r="Q378" s="10">
        <f>IFERROR(INDEX(Category_Targets!$B$2:$B$9,MATCH(F378,Category_Targets!$A$2:$A$9,0)),0)</f>
        <v>0.03</v>
      </c>
      <c r="R378" s="7">
        <f t="shared" si="11"/>
        <v>472.596</v>
      </c>
    </row>
    <row r="379" spans="1:18" x14ac:dyDescent="0.25">
      <c r="A379" s="5">
        <f>Procurement_Raw!A379</f>
        <v>45852</v>
      </c>
      <c r="B379" t="str">
        <f>Procurement_Raw!B379</f>
        <v>S008</v>
      </c>
      <c r="C379" t="str">
        <f>Procurement_Raw!C379</f>
        <v>Leicester Care &amp; Education Centre</v>
      </c>
      <c r="D379" t="str">
        <f>Procurement_Raw!D379</f>
        <v>Midlands</v>
      </c>
      <c r="E379" t="str">
        <f>Procurement_Raw!E379</f>
        <v>NurseLink</v>
      </c>
      <c r="F379" t="str">
        <f>Procurement_Raw!F379</f>
        <v>Agency Labour</v>
      </c>
      <c r="G379" t="str">
        <f>Procurement_Raw!G379</f>
        <v>INV-2025-00378</v>
      </c>
      <c r="H379" s="6">
        <f>Procurement_Raw!H379</f>
        <v>30</v>
      </c>
      <c r="I379" s="7">
        <f>Procurement_Raw!I379</f>
        <v>331.83</v>
      </c>
      <c r="J379" s="7">
        <f>Procurement_Raw!J379</f>
        <v>9954.8799999999992</v>
      </c>
      <c r="K379" s="6">
        <f>Procurement_Raw!K379</f>
        <v>30</v>
      </c>
      <c r="L379" t="str">
        <f>Procurement_Raw!L379</f>
        <v>Procurement Portal</v>
      </c>
      <c r="M379" s="8">
        <f>Procurement_Raw!M379</f>
        <v>1990.9760000000001</v>
      </c>
      <c r="N379" s="7">
        <f>Procurement_Raw!N379</f>
        <v>9954.8799999999992</v>
      </c>
      <c r="O379" s="7">
        <f t="shared" si="10"/>
        <v>9954.8799999999992</v>
      </c>
      <c r="P379" t="str">
        <f>IFERROR(INDEX(Supplier_Lookup!$B$2:$B$200,MATCH(E379,Supplier_Lookup!$A$2:$A$200,0)),"Unmapped")</f>
        <v>Agency Labour</v>
      </c>
      <c r="Q379" s="10">
        <f>IFERROR(INDEX(Category_Targets!$B$2:$B$9,MATCH(F379,Category_Targets!$A$2:$A$9,0)),0)</f>
        <v>7.0000000000000007E-2</v>
      </c>
      <c r="R379" s="7">
        <f t="shared" si="11"/>
        <v>696.84159999999997</v>
      </c>
    </row>
    <row r="380" spans="1:18" x14ac:dyDescent="0.25">
      <c r="A380" s="5">
        <f>Procurement_Raw!A380</f>
        <v>45754</v>
      </c>
      <c r="B380" t="str">
        <f>Procurement_Raw!B380</f>
        <v>S008</v>
      </c>
      <c r="C380" t="str">
        <f>Procurement_Raw!C380</f>
        <v>Leicester Care &amp; Education Centre</v>
      </c>
      <c r="D380" t="str">
        <f>Procurement_Raw!D380</f>
        <v>Midlands</v>
      </c>
      <c r="E380" t="str">
        <f>Procurement_Raw!E380</f>
        <v>SafeGuard FM</v>
      </c>
      <c r="F380" t="str">
        <f>Procurement_Raw!F380</f>
        <v>Facilities</v>
      </c>
      <c r="G380" t="str">
        <f>Procurement_Raw!G380</f>
        <v>INV-2025-00379</v>
      </c>
      <c r="H380" s="6">
        <f>Procurement_Raw!H380</f>
        <v>15</v>
      </c>
      <c r="I380" s="7">
        <f>Procurement_Raw!I380</f>
        <v>600.25</v>
      </c>
      <c r="J380" s="7">
        <f>Procurement_Raw!J380</f>
        <v>9003.77</v>
      </c>
      <c r="K380" s="6">
        <f>Procurement_Raw!K380</f>
        <v>30</v>
      </c>
      <c r="L380" t="str">
        <f>Procurement_Raw!L380</f>
        <v>Legacy Spend File</v>
      </c>
      <c r="M380" s="8">
        <f>Procurement_Raw!M380</f>
        <v>1800.7539999999999</v>
      </c>
      <c r="N380" s="7">
        <f>Procurement_Raw!N380</f>
        <v>9003.77</v>
      </c>
      <c r="O380" s="7">
        <f t="shared" si="10"/>
        <v>9003.77</v>
      </c>
      <c r="P380" t="str">
        <f>IFERROR(INDEX(Supplier_Lookup!$B$2:$B$200,MATCH(E380,Supplier_Lookup!$A$2:$A$200,0)),"Unmapped")</f>
        <v>Facilities</v>
      </c>
      <c r="Q380" s="10">
        <f>IFERROR(INDEX(Category_Targets!$B$2:$B$9,MATCH(F380,Category_Targets!$A$2:$A$9,0)),0)</f>
        <v>0.05</v>
      </c>
      <c r="R380" s="7">
        <f t="shared" si="11"/>
        <v>450.18850000000003</v>
      </c>
    </row>
    <row r="381" spans="1:18" x14ac:dyDescent="0.25">
      <c r="A381" s="5">
        <f>Procurement_Raw!A381</f>
        <v>45763</v>
      </c>
      <c r="B381" t="str">
        <f>Procurement_Raw!B381</f>
        <v>S014</v>
      </c>
      <c r="C381" t="str">
        <f>Procurement_Raw!C381</f>
        <v>Southampton Care &amp; Education Centre</v>
      </c>
      <c r="D381" t="str">
        <f>Procurement_Raw!D381</f>
        <v>South</v>
      </c>
      <c r="E381" t="str">
        <f>Procurement_Raw!E381</f>
        <v>MediSure</v>
      </c>
      <c r="F381" t="str">
        <f>Procurement_Raw!F381</f>
        <v>Medical Supplies</v>
      </c>
      <c r="G381" t="str">
        <f>Procurement_Raw!G381</f>
        <v>INV-2025-00380</v>
      </c>
      <c r="H381" s="6">
        <f>Procurement_Raw!H381</f>
        <v>9</v>
      </c>
      <c r="I381" s="7">
        <f>Procurement_Raw!I381</f>
        <v>76.930000000000007</v>
      </c>
      <c r="J381" s="7">
        <f>Procurement_Raw!J381</f>
        <v>692.39</v>
      </c>
      <c r="K381" s="6">
        <f>Procurement_Raw!K381</f>
        <v>30</v>
      </c>
      <c r="L381" t="str">
        <f>Procurement_Raw!L381</f>
        <v>Legacy Spend File</v>
      </c>
      <c r="M381" s="8">
        <f>Procurement_Raw!M381</f>
        <v>138.47800000000001</v>
      </c>
      <c r="N381" s="7">
        <f>Procurement_Raw!N381</f>
        <v>692.39</v>
      </c>
      <c r="O381" s="7">
        <f t="shared" si="10"/>
        <v>692.39</v>
      </c>
      <c r="P381" t="str">
        <f>IFERROR(INDEX(Supplier_Lookup!$B$2:$B$200,MATCH(E381,Supplier_Lookup!$A$2:$A$200,0)),"Unmapped")</f>
        <v>Medical Supplies</v>
      </c>
      <c r="Q381" s="10">
        <f>IFERROR(INDEX(Category_Targets!$B$2:$B$9,MATCH(F381,Category_Targets!$A$2:$A$9,0)),0)</f>
        <v>0.06</v>
      </c>
      <c r="R381" s="7">
        <f t="shared" si="11"/>
        <v>41.543399999999998</v>
      </c>
    </row>
    <row r="382" spans="1:18" x14ac:dyDescent="0.25">
      <c r="A382" s="5">
        <f>Procurement_Raw!A382</f>
        <v>46002</v>
      </c>
      <c r="B382" t="str">
        <f>Procurement_Raw!B382</f>
        <v>S001</v>
      </c>
      <c r="C382" t="str">
        <f>Procurement_Raw!C382</f>
        <v>Preston Care &amp; Education Centre</v>
      </c>
      <c r="D382" t="str">
        <f>Procurement_Raw!D382</f>
        <v>North</v>
      </c>
      <c r="E382" t="str">
        <f>Procurement_Raw!E382</f>
        <v>PrintCo</v>
      </c>
      <c r="F382" t="str">
        <f>Procurement_Raw!F382</f>
        <v>Office &amp; Training</v>
      </c>
      <c r="G382" t="str">
        <f>Procurement_Raw!G382</f>
        <v>INV-2025-00381</v>
      </c>
      <c r="H382" s="6">
        <f>Procurement_Raw!H382</f>
        <v>7</v>
      </c>
      <c r="I382" s="7">
        <f>Procurement_Raw!I382</f>
        <v>47.26</v>
      </c>
      <c r="J382" s="7">
        <f>Procurement_Raw!J382</f>
        <v>330.81</v>
      </c>
      <c r="K382" s="6">
        <f>Procurement_Raw!K382</f>
        <v>30</v>
      </c>
      <c r="L382" t="str">
        <f>Procurement_Raw!L382</f>
        <v>Legacy Spend File</v>
      </c>
      <c r="M382" s="8">
        <f>Procurement_Raw!M382</f>
        <v>66.162000000000006</v>
      </c>
      <c r="N382" s="7">
        <f>Procurement_Raw!N382</f>
        <v>330.81</v>
      </c>
      <c r="O382" s="7">
        <f t="shared" si="10"/>
        <v>330.81</v>
      </c>
      <c r="P382" t="str">
        <f>IFERROR(INDEX(Supplier_Lookup!$B$2:$B$200,MATCH(E382,Supplier_Lookup!$A$2:$A$200,0)),"Unmapped")</f>
        <v>Office &amp; Training</v>
      </c>
      <c r="Q382" s="10">
        <f>IFERROR(INDEX(Category_Targets!$B$2:$B$9,MATCH(F382,Category_Targets!$A$2:$A$9,0)),0)</f>
        <v>0.04</v>
      </c>
      <c r="R382" s="7">
        <f t="shared" si="11"/>
        <v>13.2324</v>
      </c>
    </row>
    <row r="383" spans="1:18" x14ac:dyDescent="0.25">
      <c r="A383" s="5">
        <f>Procurement_Raw!A383</f>
        <v>45777</v>
      </c>
      <c r="B383" t="str">
        <f>Procurement_Raw!B383</f>
        <v>S006</v>
      </c>
      <c r="C383" t="str">
        <f>Procurement_Raw!C383</f>
        <v>Birmingham Care &amp; Education Centre</v>
      </c>
      <c r="D383" t="str">
        <f>Procurement_Raw!D383</f>
        <v>Midlands</v>
      </c>
      <c r="E383" t="str">
        <f>Procurement_Raw!E383</f>
        <v>CareTemps</v>
      </c>
      <c r="F383" t="str">
        <f>Procurement_Raw!F383</f>
        <v>Agency Labour</v>
      </c>
      <c r="G383" t="str">
        <f>Procurement_Raw!G383</f>
        <v>INV-2025-00382</v>
      </c>
      <c r="H383" s="6">
        <f>Procurement_Raw!H383</f>
        <v>70</v>
      </c>
      <c r="I383" s="7">
        <f>Procurement_Raw!I383</f>
        <v>215.75</v>
      </c>
      <c r="J383" s="7">
        <f>Procurement_Raw!J383</f>
        <v>15102.44</v>
      </c>
      <c r="K383" s="6">
        <f>Procurement_Raw!K383</f>
        <v>30</v>
      </c>
      <c r="L383" t="str">
        <f>Procurement_Raw!L383</f>
        <v>ERP</v>
      </c>
      <c r="M383" s="8">
        <f>Procurement_Raw!M383</f>
        <v>3020.4879999999998</v>
      </c>
      <c r="N383" s="7">
        <f>Procurement_Raw!N383</f>
        <v>15102.44</v>
      </c>
      <c r="O383" s="7">
        <f t="shared" si="10"/>
        <v>15102.44</v>
      </c>
      <c r="P383" t="str">
        <f>IFERROR(INDEX(Supplier_Lookup!$B$2:$B$200,MATCH(E383,Supplier_Lookup!$A$2:$A$200,0)),"Unmapped")</f>
        <v>Agency Labour</v>
      </c>
      <c r="Q383" s="10">
        <f>IFERROR(INDEX(Category_Targets!$B$2:$B$9,MATCH(F383,Category_Targets!$A$2:$A$9,0)),0)</f>
        <v>7.0000000000000007E-2</v>
      </c>
      <c r="R383" s="7">
        <f t="shared" si="11"/>
        <v>1057.1708000000001</v>
      </c>
    </row>
    <row r="384" spans="1:18" x14ac:dyDescent="0.25">
      <c r="A384" s="5">
        <f>Procurement_Raw!A384</f>
        <v>45952</v>
      </c>
      <c r="B384" t="str">
        <f>Procurement_Raw!B384</f>
        <v>S005</v>
      </c>
      <c r="C384" t="str">
        <f>Procurement_Raw!C384</f>
        <v>Sheffield Care &amp; Education Centre</v>
      </c>
      <c r="D384" t="str">
        <f>Procurement_Raw!D384</f>
        <v>North</v>
      </c>
      <c r="E384" t="str">
        <f>Procurement_Raw!E384</f>
        <v>CloudLink</v>
      </c>
      <c r="F384" t="str">
        <f>Procurement_Raw!F384</f>
        <v>IT &amp; Telecoms</v>
      </c>
      <c r="G384" t="str">
        <f>Procurement_Raw!G384</f>
        <v>INV-2025-00383</v>
      </c>
      <c r="H384" s="6">
        <f>Procurement_Raw!H384</f>
        <v>41</v>
      </c>
      <c r="I384" s="7">
        <f>Procurement_Raw!I384</f>
        <v>68.41</v>
      </c>
      <c r="J384" s="7">
        <f>Procurement_Raw!J384</f>
        <v>2804.71</v>
      </c>
      <c r="K384" s="6">
        <f>Procurement_Raw!K384</f>
        <v>60</v>
      </c>
      <c r="L384" t="str">
        <f>Procurement_Raw!L384</f>
        <v>Legacy Spend File</v>
      </c>
      <c r="M384" s="8">
        <f>Procurement_Raw!M384</f>
        <v>560.94200000000001</v>
      </c>
      <c r="N384" s="7">
        <f>Procurement_Raw!N384</f>
        <v>2804.71</v>
      </c>
      <c r="O384" s="7">
        <f t="shared" si="10"/>
        <v>2804.71</v>
      </c>
      <c r="P384" t="str">
        <f>IFERROR(INDEX(Supplier_Lookup!$B$2:$B$200,MATCH(E384,Supplier_Lookup!$A$2:$A$200,0)),"Unmapped")</f>
        <v>medical supplies</v>
      </c>
      <c r="Q384" s="10">
        <f>IFERROR(INDEX(Category_Targets!$B$2:$B$9,MATCH(F384,Category_Targets!$A$2:$A$9,0)),0)</f>
        <v>0.08</v>
      </c>
      <c r="R384" s="7">
        <f t="shared" si="11"/>
        <v>224.3768</v>
      </c>
    </row>
    <row r="385" spans="1:18" x14ac:dyDescent="0.25">
      <c r="A385" s="5">
        <f>Procurement_Raw!A385</f>
        <v>45812</v>
      </c>
      <c r="B385" t="str">
        <f>Procurement_Raw!B385</f>
        <v>S018</v>
      </c>
      <c r="C385" t="str">
        <f>Procurement_Raw!C385</f>
        <v>Newport Care &amp; Education Centre</v>
      </c>
      <c r="D385" t="str">
        <f>Procurement_Raw!D385</f>
        <v>Wales</v>
      </c>
      <c r="E385" t="str">
        <f>Procurement_Raw!E385</f>
        <v>FleetFuel</v>
      </c>
      <c r="F385" t="str">
        <f>Procurement_Raw!F385</f>
        <v>Vehicle &amp; Fuel</v>
      </c>
      <c r="G385" t="str">
        <f>Procurement_Raw!G385</f>
        <v>INV-2025-00384</v>
      </c>
      <c r="H385" s="6">
        <f>Procurement_Raw!H385</f>
        <v>19</v>
      </c>
      <c r="I385" s="7">
        <f>Procurement_Raw!I385</f>
        <v>71.14</v>
      </c>
      <c r="J385" s="7">
        <f>Procurement_Raw!J385</f>
        <v>1351.74</v>
      </c>
      <c r="K385" s="6">
        <f>Procurement_Raw!K385</f>
        <v>60</v>
      </c>
      <c r="L385" t="str">
        <f>Procurement_Raw!L385</f>
        <v>Legacy Spend File</v>
      </c>
      <c r="M385" s="8">
        <f>Procurement_Raw!M385</f>
        <v>270.34800000000001</v>
      </c>
      <c r="N385" s="7">
        <f>Procurement_Raw!N385</f>
        <v>1351.74</v>
      </c>
      <c r="O385" s="7">
        <f t="shared" si="10"/>
        <v>1351.74</v>
      </c>
      <c r="P385" t="str">
        <f>IFERROR(INDEX(Supplier_Lookup!$B$2:$B$200,MATCH(E385,Supplier_Lookup!$A$2:$A$200,0)),"Unmapped")</f>
        <v>Vehicle &amp; Fuel</v>
      </c>
      <c r="Q385" s="10">
        <f>IFERROR(INDEX(Category_Targets!$B$2:$B$9,MATCH(F385,Category_Targets!$A$2:$A$9,0)),0)</f>
        <v>0.05</v>
      </c>
      <c r="R385" s="7">
        <f t="shared" si="11"/>
        <v>67.587000000000003</v>
      </c>
    </row>
    <row r="386" spans="1:18" x14ac:dyDescent="0.25">
      <c r="A386" s="5">
        <f>Procurement_Raw!A386</f>
        <v>45798</v>
      </c>
      <c r="B386" t="str">
        <f>Procurement_Raw!B386</f>
        <v>S015</v>
      </c>
      <c r="C386" t="str">
        <f>Procurement_Raw!C386</f>
        <v>Brighton Care &amp; Education Centre</v>
      </c>
      <c r="D386" t="str">
        <f>Procurement_Raw!D386</f>
        <v>South</v>
      </c>
      <c r="E386" t="str">
        <f>Procurement_Raw!E386</f>
        <v>CareTemps</v>
      </c>
      <c r="F386" t="str">
        <f>Procurement_Raw!F386</f>
        <v>Agency Labour</v>
      </c>
      <c r="G386" t="str">
        <f>Procurement_Raw!G386</f>
        <v>INV-2025-00385</v>
      </c>
      <c r="H386" s="6">
        <f>Procurement_Raw!H386</f>
        <v>8</v>
      </c>
      <c r="I386" s="7">
        <f>Procurement_Raw!I386</f>
        <v>197.6</v>
      </c>
      <c r="J386" s="7">
        <f>Procurement_Raw!J386</f>
        <v>1580.82</v>
      </c>
      <c r="K386" s="6">
        <f>Procurement_Raw!K386</f>
        <v>60</v>
      </c>
      <c r="L386" t="str">
        <f>Procurement_Raw!L386</f>
        <v>Legacy Spend File</v>
      </c>
      <c r="M386" s="8">
        <f>Procurement_Raw!M386</f>
        <v>316.16399999999999</v>
      </c>
      <c r="N386" s="7">
        <f>Procurement_Raw!N386</f>
        <v>1580.82</v>
      </c>
      <c r="O386" s="7">
        <f t="shared" ref="O386:O449" si="12">IFERROR(IF(J386="","",J386),0)</f>
        <v>1580.82</v>
      </c>
      <c r="P386" t="str">
        <f>IFERROR(INDEX(Supplier_Lookup!$B$2:$B$200,MATCH(E386,Supplier_Lookup!$A$2:$A$200,0)),"Unmapped")</f>
        <v>Agency Labour</v>
      </c>
      <c r="Q386" s="10">
        <f>IFERROR(INDEX(Category_Targets!$B$2:$B$9,MATCH(F386,Category_Targets!$A$2:$A$9,0)),0)</f>
        <v>7.0000000000000007E-2</v>
      </c>
      <c r="R386" s="7">
        <f t="shared" ref="R386:R449" si="13">O386*Q386</f>
        <v>110.65740000000001</v>
      </c>
    </row>
    <row r="387" spans="1:18" x14ac:dyDescent="0.25">
      <c r="A387" s="5">
        <f>Procurement_Raw!A387</f>
        <v>46005</v>
      </c>
      <c r="B387" t="str">
        <f>Procurement_Raw!B387</f>
        <v>S015</v>
      </c>
      <c r="C387" t="str">
        <f>Procurement_Raw!C387</f>
        <v>Brighton Care &amp; Education Centre</v>
      </c>
      <c r="D387" t="str">
        <f>Procurement_Raw!D387</f>
        <v>South</v>
      </c>
      <c r="E387" t="str">
        <f>Procurement_Raw!E387</f>
        <v>BuildCare</v>
      </c>
      <c r="F387" t="str">
        <f>Procurement_Raw!F387</f>
        <v>Facilities</v>
      </c>
      <c r="G387" t="str">
        <f>Procurement_Raw!G387</f>
        <v>INV-2025-00386</v>
      </c>
      <c r="H387" s="6">
        <f>Procurement_Raw!H387</f>
        <v>55</v>
      </c>
      <c r="I387" s="7">
        <f>Procurement_Raw!I387</f>
        <v>195.52</v>
      </c>
      <c r="J387" s="7">
        <f>Procurement_Raw!J387</f>
        <v>10753.72</v>
      </c>
      <c r="K387" s="6">
        <f>Procurement_Raw!K387</f>
        <v>60</v>
      </c>
      <c r="L387" t="str">
        <f>Procurement_Raw!L387</f>
        <v>Procurement Portal</v>
      </c>
      <c r="M387" s="8">
        <f>Procurement_Raw!M387</f>
        <v>2150.7440000000001</v>
      </c>
      <c r="N387" s="7">
        <f>Procurement_Raw!N387</f>
        <v>10753.72</v>
      </c>
      <c r="O387" s="7">
        <f t="shared" si="12"/>
        <v>10753.72</v>
      </c>
      <c r="P387" t="str">
        <f>IFERROR(INDEX(Supplier_Lookup!$B$2:$B$200,MATCH(E387,Supplier_Lookup!$A$2:$A$200,0)),"Unmapped")</f>
        <v>Facilities</v>
      </c>
      <c r="Q387" s="10">
        <f>IFERROR(INDEX(Category_Targets!$B$2:$B$9,MATCH(F387,Category_Targets!$A$2:$A$9,0)),0)</f>
        <v>0.05</v>
      </c>
      <c r="R387" s="7">
        <f t="shared" si="13"/>
        <v>537.68600000000004</v>
      </c>
    </row>
    <row r="388" spans="1:18" x14ac:dyDescent="0.25">
      <c r="A388" s="5">
        <f>Procurement_Raw!A388</f>
        <v>46001</v>
      </c>
      <c r="B388" t="str">
        <f>Procurement_Raw!B388</f>
        <v>S009</v>
      </c>
      <c r="C388" t="str">
        <f>Procurement_Raw!C388</f>
        <v>Derby Care &amp; Education Centre</v>
      </c>
      <c r="D388" t="str">
        <f>Procurement_Raw!D388</f>
        <v>Midlands</v>
      </c>
      <c r="E388" t="str">
        <f>Procurement_Raw!E388</f>
        <v>AutoCare</v>
      </c>
      <c r="F388" t="str">
        <f>Procurement_Raw!F388</f>
        <v>Vehicle &amp; Fuel</v>
      </c>
      <c r="G388" t="str">
        <f>Procurement_Raw!G388</f>
        <v>INV-2025-00387</v>
      </c>
      <c r="H388" s="6">
        <f>Procurement_Raw!H388</f>
        <v>49</v>
      </c>
      <c r="I388" s="7">
        <f>Procurement_Raw!I388</f>
        <v>114.65</v>
      </c>
      <c r="J388" s="7">
        <f>Procurement_Raw!J388</f>
        <v>5617.62</v>
      </c>
      <c r="K388" s="6">
        <f>Procurement_Raw!K388</f>
        <v>60</v>
      </c>
      <c r="L388" t="str">
        <f>Procurement_Raw!L388</f>
        <v>Procurement Portal</v>
      </c>
      <c r="M388" s="8">
        <f>Procurement_Raw!M388</f>
        <v>1123.5239999999999</v>
      </c>
      <c r="N388" s="7">
        <f>Procurement_Raw!N388</f>
        <v>5617.62</v>
      </c>
      <c r="O388" s="7">
        <f t="shared" si="12"/>
        <v>5617.62</v>
      </c>
      <c r="P388" t="str">
        <f>IFERROR(INDEX(Supplier_Lookup!$B$2:$B$200,MATCH(E388,Supplier_Lookup!$A$2:$A$200,0)),"Unmapped")</f>
        <v>Vehicle &amp; Fuel</v>
      </c>
      <c r="Q388" s="10">
        <f>IFERROR(INDEX(Category_Targets!$B$2:$B$9,MATCH(F388,Category_Targets!$A$2:$A$9,0)),0)</f>
        <v>0.05</v>
      </c>
      <c r="R388" s="7">
        <f t="shared" si="13"/>
        <v>280.88100000000003</v>
      </c>
    </row>
    <row r="389" spans="1:18" x14ac:dyDescent="0.25">
      <c r="A389" s="5">
        <f>Procurement_Raw!A389</f>
        <v>45734</v>
      </c>
      <c r="B389" t="str">
        <f>Procurement_Raw!B389</f>
        <v>S015</v>
      </c>
      <c r="C389" t="str">
        <f>Procurement_Raw!C389</f>
        <v>Brighton Care &amp; Education Centre</v>
      </c>
      <c r="D389" t="str">
        <f>Procurement_Raw!D389</f>
        <v>South</v>
      </c>
      <c r="E389" t="str">
        <f>Procurement_Raw!E389</f>
        <v>CareTemps</v>
      </c>
      <c r="F389" t="str">
        <f>Procurement_Raw!F389</f>
        <v>Agency Labour</v>
      </c>
      <c r="G389" t="str">
        <f>Procurement_Raw!G389</f>
        <v>INV-2025-00388</v>
      </c>
      <c r="H389" s="6">
        <f>Procurement_Raw!H389</f>
        <v>39</v>
      </c>
      <c r="I389" s="7">
        <f>Procurement_Raw!I389</f>
        <v>841.91</v>
      </c>
      <c r="J389" s="7">
        <f>Procurement_Raw!J389</f>
        <v>32834.6</v>
      </c>
      <c r="K389" s="6">
        <f>Procurement_Raw!K389</f>
        <v>45</v>
      </c>
      <c r="L389" t="str">
        <f>Procurement_Raw!L389</f>
        <v>ERP</v>
      </c>
      <c r="M389" s="8">
        <f>Procurement_Raw!M389</f>
        <v>6566.92</v>
      </c>
      <c r="N389" s="7">
        <f>Procurement_Raw!N389</f>
        <v>32834.6</v>
      </c>
      <c r="O389" s="7">
        <f t="shared" si="12"/>
        <v>32834.6</v>
      </c>
      <c r="P389" t="str">
        <f>IFERROR(INDEX(Supplier_Lookup!$B$2:$B$200,MATCH(E389,Supplier_Lookup!$A$2:$A$200,0)),"Unmapped")</f>
        <v>Agency Labour</v>
      </c>
      <c r="Q389" s="10">
        <f>IFERROR(INDEX(Category_Targets!$B$2:$B$9,MATCH(F389,Category_Targets!$A$2:$A$9,0)),0)</f>
        <v>7.0000000000000007E-2</v>
      </c>
      <c r="R389" s="7">
        <f t="shared" si="13"/>
        <v>2298.422</v>
      </c>
    </row>
    <row r="390" spans="1:18" x14ac:dyDescent="0.25">
      <c r="A390" s="5">
        <f>Procurement_Raw!A390</f>
        <v>45773</v>
      </c>
      <c r="B390" t="str">
        <f>Procurement_Raw!B390</f>
        <v>S012</v>
      </c>
      <c r="C390" t="str">
        <f>Procurement_Raw!C390</f>
        <v>Bristol Care &amp; Education Centre</v>
      </c>
      <c r="D390" t="str">
        <f>Procurement_Raw!D390</f>
        <v>South</v>
      </c>
      <c r="E390" t="str">
        <f>Procurement_Raw!E390</f>
        <v>OfficePlus</v>
      </c>
      <c r="F390" t="str">
        <f>Procurement_Raw!F390</f>
        <v>Office &amp; Training</v>
      </c>
      <c r="G390" t="str">
        <f>Procurement_Raw!G390</f>
        <v>INV-2025-00389</v>
      </c>
      <c r="H390" s="6">
        <f>Procurement_Raw!H390</f>
        <v>39</v>
      </c>
      <c r="I390" s="7">
        <f>Procurement_Raw!I390</f>
        <v>126.5</v>
      </c>
      <c r="J390" s="7">
        <f>Procurement_Raw!J390</f>
        <v>4933.3999999999996</v>
      </c>
      <c r="K390" s="6">
        <f>Procurement_Raw!K390</f>
        <v>60</v>
      </c>
      <c r="L390" t="str">
        <f>Procurement_Raw!L390</f>
        <v>ERP</v>
      </c>
      <c r="M390" s="8">
        <f>Procurement_Raw!M390</f>
        <v>986.68</v>
      </c>
      <c r="N390" s="7">
        <f>Procurement_Raw!N390</f>
        <v>4933.3999999999996</v>
      </c>
      <c r="O390" s="7">
        <f t="shared" si="12"/>
        <v>4933.3999999999996</v>
      </c>
      <c r="P390" t="str">
        <f>IFERROR(INDEX(Supplier_Lookup!$B$2:$B$200,MATCH(E390,Supplier_Lookup!$A$2:$A$200,0)),"Unmapped")</f>
        <v>Office &amp; Training</v>
      </c>
      <c r="Q390" s="10">
        <f>IFERROR(INDEX(Category_Targets!$B$2:$B$9,MATCH(F390,Category_Targets!$A$2:$A$9,0)),0)</f>
        <v>0.04</v>
      </c>
      <c r="R390" s="7">
        <f t="shared" si="13"/>
        <v>197.33599999999998</v>
      </c>
    </row>
    <row r="391" spans="1:18" x14ac:dyDescent="0.25">
      <c r="A391" s="5">
        <f>Procurement_Raw!A391</f>
        <v>45869</v>
      </c>
      <c r="B391" t="str">
        <f>Procurement_Raw!B391</f>
        <v>S002</v>
      </c>
      <c r="C391" t="str">
        <f>Procurement_Raw!C391</f>
        <v>Manchester Care &amp; Education Centre</v>
      </c>
      <c r="D391" t="str">
        <f>Procurement_Raw!D391</f>
        <v>North</v>
      </c>
      <c r="E391" t="str">
        <f>Procurement_Raw!E391</f>
        <v>ClinEquip</v>
      </c>
      <c r="F391" t="str">
        <f>Procurement_Raw!F391</f>
        <v>Medical Supplies</v>
      </c>
      <c r="G391" t="str">
        <f>Procurement_Raw!G391</f>
        <v>INV-2025-00390</v>
      </c>
      <c r="H391" s="6">
        <f>Procurement_Raw!H391</f>
        <v>54</v>
      </c>
      <c r="I391" s="7">
        <f>Procurement_Raw!I391</f>
        <v>87.37</v>
      </c>
      <c r="J391" s="7">
        <f>Procurement_Raw!J391</f>
        <v>4718.18</v>
      </c>
      <c r="K391" s="6">
        <f>Procurement_Raw!K391</f>
        <v>60</v>
      </c>
      <c r="L391" t="str">
        <f>Procurement_Raw!L391</f>
        <v>Legacy Spend File</v>
      </c>
      <c r="M391" s="8">
        <f>Procurement_Raw!M391</f>
        <v>943.63599999999997</v>
      </c>
      <c r="N391" s="7">
        <f>Procurement_Raw!N391</f>
        <v>4718.18</v>
      </c>
      <c r="O391" s="7">
        <f t="shared" si="12"/>
        <v>4718.18</v>
      </c>
      <c r="P391" t="str">
        <f>IFERROR(INDEX(Supplier_Lookup!$B$2:$B$200,MATCH(E391,Supplier_Lookup!$A$2:$A$200,0)),"Unmapped")</f>
        <v>Medical Supplies</v>
      </c>
      <c r="Q391" s="10">
        <f>IFERROR(INDEX(Category_Targets!$B$2:$B$9,MATCH(F391,Category_Targets!$A$2:$A$9,0)),0)</f>
        <v>0.06</v>
      </c>
      <c r="R391" s="7">
        <f t="shared" si="13"/>
        <v>283.0908</v>
      </c>
    </row>
    <row r="392" spans="1:18" x14ac:dyDescent="0.25">
      <c r="A392" s="5">
        <f>Procurement_Raw!A392</f>
        <v>45788</v>
      </c>
      <c r="B392" t="str">
        <f>Procurement_Raw!B392</f>
        <v>S004</v>
      </c>
      <c r="C392" t="str">
        <f>Procurement_Raw!C392</f>
        <v>Newcastle Care &amp; Education Centre</v>
      </c>
      <c r="D392" t="str">
        <f>Procurement_Raw!D392</f>
        <v>North</v>
      </c>
      <c r="E392" t="str">
        <f>Procurement_Raw!E392</f>
        <v>HealthStaffing</v>
      </c>
      <c r="F392" t="str">
        <f>Procurement_Raw!F392</f>
        <v>Agency Labour</v>
      </c>
      <c r="G392" t="str">
        <f>Procurement_Raw!G392</f>
        <v>INV-2025-00391</v>
      </c>
      <c r="H392" s="6">
        <f>Procurement_Raw!H392</f>
        <v>27</v>
      </c>
      <c r="I392" s="7">
        <f>Procurement_Raw!I392</f>
        <v>183.03</v>
      </c>
      <c r="J392" s="7">
        <f>Procurement_Raw!J392</f>
        <v>4941.83</v>
      </c>
      <c r="K392" s="6">
        <f>Procurement_Raw!K392</f>
        <v>45</v>
      </c>
      <c r="L392" t="str">
        <f>Procurement_Raw!L392</f>
        <v>Legacy Spend File</v>
      </c>
      <c r="M392" s="8">
        <f>Procurement_Raw!M392</f>
        <v>988.36599999999999</v>
      </c>
      <c r="N392" s="7">
        <f>Procurement_Raw!N392</f>
        <v>4941.83</v>
      </c>
      <c r="O392" s="7">
        <f t="shared" si="12"/>
        <v>4941.83</v>
      </c>
      <c r="P392" t="str">
        <f>IFERROR(INDEX(Supplier_Lookup!$B$2:$B$200,MATCH(E392,Supplier_Lookup!$A$2:$A$200,0)),"Unmapped")</f>
        <v>Agency Labour</v>
      </c>
      <c r="Q392" s="10">
        <f>IFERROR(INDEX(Category_Targets!$B$2:$B$9,MATCH(F392,Category_Targets!$A$2:$A$9,0)),0)</f>
        <v>7.0000000000000007E-2</v>
      </c>
      <c r="R392" s="7">
        <f t="shared" si="13"/>
        <v>345.92810000000003</v>
      </c>
    </row>
    <row r="393" spans="1:18" x14ac:dyDescent="0.25">
      <c r="A393" s="5">
        <f>Procurement_Raw!A393</f>
        <v>45705</v>
      </c>
      <c r="B393" t="str">
        <f>Procurement_Raw!B393</f>
        <v>S018</v>
      </c>
      <c r="C393" t="str">
        <f>Procurement_Raw!C393</f>
        <v>Newport Care &amp; Education Centre</v>
      </c>
      <c r="D393" t="str">
        <f>Procurement_Raw!D393</f>
        <v>Wales</v>
      </c>
      <c r="E393" t="str">
        <f>Procurement_Raw!E393</f>
        <v>LearnWell</v>
      </c>
      <c r="F393" t="str">
        <f>Procurement_Raw!F393</f>
        <v>Office &amp; Training</v>
      </c>
      <c r="G393" t="str">
        <f>Procurement_Raw!G393</f>
        <v>INV-2025-00392</v>
      </c>
      <c r="H393" s="6">
        <f>Procurement_Raw!H393</f>
        <v>69</v>
      </c>
      <c r="I393" s="7">
        <f>Procurement_Raw!I393</f>
        <v>98.3</v>
      </c>
      <c r="J393" s="7">
        <f>Procurement_Raw!J393</f>
        <v>6782.83</v>
      </c>
      <c r="K393" s="6">
        <f>Procurement_Raw!K393</f>
        <v>60</v>
      </c>
      <c r="L393" t="str">
        <f>Procurement_Raw!L393</f>
        <v>ERP</v>
      </c>
      <c r="M393" s="8">
        <f>Procurement_Raw!M393</f>
        <v>1356.566</v>
      </c>
      <c r="N393" s="7">
        <f>Procurement_Raw!N393</f>
        <v>6782.83</v>
      </c>
      <c r="O393" s="7">
        <f t="shared" si="12"/>
        <v>6782.83</v>
      </c>
      <c r="P393" t="str">
        <f>IFERROR(INDEX(Supplier_Lookup!$B$2:$B$200,MATCH(E393,Supplier_Lookup!$A$2:$A$200,0)),"Unmapped")</f>
        <v>Office &amp; Training</v>
      </c>
      <c r="Q393" s="10">
        <f>IFERROR(INDEX(Category_Targets!$B$2:$B$9,MATCH(F393,Category_Targets!$A$2:$A$9,0)),0)</f>
        <v>0.04</v>
      </c>
      <c r="R393" s="7">
        <f t="shared" si="13"/>
        <v>271.31319999999999</v>
      </c>
    </row>
    <row r="394" spans="1:18" x14ac:dyDescent="0.25">
      <c r="A394" s="5">
        <f>Procurement_Raw!A394</f>
        <v>46002</v>
      </c>
      <c r="B394" t="str">
        <f>Procurement_Raw!B394</f>
        <v>S012</v>
      </c>
      <c r="C394" t="str">
        <f>Procurement_Raw!C394</f>
        <v>Bristol Care &amp; Education Centre</v>
      </c>
      <c r="D394" t="str">
        <f>Procurement_Raw!D394</f>
        <v>South</v>
      </c>
      <c r="E394" t="str">
        <f>Procurement_Raw!E394</f>
        <v>TeleCare IT</v>
      </c>
      <c r="F394" t="str">
        <f>Procurement_Raw!F394</f>
        <v>IT &amp; Telecoms</v>
      </c>
      <c r="G394" t="str">
        <f>Procurement_Raw!G394</f>
        <v>INV-2025-00393</v>
      </c>
      <c r="H394" s="6">
        <f>Procurement_Raw!H394</f>
        <v>78</v>
      </c>
      <c r="I394" s="7">
        <f>Procurement_Raw!I394</f>
        <v>106.43</v>
      </c>
      <c r="J394" s="7">
        <f>Procurement_Raw!J394</f>
        <v>8301.64</v>
      </c>
      <c r="K394" s="6">
        <f>Procurement_Raw!K394</f>
        <v>60</v>
      </c>
      <c r="L394" t="str">
        <f>Procurement_Raw!L394</f>
        <v>ERP</v>
      </c>
      <c r="M394" s="8">
        <f>Procurement_Raw!M394</f>
        <v>1660.328</v>
      </c>
      <c r="N394" s="7">
        <f>Procurement_Raw!N394</f>
        <v>8301.64</v>
      </c>
      <c r="O394" s="7">
        <f t="shared" si="12"/>
        <v>8301.64</v>
      </c>
      <c r="P394" t="str">
        <f>IFERROR(INDEX(Supplier_Lookup!$B$2:$B$200,MATCH(E394,Supplier_Lookup!$A$2:$A$200,0)),"Unmapped")</f>
        <v>IT &amp; Telecoms</v>
      </c>
      <c r="Q394" s="10">
        <f>IFERROR(INDEX(Category_Targets!$B$2:$B$9,MATCH(F394,Category_Targets!$A$2:$A$9,0)),0)</f>
        <v>0.08</v>
      </c>
      <c r="R394" s="7">
        <f t="shared" si="13"/>
        <v>664.13119999999992</v>
      </c>
    </row>
    <row r="395" spans="1:18" x14ac:dyDescent="0.25">
      <c r="A395" s="5">
        <f>Procurement_Raw!A395</f>
        <v>46001</v>
      </c>
      <c r="B395" t="str">
        <f>Procurement_Raw!B395</f>
        <v>S009</v>
      </c>
      <c r="C395" t="str">
        <f>Procurement_Raw!C395</f>
        <v>Derby Care &amp; Education Centre</v>
      </c>
      <c r="D395" t="str">
        <f>Procurement_Raw!D395</f>
        <v>Midlands</v>
      </c>
      <c r="E395" t="str">
        <f>Procurement_Raw!E395</f>
        <v>PowerDirect</v>
      </c>
      <c r="F395" t="str">
        <f>Procurement_Raw!F395</f>
        <v>Utilities</v>
      </c>
      <c r="G395" t="str">
        <f>Procurement_Raw!G395</f>
        <v>INV-2025-00394</v>
      </c>
      <c r="H395" s="6">
        <f>Procurement_Raw!H395</f>
        <v>72</v>
      </c>
      <c r="I395" s="7">
        <f>Procurement_Raw!I395</f>
        <v>684.55</v>
      </c>
      <c r="J395" s="7">
        <f>Procurement_Raw!J395</f>
        <v>49287.68</v>
      </c>
      <c r="K395" s="6">
        <f>Procurement_Raw!K395</f>
        <v>30</v>
      </c>
      <c r="L395" t="str">
        <f>Procurement_Raw!L395</f>
        <v>Procurement Portal</v>
      </c>
      <c r="M395" s="8">
        <f>Procurement_Raw!M395</f>
        <v>9857.5360000000001</v>
      </c>
      <c r="N395" s="7">
        <f>Procurement_Raw!N395</f>
        <v>49287.68</v>
      </c>
      <c r="O395" s="7">
        <f t="shared" si="12"/>
        <v>49287.68</v>
      </c>
      <c r="P395" t="str">
        <f>IFERROR(INDEX(Supplier_Lookup!$B$2:$B$200,MATCH(E395,Supplier_Lookup!$A$2:$A$200,0)),"Unmapped")</f>
        <v>Utilities</v>
      </c>
      <c r="Q395" s="10">
        <f>IFERROR(INDEX(Category_Targets!$B$2:$B$9,MATCH(F395,Category_Targets!$A$2:$A$9,0)),0)</f>
        <v>0.03</v>
      </c>
      <c r="R395" s="7">
        <f t="shared" si="13"/>
        <v>1478.6304</v>
      </c>
    </row>
    <row r="396" spans="1:18" x14ac:dyDescent="0.25">
      <c r="A396" s="5">
        <f>Procurement_Raw!A396</f>
        <v>45665</v>
      </c>
      <c r="B396" t="str">
        <f>Procurement_Raw!B396</f>
        <v>S014</v>
      </c>
      <c r="C396" t="str">
        <f>Procurement_Raw!C396</f>
        <v>Southampton Care &amp; Education Centre</v>
      </c>
      <c r="D396" t="str">
        <f>Procurement_Raw!D396</f>
        <v>South</v>
      </c>
      <c r="E396" t="str">
        <f>Procurement_Raw!E396</f>
        <v>RoadReady</v>
      </c>
      <c r="F396" t="str">
        <f>Procurement_Raw!F396</f>
        <v>Vehicle &amp; Fuel</v>
      </c>
      <c r="G396" t="str">
        <f>Procurement_Raw!G396</f>
        <v>INV-2025-00395</v>
      </c>
      <c r="H396" s="6">
        <f>Procurement_Raw!H396</f>
        <v>28</v>
      </c>
      <c r="I396" s="7">
        <f>Procurement_Raw!I396</f>
        <v>181.74</v>
      </c>
      <c r="J396" s="7">
        <f>Procurement_Raw!J396</f>
        <v>5088.68</v>
      </c>
      <c r="K396" s="6">
        <f>Procurement_Raw!K396</f>
        <v>30</v>
      </c>
      <c r="L396" t="str">
        <f>Procurement_Raw!L396</f>
        <v>Legacy Spend File</v>
      </c>
      <c r="M396" s="8">
        <f>Procurement_Raw!M396</f>
        <v>1017.736</v>
      </c>
      <c r="N396" s="7">
        <f>Procurement_Raw!N396</f>
        <v>5088.68</v>
      </c>
      <c r="O396" s="7">
        <f t="shared" si="12"/>
        <v>5088.68</v>
      </c>
      <c r="P396" t="str">
        <f>IFERROR(INDEX(Supplier_Lookup!$B$2:$B$200,MATCH(E396,Supplier_Lookup!$A$2:$A$200,0)),"Unmapped")</f>
        <v>Vehicle &amp; Fuel</v>
      </c>
      <c r="Q396" s="10">
        <f>IFERROR(INDEX(Category_Targets!$B$2:$B$9,MATCH(F396,Category_Targets!$A$2:$A$9,0)),0)</f>
        <v>0.05</v>
      </c>
      <c r="R396" s="7">
        <f t="shared" si="13"/>
        <v>254.43400000000003</v>
      </c>
    </row>
    <row r="397" spans="1:18" x14ac:dyDescent="0.25">
      <c r="A397" s="5">
        <f>Procurement_Raw!A397</f>
        <v>46014</v>
      </c>
      <c r="B397" t="str">
        <f>Procurement_Raw!B397</f>
        <v>S002</v>
      </c>
      <c r="C397" t="str">
        <f>Procurement_Raw!C397</f>
        <v>Manchester Care &amp; Education Centre</v>
      </c>
      <c r="D397" t="str">
        <f>Procurement_Raw!D397</f>
        <v>North</v>
      </c>
      <c r="E397" t="str">
        <f>Procurement_Raw!E397</f>
        <v>OfficePlus</v>
      </c>
      <c r="F397" t="str">
        <f>Procurement_Raw!F397</f>
        <v>Office &amp; Training</v>
      </c>
      <c r="G397" t="str">
        <f>Procurement_Raw!G397</f>
        <v>INV-2025-00396</v>
      </c>
      <c r="H397" s="6">
        <f>Procurement_Raw!H397</f>
        <v>78</v>
      </c>
      <c r="I397" s="7">
        <f>Procurement_Raw!I397</f>
        <v>57.94</v>
      </c>
      <c r="J397" s="7">
        <f>Procurement_Raw!J397</f>
        <v>4519.47</v>
      </c>
      <c r="K397" s="6">
        <f>Procurement_Raw!K397</f>
        <v>60</v>
      </c>
      <c r="L397" t="str">
        <f>Procurement_Raw!L397</f>
        <v>ERP</v>
      </c>
      <c r="M397" s="8">
        <f>Procurement_Raw!M397</f>
        <v>903.89400000000001</v>
      </c>
      <c r="N397" s="7">
        <f>Procurement_Raw!N397</f>
        <v>4519.47</v>
      </c>
      <c r="O397" s="7">
        <f t="shared" si="12"/>
        <v>4519.47</v>
      </c>
      <c r="P397" t="str">
        <f>IFERROR(INDEX(Supplier_Lookup!$B$2:$B$200,MATCH(E397,Supplier_Lookup!$A$2:$A$200,0)),"Unmapped")</f>
        <v>Office &amp; Training</v>
      </c>
      <c r="Q397" s="10">
        <f>IFERROR(INDEX(Category_Targets!$B$2:$B$9,MATCH(F397,Category_Targets!$A$2:$A$9,0)),0)</f>
        <v>0.04</v>
      </c>
      <c r="R397" s="7">
        <f t="shared" si="13"/>
        <v>180.77880000000002</v>
      </c>
    </row>
    <row r="398" spans="1:18" x14ac:dyDescent="0.25">
      <c r="A398" s="5">
        <f>Procurement_Raw!A398</f>
        <v>45822</v>
      </c>
      <c r="B398" t="str">
        <f>Procurement_Raw!B398</f>
        <v>S002</v>
      </c>
      <c r="C398" t="str">
        <f>Procurement_Raw!C398</f>
        <v>Manchester Care &amp; Education Centre</v>
      </c>
      <c r="D398" t="str">
        <f>Procurement_Raw!D398</f>
        <v>North</v>
      </c>
      <c r="E398" t="str">
        <f>Procurement_Raw!E398</f>
        <v>PowerDirect</v>
      </c>
      <c r="F398" t="str">
        <f>Procurement_Raw!F398</f>
        <v>Utilities</v>
      </c>
      <c r="G398" t="str">
        <f>Procurement_Raw!G398</f>
        <v>INV-2025-00397</v>
      </c>
      <c r="H398" s="6">
        <f>Procurement_Raw!H398</f>
        <v>37</v>
      </c>
      <c r="I398" s="7">
        <f>Procurement_Raw!I398</f>
        <v>97.44</v>
      </c>
      <c r="J398" s="7">
        <f>Procurement_Raw!J398</f>
        <v>3605.28</v>
      </c>
      <c r="K398" s="6">
        <f>Procurement_Raw!K398</f>
        <v>45</v>
      </c>
      <c r="L398" t="str">
        <f>Procurement_Raw!L398</f>
        <v>Procurement Portal</v>
      </c>
      <c r="M398" s="8">
        <f>Procurement_Raw!M398</f>
        <v>721.05600000000004</v>
      </c>
      <c r="N398" s="7">
        <f>Procurement_Raw!N398</f>
        <v>3605.28</v>
      </c>
      <c r="O398" s="7">
        <f t="shared" si="12"/>
        <v>3605.28</v>
      </c>
      <c r="P398" t="str">
        <f>IFERROR(INDEX(Supplier_Lookup!$B$2:$B$200,MATCH(E398,Supplier_Lookup!$A$2:$A$200,0)),"Unmapped")</f>
        <v>Utilities</v>
      </c>
      <c r="Q398" s="10">
        <f>IFERROR(INDEX(Category_Targets!$B$2:$B$9,MATCH(F398,Category_Targets!$A$2:$A$9,0)),0)</f>
        <v>0.03</v>
      </c>
      <c r="R398" s="7">
        <f t="shared" si="13"/>
        <v>108.1584</v>
      </c>
    </row>
    <row r="399" spans="1:18" x14ac:dyDescent="0.25">
      <c r="A399" s="5">
        <f>Procurement_Raw!A399</f>
        <v>45791</v>
      </c>
      <c r="B399" t="str">
        <f>Procurement_Raw!B399</f>
        <v>S006</v>
      </c>
      <c r="C399" t="str">
        <f>Procurement_Raw!C399</f>
        <v>Birmingham Care &amp; Education Centre</v>
      </c>
      <c r="D399" t="str">
        <f>Procurement_Raw!D399</f>
        <v>Midlands</v>
      </c>
      <c r="E399" t="str">
        <f>Procurement_Raw!E399</f>
        <v>RoadReady</v>
      </c>
      <c r="F399" t="str">
        <f>Procurement_Raw!F399</f>
        <v>Vehicle &amp; Fuel</v>
      </c>
      <c r="G399" t="str">
        <f>Procurement_Raw!G399</f>
        <v>INV-2025-00398</v>
      </c>
      <c r="H399" s="6">
        <f>Procurement_Raw!H399</f>
        <v>47</v>
      </c>
      <c r="I399" s="7">
        <f>Procurement_Raw!I399</f>
        <v>200.04</v>
      </c>
      <c r="J399" s="7">
        <f>Procurement_Raw!J399</f>
        <v>9401.7800000000007</v>
      </c>
      <c r="K399" s="6">
        <f>Procurement_Raw!K399</f>
        <v>60</v>
      </c>
      <c r="L399" t="str">
        <f>Procurement_Raw!L399</f>
        <v>Procurement Portal</v>
      </c>
      <c r="M399" s="8">
        <f>Procurement_Raw!M399</f>
        <v>1880.356</v>
      </c>
      <c r="N399" s="7">
        <f>Procurement_Raw!N399</f>
        <v>9401.7800000000007</v>
      </c>
      <c r="O399" s="7">
        <f t="shared" si="12"/>
        <v>9401.7800000000007</v>
      </c>
      <c r="P399" t="str">
        <f>IFERROR(INDEX(Supplier_Lookup!$B$2:$B$200,MATCH(E399,Supplier_Lookup!$A$2:$A$200,0)),"Unmapped")</f>
        <v>Vehicle &amp; Fuel</v>
      </c>
      <c r="Q399" s="10">
        <f>IFERROR(INDEX(Category_Targets!$B$2:$B$9,MATCH(F399,Category_Targets!$A$2:$A$9,0)),0)</f>
        <v>0.05</v>
      </c>
      <c r="R399" s="7">
        <f t="shared" si="13"/>
        <v>470.08900000000006</v>
      </c>
    </row>
    <row r="400" spans="1:18" x14ac:dyDescent="0.25">
      <c r="A400" s="5">
        <f>Procurement_Raw!A400</f>
        <v>45898</v>
      </c>
      <c r="B400" t="str">
        <f>Procurement_Raw!B400</f>
        <v>S012</v>
      </c>
      <c r="C400" t="str">
        <f>Procurement_Raw!C400</f>
        <v>Bristol Care &amp; Education Centre</v>
      </c>
      <c r="D400" t="str">
        <f>Procurement_Raw!D400</f>
        <v>South</v>
      </c>
      <c r="E400" t="str">
        <f>Procurement_Raw!E400</f>
        <v>KitchenPro</v>
      </c>
      <c r="F400" t="str">
        <f>Procurement_Raw!F400</f>
        <v>Food &amp; Catering</v>
      </c>
      <c r="G400" t="str">
        <f>Procurement_Raw!G400</f>
        <v>INV-2025-00399</v>
      </c>
      <c r="H400" s="6">
        <f>Procurement_Raw!H400</f>
        <v>41</v>
      </c>
      <c r="I400" s="7">
        <f>Procurement_Raw!I400</f>
        <v>61.03</v>
      </c>
      <c r="J400" s="7">
        <f>Procurement_Raw!J400</f>
        <v>2502.29</v>
      </c>
      <c r="K400" s="6">
        <f>Procurement_Raw!K400</f>
        <v>30</v>
      </c>
      <c r="L400" t="str">
        <f>Procurement_Raw!L400</f>
        <v>Procurement Portal</v>
      </c>
      <c r="M400" s="8">
        <f>Procurement_Raw!M400</f>
        <v>500.45800000000003</v>
      </c>
      <c r="N400" s="7">
        <f>Procurement_Raw!N400</f>
        <v>2502.29</v>
      </c>
      <c r="O400" s="7">
        <f t="shared" si="12"/>
        <v>2502.29</v>
      </c>
      <c r="P400" t="str">
        <f>IFERROR(INDEX(Supplier_Lookup!$B$2:$B$200,MATCH(E400,Supplier_Lookup!$A$2:$A$200,0)),"Unmapped")</f>
        <v>Food &amp; Catering</v>
      </c>
      <c r="Q400" s="10">
        <f>IFERROR(INDEX(Category_Targets!$B$2:$B$9,MATCH(F400,Category_Targets!$A$2:$A$9,0)),0)</f>
        <v>0.04</v>
      </c>
      <c r="R400" s="7">
        <f t="shared" si="13"/>
        <v>100.0916</v>
      </c>
    </row>
    <row r="401" spans="1:18" x14ac:dyDescent="0.25">
      <c r="A401" s="5">
        <f>Procurement_Raw!A401</f>
        <v>45946</v>
      </c>
      <c r="B401" t="str">
        <f>Procurement_Raw!B401</f>
        <v>S009</v>
      </c>
      <c r="C401" t="str">
        <f>Procurement_Raw!C401</f>
        <v>Derby Care &amp; Education Centre</v>
      </c>
      <c r="D401" t="str">
        <f>Procurement_Raw!D401</f>
        <v>Midlands</v>
      </c>
      <c r="E401" t="str">
        <f>Procurement_Raw!E401</f>
        <v>HealthStaffing</v>
      </c>
      <c r="F401" t="str">
        <f>Procurement_Raw!F401</f>
        <v>Agency Labour</v>
      </c>
      <c r="G401" t="str">
        <f>Procurement_Raw!G401</f>
        <v>INV-2025-00400</v>
      </c>
      <c r="H401" s="6">
        <f>Procurement_Raw!H401</f>
        <v>29</v>
      </c>
      <c r="I401" s="7">
        <f>Procurement_Raw!I401</f>
        <v>592.64</v>
      </c>
      <c r="J401" s="7">
        <f>Procurement_Raw!J401</f>
        <v>17186.46</v>
      </c>
      <c r="K401" s="6">
        <f>Procurement_Raw!K401</f>
        <v>60</v>
      </c>
      <c r="L401" t="str">
        <f>Procurement_Raw!L401</f>
        <v>ERP</v>
      </c>
      <c r="M401" s="8">
        <f>Procurement_Raw!M401</f>
        <v>3437.2919999999999</v>
      </c>
      <c r="N401" s="7">
        <f>Procurement_Raw!N401</f>
        <v>17186.46</v>
      </c>
      <c r="O401" s="7">
        <f t="shared" si="12"/>
        <v>17186.46</v>
      </c>
      <c r="P401" t="str">
        <f>IFERROR(INDEX(Supplier_Lookup!$B$2:$B$200,MATCH(E401,Supplier_Lookup!$A$2:$A$200,0)),"Unmapped")</f>
        <v>Agency Labour</v>
      </c>
      <c r="Q401" s="10">
        <f>IFERROR(INDEX(Category_Targets!$B$2:$B$9,MATCH(F401,Category_Targets!$A$2:$A$9,0)),0)</f>
        <v>7.0000000000000007E-2</v>
      </c>
      <c r="R401" s="7">
        <f t="shared" si="13"/>
        <v>1203.0522000000001</v>
      </c>
    </row>
    <row r="402" spans="1:18" x14ac:dyDescent="0.25">
      <c r="A402" s="5">
        <f>Procurement_Raw!A402</f>
        <v>45957</v>
      </c>
      <c r="B402" t="str">
        <f>Procurement_Raw!B402</f>
        <v>S007</v>
      </c>
      <c r="C402" t="str">
        <f>Procurement_Raw!C402</f>
        <v>Nottingham Care &amp; Education Centre</v>
      </c>
      <c r="D402" t="str">
        <f>Procurement_Raw!D402</f>
        <v>Midlands</v>
      </c>
      <c r="E402" t="str">
        <f>Procurement_Raw!E402</f>
        <v>NetServe</v>
      </c>
      <c r="F402" t="str">
        <f>Procurement_Raw!F402</f>
        <v>IT &amp; Telecoms</v>
      </c>
      <c r="G402" t="str">
        <f>Procurement_Raw!G402</f>
        <v>INV-2025-00401</v>
      </c>
      <c r="H402" s="6">
        <f>Procurement_Raw!H402</f>
        <v>75</v>
      </c>
      <c r="I402" s="7">
        <f>Procurement_Raw!I402</f>
        <v>91.53</v>
      </c>
      <c r="J402" s="7">
        <f>Procurement_Raw!J402</f>
        <v>6864.93</v>
      </c>
      <c r="K402" s="6">
        <f>Procurement_Raw!K402</f>
        <v>60</v>
      </c>
      <c r="L402" t="str">
        <f>Procurement_Raw!L402</f>
        <v>Procurement Portal</v>
      </c>
      <c r="M402" s="8">
        <f>Procurement_Raw!M402</f>
        <v>1372.9860000000001</v>
      </c>
      <c r="N402" s="7">
        <f>Procurement_Raw!N402</f>
        <v>6864.93</v>
      </c>
      <c r="O402" s="7">
        <f t="shared" si="12"/>
        <v>6864.93</v>
      </c>
      <c r="P402" t="str">
        <f>IFERROR(INDEX(Supplier_Lookup!$B$2:$B$200,MATCH(E402,Supplier_Lookup!$A$2:$A$200,0)),"Unmapped")</f>
        <v>IT &amp; Telecoms</v>
      </c>
      <c r="Q402" s="10">
        <f>IFERROR(INDEX(Category_Targets!$B$2:$B$9,MATCH(F402,Category_Targets!$A$2:$A$9,0)),0)</f>
        <v>0.08</v>
      </c>
      <c r="R402" s="7">
        <f t="shared" si="13"/>
        <v>549.19440000000009</v>
      </c>
    </row>
    <row r="403" spans="1:18" x14ac:dyDescent="0.25">
      <c r="A403" s="5">
        <f>Procurement_Raw!A403</f>
        <v>45826</v>
      </c>
      <c r="B403" t="str">
        <f>Procurement_Raw!B403</f>
        <v>S007</v>
      </c>
      <c r="C403" t="str">
        <f>Procurement_Raw!C403</f>
        <v>Nottingham Care &amp; Education Centre</v>
      </c>
      <c r="D403" t="str">
        <f>Procurement_Raw!D403</f>
        <v>Midlands</v>
      </c>
      <c r="E403" t="str">
        <f>Procurement_Raw!E403</f>
        <v>CleanWorks</v>
      </c>
      <c r="F403" t="str">
        <f>Procurement_Raw!F403</f>
        <v>Facilities</v>
      </c>
      <c r="G403" t="str">
        <f>Procurement_Raw!G403</f>
        <v>INV-2025-00402</v>
      </c>
      <c r="H403" s="6">
        <f>Procurement_Raw!H403</f>
        <v>30</v>
      </c>
      <c r="I403" s="7">
        <f>Procurement_Raw!I403</f>
        <v>129.44999999999999</v>
      </c>
      <c r="J403" s="7">
        <f>Procurement_Raw!J403</f>
        <v>3883.52</v>
      </c>
      <c r="K403" s="6">
        <f>Procurement_Raw!K403</f>
        <v>45</v>
      </c>
      <c r="L403" t="str">
        <f>Procurement_Raw!L403</f>
        <v>Legacy Spend File</v>
      </c>
      <c r="M403" s="8">
        <f>Procurement_Raw!M403</f>
        <v>776.70399999999995</v>
      </c>
      <c r="N403" s="7">
        <f>Procurement_Raw!N403</f>
        <v>3883.52</v>
      </c>
      <c r="O403" s="7">
        <f t="shared" si="12"/>
        <v>3883.52</v>
      </c>
      <c r="P403" t="str">
        <f>IFERROR(INDEX(Supplier_Lookup!$B$2:$B$200,MATCH(E403,Supplier_Lookup!$A$2:$A$200,0)),"Unmapped")</f>
        <v>Facilities</v>
      </c>
      <c r="Q403" s="10">
        <f>IFERROR(INDEX(Category_Targets!$B$2:$B$9,MATCH(F403,Category_Targets!$A$2:$A$9,0)),0)</f>
        <v>0.05</v>
      </c>
      <c r="R403" s="7">
        <f t="shared" si="13"/>
        <v>194.17600000000002</v>
      </c>
    </row>
    <row r="404" spans="1:18" x14ac:dyDescent="0.25">
      <c r="A404" s="5">
        <f>Procurement_Raw!A404</f>
        <v>45993</v>
      </c>
      <c r="B404" t="str">
        <f>Procurement_Raw!B404</f>
        <v>S006</v>
      </c>
      <c r="C404" t="str">
        <f>Procurement_Raw!C404</f>
        <v>Birmingham Care &amp; Education Centre</v>
      </c>
      <c r="D404" t="str">
        <f>Procurement_Raw!D404</f>
        <v>Midlands</v>
      </c>
      <c r="E404" t="str">
        <f>Procurement_Raw!E404</f>
        <v>PrintCo</v>
      </c>
      <c r="F404" t="str">
        <f>Procurement_Raw!F404</f>
        <v>Office &amp; Training</v>
      </c>
      <c r="G404" t="str">
        <f>Procurement_Raw!G404</f>
        <v>INV-2025-00403</v>
      </c>
      <c r="H404" s="6">
        <f>Procurement_Raw!H404</f>
        <v>44</v>
      </c>
      <c r="I404" s="7">
        <f>Procurement_Raw!I404</f>
        <v>75.22</v>
      </c>
      <c r="J404" s="7">
        <f>Procurement_Raw!J404</f>
        <v>3309.53</v>
      </c>
      <c r="K404" s="6">
        <f>Procurement_Raw!K404</f>
        <v>45</v>
      </c>
      <c r="L404" t="str">
        <f>Procurement_Raw!L404</f>
        <v>Procurement Portal</v>
      </c>
      <c r="M404" s="8">
        <f>Procurement_Raw!M404</f>
        <v>661.90599999999995</v>
      </c>
      <c r="N404" s="7">
        <f>Procurement_Raw!N404</f>
        <v>3309.53</v>
      </c>
      <c r="O404" s="7">
        <f t="shared" si="12"/>
        <v>3309.53</v>
      </c>
      <c r="P404" t="str">
        <f>IFERROR(INDEX(Supplier_Lookup!$B$2:$B$200,MATCH(E404,Supplier_Lookup!$A$2:$A$200,0)),"Unmapped")</f>
        <v>Office &amp; Training</v>
      </c>
      <c r="Q404" s="10">
        <f>IFERROR(INDEX(Category_Targets!$B$2:$B$9,MATCH(F404,Category_Targets!$A$2:$A$9,0)),0)</f>
        <v>0.04</v>
      </c>
      <c r="R404" s="7">
        <f t="shared" si="13"/>
        <v>132.38120000000001</v>
      </c>
    </row>
    <row r="405" spans="1:18" x14ac:dyDescent="0.25">
      <c r="A405" s="5">
        <f>Procurement_Raw!A405</f>
        <v>45744</v>
      </c>
      <c r="B405" t="str">
        <f>Procurement_Raw!B405</f>
        <v>S006</v>
      </c>
      <c r="C405" t="str">
        <f>Procurement_Raw!C405</f>
        <v>Birmingham Care &amp; Education Centre</v>
      </c>
      <c r="D405" t="str">
        <f>Procurement_Raw!D405</f>
        <v>Midlands</v>
      </c>
      <c r="E405" t="str">
        <f>Procurement_Raw!E405</f>
        <v>LearnWell</v>
      </c>
      <c r="F405" t="str">
        <f>Procurement_Raw!F405</f>
        <v>Office &amp; Training</v>
      </c>
      <c r="G405" t="str">
        <f>Procurement_Raw!G405</f>
        <v>INV-2025-00404</v>
      </c>
      <c r="H405" s="6">
        <f>Procurement_Raw!H405</f>
        <v>46</v>
      </c>
      <c r="I405" s="7">
        <f>Procurement_Raw!I405</f>
        <v>76.959999999999994</v>
      </c>
      <c r="J405" s="7">
        <f>Procurement_Raw!J405</f>
        <v>3540.31</v>
      </c>
      <c r="K405" s="6">
        <f>Procurement_Raw!K405</f>
        <v>30</v>
      </c>
      <c r="L405" t="str">
        <f>Procurement_Raw!L405</f>
        <v>ERP</v>
      </c>
      <c r="M405" s="8">
        <f>Procurement_Raw!M405</f>
        <v>708.06200000000001</v>
      </c>
      <c r="N405" s="7">
        <f>Procurement_Raw!N405</f>
        <v>3540.31</v>
      </c>
      <c r="O405" s="7">
        <f t="shared" si="12"/>
        <v>3540.31</v>
      </c>
      <c r="P405" t="str">
        <f>IFERROR(INDEX(Supplier_Lookup!$B$2:$B$200,MATCH(E405,Supplier_Lookup!$A$2:$A$200,0)),"Unmapped")</f>
        <v>Office &amp; Training</v>
      </c>
      <c r="Q405" s="10">
        <f>IFERROR(INDEX(Category_Targets!$B$2:$B$9,MATCH(F405,Category_Targets!$A$2:$A$9,0)),0)</f>
        <v>0.04</v>
      </c>
      <c r="R405" s="7">
        <f t="shared" si="13"/>
        <v>141.61240000000001</v>
      </c>
    </row>
    <row r="406" spans="1:18" x14ac:dyDescent="0.25">
      <c r="A406" s="5">
        <f>Procurement_Raw!A406</f>
        <v>45935</v>
      </c>
      <c r="B406" t="str">
        <f>Procurement_Raw!B406</f>
        <v>S014</v>
      </c>
      <c r="C406" t="str">
        <f>Procurement_Raw!C406</f>
        <v>Southampton Care &amp; Education Centre</v>
      </c>
      <c r="D406" t="str">
        <f>Procurement_Raw!D406</f>
        <v>South</v>
      </c>
      <c r="E406" t="str">
        <f>Procurement_Raw!E406</f>
        <v>OfficePlus</v>
      </c>
      <c r="F406" t="str">
        <f>Procurement_Raw!F406</f>
        <v>Office &amp; Training</v>
      </c>
      <c r="G406" t="str">
        <f>Procurement_Raw!G406</f>
        <v>INV-2025-00405</v>
      </c>
      <c r="H406" s="6">
        <f>Procurement_Raw!H406</f>
        <v>8</v>
      </c>
      <c r="I406" s="7">
        <f>Procurement_Raw!I406</f>
        <v>58.55</v>
      </c>
      <c r="J406" s="7">
        <f>Procurement_Raw!J406</f>
        <v>468.43</v>
      </c>
      <c r="K406" s="6">
        <f>Procurement_Raw!K406</f>
        <v>60</v>
      </c>
      <c r="L406" t="str">
        <f>Procurement_Raw!L406</f>
        <v>ERP</v>
      </c>
      <c r="M406" s="8">
        <f>Procurement_Raw!M406</f>
        <v>93.686000000000007</v>
      </c>
      <c r="N406" s="7">
        <f>Procurement_Raw!N406</f>
        <v>468.43</v>
      </c>
      <c r="O406" s="7">
        <f t="shared" si="12"/>
        <v>468.43</v>
      </c>
      <c r="P406" t="str">
        <f>IFERROR(INDEX(Supplier_Lookup!$B$2:$B$200,MATCH(E406,Supplier_Lookup!$A$2:$A$200,0)),"Unmapped")</f>
        <v>Office &amp; Training</v>
      </c>
      <c r="Q406" s="10">
        <f>IFERROR(INDEX(Category_Targets!$B$2:$B$9,MATCH(F406,Category_Targets!$A$2:$A$9,0)),0)</f>
        <v>0.04</v>
      </c>
      <c r="R406" s="7">
        <f t="shared" si="13"/>
        <v>18.737200000000001</v>
      </c>
    </row>
    <row r="407" spans="1:18" x14ac:dyDescent="0.25">
      <c r="A407" s="5">
        <f>Procurement_Raw!A407</f>
        <v>45869</v>
      </c>
      <c r="B407" t="str">
        <f>Procurement_Raw!B407</f>
        <v>S016</v>
      </c>
      <c r="C407" t="str">
        <f>Procurement_Raw!C407</f>
        <v>Cardiff Care &amp; Education Centre</v>
      </c>
      <c r="D407" t="str">
        <f>Procurement_Raw!D407</f>
        <v>Wales</v>
      </c>
      <c r="E407" t="str">
        <f>Procurement_Raw!E407</f>
        <v>MediSure</v>
      </c>
      <c r="F407" t="str">
        <f>Procurement_Raw!F407</f>
        <v>Medical Supplies</v>
      </c>
      <c r="G407" t="str">
        <f>Procurement_Raw!G407</f>
        <v>INV-2025-00406</v>
      </c>
      <c r="H407" s="6">
        <f>Procurement_Raw!H407</f>
        <v>18</v>
      </c>
      <c r="I407" s="7">
        <f>Procurement_Raw!I407</f>
        <v>169.03</v>
      </c>
      <c r="J407" s="7">
        <f>Procurement_Raw!J407</f>
        <v>3042.49</v>
      </c>
      <c r="K407" s="6">
        <f>Procurement_Raw!K407</f>
        <v>60</v>
      </c>
      <c r="L407" t="str">
        <f>Procurement_Raw!L407</f>
        <v>ERP</v>
      </c>
      <c r="M407" s="8">
        <f>Procurement_Raw!M407</f>
        <v>608.49800000000005</v>
      </c>
      <c r="N407" s="7">
        <f>Procurement_Raw!N407</f>
        <v>3042.49</v>
      </c>
      <c r="O407" s="7">
        <f t="shared" si="12"/>
        <v>3042.49</v>
      </c>
      <c r="P407" t="str">
        <f>IFERROR(INDEX(Supplier_Lookup!$B$2:$B$200,MATCH(E407,Supplier_Lookup!$A$2:$A$200,0)),"Unmapped")</f>
        <v>Medical Supplies</v>
      </c>
      <c r="Q407" s="10">
        <f>IFERROR(INDEX(Category_Targets!$B$2:$B$9,MATCH(F407,Category_Targets!$A$2:$A$9,0)),0)</f>
        <v>0.06</v>
      </c>
      <c r="R407" s="7">
        <f t="shared" si="13"/>
        <v>182.54939999999999</v>
      </c>
    </row>
    <row r="408" spans="1:18" x14ac:dyDescent="0.25">
      <c r="A408" s="5">
        <f>Procurement_Raw!A408</f>
        <v>45769</v>
      </c>
      <c r="B408" t="str">
        <f>Procurement_Raw!B408</f>
        <v>S016</v>
      </c>
      <c r="C408" t="str">
        <f>Procurement_Raw!C408</f>
        <v>Cardiff Care &amp; Education Centre</v>
      </c>
      <c r="D408" t="str">
        <f>Procurement_Raw!D408</f>
        <v>Wales</v>
      </c>
      <c r="E408" t="str">
        <f>Procurement_Raw!E408</f>
        <v>CleanWorks</v>
      </c>
      <c r="F408" t="str">
        <f>Procurement_Raw!F408</f>
        <v>Facilities</v>
      </c>
      <c r="G408" t="str">
        <f>Procurement_Raw!G408</f>
        <v>INV-2025-00407</v>
      </c>
      <c r="H408" s="6">
        <f>Procurement_Raw!H408</f>
        <v>65</v>
      </c>
      <c r="I408" s="7">
        <f>Procurement_Raw!I408</f>
        <v>100.06</v>
      </c>
      <c r="J408" s="7">
        <f>Procurement_Raw!J408</f>
        <v>6503.87</v>
      </c>
      <c r="K408" s="6">
        <f>Procurement_Raw!K408</f>
        <v>45</v>
      </c>
      <c r="L408" t="str">
        <f>Procurement_Raw!L408</f>
        <v>Procurement Portal</v>
      </c>
      <c r="M408" s="8">
        <f>Procurement_Raw!M408</f>
        <v>1300.7739999999999</v>
      </c>
      <c r="N408" s="7">
        <f>Procurement_Raw!N408</f>
        <v>6503.87</v>
      </c>
      <c r="O408" s="7">
        <f t="shared" si="12"/>
        <v>6503.87</v>
      </c>
      <c r="P408" t="str">
        <f>IFERROR(INDEX(Supplier_Lookup!$B$2:$B$200,MATCH(E408,Supplier_Lookup!$A$2:$A$200,0)),"Unmapped")</f>
        <v>Facilities</v>
      </c>
      <c r="Q408" s="10">
        <f>IFERROR(INDEX(Category_Targets!$B$2:$B$9,MATCH(F408,Category_Targets!$A$2:$A$9,0)),0)</f>
        <v>0.05</v>
      </c>
      <c r="R408" s="7">
        <f t="shared" si="13"/>
        <v>325.19350000000003</v>
      </c>
    </row>
    <row r="409" spans="1:18" x14ac:dyDescent="0.25">
      <c r="A409" s="5">
        <f>Procurement_Raw!A409</f>
        <v>45907</v>
      </c>
      <c r="B409" t="str">
        <f>Procurement_Raw!B409</f>
        <v>S016</v>
      </c>
      <c r="C409" t="str">
        <f>Procurement_Raw!C409</f>
        <v>Cardiff Care &amp; Education Centre</v>
      </c>
      <c r="D409" t="str">
        <f>Procurement_Raw!D409</f>
        <v>Wales</v>
      </c>
      <c r="E409" t="str">
        <f>Procurement_Raw!E409</f>
        <v>PrintCo</v>
      </c>
      <c r="F409" t="str">
        <f>Procurement_Raw!F409</f>
        <v>Office &amp; Training</v>
      </c>
      <c r="G409" t="str">
        <f>Procurement_Raw!G409</f>
        <v>INV-2025-00408</v>
      </c>
      <c r="H409" s="6">
        <f>Procurement_Raw!H409</f>
        <v>3</v>
      </c>
      <c r="I409" s="7">
        <f>Procurement_Raw!I409</f>
        <v>69.349999999999994</v>
      </c>
      <c r="J409" s="7">
        <f>Procurement_Raw!J409</f>
        <v>208.05</v>
      </c>
      <c r="K409" s="6">
        <f>Procurement_Raw!K409</f>
        <v>30</v>
      </c>
      <c r="L409" t="str">
        <f>Procurement_Raw!L409</f>
        <v>Legacy Spend File</v>
      </c>
      <c r="M409" s="8">
        <f>Procurement_Raw!M409</f>
        <v>41.61</v>
      </c>
      <c r="N409" s="7">
        <f>Procurement_Raw!N409</f>
        <v>208.05</v>
      </c>
      <c r="O409" s="7">
        <f t="shared" si="12"/>
        <v>208.05</v>
      </c>
      <c r="P409" t="str">
        <f>IFERROR(INDEX(Supplier_Lookup!$B$2:$B$200,MATCH(E409,Supplier_Lookup!$A$2:$A$200,0)),"Unmapped")</f>
        <v>Office &amp; Training</v>
      </c>
      <c r="Q409" s="10">
        <f>IFERROR(INDEX(Category_Targets!$B$2:$B$9,MATCH(F409,Category_Targets!$A$2:$A$9,0)),0)</f>
        <v>0.04</v>
      </c>
      <c r="R409" s="7">
        <f t="shared" si="13"/>
        <v>8.322000000000001</v>
      </c>
    </row>
    <row r="410" spans="1:18" x14ac:dyDescent="0.25">
      <c r="A410" s="5">
        <f>Procurement_Raw!A410</f>
        <v>45666</v>
      </c>
      <c r="B410" t="str">
        <f>Procurement_Raw!B410</f>
        <v>S011</v>
      </c>
      <c r="C410" t="str">
        <f>Procurement_Raw!C410</f>
        <v>London Care &amp; Education Centre</v>
      </c>
      <c r="D410" t="str">
        <f>Procurement_Raw!D410</f>
        <v>South</v>
      </c>
      <c r="E410" t="str">
        <f>Procurement_Raw!E410</f>
        <v>HealthStaffing</v>
      </c>
      <c r="F410" t="str">
        <f>Procurement_Raw!F410</f>
        <v>Agency Labour</v>
      </c>
      <c r="G410" t="str">
        <f>Procurement_Raw!G410</f>
        <v>INV-2025-00409</v>
      </c>
      <c r="H410" s="6">
        <f>Procurement_Raw!H410</f>
        <v>68</v>
      </c>
      <c r="I410" s="7">
        <f>Procurement_Raw!I410</f>
        <v>320.52</v>
      </c>
      <c r="J410" s="7">
        <f>Procurement_Raw!J410</f>
        <v>21795.37</v>
      </c>
      <c r="K410" s="6">
        <f>Procurement_Raw!K410</f>
        <v>60</v>
      </c>
      <c r="L410" t="str">
        <f>Procurement_Raw!L410</f>
        <v>Procurement Portal</v>
      </c>
      <c r="M410" s="8">
        <f>Procurement_Raw!M410</f>
        <v>4359.0739999999996</v>
      </c>
      <c r="N410" s="7">
        <f>Procurement_Raw!N410</f>
        <v>21795.37</v>
      </c>
      <c r="O410" s="7">
        <f t="shared" si="12"/>
        <v>21795.37</v>
      </c>
      <c r="P410" t="str">
        <f>IFERROR(INDEX(Supplier_Lookup!$B$2:$B$200,MATCH(E410,Supplier_Lookup!$A$2:$A$200,0)),"Unmapped")</f>
        <v>Agency Labour</v>
      </c>
      <c r="Q410" s="10">
        <f>IFERROR(INDEX(Category_Targets!$B$2:$B$9,MATCH(F410,Category_Targets!$A$2:$A$9,0)),0)</f>
        <v>7.0000000000000007E-2</v>
      </c>
      <c r="R410" s="7">
        <f t="shared" si="13"/>
        <v>1525.6759000000002</v>
      </c>
    </row>
    <row r="411" spans="1:18" x14ac:dyDescent="0.25">
      <c r="A411" s="5">
        <f>Procurement_Raw!A411</f>
        <v>45915</v>
      </c>
      <c r="B411" t="str">
        <f>Procurement_Raw!B411</f>
        <v>S007</v>
      </c>
      <c r="C411" t="str">
        <f>Procurement_Raw!C411</f>
        <v>Nottingham Care &amp; Education Centre</v>
      </c>
      <c r="D411" t="str">
        <f>Procurement_Raw!D411</f>
        <v>Midlands</v>
      </c>
      <c r="E411" t="str">
        <f>Procurement_Raw!E411</f>
        <v>CloudLink</v>
      </c>
      <c r="F411" t="str">
        <f>Procurement_Raw!F411</f>
        <v>IT &amp; Telecoms</v>
      </c>
      <c r="G411" t="str">
        <f>Procurement_Raw!G411</f>
        <v>INV-2025-00410</v>
      </c>
      <c r="H411" s="6">
        <f>Procurement_Raw!H411</f>
        <v>56</v>
      </c>
      <c r="I411" s="7">
        <f>Procurement_Raw!I411</f>
        <v>291.95</v>
      </c>
      <c r="J411" s="7">
        <f>Procurement_Raw!J411</f>
        <v>16348.98</v>
      </c>
      <c r="K411" s="6">
        <f>Procurement_Raw!K411</f>
        <v>30</v>
      </c>
      <c r="L411" t="str">
        <f>Procurement_Raw!L411</f>
        <v>ERP</v>
      </c>
      <c r="M411" s="8">
        <f>Procurement_Raw!M411</f>
        <v>3269.7959999999998</v>
      </c>
      <c r="N411" s="7">
        <f>Procurement_Raw!N411</f>
        <v>16348.98</v>
      </c>
      <c r="O411" s="7">
        <f t="shared" si="12"/>
        <v>16348.98</v>
      </c>
      <c r="P411" t="str">
        <f>IFERROR(INDEX(Supplier_Lookup!$B$2:$B$200,MATCH(E411,Supplier_Lookup!$A$2:$A$200,0)),"Unmapped")</f>
        <v>medical supplies</v>
      </c>
      <c r="Q411" s="10">
        <f>IFERROR(INDEX(Category_Targets!$B$2:$B$9,MATCH(F411,Category_Targets!$A$2:$A$9,0)),0)</f>
        <v>0.08</v>
      </c>
      <c r="R411" s="7">
        <f t="shared" si="13"/>
        <v>1307.9184</v>
      </c>
    </row>
    <row r="412" spans="1:18" x14ac:dyDescent="0.25">
      <c r="A412" s="5">
        <f>Procurement_Raw!A412</f>
        <v>45756</v>
      </c>
      <c r="B412" t="str">
        <f>Procurement_Raw!B412</f>
        <v>S010</v>
      </c>
      <c r="C412" t="str">
        <f>Procurement_Raw!C412</f>
        <v>Coventry Care &amp; Education Centre</v>
      </c>
      <c r="D412" t="str">
        <f>Procurement_Raw!D412</f>
        <v>Midlands</v>
      </c>
      <c r="E412" t="str">
        <f>Procurement_Raw!E412</f>
        <v>CleanWorks</v>
      </c>
      <c r="F412" t="str">
        <f>Procurement_Raw!F412</f>
        <v>Facilities</v>
      </c>
      <c r="G412" t="str">
        <f>Procurement_Raw!G412</f>
        <v>INV-2025-00411</v>
      </c>
      <c r="H412" s="6">
        <f>Procurement_Raw!H412</f>
        <v>80</v>
      </c>
      <c r="I412" s="7">
        <f>Procurement_Raw!I412</f>
        <v>266.23</v>
      </c>
      <c r="J412" s="7">
        <f>Procurement_Raw!J412</f>
        <v>21298.07</v>
      </c>
      <c r="K412" s="6">
        <f>Procurement_Raw!K412</f>
        <v>60</v>
      </c>
      <c r="L412" t="str">
        <f>Procurement_Raw!L412</f>
        <v>Procurement Portal</v>
      </c>
      <c r="M412" s="8">
        <f>Procurement_Raw!M412</f>
        <v>4259.6139999999996</v>
      </c>
      <c r="N412" s="7">
        <f>Procurement_Raw!N412</f>
        <v>21298.07</v>
      </c>
      <c r="O412" s="7">
        <f t="shared" si="12"/>
        <v>21298.07</v>
      </c>
      <c r="P412" t="str">
        <f>IFERROR(INDEX(Supplier_Lookup!$B$2:$B$200,MATCH(E412,Supplier_Lookup!$A$2:$A$200,0)),"Unmapped")</f>
        <v>Facilities</v>
      </c>
      <c r="Q412" s="10">
        <f>IFERROR(INDEX(Category_Targets!$B$2:$B$9,MATCH(F412,Category_Targets!$A$2:$A$9,0)),0)</f>
        <v>0.05</v>
      </c>
      <c r="R412" s="7">
        <f t="shared" si="13"/>
        <v>1064.9035000000001</v>
      </c>
    </row>
    <row r="413" spans="1:18" x14ac:dyDescent="0.25">
      <c r="A413" s="5">
        <f>Procurement_Raw!A413</f>
        <v>45698</v>
      </c>
      <c r="B413" t="str">
        <f>Procurement_Raw!B413</f>
        <v>S008</v>
      </c>
      <c r="C413" t="str">
        <f>Procurement_Raw!C413</f>
        <v>Leicester Care &amp; Education Centre</v>
      </c>
      <c r="D413" t="str">
        <f>Procurement_Raw!D413</f>
        <v>Midlands</v>
      </c>
      <c r="E413" t="str">
        <f>Procurement_Raw!E413</f>
        <v>telecare it</v>
      </c>
      <c r="F413" t="str">
        <f>Procurement_Raw!F413</f>
        <v>IT &amp; Telecoms</v>
      </c>
      <c r="G413" t="str">
        <f>Procurement_Raw!G413</f>
        <v>INV-2025-00412</v>
      </c>
      <c r="H413" s="6">
        <f>Procurement_Raw!H413</f>
        <v>48</v>
      </c>
      <c r="I413" s="7">
        <f>Procurement_Raw!I413</f>
        <v>118.52</v>
      </c>
      <c r="J413" s="7">
        <f>Procurement_Raw!J413</f>
        <v>5688.92</v>
      </c>
      <c r="K413" s="6">
        <f>Procurement_Raw!K413</f>
        <v>45</v>
      </c>
      <c r="L413" t="str">
        <f>Procurement_Raw!L413</f>
        <v>Procurement Portal</v>
      </c>
      <c r="M413" s="8">
        <f>Procurement_Raw!M413</f>
        <v>1137.7840000000001</v>
      </c>
      <c r="N413" s="7">
        <f>Procurement_Raw!N413</f>
        <v>5688.92</v>
      </c>
      <c r="O413" s="7">
        <f t="shared" si="12"/>
        <v>5688.92</v>
      </c>
      <c r="P413" t="str">
        <f>IFERROR(INDEX(Supplier_Lookup!$B$2:$B$200,MATCH(E413,Supplier_Lookup!$A$2:$A$200,0)),"Unmapped")</f>
        <v>IT &amp; Telecoms</v>
      </c>
      <c r="Q413" s="10">
        <f>IFERROR(INDEX(Category_Targets!$B$2:$B$9,MATCH(F413,Category_Targets!$A$2:$A$9,0)),0)</f>
        <v>0.08</v>
      </c>
      <c r="R413" s="7">
        <f t="shared" si="13"/>
        <v>455.11360000000002</v>
      </c>
    </row>
    <row r="414" spans="1:18" x14ac:dyDescent="0.25">
      <c r="A414" s="5">
        <f>Procurement_Raw!A414</f>
        <v>45773</v>
      </c>
      <c r="B414" t="str">
        <f>Procurement_Raw!B414</f>
        <v>S019</v>
      </c>
      <c r="C414" t="str">
        <f>Procurement_Raw!C414</f>
        <v>Wrexham Care &amp; Education Centre</v>
      </c>
      <c r="D414" t="str">
        <f>Procurement_Raw!D414</f>
        <v>Wales</v>
      </c>
      <c r="E414" t="str">
        <f>Procurement_Raw!E414</f>
        <v>PowerDirect</v>
      </c>
      <c r="F414" t="str">
        <f>Procurement_Raw!F414</f>
        <v>Utilities</v>
      </c>
      <c r="G414" t="str">
        <f>Procurement_Raw!G414</f>
        <v>INV-2025-00413</v>
      </c>
      <c r="H414" s="6">
        <f>Procurement_Raw!H414</f>
        <v>39</v>
      </c>
      <c r="I414" s="7">
        <f>Procurement_Raw!I414</f>
        <v>107.52</v>
      </c>
      <c r="J414" s="7">
        <f>Procurement_Raw!J414</f>
        <v>4193.37</v>
      </c>
      <c r="K414" s="6">
        <f>Procurement_Raw!K414</f>
        <v>60</v>
      </c>
      <c r="L414" t="str">
        <f>Procurement_Raw!L414</f>
        <v>ERP</v>
      </c>
      <c r="M414" s="8">
        <f>Procurement_Raw!M414</f>
        <v>838.67399999999998</v>
      </c>
      <c r="N414" s="7">
        <f>Procurement_Raw!N414</f>
        <v>4193.37</v>
      </c>
      <c r="O414" s="7">
        <f t="shared" si="12"/>
        <v>4193.37</v>
      </c>
      <c r="P414" t="str">
        <f>IFERROR(INDEX(Supplier_Lookup!$B$2:$B$200,MATCH(E414,Supplier_Lookup!$A$2:$A$200,0)),"Unmapped")</f>
        <v>Utilities</v>
      </c>
      <c r="Q414" s="10">
        <f>IFERROR(INDEX(Category_Targets!$B$2:$B$9,MATCH(F414,Category_Targets!$A$2:$A$9,0)),0)</f>
        <v>0.03</v>
      </c>
      <c r="R414" s="7">
        <f t="shared" si="13"/>
        <v>125.80109999999999</v>
      </c>
    </row>
    <row r="415" spans="1:18" x14ac:dyDescent="0.25">
      <c r="A415" s="5">
        <f>Procurement_Raw!A415</f>
        <v>45865</v>
      </c>
      <c r="B415" t="str">
        <f>Procurement_Raw!B415</f>
        <v>S012</v>
      </c>
      <c r="C415" t="str">
        <f>Procurement_Raw!C415</f>
        <v>Bristol Care &amp; Education Centre</v>
      </c>
      <c r="D415" t="str">
        <f>Procurement_Raw!D415</f>
        <v>South</v>
      </c>
      <c r="E415" t="str">
        <f>Procurement_Raw!E415</f>
        <v>MediSure</v>
      </c>
      <c r="F415" t="str">
        <f>Procurement_Raw!F415</f>
        <v>Medical Supplies</v>
      </c>
      <c r="G415" t="str">
        <f>Procurement_Raw!G415</f>
        <v>INV-2025-00414</v>
      </c>
      <c r="H415" s="6">
        <f>Procurement_Raw!H415</f>
        <v>49</v>
      </c>
      <c r="I415" s="7">
        <f>Procurement_Raw!I415</f>
        <v>242.31</v>
      </c>
      <c r="J415" s="7">
        <f>Procurement_Raw!J415</f>
        <v>11873.14</v>
      </c>
      <c r="K415" s="6">
        <f>Procurement_Raw!K415</f>
        <v>45</v>
      </c>
      <c r="L415" t="str">
        <f>Procurement_Raw!L415</f>
        <v>Legacy Spend File</v>
      </c>
      <c r="M415" s="8">
        <f>Procurement_Raw!M415</f>
        <v>2374.6280000000002</v>
      </c>
      <c r="N415" s="7">
        <f>Procurement_Raw!N415</f>
        <v>11873.14</v>
      </c>
      <c r="O415" s="7">
        <f t="shared" si="12"/>
        <v>11873.14</v>
      </c>
      <c r="P415" t="str">
        <f>IFERROR(INDEX(Supplier_Lookup!$B$2:$B$200,MATCH(E415,Supplier_Lookup!$A$2:$A$200,0)),"Unmapped")</f>
        <v>Medical Supplies</v>
      </c>
      <c r="Q415" s="10">
        <f>IFERROR(INDEX(Category_Targets!$B$2:$B$9,MATCH(F415,Category_Targets!$A$2:$A$9,0)),0)</f>
        <v>0.06</v>
      </c>
      <c r="R415" s="7">
        <f t="shared" si="13"/>
        <v>712.38839999999993</v>
      </c>
    </row>
    <row r="416" spans="1:18" x14ac:dyDescent="0.25">
      <c r="A416" s="5">
        <f>Procurement_Raw!A416</f>
        <v>45662</v>
      </c>
      <c r="B416" t="str">
        <f>Procurement_Raw!B416</f>
        <v>S018</v>
      </c>
      <c r="C416" t="str">
        <f>Procurement_Raw!C416</f>
        <v>Newport Care &amp; Education Centre</v>
      </c>
      <c r="D416" t="str">
        <f>Procurement_Raw!D416</f>
        <v>Wales</v>
      </c>
      <c r="E416" t="str">
        <f>Procurement_Raw!E416</f>
        <v>ClinEquip</v>
      </c>
      <c r="F416" t="str">
        <f>Procurement_Raw!F416</f>
        <v>Medical Supplies</v>
      </c>
      <c r="G416" t="str">
        <f>Procurement_Raw!G416</f>
        <v>INV-2025-00415</v>
      </c>
      <c r="H416" s="6">
        <f>Procurement_Raw!H416</f>
        <v>22</v>
      </c>
      <c r="I416" s="7">
        <f>Procurement_Raw!I416</f>
        <v>144.06</v>
      </c>
      <c r="J416" s="7">
        <f>Procurement_Raw!J416</f>
        <v>3169.43</v>
      </c>
      <c r="K416" s="6">
        <f>Procurement_Raw!K416</f>
        <v>30</v>
      </c>
      <c r="L416" t="str">
        <f>Procurement_Raw!L416</f>
        <v>Procurement Portal</v>
      </c>
      <c r="M416" s="8">
        <f>Procurement_Raw!M416</f>
        <v>633.88599999999997</v>
      </c>
      <c r="N416" s="7">
        <f>Procurement_Raw!N416</f>
        <v>3169.43</v>
      </c>
      <c r="O416" s="7">
        <f t="shared" si="12"/>
        <v>3169.43</v>
      </c>
      <c r="P416" t="str">
        <f>IFERROR(INDEX(Supplier_Lookup!$B$2:$B$200,MATCH(E416,Supplier_Lookup!$A$2:$A$200,0)),"Unmapped")</f>
        <v>Medical Supplies</v>
      </c>
      <c r="Q416" s="10">
        <f>IFERROR(INDEX(Category_Targets!$B$2:$B$9,MATCH(F416,Category_Targets!$A$2:$A$9,0)),0)</f>
        <v>0.06</v>
      </c>
      <c r="R416" s="7">
        <f t="shared" si="13"/>
        <v>190.16579999999999</v>
      </c>
    </row>
    <row r="417" spans="1:18" x14ac:dyDescent="0.25">
      <c r="A417" s="5">
        <f>Procurement_Raw!A417</f>
        <v>45706</v>
      </c>
      <c r="B417" t="str">
        <f>Procurement_Raw!B417</f>
        <v>S009</v>
      </c>
      <c r="C417" t="str">
        <f>Procurement_Raw!C417</f>
        <v>Derby Care &amp; Education Centre</v>
      </c>
      <c r="D417" t="str">
        <f>Procurement_Raw!D417</f>
        <v>Midlands</v>
      </c>
      <c r="E417" t="str">
        <f>Procurement_Raw!E417</f>
        <v>AutoCare</v>
      </c>
      <c r="F417" t="str">
        <f>Procurement_Raw!F417</f>
        <v>Vehicle &amp; Fuel</v>
      </c>
      <c r="G417" t="str">
        <f>Procurement_Raw!G417</f>
        <v>INV-2025-00416</v>
      </c>
      <c r="H417" s="6">
        <f>Procurement_Raw!H417</f>
        <v>68</v>
      </c>
      <c r="I417" s="7">
        <f>Procurement_Raw!I417</f>
        <v>62.94</v>
      </c>
      <c r="J417" s="7">
        <f>Procurement_Raw!J417</f>
        <v>4280.04</v>
      </c>
      <c r="K417" s="6">
        <f>Procurement_Raw!K417</f>
        <v>30</v>
      </c>
      <c r="L417" t="str">
        <f>Procurement_Raw!L417</f>
        <v>ERP</v>
      </c>
      <c r="M417" s="8">
        <f>Procurement_Raw!M417</f>
        <v>856.00800000000004</v>
      </c>
      <c r="N417" s="7">
        <f>Procurement_Raw!N417</f>
        <v>4280.04</v>
      </c>
      <c r="O417" s="7">
        <f t="shared" si="12"/>
        <v>4280.04</v>
      </c>
      <c r="P417" t="str">
        <f>IFERROR(INDEX(Supplier_Lookup!$B$2:$B$200,MATCH(E417,Supplier_Lookup!$A$2:$A$200,0)),"Unmapped")</f>
        <v>Vehicle &amp; Fuel</v>
      </c>
      <c r="Q417" s="10">
        <f>IFERROR(INDEX(Category_Targets!$B$2:$B$9,MATCH(F417,Category_Targets!$A$2:$A$9,0)),0)</f>
        <v>0.05</v>
      </c>
      <c r="R417" s="7">
        <f t="shared" si="13"/>
        <v>214.00200000000001</v>
      </c>
    </row>
    <row r="418" spans="1:18" x14ac:dyDescent="0.25">
      <c r="A418" s="5">
        <f>Procurement_Raw!A418</f>
        <v>45681</v>
      </c>
      <c r="B418" t="str">
        <f>Procurement_Raw!B418</f>
        <v>S012</v>
      </c>
      <c r="C418" t="str">
        <f>Procurement_Raw!C418</f>
        <v>Bristol Care &amp; Education Centre</v>
      </c>
      <c r="D418" t="str">
        <f>Procurement_Raw!D418</f>
        <v>South</v>
      </c>
      <c r="E418" t="str">
        <f>Procurement_Raw!E418</f>
        <v>LearnWell</v>
      </c>
      <c r="F418" t="str">
        <f>Procurement_Raw!F418</f>
        <v>Office &amp; Training</v>
      </c>
      <c r="G418" t="str">
        <f>Procurement_Raw!G418</f>
        <v>INV-2025-00417</v>
      </c>
      <c r="H418" s="6">
        <f>Procurement_Raw!H418</f>
        <v>10</v>
      </c>
      <c r="I418" s="7">
        <f>Procurement_Raw!I418</f>
        <v>176.02</v>
      </c>
      <c r="J418" s="7">
        <f>Procurement_Raw!J418</f>
        <v>1760.24</v>
      </c>
      <c r="K418" s="6">
        <f>Procurement_Raw!K418</f>
        <v>60</v>
      </c>
      <c r="L418" t="str">
        <f>Procurement_Raw!L418</f>
        <v>Procurement Portal</v>
      </c>
      <c r="M418" s="8">
        <f>Procurement_Raw!M418</f>
        <v>352.048</v>
      </c>
      <c r="N418" s="7">
        <f>Procurement_Raw!N418</f>
        <v>1760.24</v>
      </c>
      <c r="O418" s="7">
        <f t="shared" si="12"/>
        <v>1760.24</v>
      </c>
      <c r="P418" t="str">
        <f>IFERROR(INDEX(Supplier_Lookup!$B$2:$B$200,MATCH(E418,Supplier_Lookup!$A$2:$A$200,0)),"Unmapped")</f>
        <v>Office &amp; Training</v>
      </c>
      <c r="Q418" s="10">
        <f>IFERROR(INDEX(Category_Targets!$B$2:$B$9,MATCH(F418,Category_Targets!$A$2:$A$9,0)),0)</f>
        <v>0.04</v>
      </c>
      <c r="R418" s="7">
        <f t="shared" si="13"/>
        <v>70.409599999999998</v>
      </c>
    </row>
    <row r="419" spans="1:18" x14ac:dyDescent="0.25">
      <c r="A419" s="5">
        <f>Procurement_Raw!A419</f>
        <v>45819</v>
      </c>
      <c r="B419" t="str">
        <f>Procurement_Raw!B419</f>
        <v>S016</v>
      </c>
      <c r="C419" t="str">
        <f>Procurement_Raw!C419</f>
        <v>Cardiff Care &amp; Education Centre</v>
      </c>
      <c r="D419" t="str">
        <f>Procurement_Raw!D419</f>
        <v>Wales</v>
      </c>
      <c r="E419" t="str">
        <f>Procurement_Raw!E419</f>
        <v>MediSure</v>
      </c>
      <c r="F419" t="str">
        <f>Procurement_Raw!F419</f>
        <v>Medical Supplies</v>
      </c>
      <c r="G419" t="str">
        <f>Procurement_Raw!G419</f>
        <v>INV-2025-00418</v>
      </c>
      <c r="H419" s="6">
        <f>Procurement_Raw!H419</f>
        <v>3</v>
      </c>
      <c r="I419" s="7">
        <f>Procurement_Raw!I419</f>
        <v>127.88</v>
      </c>
      <c r="J419" s="7">
        <f>Procurement_Raw!J419</f>
        <v>383.65</v>
      </c>
      <c r="K419" s="6">
        <f>Procurement_Raw!K419</f>
        <v>30</v>
      </c>
      <c r="L419" t="str">
        <f>Procurement_Raw!L419</f>
        <v>Legacy Spend File</v>
      </c>
      <c r="M419" s="8">
        <f>Procurement_Raw!M419</f>
        <v>76.73</v>
      </c>
      <c r="N419" s="7">
        <f>Procurement_Raw!N419</f>
        <v>383.65</v>
      </c>
      <c r="O419" s="7">
        <f t="shared" si="12"/>
        <v>383.65</v>
      </c>
      <c r="P419" t="str">
        <f>IFERROR(INDEX(Supplier_Lookup!$B$2:$B$200,MATCH(E419,Supplier_Lookup!$A$2:$A$200,0)),"Unmapped")</f>
        <v>Medical Supplies</v>
      </c>
      <c r="Q419" s="10">
        <f>IFERROR(INDEX(Category_Targets!$B$2:$B$9,MATCH(F419,Category_Targets!$A$2:$A$9,0)),0)</f>
        <v>0.06</v>
      </c>
      <c r="R419" s="7">
        <f t="shared" si="13"/>
        <v>23.018999999999998</v>
      </c>
    </row>
    <row r="420" spans="1:18" x14ac:dyDescent="0.25">
      <c r="A420" s="5">
        <f>Procurement_Raw!A420</f>
        <v>45811</v>
      </c>
      <c r="B420" t="str">
        <f>Procurement_Raw!B420</f>
        <v>S001</v>
      </c>
      <c r="C420" t="str">
        <f>Procurement_Raw!C420</f>
        <v>Preston Care &amp; Education Centre</v>
      </c>
      <c r="D420" t="str">
        <f>Procurement_Raw!D420</f>
        <v>North</v>
      </c>
      <c r="E420" t="str">
        <f>Procurement_Raw!E420</f>
        <v>HealthStaffing</v>
      </c>
      <c r="F420" t="str">
        <f>Procurement_Raw!F420</f>
        <v>Agency Labour</v>
      </c>
      <c r="G420" t="str">
        <f>Procurement_Raw!G420</f>
        <v>INV-2025-00419</v>
      </c>
      <c r="H420" s="6">
        <f>Procurement_Raw!H420</f>
        <v>21</v>
      </c>
      <c r="I420" s="7">
        <f>Procurement_Raw!I420</f>
        <v>573.87</v>
      </c>
      <c r="J420" s="7">
        <f>Procurement_Raw!J420</f>
        <v>12051.19</v>
      </c>
      <c r="K420" s="6">
        <f>Procurement_Raw!K420</f>
        <v>60</v>
      </c>
      <c r="L420" t="str">
        <f>Procurement_Raw!L420</f>
        <v>ERP</v>
      </c>
      <c r="M420" s="8">
        <f>Procurement_Raw!M420</f>
        <v>2410.2379999999998</v>
      </c>
      <c r="N420" s="7">
        <f>Procurement_Raw!N420</f>
        <v>12051.19</v>
      </c>
      <c r="O420" s="7">
        <f t="shared" si="12"/>
        <v>12051.19</v>
      </c>
      <c r="P420" t="str">
        <f>IFERROR(INDEX(Supplier_Lookup!$B$2:$B$200,MATCH(E420,Supplier_Lookup!$A$2:$A$200,0)),"Unmapped")</f>
        <v>Agency Labour</v>
      </c>
      <c r="Q420" s="10">
        <f>IFERROR(INDEX(Category_Targets!$B$2:$B$9,MATCH(F420,Category_Targets!$A$2:$A$9,0)),0)</f>
        <v>7.0000000000000007E-2</v>
      </c>
      <c r="R420" s="7">
        <f t="shared" si="13"/>
        <v>843.58330000000012</v>
      </c>
    </row>
    <row r="421" spans="1:18" x14ac:dyDescent="0.25">
      <c r="A421" s="5">
        <f>Procurement_Raw!A421</f>
        <v>45934</v>
      </c>
      <c r="B421" t="str">
        <f>Procurement_Raw!B421</f>
        <v>S007</v>
      </c>
      <c r="C421" t="str">
        <f>Procurement_Raw!C421</f>
        <v>Nottingham Care &amp; Education Centre</v>
      </c>
      <c r="D421" t="str">
        <f>Procurement_Raw!D421</f>
        <v>Midlands</v>
      </c>
      <c r="E421" t="str">
        <f>Procurement_Raw!E421</f>
        <v>NurseLink</v>
      </c>
      <c r="F421" t="str">
        <f>Procurement_Raw!F421</f>
        <v>Agency Labour</v>
      </c>
      <c r="G421" t="str">
        <f>Procurement_Raw!G421</f>
        <v>INV-2025-00420</v>
      </c>
      <c r="H421" s="6">
        <f>Procurement_Raw!H421</f>
        <v>43</v>
      </c>
      <c r="I421" s="7">
        <f>Procurement_Raw!I421</f>
        <v>311.35000000000002</v>
      </c>
      <c r="J421" s="7">
        <f>Procurement_Raw!J421</f>
        <v>13388.05</v>
      </c>
      <c r="K421" s="6">
        <f>Procurement_Raw!K421</f>
        <v>45</v>
      </c>
      <c r="L421" t="str">
        <f>Procurement_Raw!L421</f>
        <v>Legacy Spend File</v>
      </c>
      <c r="M421" s="8">
        <f>Procurement_Raw!M421</f>
        <v>2677.61</v>
      </c>
      <c r="N421" s="7">
        <f>Procurement_Raw!N421</f>
        <v>13388.05</v>
      </c>
      <c r="O421" s="7">
        <f t="shared" si="12"/>
        <v>13388.05</v>
      </c>
      <c r="P421" t="str">
        <f>IFERROR(INDEX(Supplier_Lookup!$B$2:$B$200,MATCH(E421,Supplier_Lookup!$A$2:$A$200,0)),"Unmapped")</f>
        <v>Agency Labour</v>
      </c>
      <c r="Q421" s="10">
        <f>IFERROR(INDEX(Category_Targets!$B$2:$B$9,MATCH(F421,Category_Targets!$A$2:$A$9,0)),0)</f>
        <v>7.0000000000000007E-2</v>
      </c>
      <c r="R421" s="7">
        <f t="shared" si="13"/>
        <v>937.1635</v>
      </c>
    </row>
    <row r="422" spans="1:18" x14ac:dyDescent="0.25">
      <c r="A422" s="5">
        <f>Procurement_Raw!A422</f>
        <v>45835</v>
      </c>
      <c r="B422" t="str">
        <f>Procurement_Raw!B422</f>
        <v>S016</v>
      </c>
      <c r="C422" t="str">
        <f>Procurement_Raw!C422</f>
        <v>Cardiff Care &amp; Education Centre</v>
      </c>
      <c r="D422" t="str">
        <f>Procurement_Raw!D422</f>
        <v>Wales</v>
      </c>
      <c r="E422" t="str">
        <f>Procurement_Raw!E422</f>
        <v>KitchenPro</v>
      </c>
      <c r="F422" t="str">
        <f>Procurement_Raw!F422</f>
        <v>Food &amp; Catering</v>
      </c>
      <c r="G422" t="str">
        <f>Procurement_Raw!G422</f>
        <v>INV-2025-00421</v>
      </c>
      <c r="H422" s="6">
        <f>Procurement_Raw!H422</f>
        <v>7</v>
      </c>
      <c r="I422" s="7">
        <f>Procurement_Raw!I422</f>
        <v>201.91</v>
      </c>
      <c r="J422" s="7">
        <f>Procurement_Raw!J422</f>
        <v>1413.34</v>
      </c>
      <c r="K422" s="6">
        <f>Procurement_Raw!K422</f>
        <v>30</v>
      </c>
      <c r="L422" t="str">
        <f>Procurement_Raw!L422</f>
        <v>Procurement Portal</v>
      </c>
      <c r="M422" s="8">
        <f>Procurement_Raw!M422</f>
        <v>282.66800000000001</v>
      </c>
      <c r="N422" s="7">
        <f>Procurement_Raw!N422</f>
        <v>1413.34</v>
      </c>
      <c r="O422" s="7">
        <f t="shared" si="12"/>
        <v>1413.34</v>
      </c>
      <c r="P422" t="str">
        <f>IFERROR(INDEX(Supplier_Lookup!$B$2:$B$200,MATCH(E422,Supplier_Lookup!$A$2:$A$200,0)),"Unmapped")</f>
        <v>Food &amp; Catering</v>
      </c>
      <c r="Q422" s="10">
        <f>IFERROR(INDEX(Category_Targets!$B$2:$B$9,MATCH(F422,Category_Targets!$A$2:$A$9,0)),0)</f>
        <v>0.04</v>
      </c>
      <c r="R422" s="7">
        <f t="shared" si="13"/>
        <v>56.5336</v>
      </c>
    </row>
    <row r="423" spans="1:18" x14ac:dyDescent="0.25">
      <c r="A423" s="5">
        <f>Procurement_Raw!A423</f>
        <v>45967</v>
      </c>
      <c r="B423" t="str">
        <f>Procurement_Raw!B423</f>
        <v>S009</v>
      </c>
      <c r="C423" t="str">
        <f>Procurement_Raw!C423</f>
        <v>Derby Care &amp; Education Centre</v>
      </c>
      <c r="D423" t="str">
        <f>Procurement_Raw!D423</f>
        <v>Midlands</v>
      </c>
      <c r="E423" t="str">
        <f>Procurement_Raw!E423</f>
        <v>NourishCo</v>
      </c>
      <c r="F423" t="str">
        <f>Procurement_Raw!F423</f>
        <v>Food &amp; Catering</v>
      </c>
      <c r="G423" t="str">
        <f>Procurement_Raw!G423</f>
        <v>INV-2025-00422</v>
      </c>
      <c r="H423" s="6">
        <f>Procurement_Raw!H423</f>
        <v>79</v>
      </c>
      <c r="I423" s="7">
        <f>Procurement_Raw!I423</f>
        <v>170.69</v>
      </c>
      <c r="J423" s="7">
        <f>Procurement_Raw!J423</f>
        <v>13484.18</v>
      </c>
      <c r="K423" s="6">
        <f>Procurement_Raw!K423</f>
        <v>60</v>
      </c>
      <c r="L423" t="str">
        <f>Procurement_Raw!L423</f>
        <v>Procurement Portal</v>
      </c>
      <c r="M423" s="8">
        <f>Procurement_Raw!M423</f>
        <v>2696.8359999999998</v>
      </c>
      <c r="N423" s="7">
        <f>Procurement_Raw!N423</f>
        <v>13484.18</v>
      </c>
      <c r="O423" s="7">
        <f t="shared" si="12"/>
        <v>13484.18</v>
      </c>
      <c r="P423" t="str">
        <f>IFERROR(INDEX(Supplier_Lookup!$B$2:$B$200,MATCH(E423,Supplier_Lookup!$A$2:$A$200,0)),"Unmapped")</f>
        <v>Food &amp; Catering</v>
      </c>
      <c r="Q423" s="10">
        <f>IFERROR(INDEX(Category_Targets!$B$2:$B$9,MATCH(F423,Category_Targets!$A$2:$A$9,0)),0)</f>
        <v>0.04</v>
      </c>
      <c r="R423" s="7">
        <f t="shared" si="13"/>
        <v>539.36720000000003</v>
      </c>
    </row>
    <row r="424" spans="1:18" x14ac:dyDescent="0.25">
      <c r="A424" s="5">
        <f>Procurement_Raw!A424</f>
        <v>45797</v>
      </c>
      <c r="B424" t="str">
        <f>Procurement_Raw!B424</f>
        <v>S017</v>
      </c>
      <c r="C424" t="str">
        <f>Procurement_Raw!C424</f>
        <v>Swansea Care &amp; Education Centre</v>
      </c>
      <c r="D424" t="str">
        <f>Procurement_Raw!D424</f>
        <v>Wales</v>
      </c>
      <c r="E424" t="str">
        <f>Procurement_Raw!E424</f>
        <v>ClinEquip</v>
      </c>
      <c r="F424" t="str">
        <f>Procurement_Raw!F424</f>
        <v>Medical Supplies</v>
      </c>
      <c r="G424" t="str">
        <f>Procurement_Raw!G424</f>
        <v>INV-2025-00423</v>
      </c>
      <c r="H424" s="6">
        <f>Procurement_Raw!H424</f>
        <v>58</v>
      </c>
      <c r="I424" s="7">
        <f>Procurement_Raw!I424</f>
        <v>104.64</v>
      </c>
      <c r="J424" s="7">
        <f>Procurement_Raw!J424</f>
        <v>6069.34</v>
      </c>
      <c r="K424" s="6">
        <f>Procurement_Raw!K424</f>
        <v>45</v>
      </c>
      <c r="L424" t="str">
        <f>Procurement_Raw!L424</f>
        <v>ERP</v>
      </c>
      <c r="M424" s="8">
        <f>Procurement_Raw!M424</f>
        <v>1213.8679999999999</v>
      </c>
      <c r="N424" s="7">
        <f>Procurement_Raw!N424</f>
        <v>6069.34</v>
      </c>
      <c r="O424" s="7">
        <f t="shared" si="12"/>
        <v>6069.34</v>
      </c>
      <c r="P424" t="str">
        <f>IFERROR(INDEX(Supplier_Lookup!$B$2:$B$200,MATCH(E424,Supplier_Lookup!$A$2:$A$200,0)),"Unmapped")</f>
        <v>Medical Supplies</v>
      </c>
      <c r="Q424" s="10">
        <f>IFERROR(INDEX(Category_Targets!$B$2:$B$9,MATCH(F424,Category_Targets!$A$2:$A$9,0)),0)</f>
        <v>0.06</v>
      </c>
      <c r="R424" s="7">
        <f t="shared" si="13"/>
        <v>364.16039999999998</v>
      </c>
    </row>
    <row r="425" spans="1:18" x14ac:dyDescent="0.25">
      <c r="A425" s="5">
        <f>Procurement_Raw!A425</f>
        <v>45753</v>
      </c>
      <c r="B425" t="str">
        <f>Procurement_Raw!B425</f>
        <v>S008</v>
      </c>
      <c r="C425" t="str">
        <f>Procurement_Raw!C425</f>
        <v>Leicester Care &amp; Education Centre</v>
      </c>
      <c r="D425" t="str">
        <f>Procurement_Raw!D425</f>
        <v>Midlands</v>
      </c>
      <c r="E425" t="str">
        <f>Procurement_Raw!E425</f>
        <v>CareTemps</v>
      </c>
      <c r="F425" t="str">
        <f>Procurement_Raw!F425</f>
        <v>Agency Labour</v>
      </c>
      <c r="G425" t="str">
        <f>Procurement_Raw!G425</f>
        <v>INV-2025-00424</v>
      </c>
      <c r="H425" s="6">
        <f>Procurement_Raw!H425</f>
        <v>75</v>
      </c>
      <c r="I425" s="7">
        <f>Procurement_Raw!I425</f>
        <v>511.91</v>
      </c>
      <c r="J425" s="7">
        <f>Procurement_Raw!J425</f>
        <v>38393.160000000003</v>
      </c>
      <c r="K425" s="6">
        <f>Procurement_Raw!K425</f>
        <v>60</v>
      </c>
      <c r="L425" t="str">
        <f>Procurement_Raw!L425</f>
        <v>Procurement Portal</v>
      </c>
      <c r="M425" s="8">
        <f>Procurement_Raw!M425</f>
        <v>7678.6319999999996</v>
      </c>
      <c r="N425" s="7">
        <f>Procurement_Raw!N425</f>
        <v>38393.160000000003</v>
      </c>
      <c r="O425" s="7">
        <f t="shared" si="12"/>
        <v>38393.160000000003</v>
      </c>
      <c r="P425" t="str">
        <f>IFERROR(INDEX(Supplier_Lookup!$B$2:$B$200,MATCH(E425,Supplier_Lookup!$A$2:$A$200,0)),"Unmapped")</f>
        <v>Agency Labour</v>
      </c>
      <c r="Q425" s="10">
        <f>IFERROR(INDEX(Category_Targets!$B$2:$B$9,MATCH(F425,Category_Targets!$A$2:$A$9,0)),0)</f>
        <v>7.0000000000000007E-2</v>
      </c>
      <c r="R425" s="7">
        <f t="shared" si="13"/>
        <v>2687.5212000000006</v>
      </c>
    </row>
    <row r="426" spans="1:18" x14ac:dyDescent="0.25">
      <c r="A426" s="5">
        <f>Procurement_Raw!A426</f>
        <v>45695</v>
      </c>
      <c r="B426" t="str">
        <f>Procurement_Raw!B426</f>
        <v>S009</v>
      </c>
      <c r="C426" t="str">
        <f>Procurement_Raw!C426</f>
        <v>Derby Care &amp; Education Centre</v>
      </c>
      <c r="D426" t="str">
        <f>Procurement_Raw!D426</f>
        <v>Midlands</v>
      </c>
      <c r="E426" t="str">
        <f>Procurement_Raw!E426</f>
        <v>CloudLink</v>
      </c>
      <c r="F426" t="str">
        <f>Procurement_Raw!F426</f>
        <v>IT &amp; Telecoms</v>
      </c>
      <c r="G426" t="str">
        <f>Procurement_Raw!G426</f>
        <v>INV-2025-00425</v>
      </c>
      <c r="H426" s="6">
        <f>Procurement_Raw!H426</f>
        <v>11</v>
      </c>
      <c r="I426" s="7">
        <f>Procurement_Raw!I426</f>
        <v>313.75</v>
      </c>
      <c r="J426" s="7">
        <f>Procurement_Raw!J426</f>
        <v>3451.21</v>
      </c>
      <c r="K426" s="6">
        <f>Procurement_Raw!K426</f>
        <v>45</v>
      </c>
      <c r="L426" t="str">
        <f>Procurement_Raw!L426</f>
        <v>ERP</v>
      </c>
      <c r="M426" s="8">
        <f>Procurement_Raw!M426</f>
        <v>690.24199999999996</v>
      </c>
      <c r="N426" s="7">
        <f>Procurement_Raw!N426</f>
        <v>3451.21</v>
      </c>
      <c r="O426" s="7">
        <f t="shared" si="12"/>
        <v>3451.21</v>
      </c>
      <c r="P426" t="str">
        <f>IFERROR(INDEX(Supplier_Lookup!$B$2:$B$200,MATCH(E426,Supplier_Lookup!$A$2:$A$200,0)),"Unmapped")</f>
        <v>medical supplies</v>
      </c>
      <c r="Q426" s="10">
        <f>IFERROR(INDEX(Category_Targets!$B$2:$B$9,MATCH(F426,Category_Targets!$A$2:$A$9,0)),0)</f>
        <v>0.08</v>
      </c>
      <c r="R426" s="7">
        <f t="shared" si="13"/>
        <v>276.09680000000003</v>
      </c>
    </row>
    <row r="427" spans="1:18" x14ac:dyDescent="0.25">
      <c r="A427" s="5">
        <f>Procurement_Raw!A427</f>
        <v>45857</v>
      </c>
      <c r="B427" t="str">
        <f>Procurement_Raw!B427</f>
        <v>S017</v>
      </c>
      <c r="C427" t="str">
        <f>Procurement_Raw!C427</f>
        <v>Swansea Care &amp; Education Centre</v>
      </c>
      <c r="D427" t="str">
        <f>Procurement_Raw!D427</f>
        <v>Wales</v>
      </c>
      <c r="E427" t="str">
        <f>Procurement_Raw!E427</f>
        <v>BuildCare</v>
      </c>
      <c r="F427" t="str">
        <f>Procurement_Raw!F427</f>
        <v>Facilities</v>
      </c>
      <c r="G427" t="str">
        <f>Procurement_Raw!G427</f>
        <v>INV-2025-00426</v>
      </c>
      <c r="H427" s="6">
        <f>Procurement_Raw!H427</f>
        <v>41</v>
      </c>
      <c r="I427" s="7">
        <f>Procurement_Raw!I427</f>
        <v>382.11</v>
      </c>
      <c r="J427" s="7">
        <f>Procurement_Raw!J427</f>
        <v>15666.44</v>
      </c>
      <c r="K427" s="6">
        <f>Procurement_Raw!K427</f>
        <v>45</v>
      </c>
      <c r="L427" t="str">
        <f>Procurement_Raw!L427</f>
        <v>ERP</v>
      </c>
      <c r="M427" s="8">
        <f>Procurement_Raw!M427</f>
        <v>3133.288</v>
      </c>
      <c r="N427" s="7">
        <f>Procurement_Raw!N427</f>
        <v>15666.44</v>
      </c>
      <c r="O427" s="7">
        <f t="shared" si="12"/>
        <v>15666.44</v>
      </c>
      <c r="P427" t="str">
        <f>IFERROR(INDEX(Supplier_Lookup!$B$2:$B$200,MATCH(E427,Supplier_Lookup!$A$2:$A$200,0)),"Unmapped")</f>
        <v>Facilities</v>
      </c>
      <c r="Q427" s="10">
        <f>IFERROR(INDEX(Category_Targets!$B$2:$B$9,MATCH(F427,Category_Targets!$A$2:$A$9,0)),0)</f>
        <v>0.05</v>
      </c>
      <c r="R427" s="7">
        <f t="shared" si="13"/>
        <v>783.32200000000012</v>
      </c>
    </row>
    <row r="428" spans="1:18" x14ac:dyDescent="0.25">
      <c r="A428" s="5">
        <f>Procurement_Raw!A428</f>
        <v>45885</v>
      </c>
      <c r="B428" t="str">
        <f>Procurement_Raw!B428</f>
        <v>S017</v>
      </c>
      <c r="C428" t="str">
        <f>Procurement_Raw!C428</f>
        <v>Swansea Care &amp; Education Centre</v>
      </c>
      <c r="D428" t="str">
        <f>Procurement_Raw!D428</f>
        <v>Wales</v>
      </c>
      <c r="E428" t="str">
        <f>Procurement_Raw!E428</f>
        <v>CareMed</v>
      </c>
      <c r="F428" t="str">
        <f>Procurement_Raw!F428</f>
        <v>Medical Supplies</v>
      </c>
      <c r="G428" t="str">
        <f>Procurement_Raw!G428</f>
        <v>INV-2025-00427</v>
      </c>
      <c r="H428" s="6">
        <f>Procurement_Raw!H428</f>
        <v>47</v>
      </c>
      <c r="I428" s="7">
        <f>Procurement_Raw!I428</f>
        <v>70.58</v>
      </c>
      <c r="J428" s="7">
        <f>Procurement_Raw!J428</f>
        <v>3317.38</v>
      </c>
      <c r="K428" s="6">
        <f>Procurement_Raw!K428</f>
        <v>45</v>
      </c>
      <c r="L428" t="str">
        <f>Procurement_Raw!L428</f>
        <v>ERP</v>
      </c>
      <c r="M428" s="8">
        <f>Procurement_Raw!M428</f>
        <v>663.476</v>
      </c>
      <c r="N428" s="7">
        <f>Procurement_Raw!N428</f>
        <v>3317.38</v>
      </c>
      <c r="O428" s="7">
        <f t="shared" si="12"/>
        <v>3317.38</v>
      </c>
      <c r="P428" t="str">
        <f>IFERROR(INDEX(Supplier_Lookup!$B$2:$B$200,MATCH(E428,Supplier_Lookup!$A$2:$A$200,0)),"Unmapped")</f>
        <v>Medical Supplies</v>
      </c>
      <c r="Q428" s="10">
        <f>IFERROR(INDEX(Category_Targets!$B$2:$B$9,MATCH(F428,Category_Targets!$A$2:$A$9,0)),0)</f>
        <v>0.06</v>
      </c>
      <c r="R428" s="7">
        <f t="shared" si="13"/>
        <v>199.0428</v>
      </c>
    </row>
    <row r="429" spans="1:18" x14ac:dyDescent="0.25">
      <c r="A429" s="5">
        <f>Procurement_Raw!A429</f>
        <v>45878</v>
      </c>
      <c r="B429" t="str">
        <f>Procurement_Raw!B429</f>
        <v>S004</v>
      </c>
      <c r="C429" t="str">
        <f>Procurement_Raw!C429</f>
        <v>Newcastle Care &amp; Education Centre</v>
      </c>
      <c r="D429" t="str">
        <f>Procurement_Raw!D429</f>
        <v>North</v>
      </c>
      <c r="E429" t="str">
        <f>Procurement_Raw!E429</f>
        <v>FreshServe</v>
      </c>
      <c r="F429" t="str">
        <f>Procurement_Raw!F429</f>
        <v>Food &amp; Catering</v>
      </c>
      <c r="G429" t="str">
        <f>Procurement_Raw!G429</f>
        <v>INV-2025-00428</v>
      </c>
      <c r="H429" s="6">
        <f>Procurement_Raw!H429</f>
        <v>58</v>
      </c>
      <c r="I429" s="7">
        <f>Procurement_Raw!I429</f>
        <v>94.79</v>
      </c>
      <c r="J429" s="7">
        <f>Procurement_Raw!J429</f>
        <v>5498.1</v>
      </c>
      <c r="K429" s="6">
        <f>Procurement_Raw!K429</f>
        <v>60</v>
      </c>
      <c r="L429" t="str">
        <f>Procurement_Raw!L429</f>
        <v>Legacy Spend File</v>
      </c>
      <c r="M429" s="8">
        <f>Procurement_Raw!M429</f>
        <v>1099.6199999999999</v>
      </c>
      <c r="N429" s="7">
        <f>Procurement_Raw!N429</f>
        <v>5498.1</v>
      </c>
      <c r="O429" s="7">
        <f t="shared" si="12"/>
        <v>5498.1</v>
      </c>
      <c r="P429" t="str">
        <f>IFERROR(INDEX(Supplier_Lookup!$B$2:$B$200,MATCH(E429,Supplier_Lookup!$A$2:$A$200,0)),"Unmapped")</f>
        <v>Food &amp; Catering</v>
      </c>
      <c r="Q429" s="10">
        <f>IFERROR(INDEX(Category_Targets!$B$2:$B$9,MATCH(F429,Category_Targets!$A$2:$A$9,0)),0)</f>
        <v>0.04</v>
      </c>
      <c r="R429" s="7">
        <f t="shared" si="13"/>
        <v>219.92400000000001</v>
      </c>
    </row>
    <row r="430" spans="1:18" x14ac:dyDescent="0.25">
      <c r="A430" s="5">
        <f>Procurement_Raw!A430</f>
        <v>45671</v>
      </c>
      <c r="B430" t="str">
        <f>Procurement_Raw!B430</f>
        <v>S015</v>
      </c>
      <c r="C430" t="str">
        <f>Procurement_Raw!C430</f>
        <v>Brighton Care &amp; Education Centre</v>
      </c>
      <c r="D430" t="str">
        <f>Procurement_Raw!D430</f>
        <v>South</v>
      </c>
      <c r="E430" t="str">
        <f>Procurement_Raw!E430</f>
        <v>HealthStaffing</v>
      </c>
      <c r="F430" t="str">
        <f>Procurement_Raw!F430</f>
        <v>Agency Labour</v>
      </c>
      <c r="G430" t="str">
        <f>Procurement_Raw!G430</f>
        <v>INV-2025-00429</v>
      </c>
      <c r="H430" s="6">
        <f>Procurement_Raw!H430</f>
        <v>12</v>
      </c>
      <c r="I430" s="7">
        <f>Procurement_Raw!I430</f>
        <v>536.96</v>
      </c>
      <c r="J430" s="7">
        <f>Procurement_Raw!J430</f>
        <v>6443.47</v>
      </c>
      <c r="K430" s="6">
        <f>Procurement_Raw!K430</f>
        <v>45</v>
      </c>
      <c r="L430" t="str">
        <f>Procurement_Raw!L430</f>
        <v>Legacy Spend File</v>
      </c>
      <c r="M430" s="8">
        <f>Procurement_Raw!M430</f>
        <v>1288.694</v>
      </c>
      <c r="N430" s="7">
        <f>Procurement_Raw!N430</f>
        <v>6443.47</v>
      </c>
      <c r="O430" s="7">
        <f t="shared" si="12"/>
        <v>6443.47</v>
      </c>
      <c r="P430" t="str">
        <f>IFERROR(INDEX(Supplier_Lookup!$B$2:$B$200,MATCH(E430,Supplier_Lookup!$A$2:$A$200,0)),"Unmapped")</f>
        <v>Agency Labour</v>
      </c>
      <c r="Q430" s="10">
        <f>IFERROR(INDEX(Category_Targets!$B$2:$B$9,MATCH(F430,Category_Targets!$A$2:$A$9,0)),0)</f>
        <v>7.0000000000000007E-2</v>
      </c>
      <c r="R430" s="7">
        <f t="shared" si="13"/>
        <v>451.04290000000009</v>
      </c>
    </row>
    <row r="431" spans="1:18" x14ac:dyDescent="0.25">
      <c r="A431" s="5">
        <f>Procurement_Raw!A431</f>
        <v>45664</v>
      </c>
      <c r="B431" t="str">
        <f>Procurement_Raw!B431</f>
        <v>S003</v>
      </c>
      <c r="C431" t="str">
        <f>Procurement_Raw!C431</f>
        <v>Leeds Care &amp; Education Centre</v>
      </c>
      <c r="D431" t="str">
        <f>Procurement_Raw!D431</f>
        <v>North</v>
      </c>
      <c r="E431" t="str">
        <f>Procurement_Raw!E431</f>
        <v>RoadReady</v>
      </c>
      <c r="F431" t="str">
        <f>Procurement_Raw!F431</f>
        <v>Vehicle &amp; Fuel</v>
      </c>
      <c r="G431" t="str">
        <f>Procurement_Raw!G431</f>
        <v>INV-2025-00430</v>
      </c>
      <c r="H431" s="6">
        <f>Procurement_Raw!H431</f>
        <v>38</v>
      </c>
      <c r="I431" s="7">
        <f>Procurement_Raw!I431</f>
        <v>36.11</v>
      </c>
      <c r="J431" s="7">
        <f>Procurement_Raw!J431</f>
        <v>1372.18</v>
      </c>
      <c r="K431" s="6">
        <f>Procurement_Raw!K431</f>
        <v>45</v>
      </c>
      <c r="L431" t="str">
        <f>Procurement_Raw!L431</f>
        <v>Procurement Portal</v>
      </c>
      <c r="M431" s="8">
        <f>Procurement_Raw!M431</f>
        <v>274.43599999999998</v>
      </c>
      <c r="N431" s="7">
        <f>Procurement_Raw!N431</f>
        <v>1372.18</v>
      </c>
      <c r="O431" s="7">
        <f t="shared" si="12"/>
        <v>1372.18</v>
      </c>
      <c r="P431" t="str">
        <f>IFERROR(INDEX(Supplier_Lookup!$B$2:$B$200,MATCH(E431,Supplier_Lookup!$A$2:$A$200,0)),"Unmapped")</f>
        <v>Vehicle &amp; Fuel</v>
      </c>
      <c r="Q431" s="10">
        <f>IFERROR(INDEX(Category_Targets!$B$2:$B$9,MATCH(F431,Category_Targets!$A$2:$A$9,0)),0)</f>
        <v>0.05</v>
      </c>
      <c r="R431" s="7">
        <f t="shared" si="13"/>
        <v>68.609000000000009</v>
      </c>
    </row>
    <row r="432" spans="1:18" x14ac:dyDescent="0.25">
      <c r="A432" s="5">
        <f>Procurement_Raw!A432</f>
        <v>45924</v>
      </c>
      <c r="B432" t="str">
        <f>Procurement_Raw!B432</f>
        <v>S016</v>
      </c>
      <c r="C432" t="str">
        <f>Procurement_Raw!C432</f>
        <v>Cardiff Care &amp; Education Centre</v>
      </c>
      <c r="D432" t="str">
        <f>Procurement_Raw!D432</f>
        <v>Wales</v>
      </c>
      <c r="E432" t="str">
        <f>Procurement_Raw!E432</f>
        <v>PowerDirect</v>
      </c>
      <c r="F432" t="str">
        <f>Procurement_Raw!F432</f>
        <v>Utilities</v>
      </c>
      <c r="G432" t="str">
        <f>Procurement_Raw!G432</f>
        <v>INV-2025-00431</v>
      </c>
      <c r="H432" s="6">
        <f>Procurement_Raw!H432</f>
        <v>22</v>
      </c>
      <c r="I432" s="7">
        <f>Procurement_Raw!I432</f>
        <v>130.41</v>
      </c>
      <c r="J432" s="7">
        <f>Procurement_Raw!J432</f>
        <v>2868.98</v>
      </c>
      <c r="K432" s="6">
        <f>Procurement_Raw!K432</f>
        <v>60</v>
      </c>
      <c r="L432" t="str">
        <f>Procurement_Raw!L432</f>
        <v>Procurement Portal</v>
      </c>
      <c r="M432" s="8">
        <f>Procurement_Raw!M432</f>
        <v>573.79600000000005</v>
      </c>
      <c r="N432" s="7">
        <f>Procurement_Raw!N432</f>
        <v>2868.98</v>
      </c>
      <c r="O432" s="7">
        <f t="shared" si="12"/>
        <v>2868.98</v>
      </c>
      <c r="P432" t="str">
        <f>IFERROR(INDEX(Supplier_Lookup!$B$2:$B$200,MATCH(E432,Supplier_Lookup!$A$2:$A$200,0)),"Unmapped")</f>
        <v>Utilities</v>
      </c>
      <c r="Q432" s="10">
        <f>IFERROR(INDEX(Category_Targets!$B$2:$B$9,MATCH(F432,Category_Targets!$A$2:$A$9,0)),0)</f>
        <v>0.03</v>
      </c>
      <c r="R432" s="7">
        <f t="shared" si="13"/>
        <v>86.069400000000002</v>
      </c>
    </row>
    <row r="433" spans="1:18" x14ac:dyDescent="0.25">
      <c r="A433" s="5">
        <f>Procurement_Raw!A433</f>
        <v>45812</v>
      </c>
      <c r="B433" t="str">
        <f>Procurement_Raw!B433</f>
        <v>S006</v>
      </c>
      <c r="C433" t="str">
        <f>Procurement_Raw!C433</f>
        <v>Birmingham Care &amp; Education Centre</v>
      </c>
      <c r="D433" t="str">
        <f>Procurement_Raw!D433</f>
        <v>Midlands</v>
      </c>
      <c r="E433" t="str">
        <f>Procurement_Raw!E433</f>
        <v>SafeGuard FM</v>
      </c>
      <c r="F433" t="str">
        <f>Procurement_Raw!F433</f>
        <v>Facilities</v>
      </c>
      <c r="G433" t="str">
        <f>Procurement_Raw!G433</f>
        <v>INV-2025-00432</v>
      </c>
      <c r="H433" s="6">
        <f>Procurement_Raw!H433</f>
        <v>35</v>
      </c>
      <c r="I433" s="7">
        <f>Procurement_Raw!I433</f>
        <v>58.64</v>
      </c>
      <c r="J433" s="7">
        <f>Procurement_Raw!J433</f>
        <v>2052.3200000000002</v>
      </c>
      <c r="K433" s="6">
        <f>Procurement_Raw!K433</f>
        <v>45</v>
      </c>
      <c r="L433" t="str">
        <f>Procurement_Raw!L433</f>
        <v>ERP</v>
      </c>
      <c r="M433" s="8">
        <f>Procurement_Raw!M433</f>
        <v>410.464</v>
      </c>
      <c r="N433" s="7">
        <f>Procurement_Raw!N433</f>
        <v>2052.3200000000002</v>
      </c>
      <c r="O433" s="7">
        <f t="shared" si="12"/>
        <v>2052.3200000000002</v>
      </c>
      <c r="P433" t="str">
        <f>IFERROR(INDEX(Supplier_Lookup!$B$2:$B$200,MATCH(E433,Supplier_Lookup!$A$2:$A$200,0)),"Unmapped")</f>
        <v>Facilities</v>
      </c>
      <c r="Q433" s="10">
        <f>IFERROR(INDEX(Category_Targets!$B$2:$B$9,MATCH(F433,Category_Targets!$A$2:$A$9,0)),0)</f>
        <v>0.05</v>
      </c>
      <c r="R433" s="7">
        <f t="shared" si="13"/>
        <v>102.61600000000001</v>
      </c>
    </row>
    <row r="434" spans="1:18" x14ac:dyDescent="0.25">
      <c r="A434" s="5">
        <f>Procurement_Raw!A434</f>
        <v>45799</v>
      </c>
      <c r="B434" t="str">
        <f>Procurement_Raw!B434</f>
        <v>S014</v>
      </c>
      <c r="C434" t="str">
        <f>Procurement_Raw!C434</f>
        <v>Southampton Care &amp; Education Centre</v>
      </c>
      <c r="D434" t="str">
        <f>Procurement_Raw!D434</f>
        <v>South</v>
      </c>
      <c r="E434" t="str">
        <f>Procurement_Raw!E434</f>
        <v>SafeGuard FM</v>
      </c>
      <c r="F434" t="str">
        <f>Procurement_Raw!F434</f>
        <v>Facilities</v>
      </c>
      <c r="G434" t="str">
        <f>Procurement_Raw!G434</f>
        <v>INV-2025-00433</v>
      </c>
      <c r="H434" s="6">
        <f>Procurement_Raw!H434</f>
        <v>54</v>
      </c>
      <c r="I434" s="7">
        <f>Procurement_Raw!I434</f>
        <v>155.21</v>
      </c>
      <c r="J434" s="7">
        <f>Procurement_Raw!J434</f>
        <v>8381.3700000000008</v>
      </c>
      <c r="K434" s="6">
        <f>Procurement_Raw!K434</f>
        <v>45</v>
      </c>
      <c r="L434" t="str">
        <f>Procurement_Raw!L434</f>
        <v>Procurement Portal</v>
      </c>
      <c r="M434" s="8">
        <f>Procurement_Raw!M434</f>
        <v>1676.2739999999999</v>
      </c>
      <c r="N434" s="7">
        <f>Procurement_Raw!N434</f>
        <v>8381.3700000000008</v>
      </c>
      <c r="O434" s="7">
        <f t="shared" si="12"/>
        <v>8381.3700000000008</v>
      </c>
      <c r="P434" t="str">
        <f>IFERROR(INDEX(Supplier_Lookup!$B$2:$B$200,MATCH(E434,Supplier_Lookup!$A$2:$A$200,0)),"Unmapped")</f>
        <v>Facilities</v>
      </c>
      <c r="Q434" s="10">
        <f>IFERROR(INDEX(Category_Targets!$B$2:$B$9,MATCH(F434,Category_Targets!$A$2:$A$9,0)),0)</f>
        <v>0.05</v>
      </c>
      <c r="R434" s="7">
        <f t="shared" si="13"/>
        <v>419.06850000000009</v>
      </c>
    </row>
    <row r="435" spans="1:18" x14ac:dyDescent="0.25">
      <c r="A435" s="5">
        <f>Procurement_Raw!A435</f>
        <v>45784</v>
      </c>
      <c r="B435" t="str">
        <f>Procurement_Raw!B435</f>
        <v>S009</v>
      </c>
      <c r="C435" t="str">
        <f>Procurement_Raw!C435</f>
        <v>Derby Care &amp; Education Centre</v>
      </c>
      <c r="D435" t="str">
        <f>Procurement_Raw!D435</f>
        <v>Midlands</v>
      </c>
      <c r="E435" t="str">
        <f>Procurement_Raw!E435</f>
        <v>RoadReady</v>
      </c>
      <c r="F435" t="str">
        <f>Procurement_Raw!F435</f>
        <v>Vehicle &amp; Fuel</v>
      </c>
      <c r="G435" t="str">
        <f>Procurement_Raw!G435</f>
        <v>INV-2025-00434</v>
      </c>
      <c r="H435" s="6">
        <f>Procurement_Raw!H435</f>
        <v>64</v>
      </c>
      <c r="I435" s="7">
        <f>Procurement_Raw!I435</f>
        <v>140.97</v>
      </c>
      <c r="J435" s="7">
        <f>Procurement_Raw!J435</f>
        <v>9021.8799999999992</v>
      </c>
      <c r="K435" s="6">
        <f>Procurement_Raw!K435</f>
        <v>60</v>
      </c>
      <c r="L435" t="str">
        <f>Procurement_Raw!L435</f>
        <v>Legacy Spend File</v>
      </c>
      <c r="M435" s="8">
        <f>Procurement_Raw!M435</f>
        <v>1804.376</v>
      </c>
      <c r="N435" s="7">
        <f>Procurement_Raw!N435</f>
        <v>9021.8799999999992</v>
      </c>
      <c r="O435" s="7">
        <f t="shared" si="12"/>
        <v>9021.8799999999992</v>
      </c>
      <c r="P435" t="str">
        <f>IFERROR(INDEX(Supplier_Lookup!$B$2:$B$200,MATCH(E435,Supplier_Lookup!$A$2:$A$200,0)),"Unmapped")</f>
        <v>Vehicle &amp; Fuel</v>
      </c>
      <c r="Q435" s="10">
        <f>IFERROR(INDEX(Category_Targets!$B$2:$B$9,MATCH(F435,Category_Targets!$A$2:$A$9,0)),0)</f>
        <v>0.05</v>
      </c>
      <c r="R435" s="7">
        <f t="shared" si="13"/>
        <v>451.09399999999999</v>
      </c>
    </row>
    <row r="436" spans="1:18" x14ac:dyDescent="0.25">
      <c r="A436" s="5">
        <f>Procurement_Raw!A436</f>
        <v>45727</v>
      </c>
      <c r="B436" t="str">
        <f>Procurement_Raw!B436</f>
        <v>S014</v>
      </c>
      <c r="C436" t="str">
        <f>Procurement_Raw!C436</f>
        <v>Southampton Care &amp; Education Centre</v>
      </c>
      <c r="D436" t="str">
        <f>Procurement_Raw!D436</f>
        <v>South</v>
      </c>
      <c r="E436" t="str">
        <f>Procurement_Raw!E436</f>
        <v>OfficePlus</v>
      </c>
      <c r="F436" t="str">
        <f>Procurement_Raw!F436</f>
        <v>Office &amp; Training</v>
      </c>
      <c r="G436" t="str">
        <f>Procurement_Raw!G436</f>
        <v>INV-2025-00435</v>
      </c>
      <c r="H436" s="6">
        <f>Procurement_Raw!H436</f>
        <v>39</v>
      </c>
      <c r="I436" s="7">
        <f>Procurement_Raw!I436</f>
        <v>171.36</v>
      </c>
      <c r="J436" s="7">
        <f>Procurement_Raw!J436</f>
        <v>6683.16</v>
      </c>
      <c r="K436" s="6">
        <f>Procurement_Raw!K436</f>
        <v>30</v>
      </c>
      <c r="L436" t="str">
        <f>Procurement_Raw!L436</f>
        <v>Procurement Portal</v>
      </c>
      <c r="M436" s="8">
        <f>Procurement_Raw!M436</f>
        <v>1336.6320000000001</v>
      </c>
      <c r="N436" s="7">
        <f>Procurement_Raw!N436</f>
        <v>6683.16</v>
      </c>
      <c r="O436" s="7">
        <f t="shared" si="12"/>
        <v>6683.16</v>
      </c>
      <c r="P436" t="str">
        <f>IFERROR(INDEX(Supplier_Lookup!$B$2:$B$200,MATCH(E436,Supplier_Lookup!$A$2:$A$200,0)),"Unmapped")</f>
        <v>Office &amp; Training</v>
      </c>
      <c r="Q436" s="10">
        <f>IFERROR(INDEX(Category_Targets!$B$2:$B$9,MATCH(F436,Category_Targets!$A$2:$A$9,0)),0)</f>
        <v>0.04</v>
      </c>
      <c r="R436" s="7">
        <f t="shared" si="13"/>
        <v>267.32639999999998</v>
      </c>
    </row>
    <row r="437" spans="1:18" x14ac:dyDescent="0.25">
      <c r="A437" s="5">
        <f>Procurement_Raw!A437</f>
        <v>45883</v>
      </c>
      <c r="B437" t="str">
        <f>Procurement_Raw!B437</f>
        <v>S005</v>
      </c>
      <c r="C437" t="str">
        <f>Procurement_Raw!C437</f>
        <v>Sheffield Care &amp; Education Centre</v>
      </c>
      <c r="D437" t="str">
        <f>Procurement_Raw!D437</f>
        <v>North</v>
      </c>
      <c r="E437" t="str">
        <f>Procurement_Raw!E437</f>
        <v>CareTemps</v>
      </c>
      <c r="F437" t="str">
        <f>Procurement_Raw!F437</f>
        <v>Agency Labour</v>
      </c>
      <c r="G437" t="str">
        <f>Procurement_Raw!G437</f>
        <v>INV-2025-00436</v>
      </c>
      <c r="H437" s="6">
        <f>Procurement_Raw!H437</f>
        <v>43</v>
      </c>
      <c r="I437" s="7">
        <f>Procurement_Raw!I437</f>
        <v>312.48</v>
      </c>
      <c r="J437" s="7">
        <f>Procurement_Raw!J437</f>
        <v>13436.56</v>
      </c>
      <c r="K437" s="6">
        <f>Procurement_Raw!K437</f>
        <v>45</v>
      </c>
      <c r="L437" t="str">
        <f>Procurement_Raw!L437</f>
        <v>Legacy Spend File</v>
      </c>
      <c r="M437" s="8">
        <f>Procurement_Raw!M437</f>
        <v>2687.3119999999999</v>
      </c>
      <c r="N437" s="7">
        <f>Procurement_Raw!N437</f>
        <v>13436.56</v>
      </c>
      <c r="O437" s="7">
        <f t="shared" si="12"/>
        <v>13436.56</v>
      </c>
      <c r="P437" t="str">
        <f>IFERROR(INDEX(Supplier_Lookup!$B$2:$B$200,MATCH(E437,Supplier_Lookup!$A$2:$A$200,0)),"Unmapped")</f>
        <v>Agency Labour</v>
      </c>
      <c r="Q437" s="10">
        <f>IFERROR(INDEX(Category_Targets!$B$2:$B$9,MATCH(F437,Category_Targets!$A$2:$A$9,0)),0)</f>
        <v>7.0000000000000007E-2</v>
      </c>
      <c r="R437" s="7">
        <f t="shared" si="13"/>
        <v>940.55920000000003</v>
      </c>
    </row>
    <row r="438" spans="1:18" x14ac:dyDescent="0.25">
      <c r="A438" s="5">
        <f>Procurement_Raw!A438</f>
        <v>45822</v>
      </c>
      <c r="B438" t="str">
        <f>Procurement_Raw!B438</f>
        <v>S011</v>
      </c>
      <c r="C438" t="str">
        <f>Procurement_Raw!C438</f>
        <v>London Care &amp; Education Centre</v>
      </c>
      <c r="D438" t="str">
        <f>Procurement_Raw!D438</f>
        <v>South</v>
      </c>
      <c r="E438" t="str">
        <f>Procurement_Raw!E438</f>
        <v>SafeGuard FM</v>
      </c>
      <c r="F438" t="str">
        <f>Procurement_Raw!F438</f>
        <v>Facilities</v>
      </c>
      <c r="G438" t="str">
        <f>Procurement_Raw!G438</f>
        <v>INV-2025-00437</v>
      </c>
      <c r="H438" s="6">
        <f>Procurement_Raw!H438</f>
        <v>78</v>
      </c>
      <c r="I438" s="7">
        <f>Procurement_Raw!I438</f>
        <v>440.85</v>
      </c>
      <c r="J438" s="7">
        <f>Procurement_Raw!J438</f>
        <v>34385.980000000003</v>
      </c>
      <c r="K438" s="6">
        <f>Procurement_Raw!K438</f>
        <v>60</v>
      </c>
      <c r="L438" t="str">
        <f>Procurement_Raw!L438</f>
        <v>ERP</v>
      </c>
      <c r="M438" s="8">
        <f>Procurement_Raw!M438</f>
        <v>6877.1959999999999</v>
      </c>
      <c r="N438" s="7">
        <f>Procurement_Raw!N438</f>
        <v>34385.980000000003</v>
      </c>
      <c r="O438" s="7">
        <f t="shared" si="12"/>
        <v>34385.980000000003</v>
      </c>
      <c r="P438" t="str">
        <f>IFERROR(INDEX(Supplier_Lookup!$B$2:$B$200,MATCH(E438,Supplier_Lookup!$A$2:$A$200,0)),"Unmapped")</f>
        <v>Facilities</v>
      </c>
      <c r="Q438" s="10">
        <f>IFERROR(INDEX(Category_Targets!$B$2:$B$9,MATCH(F438,Category_Targets!$A$2:$A$9,0)),0)</f>
        <v>0.05</v>
      </c>
      <c r="R438" s="7">
        <f t="shared" si="13"/>
        <v>1719.2990000000002</v>
      </c>
    </row>
    <row r="439" spans="1:18" x14ac:dyDescent="0.25">
      <c r="A439" s="5">
        <f>Procurement_Raw!A439</f>
        <v>45861</v>
      </c>
      <c r="B439" t="str">
        <f>Procurement_Raw!B439</f>
        <v>S008</v>
      </c>
      <c r="C439" t="str">
        <f>Procurement_Raw!C439</f>
        <v>Leicester Care &amp; Education Centre</v>
      </c>
      <c r="D439" t="str">
        <f>Procurement_Raw!D439</f>
        <v>Midlands</v>
      </c>
      <c r="E439" t="str">
        <f>Procurement_Raw!E439</f>
        <v>FleetFuel</v>
      </c>
      <c r="F439" t="str">
        <f>Procurement_Raw!F439</f>
        <v>Vehicle &amp; Fuel</v>
      </c>
      <c r="G439" t="str">
        <f>Procurement_Raw!G439</f>
        <v>INV-2025-00438</v>
      </c>
      <c r="H439" s="6">
        <f>Procurement_Raw!H439</f>
        <v>41</v>
      </c>
      <c r="I439" s="7">
        <f>Procurement_Raw!I439</f>
        <v>44.47</v>
      </c>
      <c r="J439" s="7">
        <f>Procurement_Raw!J439</f>
        <v>1823.28</v>
      </c>
      <c r="K439" s="6">
        <f>Procurement_Raw!K439</f>
        <v>45</v>
      </c>
      <c r="L439" t="str">
        <f>Procurement_Raw!L439</f>
        <v>Legacy Spend File</v>
      </c>
      <c r="M439" s="8">
        <f>Procurement_Raw!M439</f>
        <v>364.65600000000001</v>
      </c>
      <c r="N439" s="7">
        <f>Procurement_Raw!N439</f>
        <v>1823.28</v>
      </c>
      <c r="O439" s="7">
        <f t="shared" si="12"/>
        <v>1823.28</v>
      </c>
      <c r="P439" t="str">
        <f>IFERROR(INDEX(Supplier_Lookup!$B$2:$B$200,MATCH(E439,Supplier_Lookup!$A$2:$A$200,0)),"Unmapped")</f>
        <v>Vehicle &amp; Fuel</v>
      </c>
      <c r="Q439" s="10">
        <f>IFERROR(INDEX(Category_Targets!$B$2:$B$9,MATCH(F439,Category_Targets!$A$2:$A$9,0)),0)</f>
        <v>0.05</v>
      </c>
      <c r="R439" s="7">
        <f t="shared" si="13"/>
        <v>91.164000000000001</v>
      </c>
    </row>
    <row r="440" spans="1:18" x14ac:dyDescent="0.25">
      <c r="A440" s="5">
        <f>Procurement_Raw!A440</f>
        <v>45782</v>
      </c>
      <c r="B440" t="str">
        <f>Procurement_Raw!B440</f>
        <v>S011</v>
      </c>
      <c r="C440" t="str">
        <f>Procurement_Raw!C440</f>
        <v>London Care &amp; Education Centre</v>
      </c>
      <c r="D440" t="str">
        <f>Procurement_Raw!D440</f>
        <v>South</v>
      </c>
      <c r="E440" t="str">
        <f>Procurement_Raw!E440</f>
        <v>PrintCo</v>
      </c>
      <c r="F440" t="str">
        <f>Procurement_Raw!F440</f>
        <v>Office &amp; Training</v>
      </c>
      <c r="G440" t="str">
        <f>Procurement_Raw!G440</f>
        <v>INV-2025-00439</v>
      </c>
      <c r="H440" s="6">
        <f>Procurement_Raw!H440</f>
        <v>42</v>
      </c>
      <c r="I440" s="7">
        <f>Procurement_Raw!I440</f>
        <v>29.39</v>
      </c>
      <c r="J440" s="7">
        <f>Procurement_Raw!J440</f>
        <v>1234.3499999999999</v>
      </c>
      <c r="K440" s="6">
        <f>Procurement_Raw!K440</f>
        <v>45</v>
      </c>
      <c r="L440" t="str">
        <f>Procurement_Raw!L440</f>
        <v>Procurement Portal</v>
      </c>
      <c r="M440" s="8">
        <f>Procurement_Raw!M440</f>
        <v>246.87</v>
      </c>
      <c r="N440" s="7">
        <f>Procurement_Raw!N440</f>
        <v>1234.3499999999999</v>
      </c>
      <c r="O440" s="7">
        <f t="shared" si="12"/>
        <v>1234.3499999999999</v>
      </c>
      <c r="P440" t="str">
        <f>IFERROR(INDEX(Supplier_Lookup!$B$2:$B$200,MATCH(E440,Supplier_Lookup!$A$2:$A$200,0)),"Unmapped")</f>
        <v>Office &amp; Training</v>
      </c>
      <c r="Q440" s="10">
        <f>IFERROR(INDEX(Category_Targets!$B$2:$B$9,MATCH(F440,Category_Targets!$A$2:$A$9,0)),0)</f>
        <v>0.04</v>
      </c>
      <c r="R440" s="7">
        <f t="shared" si="13"/>
        <v>49.373999999999995</v>
      </c>
    </row>
    <row r="441" spans="1:18" x14ac:dyDescent="0.25">
      <c r="A441" s="5">
        <f>Procurement_Raw!A441</f>
        <v>45946</v>
      </c>
      <c r="B441" t="str">
        <f>Procurement_Raw!B441</f>
        <v>S017</v>
      </c>
      <c r="C441" t="str">
        <f>Procurement_Raw!C441</f>
        <v>Swansea Care &amp; Education Centre</v>
      </c>
      <c r="D441" t="str">
        <f>Procurement_Raw!D441</f>
        <v>Wales</v>
      </c>
      <c r="E441" t="str">
        <f>Procurement_Raw!E441</f>
        <v>FleetFuel</v>
      </c>
      <c r="F441" t="str">
        <f>Procurement_Raw!F441</f>
        <v>Vehicle &amp; Fuel</v>
      </c>
      <c r="G441" t="str">
        <f>Procurement_Raw!G441</f>
        <v>INV-2025-00440</v>
      </c>
      <c r="H441" s="6">
        <f>Procurement_Raw!H441</f>
        <v>26</v>
      </c>
      <c r="I441" s="7">
        <f>Procurement_Raw!I441</f>
        <v>92.14</v>
      </c>
      <c r="J441" s="7">
        <f>Procurement_Raw!J441</f>
        <v>2395.6799999999998</v>
      </c>
      <c r="K441" s="6">
        <f>Procurement_Raw!K441</f>
        <v>60</v>
      </c>
      <c r="L441" t="str">
        <f>Procurement_Raw!L441</f>
        <v>Legacy Spend File</v>
      </c>
      <c r="M441" s="8">
        <f>Procurement_Raw!M441</f>
        <v>479.13600000000002</v>
      </c>
      <c r="N441" s="7">
        <f>Procurement_Raw!N441</f>
        <v>2395.6799999999998</v>
      </c>
      <c r="O441" s="7">
        <f t="shared" si="12"/>
        <v>2395.6799999999998</v>
      </c>
      <c r="P441" t="str">
        <f>IFERROR(INDEX(Supplier_Lookup!$B$2:$B$200,MATCH(E441,Supplier_Lookup!$A$2:$A$200,0)),"Unmapped")</f>
        <v>Vehicle &amp; Fuel</v>
      </c>
      <c r="Q441" s="10">
        <f>IFERROR(INDEX(Category_Targets!$B$2:$B$9,MATCH(F441,Category_Targets!$A$2:$A$9,0)),0)</f>
        <v>0.05</v>
      </c>
      <c r="R441" s="7">
        <f t="shared" si="13"/>
        <v>119.78399999999999</v>
      </c>
    </row>
    <row r="442" spans="1:18" x14ac:dyDescent="0.25">
      <c r="A442" s="5">
        <f>Procurement_Raw!A442</f>
        <v>45894</v>
      </c>
      <c r="B442" t="str">
        <f>Procurement_Raw!B442</f>
        <v>S009</v>
      </c>
      <c r="C442" t="str">
        <f>Procurement_Raw!C442</f>
        <v>Derby Care &amp; Education Centre</v>
      </c>
      <c r="D442" t="str">
        <f>Procurement_Raw!D442</f>
        <v>Midlands</v>
      </c>
      <c r="E442" t="str">
        <f>Procurement_Raw!E442</f>
        <v>ClinEquip</v>
      </c>
      <c r="F442" t="str">
        <f>Procurement_Raw!F442</f>
        <v>Medical Supplies</v>
      </c>
      <c r="G442" t="str">
        <f>Procurement_Raw!G442</f>
        <v>INV-2025-00441</v>
      </c>
      <c r="H442" s="6">
        <f>Procurement_Raw!H442</f>
        <v>27</v>
      </c>
      <c r="I442" s="7">
        <f>Procurement_Raw!I442</f>
        <v>148.22</v>
      </c>
      <c r="J442" s="7">
        <f>Procurement_Raw!J442</f>
        <v>4002.06</v>
      </c>
      <c r="K442" s="6">
        <f>Procurement_Raw!K442</f>
        <v>45</v>
      </c>
      <c r="L442" t="str">
        <f>Procurement_Raw!L442</f>
        <v>Procurement Portal</v>
      </c>
      <c r="M442" s="8">
        <f>Procurement_Raw!M442</f>
        <v>800.41200000000003</v>
      </c>
      <c r="N442" s="7">
        <f>Procurement_Raw!N442</f>
        <v>4002.06</v>
      </c>
      <c r="O442" s="7">
        <f t="shared" si="12"/>
        <v>4002.06</v>
      </c>
      <c r="P442" t="str">
        <f>IFERROR(INDEX(Supplier_Lookup!$B$2:$B$200,MATCH(E442,Supplier_Lookup!$A$2:$A$200,0)),"Unmapped")</f>
        <v>Medical Supplies</v>
      </c>
      <c r="Q442" s="10">
        <f>IFERROR(INDEX(Category_Targets!$B$2:$B$9,MATCH(F442,Category_Targets!$A$2:$A$9,0)),0)</f>
        <v>0.06</v>
      </c>
      <c r="R442" s="7">
        <f t="shared" si="13"/>
        <v>240.12359999999998</v>
      </c>
    </row>
    <row r="443" spans="1:18" x14ac:dyDescent="0.25">
      <c r="A443" s="5">
        <f>Procurement_Raw!A443</f>
        <v>46002</v>
      </c>
      <c r="B443" t="str">
        <f>Procurement_Raw!B443</f>
        <v>S004</v>
      </c>
      <c r="C443" t="str">
        <f>Procurement_Raw!C443</f>
        <v>Newcastle Care &amp; Education Centre</v>
      </c>
      <c r="D443" t="str">
        <f>Procurement_Raw!D443</f>
        <v>North</v>
      </c>
      <c r="E443" t="str">
        <f>Procurement_Raw!E443</f>
        <v>NourishCo</v>
      </c>
      <c r="F443" t="str">
        <f>Procurement_Raw!F443</f>
        <v>Food &amp; Catering</v>
      </c>
      <c r="G443" t="str">
        <f>Procurement_Raw!G443</f>
        <v>INV-2025-00442</v>
      </c>
      <c r="H443" s="6">
        <f>Procurement_Raw!H443</f>
        <v>64</v>
      </c>
      <c r="I443" s="7">
        <f>Procurement_Raw!I443</f>
        <v>63.84</v>
      </c>
      <c r="J443" s="7">
        <f>Procurement_Raw!J443</f>
        <v>4085.86</v>
      </c>
      <c r="K443" s="6">
        <f>Procurement_Raw!K443</f>
        <v>30</v>
      </c>
      <c r="L443" t="str">
        <f>Procurement_Raw!L443</f>
        <v>Legacy Spend File</v>
      </c>
      <c r="M443" s="8">
        <f>Procurement_Raw!M443</f>
        <v>817.17200000000003</v>
      </c>
      <c r="N443" s="7">
        <f>Procurement_Raw!N443</f>
        <v>4085.86</v>
      </c>
      <c r="O443" s="7">
        <f t="shared" si="12"/>
        <v>4085.86</v>
      </c>
      <c r="P443" t="str">
        <f>IFERROR(INDEX(Supplier_Lookup!$B$2:$B$200,MATCH(E443,Supplier_Lookup!$A$2:$A$200,0)),"Unmapped")</f>
        <v>Food &amp; Catering</v>
      </c>
      <c r="Q443" s="10">
        <f>IFERROR(INDEX(Category_Targets!$B$2:$B$9,MATCH(F443,Category_Targets!$A$2:$A$9,0)),0)</f>
        <v>0.04</v>
      </c>
      <c r="R443" s="7">
        <f t="shared" si="13"/>
        <v>163.43440000000001</v>
      </c>
    </row>
    <row r="444" spans="1:18" x14ac:dyDescent="0.25">
      <c r="A444" s="5">
        <f>Procurement_Raw!A444</f>
        <v>45995</v>
      </c>
      <c r="B444" t="str">
        <f>Procurement_Raw!B444</f>
        <v>S006</v>
      </c>
      <c r="C444" t="str">
        <f>Procurement_Raw!C444</f>
        <v>Birmingham Care &amp; Education Centre</v>
      </c>
      <c r="D444" t="str">
        <f>Procurement_Raw!D444</f>
        <v>Midlands</v>
      </c>
      <c r="E444" t="str">
        <f>Procurement_Raw!E444</f>
        <v>WaterGrid</v>
      </c>
      <c r="F444" t="str">
        <f>Procurement_Raw!F444</f>
        <v>Utilities</v>
      </c>
      <c r="G444" t="str">
        <f>Procurement_Raw!G444</f>
        <v>INV-2025-00443</v>
      </c>
      <c r="H444" s="6">
        <f>Procurement_Raw!H444</f>
        <v>20</v>
      </c>
      <c r="I444" s="7">
        <f>Procurement_Raw!I444</f>
        <v>80.19</v>
      </c>
      <c r="J444" s="7">
        <f>Procurement_Raw!J444</f>
        <v>1603.75</v>
      </c>
      <c r="K444" s="6">
        <f>Procurement_Raw!K444</f>
        <v>60</v>
      </c>
      <c r="L444" t="str">
        <f>Procurement_Raw!L444</f>
        <v>Procurement Portal</v>
      </c>
      <c r="M444" s="8">
        <f>Procurement_Raw!M444</f>
        <v>320.75</v>
      </c>
      <c r="N444" s="7">
        <f>Procurement_Raw!N444</f>
        <v>1603.75</v>
      </c>
      <c r="O444" s="7">
        <f t="shared" si="12"/>
        <v>1603.75</v>
      </c>
      <c r="P444" t="str">
        <f>IFERROR(INDEX(Supplier_Lookup!$B$2:$B$200,MATCH(E444,Supplier_Lookup!$A$2:$A$200,0)),"Unmapped")</f>
        <v>Utilities</v>
      </c>
      <c r="Q444" s="10">
        <f>IFERROR(INDEX(Category_Targets!$B$2:$B$9,MATCH(F444,Category_Targets!$A$2:$A$9,0)),0)</f>
        <v>0.03</v>
      </c>
      <c r="R444" s="7">
        <f t="shared" si="13"/>
        <v>48.112499999999997</v>
      </c>
    </row>
    <row r="445" spans="1:18" x14ac:dyDescent="0.25">
      <c r="A445" s="5">
        <f>Procurement_Raw!A445</f>
        <v>45964</v>
      </c>
      <c r="B445" t="str">
        <f>Procurement_Raw!B445</f>
        <v>S013</v>
      </c>
      <c r="C445" t="str">
        <f>Procurement_Raw!C445</f>
        <v>Reading Care &amp; Education Centre</v>
      </c>
      <c r="D445" t="str">
        <f>Procurement_Raw!D445</f>
        <v>South</v>
      </c>
      <c r="E445" t="str">
        <f>Procurement_Raw!E445</f>
        <v>NourishCo</v>
      </c>
      <c r="F445" t="str">
        <f>Procurement_Raw!F445</f>
        <v>Food &amp; Catering</v>
      </c>
      <c r="G445" t="str">
        <f>Procurement_Raw!G445</f>
        <v>INV-2025-00444</v>
      </c>
      <c r="H445" s="6">
        <f>Procurement_Raw!H445</f>
        <v>62</v>
      </c>
      <c r="I445" s="7">
        <f>Procurement_Raw!I445</f>
        <v>61.89</v>
      </c>
      <c r="J445" s="7">
        <f>Procurement_Raw!J445</f>
        <v>3837.23</v>
      </c>
      <c r="K445" s="6">
        <f>Procurement_Raw!K445</f>
        <v>60</v>
      </c>
      <c r="L445" t="str">
        <f>Procurement_Raw!L445</f>
        <v>Procurement Portal</v>
      </c>
      <c r="M445" s="8">
        <f>Procurement_Raw!M445</f>
        <v>767.44600000000003</v>
      </c>
      <c r="N445" s="7">
        <f>Procurement_Raw!N445</f>
        <v>3837.23</v>
      </c>
      <c r="O445" s="7">
        <f t="shared" si="12"/>
        <v>3837.23</v>
      </c>
      <c r="P445" t="str">
        <f>IFERROR(INDEX(Supplier_Lookup!$B$2:$B$200,MATCH(E445,Supplier_Lookup!$A$2:$A$200,0)),"Unmapped")</f>
        <v>Food &amp; Catering</v>
      </c>
      <c r="Q445" s="10">
        <f>IFERROR(INDEX(Category_Targets!$B$2:$B$9,MATCH(F445,Category_Targets!$A$2:$A$9,0)),0)</f>
        <v>0.04</v>
      </c>
      <c r="R445" s="7">
        <f t="shared" si="13"/>
        <v>153.48920000000001</v>
      </c>
    </row>
    <row r="446" spans="1:18" x14ac:dyDescent="0.25">
      <c r="A446" s="5">
        <f>Procurement_Raw!A446</f>
        <v>45676</v>
      </c>
      <c r="B446" t="str">
        <f>Procurement_Raw!B446</f>
        <v>S005</v>
      </c>
      <c r="C446" t="str">
        <f>Procurement_Raw!C446</f>
        <v>Sheffield Care &amp; Education Centre</v>
      </c>
      <c r="D446" t="str">
        <f>Procurement_Raw!D446</f>
        <v>North</v>
      </c>
      <c r="E446" t="str">
        <f>Procurement_Raw!E446</f>
        <v>NurseLink</v>
      </c>
      <c r="F446" t="str">
        <f>Procurement_Raw!F446</f>
        <v>Agency Labour</v>
      </c>
      <c r="G446" t="str">
        <f>Procurement_Raw!G446</f>
        <v>INV-2025-00445</v>
      </c>
      <c r="H446" s="6">
        <f>Procurement_Raw!H446</f>
        <v>47</v>
      </c>
      <c r="I446" s="7">
        <f>Procurement_Raw!I446</f>
        <v>146.4</v>
      </c>
      <c r="J446" s="7">
        <f>Procurement_Raw!J446</f>
        <v>6880.67</v>
      </c>
      <c r="K446" s="6">
        <f>Procurement_Raw!K446</f>
        <v>60</v>
      </c>
      <c r="L446" t="str">
        <f>Procurement_Raw!L446</f>
        <v>Legacy Spend File</v>
      </c>
      <c r="M446" s="8">
        <f>Procurement_Raw!M446</f>
        <v>1376.134</v>
      </c>
      <c r="N446" s="7">
        <f>Procurement_Raw!N446</f>
        <v>6880.67</v>
      </c>
      <c r="O446" s="7">
        <f t="shared" si="12"/>
        <v>6880.67</v>
      </c>
      <c r="P446" t="str">
        <f>IFERROR(INDEX(Supplier_Lookup!$B$2:$B$200,MATCH(E446,Supplier_Lookup!$A$2:$A$200,0)),"Unmapped")</f>
        <v>Agency Labour</v>
      </c>
      <c r="Q446" s="10">
        <f>IFERROR(INDEX(Category_Targets!$B$2:$B$9,MATCH(F446,Category_Targets!$A$2:$A$9,0)),0)</f>
        <v>7.0000000000000007E-2</v>
      </c>
      <c r="R446" s="7">
        <f t="shared" si="13"/>
        <v>481.64690000000007</v>
      </c>
    </row>
    <row r="447" spans="1:18" x14ac:dyDescent="0.25">
      <c r="A447" s="5">
        <f>Procurement_Raw!A447</f>
        <v>45785</v>
      </c>
      <c r="B447" t="str">
        <f>Procurement_Raw!B447</f>
        <v>S004</v>
      </c>
      <c r="C447" t="str">
        <f>Procurement_Raw!C447</f>
        <v>Newcastle Care &amp; Education Centre</v>
      </c>
      <c r="D447" t="str">
        <f>Procurement_Raw!D447</f>
        <v>North</v>
      </c>
      <c r="E447" t="str">
        <f>Procurement_Raw!E447</f>
        <v>FreshServe</v>
      </c>
      <c r="F447" t="str">
        <f>Procurement_Raw!F447</f>
        <v>Food &amp; Catering</v>
      </c>
      <c r="G447" t="str">
        <f>Procurement_Raw!G447</f>
        <v>INV-2025-00446</v>
      </c>
      <c r="H447" s="6">
        <f>Procurement_Raw!H447</f>
        <v>46</v>
      </c>
      <c r="I447" s="7">
        <f>Procurement_Raw!I447</f>
        <v>93.94</v>
      </c>
      <c r="J447" s="7">
        <f>Procurement_Raw!J447</f>
        <v>4321.46</v>
      </c>
      <c r="K447" s="6">
        <f>Procurement_Raw!K447</f>
        <v>30</v>
      </c>
      <c r="L447" t="str">
        <f>Procurement_Raw!L447</f>
        <v>Legacy Spend File</v>
      </c>
      <c r="M447" s="8">
        <f>Procurement_Raw!M447</f>
        <v>864.29200000000003</v>
      </c>
      <c r="N447" s="7">
        <f>Procurement_Raw!N447</f>
        <v>4321.46</v>
      </c>
      <c r="O447" s="7">
        <f t="shared" si="12"/>
        <v>4321.46</v>
      </c>
      <c r="P447" t="str">
        <f>IFERROR(INDEX(Supplier_Lookup!$B$2:$B$200,MATCH(E447,Supplier_Lookup!$A$2:$A$200,0)),"Unmapped")</f>
        <v>Food &amp; Catering</v>
      </c>
      <c r="Q447" s="10">
        <f>IFERROR(INDEX(Category_Targets!$B$2:$B$9,MATCH(F447,Category_Targets!$A$2:$A$9,0)),0)</f>
        <v>0.04</v>
      </c>
      <c r="R447" s="7">
        <f t="shared" si="13"/>
        <v>172.85840000000002</v>
      </c>
    </row>
    <row r="448" spans="1:18" x14ac:dyDescent="0.25">
      <c r="A448" s="5">
        <f>Procurement_Raw!A448</f>
        <v>45988</v>
      </c>
      <c r="B448" t="str">
        <f>Procurement_Raw!B448</f>
        <v>S016</v>
      </c>
      <c r="C448" t="str">
        <f>Procurement_Raw!C448</f>
        <v>Cardiff Care &amp; Education Centre</v>
      </c>
      <c r="D448" t="str">
        <f>Procurement_Raw!D448</f>
        <v>Wales</v>
      </c>
      <c r="E448" t="str">
        <f>Procurement_Raw!E448</f>
        <v>ClinEquip</v>
      </c>
      <c r="F448" t="str">
        <f>Procurement_Raw!F448</f>
        <v>Medical Supplies</v>
      </c>
      <c r="G448" t="str">
        <f>Procurement_Raw!G448</f>
        <v>INV-2025-00447</v>
      </c>
      <c r="H448" s="6">
        <f>Procurement_Raw!H448</f>
        <v>52</v>
      </c>
      <c r="I448" s="7">
        <f>Procurement_Raw!I448</f>
        <v>146.81</v>
      </c>
      <c r="J448" s="7">
        <f>Procurement_Raw!J448</f>
        <v>7633.98</v>
      </c>
      <c r="K448" s="6">
        <f>Procurement_Raw!K448</f>
        <v>45</v>
      </c>
      <c r="L448" t="str">
        <f>Procurement_Raw!L448</f>
        <v>Procurement Portal</v>
      </c>
      <c r="M448" s="8">
        <f>Procurement_Raw!M448</f>
        <v>1526.796</v>
      </c>
      <c r="N448" s="7">
        <f>Procurement_Raw!N448</f>
        <v>7633.98</v>
      </c>
      <c r="O448" s="7">
        <f t="shared" si="12"/>
        <v>7633.98</v>
      </c>
      <c r="P448" t="str">
        <f>IFERROR(INDEX(Supplier_Lookup!$B$2:$B$200,MATCH(E448,Supplier_Lookup!$A$2:$A$200,0)),"Unmapped")</f>
        <v>Medical Supplies</v>
      </c>
      <c r="Q448" s="10">
        <f>IFERROR(INDEX(Category_Targets!$B$2:$B$9,MATCH(F448,Category_Targets!$A$2:$A$9,0)),0)</f>
        <v>0.06</v>
      </c>
      <c r="R448" s="7">
        <f t="shared" si="13"/>
        <v>458.03879999999998</v>
      </c>
    </row>
    <row r="449" spans="1:18" x14ac:dyDescent="0.25">
      <c r="A449" s="5">
        <f>Procurement_Raw!A449</f>
        <v>45790</v>
      </c>
      <c r="B449" t="str">
        <f>Procurement_Raw!B449</f>
        <v>S010</v>
      </c>
      <c r="C449" t="str">
        <f>Procurement_Raw!C449</f>
        <v>Coventry Care &amp; Education Centre</v>
      </c>
      <c r="D449" t="str">
        <f>Procurement_Raw!D449</f>
        <v>Midlands</v>
      </c>
      <c r="E449" t="str">
        <f>Procurement_Raw!E449</f>
        <v>MediSure</v>
      </c>
      <c r="F449" t="str">
        <f>Procurement_Raw!F449</f>
        <v>Medical Supplies</v>
      </c>
      <c r="G449" t="str">
        <f>Procurement_Raw!G449</f>
        <v>INV-2025-00448</v>
      </c>
      <c r="H449" s="6">
        <f>Procurement_Raw!H449</f>
        <v>29</v>
      </c>
      <c r="I449" s="7">
        <f>Procurement_Raw!I449</f>
        <v>71.56</v>
      </c>
      <c r="J449" s="7">
        <f>Procurement_Raw!J449</f>
        <v>2075.2800000000002</v>
      </c>
      <c r="K449" s="6">
        <f>Procurement_Raw!K449</f>
        <v>60</v>
      </c>
      <c r="L449" t="str">
        <f>Procurement_Raw!L449</f>
        <v>Legacy Spend File</v>
      </c>
      <c r="M449" s="8">
        <f>Procurement_Raw!M449</f>
        <v>415.05599999999998</v>
      </c>
      <c r="N449" s="7">
        <f>Procurement_Raw!N449</f>
        <v>2075.2800000000002</v>
      </c>
      <c r="O449" s="7">
        <f t="shared" si="12"/>
        <v>2075.2800000000002</v>
      </c>
      <c r="P449" t="str">
        <f>IFERROR(INDEX(Supplier_Lookup!$B$2:$B$200,MATCH(E449,Supplier_Lookup!$A$2:$A$200,0)),"Unmapped")</f>
        <v>Medical Supplies</v>
      </c>
      <c r="Q449" s="10">
        <f>IFERROR(INDEX(Category_Targets!$B$2:$B$9,MATCH(F449,Category_Targets!$A$2:$A$9,0)),0)</f>
        <v>0.06</v>
      </c>
      <c r="R449" s="7">
        <f t="shared" si="13"/>
        <v>124.5168</v>
      </c>
    </row>
    <row r="450" spans="1:18" x14ac:dyDescent="0.25">
      <c r="A450" s="5">
        <f>Procurement_Raw!A450</f>
        <v>45849</v>
      </c>
      <c r="B450" t="str">
        <f>Procurement_Raw!B450</f>
        <v>S008</v>
      </c>
      <c r="C450" t="str">
        <f>Procurement_Raw!C450</f>
        <v>Leicester Care &amp; Education Centre</v>
      </c>
      <c r="D450" t="str">
        <f>Procurement_Raw!D450</f>
        <v>Midlands</v>
      </c>
      <c r="E450" t="str">
        <f>Procurement_Raw!E450</f>
        <v>WaterGrid</v>
      </c>
      <c r="F450" t="str">
        <f>Procurement_Raw!F450</f>
        <v>Utilities</v>
      </c>
      <c r="G450" t="str">
        <f>Procurement_Raw!G450</f>
        <v>INV-2025-00449</v>
      </c>
      <c r="H450" s="6">
        <f>Procurement_Raw!H450</f>
        <v>51</v>
      </c>
      <c r="I450" s="7">
        <f>Procurement_Raw!I450</f>
        <v>188.45</v>
      </c>
      <c r="J450" s="7">
        <f>Procurement_Raw!J450</f>
        <v>9610.9599999999991</v>
      </c>
      <c r="K450" s="6">
        <f>Procurement_Raw!K450</f>
        <v>45</v>
      </c>
      <c r="L450" t="str">
        <f>Procurement_Raw!L450</f>
        <v>Legacy Spend File</v>
      </c>
      <c r="M450" s="8">
        <f>Procurement_Raw!M450</f>
        <v>1922.192</v>
      </c>
      <c r="N450" s="7">
        <f>Procurement_Raw!N450</f>
        <v>9610.9599999999991</v>
      </c>
      <c r="O450" s="7">
        <f t="shared" ref="O450:O513" si="14">IFERROR(IF(J450="","",J450),0)</f>
        <v>9610.9599999999991</v>
      </c>
      <c r="P450" t="str">
        <f>IFERROR(INDEX(Supplier_Lookup!$B$2:$B$200,MATCH(E450,Supplier_Lookup!$A$2:$A$200,0)),"Unmapped")</f>
        <v>Utilities</v>
      </c>
      <c r="Q450" s="10">
        <f>IFERROR(INDEX(Category_Targets!$B$2:$B$9,MATCH(F450,Category_Targets!$A$2:$A$9,0)),0)</f>
        <v>0.03</v>
      </c>
      <c r="R450" s="7">
        <f t="shared" ref="R450:R513" si="15">O450*Q450</f>
        <v>288.32879999999994</v>
      </c>
    </row>
    <row r="451" spans="1:18" x14ac:dyDescent="0.25">
      <c r="A451" s="5">
        <f>Procurement_Raw!A451</f>
        <v>45670</v>
      </c>
      <c r="B451" t="str">
        <f>Procurement_Raw!B451</f>
        <v>S007</v>
      </c>
      <c r="C451" t="str">
        <f>Procurement_Raw!C451</f>
        <v>Nottingham Care &amp; Education Centre</v>
      </c>
      <c r="D451" t="str">
        <f>Procurement_Raw!D451</f>
        <v>Midlands</v>
      </c>
      <c r="E451" t="str">
        <f>Procurement_Raw!E451</f>
        <v>SafeGuard FM</v>
      </c>
      <c r="F451" t="str">
        <f>Procurement_Raw!F451</f>
        <v>Facilities</v>
      </c>
      <c r="G451" t="str">
        <f>Procurement_Raw!G451</f>
        <v>INV-2025-00450</v>
      </c>
      <c r="H451" s="6">
        <f>Procurement_Raw!H451</f>
        <v>62</v>
      </c>
      <c r="I451" s="7">
        <f>Procurement_Raw!I451</f>
        <v>100.52</v>
      </c>
      <c r="J451" s="7">
        <f>Procurement_Raw!J451</f>
        <v>6232.44</v>
      </c>
      <c r="K451" s="6">
        <f>Procurement_Raw!K451</f>
        <v>30</v>
      </c>
      <c r="L451" t="str">
        <f>Procurement_Raw!L451</f>
        <v>Procurement Portal</v>
      </c>
      <c r="M451" s="8">
        <f>Procurement_Raw!M451</f>
        <v>1246.4880000000001</v>
      </c>
      <c r="N451" s="7">
        <f>Procurement_Raw!N451</f>
        <v>6232.44</v>
      </c>
      <c r="O451" s="7">
        <f t="shared" si="14"/>
        <v>6232.44</v>
      </c>
      <c r="P451" t="str">
        <f>IFERROR(INDEX(Supplier_Lookup!$B$2:$B$200,MATCH(E451,Supplier_Lookup!$A$2:$A$200,0)),"Unmapped")</f>
        <v>Facilities</v>
      </c>
      <c r="Q451" s="10">
        <f>IFERROR(INDEX(Category_Targets!$B$2:$B$9,MATCH(F451,Category_Targets!$A$2:$A$9,0)),0)</f>
        <v>0.05</v>
      </c>
      <c r="R451" s="7">
        <f t="shared" si="15"/>
        <v>311.62200000000001</v>
      </c>
    </row>
    <row r="452" spans="1:18" x14ac:dyDescent="0.25">
      <c r="A452" s="5">
        <f>Procurement_Raw!A452</f>
        <v>45730</v>
      </c>
      <c r="B452" t="str">
        <f>Procurement_Raw!B452</f>
        <v>S017</v>
      </c>
      <c r="C452" t="str">
        <f>Procurement_Raw!C452</f>
        <v>Swansea Care &amp; Education Centre</v>
      </c>
      <c r="D452" t="str">
        <f>Procurement_Raw!D452</f>
        <v>Wales</v>
      </c>
      <c r="E452" t="str">
        <f>Procurement_Raw!E452</f>
        <v>FreshServe</v>
      </c>
      <c r="F452" t="str">
        <f>Procurement_Raw!F452</f>
        <v>Food &amp; Catering</v>
      </c>
      <c r="G452" t="str">
        <f>Procurement_Raw!G452</f>
        <v>INV-2025-00451</v>
      </c>
      <c r="H452" s="6">
        <f>Procurement_Raw!H452</f>
        <v>45</v>
      </c>
      <c r="I452" s="7">
        <f>Procurement_Raw!I452</f>
        <v>62.8</v>
      </c>
      <c r="J452" s="7">
        <f>Procurement_Raw!J452</f>
        <v>2825.88</v>
      </c>
      <c r="K452" s="6">
        <f>Procurement_Raw!K452</f>
        <v>45</v>
      </c>
      <c r="L452" t="str">
        <f>Procurement_Raw!L452</f>
        <v>Procurement Portal</v>
      </c>
      <c r="M452" s="8">
        <f>Procurement_Raw!M452</f>
        <v>565.17600000000004</v>
      </c>
      <c r="N452" s="7">
        <f>Procurement_Raw!N452</f>
        <v>2825.88</v>
      </c>
      <c r="O452" s="7">
        <f t="shared" si="14"/>
        <v>2825.88</v>
      </c>
      <c r="P452" t="str">
        <f>IFERROR(INDEX(Supplier_Lookup!$B$2:$B$200,MATCH(E452,Supplier_Lookup!$A$2:$A$200,0)),"Unmapped")</f>
        <v>Food &amp; Catering</v>
      </c>
      <c r="Q452" s="10">
        <f>IFERROR(INDEX(Category_Targets!$B$2:$B$9,MATCH(F452,Category_Targets!$A$2:$A$9,0)),0)</f>
        <v>0.04</v>
      </c>
      <c r="R452" s="7">
        <f t="shared" si="15"/>
        <v>113.0352</v>
      </c>
    </row>
    <row r="453" spans="1:18" x14ac:dyDescent="0.25">
      <c r="A453" s="5">
        <f>Procurement_Raw!A453</f>
        <v>45905</v>
      </c>
      <c r="B453" t="str">
        <f>Procurement_Raw!B453</f>
        <v>S009</v>
      </c>
      <c r="C453" t="str">
        <f>Procurement_Raw!C453</f>
        <v>Derby Care &amp; Education Centre</v>
      </c>
      <c r="D453" t="str">
        <f>Procurement_Raw!D453</f>
        <v>Midlands</v>
      </c>
      <c r="E453" t="str">
        <f>Procurement_Raw!E453</f>
        <v>PowerDirect</v>
      </c>
      <c r="F453" t="str">
        <f>Procurement_Raw!F453</f>
        <v>Utilities</v>
      </c>
      <c r="G453" t="str">
        <f>Procurement_Raw!G453</f>
        <v>INV-2025-00452</v>
      </c>
      <c r="H453" s="6">
        <f>Procurement_Raw!H453</f>
        <v>45</v>
      </c>
      <c r="I453" s="7">
        <f>Procurement_Raw!I453</f>
        <v>422.75</v>
      </c>
      <c r="J453" s="7">
        <f>Procurement_Raw!J453</f>
        <v>19023.91</v>
      </c>
      <c r="K453" s="6">
        <f>Procurement_Raw!K453</f>
        <v>45</v>
      </c>
      <c r="L453" t="str">
        <f>Procurement_Raw!L453</f>
        <v>ERP</v>
      </c>
      <c r="M453" s="8">
        <f>Procurement_Raw!M453</f>
        <v>3804.7820000000002</v>
      </c>
      <c r="N453" s="7">
        <f>Procurement_Raw!N453</f>
        <v>19023.91</v>
      </c>
      <c r="O453" s="7">
        <f t="shared" si="14"/>
        <v>19023.91</v>
      </c>
      <c r="P453" t="str">
        <f>IFERROR(INDEX(Supplier_Lookup!$B$2:$B$200,MATCH(E453,Supplier_Lookup!$A$2:$A$200,0)),"Unmapped")</f>
        <v>Utilities</v>
      </c>
      <c r="Q453" s="10">
        <f>IFERROR(INDEX(Category_Targets!$B$2:$B$9,MATCH(F453,Category_Targets!$A$2:$A$9,0)),0)</f>
        <v>0.03</v>
      </c>
      <c r="R453" s="7">
        <f t="shared" si="15"/>
        <v>570.71730000000002</v>
      </c>
    </row>
    <row r="454" spans="1:18" x14ac:dyDescent="0.25">
      <c r="A454" s="5">
        <f>Procurement_Raw!A454</f>
        <v>45692</v>
      </c>
      <c r="B454" t="str">
        <f>Procurement_Raw!B454</f>
        <v>S008</v>
      </c>
      <c r="C454" t="str">
        <f>Procurement_Raw!C454</f>
        <v>Leicester Care &amp; Education Centre</v>
      </c>
      <c r="D454" t="str">
        <f>Procurement_Raw!D454</f>
        <v>Midlands</v>
      </c>
      <c r="E454" t="str">
        <f>Procurement_Raw!E454</f>
        <v>LearnWell</v>
      </c>
      <c r="F454" t="str">
        <f>Procurement_Raw!F454</f>
        <v>Office &amp; Training</v>
      </c>
      <c r="G454" t="str">
        <f>Procurement_Raw!G454</f>
        <v>INV-2025-00453</v>
      </c>
      <c r="H454" s="6">
        <f>Procurement_Raw!H454</f>
        <v>39</v>
      </c>
      <c r="I454" s="7">
        <f>Procurement_Raw!I454</f>
        <v>43.61</v>
      </c>
      <c r="J454" s="7">
        <f>Procurement_Raw!J454</f>
        <v>1700.88</v>
      </c>
      <c r="K454" s="6">
        <f>Procurement_Raw!K454</f>
        <v>30</v>
      </c>
      <c r="L454" t="str">
        <f>Procurement_Raw!L454</f>
        <v>Legacy Spend File</v>
      </c>
      <c r="M454" s="8">
        <f>Procurement_Raw!M454</f>
        <v>340.17599999999999</v>
      </c>
      <c r="N454" s="7">
        <f>Procurement_Raw!N454</f>
        <v>1700.88</v>
      </c>
      <c r="O454" s="7">
        <f t="shared" si="14"/>
        <v>1700.88</v>
      </c>
      <c r="P454" t="str">
        <f>IFERROR(INDEX(Supplier_Lookup!$B$2:$B$200,MATCH(E454,Supplier_Lookup!$A$2:$A$200,0)),"Unmapped")</f>
        <v>Office &amp; Training</v>
      </c>
      <c r="Q454" s="10">
        <f>IFERROR(INDEX(Category_Targets!$B$2:$B$9,MATCH(F454,Category_Targets!$A$2:$A$9,0)),0)</f>
        <v>0.04</v>
      </c>
      <c r="R454" s="7">
        <f t="shared" si="15"/>
        <v>68.035200000000003</v>
      </c>
    </row>
    <row r="455" spans="1:18" x14ac:dyDescent="0.25">
      <c r="A455" s="5">
        <f>Procurement_Raw!A455</f>
        <v>45989</v>
      </c>
      <c r="B455" t="str">
        <f>Procurement_Raw!B455</f>
        <v>S020</v>
      </c>
      <c r="C455" t="str">
        <f>Procurement_Raw!C455</f>
        <v>Bangor Care &amp; Education Centre</v>
      </c>
      <c r="D455" t="str">
        <f>Procurement_Raw!D455</f>
        <v>Wales</v>
      </c>
      <c r="E455" t="str">
        <f>Procurement_Raw!E455</f>
        <v>CareMed</v>
      </c>
      <c r="F455" t="str">
        <f>Procurement_Raw!F455</f>
        <v>Medical Supplies</v>
      </c>
      <c r="G455" t="str">
        <f>Procurement_Raw!G455</f>
        <v>INV-2025-00454</v>
      </c>
      <c r="H455" s="6">
        <f>Procurement_Raw!H455</f>
        <v>14</v>
      </c>
      <c r="I455" s="7">
        <f>Procurement_Raw!I455</f>
        <v>158.34</v>
      </c>
      <c r="J455" s="7">
        <f>Procurement_Raw!J455</f>
        <v>2216.6999999999998</v>
      </c>
      <c r="K455" s="6">
        <f>Procurement_Raw!K455</f>
        <v>60</v>
      </c>
      <c r="L455" t="str">
        <f>Procurement_Raw!L455</f>
        <v>ERP</v>
      </c>
      <c r="M455" s="8">
        <f>Procurement_Raw!M455</f>
        <v>443.34</v>
      </c>
      <c r="N455" s="7">
        <f>Procurement_Raw!N455</f>
        <v>2216.6999999999998</v>
      </c>
      <c r="O455" s="7">
        <f t="shared" si="14"/>
        <v>2216.6999999999998</v>
      </c>
      <c r="P455" t="str">
        <f>IFERROR(INDEX(Supplier_Lookup!$B$2:$B$200,MATCH(E455,Supplier_Lookup!$A$2:$A$200,0)),"Unmapped")</f>
        <v>Medical Supplies</v>
      </c>
      <c r="Q455" s="10">
        <f>IFERROR(INDEX(Category_Targets!$B$2:$B$9,MATCH(F455,Category_Targets!$A$2:$A$9,0)),0)</f>
        <v>0.06</v>
      </c>
      <c r="R455" s="7">
        <f t="shared" si="15"/>
        <v>133.00199999999998</v>
      </c>
    </row>
    <row r="456" spans="1:18" x14ac:dyDescent="0.25">
      <c r="A456" s="5">
        <f>Procurement_Raw!A456</f>
        <v>45747</v>
      </c>
      <c r="B456" t="str">
        <f>Procurement_Raw!B456</f>
        <v>S006</v>
      </c>
      <c r="C456" t="str">
        <f>Procurement_Raw!C456</f>
        <v>Birmingham Care &amp; Education Centre</v>
      </c>
      <c r="D456" t="str">
        <f>Procurement_Raw!D456</f>
        <v>Midlands</v>
      </c>
      <c r="E456" t="str">
        <f>Procurement_Raw!E456</f>
        <v>PowerDirect</v>
      </c>
      <c r="F456" t="str">
        <f>Procurement_Raw!F456</f>
        <v>Utilities</v>
      </c>
      <c r="G456" t="str">
        <f>Procurement_Raw!G456</f>
        <v>INV-2025-00455</v>
      </c>
      <c r="H456" s="6">
        <f>Procurement_Raw!H456</f>
        <v>71</v>
      </c>
      <c r="I456" s="7">
        <f>Procurement_Raw!I456</f>
        <v>186.76</v>
      </c>
      <c r="J456" s="7">
        <f>Procurement_Raw!J456</f>
        <v>13259.89</v>
      </c>
      <c r="K456" s="6">
        <f>Procurement_Raw!K456</f>
        <v>30</v>
      </c>
      <c r="L456" t="str">
        <f>Procurement_Raw!L456</f>
        <v>Procurement Portal</v>
      </c>
      <c r="M456" s="8">
        <f>Procurement_Raw!M456</f>
        <v>2651.9780000000001</v>
      </c>
      <c r="N456" s="7">
        <f>Procurement_Raw!N456</f>
        <v>13259.89</v>
      </c>
      <c r="O456" s="7">
        <f t="shared" si="14"/>
        <v>13259.89</v>
      </c>
      <c r="P456" t="str">
        <f>IFERROR(INDEX(Supplier_Lookup!$B$2:$B$200,MATCH(E456,Supplier_Lookup!$A$2:$A$200,0)),"Unmapped")</f>
        <v>Utilities</v>
      </c>
      <c r="Q456" s="10">
        <f>IFERROR(INDEX(Category_Targets!$B$2:$B$9,MATCH(F456,Category_Targets!$A$2:$A$9,0)),0)</f>
        <v>0.03</v>
      </c>
      <c r="R456" s="7">
        <f t="shared" si="15"/>
        <v>397.79669999999999</v>
      </c>
    </row>
    <row r="457" spans="1:18" x14ac:dyDescent="0.25">
      <c r="A457" s="5">
        <f>Procurement_Raw!A457</f>
        <v>45776</v>
      </c>
      <c r="B457" t="str">
        <f>Procurement_Raw!B457</f>
        <v>S020</v>
      </c>
      <c r="C457" t="str">
        <f>Procurement_Raw!C457</f>
        <v>Bangor Care &amp; Education Centre</v>
      </c>
      <c r="D457" t="str">
        <f>Procurement_Raw!D457</f>
        <v>Wales</v>
      </c>
      <c r="E457" t="str">
        <f>Procurement_Raw!E457</f>
        <v>CareTemps</v>
      </c>
      <c r="F457" t="str">
        <f>Procurement_Raw!F457</f>
        <v>Agency Labour</v>
      </c>
      <c r="G457" t="str">
        <f>Procurement_Raw!G457</f>
        <v>INV-2025-00456</v>
      </c>
      <c r="H457" s="6">
        <f>Procurement_Raw!H457</f>
        <v>52</v>
      </c>
      <c r="I457" s="7">
        <f>Procurement_Raw!I457</f>
        <v>193.97</v>
      </c>
      <c r="J457" s="7">
        <f>Procurement_Raw!J457</f>
        <v>10086.43</v>
      </c>
      <c r="K457" s="6">
        <f>Procurement_Raw!K457</f>
        <v>60</v>
      </c>
      <c r="L457" t="str">
        <f>Procurement_Raw!L457</f>
        <v>ERP</v>
      </c>
      <c r="M457" s="8">
        <f>Procurement_Raw!M457</f>
        <v>2017.2860000000001</v>
      </c>
      <c r="N457" s="7">
        <f>Procurement_Raw!N457</f>
        <v>10086.43</v>
      </c>
      <c r="O457" s="7">
        <f t="shared" si="14"/>
        <v>10086.43</v>
      </c>
      <c r="P457" t="str">
        <f>IFERROR(INDEX(Supplier_Lookup!$B$2:$B$200,MATCH(E457,Supplier_Lookup!$A$2:$A$200,0)),"Unmapped")</f>
        <v>Agency Labour</v>
      </c>
      <c r="Q457" s="10">
        <f>IFERROR(INDEX(Category_Targets!$B$2:$B$9,MATCH(F457,Category_Targets!$A$2:$A$9,0)),0)</f>
        <v>7.0000000000000007E-2</v>
      </c>
      <c r="R457" s="7">
        <f t="shared" si="15"/>
        <v>706.05010000000004</v>
      </c>
    </row>
    <row r="458" spans="1:18" x14ac:dyDescent="0.25">
      <c r="A458" s="5">
        <f>Procurement_Raw!A458</f>
        <v>45672</v>
      </c>
      <c r="B458" t="str">
        <f>Procurement_Raw!B458</f>
        <v>S017</v>
      </c>
      <c r="C458" t="str">
        <f>Procurement_Raw!C458</f>
        <v>Swansea Care &amp; Education Centre</v>
      </c>
      <c r="D458" t="str">
        <f>Procurement_Raw!D458</f>
        <v>Wales</v>
      </c>
      <c r="E458" t="str">
        <f>Procurement_Raw!E458</f>
        <v>CareTemps</v>
      </c>
      <c r="F458" t="str">
        <f>Procurement_Raw!F458</f>
        <v>Agency Labour</v>
      </c>
      <c r="G458" t="str">
        <f>Procurement_Raw!G458</f>
        <v>INV-2025-00457</v>
      </c>
      <c r="H458" s="6">
        <f>Procurement_Raw!H458</f>
        <v>79</v>
      </c>
      <c r="I458" s="7">
        <f>Procurement_Raw!I458</f>
        <v>282.85000000000002</v>
      </c>
      <c r="J458" s="7">
        <f>Procurement_Raw!J458</f>
        <v>22345.13</v>
      </c>
      <c r="K458" s="6">
        <f>Procurement_Raw!K458</f>
        <v>30</v>
      </c>
      <c r="L458" t="str">
        <f>Procurement_Raw!L458</f>
        <v>Procurement Portal</v>
      </c>
      <c r="M458" s="8">
        <f>Procurement_Raw!M458</f>
        <v>4469.0259999999998</v>
      </c>
      <c r="N458" s="7">
        <f>Procurement_Raw!N458</f>
        <v>22345.13</v>
      </c>
      <c r="O458" s="7">
        <f t="shared" si="14"/>
        <v>22345.13</v>
      </c>
      <c r="P458" t="str">
        <f>IFERROR(INDEX(Supplier_Lookup!$B$2:$B$200,MATCH(E458,Supplier_Lookup!$A$2:$A$200,0)),"Unmapped")</f>
        <v>Agency Labour</v>
      </c>
      <c r="Q458" s="10">
        <f>IFERROR(INDEX(Category_Targets!$B$2:$B$9,MATCH(F458,Category_Targets!$A$2:$A$9,0)),0)</f>
        <v>7.0000000000000007E-2</v>
      </c>
      <c r="R458" s="7">
        <f t="shared" si="15"/>
        <v>1564.1591000000003</v>
      </c>
    </row>
    <row r="459" spans="1:18" x14ac:dyDescent="0.25">
      <c r="A459" s="5">
        <f>Procurement_Raw!A459</f>
        <v>45660</v>
      </c>
      <c r="B459" t="str">
        <f>Procurement_Raw!B459</f>
        <v>S007</v>
      </c>
      <c r="C459" t="str">
        <f>Procurement_Raw!C459</f>
        <v>Nottingham Care &amp; Education Centre</v>
      </c>
      <c r="D459" t="str">
        <f>Procurement_Raw!D459</f>
        <v>Midlands</v>
      </c>
      <c r="E459" t="str">
        <f>Procurement_Raw!E459</f>
        <v>CareTemps</v>
      </c>
      <c r="F459" t="str">
        <f>Procurement_Raw!F459</f>
        <v>Agency Labour</v>
      </c>
      <c r="G459" t="str">
        <f>Procurement_Raw!G459</f>
        <v>INV-2025-00458</v>
      </c>
      <c r="H459" s="6">
        <f>Procurement_Raw!H459</f>
        <v>28</v>
      </c>
      <c r="I459" s="7">
        <f>Procurement_Raw!I459</f>
        <v>169.76</v>
      </c>
      <c r="J459" s="7">
        <f>Procurement_Raw!J459</f>
        <v>4753.34</v>
      </c>
      <c r="K459" s="6">
        <f>Procurement_Raw!K459</f>
        <v>30</v>
      </c>
      <c r="L459" t="str">
        <f>Procurement_Raw!L459</f>
        <v>Procurement Portal</v>
      </c>
      <c r="M459" s="8">
        <f>Procurement_Raw!M459</f>
        <v>950.66800000000001</v>
      </c>
      <c r="N459" s="7">
        <f>Procurement_Raw!N459</f>
        <v>4753.34</v>
      </c>
      <c r="O459" s="7">
        <f t="shared" si="14"/>
        <v>4753.34</v>
      </c>
      <c r="P459" t="str">
        <f>IFERROR(INDEX(Supplier_Lookup!$B$2:$B$200,MATCH(E459,Supplier_Lookup!$A$2:$A$200,0)),"Unmapped")</f>
        <v>Agency Labour</v>
      </c>
      <c r="Q459" s="10">
        <f>IFERROR(INDEX(Category_Targets!$B$2:$B$9,MATCH(F459,Category_Targets!$A$2:$A$9,0)),0)</f>
        <v>7.0000000000000007E-2</v>
      </c>
      <c r="R459" s="7">
        <f t="shared" si="15"/>
        <v>332.73380000000003</v>
      </c>
    </row>
    <row r="460" spans="1:18" x14ac:dyDescent="0.25">
      <c r="A460" s="5">
        <f>Procurement_Raw!A460</f>
        <v>45710</v>
      </c>
      <c r="B460" t="str">
        <f>Procurement_Raw!B460</f>
        <v>S015</v>
      </c>
      <c r="C460" t="str">
        <f>Procurement_Raw!C460</f>
        <v>Brighton Care &amp; Education Centre</v>
      </c>
      <c r="D460" t="str">
        <f>Procurement_Raw!D460</f>
        <v>South</v>
      </c>
      <c r="E460" t="str">
        <f>Procurement_Raw!E460</f>
        <v>KitchenPro</v>
      </c>
      <c r="F460" t="str">
        <f>Procurement_Raw!F460</f>
        <v>Food &amp; Catering</v>
      </c>
      <c r="G460" t="str">
        <f>Procurement_Raw!G460</f>
        <v>INV-2025-00459</v>
      </c>
      <c r="H460" s="6">
        <f>Procurement_Raw!H460</f>
        <v>69</v>
      </c>
      <c r="I460" s="7">
        <f>Procurement_Raw!I460</f>
        <v>47.94</v>
      </c>
      <c r="J460" s="7">
        <f>Procurement_Raw!J460</f>
        <v>3307.63</v>
      </c>
      <c r="K460" s="6">
        <f>Procurement_Raw!K460</f>
        <v>30</v>
      </c>
      <c r="L460" t="str">
        <f>Procurement_Raw!L460</f>
        <v>Procurement Portal</v>
      </c>
      <c r="M460" s="8">
        <f>Procurement_Raw!M460</f>
        <v>661.52599999999995</v>
      </c>
      <c r="N460" s="7">
        <f>Procurement_Raw!N460</f>
        <v>3307.63</v>
      </c>
      <c r="O460" s="7">
        <f t="shared" si="14"/>
        <v>3307.63</v>
      </c>
      <c r="P460" t="str">
        <f>IFERROR(INDEX(Supplier_Lookup!$B$2:$B$200,MATCH(E460,Supplier_Lookup!$A$2:$A$200,0)),"Unmapped")</f>
        <v>Food &amp; Catering</v>
      </c>
      <c r="Q460" s="10">
        <f>IFERROR(INDEX(Category_Targets!$B$2:$B$9,MATCH(F460,Category_Targets!$A$2:$A$9,0)),0)</f>
        <v>0.04</v>
      </c>
      <c r="R460" s="7">
        <f t="shared" si="15"/>
        <v>132.30520000000001</v>
      </c>
    </row>
    <row r="461" spans="1:18" x14ac:dyDescent="0.25">
      <c r="A461" s="5">
        <f>Procurement_Raw!A461</f>
        <v>45716</v>
      </c>
      <c r="B461" t="str">
        <f>Procurement_Raw!B461</f>
        <v>S019</v>
      </c>
      <c r="C461" t="str">
        <f>Procurement_Raw!C461</f>
        <v>Wrexham Care &amp; Education Centre</v>
      </c>
      <c r="D461" t="str">
        <f>Procurement_Raw!D461</f>
        <v>Wales</v>
      </c>
      <c r="E461" t="str">
        <f>Procurement_Raw!E461</f>
        <v>WaterGrid</v>
      </c>
      <c r="F461" t="str">
        <f>Procurement_Raw!F461</f>
        <v>Utilities</v>
      </c>
      <c r="G461" t="str">
        <f>Procurement_Raw!G461</f>
        <v>INV-2025-00460</v>
      </c>
      <c r="H461" s="6">
        <f>Procurement_Raw!H461</f>
        <v>34</v>
      </c>
      <c r="I461" s="7">
        <f>Procurement_Raw!I461</f>
        <v>129.36000000000001</v>
      </c>
      <c r="J461" s="7">
        <f>Procurement_Raw!J461</f>
        <v>4398.37</v>
      </c>
      <c r="K461" s="6">
        <f>Procurement_Raw!K461</f>
        <v>60</v>
      </c>
      <c r="L461" t="str">
        <f>Procurement_Raw!L461</f>
        <v>Procurement Portal</v>
      </c>
      <c r="M461" s="8">
        <f>Procurement_Raw!M461</f>
        <v>879.67399999999998</v>
      </c>
      <c r="N461" s="7">
        <f>Procurement_Raw!N461</f>
        <v>4398.37</v>
      </c>
      <c r="O461" s="7">
        <f t="shared" si="14"/>
        <v>4398.37</v>
      </c>
      <c r="P461" t="str">
        <f>IFERROR(INDEX(Supplier_Lookup!$B$2:$B$200,MATCH(E461,Supplier_Lookup!$A$2:$A$200,0)),"Unmapped")</f>
        <v>Utilities</v>
      </c>
      <c r="Q461" s="10">
        <f>IFERROR(INDEX(Category_Targets!$B$2:$B$9,MATCH(F461,Category_Targets!$A$2:$A$9,0)),0)</f>
        <v>0.03</v>
      </c>
      <c r="R461" s="7">
        <f t="shared" si="15"/>
        <v>131.9511</v>
      </c>
    </row>
    <row r="462" spans="1:18" x14ac:dyDescent="0.25">
      <c r="A462" s="5">
        <f>Procurement_Raw!A462</f>
        <v>45856</v>
      </c>
      <c r="B462" t="str">
        <f>Procurement_Raw!B462</f>
        <v>S019</v>
      </c>
      <c r="C462" t="str">
        <f>Procurement_Raw!C462</f>
        <v>Wrexham Care &amp; Education Centre</v>
      </c>
      <c r="D462" t="str">
        <f>Procurement_Raw!D462</f>
        <v>Wales</v>
      </c>
      <c r="E462" t="str">
        <f>Procurement_Raw!E462</f>
        <v>AutoCare</v>
      </c>
      <c r="F462" t="str">
        <f>Procurement_Raw!F462</f>
        <v>Vehicle &amp; Fuel</v>
      </c>
      <c r="G462" t="str">
        <f>Procurement_Raw!G462</f>
        <v>INV-2025-00461</v>
      </c>
      <c r="H462" s="6">
        <f>Procurement_Raw!H462</f>
        <v>79</v>
      </c>
      <c r="I462" s="7">
        <f>Procurement_Raw!I462</f>
        <v>279.91000000000003</v>
      </c>
      <c r="J462" s="7">
        <f>Procurement_Raw!J462</f>
        <v>22113.06</v>
      </c>
      <c r="K462" s="6">
        <f>Procurement_Raw!K462</f>
        <v>45</v>
      </c>
      <c r="L462" t="str">
        <f>Procurement_Raw!L462</f>
        <v>Legacy Spend File</v>
      </c>
      <c r="M462" s="8">
        <f>Procurement_Raw!M462</f>
        <v>4422.6120000000001</v>
      </c>
      <c r="N462" s="7">
        <f>Procurement_Raw!N462</f>
        <v>22113.06</v>
      </c>
      <c r="O462" s="7">
        <f t="shared" si="14"/>
        <v>22113.06</v>
      </c>
      <c r="P462" t="str">
        <f>IFERROR(INDEX(Supplier_Lookup!$B$2:$B$200,MATCH(E462,Supplier_Lookup!$A$2:$A$200,0)),"Unmapped")</f>
        <v>Vehicle &amp; Fuel</v>
      </c>
      <c r="Q462" s="10">
        <f>IFERROR(INDEX(Category_Targets!$B$2:$B$9,MATCH(F462,Category_Targets!$A$2:$A$9,0)),0)</f>
        <v>0.05</v>
      </c>
      <c r="R462" s="7">
        <f t="shared" si="15"/>
        <v>1105.653</v>
      </c>
    </row>
    <row r="463" spans="1:18" x14ac:dyDescent="0.25">
      <c r="A463" s="5">
        <f>Procurement_Raw!A463</f>
        <v>45892</v>
      </c>
      <c r="B463" t="str">
        <f>Procurement_Raw!B463</f>
        <v>S017</v>
      </c>
      <c r="C463" t="str">
        <f>Procurement_Raw!C463</f>
        <v>Swansea Care &amp; Education Centre</v>
      </c>
      <c r="D463" t="str">
        <f>Procurement_Raw!D463</f>
        <v>Wales</v>
      </c>
      <c r="E463" t="str">
        <f>Procurement_Raw!E463</f>
        <v>RoadReady</v>
      </c>
      <c r="F463" t="str">
        <f>Procurement_Raw!F463</f>
        <v>Vehicle &amp; Fuel</v>
      </c>
      <c r="G463" t="str">
        <f>Procurement_Raw!G463</f>
        <v>INV-2025-00462</v>
      </c>
      <c r="H463" s="6">
        <f>Procurement_Raw!H463</f>
        <v>80</v>
      </c>
      <c r="I463" s="7">
        <f>Procurement_Raw!I463</f>
        <v>96.86</v>
      </c>
      <c r="J463" s="7">
        <f>Procurement_Raw!J463</f>
        <v>7748.84</v>
      </c>
      <c r="K463" s="6">
        <f>Procurement_Raw!K463</f>
        <v>30</v>
      </c>
      <c r="L463" t="str">
        <f>Procurement_Raw!L463</f>
        <v>Legacy Spend File</v>
      </c>
      <c r="M463" s="8">
        <f>Procurement_Raw!M463</f>
        <v>1549.768</v>
      </c>
      <c r="N463" s="7">
        <f>Procurement_Raw!N463</f>
        <v>7748.84</v>
      </c>
      <c r="O463" s="7">
        <f t="shared" si="14"/>
        <v>7748.84</v>
      </c>
      <c r="P463" t="str">
        <f>IFERROR(INDEX(Supplier_Lookup!$B$2:$B$200,MATCH(E463,Supplier_Lookup!$A$2:$A$200,0)),"Unmapped")</f>
        <v>Vehicle &amp; Fuel</v>
      </c>
      <c r="Q463" s="10">
        <f>IFERROR(INDEX(Category_Targets!$B$2:$B$9,MATCH(F463,Category_Targets!$A$2:$A$9,0)),0)</f>
        <v>0.05</v>
      </c>
      <c r="R463" s="7">
        <f t="shared" si="15"/>
        <v>387.44200000000001</v>
      </c>
    </row>
    <row r="464" spans="1:18" x14ac:dyDescent="0.25">
      <c r="A464" s="5">
        <f>Procurement_Raw!A464</f>
        <v>45960</v>
      </c>
      <c r="B464" t="str">
        <f>Procurement_Raw!B464</f>
        <v>S020</v>
      </c>
      <c r="C464" t="str">
        <f>Procurement_Raw!C464</f>
        <v>Bangor Care &amp; Education Centre</v>
      </c>
      <c r="D464" t="str">
        <f>Procurement_Raw!D464</f>
        <v>Wales</v>
      </c>
      <c r="E464" t="str">
        <f>Procurement_Raw!E464</f>
        <v>NetServe</v>
      </c>
      <c r="F464" t="str">
        <f>Procurement_Raw!F464</f>
        <v>IT &amp; Telecoms</v>
      </c>
      <c r="G464" t="str">
        <f>Procurement_Raw!G464</f>
        <v>INV-2025-00463</v>
      </c>
      <c r="H464" s="6">
        <f>Procurement_Raw!H464</f>
        <v>11</v>
      </c>
      <c r="I464" s="7">
        <f>Procurement_Raw!I464</f>
        <v>149.72</v>
      </c>
      <c r="J464" s="7">
        <f>Procurement_Raw!J464</f>
        <v>1646.94</v>
      </c>
      <c r="K464" s="6">
        <f>Procurement_Raw!K464</f>
        <v>60</v>
      </c>
      <c r="L464" t="str">
        <f>Procurement_Raw!L464</f>
        <v>ERP</v>
      </c>
      <c r="M464" s="8">
        <f>Procurement_Raw!M464</f>
        <v>329.38799999999998</v>
      </c>
      <c r="N464" s="7">
        <f>Procurement_Raw!N464</f>
        <v>1646.94</v>
      </c>
      <c r="O464" s="7">
        <f t="shared" si="14"/>
        <v>1646.94</v>
      </c>
      <c r="P464" t="str">
        <f>IFERROR(INDEX(Supplier_Lookup!$B$2:$B$200,MATCH(E464,Supplier_Lookup!$A$2:$A$200,0)),"Unmapped")</f>
        <v>IT &amp; Telecoms</v>
      </c>
      <c r="Q464" s="10">
        <f>IFERROR(INDEX(Category_Targets!$B$2:$B$9,MATCH(F464,Category_Targets!$A$2:$A$9,0)),0)</f>
        <v>0.08</v>
      </c>
      <c r="R464" s="7">
        <f t="shared" si="15"/>
        <v>131.7552</v>
      </c>
    </row>
    <row r="465" spans="1:18" x14ac:dyDescent="0.25">
      <c r="A465" s="5">
        <f>Procurement_Raw!A465</f>
        <v>45814</v>
      </c>
      <c r="B465" t="str">
        <f>Procurement_Raw!B465</f>
        <v>S003</v>
      </c>
      <c r="C465" t="str">
        <f>Procurement_Raw!C465</f>
        <v>Leeds Care &amp; Education Centre</v>
      </c>
      <c r="D465" t="str">
        <f>Procurement_Raw!D465</f>
        <v>North</v>
      </c>
      <c r="E465" t="str">
        <f>Procurement_Raw!E465</f>
        <v>FreshServe</v>
      </c>
      <c r="F465" t="str">
        <f>Procurement_Raw!F465</f>
        <v>Food &amp; Catering</v>
      </c>
      <c r="G465" t="str">
        <f>Procurement_Raw!G465</f>
        <v>INV-2025-00464</v>
      </c>
      <c r="H465" s="6">
        <f>Procurement_Raw!H465</f>
        <v>15</v>
      </c>
      <c r="I465" s="7">
        <f>Procurement_Raw!I465</f>
        <v>73.12</v>
      </c>
      <c r="J465" s="7">
        <f>Procurement_Raw!J465</f>
        <v>1096.77</v>
      </c>
      <c r="K465" s="6">
        <f>Procurement_Raw!K465</f>
        <v>30</v>
      </c>
      <c r="L465" t="str">
        <f>Procurement_Raw!L465</f>
        <v>Procurement Portal</v>
      </c>
      <c r="M465" s="8">
        <f>Procurement_Raw!M465</f>
        <v>219.35400000000001</v>
      </c>
      <c r="N465" s="7">
        <f>Procurement_Raw!N465</f>
        <v>1096.77</v>
      </c>
      <c r="O465" s="7">
        <f t="shared" si="14"/>
        <v>1096.77</v>
      </c>
      <c r="P465" t="str">
        <f>IFERROR(INDEX(Supplier_Lookup!$B$2:$B$200,MATCH(E465,Supplier_Lookup!$A$2:$A$200,0)),"Unmapped")</f>
        <v>Food &amp; Catering</v>
      </c>
      <c r="Q465" s="10">
        <f>IFERROR(INDEX(Category_Targets!$B$2:$B$9,MATCH(F465,Category_Targets!$A$2:$A$9,0)),0)</f>
        <v>0.04</v>
      </c>
      <c r="R465" s="7">
        <f t="shared" si="15"/>
        <v>43.870800000000003</v>
      </c>
    </row>
    <row r="466" spans="1:18" x14ac:dyDescent="0.25">
      <c r="A466" s="5">
        <f>Procurement_Raw!A466</f>
        <v>45856</v>
      </c>
      <c r="B466" t="str">
        <f>Procurement_Raw!B466</f>
        <v>S011</v>
      </c>
      <c r="C466" t="str">
        <f>Procurement_Raw!C466</f>
        <v>London Care &amp; Education Centre</v>
      </c>
      <c r="D466" t="str">
        <f>Procurement_Raw!D466</f>
        <v>South</v>
      </c>
      <c r="E466" t="str">
        <f>Procurement_Raw!E466</f>
        <v>BuildCare</v>
      </c>
      <c r="F466" t="str">
        <f>Procurement_Raw!F466</f>
        <v>Facilities</v>
      </c>
      <c r="G466" t="str">
        <f>Procurement_Raw!G466</f>
        <v>INV-2025-00465</v>
      </c>
      <c r="H466" s="6">
        <f>Procurement_Raw!H466</f>
        <v>54</v>
      </c>
      <c r="I466" s="7">
        <f>Procurement_Raw!I466</f>
        <v>169.22</v>
      </c>
      <c r="J466" s="7">
        <f>Procurement_Raw!J466</f>
        <v>9137.67</v>
      </c>
      <c r="K466" s="6">
        <f>Procurement_Raw!K466</f>
        <v>60</v>
      </c>
      <c r="L466" t="str">
        <f>Procurement_Raw!L466</f>
        <v>ERP</v>
      </c>
      <c r="M466" s="8">
        <f>Procurement_Raw!M466</f>
        <v>1827.5340000000001</v>
      </c>
      <c r="N466" s="7">
        <f>Procurement_Raw!N466</f>
        <v>9137.67</v>
      </c>
      <c r="O466" s="7">
        <f t="shared" si="14"/>
        <v>9137.67</v>
      </c>
      <c r="P466" t="str">
        <f>IFERROR(INDEX(Supplier_Lookup!$B$2:$B$200,MATCH(E466,Supplier_Lookup!$A$2:$A$200,0)),"Unmapped")</f>
        <v>Facilities</v>
      </c>
      <c r="Q466" s="10">
        <f>IFERROR(INDEX(Category_Targets!$B$2:$B$9,MATCH(F466,Category_Targets!$A$2:$A$9,0)),0)</f>
        <v>0.05</v>
      </c>
      <c r="R466" s="7">
        <f t="shared" si="15"/>
        <v>456.88350000000003</v>
      </c>
    </row>
    <row r="467" spans="1:18" x14ac:dyDescent="0.25">
      <c r="A467" s="5">
        <f>Procurement_Raw!A467</f>
        <v>45753</v>
      </c>
      <c r="B467" t="str">
        <f>Procurement_Raw!B467</f>
        <v>S017</v>
      </c>
      <c r="C467" t="str">
        <f>Procurement_Raw!C467</f>
        <v>Swansea Care &amp; Education Centre</v>
      </c>
      <c r="D467" t="str">
        <f>Procurement_Raw!D467</f>
        <v>Wales</v>
      </c>
      <c r="E467" t="str">
        <f>Procurement_Raw!E467</f>
        <v>CareTemps</v>
      </c>
      <c r="F467" t="str">
        <f>Procurement_Raw!F467</f>
        <v>Agency Labour</v>
      </c>
      <c r="G467" t="str">
        <f>Procurement_Raw!G467</f>
        <v>INV-2025-00466</v>
      </c>
      <c r="H467" s="6">
        <f>Procurement_Raw!H467</f>
        <v>63</v>
      </c>
      <c r="I467" s="7">
        <f>Procurement_Raw!I467</f>
        <v>265.67</v>
      </c>
      <c r="J467" s="7">
        <f>Procurement_Raw!J467</f>
        <v>16737.11</v>
      </c>
      <c r="K467" s="6">
        <f>Procurement_Raw!K467</f>
        <v>60</v>
      </c>
      <c r="L467" t="str">
        <f>Procurement_Raw!L467</f>
        <v>Legacy Spend File</v>
      </c>
      <c r="M467" s="8">
        <f>Procurement_Raw!M467</f>
        <v>3347.422</v>
      </c>
      <c r="N467" s="7">
        <f>Procurement_Raw!N467</f>
        <v>16737.11</v>
      </c>
      <c r="O467" s="7">
        <f t="shared" si="14"/>
        <v>16737.11</v>
      </c>
      <c r="P467" t="str">
        <f>IFERROR(INDEX(Supplier_Lookup!$B$2:$B$200,MATCH(E467,Supplier_Lookup!$A$2:$A$200,0)),"Unmapped")</f>
        <v>Agency Labour</v>
      </c>
      <c r="Q467" s="10">
        <f>IFERROR(INDEX(Category_Targets!$B$2:$B$9,MATCH(F467,Category_Targets!$A$2:$A$9,0)),0)</f>
        <v>7.0000000000000007E-2</v>
      </c>
      <c r="R467" s="7">
        <f t="shared" si="15"/>
        <v>1171.5977000000003</v>
      </c>
    </row>
    <row r="468" spans="1:18" x14ac:dyDescent="0.25">
      <c r="A468" s="5">
        <f>Procurement_Raw!A468</f>
        <v>45743</v>
      </c>
      <c r="B468" t="str">
        <f>Procurement_Raw!B468</f>
        <v>S011</v>
      </c>
      <c r="C468" t="str">
        <f>Procurement_Raw!C468</f>
        <v>London Care &amp; Education Centre</v>
      </c>
      <c r="D468" t="str">
        <f>Procurement_Raw!D468</f>
        <v>South</v>
      </c>
      <c r="E468" t="str">
        <f>Procurement_Raw!E468</f>
        <v>BuildCare</v>
      </c>
      <c r="F468" t="str">
        <f>Procurement_Raw!F468</f>
        <v>Facilities</v>
      </c>
      <c r="G468" t="str">
        <f>Procurement_Raw!G468</f>
        <v>INV-2025-00467</v>
      </c>
      <c r="H468" s="6">
        <f>Procurement_Raw!H468</f>
        <v>63</v>
      </c>
      <c r="I468" s="7">
        <f>Procurement_Raw!I468</f>
        <v>252.33</v>
      </c>
      <c r="J468" s="7">
        <f>Procurement_Raw!J468</f>
        <v>15896.96</v>
      </c>
      <c r="K468" s="6">
        <f>Procurement_Raw!K468</f>
        <v>45</v>
      </c>
      <c r="L468" t="str">
        <f>Procurement_Raw!L468</f>
        <v>ERP</v>
      </c>
      <c r="M468" s="8">
        <f>Procurement_Raw!M468</f>
        <v>3179.3919999999998</v>
      </c>
      <c r="N468" s="7">
        <f>Procurement_Raw!N468</f>
        <v>15896.96</v>
      </c>
      <c r="O468" s="7">
        <f t="shared" si="14"/>
        <v>15896.96</v>
      </c>
      <c r="P468" t="str">
        <f>IFERROR(INDEX(Supplier_Lookup!$B$2:$B$200,MATCH(E468,Supplier_Lookup!$A$2:$A$200,0)),"Unmapped")</f>
        <v>Facilities</v>
      </c>
      <c r="Q468" s="10">
        <f>IFERROR(INDEX(Category_Targets!$B$2:$B$9,MATCH(F468,Category_Targets!$A$2:$A$9,0)),0)</f>
        <v>0.05</v>
      </c>
      <c r="R468" s="7">
        <f t="shared" si="15"/>
        <v>794.84799999999996</v>
      </c>
    </row>
    <row r="469" spans="1:18" x14ac:dyDescent="0.25">
      <c r="A469" s="5">
        <f>Procurement_Raw!A469</f>
        <v>45975</v>
      </c>
      <c r="B469" t="str">
        <f>Procurement_Raw!B469</f>
        <v>S018</v>
      </c>
      <c r="C469" t="str">
        <f>Procurement_Raw!C469</f>
        <v>Newport Care &amp; Education Centre</v>
      </c>
      <c r="D469" t="str">
        <f>Procurement_Raw!D469</f>
        <v>Wales</v>
      </c>
      <c r="E469" t="str">
        <f>Procurement_Raw!E469</f>
        <v>RoadReady</v>
      </c>
      <c r="F469" t="str">
        <f>Procurement_Raw!F469</f>
        <v>Vehicle &amp; Fuel</v>
      </c>
      <c r="G469" t="str">
        <f>Procurement_Raw!G469</f>
        <v>INV-2025-00468</v>
      </c>
      <c r="H469" s="6">
        <f>Procurement_Raw!H469</f>
        <v>7</v>
      </c>
      <c r="I469" s="7">
        <f>Procurement_Raw!I469</f>
        <v>144.1</v>
      </c>
      <c r="J469" s="7">
        <f>Procurement_Raw!J469</f>
        <v>1008.7</v>
      </c>
      <c r="K469" s="6">
        <f>Procurement_Raw!K469</f>
        <v>45</v>
      </c>
      <c r="L469" t="str">
        <f>Procurement_Raw!L469</f>
        <v>ERP</v>
      </c>
      <c r="M469" s="8">
        <f>Procurement_Raw!M469</f>
        <v>201.74</v>
      </c>
      <c r="N469" s="7">
        <f>Procurement_Raw!N469</f>
        <v>1008.7</v>
      </c>
      <c r="O469" s="7">
        <f t="shared" si="14"/>
        <v>1008.7</v>
      </c>
      <c r="P469" t="str">
        <f>IFERROR(INDEX(Supplier_Lookup!$B$2:$B$200,MATCH(E469,Supplier_Lookup!$A$2:$A$200,0)),"Unmapped")</f>
        <v>Vehicle &amp; Fuel</v>
      </c>
      <c r="Q469" s="10">
        <f>IFERROR(INDEX(Category_Targets!$B$2:$B$9,MATCH(F469,Category_Targets!$A$2:$A$9,0)),0)</f>
        <v>0.05</v>
      </c>
      <c r="R469" s="7">
        <f t="shared" si="15"/>
        <v>50.435000000000002</v>
      </c>
    </row>
    <row r="470" spans="1:18" x14ac:dyDescent="0.25">
      <c r="A470" s="5">
        <f>Procurement_Raw!A470</f>
        <v>45854</v>
      </c>
      <c r="B470" t="str">
        <f>Procurement_Raw!B470</f>
        <v>S017</v>
      </c>
      <c r="C470" t="str">
        <f>Procurement_Raw!C470</f>
        <v>Swansea Care &amp; Education Centre</v>
      </c>
      <c r="D470" t="str">
        <f>Procurement_Raw!D470</f>
        <v>Wales</v>
      </c>
      <c r="E470" t="str">
        <f>Procurement_Raw!E470</f>
        <v>CleanWorks</v>
      </c>
      <c r="F470" t="str">
        <f>Procurement_Raw!F470</f>
        <v>Facilities</v>
      </c>
      <c r="G470" t="str">
        <f>Procurement_Raw!G470</f>
        <v>INV-2025-00469</v>
      </c>
      <c r="H470" s="6">
        <f>Procurement_Raw!H470</f>
        <v>72</v>
      </c>
      <c r="I470" s="7">
        <f>Procurement_Raw!I470</f>
        <v>134.44999999999999</v>
      </c>
      <c r="J470" s="7">
        <f>Procurement_Raw!J470</f>
        <v>9680.2900000000009</v>
      </c>
      <c r="K470" s="6">
        <f>Procurement_Raw!K470</f>
        <v>60</v>
      </c>
      <c r="L470" t="str">
        <f>Procurement_Raw!L470</f>
        <v>Legacy Spend File</v>
      </c>
      <c r="M470" s="8">
        <f>Procurement_Raw!M470</f>
        <v>1936.058</v>
      </c>
      <c r="N470" s="7">
        <f>Procurement_Raw!N470</f>
        <v>9680.2900000000009</v>
      </c>
      <c r="O470" s="7">
        <f t="shared" si="14"/>
        <v>9680.2900000000009</v>
      </c>
      <c r="P470" t="str">
        <f>IFERROR(INDEX(Supplier_Lookup!$B$2:$B$200,MATCH(E470,Supplier_Lookup!$A$2:$A$200,0)),"Unmapped")</f>
        <v>Facilities</v>
      </c>
      <c r="Q470" s="10">
        <f>IFERROR(INDEX(Category_Targets!$B$2:$B$9,MATCH(F470,Category_Targets!$A$2:$A$9,0)),0)</f>
        <v>0.05</v>
      </c>
      <c r="R470" s="7">
        <f t="shared" si="15"/>
        <v>484.01450000000006</v>
      </c>
    </row>
    <row r="471" spans="1:18" x14ac:dyDescent="0.25">
      <c r="A471" s="5">
        <f>Procurement_Raw!A471</f>
        <v>45909</v>
      </c>
      <c r="B471" t="str">
        <f>Procurement_Raw!B471</f>
        <v>S010</v>
      </c>
      <c r="C471" t="str">
        <f>Procurement_Raw!C471</f>
        <v>Coventry Care &amp; Education Centre</v>
      </c>
      <c r="D471" t="str">
        <f>Procurement_Raw!D471</f>
        <v>Midlands</v>
      </c>
      <c r="E471" t="str">
        <f>Procurement_Raw!E471</f>
        <v>NurseLink</v>
      </c>
      <c r="F471" t="str">
        <f>Procurement_Raw!F471</f>
        <v>Agency Labour</v>
      </c>
      <c r="G471" t="str">
        <f>Procurement_Raw!G471</f>
        <v>INV-2025-00470</v>
      </c>
      <c r="H471" s="6">
        <f>Procurement_Raw!H471</f>
        <v>54</v>
      </c>
      <c r="I471" s="7">
        <f>Procurement_Raw!I471</f>
        <v>218.56</v>
      </c>
      <c r="J471" s="7">
        <f>Procurement_Raw!J471</f>
        <v>11802.5</v>
      </c>
      <c r="K471" s="6">
        <f>Procurement_Raw!K471</f>
        <v>60</v>
      </c>
      <c r="L471" t="str">
        <f>Procurement_Raw!L471</f>
        <v>Procurement Portal</v>
      </c>
      <c r="M471" s="8">
        <f>Procurement_Raw!M471</f>
        <v>2360.5</v>
      </c>
      <c r="N471" s="7">
        <f>Procurement_Raw!N471</f>
        <v>11802.5</v>
      </c>
      <c r="O471" s="7">
        <f t="shared" si="14"/>
        <v>11802.5</v>
      </c>
      <c r="P471" t="str">
        <f>IFERROR(INDEX(Supplier_Lookup!$B$2:$B$200,MATCH(E471,Supplier_Lookup!$A$2:$A$200,0)),"Unmapped")</f>
        <v>Agency Labour</v>
      </c>
      <c r="Q471" s="10">
        <f>IFERROR(INDEX(Category_Targets!$B$2:$B$9,MATCH(F471,Category_Targets!$A$2:$A$9,0)),0)</f>
        <v>7.0000000000000007E-2</v>
      </c>
      <c r="R471" s="7">
        <f t="shared" si="15"/>
        <v>826.17500000000007</v>
      </c>
    </row>
    <row r="472" spans="1:18" x14ac:dyDescent="0.25">
      <c r="A472" s="5">
        <f>Procurement_Raw!A472</f>
        <v>45947</v>
      </c>
      <c r="B472" t="str">
        <f>Procurement_Raw!B472</f>
        <v>S003</v>
      </c>
      <c r="C472" t="str">
        <f>Procurement_Raw!C472</f>
        <v>Leeds Care &amp; Education Centre</v>
      </c>
      <c r="D472" t="str">
        <f>Procurement_Raw!D472</f>
        <v>North</v>
      </c>
      <c r="E472" t="str">
        <f>Procurement_Raw!E472</f>
        <v>CleanWorks</v>
      </c>
      <c r="F472" t="str">
        <f>Procurement_Raw!F472</f>
        <v>Facilities</v>
      </c>
      <c r="G472" t="str">
        <f>Procurement_Raw!G472</f>
        <v>INV-2025-00471</v>
      </c>
      <c r="H472" s="6">
        <f>Procurement_Raw!H472</f>
        <v>4</v>
      </c>
      <c r="I472" s="7">
        <f>Procurement_Raw!I472</f>
        <v>154.72999999999999</v>
      </c>
      <c r="J472" s="7">
        <f>Procurement_Raw!J472</f>
        <v>618.91999999999996</v>
      </c>
      <c r="K472" s="6">
        <f>Procurement_Raw!K472</f>
        <v>30</v>
      </c>
      <c r="L472" t="str">
        <f>Procurement_Raw!L472</f>
        <v>Procurement Portal</v>
      </c>
      <c r="M472" s="8">
        <f>Procurement_Raw!M472</f>
        <v>123.78400000000001</v>
      </c>
      <c r="N472" s="7">
        <f>Procurement_Raw!N472</f>
        <v>618.91999999999996</v>
      </c>
      <c r="O472" s="7">
        <f t="shared" si="14"/>
        <v>618.91999999999996</v>
      </c>
      <c r="P472" t="str">
        <f>IFERROR(INDEX(Supplier_Lookup!$B$2:$B$200,MATCH(E472,Supplier_Lookup!$A$2:$A$200,0)),"Unmapped")</f>
        <v>Facilities</v>
      </c>
      <c r="Q472" s="10">
        <f>IFERROR(INDEX(Category_Targets!$B$2:$B$9,MATCH(F472,Category_Targets!$A$2:$A$9,0)),0)</f>
        <v>0.05</v>
      </c>
      <c r="R472" s="7">
        <f t="shared" si="15"/>
        <v>30.945999999999998</v>
      </c>
    </row>
    <row r="473" spans="1:18" x14ac:dyDescent="0.25">
      <c r="A473" s="5">
        <f>Procurement_Raw!A473</f>
        <v>45933</v>
      </c>
      <c r="B473" t="str">
        <f>Procurement_Raw!B473</f>
        <v>S003</v>
      </c>
      <c r="C473" t="str">
        <f>Procurement_Raw!C473</f>
        <v>Leeds Care &amp; Education Centre</v>
      </c>
      <c r="D473" t="str">
        <f>Procurement_Raw!D473</f>
        <v>North</v>
      </c>
      <c r="E473" t="str">
        <f>Procurement_Raw!E473</f>
        <v>CloudLink</v>
      </c>
      <c r="F473" t="str">
        <f>Procurement_Raw!F473</f>
        <v>IT &amp; Telecoms</v>
      </c>
      <c r="G473" t="str">
        <f>Procurement_Raw!G473</f>
        <v>INV-2025-00472</v>
      </c>
      <c r="H473" s="6">
        <f>Procurement_Raw!H473</f>
        <v>37</v>
      </c>
      <c r="I473" s="7">
        <f>Procurement_Raw!I473</f>
        <v>62.03</v>
      </c>
      <c r="J473" s="7">
        <f>Procurement_Raw!J473</f>
        <v>2295</v>
      </c>
      <c r="K473" s="6">
        <f>Procurement_Raw!K473</f>
        <v>30</v>
      </c>
      <c r="L473" t="str">
        <f>Procurement_Raw!L473</f>
        <v>Procurement Portal</v>
      </c>
      <c r="M473" s="8">
        <f>Procurement_Raw!M473</f>
        <v>459</v>
      </c>
      <c r="N473" s="7">
        <f>Procurement_Raw!N473</f>
        <v>2295</v>
      </c>
      <c r="O473" s="7">
        <f t="shared" si="14"/>
        <v>2295</v>
      </c>
      <c r="P473" t="str">
        <f>IFERROR(INDEX(Supplier_Lookup!$B$2:$B$200,MATCH(E473,Supplier_Lookup!$A$2:$A$200,0)),"Unmapped")</f>
        <v>medical supplies</v>
      </c>
      <c r="Q473" s="10">
        <f>IFERROR(INDEX(Category_Targets!$B$2:$B$9,MATCH(F473,Category_Targets!$A$2:$A$9,0)),0)</f>
        <v>0.08</v>
      </c>
      <c r="R473" s="7">
        <f t="shared" si="15"/>
        <v>183.6</v>
      </c>
    </row>
    <row r="474" spans="1:18" x14ac:dyDescent="0.25">
      <c r="A474" s="5">
        <f>Procurement_Raw!A474</f>
        <v>45919</v>
      </c>
      <c r="B474" t="str">
        <f>Procurement_Raw!B474</f>
        <v>S016</v>
      </c>
      <c r="C474" t="str">
        <f>Procurement_Raw!C474</f>
        <v>Cardiff Care &amp; Education Centre</v>
      </c>
      <c r="D474" t="str">
        <f>Procurement_Raw!D474</f>
        <v>Wales</v>
      </c>
      <c r="E474" t="str">
        <f>Procurement_Raw!E474</f>
        <v>PrintCo</v>
      </c>
      <c r="F474" t="str">
        <f>Procurement_Raw!F474</f>
        <v>Office &amp; Training</v>
      </c>
      <c r="G474" t="str">
        <f>Procurement_Raw!G474</f>
        <v>INV-2025-00473</v>
      </c>
      <c r="H474" s="6">
        <f>Procurement_Raw!H474</f>
        <v>15</v>
      </c>
      <c r="I474" s="7">
        <f>Procurement_Raw!I474</f>
        <v>32.590000000000003</v>
      </c>
      <c r="J474" s="7">
        <f>Procurement_Raw!J474</f>
        <v>488.91</v>
      </c>
      <c r="K474" s="6">
        <f>Procurement_Raw!K474</f>
        <v>60</v>
      </c>
      <c r="L474" t="str">
        <f>Procurement_Raw!L474</f>
        <v>ERP</v>
      </c>
      <c r="M474" s="8">
        <f>Procurement_Raw!M474</f>
        <v>97.781999999999996</v>
      </c>
      <c r="N474" s="7">
        <f>Procurement_Raw!N474</f>
        <v>488.91</v>
      </c>
      <c r="O474" s="7">
        <f t="shared" si="14"/>
        <v>488.91</v>
      </c>
      <c r="P474" t="str">
        <f>IFERROR(INDEX(Supplier_Lookup!$B$2:$B$200,MATCH(E474,Supplier_Lookup!$A$2:$A$200,0)),"Unmapped")</f>
        <v>Office &amp; Training</v>
      </c>
      <c r="Q474" s="10">
        <f>IFERROR(INDEX(Category_Targets!$B$2:$B$9,MATCH(F474,Category_Targets!$A$2:$A$9,0)),0)</f>
        <v>0.04</v>
      </c>
      <c r="R474" s="7">
        <f t="shared" si="15"/>
        <v>19.5564</v>
      </c>
    </row>
    <row r="475" spans="1:18" x14ac:dyDescent="0.25">
      <c r="A475" s="5">
        <f>Procurement_Raw!A475</f>
        <v>45679</v>
      </c>
      <c r="B475" t="str">
        <f>Procurement_Raw!B475</f>
        <v>S007</v>
      </c>
      <c r="C475" t="str">
        <f>Procurement_Raw!C475</f>
        <v>Nottingham Care &amp; Education Centre</v>
      </c>
      <c r="D475" t="str">
        <f>Procurement_Raw!D475</f>
        <v>Midlands</v>
      </c>
      <c r="E475" t="str">
        <f>Procurement_Raw!E475</f>
        <v>AutoCare</v>
      </c>
      <c r="F475" t="str">
        <f>Procurement_Raw!F475</f>
        <v>Vehicle &amp; Fuel</v>
      </c>
      <c r="G475" t="str">
        <f>Procurement_Raw!G475</f>
        <v>INV-2025-00474</v>
      </c>
      <c r="H475" s="6">
        <f>Procurement_Raw!H475</f>
        <v>57</v>
      </c>
      <c r="I475" s="7">
        <f>Procurement_Raw!I475</f>
        <v>201.47</v>
      </c>
      <c r="J475" s="7">
        <f>Procurement_Raw!J475</f>
        <v>11483.99</v>
      </c>
      <c r="K475" s="6">
        <f>Procurement_Raw!K475</f>
        <v>60</v>
      </c>
      <c r="L475" t="str">
        <f>Procurement_Raw!L475</f>
        <v>ERP</v>
      </c>
      <c r="M475" s="8">
        <f>Procurement_Raw!M475</f>
        <v>2296.7979999999998</v>
      </c>
      <c r="N475" s="7">
        <f>Procurement_Raw!N475</f>
        <v>11483.99</v>
      </c>
      <c r="O475" s="7">
        <f t="shared" si="14"/>
        <v>11483.99</v>
      </c>
      <c r="P475" t="str">
        <f>IFERROR(INDEX(Supplier_Lookup!$B$2:$B$200,MATCH(E475,Supplier_Lookup!$A$2:$A$200,0)),"Unmapped")</f>
        <v>Vehicle &amp; Fuel</v>
      </c>
      <c r="Q475" s="10">
        <f>IFERROR(INDEX(Category_Targets!$B$2:$B$9,MATCH(F475,Category_Targets!$A$2:$A$9,0)),0)</f>
        <v>0.05</v>
      </c>
      <c r="R475" s="7">
        <f t="shared" si="15"/>
        <v>574.19950000000006</v>
      </c>
    </row>
    <row r="476" spans="1:18" x14ac:dyDescent="0.25">
      <c r="A476" s="5">
        <f>Procurement_Raw!A476</f>
        <v>45992</v>
      </c>
      <c r="B476" t="str">
        <f>Procurement_Raw!B476</f>
        <v>S006</v>
      </c>
      <c r="C476" t="str">
        <f>Procurement_Raw!C476</f>
        <v>Birmingham Care &amp; Education Centre</v>
      </c>
      <c r="D476" t="str">
        <f>Procurement_Raw!D476</f>
        <v>Midlands</v>
      </c>
      <c r="E476" t="str">
        <f>Procurement_Raw!E476</f>
        <v>KitchenPro</v>
      </c>
      <c r="F476" t="str">
        <f>Procurement_Raw!F476</f>
        <v>Food &amp; Catering</v>
      </c>
      <c r="G476" t="str">
        <f>Procurement_Raw!G476</f>
        <v>INV-2025-00475</v>
      </c>
      <c r="H476" s="6">
        <f>Procurement_Raw!H476</f>
        <v>32</v>
      </c>
      <c r="I476" s="7">
        <f>Procurement_Raw!I476</f>
        <v>160.63</v>
      </c>
      <c r="J476" s="7">
        <f>Procurement_Raw!J476</f>
        <v>5140.24</v>
      </c>
      <c r="K476" s="6">
        <f>Procurement_Raw!K476</f>
        <v>45</v>
      </c>
      <c r="L476" t="str">
        <f>Procurement_Raw!L476</f>
        <v>ERP</v>
      </c>
      <c r="M476" s="8">
        <f>Procurement_Raw!M476</f>
        <v>1028.048</v>
      </c>
      <c r="N476" s="7">
        <f>Procurement_Raw!N476</f>
        <v>5140.24</v>
      </c>
      <c r="O476" s="7">
        <f t="shared" si="14"/>
        <v>5140.24</v>
      </c>
      <c r="P476" t="str">
        <f>IFERROR(INDEX(Supplier_Lookup!$B$2:$B$200,MATCH(E476,Supplier_Lookup!$A$2:$A$200,0)),"Unmapped")</f>
        <v>Food &amp; Catering</v>
      </c>
      <c r="Q476" s="10">
        <f>IFERROR(INDEX(Category_Targets!$B$2:$B$9,MATCH(F476,Category_Targets!$A$2:$A$9,0)),0)</f>
        <v>0.04</v>
      </c>
      <c r="R476" s="7">
        <f t="shared" si="15"/>
        <v>205.6096</v>
      </c>
    </row>
    <row r="477" spans="1:18" x14ac:dyDescent="0.25">
      <c r="A477" s="5">
        <f>Procurement_Raw!A477</f>
        <v>45702</v>
      </c>
      <c r="B477" t="str">
        <f>Procurement_Raw!B477</f>
        <v>S001</v>
      </c>
      <c r="C477" t="str">
        <f>Procurement_Raw!C477</f>
        <v>Preston Care &amp; Education Centre</v>
      </c>
      <c r="D477" t="str">
        <f>Procurement_Raw!D477</f>
        <v>North</v>
      </c>
      <c r="E477" t="str">
        <f>Procurement_Raw!E477</f>
        <v>TeleCare IT</v>
      </c>
      <c r="F477" t="str">
        <f>Procurement_Raw!F477</f>
        <v>IT &amp; Telecoms</v>
      </c>
      <c r="G477" t="str">
        <f>Procurement_Raw!G477</f>
        <v>INV-2025-00476</v>
      </c>
      <c r="H477" s="6">
        <f>Procurement_Raw!H477</f>
        <v>57</v>
      </c>
      <c r="I477" s="7">
        <f>Procurement_Raw!I477</f>
        <v>191.84</v>
      </c>
      <c r="J477" s="7">
        <f>Procurement_Raw!J477</f>
        <v>10934.84</v>
      </c>
      <c r="K477" s="6">
        <f>Procurement_Raw!K477</f>
        <v>30</v>
      </c>
      <c r="L477" t="str">
        <f>Procurement_Raw!L477</f>
        <v>ERP</v>
      </c>
      <c r="M477" s="8">
        <f>Procurement_Raw!M477</f>
        <v>2186.9679999999998</v>
      </c>
      <c r="N477" s="7">
        <f>Procurement_Raw!N477</f>
        <v>10934.84</v>
      </c>
      <c r="O477" s="7">
        <f t="shared" si="14"/>
        <v>10934.84</v>
      </c>
      <c r="P477" t="str">
        <f>IFERROR(INDEX(Supplier_Lookup!$B$2:$B$200,MATCH(E477,Supplier_Lookup!$A$2:$A$200,0)),"Unmapped")</f>
        <v>IT &amp; Telecoms</v>
      </c>
      <c r="Q477" s="10">
        <f>IFERROR(INDEX(Category_Targets!$B$2:$B$9,MATCH(F477,Category_Targets!$A$2:$A$9,0)),0)</f>
        <v>0.08</v>
      </c>
      <c r="R477" s="7">
        <f t="shared" si="15"/>
        <v>874.78719999999998</v>
      </c>
    </row>
    <row r="478" spans="1:18" x14ac:dyDescent="0.25">
      <c r="A478" s="5">
        <f>Procurement_Raw!A478</f>
        <v>45970</v>
      </c>
      <c r="B478" t="str">
        <f>Procurement_Raw!B478</f>
        <v>S011</v>
      </c>
      <c r="C478" t="str">
        <f>Procurement_Raw!C478</f>
        <v>London Care &amp; Education Centre</v>
      </c>
      <c r="D478" t="str">
        <f>Procurement_Raw!D478</f>
        <v>South</v>
      </c>
      <c r="E478" t="str">
        <f>Procurement_Raw!E478</f>
        <v>AutoCare</v>
      </c>
      <c r="F478" t="str">
        <f>Procurement_Raw!F478</f>
        <v>Vehicle &amp; Fuel</v>
      </c>
      <c r="G478" t="str">
        <f>Procurement_Raw!G478</f>
        <v>INV-2025-00477</v>
      </c>
      <c r="H478" s="6">
        <f>Procurement_Raw!H478</f>
        <v>55</v>
      </c>
      <c r="I478" s="7">
        <f>Procurement_Raw!I478</f>
        <v>130.44999999999999</v>
      </c>
      <c r="J478" s="7">
        <f>Procurement_Raw!J478</f>
        <v>7174.7</v>
      </c>
      <c r="K478" s="6">
        <f>Procurement_Raw!K478</f>
        <v>30</v>
      </c>
      <c r="L478" t="str">
        <f>Procurement_Raw!L478</f>
        <v>Legacy Spend File</v>
      </c>
      <c r="M478" s="8">
        <f>Procurement_Raw!M478</f>
        <v>1434.94</v>
      </c>
      <c r="N478" s="7">
        <f>Procurement_Raw!N478</f>
        <v>7174.7</v>
      </c>
      <c r="O478" s="7">
        <f t="shared" si="14"/>
        <v>7174.7</v>
      </c>
      <c r="P478" t="str">
        <f>IFERROR(INDEX(Supplier_Lookup!$B$2:$B$200,MATCH(E478,Supplier_Lookup!$A$2:$A$200,0)),"Unmapped")</f>
        <v>Vehicle &amp; Fuel</v>
      </c>
      <c r="Q478" s="10">
        <f>IFERROR(INDEX(Category_Targets!$B$2:$B$9,MATCH(F478,Category_Targets!$A$2:$A$9,0)),0)</f>
        <v>0.05</v>
      </c>
      <c r="R478" s="7">
        <f t="shared" si="15"/>
        <v>358.73500000000001</v>
      </c>
    </row>
    <row r="479" spans="1:18" x14ac:dyDescent="0.25">
      <c r="A479" s="5">
        <f>Procurement_Raw!A479</f>
        <v>45688</v>
      </c>
      <c r="B479" t="str">
        <f>Procurement_Raw!B479</f>
        <v>S007</v>
      </c>
      <c r="C479" t="str">
        <f>Procurement_Raw!C479</f>
        <v>Nottingham Care &amp; Education Centre</v>
      </c>
      <c r="D479" t="str">
        <f>Procurement_Raw!D479</f>
        <v>Midlands</v>
      </c>
      <c r="E479" t="str">
        <f>Procurement_Raw!E479</f>
        <v>UK Energy Partners</v>
      </c>
      <c r="F479" t="str">
        <f>Procurement_Raw!F479</f>
        <v>Utilities</v>
      </c>
      <c r="G479" t="str">
        <f>Procurement_Raw!G479</f>
        <v>INV-2025-00478</v>
      </c>
      <c r="H479" s="6">
        <f>Procurement_Raw!H479</f>
        <v>73</v>
      </c>
      <c r="I479" s="7">
        <f>Procurement_Raw!I479</f>
        <v>296.68</v>
      </c>
      <c r="J479" s="7">
        <f>Procurement_Raw!J479</f>
        <v>21657.52</v>
      </c>
      <c r="K479" s="6">
        <f>Procurement_Raw!K479</f>
        <v>45</v>
      </c>
      <c r="L479" t="str">
        <f>Procurement_Raw!L479</f>
        <v>Legacy Spend File</v>
      </c>
      <c r="M479" s="8">
        <f>Procurement_Raw!M479</f>
        <v>4331.5039999999999</v>
      </c>
      <c r="N479" s="7">
        <f>Procurement_Raw!N479</f>
        <v>21657.52</v>
      </c>
      <c r="O479" s="7">
        <f t="shared" si="14"/>
        <v>21657.52</v>
      </c>
      <c r="P479" t="str">
        <f>IFERROR(INDEX(Supplier_Lookup!$B$2:$B$200,MATCH(E479,Supplier_Lookup!$A$2:$A$200,0)),"Unmapped")</f>
        <v>Utilities</v>
      </c>
      <c r="Q479" s="10">
        <f>IFERROR(INDEX(Category_Targets!$B$2:$B$9,MATCH(F479,Category_Targets!$A$2:$A$9,0)),0)</f>
        <v>0.03</v>
      </c>
      <c r="R479" s="7">
        <f t="shared" si="15"/>
        <v>649.72559999999999</v>
      </c>
    </row>
    <row r="480" spans="1:18" x14ac:dyDescent="0.25">
      <c r="A480" s="5">
        <f>Procurement_Raw!A480</f>
        <v>46018</v>
      </c>
      <c r="B480" t="str">
        <f>Procurement_Raw!B480</f>
        <v>S008</v>
      </c>
      <c r="C480" t="str">
        <f>Procurement_Raw!C480</f>
        <v>Leicester Care &amp; Education Centre</v>
      </c>
      <c r="D480" t="str">
        <f>Procurement_Raw!D480</f>
        <v>Midlands</v>
      </c>
      <c r="E480" t="str">
        <f>Procurement_Raw!E480</f>
        <v>SafeGuard FM</v>
      </c>
      <c r="F480" t="str">
        <f>Procurement_Raw!F480</f>
        <v>Facilities</v>
      </c>
      <c r="G480" t="str">
        <f>Procurement_Raw!G480</f>
        <v>INV-2025-00479</v>
      </c>
      <c r="H480" s="6">
        <f>Procurement_Raw!H480</f>
        <v>38</v>
      </c>
      <c r="I480" s="7">
        <f>Procurement_Raw!I480</f>
        <v>978.81</v>
      </c>
      <c r="J480" s="7">
        <f>Procurement_Raw!J480</f>
        <v>37194.92</v>
      </c>
      <c r="K480" s="6">
        <f>Procurement_Raw!K480</f>
        <v>45</v>
      </c>
      <c r="L480" t="str">
        <f>Procurement_Raw!L480</f>
        <v>Legacy Spend File</v>
      </c>
      <c r="M480" s="8">
        <f>Procurement_Raw!M480</f>
        <v>7438.9840000000004</v>
      </c>
      <c r="N480" s="7">
        <f>Procurement_Raw!N480</f>
        <v>37194.92</v>
      </c>
      <c r="O480" s="7">
        <f t="shared" si="14"/>
        <v>37194.92</v>
      </c>
      <c r="P480" t="str">
        <f>IFERROR(INDEX(Supplier_Lookup!$B$2:$B$200,MATCH(E480,Supplier_Lookup!$A$2:$A$200,0)),"Unmapped")</f>
        <v>Facilities</v>
      </c>
      <c r="Q480" s="10">
        <f>IFERROR(INDEX(Category_Targets!$B$2:$B$9,MATCH(F480,Category_Targets!$A$2:$A$9,0)),0)</f>
        <v>0.05</v>
      </c>
      <c r="R480" s="7">
        <f t="shared" si="15"/>
        <v>1859.7460000000001</v>
      </c>
    </row>
    <row r="481" spans="1:18" x14ac:dyDescent="0.25">
      <c r="A481" s="5">
        <f>Procurement_Raw!A481</f>
        <v>45868</v>
      </c>
      <c r="B481" t="str">
        <f>Procurement_Raw!B481</f>
        <v>S018</v>
      </c>
      <c r="C481" t="str">
        <f>Procurement_Raw!C481</f>
        <v>Newport Care &amp; Education Centre</v>
      </c>
      <c r="D481" t="str">
        <f>Procurement_Raw!D481</f>
        <v>Wales</v>
      </c>
      <c r="E481" t="str">
        <f>Procurement_Raw!E481</f>
        <v>FreshServe</v>
      </c>
      <c r="F481" t="str">
        <f>Procurement_Raw!F481</f>
        <v>Food &amp; Catering</v>
      </c>
      <c r="G481" t="str">
        <f>Procurement_Raw!G481</f>
        <v>INV-2025-00480</v>
      </c>
      <c r="H481" s="6">
        <f>Procurement_Raw!H481</f>
        <v>8</v>
      </c>
      <c r="I481" s="7">
        <f>Procurement_Raw!I481</f>
        <v>120.32</v>
      </c>
      <c r="J481" s="7">
        <f>Procurement_Raw!J481</f>
        <v>962.56</v>
      </c>
      <c r="K481" s="6">
        <f>Procurement_Raw!K481</f>
        <v>45</v>
      </c>
      <c r="L481" t="str">
        <f>Procurement_Raw!L481</f>
        <v>Legacy Spend File</v>
      </c>
      <c r="M481" s="8">
        <f>Procurement_Raw!M481</f>
        <v>192.512</v>
      </c>
      <c r="N481" s="7">
        <f>Procurement_Raw!N481</f>
        <v>962.56</v>
      </c>
      <c r="O481" s="7">
        <f t="shared" si="14"/>
        <v>962.56</v>
      </c>
      <c r="P481" t="str">
        <f>IFERROR(INDEX(Supplier_Lookup!$B$2:$B$200,MATCH(E481,Supplier_Lookup!$A$2:$A$200,0)),"Unmapped")</f>
        <v>Food &amp; Catering</v>
      </c>
      <c r="Q481" s="10">
        <f>IFERROR(INDEX(Category_Targets!$B$2:$B$9,MATCH(F481,Category_Targets!$A$2:$A$9,0)),0)</f>
        <v>0.04</v>
      </c>
      <c r="R481" s="7">
        <f t="shared" si="15"/>
        <v>38.502400000000002</v>
      </c>
    </row>
    <row r="482" spans="1:18" x14ac:dyDescent="0.25">
      <c r="A482" s="5">
        <f>Procurement_Raw!A482</f>
        <v>45732</v>
      </c>
      <c r="B482" t="str">
        <f>Procurement_Raw!B482</f>
        <v>S009</v>
      </c>
      <c r="C482" t="str">
        <f>Procurement_Raw!C482</f>
        <v>Derby Care &amp; Education Centre</v>
      </c>
      <c r="D482" t="str">
        <f>Procurement_Raw!D482</f>
        <v>Midlands</v>
      </c>
      <c r="E482" t="str">
        <f>Procurement_Raw!E482</f>
        <v>CleanWorks</v>
      </c>
      <c r="F482" t="str">
        <f>Procurement_Raw!F482</f>
        <v>Facilities</v>
      </c>
      <c r="G482" t="str">
        <f>Procurement_Raw!G482</f>
        <v>INV-2025-00481</v>
      </c>
      <c r="H482" s="6">
        <f>Procurement_Raw!H482</f>
        <v>42</v>
      </c>
      <c r="I482" s="7">
        <f>Procurement_Raw!I482</f>
        <v>167.77</v>
      </c>
      <c r="J482" s="7">
        <f>Procurement_Raw!J482</f>
        <v>7046.4</v>
      </c>
      <c r="K482" s="6">
        <f>Procurement_Raw!K482</f>
        <v>30</v>
      </c>
      <c r="L482" t="str">
        <f>Procurement_Raw!L482</f>
        <v>Legacy Spend File</v>
      </c>
      <c r="M482" s="8">
        <f>Procurement_Raw!M482</f>
        <v>1409.28</v>
      </c>
      <c r="N482" s="7">
        <f>Procurement_Raw!N482</f>
        <v>7046.4</v>
      </c>
      <c r="O482" s="7">
        <f t="shared" si="14"/>
        <v>7046.4</v>
      </c>
      <c r="P482" t="str">
        <f>IFERROR(INDEX(Supplier_Lookup!$B$2:$B$200,MATCH(E482,Supplier_Lookup!$A$2:$A$200,0)),"Unmapped")</f>
        <v>Facilities</v>
      </c>
      <c r="Q482" s="10">
        <f>IFERROR(INDEX(Category_Targets!$B$2:$B$9,MATCH(F482,Category_Targets!$A$2:$A$9,0)),0)</f>
        <v>0.05</v>
      </c>
      <c r="R482" s="7">
        <f t="shared" si="15"/>
        <v>352.32</v>
      </c>
    </row>
    <row r="483" spans="1:18" x14ac:dyDescent="0.25">
      <c r="A483" s="5">
        <f>Procurement_Raw!A483</f>
        <v>45953</v>
      </c>
      <c r="B483" t="str">
        <f>Procurement_Raw!B483</f>
        <v>S014</v>
      </c>
      <c r="C483" t="str">
        <f>Procurement_Raw!C483</f>
        <v>Southampton Care &amp; Education Centre</v>
      </c>
      <c r="D483" t="str">
        <f>Procurement_Raw!D483</f>
        <v>South</v>
      </c>
      <c r="E483" t="str">
        <f>Procurement_Raw!E483</f>
        <v>OfficePlus</v>
      </c>
      <c r="F483" t="str">
        <f>Procurement_Raw!F483</f>
        <v>Office &amp; Training</v>
      </c>
      <c r="G483" t="str">
        <f>Procurement_Raw!G483</f>
        <v>INV-2025-00482</v>
      </c>
      <c r="H483" s="6">
        <f>Procurement_Raw!H483</f>
        <v>35</v>
      </c>
      <c r="I483" s="7">
        <f>Procurement_Raw!I483</f>
        <v>44.34</v>
      </c>
      <c r="J483" s="7">
        <f>Procurement_Raw!J483</f>
        <v>1551.98</v>
      </c>
      <c r="K483" s="6">
        <f>Procurement_Raw!K483</f>
        <v>60</v>
      </c>
      <c r="L483" t="str">
        <f>Procurement_Raw!L483</f>
        <v>Procurement Portal</v>
      </c>
      <c r="M483" s="8">
        <f>Procurement_Raw!M483</f>
        <v>310.39600000000002</v>
      </c>
      <c r="N483" s="7">
        <f>Procurement_Raw!N483</f>
        <v>1551.98</v>
      </c>
      <c r="O483" s="7">
        <f t="shared" si="14"/>
        <v>1551.98</v>
      </c>
      <c r="P483" t="str">
        <f>IFERROR(INDEX(Supplier_Lookup!$B$2:$B$200,MATCH(E483,Supplier_Lookup!$A$2:$A$200,0)),"Unmapped")</f>
        <v>Office &amp; Training</v>
      </c>
      <c r="Q483" s="10">
        <f>IFERROR(INDEX(Category_Targets!$B$2:$B$9,MATCH(F483,Category_Targets!$A$2:$A$9,0)),0)</f>
        <v>0.04</v>
      </c>
      <c r="R483" s="7">
        <f t="shared" si="15"/>
        <v>62.0792</v>
      </c>
    </row>
    <row r="484" spans="1:18" x14ac:dyDescent="0.25">
      <c r="A484" s="5">
        <f>Procurement_Raw!A484</f>
        <v>45982</v>
      </c>
      <c r="B484" t="str">
        <f>Procurement_Raw!B484</f>
        <v>S016</v>
      </c>
      <c r="C484" t="str">
        <f>Procurement_Raw!C484</f>
        <v>Cardiff Care &amp; Education Centre</v>
      </c>
      <c r="D484" t="str">
        <f>Procurement_Raw!D484</f>
        <v>Wales</v>
      </c>
      <c r="E484" t="str">
        <f>Procurement_Raw!E484</f>
        <v>OfficePlus</v>
      </c>
      <c r="F484" t="str">
        <f>Procurement_Raw!F484</f>
        <v>Office &amp; Training</v>
      </c>
      <c r="G484" t="str">
        <f>Procurement_Raw!G484</f>
        <v>INV-2025-00483</v>
      </c>
      <c r="H484" s="6">
        <f>Procurement_Raw!H484</f>
        <v>12</v>
      </c>
      <c r="I484" s="7">
        <f>Procurement_Raw!I484</f>
        <v>31</v>
      </c>
      <c r="J484" s="7">
        <f>Procurement_Raw!J484</f>
        <v>371.98</v>
      </c>
      <c r="K484" s="6">
        <f>Procurement_Raw!K484</f>
        <v>45</v>
      </c>
      <c r="L484" t="str">
        <f>Procurement_Raw!L484</f>
        <v>Legacy Spend File</v>
      </c>
      <c r="M484" s="8">
        <f>Procurement_Raw!M484</f>
        <v>74.396000000000001</v>
      </c>
      <c r="N484" s="7">
        <f>Procurement_Raw!N484</f>
        <v>371.98</v>
      </c>
      <c r="O484" s="7">
        <f t="shared" si="14"/>
        <v>371.98</v>
      </c>
      <c r="P484" t="str">
        <f>IFERROR(INDEX(Supplier_Lookup!$B$2:$B$200,MATCH(E484,Supplier_Lookup!$A$2:$A$200,0)),"Unmapped")</f>
        <v>Office &amp; Training</v>
      </c>
      <c r="Q484" s="10">
        <f>IFERROR(INDEX(Category_Targets!$B$2:$B$9,MATCH(F484,Category_Targets!$A$2:$A$9,0)),0)</f>
        <v>0.04</v>
      </c>
      <c r="R484" s="7">
        <f t="shared" si="15"/>
        <v>14.879200000000001</v>
      </c>
    </row>
    <row r="485" spans="1:18" x14ac:dyDescent="0.25">
      <c r="A485" s="5">
        <f>Procurement_Raw!A485</f>
        <v>45846</v>
      </c>
      <c r="B485" t="str">
        <f>Procurement_Raw!B485</f>
        <v>S014</v>
      </c>
      <c r="C485" t="str">
        <f>Procurement_Raw!C485</f>
        <v>Southampton Care &amp; Education Centre</v>
      </c>
      <c r="D485" t="str">
        <f>Procurement_Raw!D485</f>
        <v>South</v>
      </c>
      <c r="E485" t="str">
        <f>Procurement_Raw!E485</f>
        <v>NetServe</v>
      </c>
      <c r="F485" t="str">
        <f>Procurement_Raw!F485</f>
        <v>IT &amp; Telecoms</v>
      </c>
      <c r="G485" t="str">
        <f>Procurement_Raw!G485</f>
        <v>INV-2025-00484</v>
      </c>
      <c r="H485" s="6">
        <f>Procurement_Raw!H485</f>
        <v>59</v>
      </c>
      <c r="I485" s="7">
        <f>Procurement_Raw!I485</f>
        <v>246.05</v>
      </c>
      <c r="J485" s="7">
        <f>Procurement_Raw!J485</f>
        <v>14516.92</v>
      </c>
      <c r="K485" s="6">
        <f>Procurement_Raw!K485</f>
        <v>45</v>
      </c>
      <c r="L485" t="str">
        <f>Procurement_Raw!L485</f>
        <v>Procurement Portal</v>
      </c>
      <c r="M485" s="8">
        <f>Procurement_Raw!M485</f>
        <v>2903.384</v>
      </c>
      <c r="N485" s="7">
        <f>Procurement_Raw!N485</f>
        <v>14516.92</v>
      </c>
      <c r="O485" s="7">
        <f t="shared" si="14"/>
        <v>14516.92</v>
      </c>
      <c r="P485" t="str">
        <f>IFERROR(INDEX(Supplier_Lookup!$B$2:$B$200,MATCH(E485,Supplier_Lookup!$A$2:$A$200,0)),"Unmapped")</f>
        <v>IT &amp; Telecoms</v>
      </c>
      <c r="Q485" s="10">
        <f>IFERROR(INDEX(Category_Targets!$B$2:$B$9,MATCH(F485,Category_Targets!$A$2:$A$9,0)),0)</f>
        <v>0.08</v>
      </c>
      <c r="R485" s="7">
        <f t="shared" si="15"/>
        <v>1161.3536000000001</v>
      </c>
    </row>
    <row r="486" spans="1:18" x14ac:dyDescent="0.25">
      <c r="A486" s="5">
        <f>Procurement_Raw!A486</f>
        <v>45705</v>
      </c>
      <c r="B486" t="str">
        <f>Procurement_Raw!B486</f>
        <v>S003</v>
      </c>
      <c r="C486" t="str">
        <f>Procurement_Raw!C486</f>
        <v>Leeds Care &amp; Education Centre</v>
      </c>
      <c r="D486" t="str">
        <f>Procurement_Raw!D486</f>
        <v>North</v>
      </c>
      <c r="E486" t="str">
        <f>Procurement_Raw!E486</f>
        <v>ClinEquip</v>
      </c>
      <c r="F486" t="str">
        <f>Procurement_Raw!F486</f>
        <v>Medical Supplies</v>
      </c>
      <c r="G486" t="str">
        <f>Procurement_Raw!G486</f>
        <v>INV-2025-00485</v>
      </c>
      <c r="H486" s="6">
        <f>Procurement_Raw!H486</f>
        <v>59</v>
      </c>
      <c r="I486" s="7">
        <f>Procurement_Raw!I486</f>
        <v>79.16</v>
      </c>
      <c r="J486" s="7">
        <f>Procurement_Raw!J486</f>
        <v>4670.57</v>
      </c>
      <c r="K486" s="6">
        <f>Procurement_Raw!K486</f>
        <v>60</v>
      </c>
      <c r="L486" t="str">
        <f>Procurement_Raw!L486</f>
        <v>Legacy Spend File</v>
      </c>
      <c r="M486" s="8">
        <f>Procurement_Raw!M486</f>
        <v>934.11400000000003</v>
      </c>
      <c r="N486" s="7">
        <f>Procurement_Raw!N486</f>
        <v>4670.57</v>
      </c>
      <c r="O486" s="7">
        <f t="shared" si="14"/>
        <v>4670.57</v>
      </c>
      <c r="P486" t="str">
        <f>IFERROR(INDEX(Supplier_Lookup!$B$2:$B$200,MATCH(E486,Supplier_Lookup!$A$2:$A$200,0)),"Unmapped")</f>
        <v>Medical Supplies</v>
      </c>
      <c r="Q486" s="10">
        <f>IFERROR(INDEX(Category_Targets!$B$2:$B$9,MATCH(F486,Category_Targets!$A$2:$A$9,0)),0)</f>
        <v>0.06</v>
      </c>
      <c r="R486" s="7">
        <f t="shared" si="15"/>
        <v>280.23419999999999</v>
      </c>
    </row>
    <row r="487" spans="1:18" x14ac:dyDescent="0.25">
      <c r="A487" s="5">
        <f>Procurement_Raw!A487</f>
        <v>45931</v>
      </c>
      <c r="B487" t="str">
        <f>Procurement_Raw!B487</f>
        <v>S017</v>
      </c>
      <c r="C487" t="str">
        <f>Procurement_Raw!C487</f>
        <v>Swansea Care &amp; Education Centre</v>
      </c>
      <c r="D487" t="str">
        <f>Procurement_Raw!D487</f>
        <v>Wales</v>
      </c>
      <c r="E487" t="str">
        <f>Procurement_Raw!E487</f>
        <v>FleetFuel</v>
      </c>
      <c r="F487" t="str">
        <f>Procurement_Raw!F487</f>
        <v>Vehicle &amp; Fuel</v>
      </c>
      <c r="G487" t="str">
        <f>Procurement_Raw!G487</f>
        <v>INV-2025-00486</v>
      </c>
      <c r="H487" s="6">
        <f>Procurement_Raw!H487</f>
        <v>51</v>
      </c>
      <c r="I487" s="7">
        <f>Procurement_Raw!I487</f>
        <v>43.45</v>
      </c>
      <c r="J487" s="7">
        <f>Procurement_Raw!J487</f>
        <v>2216.0100000000002</v>
      </c>
      <c r="K487" s="6">
        <f>Procurement_Raw!K487</f>
        <v>30</v>
      </c>
      <c r="L487" t="str">
        <f>Procurement_Raw!L487</f>
        <v>Procurement Portal</v>
      </c>
      <c r="M487" s="8">
        <f>Procurement_Raw!M487</f>
        <v>443.202</v>
      </c>
      <c r="N487" s="7">
        <f>Procurement_Raw!N487</f>
        <v>2216.0100000000002</v>
      </c>
      <c r="O487" s="7">
        <f t="shared" si="14"/>
        <v>2216.0100000000002</v>
      </c>
      <c r="P487" t="str">
        <f>IFERROR(INDEX(Supplier_Lookup!$B$2:$B$200,MATCH(E487,Supplier_Lookup!$A$2:$A$200,0)),"Unmapped")</f>
        <v>Vehicle &amp; Fuel</v>
      </c>
      <c r="Q487" s="10">
        <f>IFERROR(INDEX(Category_Targets!$B$2:$B$9,MATCH(F487,Category_Targets!$A$2:$A$9,0)),0)</f>
        <v>0.05</v>
      </c>
      <c r="R487" s="7">
        <f t="shared" si="15"/>
        <v>110.80050000000001</v>
      </c>
    </row>
    <row r="488" spans="1:18" x14ac:dyDescent="0.25">
      <c r="A488" s="5">
        <f>Procurement_Raw!A488</f>
        <v>45823</v>
      </c>
      <c r="B488" t="str">
        <f>Procurement_Raw!B488</f>
        <v>S009</v>
      </c>
      <c r="C488" t="str">
        <f>Procurement_Raw!C488</f>
        <v>Derby Care &amp; Education Centre</v>
      </c>
      <c r="D488" t="str">
        <f>Procurement_Raw!D488</f>
        <v>Midlands</v>
      </c>
      <c r="E488" t="str">
        <f>Procurement_Raw!E488</f>
        <v>LearnWell</v>
      </c>
      <c r="F488" t="str">
        <f>Procurement_Raw!F488</f>
        <v>Office &amp; Training</v>
      </c>
      <c r="G488" t="str">
        <f>Procurement_Raw!G488</f>
        <v>INV-2025-00487</v>
      </c>
      <c r="H488" s="6">
        <f>Procurement_Raw!H488</f>
        <v>37</v>
      </c>
      <c r="I488" s="7">
        <f>Procurement_Raw!I488</f>
        <v>52.56</v>
      </c>
      <c r="J488" s="7">
        <f>Procurement_Raw!J488</f>
        <v>1944.56</v>
      </c>
      <c r="K488" s="6">
        <f>Procurement_Raw!K488</f>
        <v>45</v>
      </c>
      <c r="L488" t="str">
        <f>Procurement_Raw!L488</f>
        <v>Legacy Spend File</v>
      </c>
      <c r="M488" s="8">
        <f>Procurement_Raw!M488</f>
        <v>388.91199999999998</v>
      </c>
      <c r="N488" s="7">
        <f>Procurement_Raw!N488</f>
        <v>1944.56</v>
      </c>
      <c r="O488" s="7">
        <f t="shared" si="14"/>
        <v>1944.56</v>
      </c>
      <c r="P488" t="str">
        <f>IFERROR(INDEX(Supplier_Lookup!$B$2:$B$200,MATCH(E488,Supplier_Lookup!$A$2:$A$200,0)),"Unmapped")</f>
        <v>Office &amp; Training</v>
      </c>
      <c r="Q488" s="10">
        <f>IFERROR(INDEX(Category_Targets!$B$2:$B$9,MATCH(F488,Category_Targets!$A$2:$A$9,0)),0)</f>
        <v>0.04</v>
      </c>
      <c r="R488" s="7">
        <f t="shared" si="15"/>
        <v>77.782399999999996</v>
      </c>
    </row>
    <row r="489" spans="1:18" x14ac:dyDescent="0.25">
      <c r="A489" s="5">
        <f>Procurement_Raw!A489</f>
        <v>45906</v>
      </c>
      <c r="B489" t="str">
        <f>Procurement_Raw!B489</f>
        <v>S008</v>
      </c>
      <c r="C489" t="str">
        <f>Procurement_Raw!C489</f>
        <v>Leicester Care &amp; Education Centre</v>
      </c>
      <c r="D489" t="str">
        <f>Procurement_Raw!D489</f>
        <v>Midlands</v>
      </c>
      <c r="E489" t="str">
        <f>Procurement_Raw!E489</f>
        <v>BuildCare</v>
      </c>
      <c r="F489" t="str">
        <f>Procurement_Raw!F489</f>
        <v>Facilities</v>
      </c>
      <c r="G489" t="str">
        <f>Procurement_Raw!G489</f>
        <v>INV-2025-00488</v>
      </c>
      <c r="H489" s="6">
        <f>Procurement_Raw!H489</f>
        <v>44</v>
      </c>
      <c r="I489" s="7">
        <f>Procurement_Raw!I489</f>
        <v>99.3</v>
      </c>
      <c r="J489" s="7">
        <f>Procurement_Raw!J489</f>
        <v>4369.0200000000004</v>
      </c>
      <c r="K489" s="6">
        <f>Procurement_Raw!K489</f>
        <v>60</v>
      </c>
      <c r="L489" t="str">
        <f>Procurement_Raw!L489</f>
        <v>ERP</v>
      </c>
      <c r="M489" s="8">
        <f>Procurement_Raw!M489</f>
        <v>873.80399999999997</v>
      </c>
      <c r="N489" s="7">
        <f>Procurement_Raw!N489</f>
        <v>4369.0200000000004</v>
      </c>
      <c r="O489" s="7">
        <f t="shared" si="14"/>
        <v>4369.0200000000004</v>
      </c>
      <c r="P489" t="str">
        <f>IFERROR(INDEX(Supplier_Lookup!$B$2:$B$200,MATCH(E489,Supplier_Lookup!$A$2:$A$200,0)),"Unmapped")</f>
        <v>Facilities</v>
      </c>
      <c r="Q489" s="10">
        <f>IFERROR(INDEX(Category_Targets!$B$2:$B$9,MATCH(F489,Category_Targets!$A$2:$A$9,0)),0)</f>
        <v>0.05</v>
      </c>
      <c r="R489" s="7">
        <f t="shared" si="15"/>
        <v>218.45100000000002</v>
      </c>
    </row>
    <row r="490" spans="1:18" x14ac:dyDescent="0.25">
      <c r="A490" s="5">
        <f>Procurement_Raw!A490</f>
        <v>45893</v>
      </c>
      <c r="B490" t="str">
        <f>Procurement_Raw!B490</f>
        <v>S007</v>
      </c>
      <c r="C490" t="str">
        <f>Procurement_Raw!C490</f>
        <v>Nottingham Care &amp; Education Centre</v>
      </c>
      <c r="D490" t="str">
        <f>Procurement_Raw!D490</f>
        <v>Midlands</v>
      </c>
      <c r="E490" t="str">
        <f>Procurement_Raw!E490</f>
        <v>KitchenPro</v>
      </c>
      <c r="F490" t="str">
        <f>Procurement_Raw!F490</f>
        <v>Food &amp; Catering</v>
      </c>
      <c r="G490" t="str">
        <f>Procurement_Raw!G490</f>
        <v>INV-2025-00489</v>
      </c>
      <c r="H490" s="6">
        <f>Procurement_Raw!H490</f>
        <v>3</v>
      </c>
      <c r="I490" s="7">
        <f>Procurement_Raw!I490</f>
        <v>164.4</v>
      </c>
      <c r="J490" s="7">
        <f>Procurement_Raw!J490</f>
        <v>493.21</v>
      </c>
      <c r="K490" s="6">
        <f>Procurement_Raw!K490</f>
        <v>30</v>
      </c>
      <c r="L490" t="str">
        <f>Procurement_Raw!L490</f>
        <v>ERP</v>
      </c>
      <c r="M490" s="8">
        <f>Procurement_Raw!M490</f>
        <v>98.641999999999996</v>
      </c>
      <c r="N490" s="7">
        <f>Procurement_Raw!N490</f>
        <v>493.21</v>
      </c>
      <c r="O490" s="7">
        <f t="shared" si="14"/>
        <v>493.21</v>
      </c>
      <c r="P490" t="str">
        <f>IFERROR(INDEX(Supplier_Lookup!$B$2:$B$200,MATCH(E490,Supplier_Lookup!$A$2:$A$200,0)),"Unmapped")</f>
        <v>Food &amp; Catering</v>
      </c>
      <c r="Q490" s="10">
        <f>IFERROR(INDEX(Category_Targets!$B$2:$B$9,MATCH(F490,Category_Targets!$A$2:$A$9,0)),0)</f>
        <v>0.04</v>
      </c>
      <c r="R490" s="7">
        <f t="shared" si="15"/>
        <v>19.728400000000001</v>
      </c>
    </row>
    <row r="491" spans="1:18" x14ac:dyDescent="0.25">
      <c r="A491" s="5">
        <f>Procurement_Raw!A491</f>
        <v>45877</v>
      </c>
      <c r="B491" t="str">
        <f>Procurement_Raw!B491</f>
        <v>S013</v>
      </c>
      <c r="C491" t="str">
        <f>Procurement_Raw!C491</f>
        <v>Reading Care &amp; Education Centre</v>
      </c>
      <c r="D491" t="str">
        <f>Procurement_Raw!D491</f>
        <v>South</v>
      </c>
      <c r="E491" t="str">
        <f>Procurement_Raw!E491</f>
        <v>OfficePlus</v>
      </c>
      <c r="F491" t="str">
        <f>Procurement_Raw!F491</f>
        <v>Office &amp; Training</v>
      </c>
      <c r="G491" t="str">
        <f>Procurement_Raw!G491</f>
        <v>INV-2025-00490</v>
      </c>
      <c r="H491" s="6">
        <f>Procurement_Raw!H491</f>
        <v>26</v>
      </c>
      <c r="I491" s="7">
        <f>Procurement_Raw!I491</f>
        <v>121.8</v>
      </c>
      <c r="J491" s="7">
        <f>Procurement_Raw!J491</f>
        <v>3166.83</v>
      </c>
      <c r="K491" s="6">
        <f>Procurement_Raw!K491</f>
        <v>60</v>
      </c>
      <c r="L491" t="str">
        <f>Procurement_Raw!L491</f>
        <v>ERP</v>
      </c>
      <c r="M491" s="8">
        <f>Procurement_Raw!M491</f>
        <v>633.36599999999999</v>
      </c>
      <c r="N491" s="7">
        <f>Procurement_Raw!N491</f>
        <v>3166.83</v>
      </c>
      <c r="O491" s="7">
        <f t="shared" si="14"/>
        <v>3166.83</v>
      </c>
      <c r="P491" t="str">
        <f>IFERROR(INDEX(Supplier_Lookup!$B$2:$B$200,MATCH(E491,Supplier_Lookup!$A$2:$A$200,0)),"Unmapped")</f>
        <v>Office &amp; Training</v>
      </c>
      <c r="Q491" s="10">
        <f>IFERROR(INDEX(Category_Targets!$B$2:$B$9,MATCH(F491,Category_Targets!$A$2:$A$9,0)),0)</f>
        <v>0.04</v>
      </c>
      <c r="R491" s="7">
        <f t="shared" si="15"/>
        <v>126.67319999999999</v>
      </c>
    </row>
    <row r="492" spans="1:18" x14ac:dyDescent="0.25">
      <c r="A492" s="5">
        <f>Procurement_Raw!A492</f>
        <v>45798</v>
      </c>
      <c r="B492" t="str">
        <f>Procurement_Raw!B492</f>
        <v>S001</v>
      </c>
      <c r="C492" t="str">
        <f>Procurement_Raw!C492</f>
        <v>Preston Care &amp; Education Centre</v>
      </c>
      <c r="D492" t="str">
        <f>Procurement_Raw!D492</f>
        <v>North</v>
      </c>
      <c r="E492" t="str">
        <f>Procurement_Raw!E492</f>
        <v>CloudLink</v>
      </c>
      <c r="F492" t="str">
        <f>Procurement_Raw!F492</f>
        <v>IT &amp; Telecoms</v>
      </c>
      <c r="G492" t="str">
        <f>Procurement_Raw!G492</f>
        <v>INV-2025-00491</v>
      </c>
      <c r="H492" s="6">
        <f>Procurement_Raw!H492</f>
        <v>12</v>
      </c>
      <c r="I492" s="7">
        <f>Procurement_Raw!I492</f>
        <v>219.04</v>
      </c>
      <c r="J492" s="7">
        <f>Procurement_Raw!J492</f>
        <v>2628.45</v>
      </c>
      <c r="K492" s="6">
        <f>Procurement_Raw!K492</f>
        <v>60</v>
      </c>
      <c r="L492" t="str">
        <f>Procurement_Raw!L492</f>
        <v>Procurement Portal</v>
      </c>
      <c r="M492" s="8">
        <f>Procurement_Raw!M492</f>
        <v>525.69000000000005</v>
      </c>
      <c r="N492" s="7">
        <f>Procurement_Raw!N492</f>
        <v>2628.45</v>
      </c>
      <c r="O492" s="7">
        <f t="shared" si="14"/>
        <v>2628.45</v>
      </c>
      <c r="P492" t="str">
        <f>IFERROR(INDEX(Supplier_Lookup!$B$2:$B$200,MATCH(E492,Supplier_Lookup!$A$2:$A$200,0)),"Unmapped")</f>
        <v>medical supplies</v>
      </c>
      <c r="Q492" s="10">
        <f>IFERROR(INDEX(Category_Targets!$B$2:$B$9,MATCH(F492,Category_Targets!$A$2:$A$9,0)),0)</f>
        <v>0.08</v>
      </c>
      <c r="R492" s="7">
        <f t="shared" si="15"/>
        <v>210.27599999999998</v>
      </c>
    </row>
    <row r="493" spans="1:18" x14ac:dyDescent="0.25">
      <c r="A493" s="5">
        <f>Procurement_Raw!A493</f>
        <v>45998</v>
      </c>
      <c r="B493" t="str">
        <f>Procurement_Raw!B493</f>
        <v>S012</v>
      </c>
      <c r="C493" t="str">
        <f>Procurement_Raw!C493</f>
        <v>Bristol Care &amp; Education Centre</v>
      </c>
      <c r="D493" t="str">
        <f>Procurement_Raw!D493</f>
        <v>South</v>
      </c>
      <c r="E493" t="str">
        <f>Procurement_Raw!E493</f>
        <v>NourishCo</v>
      </c>
      <c r="F493" t="str">
        <f>Procurement_Raw!F493</f>
        <v>Food &amp; Catering</v>
      </c>
      <c r="G493" t="str">
        <f>Procurement_Raw!G493</f>
        <v>INV-2025-00492</v>
      </c>
      <c r="H493" s="6">
        <f>Procurement_Raw!H493</f>
        <v>22</v>
      </c>
      <c r="I493" s="7">
        <f>Procurement_Raw!I493</f>
        <v>146.69999999999999</v>
      </c>
      <c r="J493" s="7">
        <f>Procurement_Raw!J493</f>
        <v>3227.29</v>
      </c>
      <c r="K493" s="6">
        <f>Procurement_Raw!K493</f>
        <v>30</v>
      </c>
      <c r="L493" t="str">
        <f>Procurement_Raw!L493</f>
        <v>Procurement Portal</v>
      </c>
      <c r="M493" s="8">
        <f>Procurement_Raw!M493</f>
        <v>645.45799999999997</v>
      </c>
      <c r="N493" s="7">
        <f>Procurement_Raw!N493</f>
        <v>3227.29</v>
      </c>
      <c r="O493" s="7">
        <f t="shared" si="14"/>
        <v>3227.29</v>
      </c>
      <c r="P493" t="str">
        <f>IFERROR(INDEX(Supplier_Lookup!$B$2:$B$200,MATCH(E493,Supplier_Lookup!$A$2:$A$200,0)),"Unmapped")</f>
        <v>Food &amp; Catering</v>
      </c>
      <c r="Q493" s="10">
        <f>IFERROR(INDEX(Category_Targets!$B$2:$B$9,MATCH(F493,Category_Targets!$A$2:$A$9,0)),0)</f>
        <v>0.04</v>
      </c>
      <c r="R493" s="7">
        <f t="shared" si="15"/>
        <v>129.0916</v>
      </c>
    </row>
    <row r="494" spans="1:18" x14ac:dyDescent="0.25">
      <c r="A494" s="5">
        <f>Procurement_Raw!A494</f>
        <v>46016</v>
      </c>
      <c r="B494" t="str">
        <f>Procurement_Raw!B494</f>
        <v>S006</v>
      </c>
      <c r="C494" t="str">
        <f>Procurement_Raw!C494</f>
        <v>Birmingham Care &amp; Education Centre</v>
      </c>
      <c r="D494" t="str">
        <f>Procurement_Raw!D494</f>
        <v>Midlands</v>
      </c>
      <c r="E494" t="str">
        <f>Procurement_Raw!E494</f>
        <v>NetServe</v>
      </c>
      <c r="F494" t="str">
        <f>Procurement_Raw!F494</f>
        <v>IT &amp; Telecoms</v>
      </c>
      <c r="G494" t="str">
        <f>Procurement_Raw!G494</f>
        <v>INV-2025-00493</v>
      </c>
      <c r="H494" s="6">
        <f>Procurement_Raw!H494</f>
        <v>30</v>
      </c>
      <c r="I494" s="7">
        <f>Procurement_Raw!I494</f>
        <v>229.56</v>
      </c>
      <c r="J494" s="7">
        <f>Procurement_Raw!J494</f>
        <v>6886.91</v>
      </c>
      <c r="K494" s="6">
        <f>Procurement_Raw!K494</f>
        <v>45</v>
      </c>
      <c r="L494" t="str">
        <f>Procurement_Raw!L494</f>
        <v>Legacy Spend File</v>
      </c>
      <c r="M494" s="8">
        <f>Procurement_Raw!M494</f>
        <v>1377.3820000000001</v>
      </c>
      <c r="N494" s="7">
        <f>Procurement_Raw!N494</f>
        <v>6886.91</v>
      </c>
      <c r="O494" s="7">
        <f t="shared" si="14"/>
        <v>6886.91</v>
      </c>
      <c r="P494" t="str">
        <f>IFERROR(INDEX(Supplier_Lookup!$B$2:$B$200,MATCH(E494,Supplier_Lookup!$A$2:$A$200,0)),"Unmapped")</f>
        <v>IT &amp; Telecoms</v>
      </c>
      <c r="Q494" s="10">
        <f>IFERROR(INDEX(Category_Targets!$B$2:$B$9,MATCH(F494,Category_Targets!$A$2:$A$9,0)),0)</f>
        <v>0.08</v>
      </c>
      <c r="R494" s="7">
        <f t="shared" si="15"/>
        <v>550.95280000000002</v>
      </c>
    </row>
    <row r="495" spans="1:18" x14ac:dyDescent="0.25">
      <c r="A495" s="5">
        <f>Procurement_Raw!A495</f>
        <v>45767</v>
      </c>
      <c r="B495" t="str">
        <f>Procurement_Raw!B495</f>
        <v>S001</v>
      </c>
      <c r="C495" t="str">
        <f>Procurement_Raw!C495</f>
        <v>Preston Care &amp; Education Centre</v>
      </c>
      <c r="D495" t="str">
        <f>Procurement_Raw!D495</f>
        <v>North</v>
      </c>
      <c r="E495" t="str">
        <f>Procurement_Raw!E495</f>
        <v>FreshServe</v>
      </c>
      <c r="F495" t="str">
        <f>Procurement_Raw!F495</f>
        <v>Food &amp; Catering</v>
      </c>
      <c r="G495" t="str">
        <f>Procurement_Raw!G495</f>
        <v>INV-2025-00494</v>
      </c>
      <c r="H495" s="6">
        <f>Procurement_Raw!H495</f>
        <v>62</v>
      </c>
      <c r="I495" s="7">
        <f>Procurement_Raw!I495</f>
        <v>40.47</v>
      </c>
      <c r="J495" s="7">
        <f>Procurement_Raw!J495</f>
        <v>2509.44</v>
      </c>
      <c r="K495" s="6">
        <f>Procurement_Raw!K495</f>
        <v>30</v>
      </c>
      <c r="L495" t="str">
        <f>Procurement_Raw!L495</f>
        <v>ERP</v>
      </c>
      <c r="M495" s="8">
        <f>Procurement_Raw!M495</f>
        <v>501.88799999999998</v>
      </c>
      <c r="N495" s="7">
        <f>Procurement_Raw!N495</f>
        <v>2509.44</v>
      </c>
      <c r="O495" s="7">
        <f t="shared" si="14"/>
        <v>2509.44</v>
      </c>
      <c r="P495" t="str">
        <f>IFERROR(INDEX(Supplier_Lookup!$B$2:$B$200,MATCH(E495,Supplier_Lookup!$A$2:$A$200,0)),"Unmapped")</f>
        <v>Food &amp; Catering</v>
      </c>
      <c r="Q495" s="10">
        <f>IFERROR(INDEX(Category_Targets!$B$2:$B$9,MATCH(F495,Category_Targets!$A$2:$A$9,0)),0)</f>
        <v>0.04</v>
      </c>
      <c r="R495" s="7">
        <f t="shared" si="15"/>
        <v>100.3776</v>
      </c>
    </row>
    <row r="496" spans="1:18" x14ac:dyDescent="0.25">
      <c r="A496" s="5">
        <f>Procurement_Raw!A496</f>
        <v>46006</v>
      </c>
      <c r="B496" t="str">
        <f>Procurement_Raw!B496</f>
        <v>S006</v>
      </c>
      <c r="C496" t="str">
        <f>Procurement_Raw!C496</f>
        <v>Birmingham Care &amp; Education Centre</v>
      </c>
      <c r="D496" t="str">
        <f>Procurement_Raw!D496</f>
        <v>Midlands</v>
      </c>
      <c r="E496" t="str">
        <f>Procurement_Raw!E496</f>
        <v>PowerDirect</v>
      </c>
      <c r="F496" t="str">
        <f>Procurement_Raw!F496</f>
        <v>Utilities</v>
      </c>
      <c r="G496" t="str">
        <f>Procurement_Raw!G496</f>
        <v>INV-2025-00495</v>
      </c>
      <c r="H496" s="6">
        <f>Procurement_Raw!H496</f>
        <v>57</v>
      </c>
      <c r="I496" s="7">
        <f>Procurement_Raw!I496</f>
        <v>577.77</v>
      </c>
      <c r="J496" s="7">
        <f>Procurement_Raw!J496</f>
        <v>32933</v>
      </c>
      <c r="K496" s="6">
        <f>Procurement_Raw!K496</f>
        <v>30</v>
      </c>
      <c r="L496" t="str">
        <f>Procurement_Raw!L496</f>
        <v>ERP</v>
      </c>
      <c r="M496" s="8">
        <f>Procurement_Raw!M496</f>
        <v>6586.6</v>
      </c>
      <c r="N496" s="7">
        <f>Procurement_Raw!N496</f>
        <v>32933</v>
      </c>
      <c r="O496" s="7">
        <f t="shared" si="14"/>
        <v>32933</v>
      </c>
      <c r="P496" t="str">
        <f>IFERROR(INDEX(Supplier_Lookup!$B$2:$B$200,MATCH(E496,Supplier_Lookup!$A$2:$A$200,0)),"Unmapped")</f>
        <v>Utilities</v>
      </c>
      <c r="Q496" s="10">
        <f>IFERROR(INDEX(Category_Targets!$B$2:$B$9,MATCH(F496,Category_Targets!$A$2:$A$9,0)),0)</f>
        <v>0.03</v>
      </c>
      <c r="R496" s="7">
        <f t="shared" si="15"/>
        <v>987.99</v>
      </c>
    </row>
    <row r="497" spans="1:18" x14ac:dyDescent="0.25">
      <c r="A497" s="5">
        <f>Procurement_Raw!A497</f>
        <v>45874</v>
      </c>
      <c r="B497" t="str">
        <f>Procurement_Raw!B497</f>
        <v>S003</v>
      </c>
      <c r="C497" t="str">
        <f>Procurement_Raw!C497</f>
        <v>Leeds Care &amp; Education Centre</v>
      </c>
      <c r="D497" t="str">
        <f>Procurement_Raw!D497</f>
        <v>North</v>
      </c>
      <c r="E497" t="str">
        <f>Procurement_Raw!E497</f>
        <v>FleetFuel</v>
      </c>
      <c r="F497" t="str">
        <f>Procurement_Raw!F497</f>
        <v>Vehicle &amp; Fuel</v>
      </c>
      <c r="G497" t="str">
        <f>Procurement_Raw!G497</f>
        <v>INV-2025-00496</v>
      </c>
      <c r="H497" s="6">
        <f>Procurement_Raw!H497</f>
        <v>17</v>
      </c>
      <c r="I497" s="7">
        <f>Procurement_Raw!I497</f>
        <v>127.78</v>
      </c>
      <c r="J497" s="7">
        <f>Procurement_Raw!J497</f>
        <v>2172.19</v>
      </c>
      <c r="K497" s="6">
        <f>Procurement_Raw!K497</f>
        <v>45</v>
      </c>
      <c r="L497" t="str">
        <f>Procurement_Raw!L497</f>
        <v>ERP</v>
      </c>
      <c r="M497" s="8">
        <f>Procurement_Raw!M497</f>
        <v>434.43799999999999</v>
      </c>
      <c r="N497" s="7">
        <f>Procurement_Raw!N497</f>
        <v>2172.19</v>
      </c>
      <c r="O497" s="7">
        <f t="shared" si="14"/>
        <v>2172.19</v>
      </c>
      <c r="P497" t="str">
        <f>IFERROR(INDEX(Supplier_Lookup!$B$2:$B$200,MATCH(E497,Supplier_Lookup!$A$2:$A$200,0)),"Unmapped")</f>
        <v>Vehicle &amp; Fuel</v>
      </c>
      <c r="Q497" s="10">
        <f>IFERROR(INDEX(Category_Targets!$B$2:$B$9,MATCH(F497,Category_Targets!$A$2:$A$9,0)),0)</f>
        <v>0.05</v>
      </c>
      <c r="R497" s="7">
        <f t="shared" si="15"/>
        <v>108.60950000000001</v>
      </c>
    </row>
    <row r="498" spans="1:18" x14ac:dyDescent="0.25">
      <c r="A498" s="5">
        <f>Procurement_Raw!A498</f>
        <v>45710</v>
      </c>
      <c r="B498" t="str">
        <f>Procurement_Raw!B498</f>
        <v>S001</v>
      </c>
      <c r="C498" t="str">
        <f>Procurement_Raw!C498</f>
        <v>Preston Care &amp; Education Centre</v>
      </c>
      <c r="D498" t="str">
        <f>Procurement_Raw!D498</f>
        <v>North</v>
      </c>
      <c r="E498" t="str">
        <f>Procurement_Raw!E498</f>
        <v>HealthStaffing</v>
      </c>
      <c r="F498" t="str">
        <f>Procurement_Raw!F498</f>
        <v>Agency Labour</v>
      </c>
      <c r="G498" t="str">
        <f>Procurement_Raw!G498</f>
        <v>INV-2025-00497</v>
      </c>
      <c r="H498" s="6">
        <f>Procurement_Raw!H498</f>
        <v>14</v>
      </c>
      <c r="I498" s="7">
        <f>Procurement_Raw!I498</f>
        <v>169.58</v>
      </c>
      <c r="J498" s="7">
        <f>Procurement_Raw!J498</f>
        <v>2374.0500000000002</v>
      </c>
      <c r="K498" s="6">
        <f>Procurement_Raw!K498</f>
        <v>45</v>
      </c>
      <c r="L498" t="str">
        <f>Procurement_Raw!L498</f>
        <v>Procurement Portal</v>
      </c>
      <c r="M498" s="8">
        <f>Procurement_Raw!M498</f>
        <v>474.81</v>
      </c>
      <c r="N498" s="7">
        <f>Procurement_Raw!N498</f>
        <v>2374.0500000000002</v>
      </c>
      <c r="O498" s="7">
        <f t="shared" si="14"/>
        <v>2374.0500000000002</v>
      </c>
      <c r="P498" t="str">
        <f>IFERROR(INDEX(Supplier_Lookup!$B$2:$B$200,MATCH(E498,Supplier_Lookup!$A$2:$A$200,0)),"Unmapped")</f>
        <v>Agency Labour</v>
      </c>
      <c r="Q498" s="10">
        <f>IFERROR(INDEX(Category_Targets!$B$2:$B$9,MATCH(F498,Category_Targets!$A$2:$A$9,0)),0)</f>
        <v>7.0000000000000007E-2</v>
      </c>
      <c r="R498" s="7">
        <f t="shared" si="15"/>
        <v>166.18350000000004</v>
      </c>
    </row>
    <row r="499" spans="1:18" x14ac:dyDescent="0.25">
      <c r="A499" s="5">
        <f>Procurement_Raw!A499</f>
        <v>45726</v>
      </c>
      <c r="B499" t="str">
        <f>Procurement_Raw!B499</f>
        <v>S019</v>
      </c>
      <c r="C499" t="str">
        <f>Procurement_Raw!C499</f>
        <v>Wrexham Care &amp; Education Centre</v>
      </c>
      <c r="D499" t="str">
        <f>Procurement_Raw!D499</f>
        <v>Wales</v>
      </c>
      <c r="E499" t="str">
        <f>Procurement_Raw!E499</f>
        <v>SafeGuard FM</v>
      </c>
      <c r="F499" t="str">
        <f>Procurement_Raw!F499</f>
        <v>Facilities</v>
      </c>
      <c r="G499" t="str">
        <f>Procurement_Raw!G499</f>
        <v>INV-2025-00498</v>
      </c>
      <c r="H499" s="6">
        <f>Procurement_Raw!H499</f>
        <v>19</v>
      </c>
      <c r="I499" s="7">
        <f>Procurement_Raw!I499</f>
        <v>162.11000000000001</v>
      </c>
      <c r="J499" s="7">
        <f>Procurement_Raw!J499</f>
        <v>3080.08</v>
      </c>
      <c r="K499" s="6">
        <f>Procurement_Raw!K499</f>
        <v>30</v>
      </c>
      <c r="L499" t="str">
        <f>Procurement_Raw!L499</f>
        <v>Legacy Spend File</v>
      </c>
      <c r="M499" s="8">
        <f>Procurement_Raw!M499</f>
        <v>616.01599999999996</v>
      </c>
      <c r="N499" s="7">
        <f>Procurement_Raw!N499</f>
        <v>3080.08</v>
      </c>
      <c r="O499" s="7">
        <f t="shared" si="14"/>
        <v>3080.08</v>
      </c>
      <c r="P499" t="str">
        <f>IFERROR(INDEX(Supplier_Lookup!$B$2:$B$200,MATCH(E499,Supplier_Lookup!$A$2:$A$200,0)),"Unmapped")</f>
        <v>Facilities</v>
      </c>
      <c r="Q499" s="10">
        <f>IFERROR(INDEX(Category_Targets!$B$2:$B$9,MATCH(F499,Category_Targets!$A$2:$A$9,0)),0)</f>
        <v>0.05</v>
      </c>
      <c r="R499" s="7">
        <f t="shared" si="15"/>
        <v>154.00400000000002</v>
      </c>
    </row>
    <row r="500" spans="1:18" x14ac:dyDescent="0.25">
      <c r="A500" s="5">
        <f>Procurement_Raw!A500</f>
        <v>45990</v>
      </c>
      <c r="B500" t="str">
        <f>Procurement_Raw!B500</f>
        <v>S010</v>
      </c>
      <c r="C500" t="str">
        <f>Procurement_Raw!C500</f>
        <v>Coventry Care &amp; Education Centre</v>
      </c>
      <c r="D500" t="str">
        <f>Procurement_Raw!D500</f>
        <v>Midlands</v>
      </c>
      <c r="E500" t="str">
        <f>Procurement_Raw!E500</f>
        <v>ClinEquip</v>
      </c>
      <c r="F500" t="str">
        <f>Procurement_Raw!F500</f>
        <v>Medical Supplies</v>
      </c>
      <c r="G500" t="str">
        <f>Procurement_Raw!G500</f>
        <v>INV-2025-00499</v>
      </c>
      <c r="H500" s="6">
        <f>Procurement_Raw!H500</f>
        <v>22</v>
      </c>
      <c r="I500" s="7">
        <f>Procurement_Raw!I500</f>
        <v>74.14</v>
      </c>
      <c r="J500" s="7">
        <f>Procurement_Raw!J500</f>
        <v>1630.99</v>
      </c>
      <c r="K500" s="6">
        <f>Procurement_Raw!K500</f>
        <v>45</v>
      </c>
      <c r="L500" t="str">
        <f>Procurement_Raw!L500</f>
        <v>Procurement Portal</v>
      </c>
      <c r="M500" s="8">
        <f>Procurement_Raw!M500</f>
        <v>326.19799999999998</v>
      </c>
      <c r="N500" s="7">
        <f>Procurement_Raw!N500</f>
        <v>1630.99</v>
      </c>
      <c r="O500" s="7">
        <f t="shared" si="14"/>
        <v>1630.99</v>
      </c>
      <c r="P500" t="str">
        <f>IFERROR(INDEX(Supplier_Lookup!$B$2:$B$200,MATCH(E500,Supplier_Lookup!$A$2:$A$200,0)),"Unmapped")</f>
        <v>Medical Supplies</v>
      </c>
      <c r="Q500" s="10">
        <f>IFERROR(INDEX(Category_Targets!$B$2:$B$9,MATCH(F500,Category_Targets!$A$2:$A$9,0)),0)</f>
        <v>0.06</v>
      </c>
      <c r="R500" s="7">
        <f t="shared" si="15"/>
        <v>97.859399999999994</v>
      </c>
    </row>
    <row r="501" spans="1:18" x14ac:dyDescent="0.25">
      <c r="A501" s="5">
        <f>Procurement_Raw!A501</f>
        <v>45735</v>
      </c>
      <c r="B501" t="str">
        <f>Procurement_Raw!B501</f>
        <v>S009</v>
      </c>
      <c r="C501" t="str">
        <f>Procurement_Raw!C501</f>
        <v>Derby Care &amp; Education Centre</v>
      </c>
      <c r="D501" t="str">
        <f>Procurement_Raw!D501</f>
        <v>Midlands</v>
      </c>
      <c r="E501" t="str">
        <f>Procurement_Raw!E501</f>
        <v>PowerDirect</v>
      </c>
      <c r="F501" t="str">
        <f>Procurement_Raw!F501</f>
        <v>Utilities</v>
      </c>
      <c r="G501" t="str">
        <f>Procurement_Raw!G501</f>
        <v>INV-2025-00500</v>
      </c>
      <c r="H501" s="6">
        <f>Procurement_Raw!H501</f>
        <v>53</v>
      </c>
      <c r="I501" s="7">
        <f>Procurement_Raw!I501</f>
        <v>116.85</v>
      </c>
      <c r="J501" s="7">
        <f>Procurement_Raw!J501</f>
        <v>6193.24</v>
      </c>
      <c r="K501" s="6">
        <f>Procurement_Raw!K501</f>
        <v>60</v>
      </c>
      <c r="L501" t="str">
        <f>Procurement_Raw!L501</f>
        <v>Legacy Spend File</v>
      </c>
      <c r="M501" s="8">
        <f>Procurement_Raw!M501</f>
        <v>1238.6479999999999</v>
      </c>
      <c r="N501" s="7">
        <f>Procurement_Raw!N501</f>
        <v>6193.24</v>
      </c>
      <c r="O501" s="7">
        <f t="shared" si="14"/>
        <v>6193.24</v>
      </c>
      <c r="P501" t="str">
        <f>IFERROR(INDEX(Supplier_Lookup!$B$2:$B$200,MATCH(E501,Supplier_Lookup!$A$2:$A$200,0)),"Unmapped")</f>
        <v>Utilities</v>
      </c>
      <c r="Q501" s="10">
        <f>IFERROR(INDEX(Category_Targets!$B$2:$B$9,MATCH(F501,Category_Targets!$A$2:$A$9,0)),0)</f>
        <v>0.03</v>
      </c>
      <c r="R501" s="7">
        <f t="shared" si="15"/>
        <v>185.79719999999998</v>
      </c>
    </row>
    <row r="502" spans="1:18" x14ac:dyDescent="0.25">
      <c r="A502" s="5">
        <f>Procurement_Raw!A502</f>
        <v>45709</v>
      </c>
      <c r="B502" t="str">
        <f>Procurement_Raw!B502</f>
        <v>S019</v>
      </c>
      <c r="C502" t="str">
        <f>Procurement_Raw!C502</f>
        <v>Wrexham Care &amp; Education Centre</v>
      </c>
      <c r="D502" t="str">
        <f>Procurement_Raw!D502</f>
        <v>Wales</v>
      </c>
      <c r="E502" t="str">
        <f>Procurement_Raw!E502</f>
        <v>UK Energy Partners</v>
      </c>
      <c r="F502" t="str">
        <f>Procurement_Raw!F502</f>
        <v>Utilities</v>
      </c>
      <c r="G502" t="str">
        <f>Procurement_Raw!G502</f>
        <v>INV-2025-00501</v>
      </c>
      <c r="H502" s="6">
        <f>Procurement_Raw!H502</f>
        <v>18</v>
      </c>
      <c r="I502" s="7">
        <f>Procurement_Raw!I502</f>
        <v>416.07</v>
      </c>
      <c r="J502" s="7">
        <f>Procurement_Raw!J502</f>
        <v>7489.3</v>
      </c>
      <c r="K502" s="6">
        <f>Procurement_Raw!K502</f>
        <v>30</v>
      </c>
      <c r="L502" t="str">
        <f>Procurement_Raw!L502</f>
        <v>Legacy Spend File</v>
      </c>
      <c r="M502" s="8">
        <f>Procurement_Raw!M502</f>
        <v>1497.86</v>
      </c>
      <c r="N502" s="7">
        <f>Procurement_Raw!N502</f>
        <v>7489.3</v>
      </c>
      <c r="O502" s="7">
        <f t="shared" si="14"/>
        <v>7489.3</v>
      </c>
      <c r="P502" t="str">
        <f>IFERROR(INDEX(Supplier_Lookup!$B$2:$B$200,MATCH(E502,Supplier_Lookup!$A$2:$A$200,0)),"Unmapped")</f>
        <v>Utilities</v>
      </c>
      <c r="Q502" s="10">
        <f>IFERROR(INDEX(Category_Targets!$B$2:$B$9,MATCH(F502,Category_Targets!$A$2:$A$9,0)),0)</f>
        <v>0.03</v>
      </c>
      <c r="R502" s="7">
        <f t="shared" si="15"/>
        <v>224.679</v>
      </c>
    </row>
    <row r="503" spans="1:18" x14ac:dyDescent="0.25">
      <c r="A503" s="5">
        <f>Procurement_Raw!A503</f>
        <v>45877</v>
      </c>
      <c r="B503" t="str">
        <f>Procurement_Raw!B503</f>
        <v>S010</v>
      </c>
      <c r="C503" t="str">
        <f>Procurement_Raw!C503</f>
        <v>Coventry Care &amp; Education Centre</v>
      </c>
      <c r="D503" t="str">
        <f>Procurement_Raw!D503</f>
        <v>Midlands</v>
      </c>
      <c r="E503" t="str">
        <f>Procurement_Raw!E503</f>
        <v>CareTemps</v>
      </c>
      <c r="F503" t="str">
        <f>Procurement_Raw!F503</f>
        <v>Agency Labour</v>
      </c>
      <c r="G503" t="str">
        <f>Procurement_Raw!G503</f>
        <v>INV-2025-00502</v>
      </c>
      <c r="H503" s="6">
        <f>Procurement_Raw!H503</f>
        <v>41</v>
      </c>
      <c r="I503" s="7">
        <f>Procurement_Raw!I503</f>
        <v>857.45</v>
      </c>
      <c r="J503" s="7">
        <f>Procurement_Raw!J503</f>
        <v>35155.410000000003</v>
      </c>
      <c r="K503" s="6">
        <f>Procurement_Raw!K503</f>
        <v>30</v>
      </c>
      <c r="L503" t="str">
        <f>Procurement_Raw!L503</f>
        <v>ERP</v>
      </c>
      <c r="M503" s="8">
        <f>Procurement_Raw!M503</f>
        <v>7031.0820000000003</v>
      </c>
      <c r="N503" s="7">
        <f>Procurement_Raw!N503</f>
        <v>35155.410000000003</v>
      </c>
      <c r="O503" s="7">
        <f t="shared" si="14"/>
        <v>35155.410000000003</v>
      </c>
      <c r="P503" t="str">
        <f>IFERROR(INDEX(Supplier_Lookup!$B$2:$B$200,MATCH(E503,Supplier_Lookup!$A$2:$A$200,0)),"Unmapped")</f>
        <v>Agency Labour</v>
      </c>
      <c r="Q503" s="10">
        <f>IFERROR(INDEX(Category_Targets!$B$2:$B$9,MATCH(F503,Category_Targets!$A$2:$A$9,0)),0)</f>
        <v>7.0000000000000007E-2</v>
      </c>
      <c r="R503" s="7">
        <f t="shared" si="15"/>
        <v>2460.8787000000007</v>
      </c>
    </row>
    <row r="504" spans="1:18" x14ac:dyDescent="0.25">
      <c r="A504" s="5">
        <f>Procurement_Raw!A504</f>
        <v>45941</v>
      </c>
      <c r="B504" t="str">
        <f>Procurement_Raw!B504</f>
        <v>S009</v>
      </c>
      <c r="C504" t="str">
        <f>Procurement_Raw!C504</f>
        <v>Derby Care &amp; Education Centre</v>
      </c>
      <c r="D504" t="str">
        <f>Procurement_Raw!D504</f>
        <v>Midlands</v>
      </c>
      <c r="E504" t="str">
        <f>Procurement_Raw!E504</f>
        <v>FreshServe</v>
      </c>
      <c r="F504" t="str">
        <f>Procurement_Raw!F504</f>
        <v>Food &amp; Catering</v>
      </c>
      <c r="G504" t="str">
        <f>Procurement_Raw!G504</f>
        <v>INV-2025-00503</v>
      </c>
      <c r="H504" s="6">
        <f>Procurement_Raw!H504</f>
        <v>77</v>
      </c>
      <c r="I504" s="7">
        <f>Procurement_Raw!I504</f>
        <v>30.12</v>
      </c>
      <c r="J504" s="7">
        <f>Procurement_Raw!J504</f>
        <v>2319.21</v>
      </c>
      <c r="K504" s="6">
        <f>Procurement_Raw!K504</f>
        <v>60</v>
      </c>
      <c r="L504" t="str">
        <f>Procurement_Raw!L504</f>
        <v>Legacy Spend File</v>
      </c>
      <c r="M504" s="8">
        <f>Procurement_Raw!M504</f>
        <v>463.84199999999998</v>
      </c>
      <c r="N504" s="7">
        <f>Procurement_Raw!N504</f>
        <v>2319.21</v>
      </c>
      <c r="O504" s="7">
        <f t="shared" si="14"/>
        <v>2319.21</v>
      </c>
      <c r="P504" t="str">
        <f>IFERROR(INDEX(Supplier_Lookup!$B$2:$B$200,MATCH(E504,Supplier_Lookup!$A$2:$A$200,0)),"Unmapped")</f>
        <v>Food &amp; Catering</v>
      </c>
      <c r="Q504" s="10">
        <f>IFERROR(INDEX(Category_Targets!$B$2:$B$9,MATCH(F504,Category_Targets!$A$2:$A$9,0)),0)</f>
        <v>0.04</v>
      </c>
      <c r="R504" s="7">
        <f t="shared" si="15"/>
        <v>92.7684</v>
      </c>
    </row>
    <row r="505" spans="1:18" x14ac:dyDescent="0.25">
      <c r="A505" s="5">
        <f>Procurement_Raw!A505</f>
        <v>45671</v>
      </c>
      <c r="B505" t="str">
        <f>Procurement_Raw!B505</f>
        <v>S014</v>
      </c>
      <c r="C505" t="str">
        <f>Procurement_Raw!C505</f>
        <v>Southampton Care &amp; Education Centre</v>
      </c>
      <c r="D505" t="str">
        <f>Procurement_Raw!D505</f>
        <v>South</v>
      </c>
      <c r="E505" t="str">
        <f>Procurement_Raw!E505</f>
        <v>NetServe</v>
      </c>
      <c r="F505" t="str">
        <f>Procurement_Raw!F505</f>
        <v>IT &amp; Telecoms</v>
      </c>
      <c r="G505" t="str">
        <f>Procurement_Raw!G505</f>
        <v>INV-2025-00504</v>
      </c>
      <c r="H505" s="6">
        <f>Procurement_Raw!H505</f>
        <v>39</v>
      </c>
      <c r="I505" s="7">
        <f>Procurement_Raw!I505</f>
        <v>299.83999999999997</v>
      </c>
      <c r="J505" s="7">
        <f>Procurement_Raw!J505</f>
        <v>11693.9</v>
      </c>
      <c r="K505" s="6">
        <f>Procurement_Raw!K505</f>
        <v>30</v>
      </c>
      <c r="L505" t="str">
        <f>Procurement_Raw!L505</f>
        <v>Legacy Spend File</v>
      </c>
      <c r="M505" s="8">
        <f>Procurement_Raw!M505</f>
        <v>2338.7800000000002</v>
      </c>
      <c r="N505" s="7">
        <f>Procurement_Raw!N505</f>
        <v>11693.9</v>
      </c>
      <c r="O505" s="7">
        <f t="shared" si="14"/>
        <v>11693.9</v>
      </c>
      <c r="P505" t="str">
        <f>IFERROR(INDEX(Supplier_Lookup!$B$2:$B$200,MATCH(E505,Supplier_Lookup!$A$2:$A$200,0)),"Unmapped")</f>
        <v>IT &amp; Telecoms</v>
      </c>
      <c r="Q505" s="10">
        <f>IFERROR(INDEX(Category_Targets!$B$2:$B$9,MATCH(F505,Category_Targets!$A$2:$A$9,0)),0)</f>
        <v>0.08</v>
      </c>
      <c r="R505" s="7">
        <f t="shared" si="15"/>
        <v>935.51199999999994</v>
      </c>
    </row>
    <row r="506" spans="1:18" x14ac:dyDescent="0.25">
      <c r="A506" s="5">
        <f>Procurement_Raw!A506</f>
        <v>45858</v>
      </c>
      <c r="B506" t="str">
        <f>Procurement_Raw!B506</f>
        <v>S007</v>
      </c>
      <c r="C506" t="str">
        <f>Procurement_Raw!C506</f>
        <v>Nottingham Care &amp; Education Centre</v>
      </c>
      <c r="D506" t="str">
        <f>Procurement_Raw!D506</f>
        <v>Midlands</v>
      </c>
      <c r="E506" t="str">
        <f>Procurement_Raw!E506</f>
        <v>PowerDirect</v>
      </c>
      <c r="F506" t="str">
        <f>Procurement_Raw!F506</f>
        <v>Utilities</v>
      </c>
      <c r="G506" t="str">
        <f>Procurement_Raw!G506</f>
        <v>INV-2025-00505</v>
      </c>
      <c r="H506" s="6">
        <f>Procurement_Raw!H506</f>
        <v>38</v>
      </c>
      <c r="I506" s="7">
        <f>Procurement_Raw!I506</f>
        <v>174.79</v>
      </c>
      <c r="J506" s="7">
        <f>Procurement_Raw!J506</f>
        <v>6642.17</v>
      </c>
      <c r="K506" s="6">
        <f>Procurement_Raw!K506</f>
        <v>60</v>
      </c>
      <c r="L506" t="str">
        <f>Procurement_Raw!L506</f>
        <v>ERP</v>
      </c>
      <c r="M506" s="8">
        <f>Procurement_Raw!M506</f>
        <v>1328.434</v>
      </c>
      <c r="N506" s="7">
        <f>Procurement_Raw!N506</f>
        <v>6642.17</v>
      </c>
      <c r="O506" s="7">
        <f t="shared" si="14"/>
        <v>6642.17</v>
      </c>
      <c r="P506" t="str">
        <f>IFERROR(INDEX(Supplier_Lookup!$B$2:$B$200,MATCH(E506,Supplier_Lookup!$A$2:$A$200,0)),"Unmapped")</f>
        <v>Utilities</v>
      </c>
      <c r="Q506" s="10">
        <f>IFERROR(INDEX(Category_Targets!$B$2:$B$9,MATCH(F506,Category_Targets!$A$2:$A$9,0)),0)</f>
        <v>0.03</v>
      </c>
      <c r="R506" s="7">
        <f t="shared" si="15"/>
        <v>199.26509999999999</v>
      </c>
    </row>
    <row r="507" spans="1:18" x14ac:dyDescent="0.25">
      <c r="A507" s="5">
        <f>Procurement_Raw!A507</f>
        <v>45715</v>
      </c>
      <c r="B507" t="str">
        <f>Procurement_Raw!B507</f>
        <v>S003</v>
      </c>
      <c r="C507" t="str">
        <f>Procurement_Raw!C507</f>
        <v>Leeds Care &amp; Education Centre</v>
      </c>
      <c r="D507" t="str">
        <f>Procurement_Raw!D507</f>
        <v>North</v>
      </c>
      <c r="E507" t="str">
        <f>Procurement_Raw!E507</f>
        <v>LearnWell</v>
      </c>
      <c r="F507" t="str">
        <f>Procurement_Raw!F507</f>
        <v>Office &amp; Training</v>
      </c>
      <c r="G507" t="str">
        <f>Procurement_Raw!G507</f>
        <v>INV-2025-00506</v>
      </c>
      <c r="H507" s="6">
        <f>Procurement_Raw!H507</f>
        <v>31</v>
      </c>
      <c r="I507" s="7">
        <f>Procurement_Raw!I507</f>
        <v>57.37</v>
      </c>
      <c r="J507" s="7">
        <f>Procurement_Raw!J507</f>
        <v>1778.55</v>
      </c>
      <c r="K507" s="6">
        <f>Procurement_Raw!K507</f>
        <v>45</v>
      </c>
      <c r="L507" t="str">
        <f>Procurement_Raw!L507</f>
        <v>Legacy Spend File</v>
      </c>
      <c r="M507" s="8">
        <f>Procurement_Raw!M507</f>
        <v>355.71</v>
      </c>
      <c r="N507" s="7">
        <f>Procurement_Raw!N507</f>
        <v>1778.55</v>
      </c>
      <c r="O507" s="7">
        <f t="shared" si="14"/>
        <v>1778.55</v>
      </c>
      <c r="P507" t="str">
        <f>IFERROR(INDEX(Supplier_Lookup!$B$2:$B$200,MATCH(E507,Supplier_Lookup!$A$2:$A$200,0)),"Unmapped")</f>
        <v>Office &amp; Training</v>
      </c>
      <c r="Q507" s="10">
        <f>IFERROR(INDEX(Category_Targets!$B$2:$B$9,MATCH(F507,Category_Targets!$A$2:$A$9,0)),0)</f>
        <v>0.04</v>
      </c>
      <c r="R507" s="7">
        <f t="shared" si="15"/>
        <v>71.141999999999996</v>
      </c>
    </row>
    <row r="508" spans="1:18" x14ac:dyDescent="0.25">
      <c r="A508" s="5">
        <f>Procurement_Raw!A508</f>
        <v>45664</v>
      </c>
      <c r="B508" t="str">
        <f>Procurement_Raw!B508</f>
        <v>S014</v>
      </c>
      <c r="C508" t="str">
        <f>Procurement_Raw!C508</f>
        <v>Southampton Care &amp; Education Centre</v>
      </c>
      <c r="D508" t="str">
        <f>Procurement_Raw!D508</f>
        <v>South</v>
      </c>
      <c r="E508" t="str">
        <f>Procurement_Raw!E508</f>
        <v>KitchenPro</v>
      </c>
      <c r="F508" t="str">
        <f>Procurement_Raw!F508</f>
        <v>Food &amp; Catering</v>
      </c>
      <c r="G508" t="str">
        <f>Procurement_Raw!G508</f>
        <v>INV-2025-00507</v>
      </c>
      <c r="H508" s="6">
        <f>Procurement_Raw!H508</f>
        <v>47</v>
      </c>
      <c r="I508" s="7">
        <f>Procurement_Raw!I508</f>
        <v>46.93</v>
      </c>
      <c r="J508" s="7">
        <f>Procurement_Raw!J508</f>
        <v>2205.52</v>
      </c>
      <c r="K508" s="6">
        <f>Procurement_Raw!K508</f>
        <v>45</v>
      </c>
      <c r="L508" t="str">
        <f>Procurement_Raw!L508</f>
        <v>ERP</v>
      </c>
      <c r="M508" s="8">
        <f>Procurement_Raw!M508</f>
        <v>441.10399999999998</v>
      </c>
      <c r="N508" s="7">
        <f>Procurement_Raw!N508</f>
        <v>2205.52</v>
      </c>
      <c r="O508" s="7">
        <f t="shared" si="14"/>
        <v>2205.52</v>
      </c>
      <c r="P508" t="str">
        <f>IFERROR(INDEX(Supplier_Lookup!$B$2:$B$200,MATCH(E508,Supplier_Lookup!$A$2:$A$200,0)),"Unmapped")</f>
        <v>Food &amp; Catering</v>
      </c>
      <c r="Q508" s="10">
        <f>IFERROR(INDEX(Category_Targets!$B$2:$B$9,MATCH(F508,Category_Targets!$A$2:$A$9,0)),0)</f>
        <v>0.04</v>
      </c>
      <c r="R508" s="7">
        <f t="shared" si="15"/>
        <v>88.220799999999997</v>
      </c>
    </row>
    <row r="509" spans="1:18" x14ac:dyDescent="0.25">
      <c r="A509" s="5">
        <f>Procurement_Raw!A509</f>
        <v>45937</v>
      </c>
      <c r="B509" t="str">
        <f>Procurement_Raw!B509</f>
        <v>S006</v>
      </c>
      <c r="C509" t="str">
        <f>Procurement_Raw!C509</f>
        <v>Birmingham Care &amp; Education Centre</v>
      </c>
      <c r="D509" t="str">
        <f>Procurement_Raw!D509</f>
        <v>Midlands</v>
      </c>
      <c r="E509" t="str">
        <f>Procurement_Raw!E509</f>
        <v>CareTemps</v>
      </c>
      <c r="F509" t="str">
        <f>Procurement_Raw!F509</f>
        <v>Agency Labour</v>
      </c>
      <c r="G509" t="str">
        <f>Procurement_Raw!G509</f>
        <v>INV-2025-00508</v>
      </c>
      <c r="H509" s="6">
        <f>Procurement_Raw!H509</f>
        <v>23</v>
      </c>
      <c r="I509" s="7">
        <f>Procurement_Raw!I509</f>
        <v>186.53</v>
      </c>
      <c r="J509" s="7">
        <f>Procurement_Raw!J509</f>
        <v>4290.17</v>
      </c>
      <c r="K509" s="6">
        <f>Procurement_Raw!K509</f>
        <v>45</v>
      </c>
      <c r="L509" t="str">
        <f>Procurement_Raw!L509</f>
        <v>ERP</v>
      </c>
      <c r="M509" s="8">
        <f>Procurement_Raw!M509</f>
        <v>858.03399999999999</v>
      </c>
      <c r="N509" s="7">
        <f>Procurement_Raw!N509</f>
        <v>4290.17</v>
      </c>
      <c r="O509" s="7">
        <f t="shared" si="14"/>
        <v>4290.17</v>
      </c>
      <c r="P509" t="str">
        <f>IFERROR(INDEX(Supplier_Lookup!$B$2:$B$200,MATCH(E509,Supplier_Lookup!$A$2:$A$200,0)),"Unmapped")</f>
        <v>Agency Labour</v>
      </c>
      <c r="Q509" s="10">
        <f>IFERROR(INDEX(Category_Targets!$B$2:$B$9,MATCH(F509,Category_Targets!$A$2:$A$9,0)),0)</f>
        <v>7.0000000000000007E-2</v>
      </c>
      <c r="R509" s="7">
        <f t="shared" si="15"/>
        <v>300.31190000000004</v>
      </c>
    </row>
    <row r="510" spans="1:18" x14ac:dyDescent="0.25">
      <c r="A510" s="5">
        <f>Procurement_Raw!A510</f>
        <v>45792</v>
      </c>
      <c r="B510" t="str">
        <f>Procurement_Raw!B510</f>
        <v>S013</v>
      </c>
      <c r="C510" t="str">
        <f>Procurement_Raw!C510</f>
        <v>Reading Care &amp; Education Centre</v>
      </c>
      <c r="D510" t="str">
        <f>Procurement_Raw!D510</f>
        <v>South</v>
      </c>
      <c r="E510" t="str">
        <f>Procurement_Raw!E510</f>
        <v>FreshServe</v>
      </c>
      <c r="F510" t="str">
        <f>Procurement_Raw!F510</f>
        <v>Food &amp; Catering</v>
      </c>
      <c r="G510" t="str">
        <f>Procurement_Raw!G510</f>
        <v>INV-2025-00509</v>
      </c>
      <c r="H510" s="6">
        <f>Procurement_Raw!H510</f>
        <v>28</v>
      </c>
      <c r="I510" s="7">
        <f>Procurement_Raw!I510</f>
        <v>66.760000000000005</v>
      </c>
      <c r="J510" s="7">
        <f>Procurement_Raw!J510</f>
        <v>1869.22</v>
      </c>
      <c r="K510" s="6">
        <f>Procurement_Raw!K510</f>
        <v>30</v>
      </c>
      <c r="L510" t="str">
        <f>Procurement_Raw!L510</f>
        <v>ERP</v>
      </c>
      <c r="M510" s="8">
        <f>Procurement_Raw!M510</f>
        <v>373.84399999999999</v>
      </c>
      <c r="N510" s="7">
        <f>Procurement_Raw!N510</f>
        <v>1869.22</v>
      </c>
      <c r="O510" s="7">
        <f t="shared" si="14"/>
        <v>1869.22</v>
      </c>
      <c r="P510" t="str">
        <f>IFERROR(INDEX(Supplier_Lookup!$B$2:$B$200,MATCH(E510,Supplier_Lookup!$A$2:$A$200,0)),"Unmapped")</f>
        <v>Food &amp; Catering</v>
      </c>
      <c r="Q510" s="10">
        <f>IFERROR(INDEX(Category_Targets!$B$2:$B$9,MATCH(F510,Category_Targets!$A$2:$A$9,0)),0)</f>
        <v>0.04</v>
      </c>
      <c r="R510" s="7">
        <f t="shared" si="15"/>
        <v>74.768799999999999</v>
      </c>
    </row>
    <row r="511" spans="1:18" x14ac:dyDescent="0.25">
      <c r="A511" s="5">
        <f>Procurement_Raw!A511</f>
        <v>46022</v>
      </c>
      <c r="B511" t="str">
        <f>Procurement_Raw!B511</f>
        <v>S005</v>
      </c>
      <c r="C511" t="str">
        <f>Procurement_Raw!C511</f>
        <v>Sheffield Care &amp; Education Centre</v>
      </c>
      <c r="D511" t="str">
        <f>Procurement_Raw!D511</f>
        <v>North</v>
      </c>
      <c r="E511" t="str">
        <f>Procurement_Raw!E511</f>
        <v>NetServe</v>
      </c>
      <c r="F511" t="str">
        <f>Procurement_Raw!F511</f>
        <v>IT &amp; Telecoms</v>
      </c>
      <c r="G511" t="str">
        <f>Procurement_Raw!G511</f>
        <v>INV-2025-00510</v>
      </c>
      <c r="H511" s="6">
        <f>Procurement_Raw!H511</f>
        <v>65</v>
      </c>
      <c r="I511" s="7">
        <f>Procurement_Raw!I511</f>
        <v>139.30000000000001</v>
      </c>
      <c r="J511" s="7">
        <f>Procurement_Raw!J511</f>
        <v>9054.27</v>
      </c>
      <c r="K511" s="6">
        <f>Procurement_Raw!K511</f>
        <v>45</v>
      </c>
      <c r="L511" t="str">
        <f>Procurement_Raw!L511</f>
        <v>Procurement Portal</v>
      </c>
      <c r="M511" s="8">
        <f>Procurement_Raw!M511</f>
        <v>1810.854</v>
      </c>
      <c r="N511" s="7">
        <f>Procurement_Raw!N511</f>
        <v>9054.27</v>
      </c>
      <c r="O511" s="7">
        <f t="shared" si="14"/>
        <v>9054.27</v>
      </c>
      <c r="P511" t="str">
        <f>IFERROR(INDEX(Supplier_Lookup!$B$2:$B$200,MATCH(E511,Supplier_Lookup!$A$2:$A$200,0)),"Unmapped")</f>
        <v>IT &amp; Telecoms</v>
      </c>
      <c r="Q511" s="10">
        <f>IFERROR(INDEX(Category_Targets!$B$2:$B$9,MATCH(F511,Category_Targets!$A$2:$A$9,0)),0)</f>
        <v>0.08</v>
      </c>
      <c r="R511" s="7">
        <f t="shared" si="15"/>
        <v>724.34160000000008</v>
      </c>
    </row>
    <row r="512" spans="1:18" x14ac:dyDescent="0.25">
      <c r="A512" s="5">
        <f>Procurement_Raw!A512</f>
        <v>45985</v>
      </c>
      <c r="B512" t="str">
        <f>Procurement_Raw!B512</f>
        <v>S004</v>
      </c>
      <c r="C512" t="str">
        <f>Procurement_Raw!C512</f>
        <v>Newcastle Care &amp; Education Centre</v>
      </c>
      <c r="D512" t="str">
        <f>Procurement_Raw!D512</f>
        <v>North</v>
      </c>
      <c r="E512" t="str">
        <f>Procurement_Raw!E512</f>
        <v>HealthStaffing</v>
      </c>
      <c r="F512" t="str">
        <f>Procurement_Raw!F512</f>
        <v>Agency Labour</v>
      </c>
      <c r="G512" t="str">
        <f>Procurement_Raw!G512</f>
        <v>INV-2025-00511</v>
      </c>
      <c r="H512" s="6">
        <f>Procurement_Raw!H512</f>
        <v>69</v>
      </c>
      <c r="I512" s="7">
        <f>Procurement_Raw!I512</f>
        <v>348.12</v>
      </c>
      <c r="J512" s="7">
        <f>Procurement_Raw!J512</f>
        <v>24019.96</v>
      </c>
      <c r="K512" s="6">
        <f>Procurement_Raw!K512</f>
        <v>60</v>
      </c>
      <c r="L512" t="str">
        <f>Procurement_Raw!L512</f>
        <v>Legacy Spend File</v>
      </c>
      <c r="M512" s="8">
        <f>Procurement_Raw!M512</f>
        <v>4803.9920000000002</v>
      </c>
      <c r="N512" s="7">
        <f>Procurement_Raw!N512</f>
        <v>24019.96</v>
      </c>
      <c r="O512" s="7">
        <f t="shared" si="14"/>
        <v>24019.96</v>
      </c>
      <c r="P512" t="str">
        <f>IFERROR(INDEX(Supplier_Lookup!$B$2:$B$200,MATCH(E512,Supplier_Lookup!$A$2:$A$200,0)),"Unmapped")</f>
        <v>Agency Labour</v>
      </c>
      <c r="Q512" s="10">
        <f>IFERROR(INDEX(Category_Targets!$B$2:$B$9,MATCH(F512,Category_Targets!$A$2:$A$9,0)),0)</f>
        <v>7.0000000000000007E-2</v>
      </c>
      <c r="R512" s="7">
        <f t="shared" si="15"/>
        <v>1681.3972000000001</v>
      </c>
    </row>
    <row r="513" spans="1:18" x14ac:dyDescent="0.25">
      <c r="A513" s="5">
        <f>Procurement_Raw!A513</f>
        <v>45816</v>
      </c>
      <c r="B513" t="str">
        <f>Procurement_Raw!B513</f>
        <v>S003</v>
      </c>
      <c r="C513" t="str">
        <f>Procurement_Raw!C513</f>
        <v>Leeds Care &amp; Education Centre</v>
      </c>
      <c r="D513" t="str">
        <f>Procurement_Raw!D513</f>
        <v>North</v>
      </c>
      <c r="E513" t="str">
        <f>Procurement_Raw!E513</f>
        <v>CloudLink</v>
      </c>
      <c r="F513" t="str">
        <f>Procurement_Raw!F513</f>
        <v>medical supplies</v>
      </c>
      <c r="G513" t="str">
        <f>Procurement_Raw!G513</f>
        <v>INV-2025-00512</v>
      </c>
      <c r="H513" s="6">
        <f>Procurement_Raw!H513</f>
        <v>11</v>
      </c>
      <c r="I513" s="7">
        <f>Procurement_Raw!I513</f>
        <v>214</v>
      </c>
      <c r="J513" s="7">
        <f>Procurement_Raw!J513</f>
        <v>2354.0500000000002</v>
      </c>
      <c r="K513" s="6">
        <f>Procurement_Raw!K513</f>
        <v>60</v>
      </c>
      <c r="L513" t="str">
        <f>Procurement_Raw!L513</f>
        <v>ERP</v>
      </c>
      <c r="M513" s="8">
        <f>Procurement_Raw!M513</f>
        <v>470.81</v>
      </c>
      <c r="N513" s="7">
        <f>Procurement_Raw!N513</f>
        <v>2354.0500000000002</v>
      </c>
      <c r="O513" s="7">
        <f t="shared" si="14"/>
        <v>2354.0500000000002</v>
      </c>
      <c r="P513" t="str">
        <f>IFERROR(INDEX(Supplier_Lookup!$B$2:$B$200,MATCH(E513,Supplier_Lookup!$A$2:$A$200,0)),"Unmapped")</f>
        <v>medical supplies</v>
      </c>
      <c r="Q513" s="10">
        <f>IFERROR(INDEX(Category_Targets!$B$2:$B$9,MATCH(F513,Category_Targets!$A$2:$A$9,0)),0)</f>
        <v>0.06</v>
      </c>
      <c r="R513" s="7">
        <f t="shared" si="15"/>
        <v>141.24299999999999</v>
      </c>
    </row>
    <row r="514" spans="1:18" x14ac:dyDescent="0.25">
      <c r="A514" s="5">
        <f>Procurement_Raw!A514</f>
        <v>45958</v>
      </c>
      <c r="B514" t="str">
        <f>Procurement_Raw!B514</f>
        <v>S012</v>
      </c>
      <c r="C514" t="str">
        <f>Procurement_Raw!C514</f>
        <v>Bristol Care &amp; Education Centre</v>
      </c>
      <c r="D514" t="str">
        <f>Procurement_Raw!D514</f>
        <v>South</v>
      </c>
      <c r="E514" t="str">
        <f>Procurement_Raw!E514</f>
        <v>RoadReady</v>
      </c>
      <c r="F514" t="str">
        <f>Procurement_Raw!F514</f>
        <v>Vehicle &amp; Fuel</v>
      </c>
      <c r="G514" t="str">
        <f>Procurement_Raw!G514</f>
        <v>INV-2025-00513</v>
      </c>
      <c r="H514" s="6">
        <f>Procurement_Raw!H514</f>
        <v>9</v>
      </c>
      <c r="I514" s="7">
        <f>Procurement_Raw!I514</f>
        <v>83.3</v>
      </c>
      <c r="J514" s="7">
        <f>Procurement_Raw!J514</f>
        <v>749.71</v>
      </c>
      <c r="K514" s="6">
        <f>Procurement_Raw!K514</f>
        <v>45</v>
      </c>
      <c r="L514" t="str">
        <f>Procurement_Raw!L514</f>
        <v>Legacy Spend File</v>
      </c>
      <c r="M514" s="8">
        <f>Procurement_Raw!M514</f>
        <v>149.94200000000001</v>
      </c>
      <c r="N514" s="7">
        <f>Procurement_Raw!N514</f>
        <v>749.71</v>
      </c>
      <c r="O514" s="7">
        <f t="shared" ref="O514:O577" si="16">IFERROR(IF(J514="","",J514),0)</f>
        <v>749.71</v>
      </c>
      <c r="P514" t="str">
        <f>IFERROR(INDEX(Supplier_Lookup!$B$2:$B$200,MATCH(E514,Supplier_Lookup!$A$2:$A$200,0)),"Unmapped")</f>
        <v>Vehicle &amp; Fuel</v>
      </c>
      <c r="Q514" s="10">
        <f>IFERROR(INDEX(Category_Targets!$B$2:$B$9,MATCH(F514,Category_Targets!$A$2:$A$9,0)),0)</f>
        <v>0.05</v>
      </c>
      <c r="R514" s="7">
        <f t="shared" ref="R514:R577" si="17">O514*Q514</f>
        <v>37.485500000000002</v>
      </c>
    </row>
    <row r="515" spans="1:18" x14ac:dyDescent="0.25">
      <c r="A515" s="5">
        <f>Procurement_Raw!A515</f>
        <v>45783</v>
      </c>
      <c r="B515" t="str">
        <f>Procurement_Raw!B515</f>
        <v>S001</v>
      </c>
      <c r="C515" t="str">
        <f>Procurement_Raw!C515</f>
        <v>Preston Care &amp; Education Centre</v>
      </c>
      <c r="D515" t="str">
        <f>Procurement_Raw!D515</f>
        <v>North</v>
      </c>
      <c r="E515" t="str">
        <f>Procurement_Raw!E515</f>
        <v>UK Energy Partners</v>
      </c>
      <c r="F515" t="str">
        <f>Procurement_Raw!F515</f>
        <v>Utilities</v>
      </c>
      <c r="G515" t="str">
        <f>Procurement_Raw!G515</f>
        <v>INV-2025-00514</v>
      </c>
      <c r="H515" s="6">
        <f>Procurement_Raw!H515</f>
        <v>12</v>
      </c>
      <c r="I515" s="7">
        <f>Procurement_Raw!I515</f>
        <v>151.76</v>
      </c>
      <c r="J515" s="7">
        <f>Procurement_Raw!J515</f>
        <v>1821.12</v>
      </c>
      <c r="K515" s="6">
        <f>Procurement_Raw!K515</f>
        <v>45</v>
      </c>
      <c r="L515" t="str">
        <f>Procurement_Raw!L515</f>
        <v>ERP</v>
      </c>
      <c r="M515" s="8">
        <f>Procurement_Raw!M515</f>
        <v>364.22399999999999</v>
      </c>
      <c r="N515" s="7">
        <f>Procurement_Raw!N515</f>
        <v>1821.12</v>
      </c>
      <c r="O515" s="7">
        <f t="shared" si="16"/>
        <v>1821.12</v>
      </c>
      <c r="P515" t="str">
        <f>IFERROR(INDEX(Supplier_Lookup!$B$2:$B$200,MATCH(E515,Supplier_Lookup!$A$2:$A$200,0)),"Unmapped")</f>
        <v>Utilities</v>
      </c>
      <c r="Q515" s="10">
        <f>IFERROR(INDEX(Category_Targets!$B$2:$B$9,MATCH(F515,Category_Targets!$A$2:$A$9,0)),0)</f>
        <v>0.03</v>
      </c>
      <c r="R515" s="7">
        <f t="shared" si="17"/>
        <v>54.633599999999994</v>
      </c>
    </row>
    <row r="516" spans="1:18" x14ac:dyDescent="0.25">
      <c r="A516" s="5">
        <f>Procurement_Raw!A516</f>
        <v>45999</v>
      </c>
      <c r="B516" t="str">
        <f>Procurement_Raw!B516</f>
        <v>S002</v>
      </c>
      <c r="C516" t="str">
        <f>Procurement_Raw!C516</f>
        <v>Manchester Care &amp; Education Centre</v>
      </c>
      <c r="D516" t="str">
        <f>Procurement_Raw!D516</f>
        <v>North</v>
      </c>
      <c r="E516" t="str">
        <f>Procurement_Raw!E516</f>
        <v>CareMed</v>
      </c>
      <c r="F516" t="str">
        <f>Procurement_Raw!F516</f>
        <v>Medical Supplies</v>
      </c>
      <c r="G516" t="str">
        <f>Procurement_Raw!G516</f>
        <v>INV-2025-00515</v>
      </c>
      <c r="H516" s="6">
        <f>Procurement_Raw!H516</f>
        <v>23</v>
      </c>
      <c r="I516" s="7">
        <f>Procurement_Raw!I516</f>
        <v>87.38</v>
      </c>
      <c r="J516" s="7">
        <f>Procurement_Raw!J516</f>
        <v>2009.74</v>
      </c>
      <c r="K516" s="6">
        <f>Procurement_Raw!K516</f>
        <v>30</v>
      </c>
      <c r="L516" t="str">
        <f>Procurement_Raw!L516</f>
        <v>ERP</v>
      </c>
      <c r="M516" s="8">
        <f>Procurement_Raw!M516</f>
        <v>401.94799999999998</v>
      </c>
      <c r="N516" s="7">
        <f>Procurement_Raw!N516</f>
        <v>2009.74</v>
      </c>
      <c r="O516" s="7">
        <f t="shared" si="16"/>
        <v>2009.74</v>
      </c>
      <c r="P516" t="str">
        <f>IFERROR(INDEX(Supplier_Lookup!$B$2:$B$200,MATCH(E516,Supplier_Lookup!$A$2:$A$200,0)),"Unmapped")</f>
        <v>Medical Supplies</v>
      </c>
      <c r="Q516" s="10">
        <f>IFERROR(INDEX(Category_Targets!$B$2:$B$9,MATCH(F516,Category_Targets!$A$2:$A$9,0)),0)</f>
        <v>0.06</v>
      </c>
      <c r="R516" s="7">
        <f t="shared" si="17"/>
        <v>120.5844</v>
      </c>
    </row>
    <row r="517" spans="1:18" x14ac:dyDescent="0.25">
      <c r="A517" s="5">
        <f>Procurement_Raw!A517</f>
        <v>45663</v>
      </c>
      <c r="B517" t="str">
        <f>Procurement_Raw!B517</f>
        <v>S015</v>
      </c>
      <c r="C517" t="str">
        <f>Procurement_Raw!C517</f>
        <v>Brighton Care &amp; Education Centre</v>
      </c>
      <c r="D517" t="str">
        <f>Procurement_Raw!D517</f>
        <v>South</v>
      </c>
      <c r="E517" t="str">
        <f>Procurement_Raw!E517</f>
        <v>BuildCare</v>
      </c>
      <c r="F517" t="str">
        <f>Procurement_Raw!F517</f>
        <v>Facilities</v>
      </c>
      <c r="G517" t="str">
        <f>Procurement_Raw!G517</f>
        <v>INV-2025-00516</v>
      </c>
      <c r="H517" s="6">
        <f>Procurement_Raw!H517</f>
        <v>21</v>
      </c>
      <c r="I517" s="7">
        <f>Procurement_Raw!I517</f>
        <v>272.70999999999998</v>
      </c>
      <c r="J517" s="7">
        <f>Procurement_Raw!J517</f>
        <v>5726.98</v>
      </c>
      <c r="K517" s="6">
        <f>Procurement_Raw!K517</f>
        <v>45</v>
      </c>
      <c r="L517" t="str">
        <f>Procurement_Raw!L517</f>
        <v>Procurement Portal</v>
      </c>
      <c r="M517" s="8">
        <f>Procurement_Raw!M517</f>
        <v>1145.396</v>
      </c>
      <c r="N517" s="7">
        <f>Procurement_Raw!N517</f>
        <v>5726.98</v>
      </c>
      <c r="O517" s="7">
        <f t="shared" si="16"/>
        <v>5726.98</v>
      </c>
      <c r="P517" t="str">
        <f>IFERROR(INDEX(Supplier_Lookup!$B$2:$B$200,MATCH(E517,Supplier_Lookup!$A$2:$A$200,0)),"Unmapped")</f>
        <v>Facilities</v>
      </c>
      <c r="Q517" s="10">
        <f>IFERROR(INDEX(Category_Targets!$B$2:$B$9,MATCH(F517,Category_Targets!$A$2:$A$9,0)),0)</f>
        <v>0.05</v>
      </c>
      <c r="R517" s="7">
        <f t="shared" si="17"/>
        <v>286.34899999999999</v>
      </c>
    </row>
    <row r="518" spans="1:18" x14ac:dyDescent="0.25">
      <c r="A518" s="5">
        <f>Procurement_Raw!A518</f>
        <v>45848</v>
      </c>
      <c r="B518" t="str">
        <f>Procurement_Raw!B518</f>
        <v>S001</v>
      </c>
      <c r="C518" t="str">
        <f>Procurement_Raw!C518</f>
        <v>Preston Care &amp; Education Centre</v>
      </c>
      <c r="D518" t="str">
        <f>Procurement_Raw!D518</f>
        <v>North</v>
      </c>
      <c r="E518" t="str">
        <f>Procurement_Raw!E518</f>
        <v>CloudLink</v>
      </c>
      <c r="F518" t="str">
        <f>Procurement_Raw!F518</f>
        <v>IT &amp; Telecoms</v>
      </c>
      <c r="G518" t="str">
        <f>Procurement_Raw!G518</f>
        <v>INV-2025-00517</v>
      </c>
      <c r="H518" s="6">
        <f>Procurement_Raw!H518</f>
        <v>17</v>
      </c>
      <c r="I518" s="7">
        <f>Procurement_Raw!I518</f>
        <v>289.77999999999997</v>
      </c>
      <c r="J518" s="7">
        <f>Procurement_Raw!J518</f>
        <v>4926.3100000000004</v>
      </c>
      <c r="K518" s="6">
        <f>Procurement_Raw!K518</f>
        <v>60</v>
      </c>
      <c r="L518" t="str">
        <f>Procurement_Raw!L518</f>
        <v>Procurement Portal</v>
      </c>
      <c r="M518" s="8">
        <f>Procurement_Raw!M518</f>
        <v>985.26199999999994</v>
      </c>
      <c r="N518" s="7">
        <f>Procurement_Raw!N518</f>
        <v>4926.3100000000004</v>
      </c>
      <c r="O518" s="7">
        <f t="shared" si="16"/>
        <v>4926.3100000000004</v>
      </c>
      <c r="P518" t="str">
        <f>IFERROR(INDEX(Supplier_Lookup!$B$2:$B$200,MATCH(E518,Supplier_Lookup!$A$2:$A$200,0)),"Unmapped")</f>
        <v>medical supplies</v>
      </c>
      <c r="Q518" s="10">
        <f>IFERROR(INDEX(Category_Targets!$B$2:$B$9,MATCH(F518,Category_Targets!$A$2:$A$9,0)),0)</f>
        <v>0.08</v>
      </c>
      <c r="R518" s="7">
        <f t="shared" si="17"/>
        <v>394.10480000000007</v>
      </c>
    </row>
    <row r="519" spans="1:18" x14ac:dyDescent="0.25">
      <c r="A519" s="5">
        <f>Procurement_Raw!A519</f>
        <v>45829</v>
      </c>
      <c r="B519" t="str">
        <f>Procurement_Raw!B519</f>
        <v>S014</v>
      </c>
      <c r="C519" t="str">
        <f>Procurement_Raw!C519</f>
        <v>Southampton Care &amp; Education Centre</v>
      </c>
      <c r="D519" t="str">
        <f>Procurement_Raw!D519</f>
        <v>South</v>
      </c>
      <c r="E519" t="str">
        <f>Procurement_Raw!E519</f>
        <v>FreshServe</v>
      </c>
      <c r="F519" t="str">
        <f>Procurement_Raw!F519</f>
        <v>Food &amp; Catering</v>
      </c>
      <c r="G519" t="str">
        <f>Procurement_Raw!G519</f>
        <v>INV-2025-00518</v>
      </c>
      <c r="H519" s="6">
        <f>Procurement_Raw!H519</f>
        <v>55</v>
      </c>
      <c r="I519" s="7">
        <f>Procurement_Raw!I519</f>
        <v>37.97</v>
      </c>
      <c r="J519" s="7">
        <f>Procurement_Raw!J519</f>
        <v>2088.2199999999998</v>
      </c>
      <c r="K519" s="6">
        <f>Procurement_Raw!K519</f>
        <v>45</v>
      </c>
      <c r="L519" t="str">
        <f>Procurement_Raw!L519</f>
        <v>Legacy Spend File</v>
      </c>
      <c r="M519" s="8">
        <f>Procurement_Raw!M519</f>
        <v>417.64400000000001</v>
      </c>
      <c r="N519" s="7">
        <f>Procurement_Raw!N519</f>
        <v>2088.2199999999998</v>
      </c>
      <c r="O519" s="7">
        <f t="shared" si="16"/>
        <v>2088.2199999999998</v>
      </c>
      <c r="P519" t="str">
        <f>IFERROR(INDEX(Supplier_Lookup!$B$2:$B$200,MATCH(E519,Supplier_Lookup!$A$2:$A$200,0)),"Unmapped")</f>
        <v>Food &amp; Catering</v>
      </c>
      <c r="Q519" s="10">
        <f>IFERROR(INDEX(Category_Targets!$B$2:$B$9,MATCH(F519,Category_Targets!$A$2:$A$9,0)),0)</f>
        <v>0.04</v>
      </c>
      <c r="R519" s="7">
        <f t="shared" si="17"/>
        <v>83.52879999999999</v>
      </c>
    </row>
    <row r="520" spans="1:18" x14ac:dyDescent="0.25">
      <c r="A520" s="5">
        <f>Procurement_Raw!A520</f>
        <v>45953</v>
      </c>
      <c r="B520" t="str">
        <f>Procurement_Raw!B520</f>
        <v>S001</v>
      </c>
      <c r="C520" t="str">
        <f>Procurement_Raw!C520</f>
        <v>Preston Care &amp; Education Centre</v>
      </c>
      <c r="D520" t="str">
        <f>Procurement_Raw!D520</f>
        <v>North</v>
      </c>
      <c r="E520" t="str">
        <f>Procurement_Raw!E520</f>
        <v>NetServe</v>
      </c>
      <c r="F520" t="str">
        <f>Procurement_Raw!F520</f>
        <v>IT &amp; Telecoms</v>
      </c>
      <c r="G520" t="str">
        <f>Procurement_Raw!G520</f>
        <v>INV-2025-00519</v>
      </c>
      <c r="H520" s="6">
        <f>Procurement_Raw!H520</f>
        <v>10</v>
      </c>
      <c r="I520" s="7">
        <f>Procurement_Raw!I520</f>
        <v>232.35</v>
      </c>
      <c r="J520" s="7">
        <f>Procurement_Raw!J520</f>
        <v>2323.54</v>
      </c>
      <c r="K520" s="6">
        <f>Procurement_Raw!K520</f>
        <v>45</v>
      </c>
      <c r="L520" t="str">
        <f>Procurement_Raw!L520</f>
        <v>Procurement Portal</v>
      </c>
      <c r="M520" s="8">
        <f>Procurement_Raw!M520</f>
        <v>464.70800000000003</v>
      </c>
      <c r="N520" s="7">
        <f>Procurement_Raw!N520</f>
        <v>2323.54</v>
      </c>
      <c r="O520" s="7">
        <f t="shared" si="16"/>
        <v>2323.54</v>
      </c>
      <c r="P520" t="str">
        <f>IFERROR(INDEX(Supplier_Lookup!$B$2:$B$200,MATCH(E520,Supplier_Lookup!$A$2:$A$200,0)),"Unmapped")</f>
        <v>IT &amp; Telecoms</v>
      </c>
      <c r="Q520" s="10">
        <f>IFERROR(INDEX(Category_Targets!$B$2:$B$9,MATCH(F520,Category_Targets!$A$2:$A$9,0)),0)</f>
        <v>0.08</v>
      </c>
      <c r="R520" s="7">
        <f t="shared" si="17"/>
        <v>185.88319999999999</v>
      </c>
    </row>
    <row r="521" spans="1:18" x14ac:dyDescent="0.25">
      <c r="A521" s="5">
        <f>Procurement_Raw!A521</f>
        <v>45913</v>
      </c>
      <c r="B521" t="str">
        <f>Procurement_Raw!B521</f>
        <v>S009</v>
      </c>
      <c r="C521" t="str">
        <f>Procurement_Raw!C521</f>
        <v>Derby Care &amp; Education Centre</v>
      </c>
      <c r="D521" t="str">
        <f>Procurement_Raw!D521</f>
        <v>Midlands</v>
      </c>
      <c r="E521" t="str">
        <f>Procurement_Raw!E521</f>
        <v>FleetFuel</v>
      </c>
      <c r="F521" t="str">
        <f>Procurement_Raw!F521</f>
        <v>Vehicle &amp; Fuel</v>
      </c>
      <c r="G521" t="str">
        <f>Procurement_Raw!G521</f>
        <v>INV-2025-00520</v>
      </c>
      <c r="H521" s="6">
        <f>Procurement_Raw!H521</f>
        <v>73</v>
      </c>
      <c r="I521" s="7">
        <f>Procurement_Raw!I521</f>
        <v>143.62</v>
      </c>
      <c r="J521" s="7">
        <f>Procurement_Raw!J521</f>
        <v>10483.93</v>
      </c>
      <c r="K521" s="6">
        <f>Procurement_Raw!K521</f>
        <v>30</v>
      </c>
      <c r="L521" t="str">
        <f>Procurement_Raw!L521</f>
        <v>Procurement Portal</v>
      </c>
      <c r="M521" s="8">
        <f>Procurement_Raw!M521</f>
        <v>2096.7860000000001</v>
      </c>
      <c r="N521" s="7">
        <f>Procurement_Raw!N521</f>
        <v>10483.93</v>
      </c>
      <c r="O521" s="7">
        <f t="shared" si="16"/>
        <v>10483.93</v>
      </c>
      <c r="P521" t="str">
        <f>IFERROR(INDEX(Supplier_Lookup!$B$2:$B$200,MATCH(E521,Supplier_Lookup!$A$2:$A$200,0)),"Unmapped")</f>
        <v>Vehicle &amp; Fuel</v>
      </c>
      <c r="Q521" s="10">
        <f>IFERROR(INDEX(Category_Targets!$B$2:$B$9,MATCH(F521,Category_Targets!$A$2:$A$9,0)),0)</f>
        <v>0.05</v>
      </c>
      <c r="R521" s="7">
        <f t="shared" si="17"/>
        <v>524.19650000000001</v>
      </c>
    </row>
    <row r="522" spans="1:18" x14ac:dyDescent="0.25">
      <c r="A522" s="5">
        <f>Procurement_Raw!A522</f>
        <v>45951</v>
      </c>
      <c r="B522" t="str">
        <f>Procurement_Raw!B522</f>
        <v>S015</v>
      </c>
      <c r="C522" t="str">
        <f>Procurement_Raw!C522</f>
        <v>Brighton Care &amp; Education Centre</v>
      </c>
      <c r="D522" t="str">
        <f>Procurement_Raw!D522</f>
        <v>South</v>
      </c>
      <c r="E522" t="str">
        <f>Procurement_Raw!E522</f>
        <v>CloudLink</v>
      </c>
      <c r="F522" t="str">
        <f>Procurement_Raw!F522</f>
        <v>IT &amp; Telecoms</v>
      </c>
      <c r="G522" t="str">
        <f>Procurement_Raw!G522</f>
        <v>INV-2025-00521</v>
      </c>
      <c r="H522" s="6">
        <f>Procurement_Raw!H522</f>
        <v>15</v>
      </c>
      <c r="I522" s="7">
        <f>Procurement_Raw!I522</f>
        <v>87.83</v>
      </c>
      <c r="J522" s="7">
        <f>Procurement_Raw!J522</f>
        <v>1317.52</v>
      </c>
      <c r="K522" s="6">
        <f>Procurement_Raw!K522</f>
        <v>30</v>
      </c>
      <c r="L522" t="str">
        <f>Procurement_Raw!L522</f>
        <v>Legacy Spend File</v>
      </c>
      <c r="M522" s="8">
        <f>Procurement_Raw!M522</f>
        <v>263.50400000000002</v>
      </c>
      <c r="N522" s="7">
        <f>Procurement_Raw!N522</f>
        <v>1317.52</v>
      </c>
      <c r="O522" s="7">
        <f t="shared" si="16"/>
        <v>1317.52</v>
      </c>
      <c r="P522" t="str">
        <f>IFERROR(INDEX(Supplier_Lookup!$B$2:$B$200,MATCH(E522,Supplier_Lookup!$A$2:$A$200,0)),"Unmapped")</f>
        <v>medical supplies</v>
      </c>
      <c r="Q522" s="10">
        <f>IFERROR(INDEX(Category_Targets!$B$2:$B$9,MATCH(F522,Category_Targets!$A$2:$A$9,0)),0)</f>
        <v>0.08</v>
      </c>
      <c r="R522" s="7">
        <f t="shared" si="17"/>
        <v>105.4016</v>
      </c>
    </row>
    <row r="523" spans="1:18" x14ac:dyDescent="0.25">
      <c r="A523" s="5">
        <f>Procurement_Raw!A523</f>
        <v>45664</v>
      </c>
      <c r="B523" t="str">
        <f>Procurement_Raw!B523</f>
        <v>S001</v>
      </c>
      <c r="C523" t="str">
        <f>Procurement_Raw!C523</f>
        <v>Preston Care &amp; Education Centre</v>
      </c>
      <c r="D523" t="str">
        <f>Procurement_Raw!D523</f>
        <v>North</v>
      </c>
      <c r="E523" t="str">
        <f>Procurement_Raw!E523</f>
        <v>MediSure</v>
      </c>
      <c r="F523" t="str">
        <f>Procurement_Raw!F523</f>
        <v>Medical Supplies</v>
      </c>
      <c r="G523" t="str">
        <f>Procurement_Raw!G523</f>
        <v>INV-2025-00522</v>
      </c>
      <c r="H523" s="6">
        <f>Procurement_Raw!H523</f>
        <v>32</v>
      </c>
      <c r="I523" s="7">
        <f>Procurement_Raw!I523</f>
        <v>161.80000000000001</v>
      </c>
      <c r="J523" s="7">
        <f>Procurement_Raw!J523</f>
        <v>5177.49</v>
      </c>
      <c r="K523" s="6">
        <f>Procurement_Raw!K523</f>
        <v>30</v>
      </c>
      <c r="L523" t="str">
        <f>Procurement_Raw!L523</f>
        <v>Procurement Portal</v>
      </c>
      <c r="M523" s="8">
        <f>Procurement_Raw!M523</f>
        <v>1035.498</v>
      </c>
      <c r="N523" s="7">
        <f>Procurement_Raw!N523</f>
        <v>5177.49</v>
      </c>
      <c r="O523" s="7">
        <f t="shared" si="16"/>
        <v>5177.49</v>
      </c>
      <c r="P523" t="str">
        <f>IFERROR(INDEX(Supplier_Lookup!$B$2:$B$200,MATCH(E523,Supplier_Lookup!$A$2:$A$200,0)),"Unmapped")</f>
        <v>Medical Supplies</v>
      </c>
      <c r="Q523" s="10">
        <f>IFERROR(INDEX(Category_Targets!$B$2:$B$9,MATCH(F523,Category_Targets!$A$2:$A$9,0)),0)</f>
        <v>0.06</v>
      </c>
      <c r="R523" s="7">
        <f t="shared" si="17"/>
        <v>310.64939999999996</v>
      </c>
    </row>
    <row r="524" spans="1:18" x14ac:dyDescent="0.25">
      <c r="A524" s="5">
        <f>Procurement_Raw!A524</f>
        <v>45749</v>
      </c>
      <c r="B524" t="str">
        <f>Procurement_Raw!B524</f>
        <v>S005</v>
      </c>
      <c r="C524" t="str">
        <f>Procurement_Raw!C524</f>
        <v>Sheffield Care &amp; Education Centre</v>
      </c>
      <c r="D524" t="str">
        <f>Procurement_Raw!D524</f>
        <v>North</v>
      </c>
      <c r="E524" t="str">
        <f>Procurement_Raw!E524</f>
        <v>HealthStaffing</v>
      </c>
      <c r="F524" t="str">
        <f>Procurement_Raw!F524</f>
        <v>Agency Labour</v>
      </c>
      <c r="G524" t="str">
        <f>Procurement_Raw!G524</f>
        <v>INV-2025-00523</v>
      </c>
      <c r="H524" s="6">
        <f>Procurement_Raw!H524</f>
        <v>5</v>
      </c>
      <c r="I524" s="7">
        <f>Procurement_Raw!I524</f>
        <v>208.38</v>
      </c>
      <c r="J524" s="7">
        <f>Procurement_Raw!J524</f>
        <v>1041.8800000000001</v>
      </c>
      <c r="K524" s="6">
        <f>Procurement_Raw!K524</f>
        <v>60</v>
      </c>
      <c r="L524" t="str">
        <f>Procurement_Raw!L524</f>
        <v>Legacy Spend File</v>
      </c>
      <c r="M524" s="8">
        <f>Procurement_Raw!M524</f>
        <v>208.376</v>
      </c>
      <c r="N524" s="7">
        <f>Procurement_Raw!N524</f>
        <v>1041.8800000000001</v>
      </c>
      <c r="O524" s="7">
        <f t="shared" si="16"/>
        <v>1041.8800000000001</v>
      </c>
      <c r="P524" t="str">
        <f>IFERROR(INDEX(Supplier_Lookup!$B$2:$B$200,MATCH(E524,Supplier_Lookup!$A$2:$A$200,0)),"Unmapped")</f>
        <v>Agency Labour</v>
      </c>
      <c r="Q524" s="10">
        <f>IFERROR(INDEX(Category_Targets!$B$2:$B$9,MATCH(F524,Category_Targets!$A$2:$A$9,0)),0)</f>
        <v>7.0000000000000007E-2</v>
      </c>
      <c r="R524" s="7">
        <f t="shared" si="17"/>
        <v>72.931600000000017</v>
      </c>
    </row>
    <row r="525" spans="1:18" x14ac:dyDescent="0.25">
      <c r="A525" s="5">
        <f>Procurement_Raw!A525</f>
        <v>45822</v>
      </c>
      <c r="B525" t="str">
        <f>Procurement_Raw!B525</f>
        <v>S016</v>
      </c>
      <c r="C525" t="str">
        <f>Procurement_Raw!C525</f>
        <v>Cardiff Care &amp; Education Centre</v>
      </c>
      <c r="D525" t="str">
        <f>Procurement_Raw!D525</f>
        <v>Wales</v>
      </c>
      <c r="E525" t="str">
        <f>Procurement_Raw!E525</f>
        <v>HealthStaffing</v>
      </c>
      <c r="F525" t="str">
        <f>Procurement_Raw!F525</f>
        <v>Agency Labour</v>
      </c>
      <c r="G525" t="str">
        <f>Procurement_Raw!G525</f>
        <v>INV-2025-00524</v>
      </c>
      <c r="H525" s="6">
        <f>Procurement_Raw!H525</f>
        <v>32</v>
      </c>
      <c r="I525" s="7">
        <f>Procurement_Raw!I525</f>
        <v>410.6</v>
      </c>
      <c r="J525" s="7">
        <f>Procurement_Raw!J525</f>
        <v>13139.1</v>
      </c>
      <c r="K525" s="6">
        <f>Procurement_Raw!K525</f>
        <v>45</v>
      </c>
      <c r="L525" t="str">
        <f>Procurement_Raw!L525</f>
        <v>Legacy Spend File</v>
      </c>
      <c r="M525" s="8">
        <f>Procurement_Raw!M525</f>
        <v>2627.82</v>
      </c>
      <c r="N525" s="7">
        <f>Procurement_Raw!N525</f>
        <v>13139.1</v>
      </c>
      <c r="O525" s="7">
        <f t="shared" si="16"/>
        <v>13139.1</v>
      </c>
      <c r="P525" t="str">
        <f>IFERROR(INDEX(Supplier_Lookup!$B$2:$B$200,MATCH(E525,Supplier_Lookup!$A$2:$A$200,0)),"Unmapped")</f>
        <v>Agency Labour</v>
      </c>
      <c r="Q525" s="10">
        <f>IFERROR(INDEX(Category_Targets!$B$2:$B$9,MATCH(F525,Category_Targets!$A$2:$A$9,0)),0)</f>
        <v>7.0000000000000007E-2</v>
      </c>
      <c r="R525" s="7">
        <f t="shared" si="17"/>
        <v>919.73700000000008</v>
      </c>
    </row>
    <row r="526" spans="1:18" x14ac:dyDescent="0.25">
      <c r="A526" s="5">
        <f>Procurement_Raw!A526</f>
        <v>45950</v>
      </c>
      <c r="B526" t="str">
        <f>Procurement_Raw!B526</f>
        <v>S011</v>
      </c>
      <c r="C526" t="str">
        <f>Procurement_Raw!C526</f>
        <v>London Care &amp; Education Centre</v>
      </c>
      <c r="D526" t="str">
        <f>Procurement_Raw!D526</f>
        <v>South</v>
      </c>
      <c r="E526" t="str">
        <f>Procurement_Raw!E526</f>
        <v>CloudLink</v>
      </c>
      <c r="F526" t="str">
        <f>Procurement_Raw!F526</f>
        <v>IT &amp; Telecoms</v>
      </c>
      <c r="G526" t="str">
        <f>Procurement_Raw!G526</f>
        <v>INV-2025-00525</v>
      </c>
      <c r="H526" s="6">
        <f>Procurement_Raw!H526</f>
        <v>48</v>
      </c>
      <c r="I526" s="7">
        <f>Procurement_Raw!I526</f>
        <v>144.58000000000001</v>
      </c>
      <c r="J526" s="7">
        <f>Procurement_Raw!J526</f>
        <v>6939.85</v>
      </c>
      <c r="K526" s="6">
        <f>Procurement_Raw!K526</f>
        <v>30</v>
      </c>
      <c r="L526" t="str">
        <f>Procurement_Raw!L526</f>
        <v>Legacy Spend File</v>
      </c>
      <c r="M526" s="8">
        <f>Procurement_Raw!M526</f>
        <v>1387.97</v>
      </c>
      <c r="N526" s="7">
        <f>Procurement_Raw!N526</f>
        <v>6939.85</v>
      </c>
      <c r="O526" s="7">
        <f t="shared" si="16"/>
        <v>6939.85</v>
      </c>
      <c r="P526" t="str">
        <f>IFERROR(INDEX(Supplier_Lookup!$B$2:$B$200,MATCH(E526,Supplier_Lookup!$A$2:$A$200,0)),"Unmapped")</f>
        <v>medical supplies</v>
      </c>
      <c r="Q526" s="10">
        <f>IFERROR(INDEX(Category_Targets!$B$2:$B$9,MATCH(F526,Category_Targets!$A$2:$A$9,0)),0)</f>
        <v>0.08</v>
      </c>
      <c r="R526" s="7">
        <f t="shared" si="17"/>
        <v>555.18799999999999</v>
      </c>
    </row>
    <row r="527" spans="1:18" x14ac:dyDescent="0.25">
      <c r="A527" s="5">
        <f>Procurement_Raw!A527</f>
        <v>45772</v>
      </c>
      <c r="B527" t="str">
        <f>Procurement_Raw!B527</f>
        <v>S017</v>
      </c>
      <c r="C527" t="str">
        <f>Procurement_Raw!C527</f>
        <v>Swansea Care &amp; Education Centre</v>
      </c>
      <c r="D527" t="str">
        <f>Procurement_Raw!D527</f>
        <v>Wales</v>
      </c>
      <c r="E527" t="str">
        <f>Procurement_Raw!E527</f>
        <v>MediSure</v>
      </c>
      <c r="F527" t="str">
        <f>Procurement_Raw!F527</f>
        <v>Medical Supplies</v>
      </c>
      <c r="G527" t="str">
        <f>Procurement_Raw!G527</f>
        <v>INV-2025-00526</v>
      </c>
      <c r="H527" s="6">
        <f>Procurement_Raw!H527</f>
        <v>67</v>
      </c>
      <c r="I527" s="7">
        <f>Procurement_Raw!I527</f>
        <v>44.47</v>
      </c>
      <c r="J527" s="7">
        <f>Procurement_Raw!J527</f>
        <v>2979.47</v>
      </c>
      <c r="K527" s="6">
        <f>Procurement_Raw!K527</f>
        <v>30</v>
      </c>
      <c r="L527" t="str">
        <f>Procurement_Raw!L527</f>
        <v>Procurement Portal</v>
      </c>
      <c r="M527" s="8">
        <f>Procurement_Raw!M527</f>
        <v>595.89400000000001</v>
      </c>
      <c r="N527" s="7">
        <f>Procurement_Raw!N527</f>
        <v>2979.47</v>
      </c>
      <c r="O527" s="7">
        <f t="shared" si="16"/>
        <v>2979.47</v>
      </c>
      <c r="P527" t="str">
        <f>IFERROR(INDEX(Supplier_Lookup!$B$2:$B$200,MATCH(E527,Supplier_Lookup!$A$2:$A$200,0)),"Unmapped")</f>
        <v>Medical Supplies</v>
      </c>
      <c r="Q527" s="10">
        <f>IFERROR(INDEX(Category_Targets!$B$2:$B$9,MATCH(F527,Category_Targets!$A$2:$A$9,0)),0)</f>
        <v>0.06</v>
      </c>
      <c r="R527" s="7">
        <f t="shared" si="17"/>
        <v>178.76819999999998</v>
      </c>
    </row>
    <row r="528" spans="1:18" x14ac:dyDescent="0.25">
      <c r="A528" s="5">
        <f>Procurement_Raw!A528</f>
        <v>45817</v>
      </c>
      <c r="B528" t="str">
        <f>Procurement_Raw!B528</f>
        <v>S005</v>
      </c>
      <c r="C528" t="str">
        <f>Procurement_Raw!C528</f>
        <v>Sheffield Care &amp; Education Centre</v>
      </c>
      <c r="D528" t="str">
        <f>Procurement_Raw!D528</f>
        <v>North</v>
      </c>
      <c r="E528" t="str">
        <f>Procurement_Raw!E528</f>
        <v>LearnWell</v>
      </c>
      <c r="F528" t="str">
        <f>Procurement_Raw!F528</f>
        <v>Office &amp; Training</v>
      </c>
      <c r="G528" t="str">
        <f>Procurement_Raw!G528</f>
        <v>INV-2025-00527</v>
      </c>
      <c r="H528" s="6">
        <f>Procurement_Raw!H528</f>
        <v>42</v>
      </c>
      <c r="I528" s="7">
        <f>Procurement_Raw!I528</f>
        <v>30.64</v>
      </c>
      <c r="J528" s="7">
        <f>Procurement_Raw!J528</f>
        <v>1286.92</v>
      </c>
      <c r="K528" s="6">
        <f>Procurement_Raw!K528</f>
        <v>30</v>
      </c>
      <c r="L528" t="str">
        <f>Procurement_Raw!L528</f>
        <v>Legacy Spend File</v>
      </c>
      <c r="M528" s="8">
        <f>Procurement_Raw!M528</f>
        <v>257.38400000000001</v>
      </c>
      <c r="N528" s="7">
        <f>Procurement_Raw!N528</f>
        <v>1286.92</v>
      </c>
      <c r="O528" s="7">
        <f t="shared" si="16"/>
        <v>1286.92</v>
      </c>
      <c r="P528" t="str">
        <f>IFERROR(INDEX(Supplier_Lookup!$B$2:$B$200,MATCH(E528,Supplier_Lookup!$A$2:$A$200,0)),"Unmapped")</f>
        <v>Office &amp; Training</v>
      </c>
      <c r="Q528" s="10">
        <f>IFERROR(INDEX(Category_Targets!$B$2:$B$9,MATCH(F528,Category_Targets!$A$2:$A$9,0)),0)</f>
        <v>0.04</v>
      </c>
      <c r="R528" s="7">
        <f t="shared" si="17"/>
        <v>51.476800000000004</v>
      </c>
    </row>
    <row r="529" spans="1:18" x14ac:dyDescent="0.25">
      <c r="A529" s="5">
        <f>Procurement_Raw!A529</f>
        <v>45760</v>
      </c>
      <c r="B529" t="str">
        <f>Procurement_Raw!B529</f>
        <v>S002</v>
      </c>
      <c r="C529" t="str">
        <f>Procurement_Raw!C529</f>
        <v>Manchester Care &amp; Education Centre</v>
      </c>
      <c r="D529" t="str">
        <f>Procurement_Raw!D529</f>
        <v>North</v>
      </c>
      <c r="E529" t="str">
        <f>Procurement_Raw!E529</f>
        <v>CareMed</v>
      </c>
      <c r="F529" t="str">
        <f>Procurement_Raw!F529</f>
        <v>Medical Supplies</v>
      </c>
      <c r="G529" t="str">
        <f>Procurement_Raw!G529</f>
        <v>INV-2025-00528</v>
      </c>
      <c r="H529" s="6">
        <f>Procurement_Raw!H529</f>
        <v>38</v>
      </c>
      <c r="I529" s="7">
        <f>Procurement_Raw!I529</f>
        <v>123.22</v>
      </c>
      <c r="J529" s="7">
        <f>Procurement_Raw!J529</f>
        <v>4682.21</v>
      </c>
      <c r="K529" s="6">
        <f>Procurement_Raw!K529</f>
        <v>60</v>
      </c>
      <c r="L529" t="str">
        <f>Procurement_Raw!L529</f>
        <v>Procurement Portal</v>
      </c>
      <c r="M529" s="8">
        <f>Procurement_Raw!M529</f>
        <v>936.44200000000001</v>
      </c>
      <c r="N529" s="7">
        <f>Procurement_Raw!N529</f>
        <v>4682.21</v>
      </c>
      <c r="O529" s="7">
        <f t="shared" si="16"/>
        <v>4682.21</v>
      </c>
      <c r="P529" t="str">
        <f>IFERROR(INDEX(Supplier_Lookup!$B$2:$B$200,MATCH(E529,Supplier_Lookup!$A$2:$A$200,0)),"Unmapped")</f>
        <v>Medical Supplies</v>
      </c>
      <c r="Q529" s="10">
        <f>IFERROR(INDEX(Category_Targets!$B$2:$B$9,MATCH(F529,Category_Targets!$A$2:$A$9,0)),0)</f>
        <v>0.06</v>
      </c>
      <c r="R529" s="7">
        <f t="shared" si="17"/>
        <v>280.93259999999998</v>
      </c>
    </row>
    <row r="530" spans="1:18" x14ac:dyDescent="0.25">
      <c r="A530" s="5">
        <f>Procurement_Raw!A530</f>
        <v>45846</v>
      </c>
      <c r="B530" t="str">
        <f>Procurement_Raw!B530</f>
        <v>S011</v>
      </c>
      <c r="C530" t="str">
        <f>Procurement_Raw!C530</f>
        <v>London Care &amp; Education Centre</v>
      </c>
      <c r="D530" t="str">
        <f>Procurement_Raw!D530</f>
        <v>South</v>
      </c>
      <c r="E530" t="str">
        <f>Procurement_Raw!E530</f>
        <v>WaterGrid</v>
      </c>
      <c r="F530" t="str">
        <f>Procurement_Raw!F530</f>
        <v>Utilities</v>
      </c>
      <c r="G530" t="str">
        <f>Procurement_Raw!G530</f>
        <v>INV-2025-00529</v>
      </c>
      <c r="H530" s="6">
        <f>Procurement_Raw!H530</f>
        <v>76</v>
      </c>
      <c r="I530" s="7">
        <f>Procurement_Raw!I530</f>
        <v>288.39</v>
      </c>
      <c r="J530" s="7">
        <f>Procurement_Raw!J530</f>
        <v>21917.52</v>
      </c>
      <c r="K530" s="6">
        <f>Procurement_Raw!K530</f>
        <v>45</v>
      </c>
      <c r="L530" t="str">
        <f>Procurement_Raw!L530</f>
        <v>ERP</v>
      </c>
      <c r="M530" s="8">
        <f>Procurement_Raw!M530</f>
        <v>4383.5039999999999</v>
      </c>
      <c r="N530" s="7">
        <f>Procurement_Raw!N530</f>
        <v>21917.52</v>
      </c>
      <c r="O530" s="7">
        <f t="shared" si="16"/>
        <v>21917.52</v>
      </c>
      <c r="P530" t="str">
        <f>IFERROR(INDEX(Supplier_Lookup!$B$2:$B$200,MATCH(E530,Supplier_Lookup!$A$2:$A$200,0)),"Unmapped")</f>
        <v>Utilities</v>
      </c>
      <c r="Q530" s="10">
        <f>IFERROR(INDEX(Category_Targets!$B$2:$B$9,MATCH(F530,Category_Targets!$A$2:$A$9,0)),0)</f>
        <v>0.03</v>
      </c>
      <c r="R530" s="7">
        <f t="shared" si="17"/>
        <v>657.52559999999994</v>
      </c>
    </row>
    <row r="531" spans="1:18" x14ac:dyDescent="0.25">
      <c r="A531" s="5">
        <f>Procurement_Raw!A531</f>
        <v>45661</v>
      </c>
      <c r="B531" t="str">
        <f>Procurement_Raw!B531</f>
        <v>S005</v>
      </c>
      <c r="C531" t="str">
        <f>Procurement_Raw!C531</f>
        <v>Sheffield Care &amp; Education Centre</v>
      </c>
      <c r="D531" t="str">
        <f>Procurement_Raw!D531</f>
        <v>North</v>
      </c>
      <c r="E531" t="str">
        <f>Procurement_Raw!E531</f>
        <v>UK Energy Partners</v>
      </c>
      <c r="F531" t="str">
        <f>Procurement_Raw!F531</f>
        <v>Utilities</v>
      </c>
      <c r="G531" t="str">
        <f>Procurement_Raw!G531</f>
        <v>INV-2025-00530</v>
      </c>
      <c r="H531" s="6">
        <f>Procurement_Raw!H531</f>
        <v>53</v>
      </c>
      <c r="I531" s="7">
        <f>Procurement_Raw!I531</f>
        <v>152.03</v>
      </c>
      <c r="J531" s="7">
        <f>Procurement_Raw!J531</f>
        <v>8057.66</v>
      </c>
      <c r="K531" s="6">
        <f>Procurement_Raw!K531</f>
        <v>30</v>
      </c>
      <c r="L531" t="str">
        <f>Procurement_Raw!L531</f>
        <v>ERP</v>
      </c>
      <c r="M531" s="8">
        <f>Procurement_Raw!M531</f>
        <v>1611.5319999999999</v>
      </c>
      <c r="N531" s="7">
        <f>Procurement_Raw!N531</f>
        <v>8057.66</v>
      </c>
      <c r="O531" s="7">
        <f t="shared" si="16"/>
        <v>8057.66</v>
      </c>
      <c r="P531" t="str">
        <f>IFERROR(INDEX(Supplier_Lookup!$B$2:$B$200,MATCH(E531,Supplier_Lookup!$A$2:$A$200,0)),"Unmapped")</f>
        <v>Utilities</v>
      </c>
      <c r="Q531" s="10">
        <f>IFERROR(INDEX(Category_Targets!$B$2:$B$9,MATCH(F531,Category_Targets!$A$2:$A$9,0)),0)</f>
        <v>0.03</v>
      </c>
      <c r="R531" s="7">
        <f t="shared" si="17"/>
        <v>241.72979999999998</v>
      </c>
    </row>
    <row r="532" spans="1:18" x14ac:dyDescent="0.25">
      <c r="A532" s="5">
        <f>Procurement_Raw!A532</f>
        <v>46013</v>
      </c>
      <c r="B532" t="str">
        <f>Procurement_Raw!B532</f>
        <v>S013</v>
      </c>
      <c r="C532" t="str">
        <f>Procurement_Raw!C532</f>
        <v>Reading Care &amp; Education Centre</v>
      </c>
      <c r="D532" t="str">
        <f>Procurement_Raw!D532</f>
        <v>South</v>
      </c>
      <c r="E532" t="str">
        <f>Procurement_Raw!E532</f>
        <v>AutoCare</v>
      </c>
      <c r="F532" t="str">
        <f>Procurement_Raw!F532</f>
        <v>Vehicle &amp; Fuel</v>
      </c>
      <c r="G532" t="str">
        <f>Procurement_Raw!G532</f>
        <v>INV-2025-00531</v>
      </c>
      <c r="H532" s="6">
        <f>Procurement_Raw!H532</f>
        <v>2</v>
      </c>
      <c r="I532" s="7">
        <f>Procurement_Raw!I532</f>
        <v>134.97999999999999</v>
      </c>
      <c r="J532" s="7">
        <f>Procurement_Raw!J532</f>
        <v>269.95</v>
      </c>
      <c r="K532" s="6">
        <f>Procurement_Raw!K532</f>
        <v>45</v>
      </c>
      <c r="L532" t="str">
        <f>Procurement_Raw!L532</f>
        <v>ERP</v>
      </c>
      <c r="M532" s="8">
        <f>Procurement_Raw!M532</f>
        <v>53.99</v>
      </c>
      <c r="N532" s="7">
        <f>Procurement_Raw!N532</f>
        <v>269.95</v>
      </c>
      <c r="O532" s="7">
        <f t="shared" si="16"/>
        <v>269.95</v>
      </c>
      <c r="P532" t="str">
        <f>IFERROR(INDEX(Supplier_Lookup!$B$2:$B$200,MATCH(E532,Supplier_Lookup!$A$2:$A$200,0)),"Unmapped")</f>
        <v>Vehicle &amp; Fuel</v>
      </c>
      <c r="Q532" s="10">
        <f>IFERROR(INDEX(Category_Targets!$B$2:$B$9,MATCH(F532,Category_Targets!$A$2:$A$9,0)),0)</f>
        <v>0.05</v>
      </c>
      <c r="R532" s="7">
        <f t="shared" si="17"/>
        <v>13.4975</v>
      </c>
    </row>
    <row r="533" spans="1:18" x14ac:dyDescent="0.25">
      <c r="A533" s="5">
        <f>Procurement_Raw!A533</f>
        <v>45815</v>
      </c>
      <c r="B533" t="str">
        <f>Procurement_Raw!B533</f>
        <v>S019</v>
      </c>
      <c r="C533" t="str">
        <f>Procurement_Raw!C533</f>
        <v>Wrexham Care &amp; Education Centre</v>
      </c>
      <c r="D533" t="str">
        <f>Procurement_Raw!D533</f>
        <v>Wales</v>
      </c>
      <c r="E533" t="str">
        <f>Procurement_Raw!E533</f>
        <v>NurseLink</v>
      </c>
      <c r="F533" t="str">
        <f>Procurement_Raw!F533</f>
        <v>Agency Labour</v>
      </c>
      <c r="G533" t="str">
        <f>Procurement_Raw!G533</f>
        <v>INV-2025-00532</v>
      </c>
      <c r="H533" s="6">
        <f>Procurement_Raw!H533</f>
        <v>14</v>
      </c>
      <c r="I533" s="7">
        <f>Procurement_Raw!I533</f>
        <v>120.29</v>
      </c>
      <c r="J533" s="7">
        <f>Procurement_Raw!J533</f>
        <v>1684.13</v>
      </c>
      <c r="K533" s="6">
        <f>Procurement_Raw!K533</f>
        <v>30</v>
      </c>
      <c r="L533" t="str">
        <f>Procurement_Raw!L533</f>
        <v>Legacy Spend File</v>
      </c>
      <c r="M533" s="8">
        <f>Procurement_Raw!M533</f>
        <v>336.82600000000002</v>
      </c>
      <c r="N533" s="7">
        <f>Procurement_Raw!N533</f>
        <v>1684.13</v>
      </c>
      <c r="O533" s="7">
        <f t="shared" si="16"/>
        <v>1684.13</v>
      </c>
      <c r="P533" t="str">
        <f>IFERROR(INDEX(Supplier_Lookup!$B$2:$B$200,MATCH(E533,Supplier_Lookup!$A$2:$A$200,0)),"Unmapped")</f>
        <v>Agency Labour</v>
      </c>
      <c r="Q533" s="10">
        <f>IFERROR(INDEX(Category_Targets!$B$2:$B$9,MATCH(F533,Category_Targets!$A$2:$A$9,0)),0)</f>
        <v>7.0000000000000007E-2</v>
      </c>
      <c r="R533" s="7">
        <f t="shared" si="17"/>
        <v>117.88910000000001</v>
      </c>
    </row>
    <row r="534" spans="1:18" x14ac:dyDescent="0.25">
      <c r="A534" s="5">
        <f>Procurement_Raw!A534</f>
        <v>45688</v>
      </c>
      <c r="B534" t="str">
        <f>Procurement_Raw!B534</f>
        <v>S007</v>
      </c>
      <c r="C534" t="str">
        <f>Procurement_Raw!C534</f>
        <v>Nottingham Care &amp; Education Centre</v>
      </c>
      <c r="D534" t="str">
        <f>Procurement_Raw!D534</f>
        <v>Midlands</v>
      </c>
      <c r="E534" t="str">
        <f>Procurement_Raw!E534</f>
        <v>CareTemps</v>
      </c>
      <c r="F534" t="str">
        <f>Procurement_Raw!F534</f>
        <v>Agency Labour</v>
      </c>
      <c r="G534" t="str">
        <f>Procurement_Raw!G534</f>
        <v>INV-2025-00533</v>
      </c>
      <c r="H534" s="6">
        <f>Procurement_Raw!H534</f>
        <v>19</v>
      </c>
      <c r="I534" s="7">
        <f>Procurement_Raw!I534</f>
        <v>289.29000000000002</v>
      </c>
      <c r="J534" s="7">
        <f>Procurement_Raw!J534</f>
        <v>5496.56</v>
      </c>
      <c r="K534" s="6">
        <f>Procurement_Raw!K534</f>
        <v>60</v>
      </c>
      <c r="L534" t="str">
        <f>Procurement_Raw!L534</f>
        <v>Procurement Portal</v>
      </c>
      <c r="M534" s="8">
        <f>Procurement_Raw!M534</f>
        <v>1099.3119999999999</v>
      </c>
      <c r="N534" s="7">
        <f>Procurement_Raw!N534</f>
        <v>5496.56</v>
      </c>
      <c r="O534" s="7">
        <f t="shared" si="16"/>
        <v>5496.56</v>
      </c>
      <c r="P534" t="str">
        <f>IFERROR(INDEX(Supplier_Lookup!$B$2:$B$200,MATCH(E534,Supplier_Lookup!$A$2:$A$200,0)),"Unmapped")</f>
        <v>Agency Labour</v>
      </c>
      <c r="Q534" s="10">
        <f>IFERROR(INDEX(Category_Targets!$B$2:$B$9,MATCH(F534,Category_Targets!$A$2:$A$9,0)),0)</f>
        <v>7.0000000000000007E-2</v>
      </c>
      <c r="R534" s="7">
        <f t="shared" si="17"/>
        <v>384.75920000000008</v>
      </c>
    </row>
    <row r="535" spans="1:18" x14ac:dyDescent="0.25">
      <c r="A535" s="5">
        <f>Procurement_Raw!A535</f>
        <v>45924</v>
      </c>
      <c r="B535" t="str">
        <f>Procurement_Raw!B535</f>
        <v>S012</v>
      </c>
      <c r="C535" t="str">
        <f>Procurement_Raw!C535</f>
        <v>Bristol Care &amp; Education Centre</v>
      </c>
      <c r="D535" t="str">
        <f>Procurement_Raw!D535</f>
        <v>South</v>
      </c>
      <c r="E535" t="str">
        <f>Procurement_Raw!E535</f>
        <v>MediSure</v>
      </c>
      <c r="F535" t="str">
        <f>Procurement_Raw!F535</f>
        <v>Medical Supplies</v>
      </c>
      <c r="G535" t="str">
        <f>Procurement_Raw!G535</f>
        <v>INV-2025-00534</v>
      </c>
      <c r="H535" s="6">
        <f>Procurement_Raw!H535</f>
        <v>53</v>
      </c>
      <c r="I535" s="7">
        <f>Procurement_Raw!I535</f>
        <v>61.65</v>
      </c>
      <c r="J535" s="7">
        <f>Procurement_Raw!J535</f>
        <v>3267.32</v>
      </c>
      <c r="K535" s="6">
        <f>Procurement_Raw!K535</f>
        <v>60</v>
      </c>
      <c r="L535" t="str">
        <f>Procurement_Raw!L535</f>
        <v>Procurement Portal</v>
      </c>
      <c r="M535" s="8">
        <f>Procurement_Raw!M535</f>
        <v>653.46400000000006</v>
      </c>
      <c r="N535" s="7">
        <f>Procurement_Raw!N535</f>
        <v>3267.32</v>
      </c>
      <c r="O535" s="7">
        <f t="shared" si="16"/>
        <v>3267.32</v>
      </c>
      <c r="P535" t="str">
        <f>IFERROR(INDEX(Supplier_Lookup!$B$2:$B$200,MATCH(E535,Supplier_Lookup!$A$2:$A$200,0)),"Unmapped")</f>
        <v>Medical Supplies</v>
      </c>
      <c r="Q535" s="10">
        <f>IFERROR(INDEX(Category_Targets!$B$2:$B$9,MATCH(F535,Category_Targets!$A$2:$A$9,0)),0)</f>
        <v>0.06</v>
      </c>
      <c r="R535" s="7">
        <f t="shared" si="17"/>
        <v>196.03919999999999</v>
      </c>
    </row>
    <row r="536" spans="1:18" x14ac:dyDescent="0.25">
      <c r="A536" s="5">
        <f>Procurement_Raw!A536</f>
        <v>45706</v>
      </c>
      <c r="B536" t="str">
        <f>Procurement_Raw!B536</f>
        <v>S010</v>
      </c>
      <c r="C536" t="str">
        <f>Procurement_Raw!C536</f>
        <v>Coventry Care &amp; Education Centre</v>
      </c>
      <c r="D536" t="str">
        <f>Procurement_Raw!D536</f>
        <v>Midlands</v>
      </c>
      <c r="E536" t="str">
        <f>Procurement_Raw!E536</f>
        <v>KitchenPro</v>
      </c>
      <c r="F536" t="str">
        <f>Procurement_Raw!F536</f>
        <v>Food &amp; Catering</v>
      </c>
      <c r="G536" t="str">
        <f>Procurement_Raw!G536</f>
        <v>INV-2025-00535</v>
      </c>
      <c r="H536" s="6">
        <f>Procurement_Raw!H536</f>
        <v>65</v>
      </c>
      <c r="I536" s="7">
        <f>Procurement_Raw!I536</f>
        <v>45.42</v>
      </c>
      <c r="J536" s="7">
        <f>Procurement_Raw!J536</f>
        <v>2952.08</v>
      </c>
      <c r="K536" s="6">
        <f>Procurement_Raw!K536</f>
        <v>30</v>
      </c>
      <c r="L536" t="str">
        <f>Procurement_Raw!L536</f>
        <v>Legacy Spend File</v>
      </c>
      <c r="M536" s="8">
        <f>Procurement_Raw!M536</f>
        <v>590.41600000000005</v>
      </c>
      <c r="N536" s="7">
        <f>Procurement_Raw!N536</f>
        <v>2952.08</v>
      </c>
      <c r="O536" s="7">
        <f t="shared" si="16"/>
        <v>2952.08</v>
      </c>
      <c r="P536" t="str">
        <f>IFERROR(INDEX(Supplier_Lookup!$B$2:$B$200,MATCH(E536,Supplier_Lookup!$A$2:$A$200,0)),"Unmapped")</f>
        <v>Food &amp; Catering</v>
      </c>
      <c r="Q536" s="10">
        <f>IFERROR(INDEX(Category_Targets!$B$2:$B$9,MATCH(F536,Category_Targets!$A$2:$A$9,0)),0)</f>
        <v>0.04</v>
      </c>
      <c r="R536" s="7">
        <f t="shared" si="17"/>
        <v>118.08320000000001</v>
      </c>
    </row>
    <row r="537" spans="1:18" x14ac:dyDescent="0.25">
      <c r="A537" s="5">
        <f>Procurement_Raw!A537</f>
        <v>45948</v>
      </c>
      <c r="B537" t="str">
        <f>Procurement_Raw!B537</f>
        <v>S016</v>
      </c>
      <c r="C537" t="str">
        <f>Procurement_Raw!C537</f>
        <v>Cardiff Care &amp; Education Centre</v>
      </c>
      <c r="D537" t="str">
        <f>Procurement_Raw!D537</f>
        <v>Wales</v>
      </c>
      <c r="E537" t="str">
        <f>Procurement_Raw!E537</f>
        <v>KitchenPro</v>
      </c>
      <c r="F537" t="str">
        <f>Procurement_Raw!F537</f>
        <v>Food &amp; Catering</v>
      </c>
      <c r="G537" t="str">
        <f>Procurement_Raw!G537</f>
        <v>INV-2025-00536</v>
      </c>
      <c r="H537" s="6">
        <f>Procurement_Raw!H537</f>
        <v>8</v>
      </c>
      <c r="I537" s="7">
        <f>Procurement_Raw!I537</f>
        <v>66.72</v>
      </c>
      <c r="J537" s="7">
        <f>Procurement_Raw!J537</f>
        <v>533.73</v>
      </c>
      <c r="K537" s="6">
        <f>Procurement_Raw!K537</f>
        <v>45</v>
      </c>
      <c r="L537" t="str">
        <f>Procurement_Raw!L537</f>
        <v>Legacy Spend File</v>
      </c>
      <c r="M537" s="8">
        <f>Procurement_Raw!M537</f>
        <v>106.746</v>
      </c>
      <c r="N537" s="7">
        <f>Procurement_Raw!N537</f>
        <v>533.73</v>
      </c>
      <c r="O537" s="7">
        <f t="shared" si="16"/>
        <v>533.73</v>
      </c>
      <c r="P537" t="str">
        <f>IFERROR(INDEX(Supplier_Lookup!$B$2:$B$200,MATCH(E537,Supplier_Lookup!$A$2:$A$200,0)),"Unmapped")</f>
        <v>Food &amp; Catering</v>
      </c>
      <c r="Q537" s="10">
        <f>IFERROR(INDEX(Category_Targets!$B$2:$B$9,MATCH(F537,Category_Targets!$A$2:$A$9,0)),0)</f>
        <v>0.04</v>
      </c>
      <c r="R537" s="7">
        <f t="shared" si="17"/>
        <v>21.3492</v>
      </c>
    </row>
    <row r="538" spans="1:18" x14ac:dyDescent="0.25">
      <c r="A538" s="5">
        <f>Procurement_Raw!A538</f>
        <v>45791</v>
      </c>
      <c r="B538" t="str">
        <f>Procurement_Raw!B538</f>
        <v>S011</v>
      </c>
      <c r="C538" t="str">
        <f>Procurement_Raw!C538</f>
        <v>London Care &amp; Education Centre</v>
      </c>
      <c r="D538" t="str">
        <f>Procurement_Raw!D538</f>
        <v>South</v>
      </c>
      <c r="E538" t="str">
        <f>Procurement_Raw!E538</f>
        <v>WaterGrid</v>
      </c>
      <c r="F538" t="str">
        <f>Procurement_Raw!F538</f>
        <v>Utilities</v>
      </c>
      <c r="G538" t="str">
        <f>Procurement_Raw!G538</f>
        <v>INV-2025-00537</v>
      </c>
      <c r="H538" s="6">
        <f>Procurement_Raw!H538</f>
        <v>41</v>
      </c>
      <c r="I538" s="7">
        <f>Procurement_Raw!I538</f>
        <v>155.75</v>
      </c>
      <c r="J538" s="7">
        <f>Procurement_Raw!J538</f>
        <v>6385.63</v>
      </c>
      <c r="K538" s="6">
        <f>Procurement_Raw!K538</f>
        <v>45</v>
      </c>
      <c r="L538" t="str">
        <f>Procurement_Raw!L538</f>
        <v>Legacy Spend File</v>
      </c>
      <c r="M538" s="8">
        <f>Procurement_Raw!M538</f>
        <v>1277.126</v>
      </c>
      <c r="N538" s="7">
        <f>Procurement_Raw!N538</f>
        <v>6385.63</v>
      </c>
      <c r="O538" s="7">
        <f t="shared" si="16"/>
        <v>6385.63</v>
      </c>
      <c r="P538" t="str">
        <f>IFERROR(INDEX(Supplier_Lookup!$B$2:$B$200,MATCH(E538,Supplier_Lookup!$A$2:$A$200,0)),"Unmapped")</f>
        <v>Utilities</v>
      </c>
      <c r="Q538" s="10">
        <f>IFERROR(INDEX(Category_Targets!$B$2:$B$9,MATCH(F538,Category_Targets!$A$2:$A$9,0)),0)</f>
        <v>0.03</v>
      </c>
      <c r="R538" s="7">
        <f t="shared" si="17"/>
        <v>191.56889999999999</v>
      </c>
    </row>
    <row r="539" spans="1:18" x14ac:dyDescent="0.25">
      <c r="A539" s="5">
        <f>Procurement_Raw!A539</f>
        <v>45889</v>
      </c>
      <c r="B539" t="str">
        <f>Procurement_Raw!B539</f>
        <v>S016</v>
      </c>
      <c r="C539" t="str">
        <f>Procurement_Raw!C539</f>
        <v>Cardiff Care &amp; Education Centre</v>
      </c>
      <c r="D539" t="str">
        <f>Procurement_Raw!D539</f>
        <v>Wales</v>
      </c>
      <c r="E539" t="str">
        <f>Procurement_Raw!E539</f>
        <v>RoadReady</v>
      </c>
      <c r="F539" t="str">
        <f>Procurement_Raw!F539</f>
        <v>Vehicle &amp; Fuel</v>
      </c>
      <c r="G539" t="str">
        <f>Procurement_Raw!G539</f>
        <v>INV-2025-00538</v>
      </c>
      <c r="H539" s="6">
        <f>Procurement_Raw!H539</f>
        <v>35</v>
      </c>
      <c r="I539" s="7">
        <f>Procurement_Raw!I539</f>
        <v>76.89</v>
      </c>
      <c r="J539" s="7">
        <f>Procurement_Raw!J539</f>
        <v>2691.14</v>
      </c>
      <c r="K539" s="6">
        <f>Procurement_Raw!K539</f>
        <v>30</v>
      </c>
      <c r="L539" t="str">
        <f>Procurement_Raw!L539</f>
        <v>ERP</v>
      </c>
      <c r="M539" s="8">
        <f>Procurement_Raw!M539</f>
        <v>538.22799999999995</v>
      </c>
      <c r="N539" s="7">
        <f>Procurement_Raw!N539</f>
        <v>2691.14</v>
      </c>
      <c r="O539" s="7">
        <f t="shared" si="16"/>
        <v>2691.14</v>
      </c>
      <c r="P539" t="str">
        <f>IFERROR(INDEX(Supplier_Lookup!$B$2:$B$200,MATCH(E539,Supplier_Lookup!$A$2:$A$200,0)),"Unmapped")</f>
        <v>Vehicle &amp; Fuel</v>
      </c>
      <c r="Q539" s="10">
        <f>IFERROR(INDEX(Category_Targets!$B$2:$B$9,MATCH(F539,Category_Targets!$A$2:$A$9,0)),0)</f>
        <v>0.05</v>
      </c>
      <c r="R539" s="7">
        <f t="shared" si="17"/>
        <v>134.55699999999999</v>
      </c>
    </row>
    <row r="540" spans="1:18" x14ac:dyDescent="0.25">
      <c r="A540" s="5">
        <f>Procurement_Raw!A540</f>
        <v>45713</v>
      </c>
      <c r="B540" t="str">
        <f>Procurement_Raw!B540</f>
        <v>S013</v>
      </c>
      <c r="C540" t="str">
        <f>Procurement_Raw!C540</f>
        <v>Reading Care &amp; Education Centre</v>
      </c>
      <c r="D540" t="str">
        <f>Procurement_Raw!D540</f>
        <v>South</v>
      </c>
      <c r="E540" t="str">
        <f>Procurement_Raw!E540</f>
        <v>BuildCare</v>
      </c>
      <c r="F540" t="str">
        <f>Procurement_Raw!F540</f>
        <v>Facilities</v>
      </c>
      <c r="G540" t="str">
        <f>Procurement_Raw!G540</f>
        <v>INV-2025-00539</v>
      </c>
      <c r="H540" s="6">
        <f>Procurement_Raw!H540</f>
        <v>20</v>
      </c>
      <c r="I540" s="7">
        <f>Procurement_Raw!I540</f>
        <v>313.07</v>
      </c>
      <c r="J540" s="7">
        <f>Procurement_Raw!J540</f>
        <v>6261.34</v>
      </c>
      <c r="K540" s="6">
        <f>Procurement_Raw!K540</f>
        <v>30</v>
      </c>
      <c r="L540" t="str">
        <f>Procurement_Raw!L540</f>
        <v>ERP</v>
      </c>
      <c r="M540" s="8">
        <f>Procurement_Raw!M540</f>
        <v>1252.268</v>
      </c>
      <c r="N540" s="7">
        <f>Procurement_Raw!N540</f>
        <v>6261.34</v>
      </c>
      <c r="O540" s="7">
        <f t="shared" si="16"/>
        <v>6261.34</v>
      </c>
      <c r="P540" t="str">
        <f>IFERROR(INDEX(Supplier_Lookup!$B$2:$B$200,MATCH(E540,Supplier_Lookup!$A$2:$A$200,0)),"Unmapped")</f>
        <v>Facilities</v>
      </c>
      <c r="Q540" s="10">
        <f>IFERROR(INDEX(Category_Targets!$B$2:$B$9,MATCH(F540,Category_Targets!$A$2:$A$9,0)),0)</f>
        <v>0.05</v>
      </c>
      <c r="R540" s="7">
        <f t="shared" si="17"/>
        <v>313.06700000000001</v>
      </c>
    </row>
    <row r="541" spans="1:18" x14ac:dyDescent="0.25">
      <c r="A541" s="5">
        <f>Procurement_Raw!A541</f>
        <v>45866</v>
      </c>
      <c r="B541" t="str">
        <f>Procurement_Raw!B541</f>
        <v>S005</v>
      </c>
      <c r="C541" t="str">
        <f>Procurement_Raw!C541</f>
        <v>Sheffield Care &amp; Education Centre</v>
      </c>
      <c r="D541" t="str">
        <f>Procurement_Raw!D541</f>
        <v>North</v>
      </c>
      <c r="E541" t="str">
        <f>Procurement_Raw!E541</f>
        <v>LearnWell</v>
      </c>
      <c r="F541" t="str">
        <f>Procurement_Raw!F541</f>
        <v>Office &amp; Training</v>
      </c>
      <c r="G541" t="str">
        <f>Procurement_Raw!G541</f>
        <v>INV-2025-00540</v>
      </c>
      <c r="H541" s="6">
        <f>Procurement_Raw!H541</f>
        <v>16</v>
      </c>
      <c r="I541" s="7">
        <f>Procurement_Raw!I541</f>
        <v>54.61</v>
      </c>
      <c r="J541" s="7">
        <f>Procurement_Raw!J541</f>
        <v>873.74</v>
      </c>
      <c r="K541" s="6">
        <f>Procurement_Raw!K541</f>
        <v>60</v>
      </c>
      <c r="L541" t="str">
        <f>Procurement_Raw!L541</f>
        <v>Procurement Portal</v>
      </c>
      <c r="M541" s="8">
        <f>Procurement_Raw!M541</f>
        <v>174.74799999999999</v>
      </c>
      <c r="N541" s="7">
        <f>Procurement_Raw!N541</f>
        <v>873.74</v>
      </c>
      <c r="O541" s="7">
        <f t="shared" si="16"/>
        <v>873.74</v>
      </c>
      <c r="P541" t="str">
        <f>IFERROR(INDEX(Supplier_Lookup!$B$2:$B$200,MATCH(E541,Supplier_Lookup!$A$2:$A$200,0)),"Unmapped")</f>
        <v>Office &amp; Training</v>
      </c>
      <c r="Q541" s="10">
        <f>IFERROR(INDEX(Category_Targets!$B$2:$B$9,MATCH(F541,Category_Targets!$A$2:$A$9,0)),0)</f>
        <v>0.04</v>
      </c>
      <c r="R541" s="7">
        <f t="shared" si="17"/>
        <v>34.949600000000004</v>
      </c>
    </row>
    <row r="542" spans="1:18" x14ac:dyDescent="0.25">
      <c r="A542" s="5">
        <f>Procurement_Raw!A542</f>
        <v>45895</v>
      </c>
      <c r="B542" t="str">
        <f>Procurement_Raw!B542</f>
        <v>S009</v>
      </c>
      <c r="C542" t="str">
        <f>Procurement_Raw!C542</f>
        <v>Derby Care &amp; Education Centre</v>
      </c>
      <c r="D542" t="str">
        <f>Procurement_Raw!D542</f>
        <v>Midlands</v>
      </c>
      <c r="E542" t="str">
        <f>Procurement_Raw!E542</f>
        <v>LearnWell</v>
      </c>
      <c r="F542" t="str">
        <f>Procurement_Raw!F542</f>
        <v>Office &amp; Training</v>
      </c>
      <c r="G542" t="str">
        <f>Procurement_Raw!G542</f>
        <v>INV-2025-00541</v>
      </c>
      <c r="H542" s="6">
        <f>Procurement_Raw!H542</f>
        <v>34</v>
      </c>
      <c r="I542" s="7">
        <f>Procurement_Raw!I542</f>
        <v>118.76</v>
      </c>
      <c r="J542" s="7">
        <f>Procurement_Raw!J542</f>
        <v>4037.9</v>
      </c>
      <c r="K542" s="6">
        <f>Procurement_Raw!K542</f>
        <v>30</v>
      </c>
      <c r="L542" t="str">
        <f>Procurement_Raw!L542</f>
        <v>ERP</v>
      </c>
      <c r="M542" s="8">
        <f>Procurement_Raw!M542</f>
        <v>807.58</v>
      </c>
      <c r="N542" s="7">
        <f>Procurement_Raw!N542</f>
        <v>4037.9</v>
      </c>
      <c r="O542" s="7">
        <f t="shared" si="16"/>
        <v>4037.9</v>
      </c>
      <c r="P542" t="str">
        <f>IFERROR(INDEX(Supplier_Lookup!$B$2:$B$200,MATCH(E542,Supplier_Lookup!$A$2:$A$200,0)),"Unmapped")</f>
        <v>Office &amp; Training</v>
      </c>
      <c r="Q542" s="10">
        <f>IFERROR(INDEX(Category_Targets!$B$2:$B$9,MATCH(F542,Category_Targets!$A$2:$A$9,0)),0)</f>
        <v>0.04</v>
      </c>
      <c r="R542" s="7">
        <f t="shared" si="17"/>
        <v>161.51600000000002</v>
      </c>
    </row>
    <row r="543" spans="1:18" x14ac:dyDescent="0.25">
      <c r="A543" s="5">
        <f>Procurement_Raw!A543</f>
        <v>46014</v>
      </c>
      <c r="B543" t="str">
        <f>Procurement_Raw!B543</f>
        <v>S002</v>
      </c>
      <c r="C543" t="str">
        <f>Procurement_Raw!C543</f>
        <v>Manchester Care &amp; Education Centre</v>
      </c>
      <c r="D543" t="str">
        <f>Procurement_Raw!D543</f>
        <v>North</v>
      </c>
      <c r="E543" t="str">
        <f>Procurement_Raw!E543</f>
        <v>NetServe</v>
      </c>
      <c r="F543" t="str">
        <f>Procurement_Raw!F543</f>
        <v>IT &amp; Telecoms</v>
      </c>
      <c r="G543" t="str">
        <f>Procurement_Raw!G543</f>
        <v>INV-2025-00542</v>
      </c>
      <c r="H543" s="6">
        <f>Procurement_Raw!H543</f>
        <v>78</v>
      </c>
      <c r="I543" s="7">
        <f>Procurement_Raw!I543</f>
        <v>118.19</v>
      </c>
      <c r="J543" s="7">
        <f>Procurement_Raw!J543</f>
        <v>9218.7800000000007</v>
      </c>
      <c r="K543" s="6">
        <f>Procurement_Raw!K543</f>
        <v>30</v>
      </c>
      <c r="L543" t="str">
        <f>Procurement_Raw!L543</f>
        <v>ERP</v>
      </c>
      <c r="M543" s="8">
        <f>Procurement_Raw!M543</f>
        <v>1843.7560000000001</v>
      </c>
      <c r="N543" s="7">
        <f>Procurement_Raw!N543</f>
        <v>9218.7800000000007</v>
      </c>
      <c r="O543" s="7">
        <f t="shared" si="16"/>
        <v>9218.7800000000007</v>
      </c>
      <c r="P543" t="str">
        <f>IFERROR(INDEX(Supplier_Lookup!$B$2:$B$200,MATCH(E543,Supplier_Lookup!$A$2:$A$200,0)),"Unmapped")</f>
        <v>IT &amp; Telecoms</v>
      </c>
      <c r="Q543" s="10">
        <f>IFERROR(INDEX(Category_Targets!$B$2:$B$9,MATCH(F543,Category_Targets!$A$2:$A$9,0)),0)</f>
        <v>0.08</v>
      </c>
      <c r="R543" s="7">
        <f t="shared" si="17"/>
        <v>737.50240000000008</v>
      </c>
    </row>
    <row r="544" spans="1:18" x14ac:dyDescent="0.25">
      <c r="A544" s="5">
        <f>Procurement_Raw!A544</f>
        <v>46022</v>
      </c>
      <c r="B544" t="str">
        <f>Procurement_Raw!B544</f>
        <v>S003</v>
      </c>
      <c r="C544" t="str">
        <f>Procurement_Raw!C544</f>
        <v>Leeds Care &amp; Education Centre</v>
      </c>
      <c r="D544" t="str">
        <f>Procurement_Raw!D544</f>
        <v>North</v>
      </c>
      <c r="E544" t="str">
        <f>Procurement_Raw!E544</f>
        <v>CleanWorks</v>
      </c>
      <c r="F544" t="str">
        <f>Procurement_Raw!F544</f>
        <v>Facilities</v>
      </c>
      <c r="G544" t="str">
        <f>Procurement_Raw!G544</f>
        <v>INV-2025-00543</v>
      </c>
      <c r="H544" s="6">
        <f>Procurement_Raw!H544</f>
        <v>32</v>
      </c>
      <c r="I544" s="7">
        <f>Procurement_Raw!I544</f>
        <v>240.89</v>
      </c>
      <c r="J544" s="7">
        <f>Procurement_Raw!J544</f>
        <v>7708.55</v>
      </c>
      <c r="K544" s="6">
        <f>Procurement_Raw!K544</f>
        <v>45</v>
      </c>
      <c r="L544" t="str">
        <f>Procurement_Raw!L544</f>
        <v>Procurement Portal</v>
      </c>
      <c r="M544" s="8">
        <f>Procurement_Raw!M544</f>
        <v>1541.71</v>
      </c>
      <c r="N544" s="7">
        <f>Procurement_Raw!N544</f>
        <v>7708.55</v>
      </c>
      <c r="O544" s="7">
        <f t="shared" si="16"/>
        <v>7708.55</v>
      </c>
      <c r="P544" t="str">
        <f>IFERROR(INDEX(Supplier_Lookup!$B$2:$B$200,MATCH(E544,Supplier_Lookup!$A$2:$A$200,0)),"Unmapped")</f>
        <v>Facilities</v>
      </c>
      <c r="Q544" s="10">
        <f>IFERROR(INDEX(Category_Targets!$B$2:$B$9,MATCH(F544,Category_Targets!$A$2:$A$9,0)),0)</f>
        <v>0.05</v>
      </c>
      <c r="R544" s="7">
        <f t="shared" si="17"/>
        <v>385.42750000000001</v>
      </c>
    </row>
    <row r="545" spans="1:18" x14ac:dyDescent="0.25">
      <c r="A545" s="5">
        <f>Procurement_Raw!A545</f>
        <v>45811</v>
      </c>
      <c r="B545" t="str">
        <f>Procurement_Raw!B545</f>
        <v>S004</v>
      </c>
      <c r="C545" t="str">
        <f>Procurement_Raw!C545</f>
        <v>Newcastle Care &amp; Education Centre</v>
      </c>
      <c r="D545" t="str">
        <f>Procurement_Raw!D545</f>
        <v>North</v>
      </c>
      <c r="E545" t="str">
        <f>Procurement_Raw!E545</f>
        <v>ClinEquip</v>
      </c>
      <c r="F545" t="str">
        <f>Procurement_Raw!F545</f>
        <v>Medical Supplies</v>
      </c>
      <c r="G545" t="str">
        <f>Procurement_Raw!G545</f>
        <v>INV-2025-00544</v>
      </c>
      <c r="H545" s="6">
        <f>Procurement_Raw!H545</f>
        <v>34</v>
      </c>
      <c r="I545" s="7">
        <f>Procurement_Raw!I545</f>
        <v>265.17</v>
      </c>
      <c r="J545" s="7">
        <f>Procurement_Raw!J545</f>
        <v>9015.6299999999992</v>
      </c>
      <c r="K545" s="6">
        <f>Procurement_Raw!K545</f>
        <v>30</v>
      </c>
      <c r="L545" t="str">
        <f>Procurement_Raw!L545</f>
        <v>ERP</v>
      </c>
      <c r="M545" s="8">
        <f>Procurement_Raw!M545</f>
        <v>1803.126</v>
      </c>
      <c r="N545" s="7">
        <f>Procurement_Raw!N545</f>
        <v>9015.6299999999992</v>
      </c>
      <c r="O545" s="7">
        <f t="shared" si="16"/>
        <v>9015.6299999999992</v>
      </c>
      <c r="P545" t="str">
        <f>IFERROR(INDEX(Supplier_Lookup!$B$2:$B$200,MATCH(E545,Supplier_Lookup!$A$2:$A$200,0)),"Unmapped")</f>
        <v>Medical Supplies</v>
      </c>
      <c r="Q545" s="10">
        <f>IFERROR(INDEX(Category_Targets!$B$2:$B$9,MATCH(F545,Category_Targets!$A$2:$A$9,0)),0)</f>
        <v>0.06</v>
      </c>
      <c r="R545" s="7">
        <f t="shared" si="17"/>
        <v>540.93779999999992</v>
      </c>
    </row>
    <row r="546" spans="1:18" x14ac:dyDescent="0.25">
      <c r="A546" s="5">
        <f>Procurement_Raw!A546</f>
        <v>45939</v>
      </c>
      <c r="B546" t="str">
        <f>Procurement_Raw!B546</f>
        <v>S009</v>
      </c>
      <c r="C546" t="str">
        <f>Procurement_Raw!C546</f>
        <v>Derby Care &amp; Education Centre</v>
      </c>
      <c r="D546" t="str">
        <f>Procurement_Raw!D546</f>
        <v>Midlands</v>
      </c>
      <c r="E546" t="str">
        <f>Procurement_Raw!E546</f>
        <v>PrintCo</v>
      </c>
      <c r="F546" t="str">
        <f>Procurement_Raw!F546</f>
        <v>Office &amp; Training</v>
      </c>
      <c r="G546" t="str">
        <f>Procurement_Raw!G546</f>
        <v>INV-2025-00545</v>
      </c>
      <c r="H546" s="6">
        <f>Procurement_Raw!H546</f>
        <v>32</v>
      </c>
      <c r="I546" s="7">
        <f>Procurement_Raw!I546</f>
        <v>19.260000000000002</v>
      </c>
      <c r="J546" s="7">
        <f>Procurement_Raw!J546</f>
        <v>616.35</v>
      </c>
      <c r="K546" s="6">
        <f>Procurement_Raw!K546</f>
        <v>30</v>
      </c>
      <c r="L546" t="str">
        <f>Procurement_Raw!L546</f>
        <v>Procurement Portal</v>
      </c>
      <c r="M546" s="8">
        <f>Procurement_Raw!M546</f>
        <v>123.27</v>
      </c>
      <c r="N546" s="7">
        <f>Procurement_Raw!N546</f>
        <v>616.35</v>
      </c>
      <c r="O546" s="7">
        <f t="shared" si="16"/>
        <v>616.35</v>
      </c>
      <c r="P546" t="str">
        <f>IFERROR(INDEX(Supplier_Lookup!$B$2:$B$200,MATCH(E546,Supplier_Lookup!$A$2:$A$200,0)),"Unmapped")</f>
        <v>Office &amp; Training</v>
      </c>
      <c r="Q546" s="10">
        <f>IFERROR(INDEX(Category_Targets!$B$2:$B$9,MATCH(F546,Category_Targets!$A$2:$A$9,0)),0)</f>
        <v>0.04</v>
      </c>
      <c r="R546" s="7">
        <f t="shared" si="17"/>
        <v>24.654</v>
      </c>
    </row>
    <row r="547" spans="1:18" x14ac:dyDescent="0.25">
      <c r="A547" s="5">
        <f>Procurement_Raw!A547</f>
        <v>45664</v>
      </c>
      <c r="B547" t="str">
        <f>Procurement_Raw!B547</f>
        <v>S004</v>
      </c>
      <c r="C547" t="str">
        <f>Procurement_Raw!C547</f>
        <v>Newcastle Care &amp; Education Centre</v>
      </c>
      <c r="D547" t="str">
        <f>Procurement_Raw!D547</f>
        <v>North</v>
      </c>
      <c r="E547" t="str">
        <f>Procurement_Raw!E547</f>
        <v>CleanWorks</v>
      </c>
      <c r="F547" t="str">
        <f>Procurement_Raw!F547</f>
        <v>Facilities</v>
      </c>
      <c r="G547" t="str">
        <f>Procurement_Raw!G547</f>
        <v>INV-2025-00546</v>
      </c>
      <c r="H547" s="6">
        <f>Procurement_Raw!H547</f>
        <v>8</v>
      </c>
      <c r="I547" s="7">
        <f>Procurement_Raw!I547</f>
        <v>116.12</v>
      </c>
      <c r="J547" s="7">
        <f>Procurement_Raw!J547</f>
        <v>929</v>
      </c>
      <c r="K547" s="6">
        <f>Procurement_Raw!K547</f>
        <v>30</v>
      </c>
      <c r="L547" t="str">
        <f>Procurement_Raw!L547</f>
        <v>ERP</v>
      </c>
      <c r="M547" s="8">
        <f>Procurement_Raw!M547</f>
        <v>185.8</v>
      </c>
      <c r="N547" s="7">
        <f>Procurement_Raw!N547</f>
        <v>929</v>
      </c>
      <c r="O547" s="7">
        <f t="shared" si="16"/>
        <v>929</v>
      </c>
      <c r="P547" t="str">
        <f>IFERROR(INDEX(Supplier_Lookup!$B$2:$B$200,MATCH(E547,Supplier_Lookup!$A$2:$A$200,0)),"Unmapped")</f>
        <v>Facilities</v>
      </c>
      <c r="Q547" s="10">
        <f>IFERROR(INDEX(Category_Targets!$B$2:$B$9,MATCH(F547,Category_Targets!$A$2:$A$9,0)),0)</f>
        <v>0.05</v>
      </c>
      <c r="R547" s="7">
        <f t="shared" si="17"/>
        <v>46.45</v>
      </c>
    </row>
    <row r="548" spans="1:18" x14ac:dyDescent="0.25">
      <c r="A548" s="5">
        <f>Procurement_Raw!A548</f>
        <v>46009</v>
      </c>
      <c r="B548" t="str">
        <f>Procurement_Raw!B548</f>
        <v>S006</v>
      </c>
      <c r="C548" t="str">
        <f>Procurement_Raw!C548</f>
        <v>Birmingham Care &amp; Education Centre</v>
      </c>
      <c r="D548" t="str">
        <f>Procurement_Raw!D548</f>
        <v>Midlands</v>
      </c>
      <c r="E548" t="str">
        <f>Procurement_Raw!E548</f>
        <v>CareTemps</v>
      </c>
      <c r="F548" t="str">
        <f>Procurement_Raw!F548</f>
        <v>Agency Labour</v>
      </c>
      <c r="G548" t="str">
        <f>Procurement_Raw!G548</f>
        <v>INV-2025-00547</v>
      </c>
      <c r="H548" s="6">
        <f>Procurement_Raw!H548</f>
        <v>11</v>
      </c>
      <c r="I548" s="7">
        <f>Procurement_Raw!I548</f>
        <v>412.06</v>
      </c>
      <c r="J548" s="7">
        <f>Procurement_Raw!J548</f>
        <v>4532.67</v>
      </c>
      <c r="K548" s="6">
        <f>Procurement_Raw!K548</f>
        <v>60</v>
      </c>
      <c r="L548" t="str">
        <f>Procurement_Raw!L548</f>
        <v>Legacy Spend File</v>
      </c>
      <c r="M548" s="8">
        <f>Procurement_Raw!M548</f>
        <v>906.53399999999999</v>
      </c>
      <c r="N548" s="7">
        <f>Procurement_Raw!N548</f>
        <v>4532.67</v>
      </c>
      <c r="O548" s="7">
        <f t="shared" si="16"/>
        <v>4532.67</v>
      </c>
      <c r="P548" t="str">
        <f>IFERROR(INDEX(Supplier_Lookup!$B$2:$B$200,MATCH(E548,Supplier_Lookup!$A$2:$A$200,0)),"Unmapped")</f>
        <v>Agency Labour</v>
      </c>
      <c r="Q548" s="10">
        <f>IFERROR(INDEX(Category_Targets!$B$2:$B$9,MATCH(F548,Category_Targets!$A$2:$A$9,0)),0)</f>
        <v>7.0000000000000007E-2</v>
      </c>
      <c r="R548" s="7">
        <f t="shared" si="17"/>
        <v>317.28690000000006</v>
      </c>
    </row>
    <row r="549" spans="1:18" x14ac:dyDescent="0.25">
      <c r="A549" s="5">
        <f>Procurement_Raw!A549</f>
        <v>45691</v>
      </c>
      <c r="B549" t="str">
        <f>Procurement_Raw!B549</f>
        <v>S018</v>
      </c>
      <c r="C549" t="str">
        <f>Procurement_Raw!C549</f>
        <v>Newport Care &amp; Education Centre</v>
      </c>
      <c r="D549" t="str">
        <f>Procurement_Raw!D549</f>
        <v>Wales</v>
      </c>
      <c r="E549" t="str">
        <f>Procurement_Raw!E549</f>
        <v>FreshServe</v>
      </c>
      <c r="F549" t="str">
        <f>Procurement_Raw!F549</f>
        <v>Food &amp; Catering</v>
      </c>
      <c r="G549" t="str">
        <f>Procurement_Raw!G549</f>
        <v>INV-2025-00548</v>
      </c>
      <c r="H549" s="6">
        <f>Procurement_Raw!H549</f>
        <v>26</v>
      </c>
      <c r="I549" s="7">
        <f>Procurement_Raw!I549</f>
        <v>58.13</v>
      </c>
      <c r="J549" s="7">
        <f>Procurement_Raw!J549</f>
        <v>1511.43</v>
      </c>
      <c r="K549" s="6">
        <f>Procurement_Raw!K549</f>
        <v>60</v>
      </c>
      <c r="L549" t="str">
        <f>Procurement_Raw!L549</f>
        <v>Procurement Portal</v>
      </c>
      <c r="M549" s="8">
        <f>Procurement_Raw!M549</f>
        <v>302.286</v>
      </c>
      <c r="N549" s="7">
        <f>Procurement_Raw!N549</f>
        <v>1511.43</v>
      </c>
      <c r="O549" s="7">
        <f t="shared" si="16"/>
        <v>1511.43</v>
      </c>
      <c r="P549" t="str">
        <f>IFERROR(INDEX(Supplier_Lookup!$B$2:$B$200,MATCH(E549,Supplier_Lookup!$A$2:$A$200,0)),"Unmapped")</f>
        <v>Food &amp; Catering</v>
      </c>
      <c r="Q549" s="10">
        <f>IFERROR(INDEX(Category_Targets!$B$2:$B$9,MATCH(F549,Category_Targets!$A$2:$A$9,0)),0)</f>
        <v>0.04</v>
      </c>
      <c r="R549" s="7">
        <f t="shared" si="17"/>
        <v>60.4572</v>
      </c>
    </row>
    <row r="550" spans="1:18" x14ac:dyDescent="0.25">
      <c r="A550" s="5">
        <f>Procurement_Raw!A550</f>
        <v>45720</v>
      </c>
      <c r="B550" t="str">
        <f>Procurement_Raw!B550</f>
        <v>S016</v>
      </c>
      <c r="C550" t="str">
        <f>Procurement_Raw!C550</f>
        <v>Cardiff Care &amp; Education Centre</v>
      </c>
      <c r="D550" t="str">
        <f>Procurement_Raw!D550</f>
        <v>Wales</v>
      </c>
      <c r="E550" t="str">
        <f>Procurement_Raw!E550</f>
        <v>nourishco</v>
      </c>
      <c r="F550" t="str">
        <f>Procurement_Raw!F550</f>
        <v>Food &amp; Catering</v>
      </c>
      <c r="G550" t="str">
        <f>Procurement_Raw!G550</f>
        <v>INV-2025-00549</v>
      </c>
      <c r="H550" s="6">
        <f>Procurement_Raw!H550</f>
        <v>6</v>
      </c>
      <c r="I550" s="7">
        <f>Procurement_Raw!I550</f>
        <v>79.72</v>
      </c>
      <c r="J550" s="7">
        <f>Procurement_Raw!J550</f>
        <v>478.32</v>
      </c>
      <c r="K550" s="6">
        <f>Procurement_Raw!K550</f>
        <v>45</v>
      </c>
      <c r="L550" t="str">
        <f>Procurement_Raw!L550</f>
        <v>ERP</v>
      </c>
      <c r="M550" s="8">
        <f>Procurement_Raw!M550</f>
        <v>95.664000000000001</v>
      </c>
      <c r="N550" s="7">
        <f>Procurement_Raw!N550</f>
        <v>478.32</v>
      </c>
      <c r="O550" s="7">
        <f t="shared" si="16"/>
        <v>478.32</v>
      </c>
      <c r="P550" t="str">
        <f>IFERROR(INDEX(Supplier_Lookup!$B$2:$B$200,MATCH(E550,Supplier_Lookup!$A$2:$A$200,0)),"Unmapped")</f>
        <v>Food &amp; Catering</v>
      </c>
      <c r="Q550" s="10">
        <f>IFERROR(INDEX(Category_Targets!$B$2:$B$9,MATCH(F550,Category_Targets!$A$2:$A$9,0)),0)</f>
        <v>0.04</v>
      </c>
      <c r="R550" s="7">
        <f t="shared" si="17"/>
        <v>19.1328</v>
      </c>
    </row>
    <row r="551" spans="1:18" x14ac:dyDescent="0.25">
      <c r="A551" s="5">
        <f>Procurement_Raw!A551</f>
        <v>45860</v>
      </c>
      <c r="B551" t="str">
        <f>Procurement_Raw!B551</f>
        <v>S008</v>
      </c>
      <c r="C551" t="str">
        <f>Procurement_Raw!C551</f>
        <v>Leicester Care &amp; Education Centre</v>
      </c>
      <c r="D551" t="str">
        <f>Procurement_Raw!D551</f>
        <v>Midlands</v>
      </c>
      <c r="E551" t="str">
        <f>Procurement_Raw!E551</f>
        <v>NurseLink</v>
      </c>
      <c r="F551" t="str">
        <f>Procurement_Raw!F551</f>
        <v>Agency Labour</v>
      </c>
      <c r="G551" t="str">
        <f>Procurement_Raw!G551</f>
        <v>INV-2025-00550</v>
      </c>
      <c r="H551" s="6">
        <f>Procurement_Raw!H551</f>
        <v>64</v>
      </c>
      <c r="I551" s="7">
        <f>Procurement_Raw!I551</f>
        <v>215.2</v>
      </c>
      <c r="J551" s="7">
        <f>Procurement_Raw!J551</f>
        <v>13773.11</v>
      </c>
      <c r="K551" s="6">
        <f>Procurement_Raw!K551</f>
        <v>30</v>
      </c>
      <c r="L551" t="str">
        <f>Procurement_Raw!L551</f>
        <v>Procurement Portal</v>
      </c>
      <c r="M551" s="8">
        <f>Procurement_Raw!M551</f>
        <v>2754.6219999999998</v>
      </c>
      <c r="N551" s="7">
        <f>Procurement_Raw!N551</f>
        <v>13773.11</v>
      </c>
      <c r="O551" s="7">
        <f t="shared" si="16"/>
        <v>13773.11</v>
      </c>
      <c r="P551" t="str">
        <f>IFERROR(INDEX(Supplier_Lookup!$B$2:$B$200,MATCH(E551,Supplier_Lookup!$A$2:$A$200,0)),"Unmapped")</f>
        <v>Agency Labour</v>
      </c>
      <c r="Q551" s="10">
        <f>IFERROR(INDEX(Category_Targets!$B$2:$B$9,MATCH(F551,Category_Targets!$A$2:$A$9,0)),0)</f>
        <v>7.0000000000000007E-2</v>
      </c>
      <c r="R551" s="7">
        <f t="shared" si="17"/>
        <v>964.11770000000013</v>
      </c>
    </row>
    <row r="552" spans="1:18" x14ac:dyDescent="0.25">
      <c r="A552" s="5">
        <f>Procurement_Raw!A552</f>
        <v>45839</v>
      </c>
      <c r="B552" t="str">
        <f>Procurement_Raw!B552</f>
        <v>S019</v>
      </c>
      <c r="C552" t="str">
        <f>Procurement_Raw!C552</f>
        <v>Wrexham Care &amp; Education Centre</v>
      </c>
      <c r="D552" t="str">
        <f>Procurement_Raw!D552</f>
        <v>Wales</v>
      </c>
      <c r="E552" t="str">
        <f>Procurement_Raw!E552</f>
        <v>HealthStaffing</v>
      </c>
      <c r="F552" t="str">
        <f>Procurement_Raw!F552</f>
        <v>Agency Labour</v>
      </c>
      <c r="G552" t="str">
        <f>Procurement_Raw!G552</f>
        <v>INV-2025-00551</v>
      </c>
      <c r="H552" s="6">
        <f>Procurement_Raw!H552</f>
        <v>28</v>
      </c>
      <c r="I552" s="7">
        <f>Procurement_Raw!I552</f>
        <v>314.63</v>
      </c>
      <c r="J552" s="7">
        <f>Procurement_Raw!J552</f>
        <v>8809.7199999999993</v>
      </c>
      <c r="K552" s="6">
        <f>Procurement_Raw!K552</f>
        <v>30</v>
      </c>
      <c r="L552" t="str">
        <f>Procurement_Raw!L552</f>
        <v>Procurement Portal</v>
      </c>
      <c r="M552" s="8">
        <f>Procurement_Raw!M552</f>
        <v>1761.944</v>
      </c>
      <c r="N552" s="7">
        <f>Procurement_Raw!N552</f>
        <v>8809.7199999999993</v>
      </c>
      <c r="O552" s="7">
        <f t="shared" si="16"/>
        <v>8809.7199999999993</v>
      </c>
      <c r="P552" t="str">
        <f>IFERROR(INDEX(Supplier_Lookup!$B$2:$B$200,MATCH(E552,Supplier_Lookup!$A$2:$A$200,0)),"Unmapped")</f>
        <v>Agency Labour</v>
      </c>
      <c r="Q552" s="10">
        <f>IFERROR(INDEX(Category_Targets!$B$2:$B$9,MATCH(F552,Category_Targets!$A$2:$A$9,0)),0)</f>
        <v>7.0000000000000007E-2</v>
      </c>
      <c r="R552" s="7">
        <f t="shared" si="17"/>
        <v>616.68039999999996</v>
      </c>
    </row>
    <row r="553" spans="1:18" x14ac:dyDescent="0.25">
      <c r="A553" s="5">
        <f>Procurement_Raw!A553</f>
        <v>45675</v>
      </c>
      <c r="B553" t="str">
        <f>Procurement_Raw!B553</f>
        <v>S007</v>
      </c>
      <c r="C553" t="str">
        <f>Procurement_Raw!C553</f>
        <v>Nottingham Care &amp; Education Centre</v>
      </c>
      <c r="D553" t="str">
        <f>Procurement_Raw!D553</f>
        <v>Midlands</v>
      </c>
      <c r="E553" t="str">
        <f>Procurement_Raw!E553</f>
        <v>OfficePlus</v>
      </c>
      <c r="F553" t="str">
        <f>Procurement_Raw!F553</f>
        <v>Office &amp; Training</v>
      </c>
      <c r="G553" t="str">
        <f>Procurement_Raw!G553</f>
        <v>INV-2025-00552</v>
      </c>
      <c r="H553" s="6">
        <f>Procurement_Raw!H553</f>
        <v>79</v>
      </c>
      <c r="I553" s="7">
        <f>Procurement_Raw!I553</f>
        <v>68.849999999999994</v>
      </c>
      <c r="J553" s="7">
        <f>Procurement_Raw!J553</f>
        <v>5438.8</v>
      </c>
      <c r="K553" s="6">
        <f>Procurement_Raw!K553</f>
        <v>60</v>
      </c>
      <c r="L553" t="str">
        <f>Procurement_Raw!L553</f>
        <v>Legacy Spend File</v>
      </c>
      <c r="M553" s="8">
        <f>Procurement_Raw!M553</f>
        <v>1087.76</v>
      </c>
      <c r="N553" s="7">
        <f>Procurement_Raw!N553</f>
        <v>5438.8</v>
      </c>
      <c r="O553" s="7">
        <f t="shared" si="16"/>
        <v>5438.8</v>
      </c>
      <c r="P553" t="str">
        <f>IFERROR(INDEX(Supplier_Lookup!$B$2:$B$200,MATCH(E553,Supplier_Lookup!$A$2:$A$200,0)),"Unmapped")</f>
        <v>Office &amp; Training</v>
      </c>
      <c r="Q553" s="10">
        <f>IFERROR(INDEX(Category_Targets!$B$2:$B$9,MATCH(F553,Category_Targets!$A$2:$A$9,0)),0)</f>
        <v>0.04</v>
      </c>
      <c r="R553" s="7">
        <f t="shared" si="17"/>
        <v>217.55200000000002</v>
      </c>
    </row>
    <row r="554" spans="1:18" x14ac:dyDescent="0.25">
      <c r="A554" s="5">
        <f>Procurement_Raw!A554</f>
        <v>45868</v>
      </c>
      <c r="B554" t="str">
        <f>Procurement_Raw!B554</f>
        <v>S005</v>
      </c>
      <c r="C554" t="str">
        <f>Procurement_Raw!C554</f>
        <v>Sheffield Care &amp; Education Centre</v>
      </c>
      <c r="D554" t="str">
        <f>Procurement_Raw!D554</f>
        <v>North</v>
      </c>
      <c r="E554" t="str">
        <f>Procurement_Raw!E554</f>
        <v>TeleCare IT</v>
      </c>
      <c r="F554" t="str">
        <f>Procurement_Raw!F554</f>
        <v>IT &amp; Telecoms</v>
      </c>
      <c r="G554" t="str">
        <f>Procurement_Raw!G554</f>
        <v>INV-2025-00553</v>
      </c>
      <c r="H554" s="6">
        <f>Procurement_Raw!H554</f>
        <v>71</v>
      </c>
      <c r="I554" s="7">
        <f>Procurement_Raw!I554</f>
        <v>418.18</v>
      </c>
      <c r="J554" s="7">
        <f>Procurement_Raw!J554</f>
        <v>29690.65</v>
      </c>
      <c r="K554" s="6">
        <f>Procurement_Raw!K554</f>
        <v>45</v>
      </c>
      <c r="L554" t="str">
        <f>Procurement_Raw!L554</f>
        <v>ERP</v>
      </c>
      <c r="M554" s="8">
        <f>Procurement_Raw!M554</f>
        <v>5938.13</v>
      </c>
      <c r="N554" s="7">
        <f>Procurement_Raw!N554</f>
        <v>29690.65</v>
      </c>
      <c r="O554" s="7">
        <f t="shared" si="16"/>
        <v>29690.65</v>
      </c>
      <c r="P554" t="str">
        <f>IFERROR(INDEX(Supplier_Lookup!$B$2:$B$200,MATCH(E554,Supplier_Lookup!$A$2:$A$200,0)),"Unmapped")</f>
        <v>IT &amp; Telecoms</v>
      </c>
      <c r="Q554" s="10">
        <f>IFERROR(INDEX(Category_Targets!$B$2:$B$9,MATCH(F554,Category_Targets!$A$2:$A$9,0)),0)</f>
        <v>0.08</v>
      </c>
      <c r="R554" s="7">
        <f t="shared" si="17"/>
        <v>2375.252</v>
      </c>
    </row>
    <row r="555" spans="1:18" x14ac:dyDescent="0.25">
      <c r="A555" s="5">
        <f>Procurement_Raw!A555</f>
        <v>45728</v>
      </c>
      <c r="B555" t="str">
        <f>Procurement_Raw!B555</f>
        <v>S011</v>
      </c>
      <c r="C555" t="str">
        <f>Procurement_Raw!C555</f>
        <v>London Care &amp; Education Centre</v>
      </c>
      <c r="D555" t="str">
        <f>Procurement_Raw!D555</f>
        <v>South</v>
      </c>
      <c r="E555" t="str">
        <f>Procurement_Raw!E555</f>
        <v>TeleCare IT</v>
      </c>
      <c r="F555" t="str">
        <f>Procurement_Raw!F555</f>
        <v>IT &amp; Telecoms</v>
      </c>
      <c r="G555" t="str">
        <f>Procurement_Raw!G555</f>
        <v>INV-2025-00554</v>
      </c>
      <c r="H555" s="6">
        <f>Procurement_Raw!H555</f>
        <v>54</v>
      </c>
      <c r="I555" s="7">
        <f>Procurement_Raw!I555</f>
        <v>253.04</v>
      </c>
      <c r="J555" s="7">
        <f>Procurement_Raw!J555</f>
        <v>13664.32</v>
      </c>
      <c r="K555" s="6">
        <f>Procurement_Raw!K555</f>
        <v>30</v>
      </c>
      <c r="L555" t="str">
        <f>Procurement_Raw!L555</f>
        <v>Legacy Spend File</v>
      </c>
      <c r="M555" s="8">
        <f>Procurement_Raw!M555</f>
        <v>2732.864</v>
      </c>
      <c r="N555" s="7">
        <f>Procurement_Raw!N555</f>
        <v>13664.32</v>
      </c>
      <c r="O555" s="7">
        <f t="shared" si="16"/>
        <v>13664.32</v>
      </c>
      <c r="P555" t="str">
        <f>IFERROR(INDEX(Supplier_Lookup!$B$2:$B$200,MATCH(E555,Supplier_Lookup!$A$2:$A$200,0)),"Unmapped")</f>
        <v>IT &amp; Telecoms</v>
      </c>
      <c r="Q555" s="10">
        <f>IFERROR(INDEX(Category_Targets!$B$2:$B$9,MATCH(F555,Category_Targets!$A$2:$A$9,0)),0)</f>
        <v>0.08</v>
      </c>
      <c r="R555" s="7">
        <f t="shared" si="17"/>
        <v>1093.1456000000001</v>
      </c>
    </row>
    <row r="556" spans="1:18" x14ac:dyDescent="0.25">
      <c r="A556" s="5">
        <f>Procurement_Raw!A556</f>
        <v>45936</v>
      </c>
      <c r="B556" t="str">
        <f>Procurement_Raw!B556</f>
        <v>S001</v>
      </c>
      <c r="C556" t="str">
        <f>Procurement_Raw!C556</f>
        <v>Preston Care &amp; Education Centre</v>
      </c>
      <c r="D556" t="str">
        <f>Procurement_Raw!D556</f>
        <v>North</v>
      </c>
      <c r="E556" t="str">
        <f>Procurement_Raw!E556</f>
        <v>PowerDirect</v>
      </c>
      <c r="F556" t="str">
        <f>Procurement_Raw!F556</f>
        <v>Utilities</v>
      </c>
      <c r="G556" t="str">
        <f>Procurement_Raw!G556</f>
        <v>INV-2025-00555</v>
      </c>
      <c r="H556" s="6">
        <f>Procurement_Raw!H556</f>
        <v>3</v>
      </c>
      <c r="I556" s="7">
        <f>Procurement_Raw!I556</f>
        <v>301.01</v>
      </c>
      <c r="J556" s="7">
        <f>Procurement_Raw!J556</f>
        <v>903.03</v>
      </c>
      <c r="K556" s="6">
        <f>Procurement_Raw!K556</f>
        <v>45</v>
      </c>
      <c r="L556" t="str">
        <f>Procurement_Raw!L556</f>
        <v>Legacy Spend File</v>
      </c>
      <c r="M556" s="8">
        <f>Procurement_Raw!M556</f>
        <v>180.60599999999999</v>
      </c>
      <c r="N556" s="7">
        <f>Procurement_Raw!N556</f>
        <v>903.03</v>
      </c>
      <c r="O556" s="7">
        <f t="shared" si="16"/>
        <v>903.03</v>
      </c>
      <c r="P556" t="str">
        <f>IFERROR(INDEX(Supplier_Lookup!$B$2:$B$200,MATCH(E556,Supplier_Lookup!$A$2:$A$200,0)),"Unmapped")</f>
        <v>Utilities</v>
      </c>
      <c r="Q556" s="10">
        <f>IFERROR(INDEX(Category_Targets!$B$2:$B$9,MATCH(F556,Category_Targets!$A$2:$A$9,0)),0)</f>
        <v>0.03</v>
      </c>
      <c r="R556" s="7">
        <f t="shared" si="17"/>
        <v>27.090899999999998</v>
      </c>
    </row>
    <row r="557" spans="1:18" x14ac:dyDescent="0.25">
      <c r="A557" s="5">
        <f>Procurement_Raw!A557</f>
        <v>45906</v>
      </c>
      <c r="B557" t="str">
        <f>Procurement_Raw!B557</f>
        <v>S008</v>
      </c>
      <c r="C557" t="str">
        <f>Procurement_Raw!C557</f>
        <v>Leicester Care &amp; Education Centre</v>
      </c>
      <c r="D557" t="str">
        <f>Procurement_Raw!D557</f>
        <v>Midlands</v>
      </c>
      <c r="E557" t="str">
        <f>Procurement_Raw!E557</f>
        <v>PrintCo</v>
      </c>
      <c r="F557" t="str">
        <f>Procurement_Raw!F557</f>
        <v>Office &amp; Training</v>
      </c>
      <c r="G557" t="str">
        <f>Procurement_Raw!G557</f>
        <v>INV-2025-00556</v>
      </c>
      <c r="H557" s="6">
        <f>Procurement_Raw!H557</f>
        <v>45</v>
      </c>
      <c r="I557" s="7">
        <f>Procurement_Raw!I557</f>
        <v>59.8</v>
      </c>
      <c r="J557" s="7">
        <f>Procurement_Raw!J557</f>
        <v>2690.87</v>
      </c>
      <c r="K557" s="6">
        <f>Procurement_Raw!K557</f>
        <v>60</v>
      </c>
      <c r="L557" t="str">
        <f>Procurement_Raw!L557</f>
        <v>Legacy Spend File</v>
      </c>
      <c r="M557" s="8">
        <f>Procurement_Raw!M557</f>
        <v>538.17399999999998</v>
      </c>
      <c r="N557" s="7">
        <f>Procurement_Raw!N557</f>
        <v>2690.87</v>
      </c>
      <c r="O557" s="7">
        <f t="shared" si="16"/>
        <v>2690.87</v>
      </c>
      <c r="P557" t="str">
        <f>IFERROR(INDEX(Supplier_Lookup!$B$2:$B$200,MATCH(E557,Supplier_Lookup!$A$2:$A$200,0)),"Unmapped")</f>
        <v>Office &amp; Training</v>
      </c>
      <c r="Q557" s="10">
        <f>IFERROR(INDEX(Category_Targets!$B$2:$B$9,MATCH(F557,Category_Targets!$A$2:$A$9,0)),0)</f>
        <v>0.04</v>
      </c>
      <c r="R557" s="7">
        <f t="shared" si="17"/>
        <v>107.6348</v>
      </c>
    </row>
    <row r="558" spans="1:18" x14ac:dyDescent="0.25">
      <c r="A558" s="5">
        <f>Procurement_Raw!A558</f>
        <v>45750</v>
      </c>
      <c r="B558" t="str">
        <f>Procurement_Raw!B558</f>
        <v>S006</v>
      </c>
      <c r="C558" t="str">
        <f>Procurement_Raw!C558</f>
        <v>Birmingham Care &amp; Education Centre</v>
      </c>
      <c r="D558" t="str">
        <f>Procurement_Raw!D558</f>
        <v>Midlands</v>
      </c>
      <c r="E558" t="str">
        <f>Procurement_Raw!E558</f>
        <v>CareTemps</v>
      </c>
      <c r="F558" t="str">
        <f>Procurement_Raw!F558</f>
        <v>Agency Labour</v>
      </c>
      <c r="G558" t="str">
        <f>Procurement_Raw!G558</f>
        <v>INV-2025-00557</v>
      </c>
      <c r="H558" s="6">
        <f>Procurement_Raw!H558</f>
        <v>4</v>
      </c>
      <c r="I558" s="7">
        <f>Procurement_Raw!I558</f>
        <v>229.43</v>
      </c>
      <c r="J558" s="7">
        <f>Procurement_Raw!J558</f>
        <v>917.72</v>
      </c>
      <c r="K558" s="6">
        <f>Procurement_Raw!K558</f>
        <v>45</v>
      </c>
      <c r="L558" t="str">
        <f>Procurement_Raw!L558</f>
        <v>Legacy Spend File</v>
      </c>
      <c r="M558" s="8">
        <f>Procurement_Raw!M558</f>
        <v>183.54400000000001</v>
      </c>
      <c r="N558" s="7">
        <f>Procurement_Raw!N558</f>
        <v>917.72</v>
      </c>
      <c r="O558" s="7">
        <f t="shared" si="16"/>
        <v>917.72</v>
      </c>
      <c r="P558" t="str">
        <f>IFERROR(INDEX(Supplier_Lookup!$B$2:$B$200,MATCH(E558,Supplier_Lookup!$A$2:$A$200,0)),"Unmapped")</f>
        <v>Agency Labour</v>
      </c>
      <c r="Q558" s="10">
        <f>IFERROR(INDEX(Category_Targets!$B$2:$B$9,MATCH(F558,Category_Targets!$A$2:$A$9,0)),0)</f>
        <v>7.0000000000000007E-2</v>
      </c>
      <c r="R558" s="7">
        <f t="shared" si="17"/>
        <v>64.240400000000008</v>
      </c>
    </row>
    <row r="559" spans="1:18" x14ac:dyDescent="0.25">
      <c r="A559" s="5">
        <f>Procurement_Raw!A559</f>
        <v>45687</v>
      </c>
      <c r="B559" t="str">
        <f>Procurement_Raw!B559</f>
        <v>S010</v>
      </c>
      <c r="C559" t="str">
        <f>Procurement_Raw!C559</f>
        <v>Coventry Care &amp; Education Centre</v>
      </c>
      <c r="D559" t="str">
        <f>Procurement_Raw!D559</f>
        <v>Midlands</v>
      </c>
      <c r="E559" t="str">
        <f>Procurement_Raw!E559</f>
        <v>CareMed</v>
      </c>
      <c r="F559" t="str">
        <f>Procurement_Raw!F559</f>
        <v>Medical Supplies</v>
      </c>
      <c r="G559" t="str">
        <f>Procurement_Raw!G559</f>
        <v>INV-2025-00558</v>
      </c>
      <c r="H559" s="6">
        <f>Procurement_Raw!H559</f>
        <v>61</v>
      </c>
      <c r="I559" s="7">
        <f>Procurement_Raw!I559</f>
        <v>94.59</v>
      </c>
      <c r="J559" s="7">
        <f>Procurement_Raw!J559</f>
        <v>5770.18</v>
      </c>
      <c r="K559" s="6">
        <f>Procurement_Raw!K559</f>
        <v>60</v>
      </c>
      <c r="L559" t="str">
        <f>Procurement_Raw!L559</f>
        <v>Procurement Portal</v>
      </c>
      <c r="M559" s="8">
        <f>Procurement_Raw!M559</f>
        <v>1154.0360000000001</v>
      </c>
      <c r="N559" s="7">
        <f>Procurement_Raw!N559</f>
        <v>5770.18</v>
      </c>
      <c r="O559" s="7">
        <f t="shared" si="16"/>
        <v>5770.18</v>
      </c>
      <c r="P559" t="str">
        <f>IFERROR(INDEX(Supplier_Lookup!$B$2:$B$200,MATCH(E559,Supplier_Lookup!$A$2:$A$200,0)),"Unmapped")</f>
        <v>Medical Supplies</v>
      </c>
      <c r="Q559" s="10">
        <f>IFERROR(INDEX(Category_Targets!$B$2:$B$9,MATCH(F559,Category_Targets!$A$2:$A$9,0)),0)</f>
        <v>0.06</v>
      </c>
      <c r="R559" s="7">
        <f t="shared" si="17"/>
        <v>346.21080000000001</v>
      </c>
    </row>
    <row r="560" spans="1:18" x14ac:dyDescent="0.25">
      <c r="A560" s="5">
        <f>Procurement_Raw!A560</f>
        <v>45709</v>
      </c>
      <c r="B560" t="str">
        <f>Procurement_Raw!B560</f>
        <v>S008</v>
      </c>
      <c r="C560" t="str">
        <f>Procurement_Raw!C560</f>
        <v>Leicester Care &amp; Education Centre</v>
      </c>
      <c r="D560" t="str">
        <f>Procurement_Raw!D560</f>
        <v>Midlands</v>
      </c>
      <c r="E560" t="str">
        <f>Procurement_Raw!E560</f>
        <v>UK Energy Partners</v>
      </c>
      <c r="F560" t="str">
        <f>Procurement_Raw!F560</f>
        <v>Utilities</v>
      </c>
      <c r="G560" t="str">
        <f>Procurement_Raw!G560</f>
        <v>INV-2025-00559</v>
      </c>
      <c r="H560" s="6">
        <f>Procurement_Raw!H560</f>
        <v>32</v>
      </c>
      <c r="I560" s="7">
        <f>Procurement_Raw!I560</f>
        <v>310.57</v>
      </c>
      <c r="J560" s="7">
        <f>Procurement_Raw!J560</f>
        <v>9938.24</v>
      </c>
      <c r="K560" s="6">
        <f>Procurement_Raw!K560</f>
        <v>60</v>
      </c>
      <c r="L560" t="str">
        <f>Procurement_Raw!L560</f>
        <v>ERP</v>
      </c>
      <c r="M560" s="8">
        <f>Procurement_Raw!M560</f>
        <v>1987.6479999999999</v>
      </c>
      <c r="N560" s="7">
        <f>Procurement_Raw!N560</f>
        <v>9938.24</v>
      </c>
      <c r="O560" s="7">
        <f t="shared" si="16"/>
        <v>9938.24</v>
      </c>
      <c r="P560" t="str">
        <f>IFERROR(INDEX(Supplier_Lookup!$B$2:$B$200,MATCH(E560,Supplier_Lookup!$A$2:$A$200,0)),"Unmapped")</f>
        <v>Utilities</v>
      </c>
      <c r="Q560" s="10">
        <f>IFERROR(INDEX(Category_Targets!$B$2:$B$9,MATCH(F560,Category_Targets!$A$2:$A$9,0)),0)</f>
        <v>0.03</v>
      </c>
      <c r="R560" s="7">
        <f t="shared" si="17"/>
        <v>298.1472</v>
      </c>
    </row>
    <row r="561" spans="1:18" x14ac:dyDescent="0.25">
      <c r="A561" s="5">
        <f>Procurement_Raw!A561</f>
        <v>45952</v>
      </c>
      <c r="B561" t="str">
        <f>Procurement_Raw!B561</f>
        <v>S017</v>
      </c>
      <c r="C561" t="str">
        <f>Procurement_Raw!C561</f>
        <v>Swansea Care &amp; Education Centre</v>
      </c>
      <c r="D561" t="str">
        <f>Procurement_Raw!D561</f>
        <v>Wales</v>
      </c>
      <c r="E561" t="str">
        <f>Procurement_Raw!E561</f>
        <v>MediSure</v>
      </c>
      <c r="F561" t="str">
        <f>Procurement_Raw!F561</f>
        <v>Medical Supplies</v>
      </c>
      <c r="G561" t="str">
        <f>Procurement_Raw!G561</f>
        <v>INV-2025-00560</v>
      </c>
      <c r="H561" s="6">
        <f>Procurement_Raw!H561</f>
        <v>50</v>
      </c>
      <c r="I561" s="7">
        <f>Procurement_Raw!I561</f>
        <v>95.2</v>
      </c>
      <c r="J561" s="7">
        <f>Procurement_Raw!J561</f>
        <v>4759.8599999999997</v>
      </c>
      <c r="K561" s="6">
        <f>Procurement_Raw!K561</f>
        <v>45</v>
      </c>
      <c r="L561" t="str">
        <f>Procurement_Raw!L561</f>
        <v>ERP</v>
      </c>
      <c r="M561" s="8">
        <f>Procurement_Raw!M561</f>
        <v>951.97199999999998</v>
      </c>
      <c r="N561" s="7">
        <f>Procurement_Raw!N561</f>
        <v>4759.8599999999997</v>
      </c>
      <c r="O561" s="7">
        <f t="shared" si="16"/>
        <v>4759.8599999999997</v>
      </c>
      <c r="P561" t="str">
        <f>IFERROR(INDEX(Supplier_Lookup!$B$2:$B$200,MATCH(E561,Supplier_Lookup!$A$2:$A$200,0)),"Unmapped")</f>
        <v>Medical Supplies</v>
      </c>
      <c r="Q561" s="10">
        <f>IFERROR(INDEX(Category_Targets!$B$2:$B$9,MATCH(F561,Category_Targets!$A$2:$A$9,0)),0)</f>
        <v>0.06</v>
      </c>
      <c r="R561" s="7">
        <f t="shared" si="17"/>
        <v>285.59159999999997</v>
      </c>
    </row>
    <row r="562" spans="1:18" x14ac:dyDescent="0.25">
      <c r="A562" s="5">
        <f>Procurement_Raw!A562</f>
        <v>45820</v>
      </c>
      <c r="B562" t="str">
        <f>Procurement_Raw!B562</f>
        <v>S016</v>
      </c>
      <c r="C562" t="str">
        <f>Procurement_Raw!C562</f>
        <v>Cardiff Care &amp; Education Centre</v>
      </c>
      <c r="D562" t="str">
        <f>Procurement_Raw!D562</f>
        <v>Wales</v>
      </c>
      <c r="E562" t="str">
        <f>Procurement_Raw!E562</f>
        <v>PowerDirect</v>
      </c>
      <c r="F562" t="str">
        <f>Procurement_Raw!F562</f>
        <v>Utilities</v>
      </c>
      <c r="G562" t="str">
        <f>Procurement_Raw!G562</f>
        <v>INV-2025-00561</v>
      </c>
      <c r="H562" s="6">
        <f>Procurement_Raw!H562</f>
        <v>46</v>
      </c>
      <c r="I562" s="7">
        <f>Procurement_Raw!I562</f>
        <v>293.19</v>
      </c>
      <c r="J562" s="7">
        <f>Procurement_Raw!J562</f>
        <v>13486.96</v>
      </c>
      <c r="K562" s="6">
        <f>Procurement_Raw!K562</f>
        <v>60</v>
      </c>
      <c r="L562" t="str">
        <f>Procurement_Raw!L562</f>
        <v>ERP</v>
      </c>
      <c r="M562" s="8">
        <f>Procurement_Raw!M562</f>
        <v>2697.3919999999998</v>
      </c>
      <c r="N562" s="7">
        <f>Procurement_Raw!N562</f>
        <v>13486.96</v>
      </c>
      <c r="O562" s="7">
        <f t="shared" si="16"/>
        <v>13486.96</v>
      </c>
      <c r="P562" t="str">
        <f>IFERROR(INDEX(Supplier_Lookup!$B$2:$B$200,MATCH(E562,Supplier_Lookup!$A$2:$A$200,0)),"Unmapped")</f>
        <v>Utilities</v>
      </c>
      <c r="Q562" s="10">
        <f>IFERROR(INDEX(Category_Targets!$B$2:$B$9,MATCH(F562,Category_Targets!$A$2:$A$9,0)),0)</f>
        <v>0.03</v>
      </c>
      <c r="R562" s="7">
        <f t="shared" si="17"/>
        <v>404.60879999999997</v>
      </c>
    </row>
    <row r="563" spans="1:18" x14ac:dyDescent="0.25">
      <c r="A563" s="5">
        <f>Procurement_Raw!A563</f>
        <v>45946</v>
      </c>
      <c r="B563" t="str">
        <f>Procurement_Raw!B563</f>
        <v>S017</v>
      </c>
      <c r="C563" t="str">
        <f>Procurement_Raw!C563</f>
        <v>Swansea Care &amp; Education Centre</v>
      </c>
      <c r="D563" t="str">
        <f>Procurement_Raw!D563</f>
        <v>Wales</v>
      </c>
      <c r="E563" t="str">
        <f>Procurement_Raw!E563</f>
        <v>AutoCare</v>
      </c>
      <c r="F563" t="str">
        <f>Procurement_Raw!F563</f>
        <v>Vehicle &amp; Fuel</v>
      </c>
      <c r="G563" t="str">
        <f>Procurement_Raw!G563</f>
        <v>INV-2025-00562</v>
      </c>
      <c r="H563" s="6">
        <f>Procurement_Raw!H563</f>
        <v>19</v>
      </c>
      <c r="I563" s="7">
        <f>Procurement_Raw!I563</f>
        <v>297.48</v>
      </c>
      <c r="J563" s="7">
        <f>Procurement_Raw!J563</f>
        <v>5652.12</v>
      </c>
      <c r="K563" s="6">
        <f>Procurement_Raw!K563</f>
        <v>60</v>
      </c>
      <c r="L563" t="str">
        <f>Procurement_Raw!L563</f>
        <v>ERP</v>
      </c>
      <c r="M563" s="8">
        <f>Procurement_Raw!M563</f>
        <v>1130.424</v>
      </c>
      <c r="N563" s="7">
        <f>Procurement_Raw!N563</f>
        <v>5652.12</v>
      </c>
      <c r="O563" s="7">
        <f t="shared" si="16"/>
        <v>5652.12</v>
      </c>
      <c r="P563" t="str">
        <f>IFERROR(INDEX(Supplier_Lookup!$B$2:$B$200,MATCH(E563,Supplier_Lookup!$A$2:$A$200,0)),"Unmapped")</f>
        <v>Vehicle &amp; Fuel</v>
      </c>
      <c r="Q563" s="10">
        <f>IFERROR(INDEX(Category_Targets!$B$2:$B$9,MATCH(F563,Category_Targets!$A$2:$A$9,0)),0)</f>
        <v>0.05</v>
      </c>
      <c r="R563" s="7">
        <f t="shared" si="17"/>
        <v>282.60599999999999</v>
      </c>
    </row>
    <row r="564" spans="1:18" x14ac:dyDescent="0.25">
      <c r="A564" s="5">
        <f>Procurement_Raw!A564</f>
        <v>45909</v>
      </c>
      <c r="B564" t="str">
        <f>Procurement_Raw!B564</f>
        <v>S018</v>
      </c>
      <c r="C564" t="str">
        <f>Procurement_Raw!C564</f>
        <v>Newport Care &amp; Education Centre</v>
      </c>
      <c r="D564" t="str">
        <f>Procurement_Raw!D564</f>
        <v>Wales</v>
      </c>
      <c r="E564" t="str">
        <f>Procurement_Raw!E564</f>
        <v>CloudLink</v>
      </c>
      <c r="F564" t="str">
        <f>Procurement_Raw!F564</f>
        <v>IT &amp; Telecoms</v>
      </c>
      <c r="G564" t="str">
        <f>Procurement_Raw!G564</f>
        <v>INV-2025-00563</v>
      </c>
      <c r="H564" s="6">
        <f>Procurement_Raw!H564</f>
        <v>5</v>
      </c>
      <c r="I564" s="7">
        <f>Procurement_Raw!I564</f>
        <v>355.22</v>
      </c>
      <c r="J564" s="7">
        <f>Procurement_Raw!J564</f>
        <v>1776.12</v>
      </c>
      <c r="K564" s="6">
        <f>Procurement_Raw!K564</f>
        <v>30</v>
      </c>
      <c r="L564" t="str">
        <f>Procurement_Raw!L564</f>
        <v>ERP</v>
      </c>
      <c r="M564" s="8">
        <f>Procurement_Raw!M564</f>
        <v>355.22399999999999</v>
      </c>
      <c r="N564" s="7">
        <f>Procurement_Raw!N564</f>
        <v>1776.12</v>
      </c>
      <c r="O564" s="7">
        <f t="shared" si="16"/>
        <v>1776.12</v>
      </c>
      <c r="P564" t="str">
        <f>IFERROR(INDEX(Supplier_Lookup!$B$2:$B$200,MATCH(E564,Supplier_Lookup!$A$2:$A$200,0)),"Unmapped")</f>
        <v>medical supplies</v>
      </c>
      <c r="Q564" s="10">
        <f>IFERROR(INDEX(Category_Targets!$B$2:$B$9,MATCH(F564,Category_Targets!$A$2:$A$9,0)),0)</f>
        <v>0.08</v>
      </c>
      <c r="R564" s="7">
        <f t="shared" si="17"/>
        <v>142.08959999999999</v>
      </c>
    </row>
    <row r="565" spans="1:18" x14ac:dyDescent="0.25">
      <c r="A565" s="5">
        <f>Procurement_Raw!A565</f>
        <v>45927</v>
      </c>
      <c r="B565" t="str">
        <f>Procurement_Raw!B565</f>
        <v>S009</v>
      </c>
      <c r="C565" t="str">
        <f>Procurement_Raw!C565</f>
        <v>Derby Care &amp; Education Centre</v>
      </c>
      <c r="D565" t="str">
        <f>Procurement_Raw!D565</f>
        <v>Midlands</v>
      </c>
      <c r="E565" t="str">
        <f>Procurement_Raw!E565</f>
        <v>UK Energy Partners</v>
      </c>
      <c r="F565" t="str">
        <f>Procurement_Raw!F565</f>
        <v>Utilities</v>
      </c>
      <c r="G565" t="str">
        <f>Procurement_Raw!G565</f>
        <v>INV-2025-00564</v>
      </c>
      <c r="H565" s="6">
        <f>Procurement_Raw!H565</f>
        <v>62</v>
      </c>
      <c r="I565" s="7">
        <f>Procurement_Raw!I565</f>
        <v>208.96</v>
      </c>
      <c r="J565" s="7">
        <f>Procurement_Raw!J565</f>
        <v>12955.59</v>
      </c>
      <c r="K565" s="6">
        <f>Procurement_Raw!K565</f>
        <v>30</v>
      </c>
      <c r="L565" t="str">
        <f>Procurement_Raw!L565</f>
        <v>Procurement Portal</v>
      </c>
      <c r="M565" s="8">
        <f>Procurement_Raw!M565</f>
        <v>2591.1179999999999</v>
      </c>
      <c r="N565" s="7">
        <f>Procurement_Raw!N565</f>
        <v>12955.59</v>
      </c>
      <c r="O565" s="7">
        <f t="shared" si="16"/>
        <v>12955.59</v>
      </c>
      <c r="P565" t="str">
        <f>IFERROR(INDEX(Supplier_Lookup!$B$2:$B$200,MATCH(E565,Supplier_Lookup!$A$2:$A$200,0)),"Unmapped")</f>
        <v>Utilities</v>
      </c>
      <c r="Q565" s="10">
        <f>IFERROR(INDEX(Category_Targets!$B$2:$B$9,MATCH(F565,Category_Targets!$A$2:$A$9,0)),0)</f>
        <v>0.03</v>
      </c>
      <c r="R565" s="7">
        <f t="shared" si="17"/>
        <v>388.66769999999997</v>
      </c>
    </row>
    <row r="566" spans="1:18" x14ac:dyDescent="0.25">
      <c r="A566" s="5">
        <f>Procurement_Raw!A566</f>
        <v>45832</v>
      </c>
      <c r="B566" t="str">
        <f>Procurement_Raw!B566</f>
        <v>S018</v>
      </c>
      <c r="C566" t="str">
        <f>Procurement_Raw!C566</f>
        <v>Newport Care &amp; Education Centre</v>
      </c>
      <c r="D566" t="str">
        <f>Procurement_Raw!D566</f>
        <v>Wales</v>
      </c>
      <c r="E566" t="str">
        <f>Procurement_Raw!E566</f>
        <v>UK Energy Partners</v>
      </c>
      <c r="F566" t="str">
        <f>Procurement_Raw!F566</f>
        <v>Utilities</v>
      </c>
      <c r="G566" t="str">
        <f>Procurement_Raw!G566</f>
        <v>INV-2025-00565</v>
      </c>
      <c r="H566" s="6">
        <f>Procurement_Raw!H566</f>
        <v>23</v>
      </c>
      <c r="I566" s="7">
        <f>Procurement_Raw!I566</f>
        <v>484.02</v>
      </c>
      <c r="J566" s="7">
        <f>Procurement_Raw!J566</f>
        <v>11132.49</v>
      </c>
      <c r="K566" s="6">
        <f>Procurement_Raw!K566</f>
        <v>45</v>
      </c>
      <c r="L566" t="str">
        <f>Procurement_Raw!L566</f>
        <v>ERP</v>
      </c>
      <c r="M566" s="8">
        <f>Procurement_Raw!M566</f>
        <v>2226.498</v>
      </c>
      <c r="N566" s="7">
        <f>Procurement_Raw!N566</f>
        <v>11132.49</v>
      </c>
      <c r="O566" s="7">
        <f t="shared" si="16"/>
        <v>11132.49</v>
      </c>
      <c r="P566" t="str">
        <f>IFERROR(INDEX(Supplier_Lookup!$B$2:$B$200,MATCH(E566,Supplier_Lookup!$A$2:$A$200,0)),"Unmapped")</f>
        <v>Utilities</v>
      </c>
      <c r="Q566" s="10">
        <f>IFERROR(INDEX(Category_Targets!$B$2:$B$9,MATCH(F566,Category_Targets!$A$2:$A$9,0)),0)</f>
        <v>0.03</v>
      </c>
      <c r="R566" s="7">
        <f t="shared" si="17"/>
        <v>333.97469999999998</v>
      </c>
    </row>
    <row r="567" spans="1:18" x14ac:dyDescent="0.25">
      <c r="A567" s="5">
        <f>Procurement_Raw!A567</f>
        <v>46018</v>
      </c>
      <c r="B567" t="str">
        <f>Procurement_Raw!B567</f>
        <v>S007</v>
      </c>
      <c r="C567" t="str">
        <f>Procurement_Raw!C567</f>
        <v>Nottingham Care &amp; Education Centre</v>
      </c>
      <c r="D567" t="str">
        <f>Procurement_Raw!D567</f>
        <v>Midlands</v>
      </c>
      <c r="E567" t="str">
        <f>Procurement_Raw!E567</f>
        <v>BuildCare</v>
      </c>
      <c r="F567" t="str">
        <f>Procurement_Raw!F567</f>
        <v>Facilities</v>
      </c>
      <c r="G567" t="str">
        <f>Procurement_Raw!G567</f>
        <v>INV-2025-00566</v>
      </c>
      <c r="H567" s="6">
        <f>Procurement_Raw!H567</f>
        <v>19</v>
      </c>
      <c r="I567" s="7">
        <f>Procurement_Raw!I567</f>
        <v>143.81</v>
      </c>
      <c r="J567" s="7">
        <f>Procurement_Raw!J567</f>
        <v>2732.45</v>
      </c>
      <c r="K567" s="6">
        <f>Procurement_Raw!K567</f>
        <v>30</v>
      </c>
      <c r="L567" t="str">
        <f>Procurement_Raw!L567</f>
        <v>Legacy Spend File</v>
      </c>
      <c r="M567" s="8">
        <f>Procurement_Raw!M567</f>
        <v>546.49</v>
      </c>
      <c r="N567" s="7">
        <f>Procurement_Raw!N567</f>
        <v>2732.45</v>
      </c>
      <c r="O567" s="7">
        <f t="shared" si="16"/>
        <v>2732.45</v>
      </c>
      <c r="P567" t="str">
        <f>IFERROR(INDEX(Supplier_Lookup!$B$2:$B$200,MATCH(E567,Supplier_Lookup!$A$2:$A$200,0)),"Unmapped")</f>
        <v>Facilities</v>
      </c>
      <c r="Q567" s="10">
        <f>IFERROR(INDEX(Category_Targets!$B$2:$B$9,MATCH(F567,Category_Targets!$A$2:$A$9,0)),0)</f>
        <v>0.05</v>
      </c>
      <c r="R567" s="7">
        <f t="shared" si="17"/>
        <v>136.6225</v>
      </c>
    </row>
    <row r="568" spans="1:18" x14ac:dyDescent="0.25">
      <c r="A568" s="5">
        <f>Procurement_Raw!A568</f>
        <v>46018</v>
      </c>
      <c r="B568" t="str">
        <f>Procurement_Raw!B568</f>
        <v>S004</v>
      </c>
      <c r="C568" t="str">
        <f>Procurement_Raw!C568</f>
        <v>Newcastle Care &amp; Education Centre</v>
      </c>
      <c r="D568" t="str">
        <f>Procurement_Raw!D568</f>
        <v>North</v>
      </c>
      <c r="E568" t="str">
        <f>Procurement_Raw!E568</f>
        <v>NourishCo</v>
      </c>
      <c r="F568" t="str">
        <f>Procurement_Raw!F568</f>
        <v>Food &amp; Catering</v>
      </c>
      <c r="G568" t="str">
        <f>Procurement_Raw!G568</f>
        <v>INV-2025-00567</v>
      </c>
      <c r="H568" s="6">
        <f>Procurement_Raw!H568</f>
        <v>51</v>
      </c>
      <c r="I568" s="7">
        <f>Procurement_Raw!I568</f>
        <v>21.19</v>
      </c>
      <c r="J568" s="7">
        <f>Procurement_Raw!J568</f>
        <v>1080.57</v>
      </c>
      <c r="K568" s="6">
        <f>Procurement_Raw!K568</f>
        <v>60</v>
      </c>
      <c r="L568" t="str">
        <f>Procurement_Raw!L568</f>
        <v>ERP</v>
      </c>
      <c r="M568" s="8">
        <f>Procurement_Raw!M568</f>
        <v>216.114</v>
      </c>
      <c r="N568" s="7">
        <f>Procurement_Raw!N568</f>
        <v>1080.57</v>
      </c>
      <c r="O568" s="7">
        <f t="shared" si="16"/>
        <v>1080.57</v>
      </c>
      <c r="P568" t="str">
        <f>IFERROR(INDEX(Supplier_Lookup!$B$2:$B$200,MATCH(E568,Supplier_Lookup!$A$2:$A$200,0)),"Unmapped")</f>
        <v>Food &amp; Catering</v>
      </c>
      <c r="Q568" s="10">
        <f>IFERROR(INDEX(Category_Targets!$B$2:$B$9,MATCH(F568,Category_Targets!$A$2:$A$9,0)),0)</f>
        <v>0.04</v>
      </c>
      <c r="R568" s="7">
        <f t="shared" si="17"/>
        <v>43.222799999999999</v>
      </c>
    </row>
    <row r="569" spans="1:18" x14ac:dyDescent="0.25">
      <c r="A569" s="5">
        <f>Procurement_Raw!A569</f>
        <v>45727</v>
      </c>
      <c r="B569" t="str">
        <f>Procurement_Raw!B569</f>
        <v>S014</v>
      </c>
      <c r="C569" t="str">
        <f>Procurement_Raw!C569</f>
        <v>Southampton Care &amp; Education Centre</v>
      </c>
      <c r="D569" t="str">
        <f>Procurement_Raw!D569</f>
        <v>South</v>
      </c>
      <c r="E569" t="str">
        <f>Procurement_Raw!E569</f>
        <v>TeleCare IT</v>
      </c>
      <c r="F569" t="str">
        <f>Procurement_Raw!F569</f>
        <v>IT &amp; Telecoms</v>
      </c>
      <c r="G569" t="str">
        <f>Procurement_Raw!G569</f>
        <v>INV-2025-00568</v>
      </c>
      <c r="H569" s="6">
        <f>Procurement_Raw!H569</f>
        <v>21</v>
      </c>
      <c r="I569" s="7">
        <f>Procurement_Raw!I569</f>
        <v>126.37</v>
      </c>
      <c r="J569" s="7">
        <f>Procurement_Raw!J569</f>
        <v>2653.68</v>
      </c>
      <c r="K569" s="6">
        <f>Procurement_Raw!K569</f>
        <v>60</v>
      </c>
      <c r="L569" t="str">
        <f>Procurement_Raw!L569</f>
        <v>Procurement Portal</v>
      </c>
      <c r="M569" s="8">
        <f>Procurement_Raw!M569</f>
        <v>530.73599999999999</v>
      </c>
      <c r="N569" s="7">
        <f>Procurement_Raw!N569</f>
        <v>2653.68</v>
      </c>
      <c r="O569" s="7">
        <f t="shared" si="16"/>
        <v>2653.68</v>
      </c>
      <c r="P569" t="str">
        <f>IFERROR(INDEX(Supplier_Lookup!$B$2:$B$200,MATCH(E569,Supplier_Lookup!$A$2:$A$200,0)),"Unmapped")</f>
        <v>IT &amp; Telecoms</v>
      </c>
      <c r="Q569" s="10">
        <f>IFERROR(INDEX(Category_Targets!$B$2:$B$9,MATCH(F569,Category_Targets!$A$2:$A$9,0)),0)</f>
        <v>0.08</v>
      </c>
      <c r="R569" s="7">
        <f t="shared" si="17"/>
        <v>212.2944</v>
      </c>
    </row>
    <row r="570" spans="1:18" x14ac:dyDescent="0.25">
      <c r="A570" s="5">
        <f>Procurement_Raw!A570</f>
        <v>45820</v>
      </c>
      <c r="B570" t="str">
        <f>Procurement_Raw!B570</f>
        <v>S008</v>
      </c>
      <c r="C570" t="str">
        <f>Procurement_Raw!C570</f>
        <v>Leicester Care &amp; Education Centre</v>
      </c>
      <c r="D570" t="str">
        <f>Procurement_Raw!D570</f>
        <v>Midlands</v>
      </c>
      <c r="E570" t="str">
        <f>Procurement_Raw!E570</f>
        <v>PrintCo</v>
      </c>
      <c r="F570" t="str">
        <f>Procurement_Raw!F570</f>
        <v>Office &amp; Training</v>
      </c>
      <c r="G570" t="str">
        <f>Procurement_Raw!G570</f>
        <v>INV-2025-00569</v>
      </c>
      <c r="H570" s="6">
        <f>Procurement_Raw!H570</f>
        <v>23</v>
      </c>
      <c r="I570" s="7">
        <f>Procurement_Raw!I570</f>
        <v>26.8</v>
      </c>
      <c r="J570" s="7">
        <f>Procurement_Raw!J570</f>
        <v>616.49</v>
      </c>
      <c r="K570" s="6">
        <f>Procurement_Raw!K570</f>
        <v>60</v>
      </c>
      <c r="L570" t="str">
        <f>Procurement_Raw!L570</f>
        <v>Legacy Spend File</v>
      </c>
      <c r="M570" s="8">
        <f>Procurement_Raw!M570</f>
        <v>123.298</v>
      </c>
      <c r="N570" s="7">
        <f>Procurement_Raw!N570</f>
        <v>616.49</v>
      </c>
      <c r="O570" s="7">
        <f t="shared" si="16"/>
        <v>616.49</v>
      </c>
      <c r="P570" t="str">
        <f>IFERROR(INDEX(Supplier_Lookup!$B$2:$B$200,MATCH(E570,Supplier_Lookup!$A$2:$A$200,0)),"Unmapped")</f>
        <v>Office &amp; Training</v>
      </c>
      <c r="Q570" s="10">
        <f>IFERROR(INDEX(Category_Targets!$B$2:$B$9,MATCH(F570,Category_Targets!$A$2:$A$9,0)),0)</f>
        <v>0.04</v>
      </c>
      <c r="R570" s="7">
        <f t="shared" si="17"/>
        <v>24.659600000000001</v>
      </c>
    </row>
    <row r="571" spans="1:18" x14ac:dyDescent="0.25">
      <c r="A571" s="5">
        <f>Procurement_Raw!A571</f>
        <v>45998</v>
      </c>
      <c r="B571" t="str">
        <f>Procurement_Raw!B571</f>
        <v>S019</v>
      </c>
      <c r="C571" t="str">
        <f>Procurement_Raw!C571</f>
        <v>Wrexham Care &amp; Education Centre</v>
      </c>
      <c r="D571" t="str">
        <f>Procurement_Raw!D571</f>
        <v>Wales</v>
      </c>
      <c r="E571" t="str">
        <f>Procurement_Raw!E571</f>
        <v>FleetFuel</v>
      </c>
      <c r="F571" t="str">
        <f>Procurement_Raw!F571</f>
        <v>Vehicle &amp; Fuel</v>
      </c>
      <c r="G571" t="str">
        <f>Procurement_Raw!G571</f>
        <v>INV-2025-00570</v>
      </c>
      <c r="H571" s="6">
        <f>Procurement_Raw!H571</f>
        <v>76</v>
      </c>
      <c r="I571" s="7">
        <f>Procurement_Raw!I571</f>
        <v>78.3</v>
      </c>
      <c r="J571" s="7">
        <f>Procurement_Raw!J571</f>
        <v>5950.78</v>
      </c>
      <c r="K571" s="6">
        <f>Procurement_Raw!K571</f>
        <v>30</v>
      </c>
      <c r="L571" t="str">
        <f>Procurement_Raw!L571</f>
        <v>Procurement Portal</v>
      </c>
      <c r="M571" s="8">
        <f>Procurement_Raw!M571</f>
        <v>1190.1559999999999</v>
      </c>
      <c r="N571" s="7">
        <f>Procurement_Raw!N571</f>
        <v>5950.78</v>
      </c>
      <c r="O571" s="7">
        <f t="shared" si="16"/>
        <v>5950.78</v>
      </c>
      <c r="P571" t="str">
        <f>IFERROR(INDEX(Supplier_Lookup!$B$2:$B$200,MATCH(E571,Supplier_Lookup!$A$2:$A$200,0)),"Unmapped")</f>
        <v>Vehicle &amp; Fuel</v>
      </c>
      <c r="Q571" s="10">
        <f>IFERROR(INDEX(Category_Targets!$B$2:$B$9,MATCH(F571,Category_Targets!$A$2:$A$9,0)),0)</f>
        <v>0.05</v>
      </c>
      <c r="R571" s="7">
        <f t="shared" si="17"/>
        <v>297.53899999999999</v>
      </c>
    </row>
    <row r="572" spans="1:18" x14ac:dyDescent="0.25">
      <c r="A572" s="5">
        <f>Procurement_Raw!A572</f>
        <v>45748</v>
      </c>
      <c r="B572" t="str">
        <f>Procurement_Raw!B572</f>
        <v>S005</v>
      </c>
      <c r="C572" t="str">
        <f>Procurement_Raw!C572</f>
        <v>Sheffield Care &amp; Education Centre</v>
      </c>
      <c r="D572" t="str">
        <f>Procurement_Raw!D572</f>
        <v>North</v>
      </c>
      <c r="E572" t="str">
        <f>Procurement_Raw!E572</f>
        <v>CloudLink</v>
      </c>
      <c r="F572" t="str">
        <f>Procurement_Raw!F572</f>
        <v>IT &amp; Telecoms</v>
      </c>
      <c r="G572" t="str">
        <f>Procurement_Raw!G572</f>
        <v>INV-2025-00571</v>
      </c>
      <c r="H572" s="6">
        <f>Procurement_Raw!H572</f>
        <v>1</v>
      </c>
      <c r="I572" s="7">
        <f>Procurement_Raw!I572</f>
        <v>222.24</v>
      </c>
      <c r="J572" s="7">
        <f>Procurement_Raw!J572</f>
        <v>222.24</v>
      </c>
      <c r="K572" s="6">
        <f>Procurement_Raw!K572</f>
        <v>60</v>
      </c>
      <c r="L572" t="str">
        <f>Procurement_Raw!L572</f>
        <v>Legacy Spend File</v>
      </c>
      <c r="M572" s="8">
        <f>Procurement_Raw!M572</f>
        <v>44.448</v>
      </c>
      <c r="N572" s="7">
        <f>Procurement_Raw!N572</f>
        <v>222.24</v>
      </c>
      <c r="O572" s="7">
        <f t="shared" si="16"/>
        <v>222.24</v>
      </c>
      <c r="P572" t="str">
        <f>IFERROR(INDEX(Supplier_Lookup!$B$2:$B$200,MATCH(E572,Supplier_Lookup!$A$2:$A$200,0)),"Unmapped")</f>
        <v>medical supplies</v>
      </c>
      <c r="Q572" s="10">
        <f>IFERROR(INDEX(Category_Targets!$B$2:$B$9,MATCH(F572,Category_Targets!$A$2:$A$9,0)),0)</f>
        <v>0.08</v>
      </c>
      <c r="R572" s="7">
        <f t="shared" si="17"/>
        <v>17.779199999999999</v>
      </c>
    </row>
    <row r="573" spans="1:18" x14ac:dyDescent="0.25">
      <c r="A573" s="5">
        <f>Procurement_Raw!A573</f>
        <v>45966</v>
      </c>
      <c r="B573" t="str">
        <f>Procurement_Raw!B573</f>
        <v>S020</v>
      </c>
      <c r="C573" t="str">
        <f>Procurement_Raw!C573</f>
        <v>Bangor Care &amp; Education Centre</v>
      </c>
      <c r="D573" t="str">
        <f>Procurement_Raw!D573</f>
        <v>Wales</v>
      </c>
      <c r="E573" t="str">
        <f>Procurement_Raw!E573</f>
        <v>MediSure</v>
      </c>
      <c r="F573" t="str">
        <f>Procurement_Raw!F573</f>
        <v>Medical Supplies</v>
      </c>
      <c r="G573" t="str">
        <f>Procurement_Raw!G573</f>
        <v>INV-2025-00572</v>
      </c>
      <c r="H573" s="6">
        <f>Procurement_Raw!H573</f>
        <v>41</v>
      </c>
      <c r="I573" s="7">
        <f>Procurement_Raw!I573</f>
        <v>301.73</v>
      </c>
      <c r="J573" s="7">
        <f>Procurement_Raw!J573</f>
        <v>12370.93</v>
      </c>
      <c r="K573" s="6">
        <f>Procurement_Raw!K573</f>
        <v>60</v>
      </c>
      <c r="L573" t="str">
        <f>Procurement_Raw!L573</f>
        <v>ERP</v>
      </c>
      <c r="M573" s="8">
        <f>Procurement_Raw!M573</f>
        <v>2474.1860000000001</v>
      </c>
      <c r="N573" s="7">
        <f>Procurement_Raw!N573</f>
        <v>12370.93</v>
      </c>
      <c r="O573" s="7">
        <f t="shared" si="16"/>
        <v>12370.93</v>
      </c>
      <c r="P573" t="str">
        <f>IFERROR(INDEX(Supplier_Lookup!$B$2:$B$200,MATCH(E573,Supplier_Lookup!$A$2:$A$200,0)),"Unmapped")</f>
        <v>Medical Supplies</v>
      </c>
      <c r="Q573" s="10">
        <f>IFERROR(INDEX(Category_Targets!$B$2:$B$9,MATCH(F573,Category_Targets!$A$2:$A$9,0)),0)</f>
        <v>0.06</v>
      </c>
      <c r="R573" s="7">
        <f t="shared" si="17"/>
        <v>742.25580000000002</v>
      </c>
    </row>
    <row r="574" spans="1:18" x14ac:dyDescent="0.25">
      <c r="A574" s="5">
        <f>Procurement_Raw!A574</f>
        <v>45730</v>
      </c>
      <c r="B574" t="str">
        <f>Procurement_Raw!B574</f>
        <v>S010</v>
      </c>
      <c r="C574" t="str">
        <f>Procurement_Raw!C574</f>
        <v>Coventry Care &amp; Education Centre</v>
      </c>
      <c r="D574" t="str">
        <f>Procurement_Raw!D574</f>
        <v>Midlands</v>
      </c>
      <c r="E574" t="str">
        <f>Procurement_Raw!E574</f>
        <v>NourishCo</v>
      </c>
      <c r="F574" t="str">
        <f>Procurement_Raw!F574</f>
        <v>Food &amp; Catering</v>
      </c>
      <c r="G574" t="str">
        <f>Procurement_Raw!G574</f>
        <v>INV-2025-00573</v>
      </c>
      <c r="H574" s="6">
        <f>Procurement_Raw!H574</f>
        <v>43</v>
      </c>
      <c r="I574" s="7">
        <f>Procurement_Raw!I574</f>
        <v>77.8</v>
      </c>
      <c r="J574" s="7">
        <f>Procurement_Raw!J574</f>
        <v>3345.59</v>
      </c>
      <c r="K574" s="6">
        <f>Procurement_Raw!K574</f>
        <v>60</v>
      </c>
      <c r="L574" t="str">
        <f>Procurement_Raw!L574</f>
        <v>ERP</v>
      </c>
      <c r="M574" s="8">
        <f>Procurement_Raw!M574</f>
        <v>669.11800000000005</v>
      </c>
      <c r="N574" s="7">
        <f>Procurement_Raw!N574</f>
        <v>3345.59</v>
      </c>
      <c r="O574" s="7">
        <f t="shared" si="16"/>
        <v>3345.59</v>
      </c>
      <c r="P574" t="str">
        <f>IFERROR(INDEX(Supplier_Lookup!$B$2:$B$200,MATCH(E574,Supplier_Lookup!$A$2:$A$200,0)),"Unmapped")</f>
        <v>Food &amp; Catering</v>
      </c>
      <c r="Q574" s="10">
        <f>IFERROR(INDEX(Category_Targets!$B$2:$B$9,MATCH(F574,Category_Targets!$A$2:$A$9,0)),0)</f>
        <v>0.04</v>
      </c>
      <c r="R574" s="7">
        <f t="shared" si="17"/>
        <v>133.8236</v>
      </c>
    </row>
    <row r="575" spans="1:18" x14ac:dyDescent="0.25">
      <c r="A575" s="5">
        <f>Procurement_Raw!A575</f>
        <v>45743</v>
      </c>
      <c r="B575" t="str">
        <f>Procurement_Raw!B575</f>
        <v>S001</v>
      </c>
      <c r="C575" t="str">
        <f>Procurement_Raw!C575</f>
        <v>Preston Care &amp; Education Centre</v>
      </c>
      <c r="D575" t="str">
        <f>Procurement_Raw!D575</f>
        <v>North</v>
      </c>
      <c r="E575" t="str">
        <f>Procurement_Raw!E575</f>
        <v>RoadReady</v>
      </c>
      <c r="F575" t="str">
        <f>Procurement_Raw!F575</f>
        <v>Vehicle &amp; Fuel</v>
      </c>
      <c r="G575" t="str">
        <f>Procurement_Raw!G575</f>
        <v>INV-2025-00574</v>
      </c>
      <c r="H575" s="6">
        <f>Procurement_Raw!H575</f>
        <v>12</v>
      </c>
      <c r="I575" s="7">
        <f>Procurement_Raw!I575</f>
        <v>84.21</v>
      </c>
      <c r="J575" s="7">
        <f>Procurement_Raw!J575</f>
        <v>1010.58</v>
      </c>
      <c r="K575" s="6">
        <f>Procurement_Raw!K575</f>
        <v>60</v>
      </c>
      <c r="L575" t="str">
        <f>Procurement_Raw!L575</f>
        <v>Legacy Spend File</v>
      </c>
      <c r="M575" s="8">
        <f>Procurement_Raw!M575</f>
        <v>202.11600000000001</v>
      </c>
      <c r="N575" s="7">
        <f>Procurement_Raw!N575</f>
        <v>1010.58</v>
      </c>
      <c r="O575" s="7">
        <f t="shared" si="16"/>
        <v>1010.58</v>
      </c>
      <c r="P575" t="str">
        <f>IFERROR(INDEX(Supplier_Lookup!$B$2:$B$200,MATCH(E575,Supplier_Lookup!$A$2:$A$200,0)),"Unmapped")</f>
        <v>Vehicle &amp; Fuel</v>
      </c>
      <c r="Q575" s="10">
        <f>IFERROR(INDEX(Category_Targets!$B$2:$B$9,MATCH(F575,Category_Targets!$A$2:$A$9,0)),0)</f>
        <v>0.05</v>
      </c>
      <c r="R575" s="7">
        <f t="shared" si="17"/>
        <v>50.529000000000003</v>
      </c>
    </row>
    <row r="576" spans="1:18" x14ac:dyDescent="0.25">
      <c r="A576" s="5">
        <f>Procurement_Raw!A576</f>
        <v>45663</v>
      </c>
      <c r="B576" t="str">
        <f>Procurement_Raw!B576</f>
        <v>S002</v>
      </c>
      <c r="C576" t="str">
        <f>Procurement_Raw!C576</f>
        <v>Manchester Care &amp; Education Centre</v>
      </c>
      <c r="D576" t="str">
        <f>Procurement_Raw!D576</f>
        <v>North</v>
      </c>
      <c r="E576" t="str">
        <f>Procurement_Raw!E576</f>
        <v>RoadReady</v>
      </c>
      <c r="F576" t="str">
        <f>Procurement_Raw!F576</f>
        <v>Vehicle &amp; Fuel</v>
      </c>
      <c r="G576" t="str">
        <f>Procurement_Raw!G576</f>
        <v>INV-2025-00575</v>
      </c>
      <c r="H576" s="6">
        <f>Procurement_Raw!H576</f>
        <v>34</v>
      </c>
      <c r="I576" s="7">
        <f>Procurement_Raw!I576</f>
        <v>149.91</v>
      </c>
      <c r="J576" s="7">
        <f>Procurement_Raw!J576</f>
        <v>5097.0200000000004</v>
      </c>
      <c r="K576" s="6">
        <f>Procurement_Raw!K576</f>
        <v>30</v>
      </c>
      <c r="L576" t="str">
        <f>Procurement_Raw!L576</f>
        <v>ERP</v>
      </c>
      <c r="M576" s="8">
        <f>Procurement_Raw!M576</f>
        <v>1019.404</v>
      </c>
      <c r="N576" s="7">
        <f>Procurement_Raw!N576</f>
        <v>5097.0200000000004</v>
      </c>
      <c r="O576" s="7">
        <f t="shared" si="16"/>
        <v>5097.0200000000004</v>
      </c>
      <c r="P576" t="str">
        <f>IFERROR(INDEX(Supplier_Lookup!$B$2:$B$200,MATCH(E576,Supplier_Lookup!$A$2:$A$200,0)),"Unmapped")</f>
        <v>Vehicle &amp; Fuel</v>
      </c>
      <c r="Q576" s="10">
        <f>IFERROR(INDEX(Category_Targets!$B$2:$B$9,MATCH(F576,Category_Targets!$A$2:$A$9,0)),0)</f>
        <v>0.05</v>
      </c>
      <c r="R576" s="7">
        <f t="shared" si="17"/>
        <v>254.85100000000003</v>
      </c>
    </row>
    <row r="577" spans="1:18" x14ac:dyDescent="0.25">
      <c r="A577" s="5">
        <f>Procurement_Raw!A577</f>
        <v>45789</v>
      </c>
      <c r="B577" t="str">
        <f>Procurement_Raw!B577</f>
        <v>S006</v>
      </c>
      <c r="C577" t="str">
        <f>Procurement_Raw!C577</f>
        <v>Birmingham Care &amp; Education Centre</v>
      </c>
      <c r="D577" t="str">
        <f>Procurement_Raw!D577</f>
        <v>Midlands</v>
      </c>
      <c r="E577" t="str">
        <f>Procurement_Raw!E577</f>
        <v>NourishCo</v>
      </c>
      <c r="F577" t="str">
        <f>Procurement_Raw!F577</f>
        <v>Food &amp; Catering</v>
      </c>
      <c r="G577" t="str">
        <f>Procurement_Raw!G577</f>
        <v>INV-2025-00576</v>
      </c>
      <c r="H577" s="6">
        <f>Procurement_Raw!H577</f>
        <v>14</v>
      </c>
      <c r="I577" s="7">
        <f>Procurement_Raw!I577</f>
        <v>19.260000000000002</v>
      </c>
      <c r="J577" s="7">
        <f>Procurement_Raw!J577</f>
        <v>269.7</v>
      </c>
      <c r="K577" s="6">
        <f>Procurement_Raw!K577</f>
        <v>60</v>
      </c>
      <c r="L577" t="str">
        <f>Procurement_Raw!L577</f>
        <v>ERP</v>
      </c>
      <c r="M577" s="8">
        <f>Procurement_Raw!M577</f>
        <v>53.94</v>
      </c>
      <c r="N577" s="7">
        <f>Procurement_Raw!N577</f>
        <v>269.7</v>
      </c>
      <c r="O577" s="7">
        <f t="shared" si="16"/>
        <v>269.7</v>
      </c>
      <c r="P577" t="str">
        <f>IFERROR(INDEX(Supplier_Lookup!$B$2:$B$200,MATCH(E577,Supplier_Lookup!$A$2:$A$200,0)),"Unmapped")</f>
        <v>Food &amp; Catering</v>
      </c>
      <c r="Q577" s="10">
        <f>IFERROR(INDEX(Category_Targets!$B$2:$B$9,MATCH(F577,Category_Targets!$A$2:$A$9,0)),0)</f>
        <v>0.04</v>
      </c>
      <c r="R577" s="7">
        <f t="shared" si="17"/>
        <v>10.788</v>
      </c>
    </row>
    <row r="578" spans="1:18" x14ac:dyDescent="0.25">
      <c r="A578" s="5">
        <f>Procurement_Raw!A578</f>
        <v>45872</v>
      </c>
      <c r="B578" t="str">
        <f>Procurement_Raw!B578</f>
        <v>S018</v>
      </c>
      <c r="C578" t="str">
        <f>Procurement_Raw!C578</f>
        <v>Newport Care &amp; Education Centre</v>
      </c>
      <c r="D578" t="str">
        <f>Procurement_Raw!D578</f>
        <v>Wales</v>
      </c>
      <c r="E578" t="str">
        <f>Procurement_Raw!E578</f>
        <v>CareTemps</v>
      </c>
      <c r="F578" t="str">
        <f>Procurement_Raw!F578</f>
        <v>Agency Labour</v>
      </c>
      <c r="G578" t="str">
        <f>Procurement_Raw!G578</f>
        <v>INV-2025-00577</v>
      </c>
      <c r="H578" s="6">
        <f>Procurement_Raw!H578</f>
        <v>22</v>
      </c>
      <c r="I578" s="7">
        <f>Procurement_Raw!I578</f>
        <v>341.51</v>
      </c>
      <c r="J578" s="7">
        <f>Procurement_Raw!J578</f>
        <v>7513.17</v>
      </c>
      <c r="K578" s="6">
        <f>Procurement_Raw!K578</f>
        <v>45</v>
      </c>
      <c r="L578" t="str">
        <f>Procurement_Raw!L578</f>
        <v>Procurement Portal</v>
      </c>
      <c r="M578" s="8">
        <f>Procurement_Raw!M578</f>
        <v>1502.634</v>
      </c>
      <c r="N578" s="7">
        <f>Procurement_Raw!N578</f>
        <v>7513.17</v>
      </c>
      <c r="O578" s="7">
        <f t="shared" ref="O578:O641" si="18">IFERROR(IF(J578="","",J578),0)</f>
        <v>7513.17</v>
      </c>
      <c r="P578" t="str">
        <f>IFERROR(INDEX(Supplier_Lookup!$B$2:$B$200,MATCH(E578,Supplier_Lookup!$A$2:$A$200,0)),"Unmapped")</f>
        <v>Agency Labour</v>
      </c>
      <c r="Q578" s="10">
        <f>IFERROR(INDEX(Category_Targets!$B$2:$B$9,MATCH(F578,Category_Targets!$A$2:$A$9,0)),0)</f>
        <v>7.0000000000000007E-2</v>
      </c>
      <c r="R578" s="7">
        <f t="shared" ref="R578:R641" si="19">O578*Q578</f>
        <v>525.92190000000005</v>
      </c>
    </row>
    <row r="579" spans="1:18" x14ac:dyDescent="0.25">
      <c r="A579" s="5">
        <f>Procurement_Raw!A579</f>
        <v>45850</v>
      </c>
      <c r="B579" t="str">
        <f>Procurement_Raw!B579</f>
        <v>S006</v>
      </c>
      <c r="C579" t="str">
        <f>Procurement_Raw!C579</f>
        <v>Birmingham Care &amp; Education Centre</v>
      </c>
      <c r="D579" t="str">
        <f>Procurement_Raw!D579</f>
        <v>Midlands</v>
      </c>
      <c r="E579" t="str">
        <f>Procurement_Raw!E579</f>
        <v>AutoCare</v>
      </c>
      <c r="F579" t="str">
        <f>Procurement_Raw!F579</f>
        <v>Vehicle &amp; Fuel</v>
      </c>
      <c r="G579" t="str">
        <f>Procurement_Raw!G579</f>
        <v>INV-2025-00578</v>
      </c>
      <c r="H579" s="6">
        <f>Procurement_Raw!H579</f>
        <v>13</v>
      </c>
      <c r="I579" s="7">
        <f>Procurement_Raw!I579</f>
        <v>145.16</v>
      </c>
      <c r="J579" s="7">
        <f>Procurement_Raw!J579</f>
        <v>1887.11</v>
      </c>
      <c r="K579" s="6">
        <f>Procurement_Raw!K579</f>
        <v>45</v>
      </c>
      <c r="L579" t="str">
        <f>Procurement_Raw!L579</f>
        <v>Legacy Spend File</v>
      </c>
      <c r="M579" s="8">
        <f>Procurement_Raw!M579</f>
        <v>377.42200000000003</v>
      </c>
      <c r="N579" s="7">
        <f>Procurement_Raw!N579</f>
        <v>1887.11</v>
      </c>
      <c r="O579" s="7">
        <f t="shared" si="18"/>
        <v>1887.11</v>
      </c>
      <c r="P579" t="str">
        <f>IFERROR(INDEX(Supplier_Lookup!$B$2:$B$200,MATCH(E579,Supplier_Lookup!$A$2:$A$200,0)),"Unmapped")</f>
        <v>Vehicle &amp; Fuel</v>
      </c>
      <c r="Q579" s="10">
        <f>IFERROR(INDEX(Category_Targets!$B$2:$B$9,MATCH(F579,Category_Targets!$A$2:$A$9,0)),0)</f>
        <v>0.05</v>
      </c>
      <c r="R579" s="7">
        <f t="shared" si="19"/>
        <v>94.355500000000006</v>
      </c>
    </row>
    <row r="580" spans="1:18" x14ac:dyDescent="0.25">
      <c r="A580" s="5">
        <f>Procurement_Raw!A580</f>
        <v>45889</v>
      </c>
      <c r="B580" t="str">
        <f>Procurement_Raw!B580</f>
        <v>S009</v>
      </c>
      <c r="C580" t="str">
        <f>Procurement_Raw!C580</f>
        <v>Derby Care &amp; Education Centre</v>
      </c>
      <c r="D580" t="str">
        <f>Procurement_Raw!D580</f>
        <v>Midlands</v>
      </c>
      <c r="E580" t="str">
        <f>Procurement_Raw!E580</f>
        <v>UK Energy Partners</v>
      </c>
      <c r="F580" t="str">
        <f>Procurement_Raw!F580</f>
        <v>Utilities</v>
      </c>
      <c r="G580" t="str">
        <f>Procurement_Raw!G580</f>
        <v>INV-2025-00579</v>
      </c>
      <c r="H580" s="6">
        <f>Procurement_Raw!H580</f>
        <v>10</v>
      </c>
      <c r="I580" s="7">
        <f>Procurement_Raw!I580</f>
        <v>110.86</v>
      </c>
      <c r="J580" s="7">
        <f>Procurement_Raw!J580</f>
        <v>1108.57</v>
      </c>
      <c r="K580" s="6">
        <f>Procurement_Raw!K580</f>
        <v>30</v>
      </c>
      <c r="L580" t="str">
        <f>Procurement_Raw!L580</f>
        <v>Procurement Portal</v>
      </c>
      <c r="M580" s="8">
        <f>Procurement_Raw!M580</f>
        <v>221.714</v>
      </c>
      <c r="N580" s="7">
        <f>Procurement_Raw!N580</f>
        <v>1108.57</v>
      </c>
      <c r="O580" s="7">
        <f t="shared" si="18"/>
        <v>1108.57</v>
      </c>
      <c r="P580" t="str">
        <f>IFERROR(INDEX(Supplier_Lookup!$B$2:$B$200,MATCH(E580,Supplier_Lookup!$A$2:$A$200,0)),"Unmapped")</f>
        <v>Utilities</v>
      </c>
      <c r="Q580" s="10">
        <f>IFERROR(INDEX(Category_Targets!$B$2:$B$9,MATCH(F580,Category_Targets!$A$2:$A$9,0)),0)</f>
        <v>0.03</v>
      </c>
      <c r="R580" s="7">
        <f t="shared" si="19"/>
        <v>33.257099999999994</v>
      </c>
    </row>
    <row r="581" spans="1:18" x14ac:dyDescent="0.25">
      <c r="A581" s="5">
        <f>Procurement_Raw!A581</f>
        <v>45711</v>
      </c>
      <c r="B581" t="str">
        <f>Procurement_Raw!B581</f>
        <v>S001</v>
      </c>
      <c r="C581" t="str">
        <f>Procurement_Raw!C581</f>
        <v>Preston Care &amp; Education Centre</v>
      </c>
      <c r="D581" t="str">
        <f>Procurement_Raw!D581</f>
        <v>North</v>
      </c>
      <c r="E581" t="str">
        <f>Procurement_Raw!E581</f>
        <v>RoadReady</v>
      </c>
      <c r="F581" t="str">
        <f>Procurement_Raw!F581</f>
        <v>Vehicle &amp; Fuel</v>
      </c>
      <c r="G581" t="str">
        <f>Procurement_Raw!G581</f>
        <v>INV-2025-00580</v>
      </c>
      <c r="H581" s="6">
        <f>Procurement_Raw!H581</f>
        <v>10</v>
      </c>
      <c r="I581" s="7">
        <f>Procurement_Raw!I581</f>
        <v>178.21</v>
      </c>
      <c r="J581" s="7">
        <f>Procurement_Raw!J581</f>
        <v>1782.06</v>
      </c>
      <c r="K581" s="6">
        <f>Procurement_Raw!K581</f>
        <v>45</v>
      </c>
      <c r="L581" t="str">
        <f>Procurement_Raw!L581</f>
        <v>ERP</v>
      </c>
      <c r="M581" s="8">
        <f>Procurement_Raw!M581</f>
        <v>356.41199999999998</v>
      </c>
      <c r="N581" s="7">
        <f>Procurement_Raw!N581</f>
        <v>1782.06</v>
      </c>
      <c r="O581" s="7">
        <f t="shared" si="18"/>
        <v>1782.06</v>
      </c>
      <c r="P581" t="str">
        <f>IFERROR(INDEX(Supplier_Lookup!$B$2:$B$200,MATCH(E581,Supplier_Lookup!$A$2:$A$200,0)),"Unmapped")</f>
        <v>Vehicle &amp; Fuel</v>
      </c>
      <c r="Q581" s="10">
        <f>IFERROR(INDEX(Category_Targets!$B$2:$B$9,MATCH(F581,Category_Targets!$A$2:$A$9,0)),0)</f>
        <v>0.05</v>
      </c>
      <c r="R581" s="7">
        <f t="shared" si="19"/>
        <v>89.103000000000009</v>
      </c>
    </row>
    <row r="582" spans="1:18" x14ac:dyDescent="0.25">
      <c r="A582" s="5">
        <f>Procurement_Raw!A582</f>
        <v>45696</v>
      </c>
      <c r="B582" t="str">
        <f>Procurement_Raw!B582</f>
        <v>S019</v>
      </c>
      <c r="C582" t="str">
        <f>Procurement_Raw!C582</f>
        <v>Wrexham Care &amp; Education Centre</v>
      </c>
      <c r="D582" t="str">
        <f>Procurement_Raw!D582</f>
        <v>Wales</v>
      </c>
      <c r="E582" t="str">
        <f>Procurement_Raw!E582</f>
        <v>BuildCare</v>
      </c>
      <c r="F582" t="str">
        <f>Procurement_Raw!F582</f>
        <v>Facilities</v>
      </c>
      <c r="G582" t="str">
        <f>Procurement_Raw!G582</f>
        <v>INV-2025-00581</v>
      </c>
      <c r="H582" s="6">
        <f>Procurement_Raw!H582</f>
        <v>71</v>
      </c>
      <c r="I582" s="7">
        <f>Procurement_Raw!I582</f>
        <v>216.83</v>
      </c>
      <c r="J582" s="7">
        <f>Procurement_Raw!J582</f>
        <v>15395.18</v>
      </c>
      <c r="K582" s="6">
        <f>Procurement_Raw!K582</f>
        <v>30</v>
      </c>
      <c r="L582" t="str">
        <f>Procurement_Raw!L582</f>
        <v>Procurement Portal</v>
      </c>
      <c r="M582" s="8">
        <f>Procurement_Raw!M582</f>
        <v>3079.0360000000001</v>
      </c>
      <c r="N582" s="7">
        <f>Procurement_Raw!N582</f>
        <v>15395.18</v>
      </c>
      <c r="O582" s="7">
        <f t="shared" si="18"/>
        <v>15395.18</v>
      </c>
      <c r="P582" t="str">
        <f>IFERROR(INDEX(Supplier_Lookup!$B$2:$B$200,MATCH(E582,Supplier_Lookup!$A$2:$A$200,0)),"Unmapped")</f>
        <v>Facilities</v>
      </c>
      <c r="Q582" s="10">
        <f>IFERROR(INDEX(Category_Targets!$B$2:$B$9,MATCH(F582,Category_Targets!$A$2:$A$9,0)),0)</f>
        <v>0.05</v>
      </c>
      <c r="R582" s="7">
        <f t="shared" si="19"/>
        <v>769.75900000000001</v>
      </c>
    </row>
    <row r="583" spans="1:18" x14ac:dyDescent="0.25">
      <c r="A583" s="5">
        <f>Procurement_Raw!A583</f>
        <v>45673</v>
      </c>
      <c r="B583" t="str">
        <f>Procurement_Raw!B583</f>
        <v>S015</v>
      </c>
      <c r="C583" t="str">
        <f>Procurement_Raw!C583</f>
        <v>Brighton Care &amp; Education Centre</v>
      </c>
      <c r="D583" t="str">
        <f>Procurement_Raw!D583</f>
        <v>South</v>
      </c>
      <c r="E583" t="str">
        <f>Procurement_Raw!E583</f>
        <v>PrintCo</v>
      </c>
      <c r="F583" t="str">
        <f>Procurement_Raw!F583</f>
        <v>Office &amp; Training</v>
      </c>
      <c r="G583" t="str">
        <f>Procurement_Raw!G583</f>
        <v>INV-2025-00582</v>
      </c>
      <c r="H583" s="6">
        <f>Procurement_Raw!H583</f>
        <v>56</v>
      </c>
      <c r="I583" s="7">
        <f>Procurement_Raw!I583</f>
        <v>59.68</v>
      </c>
      <c r="J583" s="7">
        <f>Procurement_Raw!J583</f>
        <v>3342.36</v>
      </c>
      <c r="K583" s="6">
        <f>Procurement_Raw!K583</f>
        <v>60</v>
      </c>
      <c r="L583" t="str">
        <f>Procurement_Raw!L583</f>
        <v>ERP</v>
      </c>
      <c r="M583" s="8">
        <f>Procurement_Raw!M583</f>
        <v>668.47199999999998</v>
      </c>
      <c r="N583" s="7">
        <f>Procurement_Raw!N583</f>
        <v>3342.36</v>
      </c>
      <c r="O583" s="7">
        <f t="shared" si="18"/>
        <v>3342.36</v>
      </c>
      <c r="P583" t="str">
        <f>IFERROR(INDEX(Supplier_Lookup!$B$2:$B$200,MATCH(E583,Supplier_Lookup!$A$2:$A$200,0)),"Unmapped")</f>
        <v>Office &amp; Training</v>
      </c>
      <c r="Q583" s="10">
        <f>IFERROR(INDEX(Category_Targets!$B$2:$B$9,MATCH(F583,Category_Targets!$A$2:$A$9,0)),0)</f>
        <v>0.04</v>
      </c>
      <c r="R583" s="7">
        <f t="shared" si="19"/>
        <v>133.6944</v>
      </c>
    </row>
    <row r="584" spans="1:18" x14ac:dyDescent="0.25">
      <c r="A584" s="5">
        <f>Procurement_Raw!A584</f>
        <v>45685</v>
      </c>
      <c r="B584" t="str">
        <f>Procurement_Raw!B584</f>
        <v>S014</v>
      </c>
      <c r="C584" t="str">
        <f>Procurement_Raw!C584</f>
        <v>Southampton Care &amp; Education Centre</v>
      </c>
      <c r="D584" t="str">
        <f>Procurement_Raw!D584</f>
        <v>South</v>
      </c>
      <c r="E584" t="str">
        <f>Procurement_Raw!E584</f>
        <v>HealthStaffing</v>
      </c>
      <c r="F584" t="str">
        <f>Procurement_Raw!F584</f>
        <v>Agency Labour</v>
      </c>
      <c r="G584" t="str">
        <f>Procurement_Raw!G584</f>
        <v>INV-2025-00583</v>
      </c>
      <c r="H584" s="6">
        <f>Procurement_Raw!H584</f>
        <v>13</v>
      </c>
      <c r="I584" s="7">
        <f>Procurement_Raw!I584</f>
        <v>424.88</v>
      </c>
      <c r="J584" s="7">
        <f>Procurement_Raw!J584</f>
        <v>5523.47</v>
      </c>
      <c r="K584" s="6">
        <f>Procurement_Raw!K584</f>
        <v>45</v>
      </c>
      <c r="L584" t="str">
        <f>Procurement_Raw!L584</f>
        <v>ERP</v>
      </c>
      <c r="M584" s="8">
        <f>Procurement_Raw!M584</f>
        <v>1104.694</v>
      </c>
      <c r="N584" s="7">
        <f>Procurement_Raw!N584</f>
        <v>5523.47</v>
      </c>
      <c r="O584" s="7">
        <f t="shared" si="18"/>
        <v>5523.47</v>
      </c>
      <c r="P584" t="str">
        <f>IFERROR(INDEX(Supplier_Lookup!$B$2:$B$200,MATCH(E584,Supplier_Lookup!$A$2:$A$200,0)),"Unmapped")</f>
        <v>Agency Labour</v>
      </c>
      <c r="Q584" s="10">
        <f>IFERROR(INDEX(Category_Targets!$B$2:$B$9,MATCH(F584,Category_Targets!$A$2:$A$9,0)),0)</f>
        <v>7.0000000000000007E-2</v>
      </c>
      <c r="R584" s="7">
        <f t="shared" si="19"/>
        <v>386.64290000000005</v>
      </c>
    </row>
    <row r="585" spans="1:18" x14ac:dyDescent="0.25">
      <c r="A585" s="5">
        <f>Procurement_Raw!A585</f>
        <v>45941</v>
      </c>
      <c r="B585" t="str">
        <f>Procurement_Raw!B585</f>
        <v>S018</v>
      </c>
      <c r="C585" t="str">
        <f>Procurement_Raw!C585</f>
        <v>Newport Care &amp; Education Centre</v>
      </c>
      <c r="D585" t="str">
        <f>Procurement_Raw!D585</f>
        <v>Wales</v>
      </c>
      <c r="E585" t="str">
        <f>Procurement_Raw!E585</f>
        <v>NurseLink</v>
      </c>
      <c r="F585" t="str">
        <f>Procurement_Raw!F585</f>
        <v>Agency Labour</v>
      </c>
      <c r="G585" t="str">
        <f>Procurement_Raw!G585</f>
        <v>INV-2025-00584</v>
      </c>
      <c r="H585" s="6">
        <f>Procurement_Raw!H585</f>
        <v>70</v>
      </c>
      <c r="I585" s="7">
        <f>Procurement_Raw!I585</f>
        <v>1045.93</v>
      </c>
      <c r="J585" s="7">
        <f>Procurement_Raw!J585</f>
        <v>73215.23</v>
      </c>
      <c r="K585" s="6">
        <f>Procurement_Raw!K585</f>
        <v>45</v>
      </c>
      <c r="L585" t="str">
        <f>Procurement_Raw!L585</f>
        <v>Legacy Spend File</v>
      </c>
      <c r="M585" s="8">
        <f>Procurement_Raw!M585</f>
        <v>14643.046</v>
      </c>
      <c r="N585" s="7">
        <f>Procurement_Raw!N585</f>
        <v>73215.23</v>
      </c>
      <c r="O585" s="7">
        <f t="shared" si="18"/>
        <v>73215.23</v>
      </c>
      <c r="P585" t="str">
        <f>IFERROR(INDEX(Supplier_Lookup!$B$2:$B$200,MATCH(E585,Supplier_Lookup!$A$2:$A$200,0)),"Unmapped")</f>
        <v>Agency Labour</v>
      </c>
      <c r="Q585" s="10">
        <f>IFERROR(INDEX(Category_Targets!$B$2:$B$9,MATCH(F585,Category_Targets!$A$2:$A$9,0)),0)</f>
        <v>7.0000000000000007E-2</v>
      </c>
      <c r="R585" s="7">
        <f t="shared" si="19"/>
        <v>5125.0661</v>
      </c>
    </row>
    <row r="586" spans="1:18" x14ac:dyDescent="0.25">
      <c r="A586" s="5">
        <f>Procurement_Raw!A586</f>
        <v>45707</v>
      </c>
      <c r="B586" t="str">
        <f>Procurement_Raw!B586</f>
        <v>S011</v>
      </c>
      <c r="C586" t="str">
        <f>Procurement_Raw!C586</f>
        <v>London Care &amp; Education Centre</v>
      </c>
      <c r="D586" t="str">
        <f>Procurement_Raw!D586</f>
        <v>South</v>
      </c>
      <c r="E586" t="str">
        <f>Procurement_Raw!E586</f>
        <v>CloudLink</v>
      </c>
      <c r="F586" t="str">
        <f>Procurement_Raw!F586</f>
        <v>IT &amp; Telecoms</v>
      </c>
      <c r="G586" t="str">
        <f>Procurement_Raw!G586</f>
        <v>INV-2025-00585</v>
      </c>
      <c r="H586" s="6">
        <f>Procurement_Raw!H586</f>
        <v>7</v>
      </c>
      <c r="I586" s="7">
        <f>Procurement_Raw!I586</f>
        <v>243.14</v>
      </c>
      <c r="J586" s="7">
        <f>Procurement_Raw!J586</f>
        <v>1702.01</v>
      </c>
      <c r="K586" s="6">
        <f>Procurement_Raw!K586</f>
        <v>45</v>
      </c>
      <c r="L586" t="str">
        <f>Procurement_Raw!L586</f>
        <v>Legacy Spend File</v>
      </c>
      <c r="M586" s="8">
        <f>Procurement_Raw!M586</f>
        <v>340.40199999999999</v>
      </c>
      <c r="N586" s="7">
        <f>Procurement_Raw!N586</f>
        <v>1702.01</v>
      </c>
      <c r="O586" s="7">
        <f t="shared" si="18"/>
        <v>1702.01</v>
      </c>
      <c r="P586" t="str">
        <f>IFERROR(INDEX(Supplier_Lookup!$B$2:$B$200,MATCH(E586,Supplier_Lookup!$A$2:$A$200,0)),"Unmapped")</f>
        <v>medical supplies</v>
      </c>
      <c r="Q586" s="10">
        <f>IFERROR(INDEX(Category_Targets!$B$2:$B$9,MATCH(F586,Category_Targets!$A$2:$A$9,0)),0)</f>
        <v>0.08</v>
      </c>
      <c r="R586" s="7">
        <f t="shared" si="19"/>
        <v>136.16079999999999</v>
      </c>
    </row>
    <row r="587" spans="1:18" x14ac:dyDescent="0.25">
      <c r="A587" s="5">
        <f>Procurement_Raw!A587</f>
        <v>45685</v>
      </c>
      <c r="B587" t="str">
        <f>Procurement_Raw!B587</f>
        <v>S004</v>
      </c>
      <c r="C587" t="str">
        <f>Procurement_Raw!C587</f>
        <v>Newcastle Care &amp; Education Centre</v>
      </c>
      <c r="D587" t="str">
        <f>Procurement_Raw!D587</f>
        <v>North</v>
      </c>
      <c r="E587" t="str">
        <f>Procurement_Raw!E587</f>
        <v>OfficePlus</v>
      </c>
      <c r="F587" t="str">
        <f>Procurement_Raw!F587</f>
        <v>Office &amp; Training</v>
      </c>
      <c r="G587" t="str">
        <f>Procurement_Raw!G587</f>
        <v>INV-2025-00586</v>
      </c>
      <c r="H587" s="6">
        <f>Procurement_Raw!H587</f>
        <v>47</v>
      </c>
      <c r="I587" s="7">
        <f>Procurement_Raw!I587</f>
        <v>85.97</v>
      </c>
      <c r="J587" s="7">
        <f>Procurement_Raw!J587</f>
        <v>4040.63</v>
      </c>
      <c r="K587" s="6">
        <f>Procurement_Raw!K587</f>
        <v>30</v>
      </c>
      <c r="L587" t="str">
        <f>Procurement_Raw!L587</f>
        <v>Procurement Portal</v>
      </c>
      <c r="M587" s="8">
        <f>Procurement_Raw!M587</f>
        <v>808.12599999999998</v>
      </c>
      <c r="N587" s="7">
        <f>Procurement_Raw!N587</f>
        <v>4040.63</v>
      </c>
      <c r="O587" s="7">
        <f t="shared" si="18"/>
        <v>4040.63</v>
      </c>
      <c r="P587" t="str">
        <f>IFERROR(INDEX(Supplier_Lookup!$B$2:$B$200,MATCH(E587,Supplier_Lookup!$A$2:$A$200,0)),"Unmapped")</f>
        <v>Office &amp; Training</v>
      </c>
      <c r="Q587" s="10">
        <f>IFERROR(INDEX(Category_Targets!$B$2:$B$9,MATCH(F587,Category_Targets!$A$2:$A$9,0)),0)</f>
        <v>0.04</v>
      </c>
      <c r="R587" s="7">
        <f t="shared" si="19"/>
        <v>161.62520000000001</v>
      </c>
    </row>
    <row r="588" spans="1:18" x14ac:dyDescent="0.25">
      <c r="A588" s="5">
        <f>Procurement_Raw!A588</f>
        <v>45978</v>
      </c>
      <c r="B588" t="str">
        <f>Procurement_Raw!B588</f>
        <v>S019</v>
      </c>
      <c r="C588" t="str">
        <f>Procurement_Raw!C588</f>
        <v>Wrexham Care &amp; Education Centre</v>
      </c>
      <c r="D588" t="str">
        <f>Procurement_Raw!D588</f>
        <v>Wales</v>
      </c>
      <c r="E588" t="str">
        <f>Procurement_Raw!E588</f>
        <v>NetServe</v>
      </c>
      <c r="F588" t="str">
        <f>Procurement_Raw!F588</f>
        <v>IT &amp; Telecoms</v>
      </c>
      <c r="G588" t="str">
        <f>Procurement_Raw!G588</f>
        <v>INV-2025-00587</v>
      </c>
      <c r="H588" s="6">
        <f>Procurement_Raw!H588</f>
        <v>77</v>
      </c>
      <c r="I588" s="7">
        <f>Procurement_Raw!I588</f>
        <v>170.88</v>
      </c>
      <c r="J588" s="7">
        <f>Procurement_Raw!J588</f>
        <v>13157.99</v>
      </c>
      <c r="K588" s="6">
        <f>Procurement_Raw!K588</f>
        <v>45</v>
      </c>
      <c r="L588" t="str">
        <f>Procurement_Raw!L588</f>
        <v>ERP</v>
      </c>
      <c r="M588" s="8">
        <f>Procurement_Raw!M588</f>
        <v>2631.598</v>
      </c>
      <c r="N588" s="7">
        <f>Procurement_Raw!N588</f>
        <v>13157.99</v>
      </c>
      <c r="O588" s="7">
        <f t="shared" si="18"/>
        <v>13157.99</v>
      </c>
      <c r="P588" t="str">
        <f>IFERROR(INDEX(Supplier_Lookup!$B$2:$B$200,MATCH(E588,Supplier_Lookup!$A$2:$A$200,0)),"Unmapped")</f>
        <v>IT &amp; Telecoms</v>
      </c>
      <c r="Q588" s="10">
        <f>IFERROR(INDEX(Category_Targets!$B$2:$B$9,MATCH(F588,Category_Targets!$A$2:$A$9,0)),0)</f>
        <v>0.08</v>
      </c>
      <c r="R588" s="7">
        <f t="shared" si="19"/>
        <v>1052.6392000000001</v>
      </c>
    </row>
    <row r="589" spans="1:18" x14ac:dyDescent="0.25">
      <c r="A589" s="5">
        <f>Procurement_Raw!A589</f>
        <v>45745</v>
      </c>
      <c r="B589" t="str">
        <f>Procurement_Raw!B589</f>
        <v>S013</v>
      </c>
      <c r="C589" t="str">
        <f>Procurement_Raw!C589</f>
        <v>Reading Care &amp; Education Centre</v>
      </c>
      <c r="D589" t="str">
        <f>Procurement_Raw!D589</f>
        <v>South</v>
      </c>
      <c r="E589" t="str">
        <f>Procurement_Raw!E589</f>
        <v>MediSure</v>
      </c>
      <c r="F589" t="str">
        <f>Procurement_Raw!F589</f>
        <v>Medical Supplies</v>
      </c>
      <c r="G589" t="str">
        <f>Procurement_Raw!G589</f>
        <v>INV-2025-00588</v>
      </c>
      <c r="H589" s="6">
        <f>Procurement_Raw!H589</f>
        <v>38</v>
      </c>
      <c r="I589" s="7">
        <f>Procurement_Raw!I589</f>
        <v>75.19</v>
      </c>
      <c r="J589" s="7">
        <f>Procurement_Raw!J589</f>
        <v>2857.39</v>
      </c>
      <c r="K589" s="6">
        <f>Procurement_Raw!K589</f>
        <v>30</v>
      </c>
      <c r="L589" t="str">
        <f>Procurement_Raw!L589</f>
        <v>Procurement Portal</v>
      </c>
      <c r="M589" s="8">
        <f>Procurement_Raw!M589</f>
        <v>571.47799999999995</v>
      </c>
      <c r="N589" s="7">
        <f>Procurement_Raw!N589</f>
        <v>2857.39</v>
      </c>
      <c r="O589" s="7">
        <f t="shared" si="18"/>
        <v>2857.39</v>
      </c>
      <c r="P589" t="str">
        <f>IFERROR(INDEX(Supplier_Lookup!$B$2:$B$200,MATCH(E589,Supplier_Lookup!$A$2:$A$200,0)),"Unmapped")</f>
        <v>Medical Supplies</v>
      </c>
      <c r="Q589" s="10">
        <f>IFERROR(INDEX(Category_Targets!$B$2:$B$9,MATCH(F589,Category_Targets!$A$2:$A$9,0)),0)</f>
        <v>0.06</v>
      </c>
      <c r="R589" s="7">
        <f t="shared" si="19"/>
        <v>171.4434</v>
      </c>
    </row>
    <row r="590" spans="1:18" x14ac:dyDescent="0.25">
      <c r="A590" s="5">
        <f>Procurement_Raw!A590</f>
        <v>45899</v>
      </c>
      <c r="B590" t="str">
        <f>Procurement_Raw!B590</f>
        <v>S010</v>
      </c>
      <c r="C590" t="str">
        <f>Procurement_Raw!C590</f>
        <v>Coventry Care &amp; Education Centre</v>
      </c>
      <c r="D590" t="str">
        <f>Procurement_Raw!D590</f>
        <v>Midlands</v>
      </c>
      <c r="E590" t="str">
        <f>Procurement_Raw!E590</f>
        <v>TeleCare IT</v>
      </c>
      <c r="F590" t="str">
        <f>Procurement_Raw!F590</f>
        <v>IT &amp; Telecoms</v>
      </c>
      <c r="G590" t="str">
        <f>Procurement_Raw!G590</f>
        <v>INV-2025-00589</v>
      </c>
      <c r="H590" s="6">
        <f>Procurement_Raw!H590</f>
        <v>63</v>
      </c>
      <c r="I590" s="7">
        <f>Procurement_Raw!I590</f>
        <v>347.34</v>
      </c>
      <c r="J590" s="7">
        <f>Procurement_Raw!J590</f>
        <v>21882.6</v>
      </c>
      <c r="K590" s="6">
        <f>Procurement_Raw!K590</f>
        <v>60</v>
      </c>
      <c r="L590" t="str">
        <f>Procurement_Raw!L590</f>
        <v>Procurement Portal</v>
      </c>
      <c r="M590" s="8">
        <f>Procurement_Raw!M590</f>
        <v>4376.5200000000004</v>
      </c>
      <c r="N590" s="7">
        <f>Procurement_Raw!N590</f>
        <v>21882.6</v>
      </c>
      <c r="O590" s="7">
        <f t="shared" si="18"/>
        <v>21882.6</v>
      </c>
      <c r="P590" t="str">
        <f>IFERROR(INDEX(Supplier_Lookup!$B$2:$B$200,MATCH(E590,Supplier_Lookup!$A$2:$A$200,0)),"Unmapped")</f>
        <v>IT &amp; Telecoms</v>
      </c>
      <c r="Q590" s="10">
        <f>IFERROR(INDEX(Category_Targets!$B$2:$B$9,MATCH(F590,Category_Targets!$A$2:$A$9,0)),0)</f>
        <v>0.08</v>
      </c>
      <c r="R590" s="7">
        <f t="shared" si="19"/>
        <v>1750.6079999999999</v>
      </c>
    </row>
    <row r="591" spans="1:18" x14ac:dyDescent="0.25">
      <c r="A591" s="5">
        <f>Procurement_Raw!A591</f>
        <v>45847</v>
      </c>
      <c r="B591" t="str">
        <f>Procurement_Raw!B591</f>
        <v>S009</v>
      </c>
      <c r="C591" t="str">
        <f>Procurement_Raw!C591</f>
        <v>Derby Care &amp; Education Centre</v>
      </c>
      <c r="D591" t="str">
        <f>Procurement_Raw!D591</f>
        <v>Midlands</v>
      </c>
      <c r="E591" t="str">
        <f>Procurement_Raw!E591</f>
        <v>HealthStaffing</v>
      </c>
      <c r="F591" t="str">
        <f>Procurement_Raw!F591</f>
        <v>Agency Labour</v>
      </c>
      <c r="G591" t="str">
        <f>Procurement_Raw!G591</f>
        <v>INV-2025-00590</v>
      </c>
      <c r="H591" s="6">
        <f>Procurement_Raw!H591</f>
        <v>49</v>
      </c>
      <c r="I591" s="7">
        <f>Procurement_Raw!I591</f>
        <v>187.34</v>
      </c>
      <c r="J591" s="7">
        <f>Procurement_Raw!J591</f>
        <v>9179.76</v>
      </c>
      <c r="K591" s="6">
        <f>Procurement_Raw!K591</f>
        <v>45</v>
      </c>
      <c r="L591" t="str">
        <f>Procurement_Raw!L591</f>
        <v>ERP</v>
      </c>
      <c r="M591" s="8">
        <f>Procurement_Raw!M591</f>
        <v>1835.952</v>
      </c>
      <c r="N591" s="7">
        <f>Procurement_Raw!N591</f>
        <v>9179.76</v>
      </c>
      <c r="O591" s="7">
        <f t="shared" si="18"/>
        <v>9179.76</v>
      </c>
      <c r="P591" t="str">
        <f>IFERROR(INDEX(Supplier_Lookup!$B$2:$B$200,MATCH(E591,Supplier_Lookup!$A$2:$A$200,0)),"Unmapped")</f>
        <v>Agency Labour</v>
      </c>
      <c r="Q591" s="10">
        <f>IFERROR(INDEX(Category_Targets!$B$2:$B$9,MATCH(F591,Category_Targets!$A$2:$A$9,0)),0)</f>
        <v>7.0000000000000007E-2</v>
      </c>
      <c r="R591" s="7">
        <f t="shared" si="19"/>
        <v>642.58320000000003</v>
      </c>
    </row>
    <row r="592" spans="1:18" x14ac:dyDescent="0.25">
      <c r="A592" s="5">
        <f>Procurement_Raw!A592</f>
        <v>45883</v>
      </c>
      <c r="B592" t="str">
        <f>Procurement_Raw!B592</f>
        <v>S012</v>
      </c>
      <c r="C592" t="str">
        <f>Procurement_Raw!C592</f>
        <v>Bristol Care &amp; Education Centre</v>
      </c>
      <c r="D592" t="str">
        <f>Procurement_Raw!D592</f>
        <v>South</v>
      </c>
      <c r="E592" t="str">
        <f>Procurement_Raw!E592</f>
        <v>CareMed</v>
      </c>
      <c r="F592" t="str">
        <f>Procurement_Raw!F592</f>
        <v>Medical Supplies</v>
      </c>
      <c r="G592" t="str">
        <f>Procurement_Raw!G592</f>
        <v>INV-2025-00591</v>
      </c>
      <c r="H592" s="6">
        <f>Procurement_Raw!H592</f>
        <v>60</v>
      </c>
      <c r="I592" s="7">
        <f>Procurement_Raw!I592</f>
        <v>124.82</v>
      </c>
      <c r="J592" s="7">
        <f>Procurement_Raw!J592</f>
        <v>7489.05</v>
      </c>
      <c r="K592" s="6">
        <f>Procurement_Raw!K592</f>
        <v>45</v>
      </c>
      <c r="L592" t="str">
        <f>Procurement_Raw!L592</f>
        <v>ERP</v>
      </c>
      <c r="M592" s="8">
        <f>Procurement_Raw!M592</f>
        <v>1497.81</v>
      </c>
      <c r="N592" s="7">
        <f>Procurement_Raw!N592</f>
        <v>7489.05</v>
      </c>
      <c r="O592" s="7">
        <f t="shared" si="18"/>
        <v>7489.05</v>
      </c>
      <c r="P592" t="str">
        <f>IFERROR(INDEX(Supplier_Lookup!$B$2:$B$200,MATCH(E592,Supplier_Lookup!$A$2:$A$200,0)),"Unmapped")</f>
        <v>Medical Supplies</v>
      </c>
      <c r="Q592" s="10">
        <f>IFERROR(INDEX(Category_Targets!$B$2:$B$9,MATCH(F592,Category_Targets!$A$2:$A$9,0)),0)</f>
        <v>0.06</v>
      </c>
      <c r="R592" s="7">
        <f t="shared" si="19"/>
        <v>449.34300000000002</v>
      </c>
    </row>
    <row r="593" spans="1:18" x14ac:dyDescent="0.25">
      <c r="A593" s="5">
        <f>Procurement_Raw!A593</f>
        <v>46014</v>
      </c>
      <c r="B593" t="str">
        <f>Procurement_Raw!B593</f>
        <v>S005</v>
      </c>
      <c r="C593" t="str">
        <f>Procurement_Raw!C593</f>
        <v>Sheffield Care &amp; Education Centre</v>
      </c>
      <c r="D593" t="str">
        <f>Procurement_Raw!D593</f>
        <v>North</v>
      </c>
      <c r="E593" t="str">
        <f>Procurement_Raw!E593</f>
        <v>MediSure</v>
      </c>
      <c r="F593" t="str">
        <f>Procurement_Raw!F593</f>
        <v>Medical Supplies</v>
      </c>
      <c r="G593" t="str">
        <f>Procurement_Raw!G593</f>
        <v>INV-2025-00592</v>
      </c>
      <c r="H593" s="6">
        <f>Procurement_Raw!H593</f>
        <v>13</v>
      </c>
      <c r="I593" s="7">
        <f>Procurement_Raw!I593</f>
        <v>92.28</v>
      </c>
      <c r="J593" s="7">
        <f>Procurement_Raw!J593</f>
        <v>1199.58</v>
      </c>
      <c r="K593" s="6">
        <f>Procurement_Raw!K593</f>
        <v>30</v>
      </c>
      <c r="L593" t="str">
        <f>Procurement_Raw!L593</f>
        <v>Legacy Spend File</v>
      </c>
      <c r="M593" s="8">
        <f>Procurement_Raw!M593</f>
        <v>239.916</v>
      </c>
      <c r="N593" s="7">
        <f>Procurement_Raw!N593</f>
        <v>1199.58</v>
      </c>
      <c r="O593" s="7">
        <f t="shared" si="18"/>
        <v>1199.58</v>
      </c>
      <c r="P593" t="str">
        <f>IFERROR(INDEX(Supplier_Lookup!$B$2:$B$200,MATCH(E593,Supplier_Lookup!$A$2:$A$200,0)),"Unmapped")</f>
        <v>Medical Supplies</v>
      </c>
      <c r="Q593" s="10">
        <f>IFERROR(INDEX(Category_Targets!$B$2:$B$9,MATCH(F593,Category_Targets!$A$2:$A$9,0)),0)</f>
        <v>0.06</v>
      </c>
      <c r="R593" s="7">
        <f t="shared" si="19"/>
        <v>71.974799999999988</v>
      </c>
    </row>
    <row r="594" spans="1:18" x14ac:dyDescent="0.25">
      <c r="A594" s="5">
        <f>Procurement_Raw!A594</f>
        <v>45774</v>
      </c>
      <c r="B594" t="str">
        <f>Procurement_Raw!B594</f>
        <v>S006</v>
      </c>
      <c r="C594" t="str">
        <f>Procurement_Raw!C594</f>
        <v>Birmingham Care &amp; Education Centre</v>
      </c>
      <c r="D594" t="str">
        <f>Procurement_Raw!D594</f>
        <v>Midlands</v>
      </c>
      <c r="E594" t="str">
        <f>Procurement_Raw!E594</f>
        <v>NurseLink</v>
      </c>
      <c r="F594" t="str">
        <f>Procurement_Raw!F594</f>
        <v>Agency Labour</v>
      </c>
      <c r="G594" t="str">
        <f>Procurement_Raw!G594</f>
        <v>INV-2025-00593</v>
      </c>
      <c r="H594" s="6">
        <f>Procurement_Raw!H594</f>
        <v>71</v>
      </c>
      <c r="I594" s="7">
        <f>Procurement_Raw!I594</f>
        <v>390.42</v>
      </c>
      <c r="J594" s="7">
        <f>Procurement_Raw!J594</f>
        <v>27719.77</v>
      </c>
      <c r="K594" s="6">
        <f>Procurement_Raw!K594</f>
        <v>30</v>
      </c>
      <c r="L594" t="str">
        <f>Procurement_Raw!L594</f>
        <v>Procurement Portal</v>
      </c>
      <c r="M594" s="8">
        <f>Procurement_Raw!M594</f>
        <v>5543.9539999999997</v>
      </c>
      <c r="N594" s="7">
        <f>Procurement_Raw!N594</f>
        <v>27719.77</v>
      </c>
      <c r="O594" s="7">
        <f t="shared" si="18"/>
        <v>27719.77</v>
      </c>
      <c r="P594" t="str">
        <f>IFERROR(INDEX(Supplier_Lookup!$B$2:$B$200,MATCH(E594,Supplier_Lookup!$A$2:$A$200,0)),"Unmapped")</f>
        <v>Agency Labour</v>
      </c>
      <c r="Q594" s="10">
        <f>IFERROR(INDEX(Category_Targets!$B$2:$B$9,MATCH(F594,Category_Targets!$A$2:$A$9,0)),0)</f>
        <v>7.0000000000000007E-2</v>
      </c>
      <c r="R594" s="7">
        <f t="shared" si="19"/>
        <v>1940.3839000000003</v>
      </c>
    </row>
    <row r="595" spans="1:18" x14ac:dyDescent="0.25">
      <c r="A595" s="5">
        <f>Procurement_Raw!A595</f>
        <v>46009</v>
      </c>
      <c r="B595" t="str">
        <f>Procurement_Raw!B595</f>
        <v>S005</v>
      </c>
      <c r="C595" t="str">
        <f>Procurement_Raw!C595</f>
        <v>Sheffield Care &amp; Education Centre</v>
      </c>
      <c r="D595" t="str">
        <f>Procurement_Raw!D595</f>
        <v>North</v>
      </c>
      <c r="E595" t="str">
        <f>Procurement_Raw!E595</f>
        <v>NurseLink</v>
      </c>
      <c r="F595" t="str">
        <f>Procurement_Raw!F595</f>
        <v>Agency Labour</v>
      </c>
      <c r="G595" t="str">
        <f>Procurement_Raw!G595</f>
        <v>INV-2025-00594</v>
      </c>
      <c r="H595" s="6">
        <f>Procurement_Raw!H595</f>
        <v>61</v>
      </c>
      <c r="I595" s="7">
        <f>Procurement_Raw!I595</f>
        <v>360.43</v>
      </c>
      <c r="J595" s="7">
        <f>Procurement_Raw!J595</f>
        <v>21986.21</v>
      </c>
      <c r="K595" s="6">
        <f>Procurement_Raw!K595</f>
        <v>60</v>
      </c>
      <c r="L595" t="str">
        <f>Procurement_Raw!L595</f>
        <v>ERP</v>
      </c>
      <c r="M595" s="8">
        <f>Procurement_Raw!M595</f>
        <v>4397.2420000000002</v>
      </c>
      <c r="N595" s="7">
        <f>Procurement_Raw!N595</f>
        <v>21986.21</v>
      </c>
      <c r="O595" s="7">
        <f t="shared" si="18"/>
        <v>21986.21</v>
      </c>
      <c r="P595" t="str">
        <f>IFERROR(INDEX(Supplier_Lookup!$B$2:$B$200,MATCH(E595,Supplier_Lookup!$A$2:$A$200,0)),"Unmapped")</f>
        <v>Agency Labour</v>
      </c>
      <c r="Q595" s="10">
        <f>IFERROR(INDEX(Category_Targets!$B$2:$B$9,MATCH(F595,Category_Targets!$A$2:$A$9,0)),0)</f>
        <v>7.0000000000000007E-2</v>
      </c>
      <c r="R595" s="7">
        <f t="shared" si="19"/>
        <v>1539.0347000000002</v>
      </c>
    </row>
    <row r="596" spans="1:18" x14ac:dyDescent="0.25">
      <c r="A596" s="5">
        <f>Procurement_Raw!A596</f>
        <v>45860</v>
      </c>
      <c r="B596" t="str">
        <f>Procurement_Raw!B596</f>
        <v>S018</v>
      </c>
      <c r="C596" t="str">
        <f>Procurement_Raw!C596</f>
        <v>Newport Care &amp; Education Centre</v>
      </c>
      <c r="D596" t="str">
        <f>Procurement_Raw!D596</f>
        <v>Wales</v>
      </c>
      <c r="E596" t="str">
        <f>Procurement_Raw!E596</f>
        <v>CloudLink</v>
      </c>
      <c r="F596" t="str">
        <f>Procurement_Raw!F596</f>
        <v>IT &amp; Telecoms</v>
      </c>
      <c r="G596" t="str">
        <f>Procurement_Raw!G596</f>
        <v>INV-2025-00595</v>
      </c>
      <c r="H596" s="6">
        <f>Procurement_Raw!H596</f>
        <v>5</v>
      </c>
      <c r="I596" s="7">
        <f>Procurement_Raw!I596</f>
        <v>389.27</v>
      </c>
      <c r="J596" s="7">
        <f>Procurement_Raw!J596</f>
        <v>1946.35</v>
      </c>
      <c r="K596" s="6">
        <f>Procurement_Raw!K596</f>
        <v>60</v>
      </c>
      <c r="L596" t="str">
        <f>Procurement_Raw!L596</f>
        <v>Legacy Spend File</v>
      </c>
      <c r="M596" s="8">
        <f>Procurement_Raw!M596</f>
        <v>389.27</v>
      </c>
      <c r="N596" s="7">
        <f>Procurement_Raw!N596</f>
        <v>1946.35</v>
      </c>
      <c r="O596" s="7">
        <f t="shared" si="18"/>
        <v>1946.35</v>
      </c>
      <c r="P596" t="str">
        <f>IFERROR(INDEX(Supplier_Lookup!$B$2:$B$200,MATCH(E596,Supplier_Lookup!$A$2:$A$200,0)),"Unmapped")</f>
        <v>medical supplies</v>
      </c>
      <c r="Q596" s="10">
        <f>IFERROR(INDEX(Category_Targets!$B$2:$B$9,MATCH(F596,Category_Targets!$A$2:$A$9,0)),0)</f>
        <v>0.08</v>
      </c>
      <c r="R596" s="7">
        <f t="shared" si="19"/>
        <v>155.708</v>
      </c>
    </row>
    <row r="597" spans="1:18" x14ac:dyDescent="0.25">
      <c r="A597" s="5">
        <f>Procurement_Raw!A597</f>
        <v>45887</v>
      </c>
      <c r="B597" t="str">
        <f>Procurement_Raw!B597</f>
        <v>S009</v>
      </c>
      <c r="C597" t="str">
        <f>Procurement_Raw!C597</f>
        <v>Derby Care &amp; Education Centre</v>
      </c>
      <c r="D597" t="str">
        <f>Procurement_Raw!D597</f>
        <v>Midlands</v>
      </c>
      <c r="E597" t="str">
        <f>Procurement_Raw!E597</f>
        <v>CleanWorks</v>
      </c>
      <c r="F597" t="str">
        <f>Procurement_Raw!F597</f>
        <v>Facilities</v>
      </c>
      <c r="G597" t="str">
        <f>Procurement_Raw!G597</f>
        <v>INV-2025-00596</v>
      </c>
      <c r="H597" s="6">
        <f>Procurement_Raw!H597</f>
        <v>23</v>
      </c>
      <c r="I597" s="7">
        <f>Procurement_Raw!I597</f>
        <v>135.97</v>
      </c>
      <c r="J597" s="7">
        <f>Procurement_Raw!J597</f>
        <v>3127.35</v>
      </c>
      <c r="K597" s="6">
        <f>Procurement_Raw!K597</f>
        <v>30</v>
      </c>
      <c r="L597" t="str">
        <f>Procurement_Raw!L597</f>
        <v>ERP</v>
      </c>
      <c r="M597" s="8">
        <f>Procurement_Raw!M597</f>
        <v>625.47</v>
      </c>
      <c r="N597" s="7">
        <f>Procurement_Raw!N597</f>
        <v>3127.35</v>
      </c>
      <c r="O597" s="7">
        <f t="shared" si="18"/>
        <v>3127.35</v>
      </c>
      <c r="P597" t="str">
        <f>IFERROR(INDEX(Supplier_Lookup!$B$2:$B$200,MATCH(E597,Supplier_Lookup!$A$2:$A$200,0)),"Unmapped")</f>
        <v>Facilities</v>
      </c>
      <c r="Q597" s="10">
        <f>IFERROR(INDEX(Category_Targets!$B$2:$B$9,MATCH(F597,Category_Targets!$A$2:$A$9,0)),0)</f>
        <v>0.05</v>
      </c>
      <c r="R597" s="7">
        <f t="shared" si="19"/>
        <v>156.36750000000001</v>
      </c>
    </row>
    <row r="598" spans="1:18" x14ac:dyDescent="0.25">
      <c r="A598" s="5">
        <f>Procurement_Raw!A598</f>
        <v>45874</v>
      </c>
      <c r="B598" t="str">
        <f>Procurement_Raw!B598</f>
        <v>S020</v>
      </c>
      <c r="C598" t="str">
        <f>Procurement_Raw!C598</f>
        <v>Bangor Care &amp; Education Centre</v>
      </c>
      <c r="D598" t="str">
        <f>Procurement_Raw!D598</f>
        <v>Wales</v>
      </c>
      <c r="E598" t="str">
        <f>Procurement_Raw!E598</f>
        <v>CleanWorks</v>
      </c>
      <c r="F598" t="str">
        <f>Procurement_Raw!F598</f>
        <v>Facilities</v>
      </c>
      <c r="G598" t="str">
        <f>Procurement_Raw!G598</f>
        <v>INV-2025-00597</v>
      </c>
      <c r="H598" s="6">
        <f>Procurement_Raw!H598</f>
        <v>11</v>
      </c>
      <c r="I598" s="7">
        <f>Procurement_Raw!I598</f>
        <v>155.16999999999999</v>
      </c>
      <c r="J598" s="7">
        <f>Procurement_Raw!J598</f>
        <v>1706.88</v>
      </c>
      <c r="K598" s="6">
        <f>Procurement_Raw!K598</f>
        <v>60</v>
      </c>
      <c r="L598" t="str">
        <f>Procurement_Raw!L598</f>
        <v>Procurement Portal</v>
      </c>
      <c r="M598" s="8">
        <f>Procurement_Raw!M598</f>
        <v>341.37599999999998</v>
      </c>
      <c r="N598" s="7">
        <f>Procurement_Raw!N598</f>
        <v>1706.88</v>
      </c>
      <c r="O598" s="7">
        <f t="shared" si="18"/>
        <v>1706.88</v>
      </c>
      <c r="P598" t="str">
        <f>IFERROR(INDEX(Supplier_Lookup!$B$2:$B$200,MATCH(E598,Supplier_Lookup!$A$2:$A$200,0)),"Unmapped")</f>
        <v>Facilities</v>
      </c>
      <c r="Q598" s="10">
        <f>IFERROR(INDEX(Category_Targets!$B$2:$B$9,MATCH(F598,Category_Targets!$A$2:$A$9,0)),0)</f>
        <v>0.05</v>
      </c>
      <c r="R598" s="7">
        <f t="shared" si="19"/>
        <v>85.344000000000008</v>
      </c>
    </row>
    <row r="599" spans="1:18" x14ac:dyDescent="0.25">
      <c r="A599" s="5">
        <f>Procurement_Raw!A599</f>
        <v>45790</v>
      </c>
      <c r="B599" t="str">
        <f>Procurement_Raw!B599</f>
        <v>S008</v>
      </c>
      <c r="C599" t="str">
        <f>Procurement_Raw!C599</f>
        <v>Leicester Care &amp; Education Centre</v>
      </c>
      <c r="D599" t="str">
        <f>Procurement_Raw!D599</f>
        <v>Midlands</v>
      </c>
      <c r="E599" t="str">
        <f>Procurement_Raw!E599</f>
        <v>BuildCare</v>
      </c>
      <c r="F599" t="str">
        <f>Procurement_Raw!F599</f>
        <v>Facilities</v>
      </c>
      <c r="G599" t="str">
        <f>Procurement_Raw!G599</f>
        <v>INV-2025-00598</v>
      </c>
      <c r="H599" s="6">
        <f>Procurement_Raw!H599</f>
        <v>41</v>
      </c>
      <c r="I599" s="7">
        <f>Procurement_Raw!I599</f>
        <v>105.07</v>
      </c>
      <c r="J599" s="7">
        <f>Procurement_Raw!J599</f>
        <v>4307.91</v>
      </c>
      <c r="K599" s="6">
        <f>Procurement_Raw!K599</f>
        <v>60</v>
      </c>
      <c r="L599" t="str">
        <f>Procurement_Raw!L599</f>
        <v>ERP</v>
      </c>
      <c r="M599" s="8">
        <f>Procurement_Raw!M599</f>
        <v>861.58199999999999</v>
      </c>
      <c r="N599" s="7">
        <f>Procurement_Raw!N599</f>
        <v>4307.91</v>
      </c>
      <c r="O599" s="7">
        <f t="shared" si="18"/>
        <v>4307.91</v>
      </c>
      <c r="P599" t="str">
        <f>IFERROR(INDEX(Supplier_Lookup!$B$2:$B$200,MATCH(E599,Supplier_Lookup!$A$2:$A$200,0)),"Unmapped")</f>
        <v>Facilities</v>
      </c>
      <c r="Q599" s="10">
        <f>IFERROR(INDEX(Category_Targets!$B$2:$B$9,MATCH(F599,Category_Targets!$A$2:$A$9,0)),0)</f>
        <v>0.05</v>
      </c>
      <c r="R599" s="7">
        <f t="shared" si="19"/>
        <v>215.3955</v>
      </c>
    </row>
    <row r="600" spans="1:18" x14ac:dyDescent="0.25">
      <c r="A600" s="5">
        <f>Procurement_Raw!A600</f>
        <v>45861</v>
      </c>
      <c r="B600" t="str">
        <f>Procurement_Raw!B600</f>
        <v>S008</v>
      </c>
      <c r="C600" t="str">
        <f>Procurement_Raw!C600</f>
        <v>Leicester Care &amp; Education Centre</v>
      </c>
      <c r="D600" t="str">
        <f>Procurement_Raw!D600</f>
        <v>Midlands</v>
      </c>
      <c r="E600" t="str">
        <f>Procurement_Raw!E600</f>
        <v>NurseLink</v>
      </c>
      <c r="F600" t="str">
        <f>Procurement_Raw!F600</f>
        <v>Agency Labour</v>
      </c>
      <c r="G600" t="str">
        <f>Procurement_Raw!G600</f>
        <v>INV-2025-00599</v>
      </c>
      <c r="H600" s="6">
        <f>Procurement_Raw!H600</f>
        <v>71</v>
      </c>
      <c r="I600" s="7">
        <f>Procurement_Raw!I600</f>
        <v>234.96</v>
      </c>
      <c r="J600" s="7">
        <f>Procurement_Raw!J600</f>
        <v>16682.259999999998</v>
      </c>
      <c r="K600" s="6">
        <f>Procurement_Raw!K600</f>
        <v>45</v>
      </c>
      <c r="L600" t="str">
        <f>Procurement_Raw!L600</f>
        <v>Procurement Portal</v>
      </c>
      <c r="M600" s="8">
        <f>Procurement_Raw!M600</f>
        <v>3336.4520000000002</v>
      </c>
      <c r="N600" s="7">
        <f>Procurement_Raw!N600</f>
        <v>16682.259999999998</v>
      </c>
      <c r="O600" s="7">
        <f t="shared" si="18"/>
        <v>16682.259999999998</v>
      </c>
      <c r="P600" t="str">
        <f>IFERROR(INDEX(Supplier_Lookup!$B$2:$B$200,MATCH(E600,Supplier_Lookup!$A$2:$A$200,0)),"Unmapped")</f>
        <v>Agency Labour</v>
      </c>
      <c r="Q600" s="10">
        <f>IFERROR(INDEX(Category_Targets!$B$2:$B$9,MATCH(F600,Category_Targets!$A$2:$A$9,0)),0)</f>
        <v>7.0000000000000007E-2</v>
      </c>
      <c r="R600" s="7">
        <f t="shared" si="19"/>
        <v>1167.7582</v>
      </c>
    </row>
    <row r="601" spans="1:18" x14ac:dyDescent="0.25">
      <c r="A601" s="5">
        <f>Procurement_Raw!A601</f>
        <v>46016</v>
      </c>
      <c r="B601" t="str">
        <f>Procurement_Raw!B601</f>
        <v>S011</v>
      </c>
      <c r="C601" t="str">
        <f>Procurement_Raw!C601</f>
        <v>London Care &amp; Education Centre</v>
      </c>
      <c r="D601" t="str">
        <f>Procurement_Raw!D601</f>
        <v>South</v>
      </c>
      <c r="E601" t="str">
        <f>Procurement_Raw!E601</f>
        <v>OfficePlus</v>
      </c>
      <c r="F601" t="str">
        <f>Procurement_Raw!F601</f>
        <v>Office &amp; Training</v>
      </c>
      <c r="G601" t="str">
        <f>Procurement_Raw!G601</f>
        <v>INV-2025-00600</v>
      </c>
      <c r="H601" s="6">
        <f>Procurement_Raw!H601</f>
        <v>80</v>
      </c>
      <c r="I601" s="7">
        <f>Procurement_Raw!I601</f>
        <v>92.3</v>
      </c>
      <c r="J601" s="7">
        <f>Procurement_Raw!J601</f>
        <v>7383.7</v>
      </c>
      <c r="K601" s="6">
        <f>Procurement_Raw!K601</f>
        <v>60</v>
      </c>
      <c r="L601" t="str">
        <f>Procurement_Raw!L601</f>
        <v>Legacy Spend File</v>
      </c>
      <c r="M601" s="8">
        <f>Procurement_Raw!M601</f>
        <v>1476.74</v>
      </c>
      <c r="N601" s="7">
        <f>Procurement_Raw!N601</f>
        <v>7383.7</v>
      </c>
      <c r="O601" s="7">
        <f t="shared" si="18"/>
        <v>7383.7</v>
      </c>
      <c r="P601" t="str">
        <f>IFERROR(INDEX(Supplier_Lookup!$B$2:$B$200,MATCH(E601,Supplier_Lookup!$A$2:$A$200,0)),"Unmapped")</f>
        <v>Office &amp; Training</v>
      </c>
      <c r="Q601" s="10">
        <f>IFERROR(INDEX(Category_Targets!$B$2:$B$9,MATCH(F601,Category_Targets!$A$2:$A$9,0)),0)</f>
        <v>0.04</v>
      </c>
      <c r="R601" s="7">
        <f t="shared" si="19"/>
        <v>295.34800000000001</v>
      </c>
    </row>
    <row r="602" spans="1:18" x14ac:dyDescent="0.25">
      <c r="A602" s="5">
        <f>Procurement_Raw!A602</f>
        <v>45734</v>
      </c>
      <c r="B602" t="str">
        <f>Procurement_Raw!B602</f>
        <v>S015</v>
      </c>
      <c r="C602" t="str">
        <f>Procurement_Raw!C602</f>
        <v>Brighton Care &amp; Education Centre</v>
      </c>
      <c r="D602" t="str">
        <f>Procurement_Raw!D602</f>
        <v>South</v>
      </c>
      <c r="E602" t="str">
        <f>Procurement_Raw!E602</f>
        <v>NourishCo</v>
      </c>
      <c r="F602" t="str">
        <f>Procurement_Raw!F602</f>
        <v>Food &amp; Catering</v>
      </c>
      <c r="G602" t="str">
        <f>Procurement_Raw!G602</f>
        <v>INV-2025-00601</v>
      </c>
      <c r="H602" s="6">
        <f>Procurement_Raw!H602</f>
        <v>19</v>
      </c>
      <c r="I602" s="7">
        <f>Procurement_Raw!I602</f>
        <v>98.57</v>
      </c>
      <c r="J602" s="7">
        <f>Procurement_Raw!J602</f>
        <v>1872.76</v>
      </c>
      <c r="K602" s="6">
        <f>Procurement_Raw!K602</f>
        <v>60</v>
      </c>
      <c r="L602" t="str">
        <f>Procurement_Raw!L602</f>
        <v>Legacy Spend File</v>
      </c>
      <c r="M602" s="8">
        <f>Procurement_Raw!M602</f>
        <v>374.55200000000002</v>
      </c>
      <c r="N602" s="7">
        <f>Procurement_Raw!N602</f>
        <v>1872.76</v>
      </c>
      <c r="O602" s="7">
        <f t="shared" si="18"/>
        <v>1872.76</v>
      </c>
      <c r="P602" t="str">
        <f>IFERROR(INDEX(Supplier_Lookup!$B$2:$B$200,MATCH(E602,Supplier_Lookup!$A$2:$A$200,0)),"Unmapped")</f>
        <v>Food &amp; Catering</v>
      </c>
      <c r="Q602" s="10">
        <f>IFERROR(INDEX(Category_Targets!$B$2:$B$9,MATCH(F602,Category_Targets!$A$2:$A$9,0)),0)</f>
        <v>0.04</v>
      </c>
      <c r="R602" s="7">
        <f t="shared" si="19"/>
        <v>74.910399999999996</v>
      </c>
    </row>
    <row r="603" spans="1:18" x14ac:dyDescent="0.25">
      <c r="A603" s="5">
        <f>Procurement_Raw!A603</f>
        <v>45946</v>
      </c>
      <c r="B603" t="str">
        <f>Procurement_Raw!B603</f>
        <v>S014</v>
      </c>
      <c r="C603" t="str">
        <f>Procurement_Raw!C603</f>
        <v>Southampton Care &amp; Education Centre</v>
      </c>
      <c r="D603" t="str">
        <f>Procurement_Raw!D603</f>
        <v>South</v>
      </c>
      <c r="E603" t="str">
        <f>Procurement_Raw!E603</f>
        <v>FreshServe</v>
      </c>
      <c r="F603" t="str">
        <f>Procurement_Raw!F603</f>
        <v>Food &amp; Catering</v>
      </c>
      <c r="G603" t="str">
        <f>Procurement_Raw!G603</f>
        <v>INV-2025-00602</v>
      </c>
      <c r="H603" s="6">
        <f>Procurement_Raw!H603</f>
        <v>13</v>
      </c>
      <c r="I603" s="7">
        <f>Procurement_Raw!I603</f>
        <v>39.14</v>
      </c>
      <c r="J603" s="7">
        <f>Procurement_Raw!J603</f>
        <v>508.85</v>
      </c>
      <c r="K603" s="6">
        <f>Procurement_Raw!K603</f>
        <v>45</v>
      </c>
      <c r="L603" t="str">
        <f>Procurement_Raw!L603</f>
        <v>Legacy Spend File</v>
      </c>
      <c r="M603" s="8">
        <f>Procurement_Raw!M603</f>
        <v>101.77</v>
      </c>
      <c r="N603" s="7">
        <f>Procurement_Raw!N603</f>
        <v>508.85</v>
      </c>
      <c r="O603" s="7">
        <f t="shared" si="18"/>
        <v>508.85</v>
      </c>
      <c r="P603" t="str">
        <f>IFERROR(INDEX(Supplier_Lookup!$B$2:$B$200,MATCH(E603,Supplier_Lookup!$A$2:$A$200,0)),"Unmapped")</f>
        <v>Food &amp; Catering</v>
      </c>
      <c r="Q603" s="10">
        <f>IFERROR(INDEX(Category_Targets!$B$2:$B$9,MATCH(F603,Category_Targets!$A$2:$A$9,0)),0)</f>
        <v>0.04</v>
      </c>
      <c r="R603" s="7">
        <f t="shared" si="19"/>
        <v>20.354000000000003</v>
      </c>
    </row>
    <row r="604" spans="1:18" x14ac:dyDescent="0.25">
      <c r="A604" s="5">
        <f>Procurement_Raw!A604</f>
        <v>45854</v>
      </c>
      <c r="B604" t="str">
        <f>Procurement_Raw!B604</f>
        <v>S004</v>
      </c>
      <c r="C604" t="str">
        <f>Procurement_Raw!C604</f>
        <v>Newcastle Care &amp; Education Centre</v>
      </c>
      <c r="D604" t="str">
        <f>Procurement_Raw!D604</f>
        <v>North</v>
      </c>
      <c r="E604" t="str">
        <f>Procurement_Raw!E604</f>
        <v>CareTemps</v>
      </c>
      <c r="F604" t="str">
        <f>Procurement_Raw!F604</f>
        <v>Agency Labour</v>
      </c>
      <c r="G604" t="str">
        <f>Procurement_Raw!G604</f>
        <v>INV-2025-00603</v>
      </c>
      <c r="H604" s="6">
        <f>Procurement_Raw!H604</f>
        <v>63</v>
      </c>
      <c r="I604" s="7">
        <f>Procurement_Raw!I604</f>
        <v>483.99</v>
      </c>
      <c r="J604" s="7">
        <f>Procurement_Raw!J604</f>
        <v>30491.42</v>
      </c>
      <c r="K604" s="6">
        <f>Procurement_Raw!K604</f>
        <v>60</v>
      </c>
      <c r="L604" t="str">
        <f>Procurement_Raw!L604</f>
        <v>Legacy Spend File</v>
      </c>
      <c r="M604" s="8">
        <f>Procurement_Raw!M604</f>
        <v>6098.2839999999997</v>
      </c>
      <c r="N604" s="7">
        <f>Procurement_Raw!N604</f>
        <v>30491.42</v>
      </c>
      <c r="O604" s="7">
        <f t="shared" si="18"/>
        <v>30491.42</v>
      </c>
      <c r="P604" t="str">
        <f>IFERROR(INDEX(Supplier_Lookup!$B$2:$B$200,MATCH(E604,Supplier_Lookup!$A$2:$A$200,0)),"Unmapped")</f>
        <v>Agency Labour</v>
      </c>
      <c r="Q604" s="10">
        <f>IFERROR(INDEX(Category_Targets!$B$2:$B$9,MATCH(F604,Category_Targets!$A$2:$A$9,0)),0)</f>
        <v>7.0000000000000007E-2</v>
      </c>
      <c r="R604" s="7">
        <f t="shared" si="19"/>
        <v>2134.3994000000002</v>
      </c>
    </row>
    <row r="605" spans="1:18" x14ac:dyDescent="0.25">
      <c r="A605" s="5">
        <f>Procurement_Raw!A605</f>
        <v>45799</v>
      </c>
      <c r="B605" t="str">
        <f>Procurement_Raw!B605</f>
        <v>S016</v>
      </c>
      <c r="C605" t="str">
        <f>Procurement_Raw!C605</f>
        <v>Cardiff Care &amp; Education Centre</v>
      </c>
      <c r="D605" t="str">
        <f>Procurement_Raw!D605</f>
        <v>Wales</v>
      </c>
      <c r="E605" t="str">
        <f>Procurement_Raw!E605</f>
        <v>MediSure</v>
      </c>
      <c r="F605" t="str">
        <f>Procurement_Raw!F605</f>
        <v>Medical Supplies</v>
      </c>
      <c r="G605" t="str">
        <f>Procurement_Raw!G605</f>
        <v>INV-2025-00604</v>
      </c>
      <c r="H605" s="6">
        <f>Procurement_Raw!H605</f>
        <v>52</v>
      </c>
      <c r="I605" s="7">
        <f>Procurement_Raw!I605</f>
        <v>252.92</v>
      </c>
      <c r="J605" s="7">
        <f>Procurement_Raw!J605</f>
        <v>13152.09</v>
      </c>
      <c r="K605" s="6">
        <f>Procurement_Raw!K605</f>
        <v>30</v>
      </c>
      <c r="L605" t="str">
        <f>Procurement_Raw!L605</f>
        <v>Legacy Spend File</v>
      </c>
      <c r="M605" s="8">
        <f>Procurement_Raw!M605</f>
        <v>2630.4180000000001</v>
      </c>
      <c r="N605" s="7">
        <f>Procurement_Raw!N605</f>
        <v>13152.09</v>
      </c>
      <c r="O605" s="7">
        <f t="shared" si="18"/>
        <v>13152.09</v>
      </c>
      <c r="P605" t="str">
        <f>IFERROR(INDEX(Supplier_Lookup!$B$2:$B$200,MATCH(E605,Supplier_Lookup!$A$2:$A$200,0)),"Unmapped")</f>
        <v>Medical Supplies</v>
      </c>
      <c r="Q605" s="10">
        <f>IFERROR(INDEX(Category_Targets!$B$2:$B$9,MATCH(F605,Category_Targets!$A$2:$A$9,0)),0)</f>
        <v>0.06</v>
      </c>
      <c r="R605" s="7">
        <f t="shared" si="19"/>
        <v>789.12540000000001</v>
      </c>
    </row>
    <row r="606" spans="1:18" x14ac:dyDescent="0.25">
      <c r="A606" s="5">
        <f>Procurement_Raw!A606</f>
        <v>45860</v>
      </c>
      <c r="B606" t="str">
        <f>Procurement_Raw!B606</f>
        <v>S020</v>
      </c>
      <c r="C606" t="str">
        <f>Procurement_Raw!C606</f>
        <v>Bangor Care &amp; Education Centre</v>
      </c>
      <c r="D606" t="str">
        <f>Procurement_Raw!D606</f>
        <v>Wales</v>
      </c>
      <c r="E606" t="str">
        <f>Procurement_Raw!E606</f>
        <v>HealthStaffing</v>
      </c>
      <c r="F606" t="str">
        <f>Procurement_Raw!F606</f>
        <v>Agency Labour</v>
      </c>
      <c r="G606" t="str">
        <f>Procurement_Raw!G606</f>
        <v>INV-2025-00605</v>
      </c>
      <c r="H606" s="6">
        <f>Procurement_Raw!H606</f>
        <v>43</v>
      </c>
      <c r="I606" s="7">
        <f>Procurement_Raw!I606</f>
        <v>376.6</v>
      </c>
      <c r="J606" s="7">
        <f>Procurement_Raw!J606</f>
        <v>16193.61</v>
      </c>
      <c r="K606" s="6">
        <f>Procurement_Raw!K606</f>
        <v>60</v>
      </c>
      <c r="L606" t="str">
        <f>Procurement_Raw!L606</f>
        <v>ERP</v>
      </c>
      <c r="M606" s="8">
        <f>Procurement_Raw!M606</f>
        <v>3238.7220000000002</v>
      </c>
      <c r="N606" s="7">
        <f>Procurement_Raw!N606</f>
        <v>16193.61</v>
      </c>
      <c r="O606" s="7">
        <f t="shared" si="18"/>
        <v>16193.61</v>
      </c>
      <c r="P606" t="str">
        <f>IFERROR(INDEX(Supplier_Lookup!$B$2:$B$200,MATCH(E606,Supplier_Lookup!$A$2:$A$200,0)),"Unmapped")</f>
        <v>Agency Labour</v>
      </c>
      <c r="Q606" s="10">
        <f>IFERROR(INDEX(Category_Targets!$B$2:$B$9,MATCH(F606,Category_Targets!$A$2:$A$9,0)),0)</f>
        <v>7.0000000000000007E-2</v>
      </c>
      <c r="R606" s="7">
        <f t="shared" si="19"/>
        <v>1133.5527000000002</v>
      </c>
    </row>
    <row r="607" spans="1:18" x14ac:dyDescent="0.25">
      <c r="A607" s="5">
        <f>Procurement_Raw!A607</f>
        <v>45848</v>
      </c>
      <c r="B607" t="str">
        <f>Procurement_Raw!B607</f>
        <v>S012</v>
      </c>
      <c r="C607" t="str">
        <f>Procurement_Raw!C607</f>
        <v>Bristol Care &amp; Education Centre</v>
      </c>
      <c r="D607" t="str">
        <f>Procurement_Raw!D607</f>
        <v>South</v>
      </c>
      <c r="E607" t="str">
        <f>Procurement_Raw!E607</f>
        <v>LearnWell</v>
      </c>
      <c r="F607" t="str">
        <f>Procurement_Raw!F607</f>
        <v>Office &amp; Training</v>
      </c>
      <c r="G607" t="str">
        <f>Procurement_Raw!G607</f>
        <v>INV-2025-00606</v>
      </c>
      <c r="H607" s="6">
        <f>Procurement_Raw!H607</f>
        <v>3</v>
      </c>
      <c r="I607" s="7">
        <f>Procurement_Raw!I607</f>
        <v>210.55</v>
      </c>
      <c r="J607" s="7">
        <f>Procurement_Raw!J607</f>
        <v>631.65</v>
      </c>
      <c r="K607" s="6">
        <f>Procurement_Raw!K607</f>
        <v>45</v>
      </c>
      <c r="L607" t="str">
        <f>Procurement_Raw!L607</f>
        <v>Procurement Portal</v>
      </c>
      <c r="M607" s="8">
        <f>Procurement_Raw!M607</f>
        <v>126.33</v>
      </c>
      <c r="N607" s="7">
        <f>Procurement_Raw!N607</f>
        <v>631.65</v>
      </c>
      <c r="O607" s="7">
        <f t="shared" si="18"/>
        <v>631.65</v>
      </c>
      <c r="P607" t="str">
        <f>IFERROR(INDEX(Supplier_Lookup!$B$2:$B$200,MATCH(E607,Supplier_Lookup!$A$2:$A$200,0)),"Unmapped")</f>
        <v>Office &amp; Training</v>
      </c>
      <c r="Q607" s="10">
        <f>IFERROR(INDEX(Category_Targets!$B$2:$B$9,MATCH(F607,Category_Targets!$A$2:$A$9,0)),0)</f>
        <v>0.04</v>
      </c>
      <c r="R607" s="7">
        <f t="shared" si="19"/>
        <v>25.265999999999998</v>
      </c>
    </row>
    <row r="608" spans="1:18" x14ac:dyDescent="0.25">
      <c r="A608" s="5">
        <f>Procurement_Raw!A608</f>
        <v>46014</v>
      </c>
      <c r="B608" t="str">
        <f>Procurement_Raw!B608</f>
        <v>S006</v>
      </c>
      <c r="C608" t="str">
        <f>Procurement_Raw!C608</f>
        <v>Birmingham Care &amp; Education Centre</v>
      </c>
      <c r="D608" t="str">
        <f>Procurement_Raw!D608</f>
        <v>Midlands</v>
      </c>
      <c r="E608" t="str">
        <f>Procurement_Raw!E608</f>
        <v>TeleCare IT</v>
      </c>
      <c r="F608" t="str">
        <f>Procurement_Raw!F608</f>
        <v>IT &amp; Telecoms</v>
      </c>
      <c r="G608" t="str">
        <f>Procurement_Raw!G608</f>
        <v>INV-2025-00607</v>
      </c>
      <c r="H608" s="6">
        <f>Procurement_Raw!H608</f>
        <v>13</v>
      </c>
      <c r="I608" s="7">
        <f>Procurement_Raw!I608</f>
        <v>143.75</v>
      </c>
      <c r="J608" s="7">
        <f>Procurement_Raw!J608</f>
        <v>1868.69</v>
      </c>
      <c r="K608" s="6">
        <f>Procurement_Raw!K608</f>
        <v>30</v>
      </c>
      <c r="L608" t="str">
        <f>Procurement_Raw!L608</f>
        <v>ERP</v>
      </c>
      <c r="M608" s="8">
        <f>Procurement_Raw!M608</f>
        <v>373.738</v>
      </c>
      <c r="N608" s="7">
        <f>Procurement_Raw!N608</f>
        <v>1868.69</v>
      </c>
      <c r="O608" s="7">
        <f t="shared" si="18"/>
        <v>1868.69</v>
      </c>
      <c r="P608" t="str">
        <f>IFERROR(INDEX(Supplier_Lookup!$B$2:$B$200,MATCH(E608,Supplier_Lookup!$A$2:$A$200,0)),"Unmapped")</f>
        <v>IT &amp; Telecoms</v>
      </c>
      <c r="Q608" s="10">
        <f>IFERROR(INDEX(Category_Targets!$B$2:$B$9,MATCH(F608,Category_Targets!$A$2:$A$9,0)),0)</f>
        <v>0.08</v>
      </c>
      <c r="R608" s="7">
        <f t="shared" si="19"/>
        <v>149.49520000000001</v>
      </c>
    </row>
    <row r="609" spans="1:18" x14ac:dyDescent="0.25">
      <c r="A609" s="5">
        <f>Procurement_Raw!A609</f>
        <v>45795</v>
      </c>
      <c r="B609" t="str">
        <f>Procurement_Raw!B609</f>
        <v>S011</v>
      </c>
      <c r="C609" t="str">
        <f>Procurement_Raw!C609</f>
        <v>London Care &amp; Education Centre</v>
      </c>
      <c r="D609" t="str">
        <f>Procurement_Raw!D609</f>
        <v>South</v>
      </c>
      <c r="E609" t="str">
        <f>Procurement_Raw!E609</f>
        <v>LearnWell</v>
      </c>
      <c r="F609" t="str">
        <f>Procurement_Raw!F609</f>
        <v>Office &amp; Training</v>
      </c>
      <c r="G609" t="str">
        <f>Procurement_Raw!G609</f>
        <v>INV-2025-00608</v>
      </c>
      <c r="H609" s="6">
        <f>Procurement_Raw!H609</f>
        <v>54</v>
      </c>
      <c r="I609" s="7">
        <f>Procurement_Raw!I609</f>
        <v>37.82</v>
      </c>
      <c r="J609" s="7">
        <f>Procurement_Raw!J609</f>
        <v>2042.46</v>
      </c>
      <c r="K609" s="6">
        <f>Procurement_Raw!K609</f>
        <v>60</v>
      </c>
      <c r="L609" t="str">
        <f>Procurement_Raw!L609</f>
        <v>Legacy Spend File</v>
      </c>
      <c r="M609" s="8">
        <f>Procurement_Raw!M609</f>
        <v>408.49200000000002</v>
      </c>
      <c r="N609" s="7">
        <f>Procurement_Raw!N609</f>
        <v>2042.46</v>
      </c>
      <c r="O609" s="7">
        <f t="shared" si="18"/>
        <v>2042.46</v>
      </c>
      <c r="P609" t="str">
        <f>IFERROR(INDEX(Supplier_Lookup!$B$2:$B$200,MATCH(E609,Supplier_Lookup!$A$2:$A$200,0)),"Unmapped")</f>
        <v>Office &amp; Training</v>
      </c>
      <c r="Q609" s="10">
        <f>IFERROR(INDEX(Category_Targets!$B$2:$B$9,MATCH(F609,Category_Targets!$A$2:$A$9,0)),0)</f>
        <v>0.04</v>
      </c>
      <c r="R609" s="7">
        <f t="shared" si="19"/>
        <v>81.698400000000007</v>
      </c>
    </row>
    <row r="610" spans="1:18" x14ac:dyDescent="0.25">
      <c r="A610" s="5">
        <f>Procurement_Raw!A610</f>
        <v>45766</v>
      </c>
      <c r="B610" t="str">
        <f>Procurement_Raw!B610</f>
        <v>S007</v>
      </c>
      <c r="C610" t="str">
        <f>Procurement_Raw!C610</f>
        <v>Nottingham Care &amp; Education Centre</v>
      </c>
      <c r="D610" t="str">
        <f>Procurement_Raw!D610</f>
        <v>Midlands</v>
      </c>
      <c r="E610" t="str">
        <f>Procurement_Raw!E610</f>
        <v>WaterGrid</v>
      </c>
      <c r="F610" t="str">
        <f>Procurement_Raw!F610</f>
        <v>Utilities</v>
      </c>
      <c r="G610" t="str">
        <f>Procurement_Raw!G610</f>
        <v>INV-2025-00609</v>
      </c>
      <c r="H610" s="6">
        <f>Procurement_Raw!H610</f>
        <v>53</v>
      </c>
      <c r="I610" s="7">
        <f>Procurement_Raw!I610</f>
        <v>93.99</v>
      </c>
      <c r="J610" s="7">
        <f>Procurement_Raw!J610</f>
        <v>4981.3500000000004</v>
      </c>
      <c r="K610" s="6">
        <f>Procurement_Raw!K610</f>
        <v>60</v>
      </c>
      <c r="L610" t="str">
        <f>Procurement_Raw!L610</f>
        <v>Procurement Portal</v>
      </c>
      <c r="M610" s="8">
        <f>Procurement_Raw!M610</f>
        <v>996.27</v>
      </c>
      <c r="N610" s="7">
        <f>Procurement_Raw!N610</f>
        <v>4981.3500000000004</v>
      </c>
      <c r="O610" s="7">
        <f t="shared" si="18"/>
        <v>4981.3500000000004</v>
      </c>
      <c r="P610" t="str">
        <f>IFERROR(INDEX(Supplier_Lookup!$B$2:$B$200,MATCH(E610,Supplier_Lookup!$A$2:$A$200,0)),"Unmapped")</f>
        <v>Utilities</v>
      </c>
      <c r="Q610" s="10">
        <f>IFERROR(INDEX(Category_Targets!$B$2:$B$9,MATCH(F610,Category_Targets!$A$2:$A$9,0)),0)</f>
        <v>0.03</v>
      </c>
      <c r="R610" s="7">
        <f t="shared" si="19"/>
        <v>149.44050000000001</v>
      </c>
    </row>
    <row r="611" spans="1:18" x14ac:dyDescent="0.25">
      <c r="A611" s="5">
        <f>Procurement_Raw!A611</f>
        <v>45921</v>
      </c>
      <c r="B611" t="str">
        <f>Procurement_Raw!B611</f>
        <v>S019</v>
      </c>
      <c r="C611" t="str">
        <f>Procurement_Raw!C611</f>
        <v>Wrexham Care &amp; Education Centre</v>
      </c>
      <c r="D611" t="str">
        <f>Procurement_Raw!D611</f>
        <v>Wales</v>
      </c>
      <c r="E611" t="str">
        <f>Procurement_Raw!E611</f>
        <v>FleetFuel</v>
      </c>
      <c r="F611" t="str">
        <f>Procurement_Raw!F611</f>
        <v>Vehicle &amp; Fuel</v>
      </c>
      <c r="G611" t="str">
        <f>Procurement_Raw!G611</f>
        <v>INV-2025-00610</v>
      </c>
      <c r="H611" s="6">
        <f>Procurement_Raw!H611</f>
        <v>21</v>
      </c>
      <c r="I611" s="7">
        <f>Procurement_Raw!I611</f>
        <v>216.31</v>
      </c>
      <c r="J611" s="7">
        <f>Procurement_Raw!J611</f>
        <v>4542.46</v>
      </c>
      <c r="K611" s="6">
        <f>Procurement_Raw!K611</f>
        <v>30</v>
      </c>
      <c r="L611" t="str">
        <f>Procurement_Raw!L611</f>
        <v>Procurement Portal</v>
      </c>
      <c r="M611" s="8">
        <f>Procurement_Raw!M611</f>
        <v>908.49199999999996</v>
      </c>
      <c r="N611" s="7">
        <f>Procurement_Raw!N611</f>
        <v>4542.46</v>
      </c>
      <c r="O611" s="7">
        <f t="shared" si="18"/>
        <v>4542.46</v>
      </c>
      <c r="P611" t="str">
        <f>IFERROR(INDEX(Supplier_Lookup!$B$2:$B$200,MATCH(E611,Supplier_Lookup!$A$2:$A$200,0)),"Unmapped")</f>
        <v>Vehicle &amp; Fuel</v>
      </c>
      <c r="Q611" s="10">
        <f>IFERROR(INDEX(Category_Targets!$B$2:$B$9,MATCH(F611,Category_Targets!$A$2:$A$9,0)),0)</f>
        <v>0.05</v>
      </c>
      <c r="R611" s="7">
        <f t="shared" si="19"/>
        <v>227.12300000000002</v>
      </c>
    </row>
    <row r="612" spans="1:18" x14ac:dyDescent="0.25">
      <c r="A612" s="5">
        <f>Procurement_Raw!A612</f>
        <v>45926</v>
      </c>
      <c r="B612" t="str">
        <f>Procurement_Raw!B612</f>
        <v>S020</v>
      </c>
      <c r="C612" t="str">
        <f>Procurement_Raw!C612</f>
        <v>Bangor Care &amp; Education Centre</v>
      </c>
      <c r="D612" t="str">
        <f>Procurement_Raw!D612</f>
        <v>Wales</v>
      </c>
      <c r="E612" t="str">
        <f>Procurement_Raw!E612</f>
        <v>HealthStaffing</v>
      </c>
      <c r="F612" t="str">
        <f>Procurement_Raw!F612</f>
        <v>Agency Labour</v>
      </c>
      <c r="G612" t="str">
        <f>Procurement_Raw!G612</f>
        <v>INV-2025-00611</v>
      </c>
      <c r="H612" s="6">
        <f>Procurement_Raw!H612</f>
        <v>73</v>
      </c>
      <c r="I612" s="7">
        <f>Procurement_Raw!I612</f>
        <v>429.96</v>
      </c>
      <c r="J612" s="7">
        <f>Procurement_Raw!J612</f>
        <v>31386.81</v>
      </c>
      <c r="K612" s="6">
        <f>Procurement_Raw!K612</f>
        <v>30</v>
      </c>
      <c r="L612" t="str">
        <f>Procurement_Raw!L612</f>
        <v>ERP</v>
      </c>
      <c r="M612" s="8">
        <f>Procurement_Raw!M612</f>
        <v>6277.3620000000001</v>
      </c>
      <c r="N612" s="7">
        <f>Procurement_Raw!N612</f>
        <v>31386.81</v>
      </c>
      <c r="O612" s="7">
        <f t="shared" si="18"/>
        <v>31386.81</v>
      </c>
      <c r="P612" t="str">
        <f>IFERROR(INDEX(Supplier_Lookup!$B$2:$B$200,MATCH(E612,Supplier_Lookup!$A$2:$A$200,0)),"Unmapped")</f>
        <v>Agency Labour</v>
      </c>
      <c r="Q612" s="10">
        <f>IFERROR(INDEX(Category_Targets!$B$2:$B$9,MATCH(F612,Category_Targets!$A$2:$A$9,0)),0)</f>
        <v>7.0000000000000007E-2</v>
      </c>
      <c r="R612" s="7">
        <f t="shared" si="19"/>
        <v>2197.0767000000005</v>
      </c>
    </row>
    <row r="613" spans="1:18" x14ac:dyDescent="0.25">
      <c r="A613" s="5">
        <f>Procurement_Raw!A613</f>
        <v>45785</v>
      </c>
      <c r="B613" t="str">
        <f>Procurement_Raw!B613</f>
        <v>S003</v>
      </c>
      <c r="C613" t="str">
        <f>Procurement_Raw!C613</f>
        <v>Leeds Care &amp; Education Centre</v>
      </c>
      <c r="D613" t="str">
        <f>Procurement_Raw!D613</f>
        <v>North</v>
      </c>
      <c r="E613" t="str">
        <f>Procurement_Raw!E613</f>
        <v>UK Energy Partners</v>
      </c>
      <c r="F613" t="str">
        <f>Procurement_Raw!F613</f>
        <v>Utilities</v>
      </c>
      <c r="G613" t="str">
        <f>Procurement_Raw!G613</f>
        <v>INV-2025-00612</v>
      </c>
      <c r="H613" s="6">
        <f>Procurement_Raw!H613</f>
        <v>5</v>
      </c>
      <c r="I613" s="7">
        <f>Procurement_Raw!I613</f>
        <v>242.47</v>
      </c>
      <c r="J613" s="7">
        <f>Procurement_Raw!J613</f>
        <v>1212.3599999999999</v>
      </c>
      <c r="K613" s="6">
        <f>Procurement_Raw!K613</f>
        <v>45</v>
      </c>
      <c r="L613" t="str">
        <f>Procurement_Raw!L613</f>
        <v>ERP</v>
      </c>
      <c r="M613" s="8">
        <f>Procurement_Raw!M613</f>
        <v>242.47200000000001</v>
      </c>
      <c r="N613" s="7">
        <f>Procurement_Raw!N613</f>
        <v>1212.3599999999999</v>
      </c>
      <c r="O613" s="7">
        <f t="shared" si="18"/>
        <v>1212.3599999999999</v>
      </c>
      <c r="P613" t="str">
        <f>IFERROR(INDEX(Supplier_Lookup!$B$2:$B$200,MATCH(E613,Supplier_Lookup!$A$2:$A$200,0)),"Unmapped")</f>
        <v>Utilities</v>
      </c>
      <c r="Q613" s="10">
        <f>IFERROR(INDEX(Category_Targets!$B$2:$B$9,MATCH(F613,Category_Targets!$A$2:$A$9,0)),0)</f>
        <v>0.03</v>
      </c>
      <c r="R613" s="7">
        <f t="shared" si="19"/>
        <v>36.370799999999996</v>
      </c>
    </row>
    <row r="614" spans="1:18" x14ac:dyDescent="0.25">
      <c r="A614" s="5">
        <f>Procurement_Raw!A614</f>
        <v>45846</v>
      </c>
      <c r="B614" t="str">
        <f>Procurement_Raw!B614</f>
        <v>S006</v>
      </c>
      <c r="C614" t="str">
        <f>Procurement_Raw!C614</f>
        <v>Birmingham Care &amp; Education Centre</v>
      </c>
      <c r="D614" t="str">
        <f>Procurement_Raw!D614</f>
        <v>Midlands</v>
      </c>
      <c r="E614" t="str">
        <f>Procurement_Raw!E614</f>
        <v>WaterGrid</v>
      </c>
      <c r="F614" t="str">
        <f>Procurement_Raw!F614</f>
        <v>Utilities</v>
      </c>
      <c r="G614" t="str">
        <f>Procurement_Raw!G614</f>
        <v>INV-2025-00613</v>
      </c>
      <c r="H614" s="6">
        <f>Procurement_Raw!H614</f>
        <v>60</v>
      </c>
      <c r="I614" s="7">
        <f>Procurement_Raw!I614</f>
        <v>291.62</v>
      </c>
      <c r="J614" s="7">
        <f>Procurement_Raw!J614</f>
        <v>17497.060000000001</v>
      </c>
      <c r="K614" s="6">
        <f>Procurement_Raw!K614</f>
        <v>60</v>
      </c>
      <c r="L614" t="str">
        <f>Procurement_Raw!L614</f>
        <v>Procurement Portal</v>
      </c>
      <c r="M614" s="8">
        <f>Procurement_Raw!M614</f>
        <v>3499.4119999999998</v>
      </c>
      <c r="N614" s="7">
        <f>Procurement_Raw!N614</f>
        <v>17497.060000000001</v>
      </c>
      <c r="O614" s="7">
        <f t="shared" si="18"/>
        <v>17497.060000000001</v>
      </c>
      <c r="P614" t="str">
        <f>IFERROR(INDEX(Supplier_Lookup!$B$2:$B$200,MATCH(E614,Supplier_Lookup!$A$2:$A$200,0)),"Unmapped")</f>
        <v>Utilities</v>
      </c>
      <c r="Q614" s="10">
        <f>IFERROR(INDEX(Category_Targets!$B$2:$B$9,MATCH(F614,Category_Targets!$A$2:$A$9,0)),0)</f>
        <v>0.03</v>
      </c>
      <c r="R614" s="7">
        <f t="shared" si="19"/>
        <v>524.91179999999997</v>
      </c>
    </row>
    <row r="615" spans="1:18" x14ac:dyDescent="0.25">
      <c r="A615" s="5">
        <f>Procurement_Raw!A615</f>
        <v>45673</v>
      </c>
      <c r="B615" t="str">
        <f>Procurement_Raw!B615</f>
        <v>S013</v>
      </c>
      <c r="C615" t="str">
        <f>Procurement_Raw!C615</f>
        <v>Reading Care &amp; Education Centre</v>
      </c>
      <c r="D615" t="str">
        <f>Procurement_Raw!D615</f>
        <v>South</v>
      </c>
      <c r="E615" t="str">
        <f>Procurement_Raw!E615</f>
        <v>KitchenPro</v>
      </c>
      <c r="F615" t="str">
        <f>Procurement_Raw!F615</f>
        <v>Food &amp; Catering</v>
      </c>
      <c r="G615" t="str">
        <f>Procurement_Raw!G615</f>
        <v>INV-2025-00614</v>
      </c>
      <c r="H615" s="6">
        <f>Procurement_Raw!H615</f>
        <v>31</v>
      </c>
      <c r="I615" s="7">
        <f>Procurement_Raw!I615</f>
        <v>35</v>
      </c>
      <c r="J615" s="7">
        <f>Procurement_Raw!J615</f>
        <v>1085.02</v>
      </c>
      <c r="K615" s="6">
        <f>Procurement_Raw!K615</f>
        <v>45</v>
      </c>
      <c r="L615" t="str">
        <f>Procurement_Raw!L615</f>
        <v>Procurement Portal</v>
      </c>
      <c r="M615" s="8">
        <f>Procurement_Raw!M615</f>
        <v>217.00399999999999</v>
      </c>
      <c r="N615" s="7">
        <f>Procurement_Raw!N615</f>
        <v>1085.02</v>
      </c>
      <c r="O615" s="7">
        <f t="shared" si="18"/>
        <v>1085.02</v>
      </c>
      <c r="P615" t="str">
        <f>IFERROR(INDEX(Supplier_Lookup!$B$2:$B$200,MATCH(E615,Supplier_Lookup!$A$2:$A$200,0)),"Unmapped")</f>
        <v>Food &amp; Catering</v>
      </c>
      <c r="Q615" s="10">
        <f>IFERROR(INDEX(Category_Targets!$B$2:$B$9,MATCH(F615,Category_Targets!$A$2:$A$9,0)),0)</f>
        <v>0.04</v>
      </c>
      <c r="R615" s="7">
        <f t="shared" si="19"/>
        <v>43.400799999999997</v>
      </c>
    </row>
    <row r="616" spans="1:18" x14ac:dyDescent="0.25">
      <c r="A616" s="5">
        <f>Procurement_Raw!A616</f>
        <v>45900</v>
      </c>
      <c r="B616" t="str">
        <f>Procurement_Raw!B616</f>
        <v>S004</v>
      </c>
      <c r="C616" t="str">
        <f>Procurement_Raw!C616</f>
        <v>Newcastle Care &amp; Education Centre</v>
      </c>
      <c r="D616" t="str">
        <f>Procurement_Raw!D616</f>
        <v>North</v>
      </c>
      <c r="E616" t="str">
        <f>Procurement_Raw!E616</f>
        <v>OfficePlus</v>
      </c>
      <c r="F616" t="str">
        <f>Procurement_Raw!F616</f>
        <v>Office &amp; Training</v>
      </c>
      <c r="G616" t="str">
        <f>Procurement_Raw!G616</f>
        <v>INV-2025-00615</v>
      </c>
      <c r="H616" s="6">
        <f>Procurement_Raw!H616</f>
        <v>76</v>
      </c>
      <c r="I616" s="7">
        <f>Procurement_Raw!I616</f>
        <v>287.91000000000003</v>
      </c>
      <c r="J616" s="7">
        <f>Procurement_Raw!J616</f>
        <v>21881.24</v>
      </c>
      <c r="K616" s="6">
        <f>Procurement_Raw!K616</f>
        <v>60</v>
      </c>
      <c r="L616" t="str">
        <f>Procurement_Raw!L616</f>
        <v>Procurement Portal</v>
      </c>
      <c r="M616" s="8">
        <f>Procurement_Raw!M616</f>
        <v>4376.2479999999996</v>
      </c>
      <c r="N616" s="7">
        <f>Procurement_Raw!N616</f>
        <v>21881.24</v>
      </c>
      <c r="O616" s="7">
        <f t="shared" si="18"/>
        <v>21881.24</v>
      </c>
      <c r="P616" t="str">
        <f>IFERROR(INDEX(Supplier_Lookup!$B$2:$B$200,MATCH(E616,Supplier_Lookup!$A$2:$A$200,0)),"Unmapped")</f>
        <v>Office &amp; Training</v>
      </c>
      <c r="Q616" s="10">
        <f>IFERROR(INDEX(Category_Targets!$B$2:$B$9,MATCH(F616,Category_Targets!$A$2:$A$9,0)),0)</f>
        <v>0.04</v>
      </c>
      <c r="R616" s="7">
        <f t="shared" si="19"/>
        <v>875.2496000000001</v>
      </c>
    </row>
    <row r="617" spans="1:18" x14ac:dyDescent="0.25">
      <c r="A617" s="5">
        <f>Procurement_Raw!A617</f>
        <v>46010</v>
      </c>
      <c r="B617" t="str">
        <f>Procurement_Raw!B617</f>
        <v>S007</v>
      </c>
      <c r="C617" t="str">
        <f>Procurement_Raw!C617</f>
        <v>Nottingham Care &amp; Education Centre</v>
      </c>
      <c r="D617" t="str">
        <f>Procurement_Raw!D617</f>
        <v>Midlands</v>
      </c>
      <c r="E617" t="str">
        <f>Procurement_Raw!E617</f>
        <v>SafeGuard FM</v>
      </c>
      <c r="F617" t="str">
        <f>Procurement_Raw!F617</f>
        <v>Facilities</v>
      </c>
      <c r="G617" t="str">
        <f>Procurement_Raw!G617</f>
        <v>INV-2025-00616</v>
      </c>
      <c r="H617" s="6">
        <f>Procurement_Raw!H617</f>
        <v>12</v>
      </c>
      <c r="I617" s="7">
        <f>Procurement_Raw!I617</f>
        <v>193.26</v>
      </c>
      <c r="J617" s="7">
        <f>Procurement_Raw!J617</f>
        <v>2319.1</v>
      </c>
      <c r="K617" s="6">
        <f>Procurement_Raw!K617</f>
        <v>45</v>
      </c>
      <c r="L617" t="str">
        <f>Procurement_Raw!L617</f>
        <v>ERP</v>
      </c>
      <c r="M617" s="8">
        <f>Procurement_Raw!M617</f>
        <v>463.82</v>
      </c>
      <c r="N617" s="7">
        <f>Procurement_Raw!N617</f>
        <v>2319.1</v>
      </c>
      <c r="O617" s="7">
        <f t="shared" si="18"/>
        <v>2319.1</v>
      </c>
      <c r="P617" t="str">
        <f>IFERROR(INDEX(Supplier_Lookup!$B$2:$B$200,MATCH(E617,Supplier_Lookup!$A$2:$A$200,0)),"Unmapped")</f>
        <v>Facilities</v>
      </c>
      <c r="Q617" s="10">
        <f>IFERROR(INDEX(Category_Targets!$B$2:$B$9,MATCH(F617,Category_Targets!$A$2:$A$9,0)),0)</f>
        <v>0.05</v>
      </c>
      <c r="R617" s="7">
        <f t="shared" si="19"/>
        <v>115.955</v>
      </c>
    </row>
    <row r="618" spans="1:18" x14ac:dyDescent="0.25">
      <c r="A618" s="5">
        <f>Procurement_Raw!A618</f>
        <v>45950</v>
      </c>
      <c r="B618" t="str">
        <f>Procurement_Raw!B618</f>
        <v>S002</v>
      </c>
      <c r="C618" t="str">
        <f>Procurement_Raw!C618</f>
        <v>Manchester Care &amp; Education Centre</v>
      </c>
      <c r="D618" t="str">
        <f>Procurement_Raw!D618</f>
        <v>North</v>
      </c>
      <c r="E618" t="str">
        <f>Procurement_Raw!E618</f>
        <v>MediSure</v>
      </c>
      <c r="F618" t="str">
        <f>Procurement_Raw!F618</f>
        <v>Medical Supplies</v>
      </c>
      <c r="G618" t="str">
        <f>Procurement_Raw!G618</f>
        <v>INV-2025-00617</v>
      </c>
      <c r="H618" s="6">
        <f>Procurement_Raw!H618</f>
        <v>28</v>
      </c>
      <c r="I618" s="7">
        <f>Procurement_Raw!I618</f>
        <v>127.44</v>
      </c>
      <c r="J618" s="7">
        <f>Procurement_Raw!J618</f>
        <v>3568.37</v>
      </c>
      <c r="K618" s="6">
        <f>Procurement_Raw!K618</f>
        <v>30</v>
      </c>
      <c r="L618" t="str">
        <f>Procurement_Raw!L618</f>
        <v>Legacy Spend File</v>
      </c>
      <c r="M618" s="8">
        <f>Procurement_Raw!M618</f>
        <v>713.67399999999998</v>
      </c>
      <c r="N618" s="7">
        <f>Procurement_Raw!N618</f>
        <v>3568.37</v>
      </c>
      <c r="O618" s="7">
        <f t="shared" si="18"/>
        <v>3568.37</v>
      </c>
      <c r="P618" t="str">
        <f>IFERROR(INDEX(Supplier_Lookup!$B$2:$B$200,MATCH(E618,Supplier_Lookup!$A$2:$A$200,0)),"Unmapped")</f>
        <v>Medical Supplies</v>
      </c>
      <c r="Q618" s="10">
        <f>IFERROR(INDEX(Category_Targets!$B$2:$B$9,MATCH(F618,Category_Targets!$A$2:$A$9,0)),0)</f>
        <v>0.06</v>
      </c>
      <c r="R618" s="7">
        <f t="shared" si="19"/>
        <v>214.10219999999998</v>
      </c>
    </row>
    <row r="619" spans="1:18" x14ac:dyDescent="0.25">
      <c r="A619" s="5">
        <f>Procurement_Raw!A619</f>
        <v>45991</v>
      </c>
      <c r="B619" t="str">
        <f>Procurement_Raw!B619</f>
        <v>S004</v>
      </c>
      <c r="C619" t="str">
        <f>Procurement_Raw!C619</f>
        <v>Newcastle Care &amp; Education Centre</v>
      </c>
      <c r="D619" t="str">
        <f>Procurement_Raw!D619</f>
        <v>North</v>
      </c>
      <c r="E619" t="str">
        <f>Procurement_Raw!E619</f>
        <v>WaterGrid</v>
      </c>
      <c r="F619" t="str">
        <f>Procurement_Raw!F619</f>
        <v>Utilities</v>
      </c>
      <c r="G619" t="str">
        <f>Procurement_Raw!G619</f>
        <v>INV-2025-00618</v>
      </c>
      <c r="H619" s="6">
        <f>Procurement_Raw!H619</f>
        <v>53</v>
      </c>
      <c r="I619" s="7">
        <f>Procurement_Raw!I619</f>
        <v>372.65</v>
      </c>
      <c r="J619" s="7">
        <f>Procurement_Raw!J619</f>
        <v>19750.310000000001</v>
      </c>
      <c r="K619" s="6">
        <f>Procurement_Raw!K619</f>
        <v>60</v>
      </c>
      <c r="L619" t="str">
        <f>Procurement_Raw!L619</f>
        <v>ERP</v>
      </c>
      <c r="M619" s="8">
        <f>Procurement_Raw!M619</f>
        <v>3950.0619999999999</v>
      </c>
      <c r="N619" s="7">
        <f>Procurement_Raw!N619</f>
        <v>19750.310000000001</v>
      </c>
      <c r="O619" s="7">
        <f t="shared" si="18"/>
        <v>19750.310000000001</v>
      </c>
      <c r="P619" t="str">
        <f>IFERROR(INDEX(Supplier_Lookup!$B$2:$B$200,MATCH(E619,Supplier_Lookup!$A$2:$A$200,0)),"Unmapped")</f>
        <v>Utilities</v>
      </c>
      <c r="Q619" s="10">
        <f>IFERROR(INDEX(Category_Targets!$B$2:$B$9,MATCH(F619,Category_Targets!$A$2:$A$9,0)),0)</f>
        <v>0.03</v>
      </c>
      <c r="R619" s="7">
        <f t="shared" si="19"/>
        <v>592.50930000000005</v>
      </c>
    </row>
    <row r="620" spans="1:18" x14ac:dyDescent="0.25">
      <c r="A620" s="5">
        <f>Procurement_Raw!A620</f>
        <v>45725</v>
      </c>
      <c r="B620" t="str">
        <f>Procurement_Raw!B620</f>
        <v>S005</v>
      </c>
      <c r="C620" t="str">
        <f>Procurement_Raw!C620</f>
        <v>Sheffield Care &amp; Education Centre</v>
      </c>
      <c r="D620" t="str">
        <f>Procurement_Raw!D620</f>
        <v>North</v>
      </c>
      <c r="E620" t="str">
        <f>Procurement_Raw!E620</f>
        <v>CareMed</v>
      </c>
      <c r="F620" t="str">
        <f>Procurement_Raw!F620</f>
        <v>Medical Supplies</v>
      </c>
      <c r="G620" t="str">
        <f>Procurement_Raw!G620</f>
        <v>INV-2025-00619</v>
      </c>
      <c r="H620" s="6">
        <f>Procurement_Raw!H620</f>
        <v>23</v>
      </c>
      <c r="I620" s="7">
        <f>Procurement_Raw!I620</f>
        <v>156.34</v>
      </c>
      <c r="J620" s="7">
        <f>Procurement_Raw!J620</f>
        <v>3595.87</v>
      </c>
      <c r="K620" s="6">
        <f>Procurement_Raw!K620</f>
        <v>60</v>
      </c>
      <c r="L620" t="str">
        <f>Procurement_Raw!L620</f>
        <v>ERP</v>
      </c>
      <c r="M620" s="8">
        <f>Procurement_Raw!M620</f>
        <v>719.17399999999998</v>
      </c>
      <c r="N620" s="7">
        <f>Procurement_Raw!N620</f>
        <v>3595.87</v>
      </c>
      <c r="O620" s="7">
        <f t="shared" si="18"/>
        <v>3595.87</v>
      </c>
      <c r="P620" t="str">
        <f>IFERROR(INDEX(Supplier_Lookup!$B$2:$B$200,MATCH(E620,Supplier_Lookup!$A$2:$A$200,0)),"Unmapped")</f>
        <v>Medical Supplies</v>
      </c>
      <c r="Q620" s="10">
        <f>IFERROR(INDEX(Category_Targets!$B$2:$B$9,MATCH(F620,Category_Targets!$A$2:$A$9,0)),0)</f>
        <v>0.06</v>
      </c>
      <c r="R620" s="7">
        <f t="shared" si="19"/>
        <v>215.75219999999999</v>
      </c>
    </row>
    <row r="621" spans="1:18" x14ac:dyDescent="0.25">
      <c r="A621" s="5">
        <f>Procurement_Raw!A621</f>
        <v>45814</v>
      </c>
      <c r="B621" t="str">
        <f>Procurement_Raw!B621</f>
        <v>S013</v>
      </c>
      <c r="C621" t="str">
        <f>Procurement_Raw!C621</f>
        <v>Reading Care &amp; Education Centre</v>
      </c>
      <c r="D621" t="str">
        <f>Procurement_Raw!D621</f>
        <v>South</v>
      </c>
      <c r="E621" t="str">
        <f>Procurement_Raw!E621</f>
        <v>NetServe</v>
      </c>
      <c r="F621" t="str">
        <f>Procurement_Raw!F621</f>
        <v>IT &amp; Telecoms</v>
      </c>
      <c r="G621" t="str">
        <f>Procurement_Raw!G621</f>
        <v>INV-2025-00620</v>
      </c>
      <c r="H621" s="6">
        <f>Procurement_Raw!H621</f>
        <v>36</v>
      </c>
      <c r="I621" s="7">
        <f>Procurement_Raw!I621</f>
        <v>248.83</v>
      </c>
      <c r="J621" s="7">
        <f>Procurement_Raw!J621</f>
        <v>8957.82</v>
      </c>
      <c r="K621" s="6">
        <f>Procurement_Raw!K621</f>
        <v>45</v>
      </c>
      <c r="L621" t="str">
        <f>Procurement_Raw!L621</f>
        <v>Procurement Portal</v>
      </c>
      <c r="M621" s="8">
        <f>Procurement_Raw!M621</f>
        <v>1791.5640000000001</v>
      </c>
      <c r="N621" s="7">
        <f>Procurement_Raw!N621</f>
        <v>8957.82</v>
      </c>
      <c r="O621" s="7">
        <f t="shared" si="18"/>
        <v>8957.82</v>
      </c>
      <c r="P621" t="str">
        <f>IFERROR(INDEX(Supplier_Lookup!$B$2:$B$200,MATCH(E621,Supplier_Lookup!$A$2:$A$200,0)),"Unmapped")</f>
        <v>IT &amp; Telecoms</v>
      </c>
      <c r="Q621" s="10">
        <f>IFERROR(INDEX(Category_Targets!$B$2:$B$9,MATCH(F621,Category_Targets!$A$2:$A$9,0)),0)</f>
        <v>0.08</v>
      </c>
      <c r="R621" s="7">
        <f t="shared" si="19"/>
        <v>716.62559999999996</v>
      </c>
    </row>
    <row r="622" spans="1:18" x14ac:dyDescent="0.25">
      <c r="A622" s="5">
        <f>Procurement_Raw!A622</f>
        <v>45769</v>
      </c>
      <c r="B622" t="str">
        <f>Procurement_Raw!B622</f>
        <v>S005</v>
      </c>
      <c r="C622" t="str">
        <f>Procurement_Raw!C622</f>
        <v>Sheffield Care &amp; Education Centre</v>
      </c>
      <c r="D622" t="str">
        <f>Procurement_Raw!D622</f>
        <v>North</v>
      </c>
      <c r="E622" t="str">
        <f>Procurement_Raw!E622</f>
        <v>LearnWell</v>
      </c>
      <c r="F622" t="str">
        <f>Procurement_Raw!F622</f>
        <v>Office &amp; Training</v>
      </c>
      <c r="G622" t="str">
        <f>Procurement_Raw!G622</f>
        <v>INV-2025-00621</v>
      </c>
      <c r="H622" s="6">
        <f>Procurement_Raw!H622</f>
        <v>60</v>
      </c>
      <c r="I622" s="7">
        <f>Procurement_Raw!I622</f>
        <v>48.56</v>
      </c>
      <c r="J622" s="7">
        <f>Procurement_Raw!J622</f>
        <v>2913.39</v>
      </c>
      <c r="K622" s="6">
        <f>Procurement_Raw!K622</f>
        <v>45</v>
      </c>
      <c r="L622" t="str">
        <f>Procurement_Raw!L622</f>
        <v>Legacy Spend File</v>
      </c>
      <c r="M622" s="8">
        <f>Procurement_Raw!M622</f>
        <v>582.678</v>
      </c>
      <c r="N622" s="7">
        <f>Procurement_Raw!N622</f>
        <v>2913.39</v>
      </c>
      <c r="O622" s="7">
        <f t="shared" si="18"/>
        <v>2913.39</v>
      </c>
      <c r="P622" t="str">
        <f>IFERROR(INDEX(Supplier_Lookup!$B$2:$B$200,MATCH(E622,Supplier_Lookup!$A$2:$A$200,0)),"Unmapped")</f>
        <v>Office &amp; Training</v>
      </c>
      <c r="Q622" s="10">
        <f>IFERROR(INDEX(Category_Targets!$B$2:$B$9,MATCH(F622,Category_Targets!$A$2:$A$9,0)),0)</f>
        <v>0.04</v>
      </c>
      <c r="R622" s="7">
        <f t="shared" si="19"/>
        <v>116.5356</v>
      </c>
    </row>
    <row r="623" spans="1:18" x14ac:dyDescent="0.25">
      <c r="A623" s="5">
        <f>Procurement_Raw!A623</f>
        <v>45710</v>
      </c>
      <c r="B623" t="str">
        <f>Procurement_Raw!B623</f>
        <v>S014</v>
      </c>
      <c r="C623" t="str">
        <f>Procurement_Raw!C623</f>
        <v>Southampton Care &amp; Education Centre</v>
      </c>
      <c r="D623" t="str">
        <f>Procurement_Raw!D623</f>
        <v>South</v>
      </c>
      <c r="E623" t="str">
        <f>Procurement_Raw!E623</f>
        <v>NurseLink</v>
      </c>
      <c r="F623" t="str">
        <f>Procurement_Raw!F623</f>
        <v>Agency Labour</v>
      </c>
      <c r="G623" t="str">
        <f>Procurement_Raw!G623</f>
        <v>INV-2025-00622</v>
      </c>
      <c r="H623" s="6">
        <f>Procurement_Raw!H623</f>
        <v>1</v>
      </c>
      <c r="I623" s="7">
        <f>Procurement_Raw!I623</f>
        <v>388.81</v>
      </c>
      <c r="J623" s="7">
        <f>Procurement_Raw!J623</f>
        <v>388.81</v>
      </c>
      <c r="K623" s="6">
        <f>Procurement_Raw!K623</f>
        <v>60</v>
      </c>
      <c r="L623" t="str">
        <f>Procurement_Raw!L623</f>
        <v>Legacy Spend File</v>
      </c>
      <c r="M623" s="8">
        <f>Procurement_Raw!M623</f>
        <v>77.762</v>
      </c>
      <c r="N623" s="7">
        <f>Procurement_Raw!N623</f>
        <v>388.81</v>
      </c>
      <c r="O623" s="7">
        <f t="shared" si="18"/>
        <v>388.81</v>
      </c>
      <c r="P623" t="str">
        <f>IFERROR(INDEX(Supplier_Lookup!$B$2:$B$200,MATCH(E623,Supplier_Lookup!$A$2:$A$200,0)),"Unmapped")</f>
        <v>Agency Labour</v>
      </c>
      <c r="Q623" s="10">
        <f>IFERROR(INDEX(Category_Targets!$B$2:$B$9,MATCH(F623,Category_Targets!$A$2:$A$9,0)),0)</f>
        <v>7.0000000000000007E-2</v>
      </c>
      <c r="R623" s="7">
        <f t="shared" si="19"/>
        <v>27.216700000000003</v>
      </c>
    </row>
    <row r="624" spans="1:18" x14ac:dyDescent="0.25">
      <c r="A624" s="5">
        <f>Procurement_Raw!A624</f>
        <v>46008</v>
      </c>
      <c r="B624" t="str">
        <f>Procurement_Raw!B624</f>
        <v>S015</v>
      </c>
      <c r="C624" t="str">
        <f>Procurement_Raw!C624</f>
        <v>Brighton Care &amp; Education Centre</v>
      </c>
      <c r="D624" t="str">
        <f>Procurement_Raw!D624</f>
        <v>South</v>
      </c>
      <c r="E624" t="str">
        <f>Procurement_Raw!E624</f>
        <v>TeleCare IT</v>
      </c>
      <c r="F624" t="str">
        <f>Procurement_Raw!F624</f>
        <v>IT &amp; Telecoms</v>
      </c>
      <c r="G624" t="str">
        <f>Procurement_Raw!G624</f>
        <v>INV-2025-00623</v>
      </c>
      <c r="H624" s="6">
        <f>Procurement_Raw!H624</f>
        <v>14</v>
      </c>
      <c r="I624" s="7">
        <f>Procurement_Raw!I624</f>
        <v>619.39</v>
      </c>
      <c r="J624" s="7">
        <f>Procurement_Raw!J624</f>
        <v>8671.51</v>
      </c>
      <c r="K624" s="6">
        <f>Procurement_Raw!K624</f>
        <v>45</v>
      </c>
      <c r="L624" t="str">
        <f>Procurement_Raw!L624</f>
        <v>ERP</v>
      </c>
      <c r="M624" s="8">
        <f>Procurement_Raw!M624</f>
        <v>1734.3019999999999</v>
      </c>
      <c r="N624" s="7">
        <f>Procurement_Raw!N624</f>
        <v>8671.51</v>
      </c>
      <c r="O624" s="7">
        <f t="shared" si="18"/>
        <v>8671.51</v>
      </c>
      <c r="P624" t="str">
        <f>IFERROR(INDEX(Supplier_Lookup!$B$2:$B$200,MATCH(E624,Supplier_Lookup!$A$2:$A$200,0)),"Unmapped")</f>
        <v>IT &amp; Telecoms</v>
      </c>
      <c r="Q624" s="10">
        <f>IFERROR(INDEX(Category_Targets!$B$2:$B$9,MATCH(F624,Category_Targets!$A$2:$A$9,0)),0)</f>
        <v>0.08</v>
      </c>
      <c r="R624" s="7">
        <f t="shared" si="19"/>
        <v>693.72080000000005</v>
      </c>
    </row>
    <row r="625" spans="1:18" x14ac:dyDescent="0.25">
      <c r="A625" s="5">
        <f>Procurement_Raw!A625</f>
        <v>45824</v>
      </c>
      <c r="B625" t="str">
        <f>Procurement_Raw!B625</f>
        <v>S016</v>
      </c>
      <c r="C625" t="str">
        <f>Procurement_Raw!C625</f>
        <v>Cardiff Care &amp; Education Centre</v>
      </c>
      <c r="D625" t="str">
        <f>Procurement_Raw!D625</f>
        <v>Wales</v>
      </c>
      <c r="E625" t="str">
        <f>Procurement_Raw!E625</f>
        <v>NetServe</v>
      </c>
      <c r="F625" t="str">
        <f>Procurement_Raw!F625</f>
        <v>IT &amp; Telecoms</v>
      </c>
      <c r="G625" t="str">
        <f>Procurement_Raw!G625</f>
        <v>INV-2025-00624</v>
      </c>
      <c r="H625" s="6">
        <f>Procurement_Raw!H625</f>
        <v>36</v>
      </c>
      <c r="I625" s="7">
        <f>Procurement_Raw!I625</f>
        <v>461.1</v>
      </c>
      <c r="J625" s="7">
        <f>Procurement_Raw!J625</f>
        <v>16599.490000000002</v>
      </c>
      <c r="K625" s="6">
        <f>Procurement_Raw!K625</f>
        <v>45</v>
      </c>
      <c r="L625" t="str">
        <f>Procurement_Raw!L625</f>
        <v>Legacy Spend File</v>
      </c>
      <c r="M625" s="8">
        <f>Procurement_Raw!M625</f>
        <v>3319.8980000000001</v>
      </c>
      <c r="N625" s="7">
        <f>Procurement_Raw!N625</f>
        <v>16599.490000000002</v>
      </c>
      <c r="O625" s="7">
        <f t="shared" si="18"/>
        <v>16599.490000000002</v>
      </c>
      <c r="P625" t="str">
        <f>IFERROR(INDEX(Supplier_Lookup!$B$2:$B$200,MATCH(E625,Supplier_Lookup!$A$2:$A$200,0)),"Unmapped")</f>
        <v>IT &amp; Telecoms</v>
      </c>
      <c r="Q625" s="10">
        <f>IFERROR(INDEX(Category_Targets!$B$2:$B$9,MATCH(F625,Category_Targets!$A$2:$A$9,0)),0)</f>
        <v>0.08</v>
      </c>
      <c r="R625" s="7">
        <f t="shared" si="19"/>
        <v>1327.9592000000002</v>
      </c>
    </row>
    <row r="626" spans="1:18" x14ac:dyDescent="0.25">
      <c r="A626" s="5">
        <f>Procurement_Raw!A626</f>
        <v>45734</v>
      </c>
      <c r="B626" t="str">
        <f>Procurement_Raw!B626</f>
        <v>S008</v>
      </c>
      <c r="C626" t="str">
        <f>Procurement_Raw!C626</f>
        <v>Leicester Care &amp; Education Centre</v>
      </c>
      <c r="D626" t="str">
        <f>Procurement_Raw!D626</f>
        <v>Midlands</v>
      </c>
      <c r="E626" t="str">
        <f>Procurement_Raw!E626</f>
        <v>CloudLink</v>
      </c>
      <c r="F626" t="str">
        <f>Procurement_Raw!F626</f>
        <v>IT &amp; Telecoms</v>
      </c>
      <c r="G626" t="str">
        <f>Procurement_Raw!G626</f>
        <v>INV-2025-00625</v>
      </c>
      <c r="H626" s="6">
        <f>Procurement_Raw!H626</f>
        <v>67</v>
      </c>
      <c r="I626" s="7">
        <f>Procurement_Raw!I626</f>
        <v>528.41</v>
      </c>
      <c r="J626" s="7">
        <f>Procurement_Raw!J626</f>
        <v>35403.74</v>
      </c>
      <c r="K626" s="6">
        <f>Procurement_Raw!K626</f>
        <v>30</v>
      </c>
      <c r="L626" t="str">
        <f>Procurement_Raw!L626</f>
        <v>ERP</v>
      </c>
      <c r="M626" s="8">
        <f>Procurement_Raw!M626</f>
        <v>7080.7479999999996</v>
      </c>
      <c r="N626" s="7">
        <f>Procurement_Raw!N626</f>
        <v>35403.74</v>
      </c>
      <c r="O626" s="7">
        <f t="shared" si="18"/>
        <v>35403.74</v>
      </c>
      <c r="P626" t="str">
        <f>IFERROR(INDEX(Supplier_Lookup!$B$2:$B$200,MATCH(E626,Supplier_Lookup!$A$2:$A$200,0)),"Unmapped")</f>
        <v>medical supplies</v>
      </c>
      <c r="Q626" s="10">
        <f>IFERROR(INDEX(Category_Targets!$B$2:$B$9,MATCH(F626,Category_Targets!$A$2:$A$9,0)),0)</f>
        <v>0.08</v>
      </c>
      <c r="R626" s="7">
        <f t="shared" si="19"/>
        <v>2832.2991999999999</v>
      </c>
    </row>
    <row r="627" spans="1:18" x14ac:dyDescent="0.25">
      <c r="A627" s="5">
        <f>Procurement_Raw!A627</f>
        <v>45821</v>
      </c>
      <c r="B627" t="str">
        <f>Procurement_Raw!B627</f>
        <v>S004</v>
      </c>
      <c r="C627" t="str">
        <f>Procurement_Raw!C627</f>
        <v>Newcastle Care &amp; Education Centre</v>
      </c>
      <c r="D627" t="str">
        <f>Procurement_Raw!D627</f>
        <v>North</v>
      </c>
      <c r="E627" t="str">
        <f>Procurement_Raw!E627</f>
        <v>NurseLink</v>
      </c>
      <c r="F627" t="str">
        <f>Procurement_Raw!F627</f>
        <v>Agency Labour</v>
      </c>
      <c r="G627" t="str">
        <f>Procurement_Raw!G627</f>
        <v>INV-2025-00626</v>
      </c>
      <c r="H627" s="6">
        <f>Procurement_Raw!H627</f>
        <v>18</v>
      </c>
      <c r="I627" s="7">
        <f>Procurement_Raw!I627</f>
        <v>226.47</v>
      </c>
      <c r="J627" s="7">
        <f>Procurement_Raw!J627</f>
        <v>4076.47</v>
      </c>
      <c r="K627" s="6">
        <f>Procurement_Raw!K627</f>
        <v>60</v>
      </c>
      <c r="L627" t="str">
        <f>Procurement_Raw!L627</f>
        <v>ERP</v>
      </c>
      <c r="M627" s="8">
        <f>Procurement_Raw!M627</f>
        <v>815.29399999999998</v>
      </c>
      <c r="N627" s="7">
        <f>Procurement_Raw!N627</f>
        <v>4076.47</v>
      </c>
      <c r="O627" s="7">
        <f t="shared" si="18"/>
        <v>4076.47</v>
      </c>
      <c r="P627" t="str">
        <f>IFERROR(INDEX(Supplier_Lookup!$B$2:$B$200,MATCH(E627,Supplier_Lookup!$A$2:$A$200,0)),"Unmapped")</f>
        <v>Agency Labour</v>
      </c>
      <c r="Q627" s="10">
        <f>IFERROR(INDEX(Category_Targets!$B$2:$B$9,MATCH(F627,Category_Targets!$A$2:$A$9,0)),0)</f>
        <v>7.0000000000000007E-2</v>
      </c>
      <c r="R627" s="7">
        <f t="shared" si="19"/>
        <v>285.35290000000003</v>
      </c>
    </row>
    <row r="628" spans="1:18" x14ac:dyDescent="0.25">
      <c r="A628" s="5">
        <f>Procurement_Raw!A628</f>
        <v>45790</v>
      </c>
      <c r="B628" t="str">
        <f>Procurement_Raw!B628</f>
        <v>S001</v>
      </c>
      <c r="C628" t="str">
        <f>Procurement_Raw!C628</f>
        <v>Preston Care &amp; Education Centre</v>
      </c>
      <c r="D628" t="str">
        <f>Procurement_Raw!D628</f>
        <v>North</v>
      </c>
      <c r="E628" t="str">
        <f>Procurement_Raw!E628</f>
        <v>LearnWell</v>
      </c>
      <c r="F628" t="str">
        <f>Procurement_Raw!F628</f>
        <v>Office &amp; Training</v>
      </c>
      <c r="G628" t="str">
        <f>Procurement_Raw!G628</f>
        <v>INV-2025-00627</v>
      </c>
      <c r="H628" s="6">
        <f>Procurement_Raw!H628</f>
        <v>54</v>
      </c>
      <c r="I628" s="7">
        <f>Procurement_Raw!I628</f>
        <v>43.52</v>
      </c>
      <c r="J628" s="7">
        <f>Procurement_Raw!J628</f>
        <v>2350.04</v>
      </c>
      <c r="K628" s="6">
        <f>Procurement_Raw!K628</f>
        <v>45</v>
      </c>
      <c r="L628" t="str">
        <f>Procurement_Raw!L628</f>
        <v>Procurement Portal</v>
      </c>
      <c r="M628" s="8">
        <f>Procurement_Raw!M628</f>
        <v>470.00799999999998</v>
      </c>
      <c r="N628" s="7">
        <f>Procurement_Raw!N628</f>
        <v>2350.04</v>
      </c>
      <c r="O628" s="7">
        <f t="shared" si="18"/>
        <v>2350.04</v>
      </c>
      <c r="P628" t="str">
        <f>IFERROR(INDEX(Supplier_Lookup!$B$2:$B$200,MATCH(E628,Supplier_Lookup!$A$2:$A$200,0)),"Unmapped")</f>
        <v>Office &amp; Training</v>
      </c>
      <c r="Q628" s="10">
        <f>IFERROR(INDEX(Category_Targets!$B$2:$B$9,MATCH(F628,Category_Targets!$A$2:$A$9,0)),0)</f>
        <v>0.04</v>
      </c>
      <c r="R628" s="7">
        <f t="shared" si="19"/>
        <v>94.001599999999996</v>
      </c>
    </row>
    <row r="629" spans="1:18" x14ac:dyDescent="0.25">
      <c r="A629" s="5">
        <f>Procurement_Raw!A629</f>
        <v>46020</v>
      </c>
      <c r="B629" t="str">
        <f>Procurement_Raw!B629</f>
        <v>S007</v>
      </c>
      <c r="C629" t="str">
        <f>Procurement_Raw!C629</f>
        <v>Nottingham Care &amp; Education Centre</v>
      </c>
      <c r="D629" t="str">
        <f>Procurement_Raw!D629</f>
        <v>Midlands</v>
      </c>
      <c r="E629" t="str">
        <f>Procurement_Raw!E629</f>
        <v>ClinEquip</v>
      </c>
      <c r="F629" t="str">
        <f>Procurement_Raw!F629</f>
        <v>Medical Supplies</v>
      </c>
      <c r="G629" t="str">
        <f>Procurement_Raw!G629</f>
        <v>INV-2025-00628</v>
      </c>
      <c r="H629" s="6">
        <f>Procurement_Raw!H629</f>
        <v>74</v>
      </c>
      <c r="I629" s="7">
        <f>Procurement_Raw!I629</f>
        <v>111.98</v>
      </c>
      <c r="J629" s="7">
        <f>Procurement_Raw!J629</f>
        <v>8286.43</v>
      </c>
      <c r="K629" s="6">
        <f>Procurement_Raw!K629</f>
        <v>30</v>
      </c>
      <c r="L629" t="str">
        <f>Procurement_Raw!L629</f>
        <v>Procurement Portal</v>
      </c>
      <c r="M629" s="8">
        <f>Procurement_Raw!M629</f>
        <v>1657.2860000000001</v>
      </c>
      <c r="N629" s="7">
        <f>Procurement_Raw!N629</f>
        <v>8286.43</v>
      </c>
      <c r="O629" s="7">
        <f t="shared" si="18"/>
        <v>8286.43</v>
      </c>
      <c r="P629" t="str">
        <f>IFERROR(INDEX(Supplier_Lookup!$B$2:$B$200,MATCH(E629,Supplier_Lookup!$A$2:$A$200,0)),"Unmapped")</f>
        <v>Medical Supplies</v>
      </c>
      <c r="Q629" s="10">
        <f>IFERROR(INDEX(Category_Targets!$B$2:$B$9,MATCH(F629,Category_Targets!$A$2:$A$9,0)),0)</f>
        <v>0.06</v>
      </c>
      <c r="R629" s="7">
        <f t="shared" si="19"/>
        <v>497.18579999999997</v>
      </c>
    </row>
    <row r="630" spans="1:18" x14ac:dyDescent="0.25">
      <c r="A630" s="5">
        <f>Procurement_Raw!A630</f>
        <v>45931</v>
      </c>
      <c r="B630" t="str">
        <f>Procurement_Raw!B630</f>
        <v>S005</v>
      </c>
      <c r="C630" t="str">
        <f>Procurement_Raw!C630</f>
        <v>Sheffield Care &amp; Education Centre</v>
      </c>
      <c r="D630" t="str">
        <f>Procurement_Raw!D630</f>
        <v>North</v>
      </c>
      <c r="E630" t="str">
        <f>Procurement_Raw!E630</f>
        <v>PowerDirect</v>
      </c>
      <c r="F630" t="str">
        <f>Procurement_Raw!F630</f>
        <v>Utilities</v>
      </c>
      <c r="G630" t="str">
        <f>Procurement_Raw!G630</f>
        <v>INV-2025-00629</v>
      </c>
      <c r="H630" s="6">
        <f>Procurement_Raw!H630</f>
        <v>61</v>
      </c>
      <c r="I630" s="7">
        <f>Procurement_Raw!I630</f>
        <v>257.77999999999997</v>
      </c>
      <c r="J630" s="7">
        <f>Procurement_Raw!J630</f>
        <v>15724.63</v>
      </c>
      <c r="K630" s="6">
        <f>Procurement_Raw!K630</f>
        <v>60</v>
      </c>
      <c r="L630" t="str">
        <f>Procurement_Raw!L630</f>
        <v>Procurement Portal</v>
      </c>
      <c r="M630" s="8">
        <f>Procurement_Raw!M630</f>
        <v>3144.9259999999999</v>
      </c>
      <c r="N630" s="7">
        <f>Procurement_Raw!N630</f>
        <v>15724.63</v>
      </c>
      <c r="O630" s="7">
        <f t="shared" si="18"/>
        <v>15724.63</v>
      </c>
      <c r="P630" t="str">
        <f>IFERROR(INDEX(Supplier_Lookup!$B$2:$B$200,MATCH(E630,Supplier_Lookup!$A$2:$A$200,0)),"Unmapped")</f>
        <v>Utilities</v>
      </c>
      <c r="Q630" s="10">
        <f>IFERROR(INDEX(Category_Targets!$B$2:$B$9,MATCH(F630,Category_Targets!$A$2:$A$9,0)),0)</f>
        <v>0.03</v>
      </c>
      <c r="R630" s="7">
        <f t="shared" si="19"/>
        <v>471.73889999999994</v>
      </c>
    </row>
    <row r="631" spans="1:18" x14ac:dyDescent="0.25">
      <c r="A631" s="5">
        <f>Procurement_Raw!A631</f>
        <v>45994</v>
      </c>
      <c r="B631" t="str">
        <f>Procurement_Raw!B631</f>
        <v>S002</v>
      </c>
      <c r="C631" t="str">
        <f>Procurement_Raw!C631</f>
        <v>Manchester Care &amp; Education Centre</v>
      </c>
      <c r="D631" t="str">
        <f>Procurement_Raw!D631</f>
        <v>North</v>
      </c>
      <c r="E631" t="str">
        <f>Procurement_Raw!E631</f>
        <v>CloudLink</v>
      </c>
      <c r="F631" t="str">
        <f>Procurement_Raw!F631</f>
        <v>IT &amp; Telecoms</v>
      </c>
      <c r="G631" t="str">
        <f>Procurement_Raw!G631</f>
        <v>INV-2025-00630</v>
      </c>
      <c r="H631" s="6">
        <f>Procurement_Raw!H631</f>
        <v>72</v>
      </c>
      <c r="I631" s="7">
        <f>Procurement_Raw!I631</f>
        <v>401.59</v>
      </c>
      <c r="J631" s="7">
        <f>Procurement_Raw!J631</f>
        <v>28914.52</v>
      </c>
      <c r="K631" s="6">
        <f>Procurement_Raw!K631</f>
        <v>30</v>
      </c>
      <c r="L631" t="str">
        <f>Procurement_Raw!L631</f>
        <v>Procurement Portal</v>
      </c>
      <c r="M631" s="8">
        <f>Procurement_Raw!M631</f>
        <v>5782.9040000000005</v>
      </c>
      <c r="N631" s="7">
        <f>Procurement_Raw!N631</f>
        <v>28914.52</v>
      </c>
      <c r="O631" s="7">
        <f t="shared" si="18"/>
        <v>28914.52</v>
      </c>
      <c r="P631" t="str">
        <f>IFERROR(INDEX(Supplier_Lookup!$B$2:$B$200,MATCH(E631,Supplier_Lookup!$A$2:$A$200,0)),"Unmapped")</f>
        <v>medical supplies</v>
      </c>
      <c r="Q631" s="10">
        <f>IFERROR(INDEX(Category_Targets!$B$2:$B$9,MATCH(F631,Category_Targets!$A$2:$A$9,0)),0)</f>
        <v>0.08</v>
      </c>
      <c r="R631" s="7">
        <f t="shared" si="19"/>
        <v>2313.1615999999999</v>
      </c>
    </row>
    <row r="632" spans="1:18" x14ac:dyDescent="0.25">
      <c r="A632" s="5">
        <f>Procurement_Raw!A632</f>
        <v>45790</v>
      </c>
      <c r="B632" t="str">
        <f>Procurement_Raw!B632</f>
        <v>S008</v>
      </c>
      <c r="C632" t="str">
        <f>Procurement_Raw!C632</f>
        <v>Leicester Care &amp; Education Centre</v>
      </c>
      <c r="D632" t="str">
        <f>Procurement_Raw!D632</f>
        <v>Midlands</v>
      </c>
      <c r="E632" t="str">
        <f>Procurement_Raw!E632</f>
        <v>OfficePlus</v>
      </c>
      <c r="F632" t="str">
        <f>Procurement_Raw!F632</f>
        <v>Office &amp; Training</v>
      </c>
      <c r="G632" t="str">
        <f>Procurement_Raw!G632</f>
        <v>INV-2025-00631</v>
      </c>
      <c r="H632" s="6">
        <f>Procurement_Raw!H632</f>
        <v>72</v>
      </c>
      <c r="I632" s="7">
        <f>Procurement_Raw!I632</f>
        <v>29.57</v>
      </c>
      <c r="J632" s="7">
        <f>Procurement_Raw!J632</f>
        <v>2128.77</v>
      </c>
      <c r="K632" s="6">
        <f>Procurement_Raw!K632</f>
        <v>30</v>
      </c>
      <c r="L632" t="str">
        <f>Procurement_Raw!L632</f>
        <v>Legacy Spend File</v>
      </c>
      <c r="M632" s="8">
        <f>Procurement_Raw!M632</f>
        <v>425.75400000000002</v>
      </c>
      <c r="N632" s="7">
        <f>Procurement_Raw!N632</f>
        <v>2128.77</v>
      </c>
      <c r="O632" s="7">
        <f t="shared" si="18"/>
        <v>2128.77</v>
      </c>
      <c r="P632" t="str">
        <f>IFERROR(INDEX(Supplier_Lookup!$B$2:$B$200,MATCH(E632,Supplier_Lookup!$A$2:$A$200,0)),"Unmapped")</f>
        <v>Office &amp; Training</v>
      </c>
      <c r="Q632" s="10">
        <f>IFERROR(INDEX(Category_Targets!$B$2:$B$9,MATCH(F632,Category_Targets!$A$2:$A$9,0)),0)</f>
        <v>0.04</v>
      </c>
      <c r="R632" s="7">
        <f t="shared" si="19"/>
        <v>85.150800000000004</v>
      </c>
    </row>
    <row r="633" spans="1:18" x14ac:dyDescent="0.25">
      <c r="A633" s="5">
        <f>Procurement_Raw!A633</f>
        <v>45839</v>
      </c>
      <c r="B633" t="str">
        <f>Procurement_Raw!B633</f>
        <v>S005</v>
      </c>
      <c r="C633" t="str">
        <f>Procurement_Raw!C633</f>
        <v>Sheffield Care &amp; Education Centre</v>
      </c>
      <c r="D633" t="str">
        <f>Procurement_Raw!D633</f>
        <v>North</v>
      </c>
      <c r="E633" t="str">
        <f>Procurement_Raw!E633</f>
        <v>FreshServe</v>
      </c>
      <c r="F633" t="str">
        <f>Procurement_Raw!F633</f>
        <v>Food &amp; Catering</v>
      </c>
      <c r="G633" t="str">
        <f>Procurement_Raw!G633</f>
        <v>INV-2025-00632</v>
      </c>
      <c r="H633" s="6">
        <f>Procurement_Raw!H633</f>
        <v>29</v>
      </c>
      <c r="I633" s="7">
        <f>Procurement_Raw!I633</f>
        <v>150.75</v>
      </c>
      <c r="J633" s="7">
        <f>Procurement_Raw!J633</f>
        <v>4371.82</v>
      </c>
      <c r="K633" s="6">
        <f>Procurement_Raw!K633</f>
        <v>60</v>
      </c>
      <c r="L633" t="str">
        <f>Procurement_Raw!L633</f>
        <v>Procurement Portal</v>
      </c>
      <c r="M633" s="8">
        <f>Procurement_Raw!M633</f>
        <v>874.36400000000003</v>
      </c>
      <c r="N633" s="7">
        <f>Procurement_Raw!N633</f>
        <v>4371.82</v>
      </c>
      <c r="O633" s="7">
        <f t="shared" si="18"/>
        <v>4371.82</v>
      </c>
      <c r="P633" t="str">
        <f>IFERROR(INDEX(Supplier_Lookup!$B$2:$B$200,MATCH(E633,Supplier_Lookup!$A$2:$A$200,0)),"Unmapped")</f>
        <v>Food &amp; Catering</v>
      </c>
      <c r="Q633" s="10">
        <f>IFERROR(INDEX(Category_Targets!$B$2:$B$9,MATCH(F633,Category_Targets!$A$2:$A$9,0)),0)</f>
        <v>0.04</v>
      </c>
      <c r="R633" s="7">
        <f t="shared" si="19"/>
        <v>174.87279999999998</v>
      </c>
    </row>
    <row r="634" spans="1:18" x14ac:dyDescent="0.25">
      <c r="A634" s="5">
        <f>Procurement_Raw!A634</f>
        <v>45791</v>
      </c>
      <c r="B634" t="str">
        <f>Procurement_Raw!B634</f>
        <v>S009</v>
      </c>
      <c r="C634" t="str">
        <f>Procurement_Raw!C634</f>
        <v>Derby Care &amp; Education Centre</v>
      </c>
      <c r="D634" t="str">
        <f>Procurement_Raw!D634</f>
        <v>Midlands</v>
      </c>
      <c r="E634" t="str">
        <f>Procurement_Raw!E634</f>
        <v>RoadReady</v>
      </c>
      <c r="F634" t="str">
        <f>Procurement_Raw!F634</f>
        <v>Vehicle &amp; Fuel</v>
      </c>
      <c r="G634" t="str">
        <f>Procurement_Raw!G634</f>
        <v>INV-2025-00633</v>
      </c>
      <c r="H634" s="6">
        <f>Procurement_Raw!H634</f>
        <v>75</v>
      </c>
      <c r="I634" s="7">
        <f>Procurement_Raw!I634</f>
        <v>87.09</v>
      </c>
      <c r="J634" s="7">
        <f>Procurement_Raw!J634</f>
        <v>6531.95</v>
      </c>
      <c r="K634" s="6">
        <f>Procurement_Raw!K634</f>
        <v>45</v>
      </c>
      <c r="L634" t="str">
        <f>Procurement_Raw!L634</f>
        <v>Procurement Portal</v>
      </c>
      <c r="M634" s="8">
        <f>Procurement_Raw!M634</f>
        <v>1306.3900000000001</v>
      </c>
      <c r="N634" s="7">
        <f>Procurement_Raw!N634</f>
        <v>6531.95</v>
      </c>
      <c r="O634" s="7">
        <f t="shared" si="18"/>
        <v>6531.95</v>
      </c>
      <c r="P634" t="str">
        <f>IFERROR(INDEX(Supplier_Lookup!$B$2:$B$200,MATCH(E634,Supplier_Lookup!$A$2:$A$200,0)),"Unmapped")</f>
        <v>Vehicle &amp; Fuel</v>
      </c>
      <c r="Q634" s="10">
        <f>IFERROR(INDEX(Category_Targets!$B$2:$B$9,MATCH(F634,Category_Targets!$A$2:$A$9,0)),0)</f>
        <v>0.05</v>
      </c>
      <c r="R634" s="7">
        <f t="shared" si="19"/>
        <v>326.59750000000003</v>
      </c>
    </row>
    <row r="635" spans="1:18" x14ac:dyDescent="0.25">
      <c r="A635" s="5">
        <f>Procurement_Raw!A635</f>
        <v>45982</v>
      </c>
      <c r="B635" t="str">
        <f>Procurement_Raw!B635</f>
        <v>S001</v>
      </c>
      <c r="C635" t="str">
        <f>Procurement_Raw!C635</f>
        <v>Preston Care &amp; Education Centre</v>
      </c>
      <c r="D635" t="str">
        <f>Procurement_Raw!D635</f>
        <v>North</v>
      </c>
      <c r="E635" t="str">
        <f>Procurement_Raw!E635</f>
        <v>OfficePlus</v>
      </c>
      <c r="F635" t="str">
        <f>Procurement_Raw!F635</f>
        <v>Office &amp; Training</v>
      </c>
      <c r="G635" t="str">
        <f>Procurement_Raw!G635</f>
        <v>INV-2025-00634</v>
      </c>
      <c r="H635" s="6">
        <f>Procurement_Raw!H635</f>
        <v>75</v>
      </c>
      <c r="I635" s="7">
        <f>Procurement_Raw!I635</f>
        <v>59.31</v>
      </c>
      <c r="J635" s="7">
        <f>Procurement_Raw!J635</f>
        <v>4447.92</v>
      </c>
      <c r="K635" s="6">
        <f>Procurement_Raw!K635</f>
        <v>60</v>
      </c>
      <c r="L635" t="str">
        <f>Procurement_Raw!L635</f>
        <v>Legacy Spend File</v>
      </c>
      <c r="M635" s="8">
        <f>Procurement_Raw!M635</f>
        <v>889.58399999999995</v>
      </c>
      <c r="N635" s="7">
        <f>Procurement_Raw!N635</f>
        <v>4447.92</v>
      </c>
      <c r="O635" s="7">
        <f t="shared" si="18"/>
        <v>4447.92</v>
      </c>
      <c r="P635" t="str">
        <f>IFERROR(INDEX(Supplier_Lookup!$B$2:$B$200,MATCH(E635,Supplier_Lookup!$A$2:$A$200,0)),"Unmapped")</f>
        <v>Office &amp; Training</v>
      </c>
      <c r="Q635" s="10">
        <f>IFERROR(INDEX(Category_Targets!$B$2:$B$9,MATCH(F635,Category_Targets!$A$2:$A$9,0)),0)</f>
        <v>0.04</v>
      </c>
      <c r="R635" s="7">
        <f t="shared" si="19"/>
        <v>177.91679999999999</v>
      </c>
    </row>
    <row r="636" spans="1:18" x14ac:dyDescent="0.25">
      <c r="A636" s="5">
        <f>Procurement_Raw!A636</f>
        <v>45914</v>
      </c>
      <c r="B636" t="str">
        <f>Procurement_Raw!B636</f>
        <v>S011</v>
      </c>
      <c r="C636" t="str">
        <f>Procurement_Raw!C636</f>
        <v>London Care &amp; Education Centre</v>
      </c>
      <c r="D636" t="str">
        <f>Procurement_Raw!D636</f>
        <v>South</v>
      </c>
      <c r="E636" t="str">
        <f>Procurement_Raw!E636</f>
        <v>OfficePlus</v>
      </c>
      <c r="F636" t="str">
        <f>Procurement_Raw!F636</f>
        <v>Office &amp; Training</v>
      </c>
      <c r="G636" t="str">
        <f>Procurement_Raw!G636</f>
        <v>INV-2025-00635</v>
      </c>
      <c r="H636" s="6">
        <f>Procurement_Raw!H636</f>
        <v>16</v>
      </c>
      <c r="I636" s="7">
        <f>Procurement_Raw!I636</f>
        <v>42.98</v>
      </c>
      <c r="J636" s="7">
        <f>Procurement_Raw!J636</f>
        <v>687.75</v>
      </c>
      <c r="K636" s="6">
        <f>Procurement_Raw!K636</f>
        <v>60</v>
      </c>
      <c r="L636" t="str">
        <f>Procurement_Raw!L636</f>
        <v>Procurement Portal</v>
      </c>
      <c r="M636" s="8">
        <f>Procurement_Raw!M636</f>
        <v>137.55000000000001</v>
      </c>
      <c r="N636" s="7">
        <f>Procurement_Raw!N636</f>
        <v>687.75</v>
      </c>
      <c r="O636" s="7">
        <f t="shared" si="18"/>
        <v>687.75</v>
      </c>
      <c r="P636" t="str">
        <f>IFERROR(INDEX(Supplier_Lookup!$B$2:$B$200,MATCH(E636,Supplier_Lookup!$A$2:$A$200,0)),"Unmapped")</f>
        <v>Office &amp; Training</v>
      </c>
      <c r="Q636" s="10">
        <f>IFERROR(INDEX(Category_Targets!$B$2:$B$9,MATCH(F636,Category_Targets!$A$2:$A$9,0)),0)</f>
        <v>0.04</v>
      </c>
      <c r="R636" s="7">
        <f t="shared" si="19"/>
        <v>27.51</v>
      </c>
    </row>
    <row r="637" spans="1:18" x14ac:dyDescent="0.25">
      <c r="A637" s="5">
        <f>Procurement_Raw!A637</f>
        <v>45685</v>
      </c>
      <c r="B637" t="str">
        <f>Procurement_Raw!B637</f>
        <v>S008</v>
      </c>
      <c r="C637" t="str">
        <f>Procurement_Raw!C637</f>
        <v>Leicester Care &amp; Education Centre</v>
      </c>
      <c r="D637" t="str">
        <f>Procurement_Raw!D637</f>
        <v>Midlands</v>
      </c>
      <c r="E637" t="str">
        <f>Procurement_Raw!E637</f>
        <v>TeleCare IT</v>
      </c>
      <c r="F637" t="str">
        <f>Procurement_Raw!F637</f>
        <v>IT &amp; Telecoms</v>
      </c>
      <c r="G637" t="str">
        <f>Procurement_Raw!G637</f>
        <v>INV-2025-00636</v>
      </c>
      <c r="H637" s="6">
        <f>Procurement_Raw!H637</f>
        <v>20</v>
      </c>
      <c r="I637" s="7">
        <f>Procurement_Raw!I637</f>
        <v>88.54</v>
      </c>
      <c r="J637" s="7">
        <f>Procurement_Raw!J637</f>
        <v>1770.8</v>
      </c>
      <c r="K637" s="6">
        <f>Procurement_Raw!K637</f>
        <v>30</v>
      </c>
      <c r="L637" t="str">
        <f>Procurement_Raw!L637</f>
        <v>ERP</v>
      </c>
      <c r="M637" s="8">
        <f>Procurement_Raw!M637</f>
        <v>354.16</v>
      </c>
      <c r="N637" s="7">
        <f>Procurement_Raw!N637</f>
        <v>1770.8</v>
      </c>
      <c r="O637" s="7">
        <f t="shared" si="18"/>
        <v>1770.8</v>
      </c>
      <c r="P637" t="str">
        <f>IFERROR(INDEX(Supplier_Lookup!$B$2:$B$200,MATCH(E637,Supplier_Lookup!$A$2:$A$200,0)),"Unmapped")</f>
        <v>IT &amp; Telecoms</v>
      </c>
      <c r="Q637" s="10">
        <f>IFERROR(INDEX(Category_Targets!$B$2:$B$9,MATCH(F637,Category_Targets!$A$2:$A$9,0)),0)</f>
        <v>0.08</v>
      </c>
      <c r="R637" s="7">
        <f t="shared" si="19"/>
        <v>141.66399999999999</v>
      </c>
    </row>
    <row r="638" spans="1:18" x14ac:dyDescent="0.25">
      <c r="A638" s="5">
        <f>Procurement_Raw!A638</f>
        <v>45892</v>
      </c>
      <c r="B638" t="str">
        <f>Procurement_Raw!B638</f>
        <v>S005</v>
      </c>
      <c r="C638" t="str">
        <f>Procurement_Raw!C638</f>
        <v>Sheffield Care &amp; Education Centre</v>
      </c>
      <c r="D638" t="str">
        <f>Procurement_Raw!D638</f>
        <v>North</v>
      </c>
      <c r="E638" t="str">
        <f>Procurement_Raw!E638</f>
        <v>NurseLink</v>
      </c>
      <c r="F638" t="str">
        <f>Procurement_Raw!F638</f>
        <v>Agency Labour</v>
      </c>
      <c r="G638" t="str">
        <f>Procurement_Raw!G638</f>
        <v>INV-2025-00637</v>
      </c>
      <c r="H638" s="6">
        <f>Procurement_Raw!H638</f>
        <v>19</v>
      </c>
      <c r="I638" s="7">
        <f>Procurement_Raw!I638</f>
        <v>471.79</v>
      </c>
      <c r="J638" s="7">
        <f>Procurement_Raw!J638</f>
        <v>8963.94</v>
      </c>
      <c r="K638" s="6">
        <f>Procurement_Raw!K638</f>
        <v>45</v>
      </c>
      <c r="L638" t="str">
        <f>Procurement_Raw!L638</f>
        <v>Legacy Spend File</v>
      </c>
      <c r="M638" s="8">
        <f>Procurement_Raw!M638</f>
        <v>1792.788</v>
      </c>
      <c r="N638" s="7">
        <f>Procurement_Raw!N638</f>
        <v>8963.94</v>
      </c>
      <c r="O638" s="7">
        <f t="shared" si="18"/>
        <v>8963.94</v>
      </c>
      <c r="P638" t="str">
        <f>IFERROR(INDEX(Supplier_Lookup!$B$2:$B$200,MATCH(E638,Supplier_Lookup!$A$2:$A$200,0)),"Unmapped")</f>
        <v>Agency Labour</v>
      </c>
      <c r="Q638" s="10">
        <f>IFERROR(INDEX(Category_Targets!$B$2:$B$9,MATCH(F638,Category_Targets!$A$2:$A$9,0)),0)</f>
        <v>7.0000000000000007E-2</v>
      </c>
      <c r="R638" s="7">
        <f t="shared" si="19"/>
        <v>627.47580000000005</v>
      </c>
    </row>
    <row r="639" spans="1:18" x14ac:dyDescent="0.25">
      <c r="A639" s="5">
        <f>Procurement_Raw!A639</f>
        <v>45828</v>
      </c>
      <c r="B639" t="str">
        <f>Procurement_Raw!B639</f>
        <v>S005</v>
      </c>
      <c r="C639" t="str">
        <f>Procurement_Raw!C639</f>
        <v>Sheffield Care &amp; Education Centre</v>
      </c>
      <c r="D639" t="str">
        <f>Procurement_Raw!D639</f>
        <v>North</v>
      </c>
      <c r="E639" t="str">
        <f>Procurement_Raw!E639</f>
        <v>NourishCo</v>
      </c>
      <c r="F639" t="str">
        <f>Procurement_Raw!F639</f>
        <v>Food &amp; Catering</v>
      </c>
      <c r="G639" t="str">
        <f>Procurement_Raw!G639</f>
        <v>INV-2025-00638</v>
      </c>
      <c r="H639" s="6">
        <f>Procurement_Raw!H639</f>
        <v>23</v>
      </c>
      <c r="I639" s="7">
        <f>Procurement_Raw!I639</f>
        <v>67.67</v>
      </c>
      <c r="J639" s="7">
        <f>Procurement_Raw!J639</f>
        <v>1556.52</v>
      </c>
      <c r="K639" s="6">
        <f>Procurement_Raw!K639</f>
        <v>45</v>
      </c>
      <c r="L639" t="str">
        <f>Procurement_Raw!L639</f>
        <v>Legacy Spend File</v>
      </c>
      <c r="M639" s="8">
        <f>Procurement_Raw!M639</f>
        <v>311.30399999999997</v>
      </c>
      <c r="N639" s="7">
        <f>Procurement_Raw!N639</f>
        <v>1556.52</v>
      </c>
      <c r="O639" s="7">
        <f t="shared" si="18"/>
        <v>1556.52</v>
      </c>
      <c r="P639" t="str">
        <f>IFERROR(INDEX(Supplier_Lookup!$B$2:$B$200,MATCH(E639,Supplier_Lookup!$A$2:$A$200,0)),"Unmapped")</f>
        <v>Food &amp; Catering</v>
      </c>
      <c r="Q639" s="10">
        <f>IFERROR(INDEX(Category_Targets!$B$2:$B$9,MATCH(F639,Category_Targets!$A$2:$A$9,0)),0)</f>
        <v>0.04</v>
      </c>
      <c r="R639" s="7">
        <f t="shared" si="19"/>
        <v>62.260800000000003</v>
      </c>
    </row>
    <row r="640" spans="1:18" x14ac:dyDescent="0.25">
      <c r="A640" s="5">
        <f>Procurement_Raw!A640</f>
        <v>45798</v>
      </c>
      <c r="B640" t="str">
        <f>Procurement_Raw!B640</f>
        <v>S003</v>
      </c>
      <c r="C640" t="str">
        <f>Procurement_Raw!C640</f>
        <v>Leeds Care &amp; Education Centre</v>
      </c>
      <c r="D640" t="str">
        <f>Procurement_Raw!D640</f>
        <v>North</v>
      </c>
      <c r="E640" t="str">
        <f>Procurement_Raw!E640</f>
        <v>CareMed</v>
      </c>
      <c r="F640" t="str">
        <f>Procurement_Raw!F640</f>
        <v>Medical Supplies</v>
      </c>
      <c r="G640" t="str">
        <f>Procurement_Raw!G640</f>
        <v>INV-2025-00639</v>
      </c>
      <c r="H640" s="6">
        <f>Procurement_Raw!H640</f>
        <v>27</v>
      </c>
      <c r="I640" s="7">
        <f>Procurement_Raw!I640</f>
        <v>59.03</v>
      </c>
      <c r="J640" s="7">
        <f>Procurement_Raw!J640</f>
        <v>1593.76</v>
      </c>
      <c r="K640" s="6">
        <f>Procurement_Raw!K640</f>
        <v>30</v>
      </c>
      <c r="L640" t="str">
        <f>Procurement_Raw!L640</f>
        <v>Legacy Spend File</v>
      </c>
      <c r="M640" s="8">
        <f>Procurement_Raw!M640</f>
        <v>318.75200000000001</v>
      </c>
      <c r="N640" s="7">
        <f>Procurement_Raw!N640</f>
        <v>1593.76</v>
      </c>
      <c r="O640" s="7">
        <f t="shared" si="18"/>
        <v>1593.76</v>
      </c>
      <c r="P640" t="str">
        <f>IFERROR(INDEX(Supplier_Lookup!$B$2:$B$200,MATCH(E640,Supplier_Lookup!$A$2:$A$200,0)),"Unmapped")</f>
        <v>Medical Supplies</v>
      </c>
      <c r="Q640" s="10">
        <f>IFERROR(INDEX(Category_Targets!$B$2:$B$9,MATCH(F640,Category_Targets!$A$2:$A$9,0)),0)</f>
        <v>0.06</v>
      </c>
      <c r="R640" s="7">
        <f t="shared" si="19"/>
        <v>95.625599999999991</v>
      </c>
    </row>
    <row r="641" spans="1:18" x14ac:dyDescent="0.25">
      <c r="A641" s="5">
        <f>Procurement_Raw!A641</f>
        <v>45724</v>
      </c>
      <c r="B641" t="str">
        <f>Procurement_Raw!B641</f>
        <v>S014</v>
      </c>
      <c r="C641" t="str">
        <f>Procurement_Raw!C641</f>
        <v>Southampton Care &amp; Education Centre</v>
      </c>
      <c r="D641" t="str">
        <f>Procurement_Raw!D641</f>
        <v>South</v>
      </c>
      <c r="E641" t="str">
        <f>Procurement_Raw!E641</f>
        <v>OfficePlus</v>
      </c>
      <c r="F641" t="str">
        <f>Procurement_Raw!F641</f>
        <v>Office &amp; Training</v>
      </c>
      <c r="G641" t="str">
        <f>Procurement_Raw!G641</f>
        <v>INV-2025-00640</v>
      </c>
      <c r="H641" s="6">
        <f>Procurement_Raw!H641</f>
        <v>79</v>
      </c>
      <c r="I641" s="7">
        <f>Procurement_Raw!I641</f>
        <v>36.79</v>
      </c>
      <c r="J641" s="7">
        <f>Procurement_Raw!J641</f>
        <v>2906.32</v>
      </c>
      <c r="K641" s="6">
        <f>Procurement_Raw!K641</f>
        <v>45</v>
      </c>
      <c r="L641" t="str">
        <f>Procurement_Raw!L641</f>
        <v>Legacy Spend File</v>
      </c>
      <c r="M641" s="8">
        <f>Procurement_Raw!M641</f>
        <v>581.26400000000001</v>
      </c>
      <c r="N641" s="7">
        <f>Procurement_Raw!N641</f>
        <v>2906.32</v>
      </c>
      <c r="O641" s="7">
        <f t="shared" si="18"/>
        <v>2906.32</v>
      </c>
      <c r="P641" t="str">
        <f>IFERROR(INDEX(Supplier_Lookup!$B$2:$B$200,MATCH(E641,Supplier_Lookup!$A$2:$A$200,0)),"Unmapped")</f>
        <v>Office &amp; Training</v>
      </c>
      <c r="Q641" s="10">
        <f>IFERROR(INDEX(Category_Targets!$B$2:$B$9,MATCH(F641,Category_Targets!$A$2:$A$9,0)),0)</f>
        <v>0.04</v>
      </c>
      <c r="R641" s="7">
        <f t="shared" si="19"/>
        <v>116.25280000000001</v>
      </c>
    </row>
    <row r="642" spans="1:18" x14ac:dyDescent="0.25">
      <c r="A642" s="5">
        <f>Procurement_Raw!A642</f>
        <v>45902</v>
      </c>
      <c r="B642" t="str">
        <f>Procurement_Raw!B642</f>
        <v>S014</v>
      </c>
      <c r="C642" t="str">
        <f>Procurement_Raw!C642</f>
        <v>Southampton Care &amp; Education Centre</v>
      </c>
      <c r="D642" t="str">
        <f>Procurement_Raw!D642</f>
        <v>South</v>
      </c>
      <c r="E642" t="str">
        <f>Procurement_Raw!E642</f>
        <v>CareTemps</v>
      </c>
      <c r="F642" t="str">
        <f>Procurement_Raw!F642</f>
        <v>Agency Labour</v>
      </c>
      <c r="G642" t="str">
        <f>Procurement_Raw!G642</f>
        <v>INV-2025-00641</v>
      </c>
      <c r="H642" s="6">
        <f>Procurement_Raw!H642</f>
        <v>50</v>
      </c>
      <c r="I642" s="7">
        <f>Procurement_Raw!I642</f>
        <v>249.41</v>
      </c>
      <c r="J642" s="7">
        <f>Procurement_Raw!J642</f>
        <v>12470.53</v>
      </c>
      <c r="K642" s="6">
        <f>Procurement_Raw!K642</f>
        <v>30</v>
      </c>
      <c r="L642" t="str">
        <f>Procurement_Raw!L642</f>
        <v>ERP</v>
      </c>
      <c r="M642" s="8">
        <f>Procurement_Raw!M642</f>
        <v>2494.1060000000002</v>
      </c>
      <c r="N642" s="7">
        <f>Procurement_Raw!N642</f>
        <v>12470.53</v>
      </c>
      <c r="O642" s="7">
        <f t="shared" ref="O642:O705" si="20">IFERROR(IF(J642="","",J642),0)</f>
        <v>12470.53</v>
      </c>
      <c r="P642" t="str">
        <f>IFERROR(INDEX(Supplier_Lookup!$B$2:$B$200,MATCH(E642,Supplier_Lookup!$A$2:$A$200,0)),"Unmapped")</f>
        <v>Agency Labour</v>
      </c>
      <c r="Q642" s="10">
        <f>IFERROR(INDEX(Category_Targets!$B$2:$B$9,MATCH(F642,Category_Targets!$A$2:$A$9,0)),0)</f>
        <v>7.0000000000000007E-2</v>
      </c>
      <c r="R642" s="7">
        <f t="shared" ref="R642:R705" si="21">O642*Q642</f>
        <v>872.9371000000001</v>
      </c>
    </row>
    <row r="643" spans="1:18" x14ac:dyDescent="0.25">
      <c r="A643" s="5">
        <f>Procurement_Raw!A643</f>
        <v>45849</v>
      </c>
      <c r="B643" t="str">
        <f>Procurement_Raw!B643</f>
        <v>S012</v>
      </c>
      <c r="C643" t="str">
        <f>Procurement_Raw!C643</f>
        <v>Bristol Care &amp; Education Centre</v>
      </c>
      <c r="D643" t="str">
        <f>Procurement_Raw!D643</f>
        <v>South</v>
      </c>
      <c r="E643" t="str">
        <f>Procurement_Raw!E643</f>
        <v>PowerDirect</v>
      </c>
      <c r="F643" t="str">
        <f>Procurement_Raw!F643</f>
        <v>Utilities</v>
      </c>
      <c r="G643" t="str">
        <f>Procurement_Raw!G643</f>
        <v>INV-2025-00642</v>
      </c>
      <c r="H643" s="6">
        <f>Procurement_Raw!H643</f>
        <v>2</v>
      </c>
      <c r="I643" s="7">
        <f>Procurement_Raw!I643</f>
        <v>626.04999999999995</v>
      </c>
      <c r="J643" s="7">
        <f>Procurement_Raw!J643</f>
        <v>1252.0899999999999</v>
      </c>
      <c r="K643" s="6">
        <f>Procurement_Raw!K643</f>
        <v>45</v>
      </c>
      <c r="L643" t="str">
        <f>Procurement_Raw!L643</f>
        <v>Legacy Spend File</v>
      </c>
      <c r="M643" s="8">
        <f>Procurement_Raw!M643</f>
        <v>250.41800000000001</v>
      </c>
      <c r="N643" s="7">
        <f>Procurement_Raw!N643</f>
        <v>1252.0899999999999</v>
      </c>
      <c r="O643" s="7">
        <f t="shared" si="20"/>
        <v>1252.0899999999999</v>
      </c>
      <c r="P643" t="str">
        <f>IFERROR(INDEX(Supplier_Lookup!$B$2:$B$200,MATCH(E643,Supplier_Lookup!$A$2:$A$200,0)),"Unmapped")</f>
        <v>Utilities</v>
      </c>
      <c r="Q643" s="10">
        <f>IFERROR(INDEX(Category_Targets!$B$2:$B$9,MATCH(F643,Category_Targets!$A$2:$A$9,0)),0)</f>
        <v>0.03</v>
      </c>
      <c r="R643" s="7">
        <f t="shared" si="21"/>
        <v>37.5627</v>
      </c>
    </row>
    <row r="644" spans="1:18" x14ac:dyDescent="0.25">
      <c r="A644" s="5">
        <f>Procurement_Raw!A644</f>
        <v>45660</v>
      </c>
      <c r="B644" t="str">
        <f>Procurement_Raw!B644</f>
        <v>S017</v>
      </c>
      <c r="C644" t="str">
        <f>Procurement_Raw!C644</f>
        <v>Swansea Care &amp; Education Centre</v>
      </c>
      <c r="D644" t="str">
        <f>Procurement_Raw!D644</f>
        <v>Wales</v>
      </c>
      <c r="E644" t="str">
        <f>Procurement_Raw!E644</f>
        <v>ClinEquip</v>
      </c>
      <c r="F644" t="str">
        <f>Procurement_Raw!F644</f>
        <v>Medical Supplies</v>
      </c>
      <c r="G644" t="str">
        <f>Procurement_Raw!G644</f>
        <v>INV-2025-00643</v>
      </c>
      <c r="H644" s="6">
        <f>Procurement_Raw!H644</f>
        <v>32</v>
      </c>
      <c r="I644" s="7">
        <f>Procurement_Raw!I644</f>
        <v>104.03</v>
      </c>
      <c r="J644" s="7">
        <f>Procurement_Raw!J644</f>
        <v>3329.08</v>
      </c>
      <c r="K644" s="6">
        <f>Procurement_Raw!K644</f>
        <v>30</v>
      </c>
      <c r="L644" t="str">
        <f>Procurement_Raw!L644</f>
        <v>Legacy Spend File</v>
      </c>
      <c r="M644" s="8">
        <f>Procurement_Raw!M644</f>
        <v>665.81600000000003</v>
      </c>
      <c r="N644" s="7">
        <f>Procurement_Raw!N644</f>
        <v>3329.08</v>
      </c>
      <c r="O644" s="7">
        <f t="shared" si="20"/>
        <v>3329.08</v>
      </c>
      <c r="P644" t="str">
        <f>IFERROR(INDEX(Supplier_Lookup!$B$2:$B$200,MATCH(E644,Supplier_Lookup!$A$2:$A$200,0)),"Unmapped")</f>
        <v>Medical Supplies</v>
      </c>
      <c r="Q644" s="10">
        <f>IFERROR(INDEX(Category_Targets!$B$2:$B$9,MATCH(F644,Category_Targets!$A$2:$A$9,0)),0)</f>
        <v>0.06</v>
      </c>
      <c r="R644" s="7">
        <f t="shared" si="21"/>
        <v>199.7448</v>
      </c>
    </row>
    <row r="645" spans="1:18" x14ac:dyDescent="0.25">
      <c r="A645" s="5">
        <f>Procurement_Raw!A645</f>
        <v>45710</v>
      </c>
      <c r="B645" t="str">
        <f>Procurement_Raw!B645</f>
        <v>S009</v>
      </c>
      <c r="C645" t="str">
        <f>Procurement_Raw!C645</f>
        <v>Derby Care &amp; Education Centre</v>
      </c>
      <c r="D645" t="str">
        <f>Procurement_Raw!D645</f>
        <v>Midlands</v>
      </c>
      <c r="E645" t="str">
        <f>Procurement_Raw!E645</f>
        <v>CloudLink</v>
      </c>
      <c r="F645" t="str">
        <f>Procurement_Raw!F645</f>
        <v>IT &amp; Telecoms</v>
      </c>
      <c r="G645" t="str">
        <f>Procurement_Raw!G645</f>
        <v>INV-2025-00644</v>
      </c>
      <c r="H645" s="6">
        <f>Procurement_Raw!H645</f>
        <v>50</v>
      </c>
      <c r="I645" s="7">
        <f>Procurement_Raw!I645</f>
        <v>96.25</v>
      </c>
      <c r="J645" s="7">
        <f>Procurement_Raw!J645</f>
        <v>4812.26</v>
      </c>
      <c r="K645" s="6">
        <f>Procurement_Raw!K645</f>
        <v>60</v>
      </c>
      <c r="L645" t="str">
        <f>Procurement_Raw!L645</f>
        <v>Legacy Spend File</v>
      </c>
      <c r="M645" s="8">
        <f>Procurement_Raw!M645</f>
        <v>962.452</v>
      </c>
      <c r="N645" s="7">
        <f>Procurement_Raw!N645</f>
        <v>4812.26</v>
      </c>
      <c r="O645" s="7">
        <f t="shared" si="20"/>
        <v>4812.26</v>
      </c>
      <c r="P645" t="str">
        <f>IFERROR(INDEX(Supplier_Lookup!$B$2:$B$200,MATCH(E645,Supplier_Lookup!$A$2:$A$200,0)),"Unmapped")</f>
        <v>medical supplies</v>
      </c>
      <c r="Q645" s="10">
        <f>IFERROR(INDEX(Category_Targets!$B$2:$B$9,MATCH(F645,Category_Targets!$A$2:$A$9,0)),0)</f>
        <v>0.08</v>
      </c>
      <c r="R645" s="7">
        <f t="shared" si="21"/>
        <v>384.98080000000004</v>
      </c>
    </row>
    <row r="646" spans="1:18" x14ac:dyDescent="0.25">
      <c r="A646" s="5">
        <f>Procurement_Raw!A646</f>
        <v>45681</v>
      </c>
      <c r="B646" t="str">
        <f>Procurement_Raw!B646</f>
        <v>S006</v>
      </c>
      <c r="C646" t="str">
        <f>Procurement_Raw!C646</f>
        <v>Birmingham Care &amp; Education Centre</v>
      </c>
      <c r="D646" t="str">
        <f>Procurement_Raw!D646</f>
        <v>Midlands</v>
      </c>
      <c r="E646" t="str">
        <f>Procurement_Raw!E646</f>
        <v>CleanWorks</v>
      </c>
      <c r="F646" t="str">
        <f>Procurement_Raw!F646</f>
        <v>Facilities</v>
      </c>
      <c r="G646" t="str">
        <f>Procurement_Raw!G646</f>
        <v>INV-2025-00645</v>
      </c>
      <c r="H646" s="6">
        <f>Procurement_Raw!H646</f>
        <v>39</v>
      </c>
      <c r="I646" s="7">
        <f>Procurement_Raw!I646</f>
        <v>157.24</v>
      </c>
      <c r="J646" s="7">
        <f>Procurement_Raw!J646</f>
        <v>6132.51</v>
      </c>
      <c r="K646" s="6">
        <f>Procurement_Raw!K646</f>
        <v>45</v>
      </c>
      <c r="L646" t="str">
        <f>Procurement_Raw!L646</f>
        <v>Procurement Portal</v>
      </c>
      <c r="M646" s="8">
        <f>Procurement_Raw!M646</f>
        <v>1226.502</v>
      </c>
      <c r="N646" s="7">
        <f>Procurement_Raw!N646</f>
        <v>6132.51</v>
      </c>
      <c r="O646" s="7">
        <f t="shared" si="20"/>
        <v>6132.51</v>
      </c>
      <c r="P646" t="str">
        <f>IFERROR(INDEX(Supplier_Lookup!$B$2:$B$200,MATCH(E646,Supplier_Lookup!$A$2:$A$200,0)),"Unmapped")</f>
        <v>Facilities</v>
      </c>
      <c r="Q646" s="10">
        <f>IFERROR(INDEX(Category_Targets!$B$2:$B$9,MATCH(F646,Category_Targets!$A$2:$A$9,0)),0)</f>
        <v>0.05</v>
      </c>
      <c r="R646" s="7">
        <f t="shared" si="21"/>
        <v>306.62550000000005</v>
      </c>
    </row>
    <row r="647" spans="1:18" x14ac:dyDescent="0.25">
      <c r="A647" s="5">
        <f>Procurement_Raw!A647</f>
        <v>46009</v>
      </c>
      <c r="B647" t="str">
        <f>Procurement_Raw!B647</f>
        <v>S007</v>
      </c>
      <c r="C647" t="str">
        <f>Procurement_Raw!C647</f>
        <v>Nottingham Care &amp; Education Centre</v>
      </c>
      <c r="D647" t="str">
        <f>Procurement_Raw!D647</f>
        <v>Midlands</v>
      </c>
      <c r="E647" t="str">
        <f>Procurement_Raw!E647</f>
        <v>RoadReady</v>
      </c>
      <c r="F647" t="str">
        <f>Procurement_Raw!F647</f>
        <v>Vehicle &amp; Fuel</v>
      </c>
      <c r="G647" t="str">
        <f>Procurement_Raw!G647</f>
        <v>INV-2025-00646</v>
      </c>
      <c r="H647" s="6">
        <f>Procurement_Raw!H647</f>
        <v>18</v>
      </c>
      <c r="I647" s="7">
        <f>Procurement_Raw!I647</f>
        <v>81.77</v>
      </c>
      <c r="J647" s="7">
        <f>Procurement_Raw!J647</f>
        <v>1471.81</v>
      </c>
      <c r="K647" s="6">
        <f>Procurement_Raw!K647</f>
        <v>45</v>
      </c>
      <c r="L647" t="str">
        <f>Procurement_Raw!L647</f>
        <v>Procurement Portal</v>
      </c>
      <c r="M647" s="8">
        <f>Procurement_Raw!M647</f>
        <v>294.36200000000002</v>
      </c>
      <c r="N647" s="7">
        <f>Procurement_Raw!N647</f>
        <v>1471.81</v>
      </c>
      <c r="O647" s="7">
        <f t="shared" si="20"/>
        <v>1471.81</v>
      </c>
      <c r="P647" t="str">
        <f>IFERROR(INDEX(Supplier_Lookup!$B$2:$B$200,MATCH(E647,Supplier_Lookup!$A$2:$A$200,0)),"Unmapped")</f>
        <v>Vehicle &amp; Fuel</v>
      </c>
      <c r="Q647" s="10">
        <f>IFERROR(INDEX(Category_Targets!$B$2:$B$9,MATCH(F647,Category_Targets!$A$2:$A$9,0)),0)</f>
        <v>0.05</v>
      </c>
      <c r="R647" s="7">
        <f t="shared" si="21"/>
        <v>73.590500000000006</v>
      </c>
    </row>
    <row r="648" spans="1:18" x14ac:dyDescent="0.25">
      <c r="A648" s="5">
        <f>Procurement_Raw!A648</f>
        <v>45864</v>
      </c>
      <c r="B648" t="str">
        <f>Procurement_Raw!B648</f>
        <v>S006</v>
      </c>
      <c r="C648" t="str">
        <f>Procurement_Raw!C648</f>
        <v>Birmingham Care &amp; Education Centre</v>
      </c>
      <c r="D648" t="str">
        <f>Procurement_Raw!D648</f>
        <v>Midlands</v>
      </c>
      <c r="E648" t="str">
        <f>Procurement_Raw!E648</f>
        <v>UK Energy Partners</v>
      </c>
      <c r="F648" t="str">
        <f>Procurement_Raw!F648</f>
        <v>Utilities</v>
      </c>
      <c r="G648" t="str">
        <f>Procurement_Raw!G648</f>
        <v>INV-2025-00647</v>
      </c>
      <c r="H648" s="6">
        <f>Procurement_Raw!H648</f>
        <v>3</v>
      </c>
      <c r="I648" s="7">
        <f>Procurement_Raw!I648</f>
        <v>56.72</v>
      </c>
      <c r="J648" s="7">
        <f>Procurement_Raw!J648</f>
        <v>170.17</v>
      </c>
      <c r="K648" s="6">
        <f>Procurement_Raw!K648</f>
        <v>30</v>
      </c>
      <c r="L648" t="str">
        <f>Procurement_Raw!L648</f>
        <v>ERP</v>
      </c>
      <c r="M648" s="8">
        <f>Procurement_Raw!M648</f>
        <v>34.033999999999999</v>
      </c>
      <c r="N648" s="7">
        <f>Procurement_Raw!N648</f>
        <v>170.17</v>
      </c>
      <c r="O648" s="7">
        <f t="shared" si="20"/>
        <v>170.17</v>
      </c>
      <c r="P648" t="str">
        <f>IFERROR(INDEX(Supplier_Lookup!$B$2:$B$200,MATCH(E648,Supplier_Lookup!$A$2:$A$200,0)),"Unmapped")</f>
        <v>Utilities</v>
      </c>
      <c r="Q648" s="10">
        <f>IFERROR(INDEX(Category_Targets!$B$2:$B$9,MATCH(F648,Category_Targets!$A$2:$A$9,0)),0)</f>
        <v>0.03</v>
      </c>
      <c r="R648" s="7">
        <f t="shared" si="21"/>
        <v>5.1050999999999993</v>
      </c>
    </row>
    <row r="649" spans="1:18" x14ac:dyDescent="0.25">
      <c r="A649" s="5">
        <f>Procurement_Raw!A649</f>
        <v>45669</v>
      </c>
      <c r="B649" t="str">
        <f>Procurement_Raw!B649</f>
        <v>S019</v>
      </c>
      <c r="C649" t="str">
        <f>Procurement_Raw!C649</f>
        <v>Wrexham Care &amp; Education Centre</v>
      </c>
      <c r="D649" t="str">
        <f>Procurement_Raw!D649</f>
        <v>Wales</v>
      </c>
      <c r="E649" t="str">
        <f>Procurement_Raw!E649</f>
        <v>CleanWorks</v>
      </c>
      <c r="F649" t="str">
        <f>Procurement_Raw!F649</f>
        <v>Facilities</v>
      </c>
      <c r="G649" t="str">
        <f>Procurement_Raw!G649</f>
        <v>INV-2025-00648</v>
      </c>
      <c r="H649" s="6">
        <f>Procurement_Raw!H649</f>
        <v>76</v>
      </c>
      <c r="I649" s="7">
        <f>Procurement_Raw!I649</f>
        <v>174.7</v>
      </c>
      <c r="J649" s="7">
        <f>Procurement_Raw!J649</f>
        <v>13277.52</v>
      </c>
      <c r="K649" s="6">
        <f>Procurement_Raw!K649</f>
        <v>60</v>
      </c>
      <c r="L649" t="str">
        <f>Procurement_Raw!L649</f>
        <v>ERP</v>
      </c>
      <c r="M649" s="8">
        <f>Procurement_Raw!M649</f>
        <v>2655.5039999999999</v>
      </c>
      <c r="N649" s="7">
        <f>Procurement_Raw!N649</f>
        <v>13277.52</v>
      </c>
      <c r="O649" s="7">
        <f t="shared" si="20"/>
        <v>13277.52</v>
      </c>
      <c r="P649" t="str">
        <f>IFERROR(INDEX(Supplier_Lookup!$B$2:$B$200,MATCH(E649,Supplier_Lookup!$A$2:$A$200,0)),"Unmapped")</f>
        <v>Facilities</v>
      </c>
      <c r="Q649" s="10">
        <f>IFERROR(INDEX(Category_Targets!$B$2:$B$9,MATCH(F649,Category_Targets!$A$2:$A$9,0)),0)</f>
        <v>0.05</v>
      </c>
      <c r="R649" s="7">
        <f t="shared" si="21"/>
        <v>663.87600000000009</v>
      </c>
    </row>
    <row r="650" spans="1:18" x14ac:dyDescent="0.25">
      <c r="A650" s="5">
        <f>Procurement_Raw!A650</f>
        <v>45991</v>
      </c>
      <c r="B650" t="str">
        <f>Procurement_Raw!B650</f>
        <v>S006</v>
      </c>
      <c r="C650" t="str">
        <f>Procurement_Raw!C650</f>
        <v>Birmingham Care &amp; Education Centre</v>
      </c>
      <c r="D650" t="str">
        <f>Procurement_Raw!D650</f>
        <v>Midlands</v>
      </c>
      <c r="E650" t="str">
        <f>Procurement_Raw!E650</f>
        <v>AutoCare</v>
      </c>
      <c r="F650" t="str">
        <f>Procurement_Raw!F650</f>
        <v>Vehicle &amp; Fuel</v>
      </c>
      <c r="G650" t="str">
        <f>Procurement_Raw!G650</f>
        <v>INV-2025-00649</v>
      </c>
      <c r="H650" s="6">
        <f>Procurement_Raw!H650</f>
        <v>5</v>
      </c>
      <c r="I650" s="7">
        <f>Procurement_Raw!I650</f>
        <v>83.67</v>
      </c>
      <c r="J650" s="7">
        <f>Procurement_Raw!J650</f>
        <v>418.34</v>
      </c>
      <c r="K650" s="6">
        <f>Procurement_Raw!K650</f>
        <v>45</v>
      </c>
      <c r="L650" t="str">
        <f>Procurement_Raw!L650</f>
        <v>Legacy Spend File</v>
      </c>
      <c r="M650" s="8">
        <f>Procurement_Raw!M650</f>
        <v>83.668000000000006</v>
      </c>
      <c r="N650" s="7">
        <f>Procurement_Raw!N650</f>
        <v>418.34</v>
      </c>
      <c r="O650" s="7">
        <f t="shared" si="20"/>
        <v>418.34</v>
      </c>
      <c r="P650" t="str">
        <f>IFERROR(INDEX(Supplier_Lookup!$B$2:$B$200,MATCH(E650,Supplier_Lookup!$A$2:$A$200,0)),"Unmapped")</f>
        <v>Vehicle &amp; Fuel</v>
      </c>
      <c r="Q650" s="10">
        <f>IFERROR(INDEX(Category_Targets!$B$2:$B$9,MATCH(F650,Category_Targets!$A$2:$A$9,0)),0)</f>
        <v>0.05</v>
      </c>
      <c r="R650" s="7">
        <f t="shared" si="21"/>
        <v>20.917000000000002</v>
      </c>
    </row>
    <row r="651" spans="1:18" x14ac:dyDescent="0.25">
      <c r="A651" s="5">
        <f>Procurement_Raw!A651</f>
        <v>45682</v>
      </c>
      <c r="B651" t="str">
        <f>Procurement_Raw!B651</f>
        <v>S006</v>
      </c>
      <c r="C651" t="str">
        <f>Procurement_Raw!C651</f>
        <v>Birmingham Care &amp; Education Centre</v>
      </c>
      <c r="D651" t="str">
        <f>Procurement_Raw!D651</f>
        <v>Midlands</v>
      </c>
      <c r="E651" t="str">
        <f>Procurement_Raw!E651</f>
        <v>ClinEquip</v>
      </c>
      <c r="F651" t="str">
        <f>Procurement_Raw!F651</f>
        <v>Medical Supplies</v>
      </c>
      <c r="G651" t="str">
        <f>Procurement_Raw!G651</f>
        <v>INV-2025-00650</v>
      </c>
      <c r="H651" s="6">
        <f>Procurement_Raw!H651</f>
        <v>14</v>
      </c>
      <c r="I651" s="7">
        <f>Procurement_Raw!I651</f>
        <v>175.99</v>
      </c>
      <c r="J651" s="7">
        <f>Procurement_Raw!J651</f>
        <v>2463.81</v>
      </c>
      <c r="K651" s="6">
        <f>Procurement_Raw!K651</f>
        <v>60</v>
      </c>
      <c r="L651" t="str">
        <f>Procurement_Raw!L651</f>
        <v>ERP</v>
      </c>
      <c r="M651" s="8">
        <f>Procurement_Raw!M651</f>
        <v>492.762</v>
      </c>
      <c r="N651" s="7">
        <f>Procurement_Raw!N651</f>
        <v>2463.81</v>
      </c>
      <c r="O651" s="7">
        <f t="shared" si="20"/>
        <v>2463.81</v>
      </c>
      <c r="P651" t="str">
        <f>IFERROR(INDEX(Supplier_Lookup!$B$2:$B$200,MATCH(E651,Supplier_Lookup!$A$2:$A$200,0)),"Unmapped")</f>
        <v>Medical Supplies</v>
      </c>
      <c r="Q651" s="10">
        <f>IFERROR(INDEX(Category_Targets!$B$2:$B$9,MATCH(F651,Category_Targets!$A$2:$A$9,0)),0)</f>
        <v>0.06</v>
      </c>
      <c r="R651" s="7">
        <f t="shared" si="21"/>
        <v>147.82859999999999</v>
      </c>
    </row>
    <row r="652" spans="1:18" x14ac:dyDescent="0.25">
      <c r="A652" s="5">
        <f>Procurement_Raw!A652</f>
        <v>45885</v>
      </c>
      <c r="B652" t="str">
        <f>Procurement_Raw!B652</f>
        <v>S007</v>
      </c>
      <c r="C652" t="str">
        <f>Procurement_Raw!C652</f>
        <v>Nottingham Care &amp; Education Centre</v>
      </c>
      <c r="D652" t="str">
        <f>Procurement_Raw!D652</f>
        <v>Midlands</v>
      </c>
      <c r="E652" t="str">
        <f>Procurement_Raw!E652</f>
        <v>NourishCo</v>
      </c>
      <c r="F652" t="str">
        <f>Procurement_Raw!F652</f>
        <v>Food &amp; Catering</v>
      </c>
      <c r="G652" t="str">
        <f>Procurement_Raw!G652</f>
        <v>INV-2025-00651</v>
      </c>
      <c r="H652" s="6">
        <f>Procurement_Raw!H652</f>
        <v>49</v>
      </c>
      <c r="I652" s="7">
        <f>Procurement_Raw!I652</f>
        <v>179.7</v>
      </c>
      <c r="J652" s="7">
        <f>Procurement_Raw!J652</f>
        <v>8805.51</v>
      </c>
      <c r="K652" s="6">
        <f>Procurement_Raw!K652</f>
        <v>30</v>
      </c>
      <c r="L652" t="str">
        <f>Procurement_Raw!L652</f>
        <v>Legacy Spend File</v>
      </c>
      <c r="M652" s="8">
        <f>Procurement_Raw!M652</f>
        <v>1761.1020000000001</v>
      </c>
      <c r="N652" s="7">
        <f>Procurement_Raw!N652</f>
        <v>8805.51</v>
      </c>
      <c r="O652" s="7">
        <f t="shared" si="20"/>
        <v>8805.51</v>
      </c>
      <c r="P652" t="str">
        <f>IFERROR(INDEX(Supplier_Lookup!$B$2:$B$200,MATCH(E652,Supplier_Lookup!$A$2:$A$200,0)),"Unmapped")</f>
        <v>Food &amp; Catering</v>
      </c>
      <c r="Q652" s="10">
        <f>IFERROR(INDEX(Category_Targets!$B$2:$B$9,MATCH(F652,Category_Targets!$A$2:$A$9,0)),0)</f>
        <v>0.04</v>
      </c>
      <c r="R652" s="7">
        <f t="shared" si="21"/>
        <v>352.22040000000004</v>
      </c>
    </row>
    <row r="653" spans="1:18" x14ac:dyDescent="0.25">
      <c r="A653" s="5">
        <f>Procurement_Raw!A653</f>
        <v>45736</v>
      </c>
      <c r="B653" t="str">
        <f>Procurement_Raw!B653</f>
        <v>S014</v>
      </c>
      <c r="C653" t="str">
        <f>Procurement_Raw!C653</f>
        <v>Southampton Care &amp; Education Centre</v>
      </c>
      <c r="D653" t="str">
        <f>Procurement_Raw!D653</f>
        <v>South</v>
      </c>
      <c r="E653" t="str">
        <f>Procurement_Raw!E653</f>
        <v>PrintCo</v>
      </c>
      <c r="F653" t="str">
        <f>Procurement_Raw!F653</f>
        <v>Office &amp; Training</v>
      </c>
      <c r="G653" t="str">
        <f>Procurement_Raw!G653</f>
        <v>INV-2025-00652</v>
      </c>
      <c r="H653" s="6">
        <f>Procurement_Raw!H653</f>
        <v>27</v>
      </c>
      <c r="I653" s="7">
        <f>Procurement_Raw!I653</f>
        <v>139.37</v>
      </c>
      <c r="J653" s="7">
        <f>Procurement_Raw!J653</f>
        <v>3762.86</v>
      </c>
      <c r="K653" s="6">
        <f>Procurement_Raw!K653</f>
        <v>60</v>
      </c>
      <c r="L653" t="str">
        <f>Procurement_Raw!L653</f>
        <v>Legacy Spend File</v>
      </c>
      <c r="M653" s="8">
        <f>Procurement_Raw!M653</f>
        <v>752.572</v>
      </c>
      <c r="N653" s="7">
        <f>Procurement_Raw!N653</f>
        <v>3762.86</v>
      </c>
      <c r="O653" s="7">
        <f t="shared" si="20"/>
        <v>3762.86</v>
      </c>
      <c r="P653" t="str">
        <f>IFERROR(INDEX(Supplier_Lookup!$B$2:$B$200,MATCH(E653,Supplier_Lookup!$A$2:$A$200,0)),"Unmapped")</f>
        <v>Office &amp; Training</v>
      </c>
      <c r="Q653" s="10">
        <f>IFERROR(INDEX(Category_Targets!$B$2:$B$9,MATCH(F653,Category_Targets!$A$2:$A$9,0)),0)</f>
        <v>0.04</v>
      </c>
      <c r="R653" s="7">
        <f t="shared" si="21"/>
        <v>150.51439999999999</v>
      </c>
    </row>
    <row r="654" spans="1:18" x14ac:dyDescent="0.25">
      <c r="A654" s="5">
        <f>Procurement_Raw!A654</f>
        <v>45873</v>
      </c>
      <c r="B654" t="str">
        <f>Procurement_Raw!B654</f>
        <v>S010</v>
      </c>
      <c r="C654" t="str">
        <f>Procurement_Raw!C654</f>
        <v>Coventry Care &amp; Education Centre</v>
      </c>
      <c r="D654" t="str">
        <f>Procurement_Raw!D654</f>
        <v>Midlands</v>
      </c>
      <c r="E654" t="str">
        <f>Procurement_Raw!E654</f>
        <v>CareMed</v>
      </c>
      <c r="F654" t="str">
        <f>Procurement_Raw!F654</f>
        <v>Medical Supplies</v>
      </c>
      <c r="G654" t="str">
        <f>Procurement_Raw!G654</f>
        <v>INV-2025-00653</v>
      </c>
      <c r="H654" s="6">
        <f>Procurement_Raw!H654</f>
        <v>13</v>
      </c>
      <c r="I654" s="7">
        <f>Procurement_Raw!I654</f>
        <v>103.5</v>
      </c>
      <c r="J654" s="7">
        <f>Procurement_Raw!J654</f>
        <v>1345.54</v>
      </c>
      <c r="K654" s="6">
        <f>Procurement_Raw!K654</f>
        <v>60</v>
      </c>
      <c r="L654" t="str">
        <f>Procurement_Raw!L654</f>
        <v>Legacy Spend File</v>
      </c>
      <c r="M654" s="8">
        <f>Procurement_Raw!M654</f>
        <v>269.108</v>
      </c>
      <c r="N654" s="7">
        <f>Procurement_Raw!N654</f>
        <v>1345.54</v>
      </c>
      <c r="O654" s="7">
        <f t="shared" si="20"/>
        <v>1345.54</v>
      </c>
      <c r="P654" t="str">
        <f>IFERROR(INDEX(Supplier_Lookup!$B$2:$B$200,MATCH(E654,Supplier_Lookup!$A$2:$A$200,0)),"Unmapped")</f>
        <v>Medical Supplies</v>
      </c>
      <c r="Q654" s="10">
        <f>IFERROR(INDEX(Category_Targets!$B$2:$B$9,MATCH(F654,Category_Targets!$A$2:$A$9,0)),0)</f>
        <v>0.06</v>
      </c>
      <c r="R654" s="7">
        <f t="shared" si="21"/>
        <v>80.732399999999998</v>
      </c>
    </row>
    <row r="655" spans="1:18" x14ac:dyDescent="0.25">
      <c r="A655" s="5">
        <f>Procurement_Raw!A655</f>
        <v>45711</v>
      </c>
      <c r="B655" t="str">
        <f>Procurement_Raw!B655</f>
        <v>S017</v>
      </c>
      <c r="C655" t="str">
        <f>Procurement_Raw!C655</f>
        <v>Swansea Care &amp; Education Centre</v>
      </c>
      <c r="D655" t="str">
        <f>Procurement_Raw!D655</f>
        <v>Wales</v>
      </c>
      <c r="E655" t="str">
        <f>Procurement_Raw!E655</f>
        <v>SafeGuard FM</v>
      </c>
      <c r="F655" t="str">
        <f>Procurement_Raw!F655</f>
        <v>Facilities</v>
      </c>
      <c r="G655" t="str">
        <f>Procurement_Raw!G655</f>
        <v>INV-2025-00654</v>
      </c>
      <c r="H655" s="6">
        <f>Procurement_Raw!H655</f>
        <v>66</v>
      </c>
      <c r="I655" s="7">
        <f>Procurement_Raw!I655</f>
        <v>97.94</v>
      </c>
      <c r="J655" s="7">
        <f>Procurement_Raw!J655</f>
        <v>6464.12</v>
      </c>
      <c r="K655" s="6">
        <f>Procurement_Raw!K655</f>
        <v>60</v>
      </c>
      <c r="L655" t="str">
        <f>Procurement_Raw!L655</f>
        <v>Legacy Spend File</v>
      </c>
      <c r="M655" s="8">
        <f>Procurement_Raw!M655</f>
        <v>1292.8240000000001</v>
      </c>
      <c r="N655" s="7">
        <f>Procurement_Raw!N655</f>
        <v>6464.12</v>
      </c>
      <c r="O655" s="7">
        <f t="shared" si="20"/>
        <v>6464.12</v>
      </c>
      <c r="P655" t="str">
        <f>IFERROR(INDEX(Supplier_Lookup!$B$2:$B$200,MATCH(E655,Supplier_Lookup!$A$2:$A$200,0)),"Unmapped")</f>
        <v>Facilities</v>
      </c>
      <c r="Q655" s="10">
        <f>IFERROR(INDEX(Category_Targets!$B$2:$B$9,MATCH(F655,Category_Targets!$A$2:$A$9,0)),0)</f>
        <v>0.05</v>
      </c>
      <c r="R655" s="7">
        <f t="shared" si="21"/>
        <v>323.20600000000002</v>
      </c>
    </row>
    <row r="656" spans="1:18" x14ac:dyDescent="0.25">
      <c r="A656" s="5">
        <f>Procurement_Raw!A656</f>
        <v>45712</v>
      </c>
      <c r="B656" t="str">
        <f>Procurement_Raw!B656</f>
        <v>S012</v>
      </c>
      <c r="C656" t="str">
        <f>Procurement_Raw!C656</f>
        <v>Bristol Care &amp; Education Centre</v>
      </c>
      <c r="D656" t="str">
        <f>Procurement_Raw!D656</f>
        <v>South</v>
      </c>
      <c r="E656" t="str">
        <f>Procurement_Raw!E656</f>
        <v>CloudLink</v>
      </c>
      <c r="F656" t="str">
        <f>Procurement_Raw!F656</f>
        <v>IT &amp; Telecoms</v>
      </c>
      <c r="G656" t="str">
        <f>Procurement_Raw!G656</f>
        <v>INV-2025-00655</v>
      </c>
      <c r="H656" s="6">
        <f>Procurement_Raw!H656</f>
        <v>64</v>
      </c>
      <c r="I656" s="7">
        <f>Procurement_Raw!I656</f>
        <v>905.94</v>
      </c>
      <c r="J656" s="7">
        <f>Procurement_Raw!J656</f>
        <v>57980.3</v>
      </c>
      <c r="K656" s="6">
        <f>Procurement_Raw!K656</f>
        <v>30</v>
      </c>
      <c r="L656" t="str">
        <f>Procurement_Raw!L656</f>
        <v>Legacy Spend File</v>
      </c>
      <c r="M656" s="8">
        <f>Procurement_Raw!M656</f>
        <v>11596.06</v>
      </c>
      <c r="N656" s="7">
        <f>Procurement_Raw!N656</f>
        <v>57980.3</v>
      </c>
      <c r="O656" s="7">
        <f t="shared" si="20"/>
        <v>57980.3</v>
      </c>
      <c r="P656" t="str">
        <f>IFERROR(INDEX(Supplier_Lookup!$B$2:$B$200,MATCH(E656,Supplier_Lookup!$A$2:$A$200,0)),"Unmapped")</f>
        <v>medical supplies</v>
      </c>
      <c r="Q656" s="10">
        <f>IFERROR(INDEX(Category_Targets!$B$2:$B$9,MATCH(F656,Category_Targets!$A$2:$A$9,0)),0)</f>
        <v>0.08</v>
      </c>
      <c r="R656" s="7">
        <f t="shared" si="21"/>
        <v>4638.424</v>
      </c>
    </row>
    <row r="657" spans="1:18" x14ac:dyDescent="0.25">
      <c r="A657" s="5">
        <f>Procurement_Raw!A657</f>
        <v>45761</v>
      </c>
      <c r="B657" t="str">
        <f>Procurement_Raw!B657</f>
        <v>S016</v>
      </c>
      <c r="C657" t="str">
        <f>Procurement_Raw!C657</f>
        <v>Cardiff Care &amp; Education Centre</v>
      </c>
      <c r="D657" t="str">
        <f>Procurement_Raw!D657</f>
        <v>Wales</v>
      </c>
      <c r="E657" t="str">
        <f>Procurement_Raw!E657</f>
        <v>NetServe</v>
      </c>
      <c r="F657" t="str">
        <f>Procurement_Raw!F657</f>
        <v>IT &amp; Telecoms</v>
      </c>
      <c r="G657" t="str">
        <f>Procurement_Raw!G657</f>
        <v>INV-2025-00656</v>
      </c>
      <c r="H657" s="6">
        <f>Procurement_Raw!H657</f>
        <v>46</v>
      </c>
      <c r="I657" s="7">
        <f>Procurement_Raw!I657</f>
        <v>227.28</v>
      </c>
      <c r="J657" s="7">
        <f>Procurement_Raw!J657</f>
        <v>10455.040000000001</v>
      </c>
      <c r="K657" s="6">
        <f>Procurement_Raw!K657</f>
        <v>60</v>
      </c>
      <c r="L657" t="str">
        <f>Procurement_Raw!L657</f>
        <v>Procurement Portal</v>
      </c>
      <c r="M657" s="8">
        <f>Procurement_Raw!M657</f>
        <v>2091.0079999999998</v>
      </c>
      <c r="N657" s="7">
        <f>Procurement_Raw!N657</f>
        <v>10455.040000000001</v>
      </c>
      <c r="O657" s="7">
        <f t="shared" si="20"/>
        <v>10455.040000000001</v>
      </c>
      <c r="P657" t="str">
        <f>IFERROR(INDEX(Supplier_Lookup!$B$2:$B$200,MATCH(E657,Supplier_Lookup!$A$2:$A$200,0)),"Unmapped")</f>
        <v>IT &amp; Telecoms</v>
      </c>
      <c r="Q657" s="10">
        <f>IFERROR(INDEX(Category_Targets!$B$2:$B$9,MATCH(F657,Category_Targets!$A$2:$A$9,0)),0)</f>
        <v>0.08</v>
      </c>
      <c r="R657" s="7">
        <f t="shared" si="21"/>
        <v>836.40320000000008</v>
      </c>
    </row>
    <row r="658" spans="1:18" x14ac:dyDescent="0.25">
      <c r="A658" s="5">
        <f>Procurement_Raw!A658</f>
        <v>45938</v>
      </c>
      <c r="B658" t="str">
        <f>Procurement_Raw!B658</f>
        <v>S004</v>
      </c>
      <c r="C658" t="str">
        <f>Procurement_Raw!C658</f>
        <v>Newcastle Care &amp; Education Centre</v>
      </c>
      <c r="D658" t="str">
        <f>Procurement_Raw!D658</f>
        <v>North</v>
      </c>
      <c r="E658" t="str">
        <f>Procurement_Raw!E658</f>
        <v>CleanWorks</v>
      </c>
      <c r="F658" t="str">
        <f>Procurement_Raw!F658</f>
        <v>Facilities</v>
      </c>
      <c r="G658" t="str">
        <f>Procurement_Raw!G658</f>
        <v>INV-2025-00657</v>
      </c>
      <c r="H658" s="6">
        <f>Procurement_Raw!H658</f>
        <v>64</v>
      </c>
      <c r="I658" s="7">
        <f>Procurement_Raw!I658</f>
        <v>181.38</v>
      </c>
      <c r="J658" s="7">
        <f>Procurement_Raw!J658</f>
        <v>11608.59</v>
      </c>
      <c r="K658" s="6">
        <f>Procurement_Raw!K658</f>
        <v>30</v>
      </c>
      <c r="L658" t="str">
        <f>Procurement_Raw!L658</f>
        <v>Legacy Spend File</v>
      </c>
      <c r="M658" s="8">
        <f>Procurement_Raw!M658</f>
        <v>2321.7179999999998</v>
      </c>
      <c r="N658" s="7">
        <f>Procurement_Raw!N658</f>
        <v>11608.59</v>
      </c>
      <c r="O658" s="7">
        <f t="shared" si="20"/>
        <v>11608.59</v>
      </c>
      <c r="P658" t="str">
        <f>IFERROR(INDEX(Supplier_Lookup!$B$2:$B$200,MATCH(E658,Supplier_Lookup!$A$2:$A$200,0)),"Unmapped")</f>
        <v>Facilities</v>
      </c>
      <c r="Q658" s="10">
        <f>IFERROR(INDEX(Category_Targets!$B$2:$B$9,MATCH(F658,Category_Targets!$A$2:$A$9,0)),0)</f>
        <v>0.05</v>
      </c>
      <c r="R658" s="7">
        <f t="shared" si="21"/>
        <v>580.42950000000008</v>
      </c>
    </row>
    <row r="659" spans="1:18" x14ac:dyDescent="0.25">
      <c r="A659" s="5">
        <f>Procurement_Raw!A659</f>
        <v>45659</v>
      </c>
      <c r="B659" t="str">
        <f>Procurement_Raw!B659</f>
        <v>S006</v>
      </c>
      <c r="C659" t="str">
        <f>Procurement_Raw!C659</f>
        <v>Birmingham Care &amp; Education Centre</v>
      </c>
      <c r="D659" t="str">
        <f>Procurement_Raw!D659</f>
        <v>Midlands</v>
      </c>
      <c r="E659" t="str">
        <f>Procurement_Raw!E659</f>
        <v>FleetFuel</v>
      </c>
      <c r="F659" t="str">
        <f>Procurement_Raw!F659</f>
        <v>Vehicle &amp; Fuel</v>
      </c>
      <c r="G659" t="str">
        <f>Procurement_Raw!G659</f>
        <v>INV-2025-00658</v>
      </c>
      <c r="H659" s="6">
        <f>Procurement_Raw!H659</f>
        <v>2</v>
      </c>
      <c r="I659" s="7">
        <f>Procurement_Raw!I659</f>
        <v>93.75</v>
      </c>
      <c r="J659" s="7">
        <f>Procurement_Raw!J659</f>
        <v>187.5</v>
      </c>
      <c r="K659" s="6">
        <f>Procurement_Raw!K659</f>
        <v>60</v>
      </c>
      <c r="L659" t="str">
        <f>Procurement_Raw!L659</f>
        <v>ERP</v>
      </c>
      <c r="M659" s="8">
        <f>Procurement_Raw!M659</f>
        <v>37.5</v>
      </c>
      <c r="N659" s="7">
        <f>Procurement_Raw!N659</f>
        <v>187.5</v>
      </c>
      <c r="O659" s="7">
        <f t="shared" si="20"/>
        <v>187.5</v>
      </c>
      <c r="P659" t="str">
        <f>IFERROR(INDEX(Supplier_Lookup!$B$2:$B$200,MATCH(E659,Supplier_Lookup!$A$2:$A$200,0)),"Unmapped")</f>
        <v>Vehicle &amp; Fuel</v>
      </c>
      <c r="Q659" s="10">
        <f>IFERROR(INDEX(Category_Targets!$B$2:$B$9,MATCH(F659,Category_Targets!$A$2:$A$9,0)),0)</f>
        <v>0.05</v>
      </c>
      <c r="R659" s="7">
        <f t="shared" si="21"/>
        <v>9.375</v>
      </c>
    </row>
    <row r="660" spans="1:18" x14ac:dyDescent="0.25">
      <c r="A660" s="5">
        <f>Procurement_Raw!A660</f>
        <v>45704</v>
      </c>
      <c r="B660" t="str">
        <f>Procurement_Raw!B660</f>
        <v>S007</v>
      </c>
      <c r="C660" t="str">
        <f>Procurement_Raw!C660</f>
        <v>Nottingham Care &amp; Education Centre</v>
      </c>
      <c r="D660" t="str">
        <f>Procurement_Raw!D660</f>
        <v>Midlands</v>
      </c>
      <c r="E660" t="str">
        <f>Procurement_Raw!E660</f>
        <v>OfficePlus</v>
      </c>
      <c r="F660" t="str">
        <f>Procurement_Raw!F660</f>
        <v>Office &amp; Training</v>
      </c>
      <c r="G660" t="str">
        <f>Procurement_Raw!G660</f>
        <v>INV-2025-00659</v>
      </c>
      <c r="H660" s="6">
        <f>Procurement_Raw!H660</f>
        <v>66</v>
      </c>
      <c r="I660" s="7">
        <f>Procurement_Raw!I660</f>
        <v>83.63</v>
      </c>
      <c r="J660" s="7">
        <f>Procurement_Raw!J660</f>
        <v>5519.76</v>
      </c>
      <c r="K660" s="6">
        <f>Procurement_Raw!K660</f>
        <v>30</v>
      </c>
      <c r="L660" t="str">
        <f>Procurement_Raw!L660</f>
        <v>Legacy Spend File</v>
      </c>
      <c r="M660" s="8">
        <f>Procurement_Raw!M660</f>
        <v>1103.952</v>
      </c>
      <c r="N660" s="7">
        <f>Procurement_Raw!N660</f>
        <v>5519.76</v>
      </c>
      <c r="O660" s="7">
        <f t="shared" si="20"/>
        <v>5519.76</v>
      </c>
      <c r="P660" t="str">
        <f>IFERROR(INDEX(Supplier_Lookup!$B$2:$B$200,MATCH(E660,Supplier_Lookup!$A$2:$A$200,0)),"Unmapped")</f>
        <v>Office &amp; Training</v>
      </c>
      <c r="Q660" s="10">
        <f>IFERROR(INDEX(Category_Targets!$B$2:$B$9,MATCH(F660,Category_Targets!$A$2:$A$9,0)),0)</f>
        <v>0.04</v>
      </c>
      <c r="R660" s="7">
        <f t="shared" si="21"/>
        <v>220.79040000000001</v>
      </c>
    </row>
    <row r="661" spans="1:18" x14ac:dyDescent="0.25">
      <c r="A661" s="5">
        <f>Procurement_Raw!A661</f>
        <v>45987</v>
      </c>
      <c r="B661" t="str">
        <f>Procurement_Raw!B661</f>
        <v>S001</v>
      </c>
      <c r="C661" t="str">
        <f>Procurement_Raw!C661</f>
        <v>Preston Care &amp; Education Centre</v>
      </c>
      <c r="D661" t="str">
        <f>Procurement_Raw!D661</f>
        <v>North</v>
      </c>
      <c r="E661" t="str">
        <f>Procurement_Raw!E661</f>
        <v>NourishCo</v>
      </c>
      <c r="F661" t="str">
        <f>Procurement_Raw!F661</f>
        <v>Food &amp; Catering</v>
      </c>
      <c r="G661" t="str">
        <f>Procurement_Raw!G661</f>
        <v>INV-2025-00660</v>
      </c>
      <c r="H661" s="6">
        <f>Procurement_Raw!H661</f>
        <v>30</v>
      </c>
      <c r="I661" s="7">
        <f>Procurement_Raw!I661</f>
        <v>60.04</v>
      </c>
      <c r="J661" s="7">
        <f>Procurement_Raw!J661</f>
        <v>1801.16</v>
      </c>
      <c r="K661" s="6">
        <f>Procurement_Raw!K661</f>
        <v>45</v>
      </c>
      <c r="L661" t="str">
        <f>Procurement_Raw!L661</f>
        <v>Procurement Portal</v>
      </c>
      <c r="M661" s="8">
        <f>Procurement_Raw!M661</f>
        <v>360.23200000000003</v>
      </c>
      <c r="N661" s="7">
        <f>Procurement_Raw!N661</f>
        <v>1801.16</v>
      </c>
      <c r="O661" s="7">
        <f t="shared" si="20"/>
        <v>1801.16</v>
      </c>
      <c r="P661" t="str">
        <f>IFERROR(INDEX(Supplier_Lookup!$B$2:$B$200,MATCH(E661,Supplier_Lookup!$A$2:$A$200,0)),"Unmapped")</f>
        <v>Food &amp; Catering</v>
      </c>
      <c r="Q661" s="10">
        <f>IFERROR(INDEX(Category_Targets!$B$2:$B$9,MATCH(F661,Category_Targets!$A$2:$A$9,0)),0)</f>
        <v>0.04</v>
      </c>
      <c r="R661" s="7">
        <f t="shared" si="21"/>
        <v>72.046400000000006</v>
      </c>
    </row>
    <row r="662" spans="1:18" x14ac:dyDescent="0.25">
      <c r="A662" s="5">
        <f>Procurement_Raw!A662</f>
        <v>45709</v>
      </c>
      <c r="B662" t="str">
        <f>Procurement_Raw!B662</f>
        <v>S013</v>
      </c>
      <c r="C662" t="str">
        <f>Procurement_Raw!C662</f>
        <v>Reading Care &amp; Education Centre</v>
      </c>
      <c r="D662" t="str">
        <f>Procurement_Raw!D662</f>
        <v>South</v>
      </c>
      <c r="E662" t="str">
        <f>Procurement_Raw!E662</f>
        <v>OfficePlus</v>
      </c>
      <c r="F662" t="str">
        <f>Procurement_Raw!F662</f>
        <v>Office &amp; Training</v>
      </c>
      <c r="G662" t="str">
        <f>Procurement_Raw!G662</f>
        <v>INV-2025-00661</v>
      </c>
      <c r="H662" s="6">
        <f>Procurement_Raw!H662</f>
        <v>23</v>
      </c>
      <c r="I662" s="7">
        <f>Procurement_Raw!I662</f>
        <v>54.71</v>
      </c>
      <c r="J662" s="7">
        <f>Procurement_Raw!J662</f>
        <v>1258.24</v>
      </c>
      <c r="K662" s="6">
        <f>Procurement_Raw!K662</f>
        <v>30</v>
      </c>
      <c r="L662" t="str">
        <f>Procurement_Raw!L662</f>
        <v>Procurement Portal</v>
      </c>
      <c r="M662" s="8">
        <f>Procurement_Raw!M662</f>
        <v>251.648</v>
      </c>
      <c r="N662" s="7">
        <f>Procurement_Raw!N662</f>
        <v>1258.24</v>
      </c>
      <c r="O662" s="7">
        <f t="shared" si="20"/>
        <v>1258.24</v>
      </c>
      <c r="P662" t="str">
        <f>IFERROR(INDEX(Supplier_Lookup!$B$2:$B$200,MATCH(E662,Supplier_Lookup!$A$2:$A$200,0)),"Unmapped")</f>
        <v>Office &amp; Training</v>
      </c>
      <c r="Q662" s="10">
        <f>IFERROR(INDEX(Category_Targets!$B$2:$B$9,MATCH(F662,Category_Targets!$A$2:$A$9,0)),0)</f>
        <v>0.04</v>
      </c>
      <c r="R662" s="7">
        <f t="shared" si="21"/>
        <v>50.329599999999999</v>
      </c>
    </row>
    <row r="663" spans="1:18" x14ac:dyDescent="0.25">
      <c r="A663" s="5">
        <f>Procurement_Raw!A663</f>
        <v>45717</v>
      </c>
      <c r="B663" t="str">
        <f>Procurement_Raw!B663</f>
        <v>S012</v>
      </c>
      <c r="C663" t="str">
        <f>Procurement_Raw!C663</f>
        <v>Bristol Care &amp; Education Centre</v>
      </c>
      <c r="D663" t="str">
        <f>Procurement_Raw!D663</f>
        <v>South</v>
      </c>
      <c r="E663" t="str">
        <f>Procurement_Raw!E663</f>
        <v>RoadReady</v>
      </c>
      <c r="F663" t="str">
        <f>Procurement_Raw!F663</f>
        <v>Vehicle &amp; Fuel</v>
      </c>
      <c r="G663" t="str">
        <f>Procurement_Raw!G663</f>
        <v>INV-2025-00662</v>
      </c>
      <c r="H663" s="6">
        <f>Procurement_Raw!H663</f>
        <v>13</v>
      </c>
      <c r="I663" s="7">
        <f>Procurement_Raw!I663</f>
        <v>70.319999999999993</v>
      </c>
      <c r="J663" s="7">
        <f>Procurement_Raw!J663</f>
        <v>914.2</v>
      </c>
      <c r="K663" s="6">
        <f>Procurement_Raw!K663</f>
        <v>30</v>
      </c>
      <c r="L663" t="str">
        <f>Procurement_Raw!L663</f>
        <v>ERP</v>
      </c>
      <c r="M663" s="8">
        <f>Procurement_Raw!M663</f>
        <v>182.84</v>
      </c>
      <c r="N663" s="7">
        <f>Procurement_Raw!N663</f>
        <v>914.2</v>
      </c>
      <c r="O663" s="7">
        <f t="shared" si="20"/>
        <v>914.2</v>
      </c>
      <c r="P663" t="str">
        <f>IFERROR(INDEX(Supplier_Lookup!$B$2:$B$200,MATCH(E663,Supplier_Lookup!$A$2:$A$200,0)),"Unmapped")</f>
        <v>Vehicle &amp; Fuel</v>
      </c>
      <c r="Q663" s="10">
        <f>IFERROR(INDEX(Category_Targets!$B$2:$B$9,MATCH(F663,Category_Targets!$A$2:$A$9,0)),0)</f>
        <v>0.05</v>
      </c>
      <c r="R663" s="7">
        <f t="shared" si="21"/>
        <v>45.710000000000008</v>
      </c>
    </row>
    <row r="664" spans="1:18" x14ac:dyDescent="0.25">
      <c r="A664" s="5">
        <f>Procurement_Raw!A664</f>
        <v>45841</v>
      </c>
      <c r="B664" t="str">
        <f>Procurement_Raw!B664</f>
        <v>S018</v>
      </c>
      <c r="C664" t="str">
        <f>Procurement_Raw!C664</f>
        <v>Newport Care &amp; Education Centre</v>
      </c>
      <c r="D664" t="str">
        <f>Procurement_Raw!D664</f>
        <v>Wales</v>
      </c>
      <c r="E664" t="str">
        <f>Procurement_Raw!E664</f>
        <v>SafeGuard FM</v>
      </c>
      <c r="F664" t="str">
        <f>Procurement_Raw!F664</f>
        <v>Facilities</v>
      </c>
      <c r="G664" t="str">
        <f>Procurement_Raw!G664</f>
        <v>INV-2025-00663</v>
      </c>
      <c r="H664" s="6">
        <f>Procurement_Raw!H664</f>
        <v>57</v>
      </c>
      <c r="I664" s="7">
        <f>Procurement_Raw!I664</f>
        <v>176.79</v>
      </c>
      <c r="J664" s="7">
        <f>Procurement_Raw!J664</f>
        <v>10076.83</v>
      </c>
      <c r="K664" s="6">
        <f>Procurement_Raw!K664</f>
        <v>60</v>
      </c>
      <c r="L664" t="str">
        <f>Procurement_Raw!L664</f>
        <v>Procurement Portal</v>
      </c>
      <c r="M664" s="8">
        <f>Procurement_Raw!M664</f>
        <v>2015.366</v>
      </c>
      <c r="N664" s="7">
        <f>Procurement_Raw!N664</f>
        <v>10076.83</v>
      </c>
      <c r="O664" s="7">
        <f t="shared" si="20"/>
        <v>10076.83</v>
      </c>
      <c r="P664" t="str">
        <f>IFERROR(INDEX(Supplier_Lookup!$B$2:$B$200,MATCH(E664,Supplier_Lookup!$A$2:$A$200,0)),"Unmapped")</f>
        <v>Facilities</v>
      </c>
      <c r="Q664" s="10">
        <f>IFERROR(INDEX(Category_Targets!$B$2:$B$9,MATCH(F664,Category_Targets!$A$2:$A$9,0)),0)</f>
        <v>0.05</v>
      </c>
      <c r="R664" s="7">
        <f t="shared" si="21"/>
        <v>503.8415</v>
      </c>
    </row>
    <row r="665" spans="1:18" x14ac:dyDescent="0.25">
      <c r="A665" s="5">
        <f>Procurement_Raw!A665</f>
        <v>45833</v>
      </c>
      <c r="B665" t="str">
        <f>Procurement_Raw!B665</f>
        <v>S012</v>
      </c>
      <c r="C665" t="str">
        <f>Procurement_Raw!C665</f>
        <v>Bristol Care &amp; Education Centre</v>
      </c>
      <c r="D665" t="str">
        <f>Procurement_Raw!D665</f>
        <v>South</v>
      </c>
      <c r="E665" t="str">
        <f>Procurement_Raw!E665</f>
        <v>NourishCo</v>
      </c>
      <c r="F665" t="str">
        <f>Procurement_Raw!F665</f>
        <v>Food &amp; Catering</v>
      </c>
      <c r="G665" t="str">
        <f>Procurement_Raw!G665</f>
        <v>INV-2025-00664</v>
      </c>
      <c r="H665" s="6">
        <f>Procurement_Raw!H665</f>
        <v>24</v>
      </c>
      <c r="I665" s="7">
        <f>Procurement_Raw!I665</f>
        <v>48.21</v>
      </c>
      <c r="J665" s="7">
        <f>Procurement_Raw!J665</f>
        <v>1156.97</v>
      </c>
      <c r="K665" s="6">
        <f>Procurement_Raw!K665</f>
        <v>30</v>
      </c>
      <c r="L665" t="str">
        <f>Procurement_Raw!L665</f>
        <v>Procurement Portal</v>
      </c>
      <c r="M665" s="8">
        <f>Procurement_Raw!M665</f>
        <v>231.39400000000001</v>
      </c>
      <c r="N665" s="7">
        <f>Procurement_Raw!N665</f>
        <v>1156.97</v>
      </c>
      <c r="O665" s="7">
        <f t="shared" si="20"/>
        <v>1156.97</v>
      </c>
      <c r="P665" t="str">
        <f>IFERROR(INDEX(Supplier_Lookup!$B$2:$B$200,MATCH(E665,Supplier_Lookup!$A$2:$A$200,0)),"Unmapped")</f>
        <v>Food &amp; Catering</v>
      </c>
      <c r="Q665" s="10">
        <f>IFERROR(INDEX(Category_Targets!$B$2:$B$9,MATCH(F665,Category_Targets!$A$2:$A$9,0)),0)</f>
        <v>0.04</v>
      </c>
      <c r="R665" s="7">
        <f t="shared" si="21"/>
        <v>46.278800000000004</v>
      </c>
    </row>
    <row r="666" spans="1:18" x14ac:dyDescent="0.25">
      <c r="A666" s="5">
        <f>Procurement_Raw!A666</f>
        <v>45855</v>
      </c>
      <c r="B666" t="str">
        <f>Procurement_Raw!B666</f>
        <v>S012</v>
      </c>
      <c r="C666" t="str">
        <f>Procurement_Raw!C666</f>
        <v>Bristol Care &amp; Education Centre</v>
      </c>
      <c r="D666" t="str">
        <f>Procurement_Raw!D666</f>
        <v>South</v>
      </c>
      <c r="E666" t="str">
        <f>Procurement_Raw!E666</f>
        <v>LearnWell</v>
      </c>
      <c r="F666" t="str">
        <f>Procurement_Raw!F666</f>
        <v>Office &amp; Training</v>
      </c>
      <c r="G666" t="str">
        <f>Procurement_Raw!G666</f>
        <v>INV-2025-00665</v>
      </c>
      <c r="H666" s="6">
        <f>Procurement_Raw!H666</f>
        <v>62</v>
      </c>
      <c r="I666" s="7">
        <f>Procurement_Raw!I666</f>
        <v>50.67</v>
      </c>
      <c r="J666" s="7">
        <f>Procurement_Raw!J666</f>
        <v>3141.82</v>
      </c>
      <c r="K666" s="6">
        <f>Procurement_Raw!K666</f>
        <v>45</v>
      </c>
      <c r="L666" t="str">
        <f>Procurement_Raw!L666</f>
        <v>Legacy Spend File</v>
      </c>
      <c r="M666" s="8">
        <f>Procurement_Raw!M666</f>
        <v>628.36400000000003</v>
      </c>
      <c r="N666" s="7">
        <f>Procurement_Raw!N666</f>
        <v>3141.82</v>
      </c>
      <c r="O666" s="7">
        <f t="shared" si="20"/>
        <v>3141.82</v>
      </c>
      <c r="P666" t="str">
        <f>IFERROR(INDEX(Supplier_Lookup!$B$2:$B$200,MATCH(E666,Supplier_Lookup!$A$2:$A$200,0)),"Unmapped")</f>
        <v>Office &amp; Training</v>
      </c>
      <c r="Q666" s="10">
        <f>IFERROR(INDEX(Category_Targets!$B$2:$B$9,MATCH(F666,Category_Targets!$A$2:$A$9,0)),0)</f>
        <v>0.04</v>
      </c>
      <c r="R666" s="7">
        <f t="shared" si="21"/>
        <v>125.67280000000001</v>
      </c>
    </row>
    <row r="667" spans="1:18" x14ac:dyDescent="0.25">
      <c r="A667" s="5">
        <f>Procurement_Raw!A667</f>
        <v>46014</v>
      </c>
      <c r="B667" t="str">
        <f>Procurement_Raw!B667</f>
        <v>S009</v>
      </c>
      <c r="C667" t="str">
        <f>Procurement_Raw!C667</f>
        <v>Derby Care &amp; Education Centre</v>
      </c>
      <c r="D667" t="str">
        <f>Procurement_Raw!D667</f>
        <v>Midlands</v>
      </c>
      <c r="E667" t="str">
        <f>Procurement_Raw!E667</f>
        <v>FreshServe</v>
      </c>
      <c r="F667" t="str">
        <f>Procurement_Raw!F667</f>
        <v>Food &amp; Catering</v>
      </c>
      <c r="G667" t="str">
        <f>Procurement_Raw!G667</f>
        <v>INV-2025-00666</v>
      </c>
      <c r="H667" s="6">
        <f>Procurement_Raw!H667</f>
        <v>8</v>
      </c>
      <c r="I667" s="7">
        <f>Procurement_Raw!I667</f>
        <v>68.92</v>
      </c>
      <c r="J667" s="7">
        <f>Procurement_Raw!J667</f>
        <v>551.35</v>
      </c>
      <c r="K667" s="6">
        <f>Procurement_Raw!K667</f>
        <v>30</v>
      </c>
      <c r="L667" t="str">
        <f>Procurement_Raw!L667</f>
        <v>ERP</v>
      </c>
      <c r="M667" s="8">
        <f>Procurement_Raw!M667</f>
        <v>110.27</v>
      </c>
      <c r="N667" s="7">
        <f>Procurement_Raw!N667</f>
        <v>551.35</v>
      </c>
      <c r="O667" s="7">
        <f t="shared" si="20"/>
        <v>551.35</v>
      </c>
      <c r="P667" t="str">
        <f>IFERROR(INDEX(Supplier_Lookup!$B$2:$B$200,MATCH(E667,Supplier_Lookup!$A$2:$A$200,0)),"Unmapped")</f>
        <v>Food &amp; Catering</v>
      </c>
      <c r="Q667" s="10">
        <f>IFERROR(INDEX(Category_Targets!$B$2:$B$9,MATCH(F667,Category_Targets!$A$2:$A$9,0)),0)</f>
        <v>0.04</v>
      </c>
      <c r="R667" s="7">
        <f t="shared" si="21"/>
        <v>22.054000000000002</v>
      </c>
    </row>
    <row r="668" spans="1:18" x14ac:dyDescent="0.25">
      <c r="A668" s="5">
        <f>Procurement_Raw!A668</f>
        <v>46005</v>
      </c>
      <c r="B668" t="str">
        <f>Procurement_Raw!B668</f>
        <v>S009</v>
      </c>
      <c r="C668" t="str">
        <f>Procurement_Raw!C668</f>
        <v>Derby Care &amp; Education Centre</v>
      </c>
      <c r="D668" t="str">
        <f>Procurement_Raw!D668</f>
        <v>Midlands</v>
      </c>
      <c r="E668" t="str">
        <f>Procurement_Raw!E668</f>
        <v>PrintCo</v>
      </c>
      <c r="F668" t="str">
        <f>Procurement_Raw!F668</f>
        <v>Office &amp; Training</v>
      </c>
      <c r="G668" t="str">
        <f>Procurement_Raw!G668</f>
        <v>INV-2025-00667</v>
      </c>
      <c r="H668" s="6">
        <f>Procurement_Raw!H668</f>
        <v>57</v>
      </c>
      <c r="I668" s="7">
        <f>Procurement_Raw!I668</f>
        <v>65.19</v>
      </c>
      <c r="J668" s="7">
        <f>Procurement_Raw!J668</f>
        <v>3715.62</v>
      </c>
      <c r="K668" s="6">
        <f>Procurement_Raw!K668</f>
        <v>30</v>
      </c>
      <c r="L668" t="str">
        <f>Procurement_Raw!L668</f>
        <v>Legacy Spend File</v>
      </c>
      <c r="M668" s="8">
        <f>Procurement_Raw!M668</f>
        <v>743.12400000000002</v>
      </c>
      <c r="N668" s="7">
        <f>Procurement_Raw!N668</f>
        <v>3715.62</v>
      </c>
      <c r="O668" s="7">
        <f t="shared" si="20"/>
        <v>3715.62</v>
      </c>
      <c r="P668" t="str">
        <f>IFERROR(INDEX(Supplier_Lookup!$B$2:$B$200,MATCH(E668,Supplier_Lookup!$A$2:$A$200,0)),"Unmapped")</f>
        <v>Office &amp; Training</v>
      </c>
      <c r="Q668" s="10">
        <f>IFERROR(INDEX(Category_Targets!$B$2:$B$9,MATCH(F668,Category_Targets!$A$2:$A$9,0)),0)</f>
        <v>0.04</v>
      </c>
      <c r="R668" s="7">
        <f t="shared" si="21"/>
        <v>148.62479999999999</v>
      </c>
    </row>
    <row r="669" spans="1:18" x14ac:dyDescent="0.25">
      <c r="A669" s="5">
        <f>Procurement_Raw!A669</f>
        <v>45672</v>
      </c>
      <c r="B669" t="str">
        <f>Procurement_Raw!B669</f>
        <v>S013</v>
      </c>
      <c r="C669" t="str">
        <f>Procurement_Raw!C669</f>
        <v>Reading Care &amp; Education Centre</v>
      </c>
      <c r="D669" t="str">
        <f>Procurement_Raw!D669</f>
        <v>South</v>
      </c>
      <c r="E669" t="str">
        <f>Procurement_Raw!E669</f>
        <v>AutoCare</v>
      </c>
      <c r="F669" t="str">
        <f>Procurement_Raw!F669</f>
        <v>Vehicle &amp; Fuel</v>
      </c>
      <c r="G669" t="str">
        <f>Procurement_Raw!G669</f>
        <v>INV-2025-00668</v>
      </c>
      <c r="H669" s="6">
        <f>Procurement_Raw!H669</f>
        <v>17</v>
      </c>
      <c r="I669" s="7">
        <f>Procurement_Raw!I669</f>
        <v>217.26</v>
      </c>
      <c r="J669" s="7">
        <f>Procurement_Raw!J669</f>
        <v>3693.34</v>
      </c>
      <c r="K669" s="6">
        <f>Procurement_Raw!K669</f>
        <v>45</v>
      </c>
      <c r="L669" t="str">
        <f>Procurement_Raw!L669</f>
        <v>Procurement Portal</v>
      </c>
      <c r="M669" s="8">
        <f>Procurement_Raw!M669</f>
        <v>738.66800000000001</v>
      </c>
      <c r="N669" s="7">
        <f>Procurement_Raw!N669</f>
        <v>3693.34</v>
      </c>
      <c r="O669" s="7">
        <f t="shared" si="20"/>
        <v>3693.34</v>
      </c>
      <c r="P669" t="str">
        <f>IFERROR(INDEX(Supplier_Lookup!$B$2:$B$200,MATCH(E669,Supplier_Lookup!$A$2:$A$200,0)),"Unmapped")</f>
        <v>Vehicle &amp; Fuel</v>
      </c>
      <c r="Q669" s="10">
        <f>IFERROR(INDEX(Category_Targets!$B$2:$B$9,MATCH(F669,Category_Targets!$A$2:$A$9,0)),0)</f>
        <v>0.05</v>
      </c>
      <c r="R669" s="7">
        <f t="shared" si="21"/>
        <v>184.66700000000003</v>
      </c>
    </row>
    <row r="670" spans="1:18" x14ac:dyDescent="0.25">
      <c r="A670" s="5">
        <f>Procurement_Raw!A670</f>
        <v>45681</v>
      </c>
      <c r="B670" t="str">
        <f>Procurement_Raw!B670</f>
        <v>S003</v>
      </c>
      <c r="C670" t="str">
        <f>Procurement_Raw!C670</f>
        <v>Leeds Care &amp; Education Centre</v>
      </c>
      <c r="D670" t="str">
        <f>Procurement_Raw!D670</f>
        <v>North</v>
      </c>
      <c r="E670" t="str">
        <f>Procurement_Raw!E670</f>
        <v>CareTemps</v>
      </c>
      <c r="F670" t="str">
        <f>Procurement_Raw!F670</f>
        <v>Agency Labour</v>
      </c>
      <c r="G670" t="str">
        <f>Procurement_Raw!G670</f>
        <v>INV-2025-00669</v>
      </c>
      <c r="H670" s="6">
        <f>Procurement_Raw!H670</f>
        <v>9</v>
      </c>
      <c r="I670" s="7">
        <f>Procurement_Raw!I670</f>
        <v>69.81</v>
      </c>
      <c r="J670" s="7">
        <f>Procurement_Raw!J670</f>
        <v>628.27</v>
      </c>
      <c r="K670" s="6">
        <f>Procurement_Raw!K670</f>
        <v>45</v>
      </c>
      <c r="L670" t="str">
        <f>Procurement_Raw!L670</f>
        <v>Legacy Spend File</v>
      </c>
      <c r="M670" s="8">
        <f>Procurement_Raw!M670</f>
        <v>125.654</v>
      </c>
      <c r="N670" s="7">
        <f>Procurement_Raw!N670</f>
        <v>628.27</v>
      </c>
      <c r="O670" s="7">
        <f t="shared" si="20"/>
        <v>628.27</v>
      </c>
      <c r="P670" t="str">
        <f>IFERROR(INDEX(Supplier_Lookup!$B$2:$B$200,MATCH(E670,Supplier_Lookup!$A$2:$A$200,0)),"Unmapped")</f>
        <v>Agency Labour</v>
      </c>
      <c r="Q670" s="10">
        <f>IFERROR(INDEX(Category_Targets!$B$2:$B$9,MATCH(F670,Category_Targets!$A$2:$A$9,0)),0)</f>
        <v>7.0000000000000007E-2</v>
      </c>
      <c r="R670" s="7">
        <f t="shared" si="21"/>
        <v>43.978900000000003</v>
      </c>
    </row>
    <row r="671" spans="1:18" x14ac:dyDescent="0.25">
      <c r="A671" s="5">
        <f>Procurement_Raw!A671</f>
        <v>46005</v>
      </c>
      <c r="B671" t="str">
        <f>Procurement_Raw!B671</f>
        <v>S020</v>
      </c>
      <c r="C671" t="str">
        <f>Procurement_Raw!C671</f>
        <v>Bangor Care &amp; Education Centre</v>
      </c>
      <c r="D671" t="str">
        <f>Procurement_Raw!D671</f>
        <v>Wales</v>
      </c>
      <c r="E671" t="str">
        <f>Procurement_Raw!E671</f>
        <v>ClinEquip</v>
      </c>
      <c r="F671" t="str">
        <f>Procurement_Raw!F671</f>
        <v>Medical Supplies</v>
      </c>
      <c r="G671" t="str">
        <f>Procurement_Raw!G671</f>
        <v>INV-2025-00670</v>
      </c>
      <c r="H671" s="6">
        <f>Procurement_Raw!H671</f>
        <v>68</v>
      </c>
      <c r="I671" s="7">
        <f>Procurement_Raw!I671</f>
        <v>218.73</v>
      </c>
      <c r="J671" s="7">
        <f>Procurement_Raw!J671</f>
        <v>14873.38</v>
      </c>
      <c r="K671" s="6">
        <f>Procurement_Raw!K671</f>
        <v>60</v>
      </c>
      <c r="L671" t="str">
        <f>Procurement_Raw!L671</f>
        <v>Legacy Spend File</v>
      </c>
      <c r="M671" s="8">
        <f>Procurement_Raw!M671</f>
        <v>2974.6759999999999</v>
      </c>
      <c r="N671" s="7">
        <f>Procurement_Raw!N671</f>
        <v>14873.38</v>
      </c>
      <c r="O671" s="7">
        <f t="shared" si="20"/>
        <v>14873.38</v>
      </c>
      <c r="P671" t="str">
        <f>IFERROR(INDEX(Supplier_Lookup!$B$2:$B$200,MATCH(E671,Supplier_Lookup!$A$2:$A$200,0)),"Unmapped")</f>
        <v>Medical Supplies</v>
      </c>
      <c r="Q671" s="10">
        <f>IFERROR(INDEX(Category_Targets!$B$2:$B$9,MATCH(F671,Category_Targets!$A$2:$A$9,0)),0)</f>
        <v>0.06</v>
      </c>
      <c r="R671" s="7">
        <f t="shared" si="21"/>
        <v>892.40279999999996</v>
      </c>
    </row>
    <row r="672" spans="1:18" x14ac:dyDescent="0.25">
      <c r="A672" s="5">
        <f>Procurement_Raw!A672</f>
        <v>45831</v>
      </c>
      <c r="B672" t="str">
        <f>Procurement_Raw!B672</f>
        <v>S018</v>
      </c>
      <c r="C672" t="str">
        <f>Procurement_Raw!C672</f>
        <v>Newport Care &amp; Education Centre</v>
      </c>
      <c r="D672" t="str">
        <f>Procurement_Raw!D672</f>
        <v>Wales</v>
      </c>
      <c r="E672" t="str">
        <f>Procurement_Raw!E672</f>
        <v>PowerDirect</v>
      </c>
      <c r="F672" t="str">
        <f>Procurement_Raw!F672</f>
        <v>Utilities</v>
      </c>
      <c r="G672" t="str">
        <f>Procurement_Raw!G672</f>
        <v>INV-2025-00671</v>
      </c>
      <c r="H672" s="6">
        <f>Procurement_Raw!H672</f>
        <v>67</v>
      </c>
      <c r="I672" s="7">
        <f>Procurement_Raw!I672</f>
        <v>496.12</v>
      </c>
      <c r="J672" s="7">
        <f>Procurement_Raw!J672</f>
        <v>33239.71</v>
      </c>
      <c r="K672" s="6">
        <f>Procurement_Raw!K672</f>
        <v>60</v>
      </c>
      <c r="L672" t="str">
        <f>Procurement_Raw!L672</f>
        <v>Legacy Spend File</v>
      </c>
      <c r="M672" s="8">
        <f>Procurement_Raw!M672</f>
        <v>6647.942</v>
      </c>
      <c r="N672" s="7">
        <f>Procurement_Raw!N672</f>
        <v>33239.71</v>
      </c>
      <c r="O672" s="7">
        <f t="shared" si="20"/>
        <v>33239.71</v>
      </c>
      <c r="P672" t="str">
        <f>IFERROR(INDEX(Supplier_Lookup!$B$2:$B$200,MATCH(E672,Supplier_Lookup!$A$2:$A$200,0)),"Unmapped")</f>
        <v>Utilities</v>
      </c>
      <c r="Q672" s="10">
        <f>IFERROR(INDEX(Category_Targets!$B$2:$B$9,MATCH(F672,Category_Targets!$A$2:$A$9,0)),0)</f>
        <v>0.03</v>
      </c>
      <c r="R672" s="7">
        <f t="shared" si="21"/>
        <v>997.19129999999996</v>
      </c>
    </row>
    <row r="673" spans="1:18" x14ac:dyDescent="0.25">
      <c r="A673" s="5">
        <f>Procurement_Raw!A673</f>
        <v>45996</v>
      </c>
      <c r="B673" t="str">
        <f>Procurement_Raw!B673</f>
        <v>S020</v>
      </c>
      <c r="C673" t="str">
        <f>Procurement_Raw!C673</f>
        <v>Bangor Care &amp; Education Centre</v>
      </c>
      <c r="D673" t="str">
        <f>Procurement_Raw!D673</f>
        <v>Wales</v>
      </c>
      <c r="E673" t="str">
        <f>Procurement_Raw!E673</f>
        <v>NourishCo</v>
      </c>
      <c r="F673" t="str">
        <f>Procurement_Raw!F673</f>
        <v>Food &amp; Catering</v>
      </c>
      <c r="G673" t="str">
        <f>Procurement_Raw!G673</f>
        <v>INV-2025-00672</v>
      </c>
      <c r="H673" s="6">
        <f>Procurement_Raw!H673</f>
        <v>32</v>
      </c>
      <c r="I673" s="7">
        <f>Procurement_Raw!I673</f>
        <v>20.78</v>
      </c>
      <c r="J673" s="7">
        <f>Procurement_Raw!J673</f>
        <v>664.98</v>
      </c>
      <c r="K673" s="6">
        <f>Procurement_Raw!K673</f>
        <v>45</v>
      </c>
      <c r="L673" t="str">
        <f>Procurement_Raw!L673</f>
        <v>Procurement Portal</v>
      </c>
      <c r="M673" s="8">
        <f>Procurement_Raw!M673</f>
        <v>132.99600000000001</v>
      </c>
      <c r="N673" s="7">
        <f>Procurement_Raw!N673</f>
        <v>664.98</v>
      </c>
      <c r="O673" s="7">
        <f t="shared" si="20"/>
        <v>664.98</v>
      </c>
      <c r="P673" t="str">
        <f>IFERROR(INDEX(Supplier_Lookup!$B$2:$B$200,MATCH(E673,Supplier_Lookup!$A$2:$A$200,0)),"Unmapped")</f>
        <v>Food &amp; Catering</v>
      </c>
      <c r="Q673" s="10">
        <f>IFERROR(INDEX(Category_Targets!$B$2:$B$9,MATCH(F673,Category_Targets!$A$2:$A$9,0)),0)</f>
        <v>0.04</v>
      </c>
      <c r="R673" s="7">
        <f t="shared" si="21"/>
        <v>26.5992</v>
      </c>
    </row>
    <row r="674" spans="1:18" x14ac:dyDescent="0.25">
      <c r="A674" s="5">
        <f>Procurement_Raw!A674</f>
        <v>45943</v>
      </c>
      <c r="B674" t="str">
        <f>Procurement_Raw!B674</f>
        <v>S020</v>
      </c>
      <c r="C674" t="str">
        <f>Procurement_Raw!C674</f>
        <v>Bangor Care &amp; Education Centre</v>
      </c>
      <c r="D674" t="str">
        <f>Procurement_Raw!D674</f>
        <v>Wales</v>
      </c>
      <c r="E674" t="str">
        <f>Procurement_Raw!E674</f>
        <v>HealthStaffing</v>
      </c>
      <c r="F674" t="str">
        <f>Procurement_Raw!F674</f>
        <v>Agency Labour</v>
      </c>
      <c r="G674" t="str">
        <f>Procurement_Raw!G674</f>
        <v>INV-2025-00673</v>
      </c>
      <c r="H674" s="6">
        <f>Procurement_Raw!H674</f>
        <v>79</v>
      </c>
      <c r="I674" s="7">
        <f>Procurement_Raw!I674</f>
        <v>248.47</v>
      </c>
      <c r="J674" s="7">
        <f>Procurement_Raw!J674</f>
        <v>19628.78</v>
      </c>
      <c r="K674" s="6">
        <f>Procurement_Raw!K674</f>
        <v>30</v>
      </c>
      <c r="L674" t="str">
        <f>Procurement_Raw!L674</f>
        <v>ERP</v>
      </c>
      <c r="M674" s="8">
        <f>Procurement_Raw!M674</f>
        <v>3925.7559999999999</v>
      </c>
      <c r="N674" s="7">
        <f>Procurement_Raw!N674</f>
        <v>19628.78</v>
      </c>
      <c r="O674" s="7">
        <f t="shared" si="20"/>
        <v>19628.78</v>
      </c>
      <c r="P674" t="str">
        <f>IFERROR(INDEX(Supplier_Lookup!$B$2:$B$200,MATCH(E674,Supplier_Lookup!$A$2:$A$200,0)),"Unmapped")</f>
        <v>Agency Labour</v>
      </c>
      <c r="Q674" s="10">
        <f>IFERROR(INDEX(Category_Targets!$B$2:$B$9,MATCH(F674,Category_Targets!$A$2:$A$9,0)),0)</f>
        <v>7.0000000000000007E-2</v>
      </c>
      <c r="R674" s="7">
        <f t="shared" si="21"/>
        <v>1374.0146</v>
      </c>
    </row>
    <row r="675" spans="1:18" x14ac:dyDescent="0.25">
      <c r="A675" s="5">
        <f>Procurement_Raw!A675</f>
        <v>45898</v>
      </c>
      <c r="B675" t="str">
        <f>Procurement_Raw!B675</f>
        <v>S009</v>
      </c>
      <c r="C675" t="str">
        <f>Procurement_Raw!C675</f>
        <v>Derby Care &amp; Education Centre</v>
      </c>
      <c r="D675" t="str">
        <f>Procurement_Raw!D675</f>
        <v>Midlands</v>
      </c>
      <c r="E675" t="str">
        <f>Procurement_Raw!E675</f>
        <v>BuildCare</v>
      </c>
      <c r="F675" t="str">
        <f>Procurement_Raw!F675</f>
        <v>Facilities</v>
      </c>
      <c r="G675" t="str">
        <f>Procurement_Raw!G675</f>
        <v>INV-2025-00674</v>
      </c>
      <c r="H675" s="6">
        <f>Procurement_Raw!H675</f>
        <v>64</v>
      </c>
      <c r="I675" s="7">
        <f>Procurement_Raw!I675</f>
        <v>146.74</v>
      </c>
      <c r="J675" s="7">
        <f>Procurement_Raw!J675</f>
        <v>9391.3799999999992</v>
      </c>
      <c r="K675" s="6">
        <f>Procurement_Raw!K675</f>
        <v>30</v>
      </c>
      <c r="L675" t="str">
        <f>Procurement_Raw!L675</f>
        <v>ERP</v>
      </c>
      <c r="M675" s="8">
        <f>Procurement_Raw!M675</f>
        <v>1878.2760000000001</v>
      </c>
      <c r="N675" s="7">
        <f>Procurement_Raw!N675</f>
        <v>9391.3799999999992</v>
      </c>
      <c r="O675" s="7">
        <f t="shared" si="20"/>
        <v>9391.3799999999992</v>
      </c>
      <c r="P675" t="str">
        <f>IFERROR(INDEX(Supplier_Lookup!$B$2:$B$200,MATCH(E675,Supplier_Lookup!$A$2:$A$200,0)),"Unmapped")</f>
        <v>Facilities</v>
      </c>
      <c r="Q675" s="10">
        <f>IFERROR(INDEX(Category_Targets!$B$2:$B$9,MATCH(F675,Category_Targets!$A$2:$A$9,0)),0)</f>
        <v>0.05</v>
      </c>
      <c r="R675" s="7">
        <f t="shared" si="21"/>
        <v>469.56899999999996</v>
      </c>
    </row>
    <row r="676" spans="1:18" x14ac:dyDescent="0.25">
      <c r="A676" s="5">
        <f>Procurement_Raw!A676</f>
        <v>45781</v>
      </c>
      <c r="B676" t="str">
        <f>Procurement_Raw!B676</f>
        <v>S020</v>
      </c>
      <c r="C676" t="str">
        <f>Procurement_Raw!C676</f>
        <v>Bangor Care &amp; Education Centre</v>
      </c>
      <c r="D676" t="str">
        <f>Procurement_Raw!D676</f>
        <v>Wales</v>
      </c>
      <c r="E676" t="str">
        <f>Procurement_Raw!E676</f>
        <v>LearnWell</v>
      </c>
      <c r="F676" t="str">
        <f>Procurement_Raw!F676</f>
        <v>Office &amp; Training</v>
      </c>
      <c r="G676" t="str">
        <f>Procurement_Raw!G676</f>
        <v>INV-2025-00675</v>
      </c>
      <c r="H676" s="6">
        <f>Procurement_Raw!H676</f>
        <v>43</v>
      </c>
      <c r="I676" s="7">
        <f>Procurement_Raw!I676</f>
        <v>34.58</v>
      </c>
      <c r="J676" s="7">
        <f>Procurement_Raw!J676</f>
        <v>1487.06</v>
      </c>
      <c r="K676" s="6">
        <f>Procurement_Raw!K676</f>
        <v>45</v>
      </c>
      <c r="L676" t="str">
        <f>Procurement_Raw!L676</f>
        <v>ERP</v>
      </c>
      <c r="M676" s="8">
        <f>Procurement_Raw!M676</f>
        <v>297.41199999999998</v>
      </c>
      <c r="N676" s="7">
        <f>Procurement_Raw!N676</f>
        <v>1487.06</v>
      </c>
      <c r="O676" s="7">
        <f t="shared" si="20"/>
        <v>1487.06</v>
      </c>
      <c r="P676" t="str">
        <f>IFERROR(INDEX(Supplier_Lookup!$B$2:$B$200,MATCH(E676,Supplier_Lookup!$A$2:$A$200,0)),"Unmapped")</f>
        <v>Office &amp; Training</v>
      </c>
      <c r="Q676" s="10">
        <f>IFERROR(INDEX(Category_Targets!$B$2:$B$9,MATCH(F676,Category_Targets!$A$2:$A$9,0)),0)</f>
        <v>0.04</v>
      </c>
      <c r="R676" s="7">
        <f t="shared" si="21"/>
        <v>59.482399999999998</v>
      </c>
    </row>
    <row r="677" spans="1:18" x14ac:dyDescent="0.25">
      <c r="A677" s="5">
        <f>Procurement_Raw!A677</f>
        <v>45987</v>
      </c>
      <c r="B677" t="str">
        <f>Procurement_Raw!B677</f>
        <v>S005</v>
      </c>
      <c r="C677" t="str">
        <f>Procurement_Raw!C677</f>
        <v>Sheffield Care &amp; Education Centre</v>
      </c>
      <c r="D677" t="str">
        <f>Procurement_Raw!D677</f>
        <v>North</v>
      </c>
      <c r="E677" t="str">
        <f>Procurement_Raw!E677</f>
        <v>PowerDirect</v>
      </c>
      <c r="F677" t="str">
        <f>Procurement_Raw!F677</f>
        <v>Utilities</v>
      </c>
      <c r="G677" t="str">
        <f>Procurement_Raw!G677</f>
        <v>INV-2025-00676</v>
      </c>
      <c r="H677" s="6">
        <f>Procurement_Raw!H677</f>
        <v>49</v>
      </c>
      <c r="I677" s="7">
        <f>Procurement_Raw!I677</f>
        <v>162.99</v>
      </c>
      <c r="J677" s="7">
        <f>Procurement_Raw!J677</f>
        <v>7986.29</v>
      </c>
      <c r="K677" s="6">
        <f>Procurement_Raw!K677</f>
        <v>45</v>
      </c>
      <c r="L677" t="str">
        <f>Procurement_Raw!L677</f>
        <v>ERP</v>
      </c>
      <c r="M677" s="8">
        <f>Procurement_Raw!M677</f>
        <v>1597.258</v>
      </c>
      <c r="N677" s="7">
        <f>Procurement_Raw!N677</f>
        <v>7986.29</v>
      </c>
      <c r="O677" s="7">
        <f t="shared" si="20"/>
        <v>7986.29</v>
      </c>
      <c r="P677" t="str">
        <f>IFERROR(INDEX(Supplier_Lookup!$B$2:$B$200,MATCH(E677,Supplier_Lookup!$A$2:$A$200,0)),"Unmapped")</f>
        <v>Utilities</v>
      </c>
      <c r="Q677" s="10">
        <f>IFERROR(INDEX(Category_Targets!$B$2:$B$9,MATCH(F677,Category_Targets!$A$2:$A$9,0)),0)</f>
        <v>0.03</v>
      </c>
      <c r="R677" s="7">
        <f t="shared" si="21"/>
        <v>239.58869999999999</v>
      </c>
    </row>
    <row r="678" spans="1:18" x14ac:dyDescent="0.25">
      <c r="A678" s="5">
        <f>Procurement_Raw!A678</f>
        <v>45951</v>
      </c>
      <c r="B678" t="str">
        <f>Procurement_Raw!B678</f>
        <v>S003</v>
      </c>
      <c r="C678" t="str">
        <f>Procurement_Raw!C678</f>
        <v>Leeds Care &amp; Education Centre</v>
      </c>
      <c r="D678" t="str">
        <f>Procurement_Raw!D678</f>
        <v>North</v>
      </c>
      <c r="E678" t="str">
        <f>Procurement_Raw!E678</f>
        <v>LearnWell</v>
      </c>
      <c r="F678" t="str">
        <f>Procurement_Raw!F678</f>
        <v>Office &amp; Training</v>
      </c>
      <c r="G678" t="str">
        <f>Procurement_Raw!G678</f>
        <v>INV-2025-00677</v>
      </c>
      <c r="H678" s="6">
        <f>Procurement_Raw!H678</f>
        <v>58</v>
      </c>
      <c r="I678" s="7">
        <f>Procurement_Raw!I678</f>
        <v>40.72</v>
      </c>
      <c r="J678" s="7">
        <f>Procurement_Raw!J678</f>
        <v>2361.65</v>
      </c>
      <c r="K678" s="6">
        <f>Procurement_Raw!K678</f>
        <v>30</v>
      </c>
      <c r="L678" t="str">
        <f>Procurement_Raw!L678</f>
        <v>Procurement Portal</v>
      </c>
      <c r="M678" s="8">
        <f>Procurement_Raw!M678</f>
        <v>472.33</v>
      </c>
      <c r="N678" s="7">
        <f>Procurement_Raw!N678</f>
        <v>2361.65</v>
      </c>
      <c r="O678" s="7">
        <f t="shared" si="20"/>
        <v>2361.65</v>
      </c>
      <c r="P678" t="str">
        <f>IFERROR(INDEX(Supplier_Lookup!$B$2:$B$200,MATCH(E678,Supplier_Lookup!$A$2:$A$200,0)),"Unmapped")</f>
        <v>Office &amp; Training</v>
      </c>
      <c r="Q678" s="10">
        <f>IFERROR(INDEX(Category_Targets!$B$2:$B$9,MATCH(F678,Category_Targets!$A$2:$A$9,0)),0)</f>
        <v>0.04</v>
      </c>
      <c r="R678" s="7">
        <f t="shared" si="21"/>
        <v>94.466000000000008</v>
      </c>
    </row>
    <row r="679" spans="1:18" x14ac:dyDescent="0.25">
      <c r="A679" s="5">
        <f>Procurement_Raw!A679</f>
        <v>45912</v>
      </c>
      <c r="B679" t="str">
        <f>Procurement_Raw!B679</f>
        <v>S015</v>
      </c>
      <c r="C679" t="str">
        <f>Procurement_Raw!C679</f>
        <v>Brighton Care &amp; Education Centre</v>
      </c>
      <c r="D679" t="str">
        <f>Procurement_Raw!D679</f>
        <v>South</v>
      </c>
      <c r="E679" t="str">
        <f>Procurement_Raw!E679</f>
        <v>FleetFuel</v>
      </c>
      <c r="F679" t="str">
        <f>Procurement_Raw!F679</f>
        <v>Vehicle &amp; Fuel</v>
      </c>
      <c r="G679" t="str">
        <f>Procurement_Raw!G679</f>
        <v>INV-2025-00678</v>
      </c>
      <c r="H679" s="6">
        <f>Procurement_Raw!H679</f>
        <v>3</v>
      </c>
      <c r="I679" s="7">
        <f>Procurement_Raw!I679</f>
        <v>249.04</v>
      </c>
      <c r="J679" s="7">
        <f>Procurement_Raw!J679</f>
        <v>747.13</v>
      </c>
      <c r="K679" s="6">
        <f>Procurement_Raw!K679</f>
        <v>30</v>
      </c>
      <c r="L679" t="str">
        <f>Procurement_Raw!L679</f>
        <v>Procurement Portal</v>
      </c>
      <c r="M679" s="8">
        <f>Procurement_Raw!M679</f>
        <v>149.42599999999999</v>
      </c>
      <c r="N679" s="7">
        <f>Procurement_Raw!N679</f>
        <v>747.13</v>
      </c>
      <c r="O679" s="7">
        <f t="shared" si="20"/>
        <v>747.13</v>
      </c>
      <c r="P679" t="str">
        <f>IFERROR(INDEX(Supplier_Lookup!$B$2:$B$200,MATCH(E679,Supplier_Lookup!$A$2:$A$200,0)),"Unmapped")</f>
        <v>Vehicle &amp; Fuel</v>
      </c>
      <c r="Q679" s="10">
        <f>IFERROR(INDEX(Category_Targets!$B$2:$B$9,MATCH(F679,Category_Targets!$A$2:$A$9,0)),0)</f>
        <v>0.05</v>
      </c>
      <c r="R679" s="7">
        <f t="shared" si="21"/>
        <v>37.356500000000004</v>
      </c>
    </row>
    <row r="680" spans="1:18" x14ac:dyDescent="0.25">
      <c r="A680" s="5">
        <f>Procurement_Raw!A680</f>
        <v>45939</v>
      </c>
      <c r="B680" t="str">
        <f>Procurement_Raw!B680</f>
        <v>S006</v>
      </c>
      <c r="C680" t="str">
        <f>Procurement_Raw!C680</f>
        <v>Birmingham Care &amp; Education Centre</v>
      </c>
      <c r="D680" t="str">
        <f>Procurement_Raw!D680</f>
        <v>Midlands</v>
      </c>
      <c r="E680" t="str">
        <f>Procurement_Raw!E680</f>
        <v>ClinEquip</v>
      </c>
      <c r="F680" t="str">
        <f>Procurement_Raw!F680</f>
        <v>Medical Supplies</v>
      </c>
      <c r="G680" t="str">
        <f>Procurement_Raw!G680</f>
        <v>INV-2025-00679</v>
      </c>
      <c r="H680" s="6">
        <f>Procurement_Raw!H680</f>
        <v>1</v>
      </c>
      <c r="I680" s="7">
        <f>Procurement_Raw!I680</f>
        <v>200.76</v>
      </c>
      <c r="J680" s="7">
        <f>Procurement_Raw!J680</f>
        <v>200.76</v>
      </c>
      <c r="K680" s="6">
        <f>Procurement_Raw!K680</f>
        <v>30</v>
      </c>
      <c r="L680" t="str">
        <f>Procurement_Raw!L680</f>
        <v>Legacy Spend File</v>
      </c>
      <c r="M680" s="8">
        <f>Procurement_Raw!M680</f>
        <v>40.152000000000001</v>
      </c>
      <c r="N680" s="7">
        <f>Procurement_Raw!N680</f>
        <v>200.76</v>
      </c>
      <c r="O680" s="7">
        <f t="shared" si="20"/>
        <v>200.76</v>
      </c>
      <c r="P680" t="str">
        <f>IFERROR(INDEX(Supplier_Lookup!$B$2:$B$200,MATCH(E680,Supplier_Lookup!$A$2:$A$200,0)),"Unmapped")</f>
        <v>Medical Supplies</v>
      </c>
      <c r="Q680" s="10">
        <f>IFERROR(INDEX(Category_Targets!$B$2:$B$9,MATCH(F680,Category_Targets!$A$2:$A$9,0)),0)</f>
        <v>0.06</v>
      </c>
      <c r="R680" s="7">
        <f t="shared" si="21"/>
        <v>12.045599999999999</v>
      </c>
    </row>
    <row r="681" spans="1:18" x14ac:dyDescent="0.25">
      <c r="A681" s="5">
        <f>Procurement_Raw!A681</f>
        <v>45945</v>
      </c>
      <c r="B681" t="str">
        <f>Procurement_Raw!B681</f>
        <v>S010</v>
      </c>
      <c r="C681" t="str">
        <f>Procurement_Raw!C681</f>
        <v>Coventry Care &amp; Education Centre</v>
      </c>
      <c r="D681" t="str">
        <f>Procurement_Raw!D681</f>
        <v>Midlands</v>
      </c>
      <c r="E681" t="str">
        <f>Procurement_Raw!E681</f>
        <v>NetServe</v>
      </c>
      <c r="F681" t="str">
        <f>Procurement_Raw!F681</f>
        <v>IT &amp; Telecoms</v>
      </c>
      <c r="G681" t="str">
        <f>Procurement_Raw!G681</f>
        <v>INV-2025-00680</v>
      </c>
      <c r="H681" s="6">
        <f>Procurement_Raw!H681</f>
        <v>27</v>
      </c>
      <c r="I681" s="7">
        <f>Procurement_Raw!I681</f>
        <v>442.74</v>
      </c>
      <c r="J681" s="7">
        <f>Procurement_Raw!J681</f>
        <v>11953.98</v>
      </c>
      <c r="K681" s="6">
        <f>Procurement_Raw!K681</f>
        <v>60</v>
      </c>
      <c r="L681" t="str">
        <f>Procurement_Raw!L681</f>
        <v>Legacy Spend File</v>
      </c>
      <c r="M681" s="8">
        <f>Procurement_Raw!M681</f>
        <v>2390.7959999999998</v>
      </c>
      <c r="N681" s="7">
        <f>Procurement_Raw!N681</f>
        <v>11953.98</v>
      </c>
      <c r="O681" s="7">
        <f t="shared" si="20"/>
        <v>11953.98</v>
      </c>
      <c r="P681" t="str">
        <f>IFERROR(INDEX(Supplier_Lookup!$B$2:$B$200,MATCH(E681,Supplier_Lookup!$A$2:$A$200,0)),"Unmapped")</f>
        <v>IT &amp; Telecoms</v>
      </c>
      <c r="Q681" s="10">
        <f>IFERROR(INDEX(Category_Targets!$B$2:$B$9,MATCH(F681,Category_Targets!$A$2:$A$9,0)),0)</f>
        <v>0.08</v>
      </c>
      <c r="R681" s="7">
        <f t="shared" si="21"/>
        <v>956.3184</v>
      </c>
    </row>
    <row r="682" spans="1:18" x14ac:dyDescent="0.25">
      <c r="A682" s="5">
        <f>Procurement_Raw!A682</f>
        <v>45685</v>
      </c>
      <c r="B682" t="str">
        <f>Procurement_Raw!B682</f>
        <v>S013</v>
      </c>
      <c r="C682" t="str">
        <f>Procurement_Raw!C682</f>
        <v>Reading Care &amp; Education Centre</v>
      </c>
      <c r="D682" t="str">
        <f>Procurement_Raw!D682</f>
        <v>South</v>
      </c>
      <c r="E682" t="str">
        <f>Procurement_Raw!E682</f>
        <v>RoadReady</v>
      </c>
      <c r="F682" t="str">
        <f>Procurement_Raw!F682</f>
        <v>Vehicle &amp; Fuel</v>
      </c>
      <c r="G682" t="str">
        <f>Procurement_Raw!G682</f>
        <v>INV-2025-00681</v>
      </c>
      <c r="H682" s="6">
        <f>Procurement_Raw!H682</f>
        <v>29</v>
      </c>
      <c r="I682" s="7">
        <f>Procurement_Raw!I682</f>
        <v>141.29</v>
      </c>
      <c r="J682" s="7">
        <f>Procurement_Raw!J682</f>
        <v>4097.34</v>
      </c>
      <c r="K682" s="6">
        <f>Procurement_Raw!K682</f>
        <v>45</v>
      </c>
      <c r="L682" t="str">
        <f>Procurement_Raw!L682</f>
        <v>Procurement Portal</v>
      </c>
      <c r="M682" s="8">
        <f>Procurement_Raw!M682</f>
        <v>819.46799999999996</v>
      </c>
      <c r="N682" s="7">
        <f>Procurement_Raw!N682</f>
        <v>4097.34</v>
      </c>
      <c r="O682" s="7">
        <f t="shared" si="20"/>
        <v>4097.34</v>
      </c>
      <c r="P682" t="str">
        <f>IFERROR(INDEX(Supplier_Lookup!$B$2:$B$200,MATCH(E682,Supplier_Lookup!$A$2:$A$200,0)),"Unmapped")</f>
        <v>Vehicle &amp; Fuel</v>
      </c>
      <c r="Q682" s="10">
        <f>IFERROR(INDEX(Category_Targets!$B$2:$B$9,MATCH(F682,Category_Targets!$A$2:$A$9,0)),0)</f>
        <v>0.05</v>
      </c>
      <c r="R682" s="7">
        <f t="shared" si="21"/>
        <v>204.86700000000002</v>
      </c>
    </row>
    <row r="683" spans="1:18" x14ac:dyDescent="0.25">
      <c r="A683" s="5">
        <f>Procurement_Raw!A683</f>
        <v>45994</v>
      </c>
      <c r="B683" t="str">
        <f>Procurement_Raw!B683</f>
        <v>S014</v>
      </c>
      <c r="C683" t="str">
        <f>Procurement_Raw!C683</f>
        <v>Southampton Care &amp; Education Centre</v>
      </c>
      <c r="D683" t="str">
        <f>Procurement_Raw!D683</f>
        <v>South</v>
      </c>
      <c r="E683" t="str">
        <f>Procurement_Raw!E683</f>
        <v>PrintCo</v>
      </c>
      <c r="F683" t="str">
        <f>Procurement_Raw!F683</f>
        <v>Office &amp; Training</v>
      </c>
      <c r="G683" t="str">
        <f>Procurement_Raw!G683</f>
        <v>INV-2025-00682</v>
      </c>
      <c r="H683" s="6">
        <f>Procurement_Raw!H683</f>
        <v>47</v>
      </c>
      <c r="I683" s="7">
        <f>Procurement_Raw!I683</f>
        <v>40.31</v>
      </c>
      <c r="J683" s="7">
        <f>Procurement_Raw!J683</f>
        <v>1894.4</v>
      </c>
      <c r="K683" s="6">
        <f>Procurement_Raw!K683</f>
        <v>60</v>
      </c>
      <c r="L683" t="str">
        <f>Procurement_Raw!L683</f>
        <v>Procurement Portal</v>
      </c>
      <c r="M683" s="8">
        <f>Procurement_Raw!M683</f>
        <v>378.88</v>
      </c>
      <c r="N683" s="7">
        <f>Procurement_Raw!N683</f>
        <v>1894.4</v>
      </c>
      <c r="O683" s="7">
        <f t="shared" si="20"/>
        <v>1894.4</v>
      </c>
      <c r="P683" t="str">
        <f>IFERROR(INDEX(Supplier_Lookup!$B$2:$B$200,MATCH(E683,Supplier_Lookup!$A$2:$A$200,0)),"Unmapped")</f>
        <v>Office &amp; Training</v>
      </c>
      <c r="Q683" s="10">
        <f>IFERROR(INDEX(Category_Targets!$B$2:$B$9,MATCH(F683,Category_Targets!$A$2:$A$9,0)),0)</f>
        <v>0.04</v>
      </c>
      <c r="R683" s="7">
        <f t="shared" si="21"/>
        <v>75.77600000000001</v>
      </c>
    </row>
    <row r="684" spans="1:18" x14ac:dyDescent="0.25">
      <c r="A684" s="5">
        <f>Procurement_Raw!A684</f>
        <v>45771</v>
      </c>
      <c r="B684" t="str">
        <f>Procurement_Raw!B684</f>
        <v>S008</v>
      </c>
      <c r="C684" t="str">
        <f>Procurement_Raw!C684</f>
        <v>Leicester Care &amp; Education Centre</v>
      </c>
      <c r="D684" t="str">
        <f>Procurement_Raw!D684</f>
        <v>Midlands</v>
      </c>
      <c r="E684" t="str">
        <f>Procurement_Raw!E684</f>
        <v>KitchenPro</v>
      </c>
      <c r="F684" t="str">
        <f>Procurement_Raw!F684</f>
        <v>Food &amp; Catering</v>
      </c>
      <c r="G684" t="str">
        <f>Procurement_Raw!G684</f>
        <v>INV-2025-00683</v>
      </c>
      <c r="H684" s="6">
        <f>Procurement_Raw!H684</f>
        <v>1</v>
      </c>
      <c r="I684" s="7">
        <f>Procurement_Raw!I684</f>
        <v>48.71</v>
      </c>
      <c r="J684" s="7">
        <f>Procurement_Raw!J684</f>
        <v>48.71</v>
      </c>
      <c r="K684" s="6">
        <f>Procurement_Raw!K684</f>
        <v>45</v>
      </c>
      <c r="L684" t="str">
        <f>Procurement_Raw!L684</f>
        <v>Procurement Portal</v>
      </c>
      <c r="M684" s="8">
        <f>Procurement_Raw!M684</f>
        <v>9.7420000000000009</v>
      </c>
      <c r="N684" s="7">
        <f>Procurement_Raw!N684</f>
        <v>48.71</v>
      </c>
      <c r="O684" s="7">
        <f t="shared" si="20"/>
        <v>48.71</v>
      </c>
      <c r="P684" t="str">
        <f>IFERROR(INDEX(Supplier_Lookup!$B$2:$B$200,MATCH(E684,Supplier_Lookup!$A$2:$A$200,0)),"Unmapped")</f>
        <v>Food &amp; Catering</v>
      </c>
      <c r="Q684" s="10">
        <f>IFERROR(INDEX(Category_Targets!$B$2:$B$9,MATCH(F684,Category_Targets!$A$2:$A$9,0)),0)</f>
        <v>0.04</v>
      </c>
      <c r="R684" s="7">
        <f t="shared" si="21"/>
        <v>1.9484000000000001</v>
      </c>
    </row>
    <row r="685" spans="1:18" x14ac:dyDescent="0.25">
      <c r="A685" s="5">
        <f>Procurement_Raw!A685</f>
        <v>45925</v>
      </c>
      <c r="B685" t="str">
        <f>Procurement_Raw!B685</f>
        <v>S009</v>
      </c>
      <c r="C685" t="str">
        <f>Procurement_Raw!C685</f>
        <v>Derby Care &amp; Education Centre</v>
      </c>
      <c r="D685" t="str">
        <f>Procurement_Raw!D685</f>
        <v>Midlands</v>
      </c>
      <c r="E685" t="str">
        <f>Procurement_Raw!E685</f>
        <v>NetServe</v>
      </c>
      <c r="F685" t="str">
        <f>Procurement_Raw!F685</f>
        <v>IT &amp; Telecoms</v>
      </c>
      <c r="G685" t="str">
        <f>Procurement_Raw!G685</f>
        <v>INV-2025-00684</v>
      </c>
      <c r="H685" s="6">
        <f>Procurement_Raw!H685</f>
        <v>48</v>
      </c>
      <c r="I685" s="7">
        <f>Procurement_Raw!I685</f>
        <v>287.95</v>
      </c>
      <c r="J685" s="7">
        <f>Procurement_Raw!J685</f>
        <v>13821.55</v>
      </c>
      <c r="K685" s="6">
        <f>Procurement_Raw!K685</f>
        <v>60</v>
      </c>
      <c r="L685" t="str">
        <f>Procurement_Raw!L685</f>
        <v>ERP</v>
      </c>
      <c r="M685" s="8">
        <f>Procurement_Raw!M685</f>
        <v>2764.31</v>
      </c>
      <c r="N685" s="7">
        <f>Procurement_Raw!N685</f>
        <v>13821.55</v>
      </c>
      <c r="O685" s="7">
        <f t="shared" si="20"/>
        <v>13821.55</v>
      </c>
      <c r="P685" t="str">
        <f>IFERROR(INDEX(Supplier_Lookup!$B$2:$B$200,MATCH(E685,Supplier_Lookup!$A$2:$A$200,0)),"Unmapped")</f>
        <v>IT &amp; Telecoms</v>
      </c>
      <c r="Q685" s="10">
        <f>IFERROR(INDEX(Category_Targets!$B$2:$B$9,MATCH(F685,Category_Targets!$A$2:$A$9,0)),0)</f>
        <v>0.08</v>
      </c>
      <c r="R685" s="7">
        <f t="shared" si="21"/>
        <v>1105.7239999999999</v>
      </c>
    </row>
    <row r="686" spans="1:18" x14ac:dyDescent="0.25">
      <c r="A686" s="5">
        <f>Procurement_Raw!A686</f>
        <v>45729</v>
      </c>
      <c r="B686" t="str">
        <f>Procurement_Raw!B686</f>
        <v>S019</v>
      </c>
      <c r="C686" t="str">
        <f>Procurement_Raw!C686</f>
        <v>Wrexham Care &amp; Education Centre</v>
      </c>
      <c r="D686" t="str">
        <f>Procurement_Raw!D686</f>
        <v>Wales</v>
      </c>
      <c r="E686" t="str">
        <f>Procurement_Raw!E686</f>
        <v>SafeGuard FM</v>
      </c>
      <c r="F686" t="str">
        <f>Procurement_Raw!F686</f>
        <v>Facilities</v>
      </c>
      <c r="G686" t="str">
        <f>Procurement_Raw!G686</f>
        <v>INV-2025-00685</v>
      </c>
      <c r="H686" s="6">
        <f>Procurement_Raw!H686</f>
        <v>53</v>
      </c>
      <c r="I686" s="7">
        <f>Procurement_Raw!I686</f>
        <v>91.91</v>
      </c>
      <c r="J686" s="7">
        <f>Procurement_Raw!J686</f>
        <v>4871.12</v>
      </c>
      <c r="K686" s="6">
        <f>Procurement_Raw!K686</f>
        <v>30</v>
      </c>
      <c r="L686" t="str">
        <f>Procurement_Raw!L686</f>
        <v>Procurement Portal</v>
      </c>
      <c r="M686" s="8">
        <f>Procurement_Raw!M686</f>
        <v>974.22400000000005</v>
      </c>
      <c r="N686" s="7">
        <f>Procurement_Raw!N686</f>
        <v>4871.12</v>
      </c>
      <c r="O686" s="7">
        <f t="shared" si="20"/>
        <v>4871.12</v>
      </c>
      <c r="P686" t="str">
        <f>IFERROR(INDEX(Supplier_Lookup!$B$2:$B$200,MATCH(E686,Supplier_Lookup!$A$2:$A$200,0)),"Unmapped")</f>
        <v>Facilities</v>
      </c>
      <c r="Q686" s="10">
        <f>IFERROR(INDEX(Category_Targets!$B$2:$B$9,MATCH(F686,Category_Targets!$A$2:$A$9,0)),0)</f>
        <v>0.05</v>
      </c>
      <c r="R686" s="7">
        <f t="shared" si="21"/>
        <v>243.55600000000001</v>
      </c>
    </row>
    <row r="687" spans="1:18" x14ac:dyDescent="0.25">
      <c r="A687" s="5">
        <f>Procurement_Raw!A687</f>
        <v>45719</v>
      </c>
      <c r="B687" t="str">
        <f>Procurement_Raw!B687</f>
        <v>S010</v>
      </c>
      <c r="C687" t="str">
        <f>Procurement_Raw!C687</f>
        <v>Coventry Care &amp; Education Centre</v>
      </c>
      <c r="D687" t="str">
        <f>Procurement_Raw!D687</f>
        <v>Midlands</v>
      </c>
      <c r="E687" t="str">
        <f>Procurement_Raw!E687</f>
        <v>uk energy partners</v>
      </c>
      <c r="F687" t="str">
        <f>Procurement_Raw!F687</f>
        <v>Utilities</v>
      </c>
      <c r="G687" t="str">
        <f>Procurement_Raw!G687</f>
        <v>INV-2025-00686</v>
      </c>
      <c r="H687" s="6">
        <f>Procurement_Raw!H687</f>
        <v>51</v>
      </c>
      <c r="I687" s="7">
        <f>Procurement_Raw!I687</f>
        <v>370.04</v>
      </c>
      <c r="J687" s="7">
        <f>Procurement_Raw!J687</f>
        <v>18872.02</v>
      </c>
      <c r="K687" s="6">
        <f>Procurement_Raw!K687</f>
        <v>30</v>
      </c>
      <c r="L687" t="str">
        <f>Procurement_Raw!L687</f>
        <v>Procurement Portal</v>
      </c>
      <c r="M687" s="8">
        <f>Procurement_Raw!M687</f>
        <v>3774.404</v>
      </c>
      <c r="N687" s="7">
        <f>Procurement_Raw!N687</f>
        <v>18872.02</v>
      </c>
      <c r="O687" s="7">
        <f t="shared" si="20"/>
        <v>18872.02</v>
      </c>
      <c r="P687" t="str">
        <f>IFERROR(INDEX(Supplier_Lookup!$B$2:$B$200,MATCH(E687,Supplier_Lookup!$A$2:$A$200,0)),"Unmapped")</f>
        <v>Utilities</v>
      </c>
      <c r="Q687" s="10">
        <f>IFERROR(INDEX(Category_Targets!$B$2:$B$9,MATCH(F687,Category_Targets!$A$2:$A$9,0)),0)</f>
        <v>0.03</v>
      </c>
      <c r="R687" s="7">
        <f t="shared" si="21"/>
        <v>566.16060000000004</v>
      </c>
    </row>
    <row r="688" spans="1:18" x14ac:dyDescent="0.25">
      <c r="A688" s="5">
        <f>Procurement_Raw!A688</f>
        <v>45870</v>
      </c>
      <c r="B688" t="str">
        <f>Procurement_Raw!B688</f>
        <v>S017</v>
      </c>
      <c r="C688" t="str">
        <f>Procurement_Raw!C688</f>
        <v>Swansea Care &amp; Education Centre</v>
      </c>
      <c r="D688" t="str">
        <f>Procurement_Raw!D688</f>
        <v>Wales</v>
      </c>
      <c r="E688" t="str">
        <f>Procurement_Raw!E688</f>
        <v>FleetFuel</v>
      </c>
      <c r="F688" t="str">
        <f>Procurement_Raw!F688</f>
        <v>Vehicle &amp; Fuel</v>
      </c>
      <c r="G688" t="str">
        <f>Procurement_Raw!G688</f>
        <v>INV-2025-00687</v>
      </c>
      <c r="H688" s="6">
        <f>Procurement_Raw!H688</f>
        <v>6</v>
      </c>
      <c r="I688" s="7">
        <f>Procurement_Raw!I688</f>
        <v>83.24</v>
      </c>
      <c r="J688" s="7">
        <f>Procurement_Raw!J688</f>
        <v>499.42</v>
      </c>
      <c r="K688" s="6">
        <f>Procurement_Raw!K688</f>
        <v>60</v>
      </c>
      <c r="L688" t="str">
        <f>Procurement_Raw!L688</f>
        <v>Legacy Spend File</v>
      </c>
      <c r="M688" s="8">
        <f>Procurement_Raw!M688</f>
        <v>99.884</v>
      </c>
      <c r="N688" s="7">
        <f>Procurement_Raw!N688</f>
        <v>499.42</v>
      </c>
      <c r="O688" s="7">
        <f t="shared" si="20"/>
        <v>499.42</v>
      </c>
      <c r="P688" t="str">
        <f>IFERROR(INDEX(Supplier_Lookup!$B$2:$B$200,MATCH(E688,Supplier_Lookup!$A$2:$A$200,0)),"Unmapped")</f>
        <v>Vehicle &amp; Fuel</v>
      </c>
      <c r="Q688" s="10">
        <f>IFERROR(INDEX(Category_Targets!$B$2:$B$9,MATCH(F688,Category_Targets!$A$2:$A$9,0)),0)</f>
        <v>0.05</v>
      </c>
      <c r="R688" s="7">
        <f t="shared" si="21"/>
        <v>24.971000000000004</v>
      </c>
    </row>
    <row r="689" spans="1:18" x14ac:dyDescent="0.25">
      <c r="A689" s="5">
        <f>Procurement_Raw!A689</f>
        <v>45892</v>
      </c>
      <c r="B689" t="str">
        <f>Procurement_Raw!B689</f>
        <v>S008</v>
      </c>
      <c r="C689" t="str">
        <f>Procurement_Raw!C689</f>
        <v>Leicester Care &amp; Education Centre</v>
      </c>
      <c r="D689" t="str">
        <f>Procurement_Raw!D689</f>
        <v>Midlands</v>
      </c>
      <c r="E689" t="str">
        <f>Procurement_Raw!E689</f>
        <v>NourishCo</v>
      </c>
      <c r="F689" t="str">
        <f>Procurement_Raw!F689</f>
        <v>Food &amp; Catering</v>
      </c>
      <c r="G689" t="str">
        <f>Procurement_Raw!G689</f>
        <v>INV-2025-00688</v>
      </c>
      <c r="H689" s="6">
        <f>Procurement_Raw!H689</f>
        <v>76</v>
      </c>
      <c r="I689" s="7">
        <f>Procurement_Raw!I689</f>
        <v>52.89</v>
      </c>
      <c r="J689" s="7">
        <f>Procurement_Raw!J689</f>
        <v>4019.73</v>
      </c>
      <c r="K689" s="6">
        <f>Procurement_Raw!K689</f>
        <v>60</v>
      </c>
      <c r="L689" t="str">
        <f>Procurement_Raw!L689</f>
        <v>ERP</v>
      </c>
      <c r="M689" s="8">
        <f>Procurement_Raw!M689</f>
        <v>803.94600000000003</v>
      </c>
      <c r="N689" s="7">
        <f>Procurement_Raw!N689</f>
        <v>4019.73</v>
      </c>
      <c r="O689" s="7">
        <f t="shared" si="20"/>
        <v>4019.73</v>
      </c>
      <c r="P689" t="str">
        <f>IFERROR(INDEX(Supplier_Lookup!$B$2:$B$200,MATCH(E689,Supplier_Lookup!$A$2:$A$200,0)),"Unmapped")</f>
        <v>Food &amp; Catering</v>
      </c>
      <c r="Q689" s="10">
        <f>IFERROR(INDEX(Category_Targets!$B$2:$B$9,MATCH(F689,Category_Targets!$A$2:$A$9,0)),0)</f>
        <v>0.04</v>
      </c>
      <c r="R689" s="7">
        <f t="shared" si="21"/>
        <v>160.78919999999999</v>
      </c>
    </row>
    <row r="690" spans="1:18" x14ac:dyDescent="0.25">
      <c r="A690" s="5">
        <f>Procurement_Raw!A690</f>
        <v>45682</v>
      </c>
      <c r="B690" t="str">
        <f>Procurement_Raw!B690</f>
        <v>S014</v>
      </c>
      <c r="C690" t="str">
        <f>Procurement_Raw!C690</f>
        <v>Southampton Care &amp; Education Centre</v>
      </c>
      <c r="D690" t="str">
        <f>Procurement_Raw!D690</f>
        <v>South</v>
      </c>
      <c r="E690" t="str">
        <f>Procurement_Raw!E690</f>
        <v>ClinEquip</v>
      </c>
      <c r="F690" t="str">
        <f>Procurement_Raw!F690</f>
        <v>Medical Supplies</v>
      </c>
      <c r="G690" t="str">
        <f>Procurement_Raw!G690</f>
        <v>INV-2025-00689</v>
      </c>
      <c r="H690" s="6">
        <f>Procurement_Raw!H690</f>
        <v>71</v>
      </c>
      <c r="I690" s="7">
        <f>Procurement_Raw!I690</f>
        <v>177.42</v>
      </c>
      <c r="J690" s="7">
        <f>Procurement_Raw!J690</f>
        <v>12596.82</v>
      </c>
      <c r="K690" s="6">
        <f>Procurement_Raw!K690</f>
        <v>45</v>
      </c>
      <c r="L690" t="str">
        <f>Procurement_Raw!L690</f>
        <v>Legacy Spend File</v>
      </c>
      <c r="M690" s="8">
        <f>Procurement_Raw!M690</f>
        <v>2519.364</v>
      </c>
      <c r="N690" s="7">
        <f>Procurement_Raw!N690</f>
        <v>12596.82</v>
      </c>
      <c r="O690" s="7">
        <f t="shared" si="20"/>
        <v>12596.82</v>
      </c>
      <c r="P690" t="str">
        <f>IFERROR(INDEX(Supplier_Lookup!$B$2:$B$200,MATCH(E690,Supplier_Lookup!$A$2:$A$200,0)),"Unmapped")</f>
        <v>Medical Supplies</v>
      </c>
      <c r="Q690" s="10">
        <f>IFERROR(INDEX(Category_Targets!$B$2:$B$9,MATCH(F690,Category_Targets!$A$2:$A$9,0)),0)</f>
        <v>0.06</v>
      </c>
      <c r="R690" s="7">
        <f t="shared" si="21"/>
        <v>755.80919999999992</v>
      </c>
    </row>
    <row r="691" spans="1:18" x14ac:dyDescent="0.25">
      <c r="A691" s="5">
        <f>Procurement_Raw!A691</f>
        <v>45954</v>
      </c>
      <c r="B691" t="str">
        <f>Procurement_Raw!B691</f>
        <v>S007</v>
      </c>
      <c r="C691" t="str">
        <f>Procurement_Raw!C691</f>
        <v>Nottingham Care &amp; Education Centre</v>
      </c>
      <c r="D691" t="str">
        <f>Procurement_Raw!D691</f>
        <v>Midlands</v>
      </c>
      <c r="E691" t="str">
        <f>Procurement_Raw!E691</f>
        <v>BuildCare</v>
      </c>
      <c r="F691" t="str">
        <f>Procurement_Raw!F691</f>
        <v>Facilities</v>
      </c>
      <c r="G691" t="str">
        <f>Procurement_Raw!G691</f>
        <v>INV-2025-00690</v>
      </c>
      <c r="H691" s="6">
        <f>Procurement_Raw!H691</f>
        <v>23</v>
      </c>
      <c r="I691" s="7">
        <f>Procurement_Raw!I691</f>
        <v>229.82</v>
      </c>
      <c r="J691" s="7">
        <f>Procurement_Raw!J691</f>
        <v>5285.89</v>
      </c>
      <c r="K691" s="6">
        <f>Procurement_Raw!K691</f>
        <v>60</v>
      </c>
      <c r="L691" t="str">
        <f>Procurement_Raw!L691</f>
        <v>ERP</v>
      </c>
      <c r="M691" s="8">
        <f>Procurement_Raw!M691</f>
        <v>1057.1780000000001</v>
      </c>
      <c r="N691" s="7">
        <f>Procurement_Raw!N691</f>
        <v>5285.89</v>
      </c>
      <c r="O691" s="7">
        <f t="shared" si="20"/>
        <v>5285.89</v>
      </c>
      <c r="P691" t="str">
        <f>IFERROR(INDEX(Supplier_Lookup!$B$2:$B$200,MATCH(E691,Supplier_Lookup!$A$2:$A$200,0)),"Unmapped")</f>
        <v>Facilities</v>
      </c>
      <c r="Q691" s="10">
        <f>IFERROR(INDEX(Category_Targets!$B$2:$B$9,MATCH(F691,Category_Targets!$A$2:$A$9,0)),0)</f>
        <v>0.05</v>
      </c>
      <c r="R691" s="7">
        <f t="shared" si="21"/>
        <v>264.29450000000003</v>
      </c>
    </row>
    <row r="692" spans="1:18" x14ac:dyDescent="0.25">
      <c r="A692" s="5">
        <f>Procurement_Raw!A692</f>
        <v>45965</v>
      </c>
      <c r="B692" t="str">
        <f>Procurement_Raw!B692</f>
        <v>S007</v>
      </c>
      <c r="C692" t="str">
        <f>Procurement_Raw!C692</f>
        <v>Nottingham Care &amp; Education Centre</v>
      </c>
      <c r="D692" t="str">
        <f>Procurement_Raw!D692</f>
        <v>Midlands</v>
      </c>
      <c r="E692" t="str">
        <f>Procurement_Raw!E692</f>
        <v>NurseLink</v>
      </c>
      <c r="F692" t="str">
        <f>Procurement_Raw!F692</f>
        <v>Agency Labour</v>
      </c>
      <c r="G692" t="str">
        <f>Procurement_Raw!G692</f>
        <v>INV-2025-00691</v>
      </c>
      <c r="H692" s="6">
        <f>Procurement_Raw!H692</f>
        <v>78</v>
      </c>
      <c r="I692" s="7">
        <f>Procurement_Raw!I692</f>
        <v>245.98</v>
      </c>
      <c r="J692" s="7">
        <f>Procurement_Raw!J692</f>
        <v>19186.46</v>
      </c>
      <c r="K692" s="6">
        <f>Procurement_Raw!K692</f>
        <v>45</v>
      </c>
      <c r="L692" t="str">
        <f>Procurement_Raw!L692</f>
        <v>Legacy Spend File</v>
      </c>
      <c r="M692" s="8">
        <f>Procurement_Raw!M692</f>
        <v>3837.2919999999999</v>
      </c>
      <c r="N692" s="7">
        <f>Procurement_Raw!N692</f>
        <v>19186.46</v>
      </c>
      <c r="O692" s="7">
        <f t="shared" si="20"/>
        <v>19186.46</v>
      </c>
      <c r="P692" t="str">
        <f>IFERROR(INDEX(Supplier_Lookup!$B$2:$B$200,MATCH(E692,Supplier_Lookup!$A$2:$A$200,0)),"Unmapped")</f>
        <v>Agency Labour</v>
      </c>
      <c r="Q692" s="10">
        <f>IFERROR(INDEX(Category_Targets!$B$2:$B$9,MATCH(F692,Category_Targets!$A$2:$A$9,0)),0)</f>
        <v>7.0000000000000007E-2</v>
      </c>
      <c r="R692" s="7">
        <f t="shared" si="21"/>
        <v>1343.0522000000001</v>
      </c>
    </row>
    <row r="693" spans="1:18" x14ac:dyDescent="0.25">
      <c r="A693" s="5">
        <f>Procurement_Raw!A693</f>
        <v>46012</v>
      </c>
      <c r="B693" t="str">
        <f>Procurement_Raw!B693</f>
        <v>S011</v>
      </c>
      <c r="C693" t="str">
        <f>Procurement_Raw!C693</f>
        <v>London Care &amp; Education Centre</v>
      </c>
      <c r="D693" t="str">
        <f>Procurement_Raw!D693</f>
        <v>South</v>
      </c>
      <c r="E693" t="str">
        <f>Procurement_Raw!E693</f>
        <v>NurseLink</v>
      </c>
      <c r="F693" t="str">
        <f>Procurement_Raw!F693</f>
        <v>Agency Labour</v>
      </c>
      <c r="G693" t="str">
        <f>Procurement_Raw!G693</f>
        <v>INV-2025-00692</v>
      </c>
      <c r="H693" s="6">
        <f>Procurement_Raw!H693</f>
        <v>32</v>
      </c>
      <c r="I693" s="7">
        <f>Procurement_Raw!I693</f>
        <v>567.6</v>
      </c>
      <c r="J693" s="7">
        <f>Procurement_Raw!J693</f>
        <v>18163.14</v>
      </c>
      <c r="K693" s="6">
        <f>Procurement_Raw!K693</f>
        <v>45</v>
      </c>
      <c r="L693" t="str">
        <f>Procurement_Raw!L693</f>
        <v>Procurement Portal</v>
      </c>
      <c r="M693" s="8">
        <f>Procurement_Raw!M693</f>
        <v>3632.6280000000002</v>
      </c>
      <c r="N693" s="7">
        <f>Procurement_Raw!N693</f>
        <v>18163.14</v>
      </c>
      <c r="O693" s="7">
        <f t="shared" si="20"/>
        <v>18163.14</v>
      </c>
      <c r="P693" t="str">
        <f>IFERROR(INDEX(Supplier_Lookup!$B$2:$B$200,MATCH(E693,Supplier_Lookup!$A$2:$A$200,0)),"Unmapped")</f>
        <v>Agency Labour</v>
      </c>
      <c r="Q693" s="10">
        <f>IFERROR(INDEX(Category_Targets!$B$2:$B$9,MATCH(F693,Category_Targets!$A$2:$A$9,0)),0)</f>
        <v>7.0000000000000007E-2</v>
      </c>
      <c r="R693" s="7">
        <f t="shared" si="21"/>
        <v>1271.4198000000001</v>
      </c>
    </row>
    <row r="694" spans="1:18" x14ac:dyDescent="0.25">
      <c r="A694" s="5">
        <f>Procurement_Raw!A694</f>
        <v>45726</v>
      </c>
      <c r="B694" t="str">
        <f>Procurement_Raw!B694</f>
        <v>S001</v>
      </c>
      <c r="C694" t="str">
        <f>Procurement_Raw!C694</f>
        <v>Preston Care &amp; Education Centre</v>
      </c>
      <c r="D694" t="str">
        <f>Procurement_Raw!D694</f>
        <v>North</v>
      </c>
      <c r="E694" t="str">
        <f>Procurement_Raw!E694</f>
        <v>TeleCare IT</v>
      </c>
      <c r="F694" t="str">
        <f>Procurement_Raw!F694</f>
        <v>IT &amp; Telecoms</v>
      </c>
      <c r="G694" t="str">
        <f>Procurement_Raw!G694</f>
        <v>INV-2025-00693</v>
      </c>
      <c r="H694" s="6">
        <f>Procurement_Raw!H694</f>
        <v>18</v>
      </c>
      <c r="I694" s="7">
        <f>Procurement_Raw!I694</f>
        <v>121.39</v>
      </c>
      <c r="J694" s="7">
        <f>Procurement_Raw!J694</f>
        <v>2185.09</v>
      </c>
      <c r="K694" s="6">
        <f>Procurement_Raw!K694</f>
        <v>45</v>
      </c>
      <c r="L694" t="str">
        <f>Procurement_Raw!L694</f>
        <v>Legacy Spend File</v>
      </c>
      <c r="M694" s="8">
        <f>Procurement_Raw!M694</f>
        <v>437.01799999999997</v>
      </c>
      <c r="N694" s="7">
        <f>Procurement_Raw!N694</f>
        <v>2185.09</v>
      </c>
      <c r="O694" s="7">
        <f t="shared" si="20"/>
        <v>2185.09</v>
      </c>
      <c r="P694" t="str">
        <f>IFERROR(INDEX(Supplier_Lookup!$B$2:$B$200,MATCH(E694,Supplier_Lookup!$A$2:$A$200,0)),"Unmapped")</f>
        <v>IT &amp; Telecoms</v>
      </c>
      <c r="Q694" s="10">
        <f>IFERROR(INDEX(Category_Targets!$B$2:$B$9,MATCH(F694,Category_Targets!$A$2:$A$9,0)),0)</f>
        <v>0.08</v>
      </c>
      <c r="R694" s="7">
        <f t="shared" si="21"/>
        <v>174.80720000000002</v>
      </c>
    </row>
    <row r="695" spans="1:18" x14ac:dyDescent="0.25">
      <c r="A695" s="5">
        <f>Procurement_Raw!A695</f>
        <v>45938</v>
      </c>
      <c r="B695" t="str">
        <f>Procurement_Raw!B695</f>
        <v>S012</v>
      </c>
      <c r="C695" t="str">
        <f>Procurement_Raw!C695</f>
        <v>Bristol Care &amp; Education Centre</v>
      </c>
      <c r="D695" t="str">
        <f>Procurement_Raw!D695</f>
        <v>South</v>
      </c>
      <c r="E695" t="str">
        <f>Procurement_Raw!E695</f>
        <v>NetServe</v>
      </c>
      <c r="F695" t="str">
        <f>Procurement_Raw!F695</f>
        <v>IT &amp; Telecoms</v>
      </c>
      <c r="G695" t="str">
        <f>Procurement_Raw!G695</f>
        <v>INV-2025-00694</v>
      </c>
      <c r="H695" s="6">
        <f>Procurement_Raw!H695</f>
        <v>41</v>
      </c>
      <c r="I695" s="7">
        <f>Procurement_Raw!I695</f>
        <v>308.70999999999998</v>
      </c>
      <c r="J695" s="7">
        <f>Procurement_Raw!J695</f>
        <v>12656.98</v>
      </c>
      <c r="K695" s="6">
        <f>Procurement_Raw!K695</f>
        <v>60</v>
      </c>
      <c r="L695" t="str">
        <f>Procurement_Raw!L695</f>
        <v>Legacy Spend File</v>
      </c>
      <c r="M695" s="8">
        <f>Procurement_Raw!M695</f>
        <v>2531.3960000000002</v>
      </c>
      <c r="N695" s="7">
        <f>Procurement_Raw!N695</f>
        <v>12656.98</v>
      </c>
      <c r="O695" s="7">
        <f t="shared" si="20"/>
        <v>12656.98</v>
      </c>
      <c r="P695" t="str">
        <f>IFERROR(INDEX(Supplier_Lookup!$B$2:$B$200,MATCH(E695,Supplier_Lookup!$A$2:$A$200,0)),"Unmapped")</f>
        <v>IT &amp; Telecoms</v>
      </c>
      <c r="Q695" s="10">
        <f>IFERROR(INDEX(Category_Targets!$B$2:$B$9,MATCH(F695,Category_Targets!$A$2:$A$9,0)),0)</f>
        <v>0.08</v>
      </c>
      <c r="R695" s="7">
        <f t="shared" si="21"/>
        <v>1012.5584</v>
      </c>
    </row>
    <row r="696" spans="1:18" x14ac:dyDescent="0.25">
      <c r="A696" s="5">
        <f>Procurement_Raw!A696</f>
        <v>45765</v>
      </c>
      <c r="B696" t="str">
        <f>Procurement_Raw!B696</f>
        <v>S020</v>
      </c>
      <c r="C696" t="str">
        <f>Procurement_Raw!C696</f>
        <v>Bangor Care &amp; Education Centre</v>
      </c>
      <c r="D696" t="str">
        <f>Procurement_Raw!D696</f>
        <v>Wales</v>
      </c>
      <c r="E696" t="str">
        <f>Procurement_Raw!E696</f>
        <v>UK Energy Partners</v>
      </c>
      <c r="F696" t="str">
        <f>Procurement_Raw!F696</f>
        <v>Utilities</v>
      </c>
      <c r="G696" t="str">
        <f>Procurement_Raw!G696</f>
        <v>INV-2025-00695</v>
      </c>
      <c r="H696" s="6">
        <f>Procurement_Raw!H696</f>
        <v>80</v>
      </c>
      <c r="I696" s="7">
        <f>Procurement_Raw!I696</f>
        <v>346.43</v>
      </c>
      <c r="J696" s="7">
        <f>Procurement_Raw!J696</f>
        <v>27714.01</v>
      </c>
      <c r="K696" s="6">
        <f>Procurement_Raw!K696</f>
        <v>60</v>
      </c>
      <c r="L696" t="str">
        <f>Procurement_Raw!L696</f>
        <v>Procurement Portal</v>
      </c>
      <c r="M696" s="8">
        <f>Procurement_Raw!M696</f>
        <v>5542.8019999999997</v>
      </c>
      <c r="N696" s="7">
        <f>Procurement_Raw!N696</f>
        <v>27714.01</v>
      </c>
      <c r="O696" s="7">
        <f t="shared" si="20"/>
        <v>27714.01</v>
      </c>
      <c r="P696" t="str">
        <f>IFERROR(INDEX(Supplier_Lookup!$B$2:$B$200,MATCH(E696,Supplier_Lookup!$A$2:$A$200,0)),"Unmapped")</f>
        <v>Utilities</v>
      </c>
      <c r="Q696" s="10">
        <f>IFERROR(INDEX(Category_Targets!$B$2:$B$9,MATCH(F696,Category_Targets!$A$2:$A$9,0)),0)</f>
        <v>0.03</v>
      </c>
      <c r="R696" s="7">
        <f t="shared" si="21"/>
        <v>831.42029999999988</v>
      </c>
    </row>
    <row r="697" spans="1:18" x14ac:dyDescent="0.25">
      <c r="A697" s="5">
        <f>Procurement_Raw!A697</f>
        <v>45725</v>
      </c>
      <c r="B697" t="str">
        <f>Procurement_Raw!B697</f>
        <v>S019</v>
      </c>
      <c r="C697" t="str">
        <f>Procurement_Raw!C697</f>
        <v>Wrexham Care &amp; Education Centre</v>
      </c>
      <c r="D697" t="str">
        <f>Procurement_Raw!D697</f>
        <v>Wales</v>
      </c>
      <c r="E697" t="str">
        <f>Procurement_Raw!E697</f>
        <v>AutoCare</v>
      </c>
      <c r="F697" t="str">
        <f>Procurement_Raw!F697</f>
        <v>Vehicle &amp; Fuel</v>
      </c>
      <c r="G697" t="str">
        <f>Procurement_Raw!G697</f>
        <v>INV-2025-00696</v>
      </c>
      <c r="H697" s="6">
        <f>Procurement_Raw!H697</f>
        <v>23</v>
      </c>
      <c r="I697" s="7">
        <f>Procurement_Raw!I697</f>
        <v>80.13</v>
      </c>
      <c r="J697" s="7">
        <f>Procurement_Raw!J697</f>
        <v>1842.95</v>
      </c>
      <c r="K697" s="6">
        <f>Procurement_Raw!K697</f>
        <v>60</v>
      </c>
      <c r="L697" t="str">
        <f>Procurement_Raw!L697</f>
        <v>Legacy Spend File</v>
      </c>
      <c r="M697" s="8">
        <f>Procurement_Raw!M697</f>
        <v>368.59</v>
      </c>
      <c r="N697" s="7">
        <f>Procurement_Raw!N697</f>
        <v>1842.95</v>
      </c>
      <c r="O697" s="7">
        <f t="shared" si="20"/>
        <v>1842.95</v>
      </c>
      <c r="P697" t="str">
        <f>IFERROR(INDEX(Supplier_Lookup!$B$2:$B$200,MATCH(E697,Supplier_Lookup!$A$2:$A$200,0)),"Unmapped")</f>
        <v>Vehicle &amp; Fuel</v>
      </c>
      <c r="Q697" s="10">
        <f>IFERROR(INDEX(Category_Targets!$B$2:$B$9,MATCH(F697,Category_Targets!$A$2:$A$9,0)),0)</f>
        <v>0.05</v>
      </c>
      <c r="R697" s="7">
        <f t="shared" si="21"/>
        <v>92.147500000000008</v>
      </c>
    </row>
    <row r="698" spans="1:18" x14ac:dyDescent="0.25">
      <c r="A698" s="5">
        <f>Procurement_Raw!A698</f>
        <v>45717</v>
      </c>
      <c r="B698" t="str">
        <f>Procurement_Raw!B698</f>
        <v>S010</v>
      </c>
      <c r="C698" t="str">
        <f>Procurement_Raw!C698</f>
        <v>Coventry Care &amp; Education Centre</v>
      </c>
      <c r="D698" t="str">
        <f>Procurement_Raw!D698</f>
        <v>Midlands</v>
      </c>
      <c r="E698" t="str">
        <f>Procurement_Raw!E698</f>
        <v>AutoCare</v>
      </c>
      <c r="F698" t="str">
        <f>Procurement_Raw!F698</f>
        <v>Vehicle &amp; Fuel</v>
      </c>
      <c r="G698" t="str">
        <f>Procurement_Raw!G698</f>
        <v>INV-2025-00697</v>
      </c>
      <c r="H698" s="6">
        <f>Procurement_Raw!H698</f>
        <v>46</v>
      </c>
      <c r="I698" s="7">
        <f>Procurement_Raw!I698</f>
        <v>113.66</v>
      </c>
      <c r="J698" s="7">
        <f>Procurement_Raw!J698</f>
        <v>5228.5600000000004</v>
      </c>
      <c r="K698" s="6">
        <f>Procurement_Raw!K698</f>
        <v>60</v>
      </c>
      <c r="L698" t="str">
        <f>Procurement_Raw!L698</f>
        <v>Procurement Portal</v>
      </c>
      <c r="M698" s="8">
        <f>Procurement_Raw!M698</f>
        <v>1045.712</v>
      </c>
      <c r="N698" s="7">
        <f>Procurement_Raw!N698</f>
        <v>5228.5600000000004</v>
      </c>
      <c r="O698" s="7">
        <f t="shared" si="20"/>
        <v>5228.5600000000004</v>
      </c>
      <c r="P698" t="str">
        <f>IFERROR(INDEX(Supplier_Lookup!$B$2:$B$200,MATCH(E698,Supplier_Lookup!$A$2:$A$200,0)),"Unmapped")</f>
        <v>Vehicle &amp; Fuel</v>
      </c>
      <c r="Q698" s="10">
        <f>IFERROR(INDEX(Category_Targets!$B$2:$B$9,MATCH(F698,Category_Targets!$A$2:$A$9,0)),0)</f>
        <v>0.05</v>
      </c>
      <c r="R698" s="7">
        <f t="shared" si="21"/>
        <v>261.42800000000005</v>
      </c>
    </row>
    <row r="699" spans="1:18" x14ac:dyDescent="0.25">
      <c r="A699" s="5">
        <f>Procurement_Raw!A699</f>
        <v>45931</v>
      </c>
      <c r="B699" t="str">
        <f>Procurement_Raw!B699</f>
        <v>S009</v>
      </c>
      <c r="C699" t="str">
        <f>Procurement_Raw!C699</f>
        <v>Derby Care &amp; Education Centre</v>
      </c>
      <c r="D699" t="str">
        <f>Procurement_Raw!D699</f>
        <v>Midlands</v>
      </c>
      <c r="E699" t="str">
        <f>Procurement_Raw!E699</f>
        <v>NurseLink</v>
      </c>
      <c r="F699" t="str">
        <f>Procurement_Raw!F699</f>
        <v>Agency Labour</v>
      </c>
      <c r="G699" t="str">
        <f>Procurement_Raw!G699</f>
        <v>INV-2025-00698</v>
      </c>
      <c r="H699" s="6">
        <f>Procurement_Raw!H699</f>
        <v>37</v>
      </c>
      <c r="I699" s="7">
        <f>Procurement_Raw!I699</f>
        <v>150.76</v>
      </c>
      <c r="J699" s="7">
        <f>Procurement_Raw!J699</f>
        <v>5578.01</v>
      </c>
      <c r="K699" s="6">
        <f>Procurement_Raw!K699</f>
        <v>45</v>
      </c>
      <c r="L699" t="str">
        <f>Procurement_Raw!L699</f>
        <v>ERP</v>
      </c>
      <c r="M699" s="8">
        <f>Procurement_Raw!M699</f>
        <v>1115.6020000000001</v>
      </c>
      <c r="N699" s="7">
        <f>Procurement_Raw!N699</f>
        <v>5578.01</v>
      </c>
      <c r="O699" s="7">
        <f t="shared" si="20"/>
        <v>5578.01</v>
      </c>
      <c r="P699" t="str">
        <f>IFERROR(INDEX(Supplier_Lookup!$B$2:$B$200,MATCH(E699,Supplier_Lookup!$A$2:$A$200,0)),"Unmapped")</f>
        <v>Agency Labour</v>
      </c>
      <c r="Q699" s="10">
        <f>IFERROR(INDEX(Category_Targets!$B$2:$B$9,MATCH(F699,Category_Targets!$A$2:$A$9,0)),0)</f>
        <v>7.0000000000000007E-2</v>
      </c>
      <c r="R699" s="7">
        <f t="shared" si="21"/>
        <v>390.46070000000003</v>
      </c>
    </row>
    <row r="700" spans="1:18" x14ac:dyDescent="0.25">
      <c r="A700" s="5">
        <f>Procurement_Raw!A700</f>
        <v>45853</v>
      </c>
      <c r="B700" t="str">
        <f>Procurement_Raw!B700</f>
        <v>S003</v>
      </c>
      <c r="C700" t="str">
        <f>Procurement_Raw!C700</f>
        <v>Leeds Care &amp; Education Centre</v>
      </c>
      <c r="D700" t="str">
        <f>Procurement_Raw!D700</f>
        <v>North</v>
      </c>
      <c r="E700" t="str">
        <f>Procurement_Raw!E700</f>
        <v>FreshServe</v>
      </c>
      <c r="F700" t="str">
        <f>Procurement_Raw!F700</f>
        <v>Food &amp; Catering</v>
      </c>
      <c r="G700" t="str">
        <f>Procurement_Raw!G700</f>
        <v>INV-2025-00699</v>
      </c>
      <c r="H700" s="6">
        <f>Procurement_Raw!H700</f>
        <v>19</v>
      </c>
      <c r="I700" s="7">
        <f>Procurement_Raw!I700</f>
        <v>108.05</v>
      </c>
      <c r="J700" s="7">
        <f>Procurement_Raw!J700</f>
        <v>2052.9699999999998</v>
      </c>
      <c r="K700" s="6">
        <f>Procurement_Raw!K700</f>
        <v>30</v>
      </c>
      <c r="L700" t="str">
        <f>Procurement_Raw!L700</f>
        <v>Legacy Spend File</v>
      </c>
      <c r="M700" s="8">
        <f>Procurement_Raw!M700</f>
        <v>410.59399999999999</v>
      </c>
      <c r="N700" s="7">
        <f>Procurement_Raw!N700</f>
        <v>2052.9699999999998</v>
      </c>
      <c r="O700" s="7">
        <f t="shared" si="20"/>
        <v>2052.9699999999998</v>
      </c>
      <c r="P700" t="str">
        <f>IFERROR(INDEX(Supplier_Lookup!$B$2:$B$200,MATCH(E700,Supplier_Lookup!$A$2:$A$200,0)),"Unmapped")</f>
        <v>Food &amp; Catering</v>
      </c>
      <c r="Q700" s="10">
        <f>IFERROR(INDEX(Category_Targets!$B$2:$B$9,MATCH(F700,Category_Targets!$A$2:$A$9,0)),0)</f>
        <v>0.04</v>
      </c>
      <c r="R700" s="7">
        <f t="shared" si="21"/>
        <v>82.118799999999993</v>
      </c>
    </row>
    <row r="701" spans="1:18" x14ac:dyDescent="0.25">
      <c r="A701" s="5">
        <f>Procurement_Raw!A701</f>
        <v>45740</v>
      </c>
      <c r="B701" t="str">
        <f>Procurement_Raw!B701</f>
        <v>S013</v>
      </c>
      <c r="C701" t="str">
        <f>Procurement_Raw!C701</f>
        <v>Reading Care &amp; Education Centre</v>
      </c>
      <c r="D701" t="str">
        <f>Procurement_Raw!D701</f>
        <v>South</v>
      </c>
      <c r="E701" t="str">
        <f>Procurement_Raw!E701</f>
        <v>WaterGrid</v>
      </c>
      <c r="F701" t="str">
        <f>Procurement_Raw!F701</f>
        <v>Utilities</v>
      </c>
      <c r="G701" t="str">
        <f>Procurement_Raw!G701</f>
        <v>INV-2025-00700</v>
      </c>
      <c r="H701" s="6">
        <f>Procurement_Raw!H701</f>
        <v>37</v>
      </c>
      <c r="I701" s="7">
        <f>Procurement_Raw!I701</f>
        <v>225.83</v>
      </c>
      <c r="J701" s="7">
        <f>Procurement_Raw!J701</f>
        <v>8355.56</v>
      </c>
      <c r="K701" s="6">
        <f>Procurement_Raw!K701</f>
        <v>60</v>
      </c>
      <c r="L701" t="str">
        <f>Procurement_Raw!L701</f>
        <v>Procurement Portal</v>
      </c>
      <c r="M701" s="8">
        <f>Procurement_Raw!M701</f>
        <v>1671.1120000000001</v>
      </c>
      <c r="N701" s="7">
        <f>Procurement_Raw!N701</f>
        <v>8355.56</v>
      </c>
      <c r="O701" s="7">
        <f t="shared" si="20"/>
        <v>8355.56</v>
      </c>
      <c r="P701" t="str">
        <f>IFERROR(INDEX(Supplier_Lookup!$B$2:$B$200,MATCH(E701,Supplier_Lookup!$A$2:$A$200,0)),"Unmapped")</f>
        <v>Utilities</v>
      </c>
      <c r="Q701" s="10">
        <f>IFERROR(INDEX(Category_Targets!$B$2:$B$9,MATCH(F701,Category_Targets!$A$2:$A$9,0)),0)</f>
        <v>0.03</v>
      </c>
      <c r="R701" s="7">
        <f t="shared" si="21"/>
        <v>250.66679999999997</v>
      </c>
    </row>
    <row r="702" spans="1:18" x14ac:dyDescent="0.25">
      <c r="A702" s="5">
        <f>Procurement_Raw!A702</f>
        <v>45809</v>
      </c>
      <c r="B702" t="str">
        <f>Procurement_Raw!B702</f>
        <v>S011</v>
      </c>
      <c r="C702" t="str">
        <f>Procurement_Raw!C702</f>
        <v>London Care &amp; Education Centre</v>
      </c>
      <c r="D702" t="str">
        <f>Procurement_Raw!D702</f>
        <v>South</v>
      </c>
      <c r="E702" t="str">
        <f>Procurement_Raw!E702</f>
        <v>ClinEquip</v>
      </c>
      <c r="F702" t="str">
        <f>Procurement_Raw!F702</f>
        <v>Medical Supplies</v>
      </c>
      <c r="G702" t="str">
        <f>Procurement_Raw!G702</f>
        <v>INV-2025-00701</v>
      </c>
      <c r="H702" s="6">
        <f>Procurement_Raw!H702</f>
        <v>27</v>
      </c>
      <c r="I702" s="7">
        <f>Procurement_Raw!I702</f>
        <v>90.02</v>
      </c>
      <c r="J702" s="7">
        <f>Procurement_Raw!J702</f>
        <v>2430.4499999999998</v>
      </c>
      <c r="K702" s="6">
        <f>Procurement_Raw!K702</f>
        <v>60</v>
      </c>
      <c r="L702" t="str">
        <f>Procurement_Raw!L702</f>
        <v>ERP</v>
      </c>
      <c r="M702" s="8">
        <f>Procurement_Raw!M702</f>
        <v>486.09</v>
      </c>
      <c r="N702" s="7">
        <f>Procurement_Raw!N702</f>
        <v>2430.4499999999998</v>
      </c>
      <c r="O702" s="7">
        <f t="shared" si="20"/>
        <v>2430.4499999999998</v>
      </c>
      <c r="P702" t="str">
        <f>IFERROR(INDEX(Supplier_Lookup!$B$2:$B$200,MATCH(E702,Supplier_Lookup!$A$2:$A$200,0)),"Unmapped")</f>
        <v>Medical Supplies</v>
      </c>
      <c r="Q702" s="10">
        <f>IFERROR(INDEX(Category_Targets!$B$2:$B$9,MATCH(F702,Category_Targets!$A$2:$A$9,0)),0)</f>
        <v>0.06</v>
      </c>
      <c r="R702" s="7">
        <f t="shared" si="21"/>
        <v>145.82699999999997</v>
      </c>
    </row>
    <row r="703" spans="1:18" x14ac:dyDescent="0.25">
      <c r="A703" s="5">
        <f>Procurement_Raw!A703</f>
        <v>45973</v>
      </c>
      <c r="B703" t="str">
        <f>Procurement_Raw!B703</f>
        <v>S020</v>
      </c>
      <c r="C703" t="str">
        <f>Procurement_Raw!C703</f>
        <v>Bangor Care &amp; Education Centre</v>
      </c>
      <c r="D703" t="str">
        <f>Procurement_Raw!D703</f>
        <v>Wales</v>
      </c>
      <c r="E703" t="str">
        <f>Procurement_Raw!E703</f>
        <v>OfficePlus</v>
      </c>
      <c r="F703" t="str">
        <f>Procurement_Raw!F703</f>
        <v>Office &amp; Training</v>
      </c>
      <c r="G703" t="str">
        <f>Procurement_Raw!G703</f>
        <v>INV-2025-00702</v>
      </c>
      <c r="H703" s="6">
        <f>Procurement_Raw!H703</f>
        <v>72</v>
      </c>
      <c r="I703" s="7">
        <f>Procurement_Raw!I703</f>
        <v>133.55000000000001</v>
      </c>
      <c r="J703" s="7">
        <f>Procurement_Raw!J703</f>
        <v>9615.2900000000009</v>
      </c>
      <c r="K703" s="6">
        <f>Procurement_Raw!K703</f>
        <v>30</v>
      </c>
      <c r="L703" t="str">
        <f>Procurement_Raw!L703</f>
        <v>Legacy Spend File</v>
      </c>
      <c r="M703" s="8">
        <f>Procurement_Raw!M703</f>
        <v>1923.058</v>
      </c>
      <c r="N703" s="7">
        <f>Procurement_Raw!N703</f>
        <v>9615.2900000000009</v>
      </c>
      <c r="O703" s="7">
        <f t="shared" si="20"/>
        <v>9615.2900000000009</v>
      </c>
      <c r="P703" t="str">
        <f>IFERROR(INDEX(Supplier_Lookup!$B$2:$B$200,MATCH(E703,Supplier_Lookup!$A$2:$A$200,0)),"Unmapped")</f>
        <v>Office &amp; Training</v>
      </c>
      <c r="Q703" s="10">
        <f>IFERROR(INDEX(Category_Targets!$B$2:$B$9,MATCH(F703,Category_Targets!$A$2:$A$9,0)),0)</f>
        <v>0.04</v>
      </c>
      <c r="R703" s="7">
        <f t="shared" si="21"/>
        <v>384.61160000000007</v>
      </c>
    </row>
    <row r="704" spans="1:18" x14ac:dyDescent="0.25">
      <c r="A704" s="5">
        <f>Procurement_Raw!A704</f>
        <v>45919</v>
      </c>
      <c r="B704" t="str">
        <f>Procurement_Raw!B704</f>
        <v>S007</v>
      </c>
      <c r="C704" t="str">
        <f>Procurement_Raw!C704</f>
        <v>Nottingham Care &amp; Education Centre</v>
      </c>
      <c r="D704" t="str">
        <f>Procurement_Raw!D704</f>
        <v>Midlands</v>
      </c>
      <c r="E704" t="str">
        <f>Procurement_Raw!E704</f>
        <v>HealthStaffing</v>
      </c>
      <c r="F704" t="str">
        <f>Procurement_Raw!F704</f>
        <v>Agency Labour</v>
      </c>
      <c r="G704" t="str">
        <f>Procurement_Raw!G704</f>
        <v>INV-2025-00703</v>
      </c>
      <c r="H704" s="6">
        <f>Procurement_Raw!H704</f>
        <v>37</v>
      </c>
      <c r="I704" s="7">
        <f>Procurement_Raw!I704</f>
        <v>203.65</v>
      </c>
      <c r="J704" s="7">
        <f>Procurement_Raw!J704</f>
        <v>7534.98</v>
      </c>
      <c r="K704" s="6">
        <f>Procurement_Raw!K704</f>
        <v>60</v>
      </c>
      <c r="L704" t="str">
        <f>Procurement_Raw!L704</f>
        <v>Legacy Spend File</v>
      </c>
      <c r="M704" s="8">
        <f>Procurement_Raw!M704</f>
        <v>1506.9960000000001</v>
      </c>
      <c r="N704" s="7">
        <f>Procurement_Raw!N704</f>
        <v>7534.98</v>
      </c>
      <c r="O704" s="7">
        <f t="shared" si="20"/>
        <v>7534.98</v>
      </c>
      <c r="P704" t="str">
        <f>IFERROR(INDEX(Supplier_Lookup!$B$2:$B$200,MATCH(E704,Supplier_Lookup!$A$2:$A$200,0)),"Unmapped")</f>
        <v>Agency Labour</v>
      </c>
      <c r="Q704" s="10">
        <f>IFERROR(INDEX(Category_Targets!$B$2:$B$9,MATCH(F704,Category_Targets!$A$2:$A$9,0)),0)</f>
        <v>7.0000000000000007E-2</v>
      </c>
      <c r="R704" s="7">
        <f t="shared" si="21"/>
        <v>527.44860000000006</v>
      </c>
    </row>
    <row r="705" spans="1:18" x14ac:dyDescent="0.25">
      <c r="A705" s="5">
        <f>Procurement_Raw!A705</f>
        <v>45871</v>
      </c>
      <c r="B705" t="str">
        <f>Procurement_Raw!B705</f>
        <v>S011</v>
      </c>
      <c r="C705" t="str">
        <f>Procurement_Raw!C705</f>
        <v>London Care &amp; Education Centre</v>
      </c>
      <c r="D705" t="str">
        <f>Procurement_Raw!D705</f>
        <v>South</v>
      </c>
      <c r="E705" t="str">
        <f>Procurement_Raw!E705</f>
        <v>CareTemps</v>
      </c>
      <c r="F705" t="str">
        <f>Procurement_Raw!F705</f>
        <v>Agency Labour</v>
      </c>
      <c r="G705" t="str">
        <f>Procurement_Raw!G705</f>
        <v>INV-2025-00704</v>
      </c>
      <c r="H705" s="6">
        <f>Procurement_Raw!H705</f>
        <v>41</v>
      </c>
      <c r="I705" s="7">
        <f>Procurement_Raw!I705</f>
        <v>138.26</v>
      </c>
      <c r="J705" s="7">
        <f>Procurement_Raw!J705</f>
        <v>5668.62</v>
      </c>
      <c r="K705" s="6">
        <f>Procurement_Raw!K705</f>
        <v>60</v>
      </c>
      <c r="L705" t="str">
        <f>Procurement_Raw!L705</f>
        <v>ERP</v>
      </c>
      <c r="M705" s="8">
        <f>Procurement_Raw!M705</f>
        <v>1133.7239999999999</v>
      </c>
      <c r="N705" s="7">
        <f>Procurement_Raw!N705</f>
        <v>5668.62</v>
      </c>
      <c r="O705" s="7">
        <f t="shared" si="20"/>
        <v>5668.62</v>
      </c>
      <c r="P705" t="str">
        <f>IFERROR(INDEX(Supplier_Lookup!$B$2:$B$200,MATCH(E705,Supplier_Lookup!$A$2:$A$200,0)),"Unmapped")</f>
        <v>Agency Labour</v>
      </c>
      <c r="Q705" s="10">
        <f>IFERROR(INDEX(Category_Targets!$B$2:$B$9,MATCH(F705,Category_Targets!$A$2:$A$9,0)),0)</f>
        <v>7.0000000000000007E-2</v>
      </c>
      <c r="R705" s="7">
        <f t="shared" si="21"/>
        <v>396.80340000000001</v>
      </c>
    </row>
    <row r="706" spans="1:18" x14ac:dyDescent="0.25">
      <c r="A706" s="5">
        <f>Procurement_Raw!A706</f>
        <v>45975</v>
      </c>
      <c r="B706" t="str">
        <f>Procurement_Raw!B706</f>
        <v>S005</v>
      </c>
      <c r="C706" t="str">
        <f>Procurement_Raw!C706</f>
        <v>Sheffield Care &amp; Education Centre</v>
      </c>
      <c r="D706" t="str">
        <f>Procurement_Raw!D706</f>
        <v>North</v>
      </c>
      <c r="E706" t="str">
        <f>Procurement_Raw!E706</f>
        <v>CloudLink</v>
      </c>
      <c r="F706" t="str">
        <f>Procurement_Raw!F706</f>
        <v>IT &amp; Telecoms</v>
      </c>
      <c r="G706" t="str">
        <f>Procurement_Raw!G706</f>
        <v>INV-2025-00705</v>
      </c>
      <c r="H706" s="6">
        <f>Procurement_Raw!H706</f>
        <v>57</v>
      </c>
      <c r="I706" s="7">
        <f>Procurement_Raw!I706</f>
        <v>93.46</v>
      </c>
      <c r="J706" s="7">
        <f>Procurement_Raw!J706</f>
        <v>5326.94</v>
      </c>
      <c r="K706" s="6">
        <f>Procurement_Raw!K706</f>
        <v>30</v>
      </c>
      <c r="L706" t="str">
        <f>Procurement_Raw!L706</f>
        <v>Legacy Spend File</v>
      </c>
      <c r="M706" s="8">
        <f>Procurement_Raw!M706</f>
        <v>1065.3879999999999</v>
      </c>
      <c r="N706" s="7">
        <f>Procurement_Raw!N706</f>
        <v>5326.94</v>
      </c>
      <c r="O706" s="7">
        <f t="shared" ref="O706:O769" si="22">IFERROR(IF(J706="","",J706),0)</f>
        <v>5326.94</v>
      </c>
      <c r="P706" t="str">
        <f>IFERROR(INDEX(Supplier_Lookup!$B$2:$B$200,MATCH(E706,Supplier_Lookup!$A$2:$A$200,0)),"Unmapped")</f>
        <v>medical supplies</v>
      </c>
      <c r="Q706" s="10">
        <f>IFERROR(INDEX(Category_Targets!$B$2:$B$9,MATCH(F706,Category_Targets!$A$2:$A$9,0)),0)</f>
        <v>0.08</v>
      </c>
      <c r="R706" s="7">
        <f t="shared" ref="R706:R769" si="23">O706*Q706</f>
        <v>426.15519999999998</v>
      </c>
    </row>
    <row r="707" spans="1:18" x14ac:dyDescent="0.25">
      <c r="A707" s="5">
        <f>Procurement_Raw!A707</f>
        <v>45937</v>
      </c>
      <c r="B707" t="str">
        <f>Procurement_Raw!B707</f>
        <v>S011</v>
      </c>
      <c r="C707" t="str">
        <f>Procurement_Raw!C707</f>
        <v>London Care &amp; Education Centre</v>
      </c>
      <c r="D707" t="str">
        <f>Procurement_Raw!D707</f>
        <v>South</v>
      </c>
      <c r="E707" t="str">
        <f>Procurement_Raw!E707</f>
        <v>AutoCare</v>
      </c>
      <c r="F707" t="str">
        <f>Procurement_Raw!F707</f>
        <v>Vehicle &amp; Fuel</v>
      </c>
      <c r="G707" t="str">
        <f>Procurement_Raw!G707</f>
        <v>INV-2025-00706</v>
      </c>
      <c r="H707" s="6">
        <f>Procurement_Raw!H707</f>
        <v>78</v>
      </c>
      <c r="I707" s="7">
        <f>Procurement_Raw!I707</f>
        <v>132.58000000000001</v>
      </c>
      <c r="J707" s="7">
        <f>Procurement_Raw!J707</f>
        <v>10341.200000000001</v>
      </c>
      <c r="K707" s="6">
        <f>Procurement_Raw!K707</f>
        <v>30</v>
      </c>
      <c r="L707" t="str">
        <f>Procurement_Raw!L707</f>
        <v>Legacy Spend File</v>
      </c>
      <c r="M707" s="8">
        <f>Procurement_Raw!M707</f>
        <v>2068.2399999999998</v>
      </c>
      <c r="N707" s="7">
        <f>Procurement_Raw!N707</f>
        <v>10341.200000000001</v>
      </c>
      <c r="O707" s="7">
        <f t="shared" si="22"/>
        <v>10341.200000000001</v>
      </c>
      <c r="P707" t="str">
        <f>IFERROR(INDEX(Supplier_Lookup!$B$2:$B$200,MATCH(E707,Supplier_Lookup!$A$2:$A$200,0)),"Unmapped")</f>
        <v>Vehicle &amp; Fuel</v>
      </c>
      <c r="Q707" s="10">
        <f>IFERROR(INDEX(Category_Targets!$B$2:$B$9,MATCH(F707,Category_Targets!$A$2:$A$9,0)),0)</f>
        <v>0.05</v>
      </c>
      <c r="R707" s="7">
        <f t="shared" si="23"/>
        <v>517.06000000000006</v>
      </c>
    </row>
    <row r="708" spans="1:18" x14ac:dyDescent="0.25">
      <c r="A708" s="5">
        <f>Procurement_Raw!A708</f>
        <v>45748</v>
      </c>
      <c r="B708" t="str">
        <f>Procurement_Raw!B708</f>
        <v>S006</v>
      </c>
      <c r="C708" t="str">
        <f>Procurement_Raw!C708</f>
        <v>Birmingham Care &amp; Education Centre</v>
      </c>
      <c r="D708" t="str">
        <f>Procurement_Raw!D708</f>
        <v>Midlands</v>
      </c>
      <c r="E708" t="str">
        <f>Procurement_Raw!E708</f>
        <v>TeleCare IT</v>
      </c>
      <c r="F708" t="str">
        <f>Procurement_Raw!F708</f>
        <v>IT &amp; Telecoms</v>
      </c>
      <c r="G708" t="str">
        <f>Procurement_Raw!G708</f>
        <v>INV-2025-00707</v>
      </c>
      <c r="H708" s="6">
        <f>Procurement_Raw!H708</f>
        <v>10</v>
      </c>
      <c r="I708" s="7">
        <f>Procurement_Raw!I708</f>
        <v>108.79</v>
      </c>
      <c r="J708" s="7">
        <f>Procurement_Raw!J708</f>
        <v>1087.8699999999999</v>
      </c>
      <c r="K708" s="6">
        <f>Procurement_Raw!K708</f>
        <v>30</v>
      </c>
      <c r="L708" t="str">
        <f>Procurement_Raw!L708</f>
        <v>ERP</v>
      </c>
      <c r="M708" s="8">
        <f>Procurement_Raw!M708</f>
        <v>217.57400000000001</v>
      </c>
      <c r="N708" s="7">
        <f>Procurement_Raw!N708</f>
        <v>1087.8699999999999</v>
      </c>
      <c r="O708" s="7">
        <f t="shared" si="22"/>
        <v>1087.8699999999999</v>
      </c>
      <c r="P708" t="str">
        <f>IFERROR(INDEX(Supplier_Lookup!$B$2:$B$200,MATCH(E708,Supplier_Lookup!$A$2:$A$200,0)),"Unmapped")</f>
        <v>IT &amp; Telecoms</v>
      </c>
      <c r="Q708" s="10">
        <f>IFERROR(INDEX(Category_Targets!$B$2:$B$9,MATCH(F708,Category_Targets!$A$2:$A$9,0)),0)</f>
        <v>0.08</v>
      </c>
      <c r="R708" s="7">
        <f t="shared" si="23"/>
        <v>87.029599999999988</v>
      </c>
    </row>
    <row r="709" spans="1:18" x14ac:dyDescent="0.25">
      <c r="A709" s="5">
        <f>Procurement_Raw!A709</f>
        <v>45678</v>
      </c>
      <c r="B709" t="str">
        <f>Procurement_Raw!B709</f>
        <v>S017</v>
      </c>
      <c r="C709" t="str">
        <f>Procurement_Raw!C709</f>
        <v>Swansea Care &amp; Education Centre</v>
      </c>
      <c r="D709" t="str">
        <f>Procurement_Raw!D709</f>
        <v>Wales</v>
      </c>
      <c r="E709" t="str">
        <f>Procurement_Raw!E709</f>
        <v>NourishCo</v>
      </c>
      <c r="F709" t="str">
        <f>Procurement_Raw!F709</f>
        <v>Food &amp; Catering</v>
      </c>
      <c r="G709" t="str">
        <f>Procurement_Raw!G709</f>
        <v>INV-2025-00708</v>
      </c>
      <c r="H709" s="6">
        <f>Procurement_Raw!H709</f>
        <v>55</v>
      </c>
      <c r="I709" s="7">
        <f>Procurement_Raw!I709</f>
        <v>170.63</v>
      </c>
      <c r="J709" s="7">
        <f>Procurement_Raw!J709</f>
        <v>9384.9</v>
      </c>
      <c r="K709" s="6">
        <f>Procurement_Raw!K709</f>
        <v>45</v>
      </c>
      <c r="L709" t="str">
        <f>Procurement_Raw!L709</f>
        <v>Legacy Spend File</v>
      </c>
      <c r="M709" s="8">
        <f>Procurement_Raw!M709</f>
        <v>1876.98</v>
      </c>
      <c r="N709" s="7">
        <f>Procurement_Raw!N709</f>
        <v>9384.9</v>
      </c>
      <c r="O709" s="7">
        <f t="shared" si="22"/>
        <v>9384.9</v>
      </c>
      <c r="P709" t="str">
        <f>IFERROR(INDEX(Supplier_Lookup!$B$2:$B$200,MATCH(E709,Supplier_Lookup!$A$2:$A$200,0)),"Unmapped")</f>
        <v>Food &amp; Catering</v>
      </c>
      <c r="Q709" s="10">
        <f>IFERROR(INDEX(Category_Targets!$B$2:$B$9,MATCH(F709,Category_Targets!$A$2:$A$9,0)),0)</f>
        <v>0.04</v>
      </c>
      <c r="R709" s="7">
        <f t="shared" si="23"/>
        <v>375.39600000000002</v>
      </c>
    </row>
    <row r="710" spans="1:18" x14ac:dyDescent="0.25">
      <c r="A710" s="5">
        <f>Procurement_Raw!A710</f>
        <v>45957</v>
      </c>
      <c r="B710" t="str">
        <f>Procurement_Raw!B710</f>
        <v>S019</v>
      </c>
      <c r="C710" t="str">
        <f>Procurement_Raw!C710</f>
        <v>Wrexham Care &amp; Education Centre</v>
      </c>
      <c r="D710" t="str">
        <f>Procurement_Raw!D710</f>
        <v>Wales</v>
      </c>
      <c r="E710" t="str">
        <f>Procurement_Raw!E710</f>
        <v>CleanWorks</v>
      </c>
      <c r="F710" t="str">
        <f>Procurement_Raw!F710</f>
        <v>Facilities</v>
      </c>
      <c r="G710" t="str">
        <f>Procurement_Raw!G710</f>
        <v>INV-2025-00709</v>
      </c>
      <c r="H710" s="6">
        <f>Procurement_Raw!H710</f>
        <v>33</v>
      </c>
      <c r="I710" s="7">
        <f>Procurement_Raw!I710</f>
        <v>57.28</v>
      </c>
      <c r="J710" s="7">
        <f>Procurement_Raw!J710</f>
        <v>1890.13</v>
      </c>
      <c r="K710" s="6">
        <f>Procurement_Raw!K710</f>
        <v>30</v>
      </c>
      <c r="L710" t="str">
        <f>Procurement_Raw!L710</f>
        <v>Procurement Portal</v>
      </c>
      <c r="M710" s="8">
        <f>Procurement_Raw!M710</f>
        <v>378.02600000000001</v>
      </c>
      <c r="N710" s="7">
        <f>Procurement_Raw!N710</f>
        <v>1890.13</v>
      </c>
      <c r="O710" s="7">
        <f t="shared" si="22"/>
        <v>1890.13</v>
      </c>
      <c r="P710" t="str">
        <f>IFERROR(INDEX(Supplier_Lookup!$B$2:$B$200,MATCH(E710,Supplier_Lookup!$A$2:$A$200,0)),"Unmapped")</f>
        <v>Facilities</v>
      </c>
      <c r="Q710" s="10">
        <f>IFERROR(INDEX(Category_Targets!$B$2:$B$9,MATCH(F710,Category_Targets!$A$2:$A$9,0)),0)</f>
        <v>0.05</v>
      </c>
      <c r="R710" s="7">
        <f t="shared" si="23"/>
        <v>94.506500000000017</v>
      </c>
    </row>
    <row r="711" spans="1:18" x14ac:dyDescent="0.25">
      <c r="A711" s="5">
        <f>Procurement_Raw!A711</f>
        <v>45736</v>
      </c>
      <c r="B711" t="str">
        <f>Procurement_Raw!B711</f>
        <v>S012</v>
      </c>
      <c r="C711" t="str">
        <f>Procurement_Raw!C711</f>
        <v>Bristol Care &amp; Education Centre</v>
      </c>
      <c r="D711" t="str">
        <f>Procurement_Raw!D711</f>
        <v>South</v>
      </c>
      <c r="E711" t="str">
        <f>Procurement_Raw!E711</f>
        <v>CleanWorks</v>
      </c>
      <c r="F711" t="str">
        <f>Procurement_Raw!F711</f>
        <v>Facilities</v>
      </c>
      <c r="G711" t="str">
        <f>Procurement_Raw!G711</f>
        <v>INV-2025-00710</v>
      </c>
      <c r="H711" s="6">
        <f>Procurement_Raw!H711</f>
        <v>42</v>
      </c>
      <c r="I711" s="7">
        <f>Procurement_Raw!I711</f>
        <v>457.61</v>
      </c>
      <c r="J711" s="7">
        <f>Procurement_Raw!J711</f>
        <v>19219.439999999999</v>
      </c>
      <c r="K711" s="6">
        <f>Procurement_Raw!K711</f>
        <v>60</v>
      </c>
      <c r="L711" t="str">
        <f>Procurement_Raw!L711</f>
        <v>ERP</v>
      </c>
      <c r="M711" s="8">
        <f>Procurement_Raw!M711</f>
        <v>3843.8879999999999</v>
      </c>
      <c r="N711" s="7">
        <f>Procurement_Raw!N711</f>
        <v>19219.439999999999</v>
      </c>
      <c r="O711" s="7">
        <f t="shared" si="22"/>
        <v>19219.439999999999</v>
      </c>
      <c r="P711" t="str">
        <f>IFERROR(INDEX(Supplier_Lookup!$B$2:$B$200,MATCH(E711,Supplier_Lookup!$A$2:$A$200,0)),"Unmapped")</f>
        <v>Facilities</v>
      </c>
      <c r="Q711" s="10">
        <f>IFERROR(INDEX(Category_Targets!$B$2:$B$9,MATCH(F711,Category_Targets!$A$2:$A$9,0)),0)</f>
        <v>0.05</v>
      </c>
      <c r="R711" s="7">
        <f t="shared" si="23"/>
        <v>960.97199999999998</v>
      </c>
    </row>
    <row r="712" spans="1:18" x14ac:dyDescent="0.25">
      <c r="A712" s="5">
        <f>Procurement_Raw!A712</f>
        <v>45951</v>
      </c>
      <c r="B712" t="str">
        <f>Procurement_Raw!B712</f>
        <v>S013</v>
      </c>
      <c r="C712" t="str">
        <f>Procurement_Raw!C712</f>
        <v>Reading Care &amp; Education Centre</v>
      </c>
      <c r="D712" t="str">
        <f>Procurement_Raw!D712</f>
        <v>South</v>
      </c>
      <c r="E712" t="str">
        <f>Procurement_Raw!E712</f>
        <v>TeleCare IT</v>
      </c>
      <c r="F712" t="str">
        <f>Procurement_Raw!F712</f>
        <v>IT &amp; Telecoms</v>
      </c>
      <c r="G712" t="str">
        <f>Procurement_Raw!G712</f>
        <v>INV-2025-00711</v>
      </c>
      <c r="H712" s="6">
        <f>Procurement_Raw!H712</f>
        <v>71</v>
      </c>
      <c r="I712" s="7">
        <f>Procurement_Raw!I712</f>
        <v>247.07</v>
      </c>
      <c r="J712" s="7">
        <f>Procurement_Raw!J712</f>
        <v>17542.240000000002</v>
      </c>
      <c r="K712" s="6">
        <f>Procurement_Raw!K712</f>
        <v>45</v>
      </c>
      <c r="L712" t="str">
        <f>Procurement_Raw!L712</f>
        <v>ERP</v>
      </c>
      <c r="M712" s="8">
        <f>Procurement_Raw!M712</f>
        <v>3508.4479999999999</v>
      </c>
      <c r="N712" s="7">
        <f>Procurement_Raw!N712</f>
        <v>17542.240000000002</v>
      </c>
      <c r="O712" s="7">
        <f t="shared" si="22"/>
        <v>17542.240000000002</v>
      </c>
      <c r="P712" t="str">
        <f>IFERROR(INDEX(Supplier_Lookup!$B$2:$B$200,MATCH(E712,Supplier_Lookup!$A$2:$A$200,0)),"Unmapped")</f>
        <v>IT &amp; Telecoms</v>
      </c>
      <c r="Q712" s="10">
        <f>IFERROR(INDEX(Category_Targets!$B$2:$B$9,MATCH(F712,Category_Targets!$A$2:$A$9,0)),0)</f>
        <v>0.08</v>
      </c>
      <c r="R712" s="7">
        <f t="shared" si="23"/>
        <v>1403.3792000000001</v>
      </c>
    </row>
    <row r="713" spans="1:18" x14ac:dyDescent="0.25">
      <c r="A713" s="5">
        <f>Procurement_Raw!A713</f>
        <v>45770</v>
      </c>
      <c r="B713" t="str">
        <f>Procurement_Raw!B713</f>
        <v>S008</v>
      </c>
      <c r="C713" t="str">
        <f>Procurement_Raw!C713</f>
        <v>Leicester Care &amp; Education Centre</v>
      </c>
      <c r="D713" t="str">
        <f>Procurement_Raw!D713</f>
        <v>Midlands</v>
      </c>
      <c r="E713" t="str">
        <f>Procurement_Raw!E713</f>
        <v>AutoCare</v>
      </c>
      <c r="F713" t="str">
        <f>Procurement_Raw!F713</f>
        <v>Vehicle &amp; Fuel</v>
      </c>
      <c r="G713" t="str">
        <f>Procurement_Raw!G713</f>
        <v>INV-2025-00712</v>
      </c>
      <c r="H713" s="6">
        <f>Procurement_Raw!H713</f>
        <v>24</v>
      </c>
      <c r="I713" s="7">
        <f>Procurement_Raw!I713</f>
        <v>90.08</v>
      </c>
      <c r="J713" s="7">
        <f>Procurement_Raw!J713</f>
        <v>2161.89</v>
      </c>
      <c r="K713" s="6">
        <f>Procurement_Raw!K713</f>
        <v>60</v>
      </c>
      <c r="L713" t="str">
        <f>Procurement_Raw!L713</f>
        <v>ERP</v>
      </c>
      <c r="M713" s="8">
        <f>Procurement_Raw!M713</f>
        <v>432.37799999999999</v>
      </c>
      <c r="N713" s="7">
        <f>Procurement_Raw!N713</f>
        <v>2161.89</v>
      </c>
      <c r="O713" s="7">
        <f t="shared" si="22"/>
        <v>2161.89</v>
      </c>
      <c r="P713" t="str">
        <f>IFERROR(INDEX(Supplier_Lookup!$B$2:$B$200,MATCH(E713,Supplier_Lookup!$A$2:$A$200,0)),"Unmapped")</f>
        <v>Vehicle &amp; Fuel</v>
      </c>
      <c r="Q713" s="10">
        <f>IFERROR(INDEX(Category_Targets!$B$2:$B$9,MATCH(F713,Category_Targets!$A$2:$A$9,0)),0)</f>
        <v>0.05</v>
      </c>
      <c r="R713" s="7">
        <f t="shared" si="23"/>
        <v>108.0945</v>
      </c>
    </row>
    <row r="714" spans="1:18" x14ac:dyDescent="0.25">
      <c r="A714" s="5">
        <f>Procurement_Raw!A714</f>
        <v>45936</v>
      </c>
      <c r="B714" t="str">
        <f>Procurement_Raw!B714</f>
        <v>S014</v>
      </c>
      <c r="C714" t="str">
        <f>Procurement_Raw!C714</f>
        <v>Southampton Care &amp; Education Centre</v>
      </c>
      <c r="D714" t="str">
        <f>Procurement_Raw!D714</f>
        <v>South</v>
      </c>
      <c r="E714" t="str">
        <f>Procurement_Raw!E714</f>
        <v>SafeGuard FM</v>
      </c>
      <c r="F714" t="str">
        <f>Procurement_Raw!F714</f>
        <v>Facilities</v>
      </c>
      <c r="G714" t="str">
        <f>Procurement_Raw!G714</f>
        <v>INV-2025-00713</v>
      </c>
      <c r="H714" s="6">
        <f>Procurement_Raw!H714</f>
        <v>69</v>
      </c>
      <c r="I714" s="7">
        <f>Procurement_Raw!I714</f>
        <v>133.38999999999999</v>
      </c>
      <c r="J714" s="7">
        <f>Procurement_Raw!J714</f>
        <v>9203.67</v>
      </c>
      <c r="K714" s="6">
        <f>Procurement_Raw!K714</f>
        <v>45</v>
      </c>
      <c r="L714" t="str">
        <f>Procurement_Raw!L714</f>
        <v>ERP</v>
      </c>
      <c r="M714" s="8">
        <f>Procurement_Raw!M714</f>
        <v>1840.7339999999999</v>
      </c>
      <c r="N714" s="7">
        <f>Procurement_Raw!N714</f>
        <v>9203.67</v>
      </c>
      <c r="O714" s="7">
        <f t="shared" si="22"/>
        <v>9203.67</v>
      </c>
      <c r="P714" t="str">
        <f>IFERROR(INDEX(Supplier_Lookup!$B$2:$B$200,MATCH(E714,Supplier_Lookup!$A$2:$A$200,0)),"Unmapped")</f>
        <v>Facilities</v>
      </c>
      <c r="Q714" s="10">
        <f>IFERROR(INDEX(Category_Targets!$B$2:$B$9,MATCH(F714,Category_Targets!$A$2:$A$9,0)),0)</f>
        <v>0.05</v>
      </c>
      <c r="R714" s="7">
        <f t="shared" si="23"/>
        <v>460.18350000000004</v>
      </c>
    </row>
    <row r="715" spans="1:18" x14ac:dyDescent="0.25">
      <c r="A715" s="5">
        <f>Procurement_Raw!A715</f>
        <v>45997</v>
      </c>
      <c r="B715" t="str">
        <f>Procurement_Raw!B715</f>
        <v>S005</v>
      </c>
      <c r="C715" t="str">
        <f>Procurement_Raw!C715</f>
        <v>Sheffield Care &amp; Education Centre</v>
      </c>
      <c r="D715" t="str">
        <f>Procurement_Raw!D715</f>
        <v>North</v>
      </c>
      <c r="E715" t="str">
        <f>Procurement_Raw!E715</f>
        <v>UK Energy Partners</v>
      </c>
      <c r="F715" t="str">
        <f>Procurement_Raw!F715</f>
        <v>Utilities</v>
      </c>
      <c r="G715" t="str">
        <f>Procurement_Raw!G715</f>
        <v>INV-2025-00714</v>
      </c>
      <c r="H715" s="6">
        <f>Procurement_Raw!H715</f>
        <v>43</v>
      </c>
      <c r="I715" s="7">
        <f>Procurement_Raw!I715</f>
        <v>311.37</v>
      </c>
      <c r="J715" s="7">
        <f>Procurement_Raw!J715</f>
        <v>13388.96</v>
      </c>
      <c r="K715" s="6">
        <f>Procurement_Raw!K715</f>
        <v>45</v>
      </c>
      <c r="L715" t="str">
        <f>Procurement_Raw!L715</f>
        <v>Procurement Portal</v>
      </c>
      <c r="M715" s="8">
        <f>Procurement_Raw!M715</f>
        <v>2677.7919999999999</v>
      </c>
      <c r="N715" s="7">
        <f>Procurement_Raw!N715</f>
        <v>13388.96</v>
      </c>
      <c r="O715" s="7">
        <f t="shared" si="22"/>
        <v>13388.96</v>
      </c>
      <c r="P715" t="str">
        <f>IFERROR(INDEX(Supplier_Lookup!$B$2:$B$200,MATCH(E715,Supplier_Lookup!$A$2:$A$200,0)),"Unmapped")</f>
        <v>Utilities</v>
      </c>
      <c r="Q715" s="10">
        <f>IFERROR(INDEX(Category_Targets!$B$2:$B$9,MATCH(F715,Category_Targets!$A$2:$A$9,0)),0)</f>
        <v>0.03</v>
      </c>
      <c r="R715" s="7">
        <f t="shared" si="23"/>
        <v>401.66879999999998</v>
      </c>
    </row>
    <row r="716" spans="1:18" x14ac:dyDescent="0.25">
      <c r="A716" s="5">
        <f>Procurement_Raw!A716</f>
        <v>45929</v>
      </c>
      <c r="B716" t="str">
        <f>Procurement_Raw!B716</f>
        <v>S003</v>
      </c>
      <c r="C716" t="str">
        <f>Procurement_Raw!C716</f>
        <v>Leeds Care &amp; Education Centre</v>
      </c>
      <c r="D716" t="str">
        <f>Procurement_Raw!D716</f>
        <v>North</v>
      </c>
      <c r="E716" t="str">
        <f>Procurement_Raw!E716</f>
        <v>PowerDirect</v>
      </c>
      <c r="F716" t="str">
        <f>Procurement_Raw!F716</f>
        <v>Utilities</v>
      </c>
      <c r="G716" t="str">
        <f>Procurement_Raw!G716</f>
        <v>INV-2025-00715</v>
      </c>
      <c r="H716" s="6">
        <f>Procurement_Raw!H716</f>
        <v>61</v>
      </c>
      <c r="I716" s="7">
        <f>Procurement_Raw!I716</f>
        <v>244.88</v>
      </c>
      <c r="J716" s="7">
        <f>Procurement_Raw!J716</f>
        <v>14937.58</v>
      </c>
      <c r="K716" s="6">
        <f>Procurement_Raw!K716</f>
        <v>60</v>
      </c>
      <c r="L716" t="str">
        <f>Procurement_Raw!L716</f>
        <v>Legacy Spend File</v>
      </c>
      <c r="M716" s="8">
        <f>Procurement_Raw!M716</f>
        <v>2987.5160000000001</v>
      </c>
      <c r="N716" s="7">
        <f>Procurement_Raw!N716</f>
        <v>14937.58</v>
      </c>
      <c r="O716" s="7">
        <f t="shared" si="22"/>
        <v>14937.58</v>
      </c>
      <c r="P716" t="str">
        <f>IFERROR(INDEX(Supplier_Lookup!$B$2:$B$200,MATCH(E716,Supplier_Lookup!$A$2:$A$200,0)),"Unmapped")</f>
        <v>Utilities</v>
      </c>
      <c r="Q716" s="10">
        <f>IFERROR(INDEX(Category_Targets!$B$2:$B$9,MATCH(F716,Category_Targets!$A$2:$A$9,0)),0)</f>
        <v>0.03</v>
      </c>
      <c r="R716" s="7">
        <f t="shared" si="23"/>
        <v>448.12739999999997</v>
      </c>
    </row>
    <row r="717" spans="1:18" x14ac:dyDescent="0.25">
      <c r="A717" s="5">
        <f>Procurement_Raw!A717</f>
        <v>45835</v>
      </c>
      <c r="B717" t="str">
        <f>Procurement_Raw!B717</f>
        <v>S010</v>
      </c>
      <c r="C717" t="str">
        <f>Procurement_Raw!C717</f>
        <v>Coventry Care &amp; Education Centre</v>
      </c>
      <c r="D717" t="str">
        <f>Procurement_Raw!D717</f>
        <v>Midlands</v>
      </c>
      <c r="E717" t="str">
        <f>Procurement_Raw!E717</f>
        <v>KitchenPro</v>
      </c>
      <c r="F717" t="str">
        <f>Procurement_Raw!F717</f>
        <v>Food &amp; Catering</v>
      </c>
      <c r="G717" t="str">
        <f>Procurement_Raw!G717</f>
        <v>INV-2025-00716</v>
      </c>
      <c r="H717" s="6">
        <f>Procurement_Raw!H717</f>
        <v>58</v>
      </c>
      <c r="I717" s="7">
        <f>Procurement_Raw!I717</f>
        <v>119.25</v>
      </c>
      <c r="J717" s="7">
        <f>Procurement_Raw!J717</f>
        <v>6916.37</v>
      </c>
      <c r="K717" s="6">
        <f>Procurement_Raw!K717</f>
        <v>30</v>
      </c>
      <c r="L717" t="str">
        <f>Procurement_Raw!L717</f>
        <v>Legacy Spend File</v>
      </c>
      <c r="M717" s="8">
        <f>Procurement_Raw!M717</f>
        <v>1383.2739999999999</v>
      </c>
      <c r="N717" s="7">
        <f>Procurement_Raw!N717</f>
        <v>6916.37</v>
      </c>
      <c r="O717" s="7">
        <f t="shared" si="22"/>
        <v>6916.37</v>
      </c>
      <c r="P717" t="str">
        <f>IFERROR(INDEX(Supplier_Lookup!$B$2:$B$200,MATCH(E717,Supplier_Lookup!$A$2:$A$200,0)),"Unmapped")</f>
        <v>Food &amp; Catering</v>
      </c>
      <c r="Q717" s="10">
        <f>IFERROR(INDEX(Category_Targets!$B$2:$B$9,MATCH(F717,Category_Targets!$A$2:$A$9,0)),0)</f>
        <v>0.04</v>
      </c>
      <c r="R717" s="7">
        <f t="shared" si="23"/>
        <v>276.65480000000002</v>
      </c>
    </row>
    <row r="718" spans="1:18" x14ac:dyDescent="0.25">
      <c r="A718" s="5">
        <f>Procurement_Raw!A718</f>
        <v>46007</v>
      </c>
      <c r="B718" t="str">
        <f>Procurement_Raw!B718</f>
        <v>S019</v>
      </c>
      <c r="C718" t="str">
        <f>Procurement_Raw!C718</f>
        <v>Wrexham Care &amp; Education Centre</v>
      </c>
      <c r="D718" t="str">
        <f>Procurement_Raw!D718</f>
        <v>Wales</v>
      </c>
      <c r="E718" t="str">
        <f>Procurement_Raw!E718</f>
        <v>UK Energy Partners</v>
      </c>
      <c r="F718" t="str">
        <f>Procurement_Raw!F718</f>
        <v>Utilities</v>
      </c>
      <c r="G718" t="str">
        <f>Procurement_Raw!G718</f>
        <v>INV-2025-00717</v>
      </c>
      <c r="H718" s="6">
        <f>Procurement_Raw!H718</f>
        <v>42</v>
      </c>
      <c r="I718" s="7">
        <f>Procurement_Raw!I718</f>
        <v>266.20999999999998</v>
      </c>
      <c r="J718" s="7">
        <f>Procurement_Raw!J718</f>
        <v>11180.83</v>
      </c>
      <c r="K718" s="6">
        <f>Procurement_Raw!K718</f>
        <v>45</v>
      </c>
      <c r="L718" t="str">
        <f>Procurement_Raw!L718</f>
        <v>ERP</v>
      </c>
      <c r="M718" s="8">
        <f>Procurement_Raw!M718</f>
        <v>2236.1660000000002</v>
      </c>
      <c r="N718" s="7">
        <f>Procurement_Raw!N718</f>
        <v>11180.83</v>
      </c>
      <c r="O718" s="7">
        <f t="shared" si="22"/>
        <v>11180.83</v>
      </c>
      <c r="P718" t="str">
        <f>IFERROR(INDEX(Supplier_Lookup!$B$2:$B$200,MATCH(E718,Supplier_Lookup!$A$2:$A$200,0)),"Unmapped")</f>
        <v>Utilities</v>
      </c>
      <c r="Q718" s="10">
        <f>IFERROR(INDEX(Category_Targets!$B$2:$B$9,MATCH(F718,Category_Targets!$A$2:$A$9,0)),0)</f>
        <v>0.03</v>
      </c>
      <c r="R718" s="7">
        <f t="shared" si="23"/>
        <v>335.42489999999998</v>
      </c>
    </row>
    <row r="719" spans="1:18" x14ac:dyDescent="0.25">
      <c r="A719" s="5">
        <f>Procurement_Raw!A719</f>
        <v>45802</v>
      </c>
      <c r="B719" t="str">
        <f>Procurement_Raw!B719</f>
        <v>S006</v>
      </c>
      <c r="C719" t="str">
        <f>Procurement_Raw!C719</f>
        <v>Birmingham Care &amp; Education Centre</v>
      </c>
      <c r="D719" t="str">
        <f>Procurement_Raw!D719</f>
        <v>Midlands</v>
      </c>
      <c r="E719" t="str">
        <f>Procurement_Raw!E719</f>
        <v>NetServe</v>
      </c>
      <c r="F719" t="str">
        <f>Procurement_Raw!F719</f>
        <v>IT &amp; Telecoms</v>
      </c>
      <c r="G719" t="str">
        <f>Procurement_Raw!G719</f>
        <v>INV-2025-00718</v>
      </c>
      <c r="H719" s="6">
        <f>Procurement_Raw!H719</f>
        <v>4</v>
      </c>
      <c r="I719" s="7">
        <f>Procurement_Raw!I719</f>
        <v>238.96</v>
      </c>
      <c r="J719" s="7">
        <f>Procurement_Raw!J719</f>
        <v>955.84</v>
      </c>
      <c r="K719" s="6">
        <f>Procurement_Raw!K719</f>
        <v>60</v>
      </c>
      <c r="L719" t="str">
        <f>Procurement_Raw!L719</f>
        <v>Procurement Portal</v>
      </c>
      <c r="M719" s="8">
        <f>Procurement_Raw!M719</f>
        <v>191.16800000000001</v>
      </c>
      <c r="N719" s="7">
        <f>Procurement_Raw!N719</f>
        <v>955.84</v>
      </c>
      <c r="O719" s="7">
        <f t="shared" si="22"/>
        <v>955.84</v>
      </c>
      <c r="P719" t="str">
        <f>IFERROR(INDEX(Supplier_Lookup!$B$2:$B$200,MATCH(E719,Supplier_Lookup!$A$2:$A$200,0)),"Unmapped")</f>
        <v>IT &amp; Telecoms</v>
      </c>
      <c r="Q719" s="10">
        <f>IFERROR(INDEX(Category_Targets!$B$2:$B$9,MATCH(F719,Category_Targets!$A$2:$A$9,0)),0)</f>
        <v>0.08</v>
      </c>
      <c r="R719" s="7">
        <f t="shared" si="23"/>
        <v>76.467200000000005</v>
      </c>
    </row>
    <row r="720" spans="1:18" x14ac:dyDescent="0.25">
      <c r="A720" s="5">
        <f>Procurement_Raw!A720</f>
        <v>45680</v>
      </c>
      <c r="B720" t="str">
        <f>Procurement_Raw!B720</f>
        <v>S011</v>
      </c>
      <c r="C720" t="str">
        <f>Procurement_Raw!C720</f>
        <v>London Care &amp; Education Centre</v>
      </c>
      <c r="D720" t="str">
        <f>Procurement_Raw!D720</f>
        <v>South</v>
      </c>
      <c r="E720" t="str">
        <f>Procurement_Raw!E720</f>
        <v>LearnWell</v>
      </c>
      <c r="F720" t="str">
        <f>Procurement_Raw!F720</f>
        <v>Office &amp; Training</v>
      </c>
      <c r="G720" t="str">
        <f>Procurement_Raw!G720</f>
        <v>INV-2025-00719</v>
      </c>
      <c r="H720" s="6">
        <f>Procurement_Raw!H720</f>
        <v>38</v>
      </c>
      <c r="I720" s="7">
        <f>Procurement_Raw!I720</f>
        <v>61.41</v>
      </c>
      <c r="J720" s="7">
        <f>Procurement_Raw!J720</f>
        <v>2333.41</v>
      </c>
      <c r="K720" s="6">
        <f>Procurement_Raw!K720</f>
        <v>60</v>
      </c>
      <c r="L720" t="str">
        <f>Procurement_Raw!L720</f>
        <v>ERP</v>
      </c>
      <c r="M720" s="8">
        <f>Procurement_Raw!M720</f>
        <v>466.68200000000002</v>
      </c>
      <c r="N720" s="7">
        <f>Procurement_Raw!N720</f>
        <v>2333.41</v>
      </c>
      <c r="O720" s="7">
        <f t="shared" si="22"/>
        <v>2333.41</v>
      </c>
      <c r="P720" t="str">
        <f>IFERROR(INDEX(Supplier_Lookup!$B$2:$B$200,MATCH(E720,Supplier_Lookup!$A$2:$A$200,0)),"Unmapped")</f>
        <v>Office &amp; Training</v>
      </c>
      <c r="Q720" s="10">
        <f>IFERROR(INDEX(Category_Targets!$B$2:$B$9,MATCH(F720,Category_Targets!$A$2:$A$9,0)),0)</f>
        <v>0.04</v>
      </c>
      <c r="R720" s="7">
        <f t="shared" si="23"/>
        <v>93.336399999999998</v>
      </c>
    </row>
    <row r="721" spans="1:18" x14ac:dyDescent="0.25">
      <c r="A721" s="5">
        <f>Procurement_Raw!A721</f>
        <v>45743</v>
      </c>
      <c r="B721" t="str">
        <f>Procurement_Raw!B721</f>
        <v>S005</v>
      </c>
      <c r="C721" t="str">
        <f>Procurement_Raw!C721</f>
        <v>Sheffield Care &amp; Education Centre</v>
      </c>
      <c r="D721" t="str">
        <f>Procurement_Raw!D721</f>
        <v>North</v>
      </c>
      <c r="E721" t="str">
        <f>Procurement_Raw!E721</f>
        <v>FreshServe</v>
      </c>
      <c r="F721" t="str">
        <f>Procurement_Raw!F721</f>
        <v>Food &amp; Catering</v>
      </c>
      <c r="G721" t="str">
        <f>Procurement_Raw!G721</f>
        <v>INV-2025-00720</v>
      </c>
      <c r="H721" s="6">
        <f>Procurement_Raw!H721</f>
        <v>69</v>
      </c>
      <c r="I721" s="7">
        <f>Procurement_Raw!I721</f>
        <v>63</v>
      </c>
      <c r="J721" s="7">
        <f>Procurement_Raw!J721</f>
        <v>4346.71</v>
      </c>
      <c r="K721" s="6">
        <f>Procurement_Raw!K721</f>
        <v>60</v>
      </c>
      <c r="L721" t="str">
        <f>Procurement_Raw!L721</f>
        <v>ERP</v>
      </c>
      <c r="M721" s="8">
        <f>Procurement_Raw!M721</f>
        <v>869.34199999999998</v>
      </c>
      <c r="N721" s="7">
        <f>Procurement_Raw!N721</f>
        <v>4346.71</v>
      </c>
      <c r="O721" s="7">
        <f t="shared" si="22"/>
        <v>4346.71</v>
      </c>
      <c r="P721" t="str">
        <f>IFERROR(INDEX(Supplier_Lookup!$B$2:$B$200,MATCH(E721,Supplier_Lookup!$A$2:$A$200,0)),"Unmapped")</f>
        <v>Food &amp; Catering</v>
      </c>
      <c r="Q721" s="10">
        <f>IFERROR(INDEX(Category_Targets!$B$2:$B$9,MATCH(F721,Category_Targets!$A$2:$A$9,0)),0)</f>
        <v>0.04</v>
      </c>
      <c r="R721" s="7">
        <f t="shared" si="23"/>
        <v>173.86840000000001</v>
      </c>
    </row>
    <row r="722" spans="1:18" x14ac:dyDescent="0.25">
      <c r="A722" s="5">
        <f>Procurement_Raw!A722</f>
        <v>46001</v>
      </c>
      <c r="B722" t="str">
        <f>Procurement_Raw!B722</f>
        <v>S007</v>
      </c>
      <c r="C722" t="str">
        <f>Procurement_Raw!C722</f>
        <v>Nottingham Care &amp; Education Centre</v>
      </c>
      <c r="D722" t="str">
        <f>Procurement_Raw!D722</f>
        <v>Midlands</v>
      </c>
      <c r="E722" t="str">
        <f>Procurement_Raw!E722</f>
        <v>FreshServe</v>
      </c>
      <c r="F722" t="str">
        <f>Procurement_Raw!F722</f>
        <v>Food &amp; Catering</v>
      </c>
      <c r="G722" t="str">
        <f>Procurement_Raw!G722</f>
        <v>INV-2025-00721</v>
      </c>
      <c r="H722" s="6">
        <f>Procurement_Raw!H722</f>
        <v>28</v>
      </c>
      <c r="I722" s="7">
        <f>Procurement_Raw!I722</f>
        <v>76.989999999999995</v>
      </c>
      <c r="J722" s="7">
        <f>Procurement_Raw!J722</f>
        <v>2155.73</v>
      </c>
      <c r="K722" s="6">
        <f>Procurement_Raw!K722</f>
        <v>60</v>
      </c>
      <c r="L722" t="str">
        <f>Procurement_Raw!L722</f>
        <v>Procurement Portal</v>
      </c>
      <c r="M722" s="8">
        <f>Procurement_Raw!M722</f>
        <v>431.14600000000002</v>
      </c>
      <c r="N722" s="7">
        <f>Procurement_Raw!N722</f>
        <v>2155.73</v>
      </c>
      <c r="O722" s="7">
        <f t="shared" si="22"/>
        <v>2155.73</v>
      </c>
      <c r="P722" t="str">
        <f>IFERROR(INDEX(Supplier_Lookup!$B$2:$B$200,MATCH(E722,Supplier_Lookup!$A$2:$A$200,0)),"Unmapped")</f>
        <v>Food &amp; Catering</v>
      </c>
      <c r="Q722" s="10">
        <f>IFERROR(INDEX(Category_Targets!$B$2:$B$9,MATCH(F722,Category_Targets!$A$2:$A$9,0)),0)</f>
        <v>0.04</v>
      </c>
      <c r="R722" s="7">
        <f t="shared" si="23"/>
        <v>86.229200000000006</v>
      </c>
    </row>
    <row r="723" spans="1:18" x14ac:dyDescent="0.25">
      <c r="A723" s="5">
        <f>Procurement_Raw!A723</f>
        <v>46017</v>
      </c>
      <c r="B723" t="str">
        <f>Procurement_Raw!B723</f>
        <v>S010</v>
      </c>
      <c r="C723" t="str">
        <f>Procurement_Raw!C723</f>
        <v>Coventry Care &amp; Education Centre</v>
      </c>
      <c r="D723" t="str">
        <f>Procurement_Raw!D723</f>
        <v>Midlands</v>
      </c>
      <c r="E723" t="str">
        <f>Procurement_Raw!E723</f>
        <v>PowerDirect</v>
      </c>
      <c r="F723" t="str">
        <f>Procurement_Raw!F723</f>
        <v>Utilities</v>
      </c>
      <c r="G723" t="str">
        <f>Procurement_Raw!G723</f>
        <v>INV-2025-00722</v>
      </c>
      <c r="H723" s="6">
        <f>Procurement_Raw!H723</f>
        <v>56</v>
      </c>
      <c r="I723" s="7">
        <f>Procurement_Raw!I723</f>
        <v>97.6</v>
      </c>
      <c r="J723" s="7">
        <f>Procurement_Raw!J723</f>
        <v>5465.55</v>
      </c>
      <c r="K723" s="6">
        <f>Procurement_Raw!K723</f>
        <v>60</v>
      </c>
      <c r="L723" t="str">
        <f>Procurement_Raw!L723</f>
        <v>ERP</v>
      </c>
      <c r="M723" s="8">
        <f>Procurement_Raw!M723</f>
        <v>1093.1099999999999</v>
      </c>
      <c r="N723" s="7">
        <f>Procurement_Raw!N723</f>
        <v>5465.55</v>
      </c>
      <c r="O723" s="7">
        <f t="shared" si="22"/>
        <v>5465.55</v>
      </c>
      <c r="P723" t="str">
        <f>IFERROR(INDEX(Supplier_Lookup!$B$2:$B$200,MATCH(E723,Supplier_Lookup!$A$2:$A$200,0)),"Unmapped")</f>
        <v>Utilities</v>
      </c>
      <c r="Q723" s="10">
        <f>IFERROR(INDEX(Category_Targets!$B$2:$B$9,MATCH(F723,Category_Targets!$A$2:$A$9,0)),0)</f>
        <v>0.03</v>
      </c>
      <c r="R723" s="7">
        <f t="shared" si="23"/>
        <v>163.9665</v>
      </c>
    </row>
    <row r="724" spans="1:18" x14ac:dyDescent="0.25">
      <c r="A724" s="5">
        <f>Procurement_Raw!A724</f>
        <v>45893</v>
      </c>
      <c r="B724" t="str">
        <f>Procurement_Raw!B724</f>
        <v>S008</v>
      </c>
      <c r="C724" t="str">
        <f>Procurement_Raw!C724</f>
        <v>Leicester Care &amp; Education Centre</v>
      </c>
      <c r="D724" t="str">
        <f>Procurement_Raw!D724</f>
        <v>Midlands</v>
      </c>
      <c r="E724" t="str">
        <f>Procurement_Raw!E724</f>
        <v>CleanWorks</v>
      </c>
      <c r="F724" t="str">
        <f>Procurement_Raw!F724</f>
        <v>Facilities</v>
      </c>
      <c r="G724" t="str">
        <f>Procurement_Raw!G724</f>
        <v>INV-2025-00723</v>
      </c>
      <c r="H724" s="6">
        <f>Procurement_Raw!H724</f>
        <v>43</v>
      </c>
      <c r="I724" s="7">
        <f>Procurement_Raw!I724</f>
        <v>85.75</v>
      </c>
      <c r="J724" s="7">
        <f>Procurement_Raw!J724</f>
        <v>3687.32</v>
      </c>
      <c r="K724" s="6">
        <f>Procurement_Raw!K724</f>
        <v>30</v>
      </c>
      <c r="L724" t="str">
        <f>Procurement_Raw!L724</f>
        <v>ERP</v>
      </c>
      <c r="M724" s="8">
        <f>Procurement_Raw!M724</f>
        <v>737.46400000000006</v>
      </c>
      <c r="N724" s="7">
        <f>Procurement_Raw!N724</f>
        <v>3687.32</v>
      </c>
      <c r="O724" s="7">
        <f t="shared" si="22"/>
        <v>3687.32</v>
      </c>
      <c r="P724" t="str">
        <f>IFERROR(INDEX(Supplier_Lookup!$B$2:$B$200,MATCH(E724,Supplier_Lookup!$A$2:$A$200,0)),"Unmapped")</f>
        <v>Facilities</v>
      </c>
      <c r="Q724" s="10">
        <f>IFERROR(INDEX(Category_Targets!$B$2:$B$9,MATCH(F724,Category_Targets!$A$2:$A$9,0)),0)</f>
        <v>0.05</v>
      </c>
      <c r="R724" s="7">
        <f t="shared" si="23"/>
        <v>184.36600000000001</v>
      </c>
    </row>
    <row r="725" spans="1:18" x14ac:dyDescent="0.25">
      <c r="A725" s="5">
        <f>Procurement_Raw!A725</f>
        <v>45786</v>
      </c>
      <c r="B725" t="str">
        <f>Procurement_Raw!B725</f>
        <v>S014</v>
      </c>
      <c r="C725" t="str">
        <f>Procurement_Raw!C725</f>
        <v>Southampton Care &amp; Education Centre</v>
      </c>
      <c r="D725" t="str">
        <f>Procurement_Raw!D725</f>
        <v>South</v>
      </c>
      <c r="E725" t="str">
        <f>Procurement_Raw!E725</f>
        <v>MediSure</v>
      </c>
      <c r="F725" t="str">
        <f>Procurement_Raw!F725</f>
        <v>Medical Supplies</v>
      </c>
      <c r="G725" t="str">
        <f>Procurement_Raw!G725</f>
        <v>INV-2025-00724</v>
      </c>
      <c r="H725" s="6">
        <f>Procurement_Raw!H725</f>
        <v>72</v>
      </c>
      <c r="I725" s="7">
        <f>Procurement_Raw!I725</f>
        <v>180.6</v>
      </c>
      <c r="J725" s="7">
        <f>Procurement_Raw!J725</f>
        <v>13003.23</v>
      </c>
      <c r="K725" s="6">
        <f>Procurement_Raw!K725</f>
        <v>30</v>
      </c>
      <c r="L725" t="str">
        <f>Procurement_Raw!L725</f>
        <v>Legacy Spend File</v>
      </c>
      <c r="M725" s="8">
        <f>Procurement_Raw!M725</f>
        <v>2600.6460000000002</v>
      </c>
      <c r="N725" s="7">
        <f>Procurement_Raw!N725</f>
        <v>13003.23</v>
      </c>
      <c r="O725" s="7">
        <f t="shared" si="22"/>
        <v>13003.23</v>
      </c>
      <c r="P725" t="str">
        <f>IFERROR(INDEX(Supplier_Lookup!$B$2:$B$200,MATCH(E725,Supplier_Lookup!$A$2:$A$200,0)),"Unmapped")</f>
        <v>Medical Supplies</v>
      </c>
      <c r="Q725" s="10">
        <f>IFERROR(INDEX(Category_Targets!$B$2:$B$9,MATCH(F725,Category_Targets!$A$2:$A$9,0)),0)</f>
        <v>0.06</v>
      </c>
      <c r="R725" s="7">
        <f t="shared" si="23"/>
        <v>780.1937999999999</v>
      </c>
    </row>
    <row r="726" spans="1:18" x14ac:dyDescent="0.25">
      <c r="A726" s="5">
        <f>Procurement_Raw!A726</f>
        <v>45856</v>
      </c>
      <c r="B726" t="str">
        <f>Procurement_Raw!B726</f>
        <v>S016</v>
      </c>
      <c r="C726" t="str">
        <f>Procurement_Raw!C726</f>
        <v>Cardiff Care &amp; Education Centre</v>
      </c>
      <c r="D726" t="str">
        <f>Procurement_Raw!D726</f>
        <v>Wales</v>
      </c>
      <c r="E726" t="str">
        <f>Procurement_Raw!E726</f>
        <v>TeleCare IT</v>
      </c>
      <c r="F726" t="str">
        <f>Procurement_Raw!F726</f>
        <v>IT &amp; Telecoms</v>
      </c>
      <c r="G726" t="str">
        <f>Procurement_Raw!G726</f>
        <v>INV-2025-00725</v>
      </c>
      <c r="H726" s="6">
        <f>Procurement_Raw!H726</f>
        <v>58</v>
      </c>
      <c r="I726" s="7">
        <f>Procurement_Raw!I726</f>
        <v>241.68</v>
      </c>
      <c r="J726" s="7">
        <f>Procurement_Raw!J726</f>
        <v>14017.29</v>
      </c>
      <c r="K726" s="6">
        <f>Procurement_Raw!K726</f>
        <v>60</v>
      </c>
      <c r="L726" t="str">
        <f>Procurement_Raw!L726</f>
        <v>Procurement Portal</v>
      </c>
      <c r="M726" s="8">
        <f>Procurement_Raw!M726</f>
        <v>2803.4580000000001</v>
      </c>
      <c r="N726" s="7">
        <f>Procurement_Raw!N726</f>
        <v>14017.29</v>
      </c>
      <c r="O726" s="7">
        <f t="shared" si="22"/>
        <v>14017.29</v>
      </c>
      <c r="P726" t="str">
        <f>IFERROR(INDEX(Supplier_Lookup!$B$2:$B$200,MATCH(E726,Supplier_Lookup!$A$2:$A$200,0)),"Unmapped")</f>
        <v>IT &amp; Telecoms</v>
      </c>
      <c r="Q726" s="10">
        <f>IFERROR(INDEX(Category_Targets!$B$2:$B$9,MATCH(F726,Category_Targets!$A$2:$A$9,0)),0)</f>
        <v>0.08</v>
      </c>
      <c r="R726" s="7">
        <f t="shared" si="23"/>
        <v>1121.3832</v>
      </c>
    </row>
    <row r="727" spans="1:18" x14ac:dyDescent="0.25">
      <c r="A727" s="5">
        <f>Procurement_Raw!A727</f>
        <v>45857</v>
      </c>
      <c r="B727" t="str">
        <f>Procurement_Raw!B727</f>
        <v>S014</v>
      </c>
      <c r="C727" t="str">
        <f>Procurement_Raw!C727</f>
        <v>Southampton Care &amp; Education Centre</v>
      </c>
      <c r="D727" t="str">
        <f>Procurement_Raw!D727</f>
        <v>South</v>
      </c>
      <c r="E727" t="str">
        <f>Procurement_Raw!E727</f>
        <v>FleetFuel</v>
      </c>
      <c r="F727" t="str">
        <f>Procurement_Raw!F727</f>
        <v>Vehicle &amp; Fuel</v>
      </c>
      <c r="G727" t="str">
        <f>Procurement_Raw!G727</f>
        <v>INV-2025-00726</v>
      </c>
      <c r="H727" s="6">
        <f>Procurement_Raw!H727</f>
        <v>16</v>
      </c>
      <c r="I727" s="7">
        <f>Procurement_Raw!I727</f>
        <v>85.86</v>
      </c>
      <c r="J727" s="7">
        <f>Procurement_Raw!J727</f>
        <v>1373.72</v>
      </c>
      <c r="K727" s="6">
        <f>Procurement_Raw!K727</f>
        <v>60</v>
      </c>
      <c r="L727" t="str">
        <f>Procurement_Raw!L727</f>
        <v>ERP</v>
      </c>
      <c r="M727" s="8">
        <f>Procurement_Raw!M727</f>
        <v>274.74400000000003</v>
      </c>
      <c r="N727" s="7">
        <f>Procurement_Raw!N727</f>
        <v>1373.72</v>
      </c>
      <c r="O727" s="7">
        <f t="shared" si="22"/>
        <v>1373.72</v>
      </c>
      <c r="P727" t="str">
        <f>IFERROR(INDEX(Supplier_Lookup!$B$2:$B$200,MATCH(E727,Supplier_Lookup!$A$2:$A$200,0)),"Unmapped")</f>
        <v>Vehicle &amp; Fuel</v>
      </c>
      <c r="Q727" s="10">
        <f>IFERROR(INDEX(Category_Targets!$B$2:$B$9,MATCH(F727,Category_Targets!$A$2:$A$9,0)),0)</f>
        <v>0.05</v>
      </c>
      <c r="R727" s="7">
        <f t="shared" si="23"/>
        <v>68.686000000000007</v>
      </c>
    </row>
    <row r="728" spans="1:18" x14ac:dyDescent="0.25">
      <c r="A728" s="5">
        <f>Procurement_Raw!A728</f>
        <v>45957</v>
      </c>
      <c r="B728" t="str">
        <f>Procurement_Raw!B728</f>
        <v>S006</v>
      </c>
      <c r="C728" t="str">
        <f>Procurement_Raw!C728</f>
        <v>Birmingham Care &amp; Education Centre</v>
      </c>
      <c r="D728" t="str">
        <f>Procurement_Raw!D728</f>
        <v>Midlands</v>
      </c>
      <c r="E728" t="str">
        <f>Procurement_Raw!E728</f>
        <v>KitchenPro</v>
      </c>
      <c r="F728" t="str">
        <f>Procurement_Raw!F728</f>
        <v>Food &amp; Catering</v>
      </c>
      <c r="G728" t="str">
        <f>Procurement_Raw!G728</f>
        <v>INV-2025-00727</v>
      </c>
      <c r="H728" s="6">
        <f>Procurement_Raw!H728</f>
        <v>6</v>
      </c>
      <c r="I728" s="7">
        <f>Procurement_Raw!I728</f>
        <v>65.66</v>
      </c>
      <c r="J728" s="7">
        <f>Procurement_Raw!J728</f>
        <v>393.97</v>
      </c>
      <c r="K728" s="6">
        <f>Procurement_Raw!K728</f>
        <v>60</v>
      </c>
      <c r="L728" t="str">
        <f>Procurement_Raw!L728</f>
        <v>ERP</v>
      </c>
      <c r="M728" s="8">
        <f>Procurement_Raw!M728</f>
        <v>78.793999999999997</v>
      </c>
      <c r="N728" s="7">
        <f>Procurement_Raw!N728</f>
        <v>393.97</v>
      </c>
      <c r="O728" s="7">
        <f t="shared" si="22"/>
        <v>393.97</v>
      </c>
      <c r="P728" t="str">
        <f>IFERROR(INDEX(Supplier_Lookup!$B$2:$B$200,MATCH(E728,Supplier_Lookup!$A$2:$A$200,0)),"Unmapped")</f>
        <v>Food &amp; Catering</v>
      </c>
      <c r="Q728" s="10">
        <f>IFERROR(INDEX(Category_Targets!$B$2:$B$9,MATCH(F728,Category_Targets!$A$2:$A$9,0)),0)</f>
        <v>0.04</v>
      </c>
      <c r="R728" s="7">
        <f t="shared" si="23"/>
        <v>15.758800000000001</v>
      </c>
    </row>
    <row r="729" spans="1:18" x14ac:dyDescent="0.25">
      <c r="A729" s="5">
        <f>Procurement_Raw!A729</f>
        <v>46009</v>
      </c>
      <c r="B729" t="str">
        <f>Procurement_Raw!B729</f>
        <v>S002</v>
      </c>
      <c r="C729" t="str">
        <f>Procurement_Raw!C729</f>
        <v>Manchester Care &amp; Education Centre</v>
      </c>
      <c r="D729" t="str">
        <f>Procurement_Raw!D729</f>
        <v>North</v>
      </c>
      <c r="E729" t="str">
        <f>Procurement_Raw!E729</f>
        <v>NourishCo</v>
      </c>
      <c r="F729" t="str">
        <f>Procurement_Raw!F729</f>
        <v>Food &amp; Catering</v>
      </c>
      <c r="G729" t="str">
        <f>Procurement_Raw!G729</f>
        <v>INV-2025-00728</v>
      </c>
      <c r="H729" s="6">
        <f>Procurement_Raw!H729</f>
        <v>39</v>
      </c>
      <c r="I729" s="7">
        <f>Procurement_Raw!I729</f>
        <v>78.69</v>
      </c>
      <c r="J729" s="7">
        <f>Procurement_Raw!J729</f>
        <v>3069.04</v>
      </c>
      <c r="K729" s="6">
        <f>Procurement_Raw!K729</f>
        <v>60</v>
      </c>
      <c r="L729" t="str">
        <f>Procurement_Raw!L729</f>
        <v>ERP</v>
      </c>
      <c r="M729" s="8">
        <f>Procurement_Raw!M729</f>
        <v>613.80799999999999</v>
      </c>
      <c r="N729" s="7">
        <f>Procurement_Raw!N729</f>
        <v>3069.04</v>
      </c>
      <c r="O729" s="7">
        <f t="shared" si="22"/>
        <v>3069.04</v>
      </c>
      <c r="P729" t="str">
        <f>IFERROR(INDEX(Supplier_Lookup!$B$2:$B$200,MATCH(E729,Supplier_Lookup!$A$2:$A$200,0)),"Unmapped")</f>
        <v>Food &amp; Catering</v>
      </c>
      <c r="Q729" s="10">
        <f>IFERROR(INDEX(Category_Targets!$B$2:$B$9,MATCH(F729,Category_Targets!$A$2:$A$9,0)),0)</f>
        <v>0.04</v>
      </c>
      <c r="R729" s="7">
        <f t="shared" si="23"/>
        <v>122.7616</v>
      </c>
    </row>
    <row r="730" spans="1:18" x14ac:dyDescent="0.25">
      <c r="A730" s="5">
        <f>Procurement_Raw!A730</f>
        <v>45860</v>
      </c>
      <c r="B730" t="str">
        <f>Procurement_Raw!B730</f>
        <v>S011</v>
      </c>
      <c r="C730" t="str">
        <f>Procurement_Raw!C730</f>
        <v>London Care &amp; Education Centre</v>
      </c>
      <c r="D730" t="str">
        <f>Procurement_Raw!D730</f>
        <v>South</v>
      </c>
      <c r="E730" t="str">
        <f>Procurement_Raw!E730</f>
        <v>LearnWell</v>
      </c>
      <c r="F730" t="str">
        <f>Procurement_Raw!F730</f>
        <v>Office &amp; Training</v>
      </c>
      <c r="G730" t="str">
        <f>Procurement_Raw!G730</f>
        <v>INV-2025-00729</v>
      </c>
      <c r="H730" s="6">
        <f>Procurement_Raw!H730</f>
        <v>4</v>
      </c>
      <c r="I730" s="7">
        <f>Procurement_Raw!I730</f>
        <v>55.74</v>
      </c>
      <c r="J730" s="7">
        <f>Procurement_Raw!J730</f>
        <v>222.94</v>
      </c>
      <c r="K730" s="6">
        <f>Procurement_Raw!K730</f>
        <v>45</v>
      </c>
      <c r="L730" t="str">
        <f>Procurement_Raw!L730</f>
        <v>ERP</v>
      </c>
      <c r="M730" s="8">
        <f>Procurement_Raw!M730</f>
        <v>44.588000000000001</v>
      </c>
      <c r="N730" s="7">
        <f>Procurement_Raw!N730</f>
        <v>222.94</v>
      </c>
      <c r="O730" s="7">
        <f t="shared" si="22"/>
        <v>222.94</v>
      </c>
      <c r="P730" t="str">
        <f>IFERROR(INDEX(Supplier_Lookup!$B$2:$B$200,MATCH(E730,Supplier_Lookup!$A$2:$A$200,0)),"Unmapped")</f>
        <v>Office &amp; Training</v>
      </c>
      <c r="Q730" s="10">
        <f>IFERROR(INDEX(Category_Targets!$B$2:$B$9,MATCH(F730,Category_Targets!$A$2:$A$9,0)),0)</f>
        <v>0.04</v>
      </c>
      <c r="R730" s="7">
        <f t="shared" si="23"/>
        <v>8.9176000000000002</v>
      </c>
    </row>
    <row r="731" spans="1:18" x14ac:dyDescent="0.25">
      <c r="A731" s="5">
        <f>Procurement_Raw!A731</f>
        <v>45858</v>
      </c>
      <c r="B731" t="str">
        <f>Procurement_Raw!B731</f>
        <v>S002</v>
      </c>
      <c r="C731" t="str">
        <f>Procurement_Raw!C731</f>
        <v>Manchester Care &amp; Education Centre</v>
      </c>
      <c r="D731" t="str">
        <f>Procurement_Raw!D731</f>
        <v>North</v>
      </c>
      <c r="E731" t="str">
        <f>Procurement_Raw!E731</f>
        <v>UK Energy Partners</v>
      </c>
      <c r="F731" t="str">
        <f>Procurement_Raw!F731</f>
        <v>Utilities</v>
      </c>
      <c r="G731" t="str">
        <f>Procurement_Raw!G731</f>
        <v>INV-2025-00730</v>
      </c>
      <c r="H731" s="6">
        <f>Procurement_Raw!H731</f>
        <v>70</v>
      </c>
      <c r="I731" s="7">
        <f>Procurement_Raw!I731</f>
        <v>162.94</v>
      </c>
      <c r="J731" s="7">
        <f>Procurement_Raw!J731</f>
        <v>11405.93</v>
      </c>
      <c r="K731" s="6">
        <f>Procurement_Raw!K731</f>
        <v>45</v>
      </c>
      <c r="L731" t="str">
        <f>Procurement_Raw!L731</f>
        <v>Legacy Spend File</v>
      </c>
      <c r="M731" s="8">
        <f>Procurement_Raw!M731</f>
        <v>2281.1860000000001</v>
      </c>
      <c r="N731" s="7">
        <f>Procurement_Raw!N731</f>
        <v>11405.93</v>
      </c>
      <c r="O731" s="7">
        <f t="shared" si="22"/>
        <v>11405.93</v>
      </c>
      <c r="P731" t="str">
        <f>IFERROR(INDEX(Supplier_Lookup!$B$2:$B$200,MATCH(E731,Supplier_Lookup!$A$2:$A$200,0)),"Unmapped")</f>
        <v>Utilities</v>
      </c>
      <c r="Q731" s="10">
        <f>IFERROR(INDEX(Category_Targets!$B$2:$B$9,MATCH(F731,Category_Targets!$A$2:$A$9,0)),0)</f>
        <v>0.03</v>
      </c>
      <c r="R731" s="7">
        <f t="shared" si="23"/>
        <v>342.17790000000002</v>
      </c>
    </row>
    <row r="732" spans="1:18" x14ac:dyDescent="0.25">
      <c r="A732" s="5">
        <f>Procurement_Raw!A732</f>
        <v>45989</v>
      </c>
      <c r="B732" t="str">
        <f>Procurement_Raw!B732</f>
        <v>S011</v>
      </c>
      <c r="C732" t="str">
        <f>Procurement_Raw!C732</f>
        <v>London Care &amp; Education Centre</v>
      </c>
      <c r="D732" t="str">
        <f>Procurement_Raw!D732</f>
        <v>South</v>
      </c>
      <c r="E732" t="str">
        <f>Procurement_Raw!E732</f>
        <v>NetServe</v>
      </c>
      <c r="F732" t="str">
        <f>Procurement_Raw!F732</f>
        <v>IT &amp; Telecoms</v>
      </c>
      <c r="G732" t="str">
        <f>Procurement_Raw!G732</f>
        <v>INV-2025-00731</v>
      </c>
      <c r="H732" s="6">
        <f>Procurement_Raw!H732</f>
        <v>48</v>
      </c>
      <c r="I732" s="7">
        <f>Procurement_Raw!I732</f>
        <v>245.02</v>
      </c>
      <c r="J732" s="7">
        <f>Procurement_Raw!J732</f>
        <v>11760.99</v>
      </c>
      <c r="K732" s="6">
        <f>Procurement_Raw!K732</f>
        <v>30</v>
      </c>
      <c r="L732" t="str">
        <f>Procurement_Raw!L732</f>
        <v>Legacy Spend File</v>
      </c>
      <c r="M732" s="8">
        <f>Procurement_Raw!M732</f>
        <v>2352.1979999999999</v>
      </c>
      <c r="N732" s="7">
        <f>Procurement_Raw!N732</f>
        <v>11760.99</v>
      </c>
      <c r="O732" s="7">
        <f t="shared" si="22"/>
        <v>11760.99</v>
      </c>
      <c r="P732" t="str">
        <f>IFERROR(INDEX(Supplier_Lookup!$B$2:$B$200,MATCH(E732,Supplier_Lookup!$A$2:$A$200,0)),"Unmapped")</f>
        <v>IT &amp; Telecoms</v>
      </c>
      <c r="Q732" s="10">
        <f>IFERROR(INDEX(Category_Targets!$B$2:$B$9,MATCH(F732,Category_Targets!$A$2:$A$9,0)),0)</f>
        <v>0.08</v>
      </c>
      <c r="R732" s="7">
        <f t="shared" si="23"/>
        <v>940.87919999999997</v>
      </c>
    </row>
    <row r="733" spans="1:18" x14ac:dyDescent="0.25">
      <c r="A733" s="5">
        <f>Procurement_Raw!A733</f>
        <v>45679</v>
      </c>
      <c r="B733" t="str">
        <f>Procurement_Raw!B733</f>
        <v>S004</v>
      </c>
      <c r="C733" t="str">
        <f>Procurement_Raw!C733</f>
        <v>Newcastle Care &amp; Education Centre</v>
      </c>
      <c r="D733" t="str">
        <f>Procurement_Raw!D733</f>
        <v>North</v>
      </c>
      <c r="E733" t="str">
        <f>Procurement_Raw!E733</f>
        <v>CleanWorks</v>
      </c>
      <c r="F733" t="str">
        <f>Procurement_Raw!F733</f>
        <v>Facilities</v>
      </c>
      <c r="G733" t="str">
        <f>Procurement_Raw!G733</f>
        <v>INV-2025-00732</v>
      </c>
      <c r="H733" s="6">
        <f>Procurement_Raw!H733</f>
        <v>1</v>
      </c>
      <c r="I733" s="7">
        <f>Procurement_Raw!I733</f>
        <v>105.09</v>
      </c>
      <c r="J733" s="7">
        <f>Procurement_Raw!J733</f>
        <v>105.09</v>
      </c>
      <c r="K733" s="6">
        <f>Procurement_Raw!K733</f>
        <v>60</v>
      </c>
      <c r="L733" t="str">
        <f>Procurement_Raw!L733</f>
        <v>Legacy Spend File</v>
      </c>
      <c r="M733" s="8">
        <f>Procurement_Raw!M733</f>
        <v>21.018000000000001</v>
      </c>
      <c r="N733" s="7">
        <f>Procurement_Raw!N733</f>
        <v>105.09</v>
      </c>
      <c r="O733" s="7">
        <f t="shared" si="22"/>
        <v>105.09</v>
      </c>
      <c r="P733" t="str">
        <f>IFERROR(INDEX(Supplier_Lookup!$B$2:$B$200,MATCH(E733,Supplier_Lookup!$A$2:$A$200,0)),"Unmapped")</f>
        <v>Facilities</v>
      </c>
      <c r="Q733" s="10">
        <f>IFERROR(INDEX(Category_Targets!$B$2:$B$9,MATCH(F733,Category_Targets!$A$2:$A$9,0)),0)</f>
        <v>0.05</v>
      </c>
      <c r="R733" s="7">
        <f t="shared" si="23"/>
        <v>5.2545000000000002</v>
      </c>
    </row>
    <row r="734" spans="1:18" x14ac:dyDescent="0.25">
      <c r="A734" s="5">
        <f>Procurement_Raw!A734</f>
        <v>45765</v>
      </c>
      <c r="B734" t="str">
        <f>Procurement_Raw!B734</f>
        <v>S018</v>
      </c>
      <c r="C734" t="str">
        <f>Procurement_Raw!C734</f>
        <v>Newport Care &amp; Education Centre</v>
      </c>
      <c r="D734" t="str">
        <f>Procurement_Raw!D734</f>
        <v>Wales</v>
      </c>
      <c r="E734" t="str">
        <f>Procurement_Raw!E734</f>
        <v>NourishCo</v>
      </c>
      <c r="F734" t="str">
        <f>Procurement_Raw!F734</f>
        <v>Food &amp; Catering</v>
      </c>
      <c r="G734" t="str">
        <f>Procurement_Raw!G734</f>
        <v>INV-2025-00733</v>
      </c>
      <c r="H734" s="6">
        <f>Procurement_Raw!H734</f>
        <v>45</v>
      </c>
      <c r="I734" s="7">
        <f>Procurement_Raw!I734</f>
        <v>81.36</v>
      </c>
      <c r="J734" s="7">
        <f>Procurement_Raw!J734</f>
        <v>3661.36</v>
      </c>
      <c r="K734" s="6">
        <f>Procurement_Raw!K734</f>
        <v>30</v>
      </c>
      <c r="L734" t="str">
        <f>Procurement_Raw!L734</f>
        <v>Procurement Portal</v>
      </c>
      <c r="M734" s="8">
        <f>Procurement_Raw!M734</f>
        <v>732.27200000000005</v>
      </c>
      <c r="N734" s="7">
        <f>Procurement_Raw!N734</f>
        <v>3661.36</v>
      </c>
      <c r="O734" s="7">
        <f t="shared" si="22"/>
        <v>3661.36</v>
      </c>
      <c r="P734" t="str">
        <f>IFERROR(INDEX(Supplier_Lookup!$B$2:$B$200,MATCH(E734,Supplier_Lookup!$A$2:$A$200,0)),"Unmapped")</f>
        <v>Food &amp; Catering</v>
      </c>
      <c r="Q734" s="10">
        <f>IFERROR(INDEX(Category_Targets!$B$2:$B$9,MATCH(F734,Category_Targets!$A$2:$A$9,0)),0)</f>
        <v>0.04</v>
      </c>
      <c r="R734" s="7">
        <f t="shared" si="23"/>
        <v>146.45440000000002</v>
      </c>
    </row>
    <row r="735" spans="1:18" x14ac:dyDescent="0.25">
      <c r="A735" s="5">
        <f>Procurement_Raw!A735</f>
        <v>45752</v>
      </c>
      <c r="B735" t="str">
        <f>Procurement_Raw!B735</f>
        <v>S016</v>
      </c>
      <c r="C735" t="str">
        <f>Procurement_Raw!C735</f>
        <v>Cardiff Care &amp; Education Centre</v>
      </c>
      <c r="D735" t="str">
        <f>Procurement_Raw!D735</f>
        <v>Wales</v>
      </c>
      <c r="E735" t="str">
        <f>Procurement_Raw!E735</f>
        <v>CleanWorks</v>
      </c>
      <c r="F735" t="str">
        <f>Procurement_Raw!F735</f>
        <v>Facilities</v>
      </c>
      <c r="G735" t="str">
        <f>Procurement_Raw!G735</f>
        <v>INV-2025-00734</v>
      </c>
      <c r="H735" s="6">
        <f>Procurement_Raw!H735</f>
        <v>29</v>
      </c>
      <c r="I735" s="7">
        <f>Procurement_Raw!I735</f>
        <v>70.569999999999993</v>
      </c>
      <c r="J735" s="7">
        <f>Procurement_Raw!J735</f>
        <v>2046.39</v>
      </c>
      <c r="K735" s="6">
        <f>Procurement_Raw!K735</f>
        <v>60</v>
      </c>
      <c r="L735" t="str">
        <f>Procurement_Raw!L735</f>
        <v>Procurement Portal</v>
      </c>
      <c r="M735" s="8">
        <f>Procurement_Raw!M735</f>
        <v>409.27800000000002</v>
      </c>
      <c r="N735" s="7">
        <f>Procurement_Raw!N735</f>
        <v>2046.39</v>
      </c>
      <c r="O735" s="7">
        <f t="shared" si="22"/>
        <v>2046.39</v>
      </c>
      <c r="P735" t="str">
        <f>IFERROR(INDEX(Supplier_Lookup!$B$2:$B$200,MATCH(E735,Supplier_Lookup!$A$2:$A$200,0)),"Unmapped")</f>
        <v>Facilities</v>
      </c>
      <c r="Q735" s="10">
        <f>IFERROR(INDEX(Category_Targets!$B$2:$B$9,MATCH(F735,Category_Targets!$A$2:$A$9,0)),0)</f>
        <v>0.05</v>
      </c>
      <c r="R735" s="7">
        <f t="shared" si="23"/>
        <v>102.31950000000001</v>
      </c>
    </row>
    <row r="736" spans="1:18" x14ac:dyDescent="0.25">
      <c r="A736" s="5">
        <f>Procurement_Raw!A736</f>
        <v>46001</v>
      </c>
      <c r="B736" t="str">
        <f>Procurement_Raw!B736</f>
        <v>S007</v>
      </c>
      <c r="C736" t="str">
        <f>Procurement_Raw!C736</f>
        <v>Nottingham Care &amp; Education Centre</v>
      </c>
      <c r="D736" t="str">
        <f>Procurement_Raw!D736</f>
        <v>Midlands</v>
      </c>
      <c r="E736" t="str">
        <f>Procurement_Raw!E736</f>
        <v>FreshServe</v>
      </c>
      <c r="F736" t="str">
        <f>Procurement_Raw!F736</f>
        <v>Food &amp; Catering</v>
      </c>
      <c r="G736" t="str">
        <f>Procurement_Raw!G736</f>
        <v>INV-2025-00735</v>
      </c>
      <c r="H736" s="6">
        <f>Procurement_Raw!H736</f>
        <v>73</v>
      </c>
      <c r="I736" s="7">
        <f>Procurement_Raw!I736</f>
        <v>114.48</v>
      </c>
      <c r="J736" s="7">
        <f>Procurement_Raw!J736</f>
        <v>8357.23</v>
      </c>
      <c r="K736" s="6">
        <f>Procurement_Raw!K736</f>
        <v>30</v>
      </c>
      <c r="L736" t="str">
        <f>Procurement_Raw!L736</f>
        <v>Legacy Spend File</v>
      </c>
      <c r="M736" s="8">
        <f>Procurement_Raw!M736</f>
        <v>1671.4459999999999</v>
      </c>
      <c r="N736" s="7">
        <f>Procurement_Raw!N736</f>
        <v>8357.23</v>
      </c>
      <c r="O736" s="7">
        <f t="shared" si="22"/>
        <v>8357.23</v>
      </c>
      <c r="P736" t="str">
        <f>IFERROR(INDEX(Supplier_Lookup!$B$2:$B$200,MATCH(E736,Supplier_Lookup!$A$2:$A$200,0)),"Unmapped")</f>
        <v>Food &amp; Catering</v>
      </c>
      <c r="Q736" s="10">
        <f>IFERROR(INDEX(Category_Targets!$B$2:$B$9,MATCH(F736,Category_Targets!$A$2:$A$9,0)),0)</f>
        <v>0.04</v>
      </c>
      <c r="R736" s="7">
        <f t="shared" si="23"/>
        <v>334.28919999999999</v>
      </c>
    </row>
    <row r="737" spans="1:18" x14ac:dyDescent="0.25">
      <c r="A737" s="5">
        <f>Procurement_Raw!A737</f>
        <v>46001</v>
      </c>
      <c r="B737" t="str">
        <f>Procurement_Raw!B737</f>
        <v>S014</v>
      </c>
      <c r="C737" t="str">
        <f>Procurement_Raw!C737</f>
        <v>Southampton Care &amp; Education Centre</v>
      </c>
      <c r="D737" t="str">
        <f>Procurement_Raw!D737</f>
        <v>South</v>
      </c>
      <c r="E737" t="str">
        <f>Procurement_Raw!E737</f>
        <v>NourishCo</v>
      </c>
      <c r="F737" t="str">
        <f>Procurement_Raw!F737</f>
        <v>Food &amp; Catering</v>
      </c>
      <c r="G737" t="str">
        <f>Procurement_Raw!G737</f>
        <v>INV-2025-00736</v>
      </c>
      <c r="H737" s="6">
        <f>Procurement_Raw!H737</f>
        <v>9</v>
      </c>
      <c r="I737" s="7">
        <f>Procurement_Raw!I737</f>
        <v>84.29</v>
      </c>
      <c r="J737" s="7">
        <f>Procurement_Raw!J737</f>
        <v>758.65</v>
      </c>
      <c r="K737" s="6">
        <f>Procurement_Raw!K737</f>
        <v>45</v>
      </c>
      <c r="L737" t="str">
        <f>Procurement_Raw!L737</f>
        <v>ERP</v>
      </c>
      <c r="M737" s="8">
        <f>Procurement_Raw!M737</f>
        <v>151.72999999999999</v>
      </c>
      <c r="N737" s="7">
        <f>Procurement_Raw!N737</f>
        <v>758.65</v>
      </c>
      <c r="O737" s="7">
        <f t="shared" si="22"/>
        <v>758.65</v>
      </c>
      <c r="P737" t="str">
        <f>IFERROR(INDEX(Supplier_Lookup!$B$2:$B$200,MATCH(E737,Supplier_Lookup!$A$2:$A$200,0)),"Unmapped")</f>
        <v>Food &amp; Catering</v>
      </c>
      <c r="Q737" s="10">
        <f>IFERROR(INDEX(Category_Targets!$B$2:$B$9,MATCH(F737,Category_Targets!$A$2:$A$9,0)),0)</f>
        <v>0.04</v>
      </c>
      <c r="R737" s="7">
        <f t="shared" si="23"/>
        <v>30.346</v>
      </c>
    </row>
    <row r="738" spans="1:18" x14ac:dyDescent="0.25">
      <c r="A738" s="5">
        <f>Procurement_Raw!A738</f>
        <v>45840</v>
      </c>
      <c r="B738" t="str">
        <f>Procurement_Raw!B738</f>
        <v>S006</v>
      </c>
      <c r="C738" t="str">
        <f>Procurement_Raw!C738</f>
        <v>Birmingham Care &amp; Education Centre</v>
      </c>
      <c r="D738" t="str">
        <f>Procurement_Raw!D738</f>
        <v>Midlands</v>
      </c>
      <c r="E738" t="str">
        <f>Procurement_Raw!E738</f>
        <v>LearnWell</v>
      </c>
      <c r="F738" t="str">
        <f>Procurement_Raw!F738</f>
        <v>Office &amp; Training</v>
      </c>
      <c r="G738" t="str">
        <f>Procurement_Raw!G738</f>
        <v>INV-2025-00737</v>
      </c>
      <c r="H738" s="6">
        <f>Procurement_Raw!H738</f>
        <v>17</v>
      </c>
      <c r="I738" s="7">
        <f>Procurement_Raw!I738</f>
        <v>86.34</v>
      </c>
      <c r="J738" s="7">
        <f>Procurement_Raw!J738</f>
        <v>1467.8</v>
      </c>
      <c r="K738" s="6">
        <f>Procurement_Raw!K738</f>
        <v>60</v>
      </c>
      <c r="L738" t="str">
        <f>Procurement_Raw!L738</f>
        <v>Legacy Spend File</v>
      </c>
      <c r="M738" s="8">
        <f>Procurement_Raw!M738</f>
        <v>293.56</v>
      </c>
      <c r="N738" s="7">
        <f>Procurement_Raw!N738</f>
        <v>1467.8</v>
      </c>
      <c r="O738" s="7">
        <f t="shared" si="22"/>
        <v>1467.8</v>
      </c>
      <c r="P738" t="str">
        <f>IFERROR(INDEX(Supplier_Lookup!$B$2:$B$200,MATCH(E738,Supplier_Lookup!$A$2:$A$200,0)),"Unmapped")</f>
        <v>Office &amp; Training</v>
      </c>
      <c r="Q738" s="10">
        <f>IFERROR(INDEX(Category_Targets!$B$2:$B$9,MATCH(F738,Category_Targets!$A$2:$A$9,0)),0)</f>
        <v>0.04</v>
      </c>
      <c r="R738" s="7">
        <f t="shared" si="23"/>
        <v>58.711999999999996</v>
      </c>
    </row>
    <row r="739" spans="1:18" x14ac:dyDescent="0.25">
      <c r="A739" s="5">
        <f>Procurement_Raw!A739</f>
        <v>45975</v>
      </c>
      <c r="B739" t="str">
        <f>Procurement_Raw!B739</f>
        <v>S013</v>
      </c>
      <c r="C739" t="str">
        <f>Procurement_Raw!C739</f>
        <v>Reading Care &amp; Education Centre</v>
      </c>
      <c r="D739" t="str">
        <f>Procurement_Raw!D739</f>
        <v>South</v>
      </c>
      <c r="E739" t="str">
        <f>Procurement_Raw!E739</f>
        <v>NourishCo</v>
      </c>
      <c r="F739" t="str">
        <f>Procurement_Raw!F739</f>
        <v>Food &amp; Catering</v>
      </c>
      <c r="G739" t="str">
        <f>Procurement_Raw!G739</f>
        <v>INV-2025-00738</v>
      </c>
      <c r="H739" s="6">
        <f>Procurement_Raw!H739</f>
        <v>9</v>
      </c>
      <c r="I739" s="7">
        <f>Procurement_Raw!I739</f>
        <v>111.59</v>
      </c>
      <c r="J739" s="7">
        <f>Procurement_Raw!J739</f>
        <v>1004.35</v>
      </c>
      <c r="K739" s="6">
        <f>Procurement_Raw!K739</f>
        <v>30</v>
      </c>
      <c r="L739" t="str">
        <f>Procurement_Raw!L739</f>
        <v>Procurement Portal</v>
      </c>
      <c r="M739" s="8">
        <f>Procurement_Raw!M739</f>
        <v>200.87</v>
      </c>
      <c r="N739" s="7">
        <f>Procurement_Raw!N739</f>
        <v>1004.35</v>
      </c>
      <c r="O739" s="7">
        <f t="shared" si="22"/>
        <v>1004.35</v>
      </c>
      <c r="P739" t="str">
        <f>IFERROR(INDEX(Supplier_Lookup!$B$2:$B$200,MATCH(E739,Supplier_Lookup!$A$2:$A$200,0)),"Unmapped")</f>
        <v>Food &amp; Catering</v>
      </c>
      <c r="Q739" s="10">
        <f>IFERROR(INDEX(Category_Targets!$B$2:$B$9,MATCH(F739,Category_Targets!$A$2:$A$9,0)),0)</f>
        <v>0.04</v>
      </c>
      <c r="R739" s="7">
        <f t="shared" si="23"/>
        <v>40.173999999999999</v>
      </c>
    </row>
    <row r="740" spans="1:18" x14ac:dyDescent="0.25">
      <c r="A740" s="5">
        <f>Procurement_Raw!A740</f>
        <v>45973</v>
      </c>
      <c r="B740" t="str">
        <f>Procurement_Raw!B740</f>
        <v>S005</v>
      </c>
      <c r="C740" t="str">
        <f>Procurement_Raw!C740</f>
        <v>Sheffield Care &amp; Education Centre</v>
      </c>
      <c r="D740" t="str">
        <f>Procurement_Raw!D740</f>
        <v>North</v>
      </c>
      <c r="E740" t="str">
        <f>Procurement_Raw!E740</f>
        <v>LearnWell</v>
      </c>
      <c r="F740" t="str">
        <f>Procurement_Raw!F740</f>
        <v>Office &amp; Training</v>
      </c>
      <c r="G740" t="str">
        <f>Procurement_Raw!G740</f>
        <v>INV-2025-00739</v>
      </c>
      <c r="H740" s="6">
        <f>Procurement_Raw!H740</f>
        <v>40</v>
      </c>
      <c r="I740" s="7">
        <f>Procurement_Raw!I740</f>
        <v>187.45</v>
      </c>
      <c r="J740" s="7">
        <f>Procurement_Raw!J740</f>
        <v>7497.9</v>
      </c>
      <c r="K740" s="6">
        <f>Procurement_Raw!K740</f>
        <v>60</v>
      </c>
      <c r="L740" t="str">
        <f>Procurement_Raw!L740</f>
        <v>Legacy Spend File</v>
      </c>
      <c r="M740" s="8">
        <f>Procurement_Raw!M740</f>
        <v>1499.58</v>
      </c>
      <c r="N740" s="7">
        <f>Procurement_Raw!N740</f>
        <v>7497.9</v>
      </c>
      <c r="O740" s="7">
        <f t="shared" si="22"/>
        <v>7497.9</v>
      </c>
      <c r="P740" t="str">
        <f>IFERROR(INDEX(Supplier_Lookup!$B$2:$B$200,MATCH(E740,Supplier_Lookup!$A$2:$A$200,0)),"Unmapped")</f>
        <v>Office &amp; Training</v>
      </c>
      <c r="Q740" s="10">
        <f>IFERROR(INDEX(Category_Targets!$B$2:$B$9,MATCH(F740,Category_Targets!$A$2:$A$9,0)),0)</f>
        <v>0.04</v>
      </c>
      <c r="R740" s="7">
        <f t="shared" si="23"/>
        <v>299.916</v>
      </c>
    </row>
    <row r="741" spans="1:18" x14ac:dyDescent="0.25">
      <c r="A741" s="5">
        <f>Procurement_Raw!A741</f>
        <v>45877</v>
      </c>
      <c r="B741" t="str">
        <f>Procurement_Raw!B741</f>
        <v>S006</v>
      </c>
      <c r="C741" t="str">
        <f>Procurement_Raw!C741</f>
        <v>Birmingham Care &amp; Education Centre</v>
      </c>
      <c r="D741" t="str">
        <f>Procurement_Raw!D741</f>
        <v>Midlands</v>
      </c>
      <c r="E741" t="str">
        <f>Procurement_Raw!E741</f>
        <v>RoadReady</v>
      </c>
      <c r="F741" t="str">
        <f>Procurement_Raw!F741</f>
        <v>Vehicle &amp; Fuel</v>
      </c>
      <c r="G741" t="str">
        <f>Procurement_Raw!G741</f>
        <v>INV-2025-00740</v>
      </c>
      <c r="H741" s="6">
        <f>Procurement_Raw!H741</f>
        <v>22</v>
      </c>
      <c r="I741" s="7">
        <f>Procurement_Raw!I741</f>
        <v>165.97</v>
      </c>
      <c r="J741" s="7">
        <f>Procurement_Raw!J741</f>
        <v>3651.24</v>
      </c>
      <c r="K741" s="6">
        <f>Procurement_Raw!K741</f>
        <v>30</v>
      </c>
      <c r="L741" t="str">
        <f>Procurement_Raw!L741</f>
        <v>Procurement Portal</v>
      </c>
      <c r="M741" s="8">
        <f>Procurement_Raw!M741</f>
        <v>730.24800000000005</v>
      </c>
      <c r="N741" s="7">
        <f>Procurement_Raw!N741</f>
        <v>3651.24</v>
      </c>
      <c r="O741" s="7">
        <f t="shared" si="22"/>
        <v>3651.24</v>
      </c>
      <c r="P741" t="str">
        <f>IFERROR(INDEX(Supplier_Lookup!$B$2:$B$200,MATCH(E741,Supplier_Lookup!$A$2:$A$200,0)),"Unmapped")</f>
        <v>Vehicle &amp; Fuel</v>
      </c>
      <c r="Q741" s="10">
        <f>IFERROR(INDEX(Category_Targets!$B$2:$B$9,MATCH(F741,Category_Targets!$A$2:$A$9,0)),0)</f>
        <v>0.05</v>
      </c>
      <c r="R741" s="7">
        <f t="shared" si="23"/>
        <v>182.56200000000001</v>
      </c>
    </row>
    <row r="742" spans="1:18" x14ac:dyDescent="0.25">
      <c r="A742" s="5">
        <f>Procurement_Raw!A742</f>
        <v>45986</v>
      </c>
      <c r="B742" t="str">
        <f>Procurement_Raw!B742</f>
        <v>S016</v>
      </c>
      <c r="C742" t="str">
        <f>Procurement_Raw!C742</f>
        <v>Cardiff Care &amp; Education Centre</v>
      </c>
      <c r="D742" t="str">
        <f>Procurement_Raw!D742</f>
        <v>Wales</v>
      </c>
      <c r="E742" t="str">
        <f>Procurement_Raw!E742</f>
        <v>PowerDirect</v>
      </c>
      <c r="F742" t="str">
        <f>Procurement_Raw!F742</f>
        <v>Utilities</v>
      </c>
      <c r="G742" t="str">
        <f>Procurement_Raw!G742</f>
        <v>INV-2025-00741</v>
      </c>
      <c r="H742" s="6">
        <f>Procurement_Raw!H742</f>
        <v>56</v>
      </c>
      <c r="I742" s="7">
        <f>Procurement_Raw!I742</f>
        <v>90.83</v>
      </c>
      <c r="J742" s="7">
        <f>Procurement_Raw!J742</f>
        <v>5086.43</v>
      </c>
      <c r="K742" s="6">
        <f>Procurement_Raw!K742</f>
        <v>45</v>
      </c>
      <c r="L742" t="str">
        <f>Procurement_Raw!L742</f>
        <v>Procurement Portal</v>
      </c>
      <c r="M742" s="8">
        <f>Procurement_Raw!M742</f>
        <v>1017.2859999999999</v>
      </c>
      <c r="N742" s="7">
        <f>Procurement_Raw!N742</f>
        <v>5086.43</v>
      </c>
      <c r="O742" s="7">
        <f t="shared" si="22"/>
        <v>5086.43</v>
      </c>
      <c r="P742" t="str">
        <f>IFERROR(INDEX(Supplier_Lookup!$B$2:$B$200,MATCH(E742,Supplier_Lookup!$A$2:$A$200,0)),"Unmapped")</f>
        <v>Utilities</v>
      </c>
      <c r="Q742" s="10">
        <f>IFERROR(INDEX(Category_Targets!$B$2:$B$9,MATCH(F742,Category_Targets!$A$2:$A$9,0)),0)</f>
        <v>0.03</v>
      </c>
      <c r="R742" s="7">
        <f t="shared" si="23"/>
        <v>152.59290000000001</v>
      </c>
    </row>
    <row r="743" spans="1:18" x14ac:dyDescent="0.25">
      <c r="A743" s="5">
        <f>Procurement_Raw!A743</f>
        <v>45894</v>
      </c>
      <c r="B743" t="str">
        <f>Procurement_Raw!B743</f>
        <v>S007</v>
      </c>
      <c r="C743" t="str">
        <f>Procurement_Raw!C743</f>
        <v>Nottingham Care &amp; Education Centre</v>
      </c>
      <c r="D743" t="str">
        <f>Procurement_Raw!D743</f>
        <v>Midlands</v>
      </c>
      <c r="E743" t="str">
        <f>Procurement_Raw!E743</f>
        <v>RoadReady</v>
      </c>
      <c r="F743" t="str">
        <f>Procurement_Raw!F743</f>
        <v>Vehicle &amp; Fuel</v>
      </c>
      <c r="G743" t="str">
        <f>Procurement_Raw!G743</f>
        <v>INV-2025-00742</v>
      </c>
      <c r="H743" s="6">
        <f>Procurement_Raw!H743</f>
        <v>58</v>
      </c>
      <c r="I743" s="7">
        <f>Procurement_Raw!I743</f>
        <v>47</v>
      </c>
      <c r="J743" s="7">
        <f>Procurement_Raw!J743</f>
        <v>2725.9</v>
      </c>
      <c r="K743" s="6">
        <f>Procurement_Raw!K743</f>
        <v>45</v>
      </c>
      <c r="L743" t="str">
        <f>Procurement_Raw!L743</f>
        <v>Procurement Portal</v>
      </c>
      <c r="M743" s="8">
        <f>Procurement_Raw!M743</f>
        <v>545.17999999999995</v>
      </c>
      <c r="N743" s="7">
        <f>Procurement_Raw!N743</f>
        <v>2725.9</v>
      </c>
      <c r="O743" s="7">
        <f t="shared" si="22"/>
        <v>2725.9</v>
      </c>
      <c r="P743" t="str">
        <f>IFERROR(INDEX(Supplier_Lookup!$B$2:$B$200,MATCH(E743,Supplier_Lookup!$A$2:$A$200,0)),"Unmapped")</f>
        <v>Vehicle &amp; Fuel</v>
      </c>
      <c r="Q743" s="10">
        <f>IFERROR(INDEX(Category_Targets!$B$2:$B$9,MATCH(F743,Category_Targets!$A$2:$A$9,0)),0)</f>
        <v>0.05</v>
      </c>
      <c r="R743" s="7">
        <f t="shared" si="23"/>
        <v>136.29500000000002</v>
      </c>
    </row>
    <row r="744" spans="1:18" x14ac:dyDescent="0.25">
      <c r="A744" s="5">
        <f>Procurement_Raw!A744</f>
        <v>45988</v>
      </c>
      <c r="B744" t="str">
        <f>Procurement_Raw!B744</f>
        <v>S010</v>
      </c>
      <c r="C744" t="str">
        <f>Procurement_Raw!C744</f>
        <v>Coventry Care &amp; Education Centre</v>
      </c>
      <c r="D744" t="str">
        <f>Procurement_Raw!D744</f>
        <v>Midlands</v>
      </c>
      <c r="E744" t="str">
        <f>Procurement_Raw!E744</f>
        <v>FreshServe</v>
      </c>
      <c r="F744" t="str">
        <f>Procurement_Raw!F744</f>
        <v>Food &amp; Catering</v>
      </c>
      <c r="G744" t="str">
        <f>Procurement_Raw!G744</f>
        <v>INV-2025-00743</v>
      </c>
      <c r="H744" s="6">
        <f>Procurement_Raw!H744</f>
        <v>78</v>
      </c>
      <c r="I744" s="7">
        <f>Procurement_Raw!I744</f>
        <v>46.1</v>
      </c>
      <c r="J744" s="7">
        <f>Procurement_Raw!J744</f>
        <v>3595.53</v>
      </c>
      <c r="K744" s="6">
        <f>Procurement_Raw!K744</f>
        <v>30</v>
      </c>
      <c r="L744" t="str">
        <f>Procurement_Raw!L744</f>
        <v>Procurement Portal</v>
      </c>
      <c r="M744" s="8">
        <f>Procurement_Raw!M744</f>
        <v>719.10599999999999</v>
      </c>
      <c r="N744" s="7">
        <f>Procurement_Raw!N744</f>
        <v>3595.53</v>
      </c>
      <c r="O744" s="7">
        <f t="shared" si="22"/>
        <v>3595.53</v>
      </c>
      <c r="P744" t="str">
        <f>IFERROR(INDEX(Supplier_Lookup!$B$2:$B$200,MATCH(E744,Supplier_Lookup!$A$2:$A$200,0)),"Unmapped")</f>
        <v>Food &amp; Catering</v>
      </c>
      <c r="Q744" s="10">
        <f>IFERROR(INDEX(Category_Targets!$B$2:$B$9,MATCH(F744,Category_Targets!$A$2:$A$9,0)),0)</f>
        <v>0.04</v>
      </c>
      <c r="R744" s="7">
        <f t="shared" si="23"/>
        <v>143.8212</v>
      </c>
    </row>
    <row r="745" spans="1:18" x14ac:dyDescent="0.25">
      <c r="A745" s="5">
        <f>Procurement_Raw!A745</f>
        <v>45978</v>
      </c>
      <c r="B745" t="str">
        <f>Procurement_Raw!B745</f>
        <v>S001</v>
      </c>
      <c r="C745" t="str">
        <f>Procurement_Raw!C745</f>
        <v>Preston Care &amp; Education Centre</v>
      </c>
      <c r="D745" t="str">
        <f>Procurement_Raw!D745</f>
        <v>North</v>
      </c>
      <c r="E745" t="str">
        <f>Procurement_Raw!E745</f>
        <v>WaterGrid</v>
      </c>
      <c r="F745" t="str">
        <f>Procurement_Raw!F745</f>
        <v>Utilities</v>
      </c>
      <c r="G745" t="str">
        <f>Procurement_Raw!G745</f>
        <v>INV-2025-00744</v>
      </c>
      <c r="H745" s="6">
        <f>Procurement_Raw!H745</f>
        <v>10</v>
      </c>
      <c r="I745" s="7">
        <f>Procurement_Raw!I745</f>
        <v>253.61</v>
      </c>
      <c r="J745" s="7">
        <f>Procurement_Raw!J745</f>
        <v>2536.13</v>
      </c>
      <c r="K745" s="6">
        <f>Procurement_Raw!K745</f>
        <v>60</v>
      </c>
      <c r="L745" t="str">
        <f>Procurement_Raw!L745</f>
        <v>ERP</v>
      </c>
      <c r="M745" s="8">
        <f>Procurement_Raw!M745</f>
        <v>507.226</v>
      </c>
      <c r="N745" s="7">
        <f>Procurement_Raw!N745</f>
        <v>2536.13</v>
      </c>
      <c r="O745" s="7">
        <f t="shared" si="22"/>
        <v>2536.13</v>
      </c>
      <c r="P745" t="str">
        <f>IFERROR(INDEX(Supplier_Lookup!$B$2:$B$200,MATCH(E745,Supplier_Lookup!$A$2:$A$200,0)),"Unmapped")</f>
        <v>Utilities</v>
      </c>
      <c r="Q745" s="10">
        <f>IFERROR(INDEX(Category_Targets!$B$2:$B$9,MATCH(F745,Category_Targets!$A$2:$A$9,0)),0)</f>
        <v>0.03</v>
      </c>
      <c r="R745" s="7">
        <f t="shared" si="23"/>
        <v>76.0839</v>
      </c>
    </row>
    <row r="746" spans="1:18" x14ac:dyDescent="0.25">
      <c r="A746" s="5">
        <f>Procurement_Raw!A746</f>
        <v>45954</v>
      </c>
      <c r="B746" t="str">
        <f>Procurement_Raw!B746</f>
        <v>S006</v>
      </c>
      <c r="C746" t="str">
        <f>Procurement_Raw!C746</f>
        <v>Birmingham Care &amp; Education Centre</v>
      </c>
      <c r="D746" t="str">
        <f>Procurement_Raw!D746</f>
        <v>Midlands</v>
      </c>
      <c r="E746" t="str">
        <f>Procurement_Raw!E746</f>
        <v>ClinEquip</v>
      </c>
      <c r="F746" t="str">
        <f>Procurement_Raw!F746</f>
        <v>Medical Supplies</v>
      </c>
      <c r="G746" t="str">
        <f>Procurement_Raw!G746</f>
        <v>INV-2025-00745</v>
      </c>
      <c r="H746" s="6">
        <f>Procurement_Raw!H746</f>
        <v>52</v>
      </c>
      <c r="I746" s="7">
        <f>Procurement_Raw!I746</f>
        <v>159.53</v>
      </c>
      <c r="J746" s="7">
        <f>Procurement_Raw!J746</f>
        <v>8295.33</v>
      </c>
      <c r="K746" s="6">
        <f>Procurement_Raw!K746</f>
        <v>60</v>
      </c>
      <c r="L746" t="str">
        <f>Procurement_Raw!L746</f>
        <v>ERP</v>
      </c>
      <c r="M746" s="8">
        <f>Procurement_Raw!M746</f>
        <v>1659.066</v>
      </c>
      <c r="N746" s="7">
        <f>Procurement_Raw!N746</f>
        <v>8295.33</v>
      </c>
      <c r="O746" s="7">
        <f t="shared" si="22"/>
        <v>8295.33</v>
      </c>
      <c r="P746" t="str">
        <f>IFERROR(INDEX(Supplier_Lookup!$B$2:$B$200,MATCH(E746,Supplier_Lookup!$A$2:$A$200,0)),"Unmapped")</f>
        <v>Medical Supplies</v>
      </c>
      <c r="Q746" s="10">
        <f>IFERROR(INDEX(Category_Targets!$B$2:$B$9,MATCH(F746,Category_Targets!$A$2:$A$9,0)),0)</f>
        <v>0.06</v>
      </c>
      <c r="R746" s="7">
        <f t="shared" si="23"/>
        <v>497.71979999999996</v>
      </c>
    </row>
    <row r="747" spans="1:18" x14ac:dyDescent="0.25">
      <c r="A747" s="5">
        <f>Procurement_Raw!A747</f>
        <v>45934</v>
      </c>
      <c r="B747" t="str">
        <f>Procurement_Raw!B747</f>
        <v>S016</v>
      </c>
      <c r="C747" t="str">
        <f>Procurement_Raw!C747</f>
        <v>Cardiff Care &amp; Education Centre</v>
      </c>
      <c r="D747" t="str">
        <f>Procurement_Raw!D747</f>
        <v>Wales</v>
      </c>
      <c r="E747" t="str">
        <f>Procurement_Raw!E747</f>
        <v>NetServe</v>
      </c>
      <c r="F747" t="str">
        <f>Procurement_Raw!F747</f>
        <v>IT &amp; Telecoms</v>
      </c>
      <c r="G747" t="str">
        <f>Procurement_Raw!G747</f>
        <v>INV-2025-00746</v>
      </c>
      <c r="H747" s="6">
        <f>Procurement_Raw!H747</f>
        <v>61</v>
      </c>
      <c r="I747" s="7">
        <f>Procurement_Raw!I747</f>
        <v>147.59</v>
      </c>
      <c r="J747" s="7">
        <f>Procurement_Raw!J747</f>
        <v>9003.26</v>
      </c>
      <c r="K747" s="6">
        <f>Procurement_Raw!K747</f>
        <v>60</v>
      </c>
      <c r="L747" t="str">
        <f>Procurement_Raw!L747</f>
        <v>ERP</v>
      </c>
      <c r="M747" s="8">
        <f>Procurement_Raw!M747</f>
        <v>1800.652</v>
      </c>
      <c r="N747" s="7">
        <f>Procurement_Raw!N747</f>
        <v>9003.26</v>
      </c>
      <c r="O747" s="7">
        <f t="shared" si="22"/>
        <v>9003.26</v>
      </c>
      <c r="P747" t="str">
        <f>IFERROR(INDEX(Supplier_Lookup!$B$2:$B$200,MATCH(E747,Supplier_Lookup!$A$2:$A$200,0)),"Unmapped")</f>
        <v>IT &amp; Telecoms</v>
      </c>
      <c r="Q747" s="10">
        <f>IFERROR(INDEX(Category_Targets!$B$2:$B$9,MATCH(F747,Category_Targets!$A$2:$A$9,0)),0)</f>
        <v>0.08</v>
      </c>
      <c r="R747" s="7">
        <f t="shared" si="23"/>
        <v>720.26080000000002</v>
      </c>
    </row>
    <row r="748" spans="1:18" x14ac:dyDescent="0.25">
      <c r="A748" s="5">
        <f>Procurement_Raw!A748</f>
        <v>45959</v>
      </c>
      <c r="B748" t="str">
        <f>Procurement_Raw!B748</f>
        <v>S009</v>
      </c>
      <c r="C748" t="str">
        <f>Procurement_Raw!C748</f>
        <v>Derby Care &amp; Education Centre</v>
      </c>
      <c r="D748" t="str">
        <f>Procurement_Raw!D748</f>
        <v>Midlands</v>
      </c>
      <c r="E748" t="str">
        <f>Procurement_Raw!E748</f>
        <v>HealthStaffing</v>
      </c>
      <c r="F748" t="str">
        <f>Procurement_Raw!F748</f>
        <v>Agency Labour</v>
      </c>
      <c r="G748" t="str">
        <f>Procurement_Raw!G748</f>
        <v>INV-2025-00747</v>
      </c>
      <c r="H748" s="6">
        <f>Procurement_Raw!H748</f>
        <v>38</v>
      </c>
      <c r="I748" s="7">
        <f>Procurement_Raw!I748</f>
        <v>332.45</v>
      </c>
      <c r="J748" s="7">
        <f>Procurement_Raw!J748</f>
        <v>12633.29</v>
      </c>
      <c r="K748" s="6">
        <f>Procurement_Raw!K748</f>
        <v>30</v>
      </c>
      <c r="L748" t="str">
        <f>Procurement_Raw!L748</f>
        <v>Procurement Portal</v>
      </c>
      <c r="M748" s="8">
        <f>Procurement_Raw!M748</f>
        <v>2526.6579999999999</v>
      </c>
      <c r="N748" s="7">
        <f>Procurement_Raw!N748</f>
        <v>12633.29</v>
      </c>
      <c r="O748" s="7">
        <f t="shared" si="22"/>
        <v>12633.29</v>
      </c>
      <c r="P748" t="str">
        <f>IFERROR(INDEX(Supplier_Lookup!$B$2:$B$200,MATCH(E748,Supplier_Lookup!$A$2:$A$200,0)),"Unmapped")</f>
        <v>Agency Labour</v>
      </c>
      <c r="Q748" s="10">
        <f>IFERROR(INDEX(Category_Targets!$B$2:$B$9,MATCH(F748,Category_Targets!$A$2:$A$9,0)),0)</f>
        <v>7.0000000000000007E-2</v>
      </c>
      <c r="R748" s="7">
        <f t="shared" si="23"/>
        <v>884.33030000000019</v>
      </c>
    </row>
    <row r="749" spans="1:18" x14ac:dyDescent="0.25">
      <c r="A749" s="5">
        <f>Procurement_Raw!A749</f>
        <v>45844</v>
      </c>
      <c r="B749" t="str">
        <f>Procurement_Raw!B749</f>
        <v>S016</v>
      </c>
      <c r="C749" t="str">
        <f>Procurement_Raw!C749</f>
        <v>Cardiff Care &amp; Education Centre</v>
      </c>
      <c r="D749" t="str">
        <f>Procurement_Raw!D749</f>
        <v>Wales</v>
      </c>
      <c r="E749" t="str">
        <f>Procurement_Raw!E749</f>
        <v>NourishCo</v>
      </c>
      <c r="F749" t="str">
        <f>Procurement_Raw!F749</f>
        <v>Food &amp; Catering</v>
      </c>
      <c r="G749" t="str">
        <f>Procurement_Raw!G749</f>
        <v>INV-2025-00748</v>
      </c>
      <c r="H749" s="6">
        <f>Procurement_Raw!H749</f>
        <v>65</v>
      </c>
      <c r="I749" s="7">
        <f>Procurement_Raw!I749</f>
        <v>42.9</v>
      </c>
      <c r="J749" s="7">
        <f>Procurement_Raw!J749</f>
        <v>2788.65</v>
      </c>
      <c r="K749" s="6">
        <f>Procurement_Raw!K749</f>
        <v>30</v>
      </c>
      <c r="L749" t="str">
        <f>Procurement_Raw!L749</f>
        <v>Legacy Spend File</v>
      </c>
      <c r="M749" s="8">
        <f>Procurement_Raw!M749</f>
        <v>557.73</v>
      </c>
      <c r="N749" s="7">
        <f>Procurement_Raw!N749</f>
        <v>2788.65</v>
      </c>
      <c r="O749" s="7">
        <f t="shared" si="22"/>
        <v>2788.65</v>
      </c>
      <c r="P749" t="str">
        <f>IFERROR(INDEX(Supplier_Lookup!$B$2:$B$200,MATCH(E749,Supplier_Lookup!$A$2:$A$200,0)),"Unmapped")</f>
        <v>Food &amp; Catering</v>
      </c>
      <c r="Q749" s="10">
        <f>IFERROR(INDEX(Category_Targets!$B$2:$B$9,MATCH(F749,Category_Targets!$A$2:$A$9,0)),0)</f>
        <v>0.04</v>
      </c>
      <c r="R749" s="7">
        <f t="shared" si="23"/>
        <v>111.54600000000001</v>
      </c>
    </row>
    <row r="750" spans="1:18" x14ac:dyDescent="0.25">
      <c r="A750" s="5">
        <f>Procurement_Raw!A750</f>
        <v>45729</v>
      </c>
      <c r="B750" t="str">
        <f>Procurement_Raw!B750</f>
        <v>S005</v>
      </c>
      <c r="C750" t="str">
        <f>Procurement_Raw!C750</f>
        <v>Sheffield Care &amp; Education Centre</v>
      </c>
      <c r="D750" t="str">
        <f>Procurement_Raw!D750</f>
        <v>North</v>
      </c>
      <c r="E750" t="str">
        <f>Procurement_Raw!E750</f>
        <v>BuildCare</v>
      </c>
      <c r="F750" t="str">
        <f>Procurement_Raw!F750</f>
        <v>Facilities</v>
      </c>
      <c r="G750" t="str">
        <f>Procurement_Raw!G750</f>
        <v>INV-2025-00749</v>
      </c>
      <c r="H750" s="6">
        <f>Procurement_Raw!H750</f>
        <v>58</v>
      </c>
      <c r="I750" s="7">
        <f>Procurement_Raw!I750</f>
        <v>128.59</v>
      </c>
      <c r="J750" s="7">
        <f>Procurement_Raw!J750</f>
        <v>7458.17</v>
      </c>
      <c r="K750" s="6">
        <f>Procurement_Raw!K750</f>
        <v>30</v>
      </c>
      <c r="L750" t="str">
        <f>Procurement_Raw!L750</f>
        <v>ERP</v>
      </c>
      <c r="M750" s="8">
        <f>Procurement_Raw!M750</f>
        <v>1491.634</v>
      </c>
      <c r="N750" s="7">
        <f>Procurement_Raw!N750</f>
        <v>7458.17</v>
      </c>
      <c r="O750" s="7">
        <f t="shared" si="22"/>
        <v>7458.17</v>
      </c>
      <c r="P750" t="str">
        <f>IFERROR(INDEX(Supplier_Lookup!$B$2:$B$200,MATCH(E750,Supplier_Lookup!$A$2:$A$200,0)),"Unmapped")</f>
        <v>Facilities</v>
      </c>
      <c r="Q750" s="10">
        <f>IFERROR(INDEX(Category_Targets!$B$2:$B$9,MATCH(F750,Category_Targets!$A$2:$A$9,0)),0)</f>
        <v>0.05</v>
      </c>
      <c r="R750" s="7">
        <f t="shared" si="23"/>
        <v>372.9085</v>
      </c>
    </row>
    <row r="751" spans="1:18" x14ac:dyDescent="0.25">
      <c r="A751" s="5">
        <f>Procurement_Raw!A751</f>
        <v>45905</v>
      </c>
      <c r="B751" t="str">
        <f>Procurement_Raw!B751</f>
        <v>S006</v>
      </c>
      <c r="C751" t="str">
        <f>Procurement_Raw!C751</f>
        <v>Birmingham Care &amp; Education Centre</v>
      </c>
      <c r="D751" t="str">
        <f>Procurement_Raw!D751</f>
        <v>Midlands</v>
      </c>
      <c r="E751" t="str">
        <f>Procurement_Raw!E751</f>
        <v>BuildCare</v>
      </c>
      <c r="F751" t="str">
        <f>Procurement_Raw!F751</f>
        <v>Facilities</v>
      </c>
      <c r="G751" t="str">
        <f>Procurement_Raw!G751</f>
        <v>INV-2025-00750</v>
      </c>
      <c r="H751" s="6">
        <f>Procurement_Raw!H751</f>
        <v>46</v>
      </c>
      <c r="I751" s="7">
        <f>Procurement_Raw!I751</f>
        <v>83.04</v>
      </c>
      <c r="J751" s="7">
        <f>Procurement_Raw!J751</f>
        <v>3819.73</v>
      </c>
      <c r="K751" s="6">
        <f>Procurement_Raw!K751</f>
        <v>30</v>
      </c>
      <c r="L751" t="str">
        <f>Procurement_Raw!L751</f>
        <v>ERP</v>
      </c>
      <c r="M751" s="8">
        <f>Procurement_Raw!M751</f>
        <v>763.94600000000003</v>
      </c>
      <c r="N751" s="7">
        <f>Procurement_Raw!N751</f>
        <v>3819.73</v>
      </c>
      <c r="O751" s="7">
        <f t="shared" si="22"/>
        <v>3819.73</v>
      </c>
      <c r="P751" t="str">
        <f>IFERROR(INDEX(Supplier_Lookup!$B$2:$B$200,MATCH(E751,Supplier_Lookup!$A$2:$A$200,0)),"Unmapped")</f>
        <v>Facilities</v>
      </c>
      <c r="Q751" s="10">
        <f>IFERROR(INDEX(Category_Targets!$B$2:$B$9,MATCH(F751,Category_Targets!$A$2:$A$9,0)),0)</f>
        <v>0.05</v>
      </c>
      <c r="R751" s="7">
        <f t="shared" si="23"/>
        <v>190.98650000000001</v>
      </c>
    </row>
    <row r="752" spans="1:18" x14ac:dyDescent="0.25">
      <c r="A752" s="5">
        <f>Procurement_Raw!A752</f>
        <v>45690</v>
      </c>
      <c r="B752" t="str">
        <f>Procurement_Raw!B752</f>
        <v>S018</v>
      </c>
      <c r="C752" t="str">
        <f>Procurement_Raw!C752</f>
        <v>Newport Care &amp; Education Centre</v>
      </c>
      <c r="D752" t="str">
        <f>Procurement_Raw!D752</f>
        <v>Wales</v>
      </c>
      <c r="E752" t="str">
        <f>Procurement_Raw!E752</f>
        <v>OfficePlus</v>
      </c>
      <c r="F752" t="str">
        <f>Procurement_Raw!F752</f>
        <v>Office &amp; Training</v>
      </c>
      <c r="G752" t="str">
        <f>Procurement_Raw!G752</f>
        <v>INV-2025-00751</v>
      </c>
      <c r="H752" s="6">
        <f>Procurement_Raw!H752</f>
        <v>34</v>
      </c>
      <c r="I752" s="7">
        <f>Procurement_Raw!I752</f>
        <v>45.14</v>
      </c>
      <c r="J752" s="7">
        <f>Procurement_Raw!J752</f>
        <v>1534.67</v>
      </c>
      <c r="K752" s="6">
        <f>Procurement_Raw!K752</f>
        <v>45</v>
      </c>
      <c r="L752" t="str">
        <f>Procurement_Raw!L752</f>
        <v>ERP</v>
      </c>
      <c r="M752" s="8">
        <f>Procurement_Raw!M752</f>
        <v>306.93400000000003</v>
      </c>
      <c r="N752" s="7">
        <f>Procurement_Raw!N752</f>
        <v>1534.67</v>
      </c>
      <c r="O752" s="7">
        <f t="shared" si="22"/>
        <v>1534.67</v>
      </c>
      <c r="P752" t="str">
        <f>IFERROR(INDEX(Supplier_Lookup!$B$2:$B$200,MATCH(E752,Supplier_Lookup!$A$2:$A$200,0)),"Unmapped")</f>
        <v>Office &amp; Training</v>
      </c>
      <c r="Q752" s="10">
        <f>IFERROR(INDEX(Category_Targets!$B$2:$B$9,MATCH(F752,Category_Targets!$A$2:$A$9,0)),0)</f>
        <v>0.04</v>
      </c>
      <c r="R752" s="7">
        <f t="shared" si="23"/>
        <v>61.386800000000001</v>
      </c>
    </row>
    <row r="753" spans="1:18" x14ac:dyDescent="0.25">
      <c r="A753" s="5">
        <f>Procurement_Raw!A753</f>
        <v>45842</v>
      </c>
      <c r="B753" t="str">
        <f>Procurement_Raw!B753</f>
        <v>S010</v>
      </c>
      <c r="C753" t="str">
        <f>Procurement_Raw!C753</f>
        <v>Coventry Care &amp; Education Centre</v>
      </c>
      <c r="D753" t="str">
        <f>Procurement_Raw!D753</f>
        <v>Midlands</v>
      </c>
      <c r="E753" t="str">
        <f>Procurement_Raw!E753</f>
        <v>PowerDirect</v>
      </c>
      <c r="F753" t="str">
        <f>Procurement_Raw!F753</f>
        <v>Utilities</v>
      </c>
      <c r="G753" t="str">
        <f>Procurement_Raw!G753</f>
        <v>INV-2025-00752</v>
      </c>
      <c r="H753" s="6">
        <f>Procurement_Raw!H753</f>
        <v>50</v>
      </c>
      <c r="I753" s="7">
        <f>Procurement_Raw!I753</f>
        <v>118.87</v>
      </c>
      <c r="J753" s="7">
        <f>Procurement_Raw!J753</f>
        <v>5943.52</v>
      </c>
      <c r="K753" s="6">
        <f>Procurement_Raw!K753</f>
        <v>45</v>
      </c>
      <c r="L753" t="str">
        <f>Procurement_Raw!L753</f>
        <v>Procurement Portal</v>
      </c>
      <c r="M753" s="8">
        <f>Procurement_Raw!M753</f>
        <v>1188.704</v>
      </c>
      <c r="N753" s="7">
        <f>Procurement_Raw!N753</f>
        <v>5943.52</v>
      </c>
      <c r="O753" s="7">
        <f t="shared" si="22"/>
        <v>5943.52</v>
      </c>
      <c r="P753" t="str">
        <f>IFERROR(INDEX(Supplier_Lookup!$B$2:$B$200,MATCH(E753,Supplier_Lookup!$A$2:$A$200,0)),"Unmapped")</f>
        <v>Utilities</v>
      </c>
      <c r="Q753" s="10">
        <f>IFERROR(INDEX(Category_Targets!$B$2:$B$9,MATCH(F753,Category_Targets!$A$2:$A$9,0)),0)</f>
        <v>0.03</v>
      </c>
      <c r="R753" s="7">
        <f t="shared" si="23"/>
        <v>178.3056</v>
      </c>
    </row>
    <row r="754" spans="1:18" x14ac:dyDescent="0.25">
      <c r="A754" s="5">
        <f>Procurement_Raw!A754</f>
        <v>45823</v>
      </c>
      <c r="B754" t="str">
        <f>Procurement_Raw!B754</f>
        <v>S008</v>
      </c>
      <c r="C754" t="str">
        <f>Procurement_Raw!C754</f>
        <v>Leicester Care &amp; Education Centre</v>
      </c>
      <c r="D754" t="str">
        <f>Procurement_Raw!D754</f>
        <v>Midlands</v>
      </c>
      <c r="E754" t="str">
        <f>Procurement_Raw!E754</f>
        <v>ClinEquip</v>
      </c>
      <c r="F754" t="str">
        <f>Procurement_Raw!F754</f>
        <v>Medical Supplies</v>
      </c>
      <c r="G754" t="str">
        <f>Procurement_Raw!G754</f>
        <v>INV-2025-00753</v>
      </c>
      <c r="H754" s="6">
        <f>Procurement_Raw!H754</f>
        <v>14</v>
      </c>
      <c r="I754" s="7">
        <f>Procurement_Raw!I754</f>
        <v>70.16</v>
      </c>
      <c r="J754" s="7">
        <f>Procurement_Raw!J754</f>
        <v>982.22</v>
      </c>
      <c r="K754" s="6">
        <f>Procurement_Raw!K754</f>
        <v>60</v>
      </c>
      <c r="L754" t="str">
        <f>Procurement_Raw!L754</f>
        <v>Legacy Spend File</v>
      </c>
      <c r="M754" s="8">
        <f>Procurement_Raw!M754</f>
        <v>196.44399999999999</v>
      </c>
      <c r="N754" s="7">
        <f>Procurement_Raw!N754</f>
        <v>982.22</v>
      </c>
      <c r="O754" s="7">
        <f t="shared" si="22"/>
        <v>982.22</v>
      </c>
      <c r="P754" t="str">
        <f>IFERROR(INDEX(Supplier_Lookup!$B$2:$B$200,MATCH(E754,Supplier_Lookup!$A$2:$A$200,0)),"Unmapped")</f>
        <v>Medical Supplies</v>
      </c>
      <c r="Q754" s="10">
        <f>IFERROR(INDEX(Category_Targets!$B$2:$B$9,MATCH(F754,Category_Targets!$A$2:$A$9,0)),0)</f>
        <v>0.06</v>
      </c>
      <c r="R754" s="7">
        <f t="shared" si="23"/>
        <v>58.933199999999999</v>
      </c>
    </row>
    <row r="755" spans="1:18" x14ac:dyDescent="0.25">
      <c r="A755" s="5">
        <f>Procurement_Raw!A755</f>
        <v>45792</v>
      </c>
      <c r="B755" t="str">
        <f>Procurement_Raw!B755</f>
        <v>S006</v>
      </c>
      <c r="C755" t="str">
        <f>Procurement_Raw!C755</f>
        <v>Birmingham Care &amp; Education Centre</v>
      </c>
      <c r="D755" t="str">
        <f>Procurement_Raw!D755</f>
        <v>Midlands</v>
      </c>
      <c r="E755" t="str">
        <f>Procurement_Raw!E755</f>
        <v>NetServe</v>
      </c>
      <c r="F755" t="str">
        <f>Procurement_Raw!F755</f>
        <v>IT &amp; Telecoms</v>
      </c>
      <c r="G755" t="str">
        <f>Procurement_Raw!G755</f>
        <v>INV-2025-00754</v>
      </c>
      <c r="H755" s="6">
        <f>Procurement_Raw!H755</f>
        <v>75</v>
      </c>
      <c r="I755" s="7">
        <f>Procurement_Raw!I755</f>
        <v>392.73</v>
      </c>
      <c r="J755" s="7">
        <f>Procurement_Raw!J755</f>
        <v>29454.99</v>
      </c>
      <c r="K755" s="6">
        <f>Procurement_Raw!K755</f>
        <v>60</v>
      </c>
      <c r="L755" t="str">
        <f>Procurement_Raw!L755</f>
        <v>Legacy Spend File</v>
      </c>
      <c r="M755" s="8">
        <f>Procurement_Raw!M755</f>
        <v>5890.9979999999996</v>
      </c>
      <c r="N755" s="7">
        <f>Procurement_Raw!N755</f>
        <v>29454.99</v>
      </c>
      <c r="O755" s="7">
        <f t="shared" si="22"/>
        <v>29454.99</v>
      </c>
      <c r="P755" t="str">
        <f>IFERROR(INDEX(Supplier_Lookup!$B$2:$B$200,MATCH(E755,Supplier_Lookup!$A$2:$A$200,0)),"Unmapped")</f>
        <v>IT &amp; Telecoms</v>
      </c>
      <c r="Q755" s="10">
        <f>IFERROR(INDEX(Category_Targets!$B$2:$B$9,MATCH(F755,Category_Targets!$A$2:$A$9,0)),0)</f>
        <v>0.08</v>
      </c>
      <c r="R755" s="7">
        <f t="shared" si="23"/>
        <v>2356.3992000000003</v>
      </c>
    </row>
    <row r="756" spans="1:18" x14ac:dyDescent="0.25">
      <c r="A756" s="5">
        <f>Procurement_Raw!A756</f>
        <v>45851</v>
      </c>
      <c r="B756" t="str">
        <f>Procurement_Raw!B756</f>
        <v>S017</v>
      </c>
      <c r="C756" t="str">
        <f>Procurement_Raw!C756</f>
        <v>Swansea Care &amp; Education Centre</v>
      </c>
      <c r="D756" t="str">
        <f>Procurement_Raw!D756</f>
        <v>Wales</v>
      </c>
      <c r="E756" t="str">
        <f>Procurement_Raw!E756</f>
        <v>NurseLink</v>
      </c>
      <c r="F756" t="str">
        <f>Procurement_Raw!F756</f>
        <v>Agency Labour</v>
      </c>
      <c r="G756" t="str">
        <f>Procurement_Raw!G756</f>
        <v>INV-2025-00755</v>
      </c>
      <c r="H756" s="6">
        <f>Procurement_Raw!H756</f>
        <v>47</v>
      </c>
      <c r="I756" s="7">
        <f>Procurement_Raw!I756</f>
        <v>177.97</v>
      </c>
      <c r="J756" s="7">
        <f>Procurement_Raw!J756</f>
        <v>8364.57</v>
      </c>
      <c r="K756" s="6">
        <f>Procurement_Raw!K756</f>
        <v>60</v>
      </c>
      <c r="L756" t="str">
        <f>Procurement_Raw!L756</f>
        <v>Legacy Spend File</v>
      </c>
      <c r="M756" s="8">
        <f>Procurement_Raw!M756</f>
        <v>1672.914</v>
      </c>
      <c r="N756" s="7">
        <f>Procurement_Raw!N756</f>
        <v>8364.57</v>
      </c>
      <c r="O756" s="7">
        <f t="shared" si="22"/>
        <v>8364.57</v>
      </c>
      <c r="P756" t="str">
        <f>IFERROR(INDEX(Supplier_Lookup!$B$2:$B$200,MATCH(E756,Supplier_Lookup!$A$2:$A$200,0)),"Unmapped")</f>
        <v>Agency Labour</v>
      </c>
      <c r="Q756" s="10">
        <f>IFERROR(INDEX(Category_Targets!$B$2:$B$9,MATCH(F756,Category_Targets!$A$2:$A$9,0)),0)</f>
        <v>7.0000000000000007E-2</v>
      </c>
      <c r="R756" s="7">
        <f t="shared" si="23"/>
        <v>585.51990000000001</v>
      </c>
    </row>
    <row r="757" spans="1:18" x14ac:dyDescent="0.25">
      <c r="A757" s="5">
        <f>Procurement_Raw!A757</f>
        <v>45772</v>
      </c>
      <c r="B757" t="str">
        <f>Procurement_Raw!B757</f>
        <v>S012</v>
      </c>
      <c r="C757" t="str">
        <f>Procurement_Raw!C757</f>
        <v>Bristol Care &amp; Education Centre</v>
      </c>
      <c r="D757" t="str">
        <f>Procurement_Raw!D757</f>
        <v>South</v>
      </c>
      <c r="E757" t="str">
        <f>Procurement_Raw!E757</f>
        <v>TeleCare IT</v>
      </c>
      <c r="F757" t="str">
        <f>Procurement_Raw!F757</f>
        <v>IT &amp; Telecoms</v>
      </c>
      <c r="G757" t="str">
        <f>Procurement_Raw!G757</f>
        <v>INV-2025-00756</v>
      </c>
      <c r="H757" s="6">
        <f>Procurement_Raw!H757</f>
        <v>67</v>
      </c>
      <c r="I757" s="7">
        <f>Procurement_Raw!I757</f>
        <v>935.83</v>
      </c>
      <c r="J757" s="7">
        <f>Procurement_Raw!J757</f>
        <v>62700.85</v>
      </c>
      <c r="K757" s="6">
        <f>Procurement_Raw!K757</f>
        <v>45</v>
      </c>
      <c r="L757" t="str">
        <f>Procurement_Raw!L757</f>
        <v>Procurement Portal</v>
      </c>
      <c r="M757" s="8">
        <f>Procurement_Raw!M757</f>
        <v>12540.17</v>
      </c>
      <c r="N757" s="7">
        <f>Procurement_Raw!N757</f>
        <v>62700.85</v>
      </c>
      <c r="O757" s="7">
        <f t="shared" si="22"/>
        <v>62700.85</v>
      </c>
      <c r="P757" t="str">
        <f>IFERROR(INDEX(Supplier_Lookup!$B$2:$B$200,MATCH(E757,Supplier_Lookup!$A$2:$A$200,0)),"Unmapped")</f>
        <v>IT &amp; Telecoms</v>
      </c>
      <c r="Q757" s="10">
        <f>IFERROR(INDEX(Category_Targets!$B$2:$B$9,MATCH(F757,Category_Targets!$A$2:$A$9,0)),0)</f>
        <v>0.08</v>
      </c>
      <c r="R757" s="7">
        <f t="shared" si="23"/>
        <v>5016.0680000000002</v>
      </c>
    </row>
    <row r="758" spans="1:18" x14ac:dyDescent="0.25">
      <c r="A758" s="5">
        <f>Procurement_Raw!A758</f>
        <v>45967</v>
      </c>
      <c r="B758" t="str">
        <f>Procurement_Raw!B758</f>
        <v>S011</v>
      </c>
      <c r="C758" t="str">
        <f>Procurement_Raw!C758</f>
        <v>London Care &amp; Education Centre</v>
      </c>
      <c r="D758" t="str">
        <f>Procurement_Raw!D758</f>
        <v>South</v>
      </c>
      <c r="E758" t="str">
        <f>Procurement_Raw!E758</f>
        <v>LearnWell</v>
      </c>
      <c r="F758" t="str">
        <f>Procurement_Raw!F758</f>
        <v>Office &amp; Training</v>
      </c>
      <c r="G758" t="str">
        <f>Procurement_Raw!G758</f>
        <v>INV-2025-00757</v>
      </c>
      <c r="H758" s="6">
        <f>Procurement_Raw!H758</f>
        <v>1</v>
      </c>
      <c r="I758" s="7">
        <f>Procurement_Raw!I758</f>
        <v>98.38</v>
      </c>
      <c r="J758" s="7">
        <f>Procurement_Raw!J758</f>
        <v>98.38</v>
      </c>
      <c r="K758" s="6">
        <f>Procurement_Raw!K758</f>
        <v>60</v>
      </c>
      <c r="L758" t="str">
        <f>Procurement_Raw!L758</f>
        <v>ERP</v>
      </c>
      <c r="M758" s="8">
        <f>Procurement_Raw!M758</f>
        <v>19.675999999999998</v>
      </c>
      <c r="N758" s="7">
        <f>Procurement_Raw!N758</f>
        <v>98.38</v>
      </c>
      <c r="O758" s="7">
        <f t="shared" si="22"/>
        <v>98.38</v>
      </c>
      <c r="P758" t="str">
        <f>IFERROR(INDEX(Supplier_Lookup!$B$2:$B$200,MATCH(E758,Supplier_Lookup!$A$2:$A$200,0)),"Unmapped")</f>
        <v>Office &amp; Training</v>
      </c>
      <c r="Q758" s="10">
        <f>IFERROR(INDEX(Category_Targets!$B$2:$B$9,MATCH(F758,Category_Targets!$A$2:$A$9,0)),0)</f>
        <v>0.04</v>
      </c>
      <c r="R758" s="7">
        <f t="shared" si="23"/>
        <v>3.9352</v>
      </c>
    </row>
    <row r="759" spans="1:18" x14ac:dyDescent="0.25">
      <c r="A759" s="5">
        <f>Procurement_Raw!A759</f>
        <v>45697</v>
      </c>
      <c r="B759" t="str">
        <f>Procurement_Raw!B759</f>
        <v>S010</v>
      </c>
      <c r="C759" t="str">
        <f>Procurement_Raw!C759</f>
        <v>Coventry Care &amp; Education Centre</v>
      </c>
      <c r="D759" t="str">
        <f>Procurement_Raw!D759</f>
        <v>Midlands</v>
      </c>
      <c r="E759" t="str">
        <f>Procurement_Raw!E759</f>
        <v>CleanWorks</v>
      </c>
      <c r="F759" t="str">
        <f>Procurement_Raw!F759</f>
        <v>Facilities</v>
      </c>
      <c r="G759" t="str">
        <f>Procurement_Raw!G759</f>
        <v>INV-2025-00758</v>
      </c>
      <c r="H759" s="6">
        <f>Procurement_Raw!H759</f>
        <v>66</v>
      </c>
      <c r="I759" s="7">
        <f>Procurement_Raw!I759</f>
        <v>199.26</v>
      </c>
      <c r="J759" s="7">
        <f>Procurement_Raw!J759</f>
        <v>13151.24</v>
      </c>
      <c r="K759" s="6">
        <f>Procurement_Raw!K759</f>
        <v>60</v>
      </c>
      <c r="L759" t="str">
        <f>Procurement_Raw!L759</f>
        <v>Procurement Portal</v>
      </c>
      <c r="M759" s="8">
        <f>Procurement_Raw!M759</f>
        <v>2630.248</v>
      </c>
      <c r="N759" s="7">
        <f>Procurement_Raw!N759</f>
        <v>13151.24</v>
      </c>
      <c r="O759" s="7">
        <f t="shared" si="22"/>
        <v>13151.24</v>
      </c>
      <c r="P759" t="str">
        <f>IFERROR(INDEX(Supplier_Lookup!$B$2:$B$200,MATCH(E759,Supplier_Lookup!$A$2:$A$200,0)),"Unmapped")</f>
        <v>Facilities</v>
      </c>
      <c r="Q759" s="10">
        <f>IFERROR(INDEX(Category_Targets!$B$2:$B$9,MATCH(F759,Category_Targets!$A$2:$A$9,0)),0)</f>
        <v>0.05</v>
      </c>
      <c r="R759" s="7">
        <f t="shared" si="23"/>
        <v>657.56200000000001</v>
      </c>
    </row>
    <row r="760" spans="1:18" x14ac:dyDescent="0.25">
      <c r="A760" s="5">
        <f>Procurement_Raw!A760</f>
        <v>45738</v>
      </c>
      <c r="B760" t="str">
        <f>Procurement_Raw!B760</f>
        <v>S007</v>
      </c>
      <c r="C760" t="str">
        <f>Procurement_Raw!C760</f>
        <v>Nottingham Care &amp; Education Centre</v>
      </c>
      <c r="D760" t="str">
        <f>Procurement_Raw!D760</f>
        <v>Midlands</v>
      </c>
      <c r="E760" t="str">
        <f>Procurement_Raw!E760</f>
        <v>CleanWorks</v>
      </c>
      <c r="F760" t="str">
        <f>Procurement_Raw!F760</f>
        <v>Facilities</v>
      </c>
      <c r="G760" t="str">
        <f>Procurement_Raw!G760</f>
        <v>INV-2025-00759</v>
      </c>
      <c r="H760" s="6">
        <f>Procurement_Raw!H760</f>
        <v>47</v>
      </c>
      <c r="I760" s="7">
        <f>Procurement_Raw!I760</f>
        <v>112.26</v>
      </c>
      <c r="J760" s="7">
        <f>Procurement_Raw!J760</f>
        <v>5276.44</v>
      </c>
      <c r="K760" s="6">
        <f>Procurement_Raw!K760</f>
        <v>60</v>
      </c>
      <c r="L760" t="str">
        <f>Procurement_Raw!L760</f>
        <v>Legacy Spend File</v>
      </c>
      <c r="M760" s="8">
        <f>Procurement_Raw!M760</f>
        <v>1055.288</v>
      </c>
      <c r="N760" s="7">
        <f>Procurement_Raw!N760</f>
        <v>5276.44</v>
      </c>
      <c r="O760" s="7">
        <f t="shared" si="22"/>
        <v>5276.44</v>
      </c>
      <c r="P760" t="str">
        <f>IFERROR(INDEX(Supplier_Lookup!$B$2:$B$200,MATCH(E760,Supplier_Lookup!$A$2:$A$200,0)),"Unmapped")</f>
        <v>Facilities</v>
      </c>
      <c r="Q760" s="10">
        <f>IFERROR(INDEX(Category_Targets!$B$2:$B$9,MATCH(F760,Category_Targets!$A$2:$A$9,0)),0)</f>
        <v>0.05</v>
      </c>
      <c r="R760" s="7">
        <f t="shared" si="23"/>
        <v>263.822</v>
      </c>
    </row>
    <row r="761" spans="1:18" x14ac:dyDescent="0.25">
      <c r="A761" s="5">
        <f>Procurement_Raw!A761</f>
        <v>45827</v>
      </c>
      <c r="B761" t="str">
        <f>Procurement_Raw!B761</f>
        <v>S014</v>
      </c>
      <c r="C761" t="str">
        <f>Procurement_Raw!C761</f>
        <v>Southampton Care &amp; Education Centre</v>
      </c>
      <c r="D761" t="str">
        <f>Procurement_Raw!D761</f>
        <v>South</v>
      </c>
      <c r="E761" t="str">
        <f>Procurement_Raw!E761</f>
        <v>WaterGrid</v>
      </c>
      <c r="F761" t="str">
        <f>Procurement_Raw!F761</f>
        <v>Utilities</v>
      </c>
      <c r="G761" t="str">
        <f>Procurement_Raw!G761</f>
        <v>INV-2025-00760</v>
      </c>
      <c r="H761" s="6">
        <f>Procurement_Raw!H761</f>
        <v>15</v>
      </c>
      <c r="I761" s="7">
        <f>Procurement_Raw!I761</f>
        <v>367.47</v>
      </c>
      <c r="J761" s="7">
        <f>Procurement_Raw!J761</f>
        <v>5511.99</v>
      </c>
      <c r="K761" s="6">
        <f>Procurement_Raw!K761</f>
        <v>45</v>
      </c>
      <c r="L761" t="str">
        <f>Procurement_Raw!L761</f>
        <v>Legacy Spend File</v>
      </c>
      <c r="M761" s="8">
        <f>Procurement_Raw!M761</f>
        <v>1102.3979999999999</v>
      </c>
      <c r="N761" s="7">
        <f>Procurement_Raw!N761</f>
        <v>5511.99</v>
      </c>
      <c r="O761" s="7">
        <f t="shared" si="22"/>
        <v>5511.99</v>
      </c>
      <c r="P761" t="str">
        <f>IFERROR(INDEX(Supplier_Lookup!$B$2:$B$200,MATCH(E761,Supplier_Lookup!$A$2:$A$200,0)),"Unmapped")</f>
        <v>Utilities</v>
      </c>
      <c r="Q761" s="10">
        <f>IFERROR(INDEX(Category_Targets!$B$2:$B$9,MATCH(F761,Category_Targets!$A$2:$A$9,0)),0)</f>
        <v>0.03</v>
      </c>
      <c r="R761" s="7">
        <f t="shared" si="23"/>
        <v>165.35969999999998</v>
      </c>
    </row>
    <row r="762" spans="1:18" x14ac:dyDescent="0.25">
      <c r="A762" s="5">
        <f>Procurement_Raw!A762</f>
        <v>45960</v>
      </c>
      <c r="B762" t="str">
        <f>Procurement_Raw!B762</f>
        <v>S004</v>
      </c>
      <c r="C762" t="str">
        <f>Procurement_Raw!C762</f>
        <v>Newcastle Care &amp; Education Centre</v>
      </c>
      <c r="D762" t="str">
        <f>Procurement_Raw!D762</f>
        <v>North</v>
      </c>
      <c r="E762" t="str">
        <f>Procurement_Raw!E762</f>
        <v>OfficePlus</v>
      </c>
      <c r="F762" t="str">
        <f>Procurement_Raw!F762</f>
        <v>Office &amp; Training</v>
      </c>
      <c r="G762" t="str">
        <f>Procurement_Raw!G762</f>
        <v>INV-2025-00761</v>
      </c>
      <c r="H762" s="6">
        <f>Procurement_Raw!H762</f>
        <v>21</v>
      </c>
      <c r="I762" s="7">
        <f>Procurement_Raw!I762</f>
        <v>54.65</v>
      </c>
      <c r="J762" s="7">
        <f>Procurement_Raw!J762</f>
        <v>1147.58</v>
      </c>
      <c r="K762" s="6">
        <f>Procurement_Raw!K762</f>
        <v>60</v>
      </c>
      <c r="L762" t="str">
        <f>Procurement_Raw!L762</f>
        <v>Procurement Portal</v>
      </c>
      <c r="M762" s="8">
        <f>Procurement_Raw!M762</f>
        <v>229.51599999999999</v>
      </c>
      <c r="N762" s="7">
        <f>Procurement_Raw!N762</f>
        <v>1147.58</v>
      </c>
      <c r="O762" s="7">
        <f t="shared" si="22"/>
        <v>1147.58</v>
      </c>
      <c r="P762" t="str">
        <f>IFERROR(INDEX(Supplier_Lookup!$B$2:$B$200,MATCH(E762,Supplier_Lookup!$A$2:$A$200,0)),"Unmapped")</f>
        <v>Office &amp; Training</v>
      </c>
      <c r="Q762" s="10">
        <f>IFERROR(INDEX(Category_Targets!$B$2:$B$9,MATCH(F762,Category_Targets!$A$2:$A$9,0)),0)</f>
        <v>0.04</v>
      </c>
      <c r="R762" s="7">
        <f t="shared" si="23"/>
        <v>45.903199999999998</v>
      </c>
    </row>
    <row r="763" spans="1:18" x14ac:dyDescent="0.25">
      <c r="A763" s="5">
        <f>Procurement_Raw!A763</f>
        <v>45723</v>
      </c>
      <c r="B763" t="str">
        <f>Procurement_Raw!B763</f>
        <v>S013</v>
      </c>
      <c r="C763" t="str">
        <f>Procurement_Raw!C763</f>
        <v>Reading Care &amp; Education Centre</v>
      </c>
      <c r="D763" t="str">
        <f>Procurement_Raw!D763</f>
        <v>South</v>
      </c>
      <c r="E763" t="str">
        <f>Procurement_Raw!E763</f>
        <v>UK Energy Partners</v>
      </c>
      <c r="F763" t="str">
        <f>Procurement_Raw!F763</f>
        <v>Utilities</v>
      </c>
      <c r="G763" t="str">
        <f>Procurement_Raw!G763</f>
        <v>INV-2025-00762</v>
      </c>
      <c r="H763" s="6">
        <f>Procurement_Raw!H763</f>
        <v>74</v>
      </c>
      <c r="I763" s="7">
        <f>Procurement_Raw!I763</f>
        <v>267.35000000000002</v>
      </c>
      <c r="J763" s="7">
        <f>Procurement_Raw!J763</f>
        <v>19784.05</v>
      </c>
      <c r="K763" s="6">
        <f>Procurement_Raw!K763</f>
        <v>60</v>
      </c>
      <c r="L763" t="str">
        <f>Procurement_Raw!L763</f>
        <v>ERP</v>
      </c>
      <c r="M763" s="8">
        <f>Procurement_Raw!M763</f>
        <v>3956.81</v>
      </c>
      <c r="N763" s="7">
        <f>Procurement_Raw!N763</f>
        <v>19784.05</v>
      </c>
      <c r="O763" s="7">
        <f t="shared" si="22"/>
        <v>19784.05</v>
      </c>
      <c r="P763" t="str">
        <f>IFERROR(INDEX(Supplier_Lookup!$B$2:$B$200,MATCH(E763,Supplier_Lookup!$A$2:$A$200,0)),"Unmapped")</f>
        <v>Utilities</v>
      </c>
      <c r="Q763" s="10">
        <f>IFERROR(INDEX(Category_Targets!$B$2:$B$9,MATCH(F763,Category_Targets!$A$2:$A$9,0)),0)</f>
        <v>0.03</v>
      </c>
      <c r="R763" s="7">
        <f t="shared" si="23"/>
        <v>593.52149999999995</v>
      </c>
    </row>
    <row r="764" spans="1:18" x14ac:dyDescent="0.25">
      <c r="A764" s="5">
        <f>Procurement_Raw!A764</f>
        <v>45733</v>
      </c>
      <c r="B764" t="str">
        <f>Procurement_Raw!B764</f>
        <v>S019</v>
      </c>
      <c r="C764" t="str">
        <f>Procurement_Raw!C764</f>
        <v>Wrexham Care &amp; Education Centre</v>
      </c>
      <c r="D764" t="str">
        <f>Procurement_Raw!D764</f>
        <v>Wales</v>
      </c>
      <c r="E764" t="str">
        <f>Procurement_Raw!E764</f>
        <v>ClinEquip</v>
      </c>
      <c r="F764" t="str">
        <f>Procurement_Raw!F764</f>
        <v>Medical Supplies</v>
      </c>
      <c r="G764" t="str">
        <f>Procurement_Raw!G764</f>
        <v>INV-2025-00763</v>
      </c>
      <c r="H764" s="6">
        <f>Procurement_Raw!H764</f>
        <v>8</v>
      </c>
      <c r="I764" s="7">
        <f>Procurement_Raw!I764</f>
        <v>490.56</v>
      </c>
      <c r="J764" s="7">
        <f>Procurement_Raw!J764</f>
        <v>3924.44</v>
      </c>
      <c r="K764" s="6">
        <f>Procurement_Raw!K764</f>
        <v>30</v>
      </c>
      <c r="L764" t="str">
        <f>Procurement_Raw!L764</f>
        <v>Procurement Portal</v>
      </c>
      <c r="M764" s="8">
        <f>Procurement_Raw!M764</f>
        <v>784.88800000000003</v>
      </c>
      <c r="N764" s="7">
        <f>Procurement_Raw!N764</f>
        <v>3924.44</v>
      </c>
      <c r="O764" s="7">
        <f t="shared" si="22"/>
        <v>3924.44</v>
      </c>
      <c r="P764" t="str">
        <f>IFERROR(INDEX(Supplier_Lookup!$B$2:$B$200,MATCH(E764,Supplier_Lookup!$A$2:$A$200,0)),"Unmapped")</f>
        <v>Medical Supplies</v>
      </c>
      <c r="Q764" s="10">
        <f>IFERROR(INDEX(Category_Targets!$B$2:$B$9,MATCH(F764,Category_Targets!$A$2:$A$9,0)),0)</f>
        <v>0.06</v>
      </c>
      <c r="R764" s="7">
        <f t="shared" si="23"/>
        <v>235.46639999999999</v>
      </c>
    </row>
    <row r="765" spans="1:18" x14ac:dyDescent="0.25">
      <c r="A765" s="5">
        <f>Procurement_Raw!A765</f>
        <v>45946</v>
      </c>
      <c r="B765" t="str">
        <f>Procurement_Raw!B765</f>
        <v>S004</v>
      </c>
      <c r="C765" t="str">
        <f>Procurement_Raw!C765</f>
        <v>Newcastle Care &amp; Education Centre</v>
      </c>
      <c r="D765" t="str">
        <f>Procurement_Raw!D765</f>
        <v>North</v>
      </c>
      <c r="E765" t="str">
        <f>Procurement_Raw!E765</f>
        <v>NurseLink</v>
      </c>
      <c r="F765" t="str">
        <f>Procurement_Raw!F765</f>
        <v>Agency Labour</v>
      </c>
      <c r="G765" t="str">
        <f>Procurement_Raw!G765</f>
        <v>INV-2025-00764</v>
      </c>
      <c r="H765" s="6">
        <f>Procurement_Raw!H765</f>
        <v>3</v>
      </c>
      <c r="I765" s="7">
        <f>Procurement_Raw!I765</f>
        <v>284.56</v>
      </c>
      <c r="J765" s="7">
        <f>Procurement_Raw!J765</f>
        <v>853.68</v>
      </c>
      <c r="K765" s="6">
        <f>Procurement_Raw!K765</f>
        <v>60</v>
      </c>
      <c r="L765" t="str">
        <f>Procurement_Raw!L765</f>
        <v>Legacy Spend File</v>
      </c>
      <c r="M765" s="8">
        <f>Procurement_Raw!M765</f>
        <v>170.73599999999999</v>
      </c>
      <c r="N765" s="7">
        <f>Procurement_Raw!N765</f>
        <v>853.68</v>
      </c>
      <c r="O765" s="7">
        <f t="shared" si="22"/>
        <v>853.68</v>
      </c>
      <c r="P765" t="str">
        <f>IFERROR(INDEX(Supplier_Lookup!$B$2:$B$200,MATCH(E765,Supplier_Lookup!$A$2:$A$200,0)),"Unmapped")</f>
        <v>Agency Labour</v>
      </c>
      <c r="Q765" s="10">
        <f>IFERROR(INDEX(Category_Targets!$B$2:$B$9,MATCH(F765,Category_Targets!$A$2:$A$9,0)),0)</f>
        <v>7.0000000000000007E-2</v>
      </c>
      <c r="R765" s="7">
        <f t="shared" si="23"/>
        <v>59.757600000000004</v>
      </c>
    </row>
    <row r="766" spans="1:18" x14ac:dyDescent="0.25">
      <c r="A766" s="5">
        <f>Procurement_Raw!A766</f>
        <v>45768</v>
      </c>
      <c r="B766" t="str">
        <f>Procurement_Raw!B766</f>
        <v>S007</v>
      </c>
      <c r="C766" t="str">
        <f>Procurement_Raw!C766</f>
        <v>Nottingham Care &amp; Education Centre</v>
      </c>
      <c r="D766" t="str">
        <f>Procurement_Raw!D766</f>
        <v>Midlands</v>
      </c>
      <c r="E766" t="str">
        <f>Procurement_Raw!E766</f>
        <v>CloudLink</v>
      </c>
      <c r="F766" t="str">
        <f>Procurement_Raw!F766</f>
        <v>IT &amp; Telecoms</v>
      </c>
      <c r="G766" t="str">
        <f>Procurement_Raw!G766</f>
        <v>INV-2025-00765</v>
      </c>
      <c r="H766" s="6">
        <f>Procurement_Raw!H766</f>
        <v>58</v>
      </c>
      <c r="I766" s="7">
        <f>Procurement_Raw!I766</f>
        <v>413.94</v>
      </c>
      <c r="J766" s="7">
        <f>Procurement_Raw!J766</f>
        <v>24008.68</v>
      </c>
      <c r="K766" s="6">
        <f>Procurement_Raw!K766</f>
        <v>60</v>
      </c>
      <c r="L766" t="str">
        <f>Procurement_Raw!L766</f>
        <v>Procurement Portal</v>
      </c>
      <c r="M766" s="8">
        <f>Procurement_Raw!M766</f>
        <v>4801.7359999999999</v>
      </c>
      <c r="N766" s="7">
        <f>Procurement_Raw!N766</f>
        <v>24008.68</v>
      </c>
      <c r="O766" s="7">
        <f t="shared" si="22"/>
        <v>24008.68</v>
      </c>
      <c r="P766" t="str">
        <f>IFERROR(INDEX(Supplier_Lookup!$B$2:$B$200,MATCH(E766,Supplier_Lookup!$A$2:$A$200,0)),"Unmapped")</f>
        <v>medical supplies</v>
      </c>
      <c r="Q766" s="10">
        <f>IFERROR(INDEX(Category_Targets!$B$2:$B$9,MATCH(F766,Category_Targets!$A$2:$A$9,0)),0)</f>
        <v>0.08</v>
      </c>
      <c r="R766" s="7">
        <f t="shared" si="23"/>
        <v>1920.6944000000001</v>
      </c>
    </row>
    <row r="767" spans="1:18" x14ac:dyDescent="0.25">
      <c r="A767" s="5">
        <f>Procurement_Raw!A767</f>
        <v>45868</v>
      </c>
      <c r="B767" t="str">
        <f>Procurement_Raw!B767</f>
        <v>S013</v>
      </c>
      <c r="C767" t="str">
        <f>Procurement_Raw!C767</f>
        <v>Reading Care &amp; Education Centre</v>
      </c>
      <c r="D767" t="str">
        <f>Procurement_Raw!D767</f>
        <v>South</v>
      </c>
      <c r="E767" t="str">
        <f>Procurement_Raw!E767</f>
        <v>CleanWorks</v>
      </c>
      <c r="F767" t="str">
        <f>Procurement_Raw!F767</f>
        <v>Facilities</v>
      </c>
      <c r="G767" t="str">
        <f>Procurement_Raw!G767</f>
        <v>INV-2025-00766</v>
      </c>
      <c r="H767" s="6">
        <f>Procurement_Raw!H767</f>
        <v>77</v>
      </c>
      <c r="I767" s="7">
        <f>Procurement_Raw!I767</f>
        <v>122.27</v>
      </c>
      <c r="J767" s="7">
        <f>Procurement_Raw!J767</f>
        <v>9414.58</v>
      </c>
      <c r="K767" s="6">
        <f>Procurement_Raw!K767</f>
        <v>30</v>
      </c>
      <c r="L767" t="str">
        <f>Procurement_Raw!L767</f>
        <v>Legacy Spend File</v>
      </c>
      <c r="M767" s="8">
        <f>Procurement_Raw!M767</f>
        <v>1882.9159999999999</v>
      </c>
      <c r="N767" s="7">
        <f>Procurement_Raw!N767</f>
        <v>9414.58</v>
      </c>
      <c r="O767" s="7">
        <f t="shared" si="22"/>
        <v>9414.58</v>
      </c>
      <c r="P767" t="str">
        <f>IFERROR(INDEX(Supplier_Lookup!$B$2:$B$200,MATCH(E767,Supplier_Lookup!$A$2:$A$200,0)),"Unmapped")</f>
        <v>Facilities</v>
      </c>
      <c r="Q767" s="10">
        <f>IFERROR(INDEX(Category_Targets!$B$2:$B$9,MATCH(F767,Category_Targets!$A$2:$A$9,0)),0)</f>
        <v>0.05</v>
      </c>
      <c r="R767" s="7">
        <f t="shared" si="23"/>
        <v>470.72900000000004</v>
      </c>
    </row>
    <row r="768" spans="1:18" x14ac:dyDescent="0.25">
      <c r="A768" s="5">
        <f>Procurement_Raw!A768</f>
        <v>46009</v>
      </c>
      <c r="B768" t="str">
        <f>Procurement_Raw!B768</f>
        <v>S014</v>
      </c>
      <c r="C768" t="str">
        <f>Procurement_Raw!C768</f>
        <v>Southampton Care &amp; Education Centre</v>
      </c>
      <c r="D768" t="str">
        <f>Procurement_Raw!D768</f>
        <v>South</v>
      </c>
      <c r="E768" t="str">
        <f>Procurement_Raw!E768</f>
        <v>CloudLink</v>
      </c>
      <c r="F768" t="str">
        <f>Procurement_Raw!F768</f>
        <v>IT &amp; Telecoms</v>
      </c>
      <c r="G768" t="str">
        <f>Procurement_Raw!G768</f>
        <v>INV-2025-00767</v>
      </c>
      <c r="H768" s="6">
        <f>Procurement_Raw!H768</f>
        <v>44</v>
      </c>
      <c r="I768" s="7">
        <f>Procurement_Raw!I768</f>
        <v>215.81</v>
      </c>
      <c r="J768" s="7">
        <f>Procurement_Raw!J768</f>
        <v>9495.5</v>
      </c>
      <c r="K768" s="6">
        <f>Procurement_Raw!K768</f>
        <v>45</v>
      </c>
      <c r="L768" t="str">
        <f>Procurement_Raw!L768</f>
        <v>Legacy Spend File</v>
      </c>
      <c r="M768" s="8">
        <f>Procurement_Raw!M768</f>
        <v>1899.1</v>
      </c>
      <c r="N768" s="7">
        <f>Procurement_Raw!N768</f>
        <v>9495.5</v>
      </c>
      <c r="O768" s="7">
        <f t="shared" si="22"/>
        <v>9495.5</v>
      </c>
      <c r="P768" t="str">
        <f>IFERROR(INDEX(Supplier_Lookup!$B$2:$B$200,MATCH(E768,Supplier_Lookup!$A$2:$A$200,0)),"Unmapped")</f>
        <v>medical supplies</v>
      </c>
      <c r="Q768" s="10">
        <f>IFERROR(INDEX(Category_Targets!$B$2:$B$9,MATCH(F768,Category_Targets!$A$2:$A$9,0)),0)</f>
        <v>0.08</v>
      </c>
      <c r="R768" s="7">
        <f t="shared" si="23"/>
        <v>759.64</v>
      </c>
    </row>
    <row r="769" spans="1:18" x14ac:dyDescent="0.25">
      <c r="A769" s="5">
        <f>Procurement_Raw!A769</f>
        <v>45851</v>
      </c>
      <c r="B769" t="str">
        <f>Procurement_Raw!B769</f>
        <v>S012</v>
      </c>
      <c r="C769" t="str">
        <f>Procurement_Raw!C769</f>
        <v>Bristol Care &amp; Education Centre</v>
      </c>
      <c r="D769" t="str">
        <f>Procurement_Raw!D769</f>
        <v>South</v>
      </c>
      <c r="E769" t="str">
        <f>Procurement_Raw!E769</f>
        <v>FreshServe</v>
      </c>
      <c r="F769" t="str">
        <f>Procurement_Raw!F769</f>
        <v>Food &amp; Catering</v>
      </c>
      <c r="G769" t="str">
        <f>Procurement_Raw!G769</f>
        <v>INV-2025-00768</v>
      </c>
      <c r="H769" s="6">
        <f>Procurement_Raw!H769</f>
        <v>50</v>
      </c>
      <c r="I769" s="7">
        <f>Procurement_Raw!I769</f>
        <v>172.14</v>
      </c>
      <c r="J769" s="7">
        <f>Procurement_Raw!J769</f>
        <v>8607.17</v>
      </c>
      <c r="K769" s="6">
        <f>Procurement_Raw!K769</f>
        <v>30</v>
      </c>
      <c r="L769" t="str">
        <f>Procurement_Raw!L769</f>
        <v>ERP</v>
      </c>
      <c r="M769" s="8">
        <f>Procurement_Raw!M769</f>
        <v>1721.434</v>
      </c>
      <c r="N769" s="7">
        <f>Procurement_Raw!N769</f>
        <v>8607.17</v>
      </c>
      <c r="O769" s="7">
        <f t="shared" si="22"/>
        <v>8607.17</v>
      </c>
      <c r="P769" t="str">
        <f>IFERROR(INDEX(Supplier_Lookup!$B$2:$B$200,MATCH(E769,Supplier_Lookup!$A$2:$A$200,0)),"Unmapped")</f>
        <v>Food &amp; Catering</v>
      </c>
      <c r="Q769" s="10">
        <f>IFERROR(INDEX(Category_Targets!$B$2:$B$9,MATCH(F769,Category_Targets!$A$2:$A$9,0)),0)</f>
        <v>0.04</v>
      </c>
      <c r="R769" s="7">
        <f t="shared" si="23"/>
        <v>344.28680000000003</v>
      </c>
    </row>
    <row r="770" spans="1:18" x14ac:dyDescent="0.25">
      <c r="A770" s="5">
        <f>Procurement_Raw!A770</f>
        <v>45916</v>
      </c>
      <c r="B770" t="str">
        <f>Procurement_Raw!B770</f>
        <v>S020</v>
      </c>
      <c r="C770" t="str">
        <f>Procurement_Raw!C770</f>
        <v>Bangor Care &amp; Education Centre</v>
      </c>
      <c r="D770" t="str">
        <f>Procurement_Raw!D770</f>
        <v>Wales</v>
      </c>
      <c r="E770" t="str">
        <f>Procurement_Raw!E770</f>
        <v>PowerDirect</v>
      </c>
      <c r="F770" t="str">
        <f>Procurement_Raw!F770</f>
        <v>Utilities</v>
      </c>
      <c r="G770" t="str">
        <f>Procurement_Raw!G770</f>
        <v>INV-2025-00769</v>
      </c>
      <c r="H770" s="6">
        <f>Procurement_Raw!H770</f>
        <v>54</v>
      </c>
      <c r="I770" s="7">
        <f>Procurement_Raw!I770</f>
        <v>177.08</v>
      </c>
      <c r="J770" s="7">
        <f>Procurement_Raw!J770</f>
        <v>9562.58</v>
      </c>
      <c r="K770" s="6">
        <f>Procurement_Raw!K770</f>
        <v>30</v>
      </c>
      <c r="L770" t="str">
        <f>Procurement_Raw!L770</f>
        <v>Legacy Spend File</v>
      </c>
      <c r="M770" s="8">
        <f>Procurement_Raw!M770</f>
        <v>1912.5160000000001</v>
      </c>
      <c r="N770" s="7">
        <f>Procurement_Raw!N770</f>
        <v>9562.58</v>
      </c>
      <c r="O770" s="7">
        <f t="shared" ref="O770:O833" si="24">IFERROR(IF(J770="","",J770),0)</f>
        <v>9562.58</v>
      </c>
      <c r="P770" t="str">
        <f>IFERROR(INDEX(Supplier_Lookup!$B$2:$B$200,MATCH(E770,Supplier_Lookup!$A$2:$A$200,0)),"Unmapped")</f>
        <v>Utilities</v>
      </c>
      <c r="Q770" s="10">
        <f>IFERROR(INDEX(Category_Targets!$B$2:$B$9,MATCH(F770,Category_Targets!$A$2:$A$9,0)),0)</f>
        <v>0.03</v>
      </c>
      <c r="R770" s="7">
        <f t="shared" ref="R770:R833" si="25">O770*Q770</f>
        <v>286.87739999999997</v>
      </c>
    </row>
    <row r="771" spans="1:18" x14ac:dyDescent="0.25">
      <c r="A771" s="5">
        <f>Procurement_Raw!A771</f>
        <v>45972</v>
      </c>
      <c r="B771" t="str">
        <f>Procurement_Raw!B771</f>
        <v>S012</v>
      </c>
      <c r="C771" t="str">
        <f>Procurement_Raw!C771</f>
        <v>Bristol Care &amp; Education Centre</v>
      </c>
      <c r="D771" t="str">
        <f>Procurement_Raw!D771</f>
        <v>South</v>
      </c>
      <c r="E771" t="str">
        <f>Procurement_Raw!E771</f>
        <v>SafeGuard FM</v>
      </c>
      <c r="F771" t="str">
        <f>Procurement_Raw!F771</f>
        <v>Facilities</v>
      </c>
      <c r="G771" t="str">
        <f>Procurement_Raw!G771</f>
        <v>INV-2025-00770</v>
      </c>
      <c r="H771" s="6">
        <f>Procurement_Raw!H771</f>
        <v>77</v>
      </c>
      <c r="I771" s="7">
        <f>Procurement_Raw!I771</f>
        <v>487.75</v>
      </c>
      <c r="J771" s="7">
        <f>Procurement_Raw!J771</f>
        <v>37556.769999999997</v>
      </c>
      <c r="K771" s="6">
        <f>Procurement_Raw!K771</f>
        <v>30</v>
      </c>
      <c r="L771" t="str">
        <f>Procurement_Raw!L771</f>
        <v>Legacy Spend File</v>
      </c>
      <c r="M771" s="8">
        <f>Procurement_Raw!M771</f>
        <v>7511.3540000000003</v>
      </c>
      <c r="N771" s="7">
        <f>Procurement_Raw!N771</f>
        <v>37556.769999999997</v>
      </c>
      <c r="O771" s="7">
        <f t="shared" si="24"/>
        <v>37556.769999999997</v>
      </c>
      <c r="P771" t="str">
        <f>IFERROR(INDEX(Supplier_Lookup!$B$2:$B$200,MATCH(E771,Supplier_Lookup!$A$2:$A$200,0)),"Unmapped")</f>
        <v>Facilities</v>
      </c>
      <c r="Q771" s="10">
        <f>IFERROR(INDEX(Category_Targets!$B$2:$B$9,MATCH(F771,Category_Targets!$A$2:$A$9,0)),0)</f>
        <v>0.05</v>
      </c>
      <c r="R771" s="7">
        <f t="shared" si="25"/>
        <v>1877.8384999999998</v>
      </c>
    </row>
    <row r="772" spans="1:18" x14ac:dyDescent="0.25">
      <c r="A772" s="5">
        <f>Procurement_Raw!A772</f>
        <v>45904</v>
      </c>
      <c r="B772" t="str">
        <f>Procurement_Raw!B772</f>
        <v>S003</v>
      </c>
      <c r="C772" t="str">
        <f>Procurement_Raw!C772</f>
        <v>Leeds Care &amp; Education Centre</v>
      </c>
      <c r="D772" t="str">
        <f>Procurement_Raw!D772</f>
        <v>North</v>
      </c>
      <c r="E772" t="str">
        <f>Procurement_Raw!E772</f>
        <v>FreshServe</v>
      </c>
      <c r="F772" t="str">
        <f>Procurement_Raw!F772</f>
        <v>Food &amp; Catering</v>
      </c>
      <c r="G772" t="str">
        <f>Procurement_Raw!G772</f>
        <v>INV-2025-00771</v>
      </c>
      <c r="H772" s="6">
        <f>Procurement_Raw!H772</f>
        <v>17</v>
      </c>
      <c r="I772" s="7">
        <f>Procurement_Raw!I772</f>
        <v>95.93</v>
      </c>
      <c r="J772" s="7">
        <f>Procurement_Raw!J772</f>
        <v>1630.86</v>
      </c>
      <c r="K772" s="6">
        <f>Procurement_Raw!K772</f>
        <v>60</v>
      </c>
      <c r="L772" t="str">
        <f>Procurement_Raw!L772</f>
        <v>Legacy Spend File</v>
      </c>
      <c r="M772" s="8">
        <f>Procurement_Raw!M772</f>
        <v>326.17200000000003</v>
      </c>
      <c r="N772" s="7">
        <f>Procurement_Raw!N772</f>
        <v>1630.86</v>
      </c>
      <c r="O772" s="7">
        <f t="shared" si="24"/>
        <v>1630.86</v>
      </c>
      <c r="P772" t="str">
        <f>IFERROR(INDEX(Supplier_Lookup!$B$2:$B$200,MATCH(E772,Supplier_Lookup!$A$2:$A$200,0)),"Unmapped")</f>
        <v>Food &amp; Catering</v>
      </c>
      <c r="Q772" s="10">
        <f>IFERROR(INDEX(Category_Targets!$B$2:$B$9,MATCH(F772,Category_Targets!$A$2:$A$9,0)),0)</f>
        <v>0.04</v>
      </c>
      <c r="R772" s="7">
        <f t="shared" si="25"/>
        <v>65.234399999999994</v>
      </c>
    </row>
    <row r="773" spans="1:18" x14ac:dyDescent="0.25">
      <c r="A773" s="5">
        <f>Procurement_Raw!A773</f>
        <v>45873</v>
      </c>
      <c r="B773" t="str">
        <f>Procurement_Raw!B773</f>
        <v>S002</v>
      </c>
      <c r="C773" t="str">
        <f>Procurement_Raw!C773</f>
        <v>Manchester Care &amp; Education Centre</v>
      </c>
      <c r="D773" t="str">
        <f>Procurement_Raw!D773</f>
        <v>North</v>
      </c>
      <c r="E773" t="str">
        <f>Procurement_Raw!E773</f>
        <v>NurseLink</v>
      </c>
      <c r="F773" t="str">
        <f>Procurement_Raw!F773</f>
        <v>Agency Labour</v>
      </c>
      <c r="G773" t="str">
        <f>Procurement_Raw!G773</f>
        <v>INV-2025-00772</v>
      </c>
      <c r="H773" s="6">
        <f>Procurement_Raw!H773</f>
        <v>48</v>
      </c>
      <c r="I773" s="7">
        <f>Procurement_Raw!I773</f>
        <v>220.18</v>
      </c>
      <c r="J773" s="7">
        <f>Procurement_Raw!J773</f>
        <v>10568.43</v>
      </c>
      <c r="K773" s="6">
        <f>Procurement_Raw!K773</f>
        <v>30</v>
      </c>
      <c r="L773" t="str">
        <f>Procurement_Raw!L773</f>
        <v>Legacy Spend File</v>
      </c>
      <c r="M773" s="8">
        <f>Procurement_Raw!M773</f>
        <v>2113.6860000000001</v>
      </c>
      <c r="N773" s="7">
        <f>Procurement_Raw!N773</f>
        <v>10568.43</v>
      </c>
      <c r="O773" s="7">
        <f t="shared" si="24"/>
        <v>10568.43</v>
      </c>
      <c r="P773" t="str">
        <f>IFERROR(INDEX(Supplier_Lookup!$B$2:$B$200,MATCH(E773,Supplier_Lookup!$A$2:$A$200,0)),"Unmapped")</f>
        <v>Agency Labour</v>
      </c>
      <c r="Q773" s="10">
        <f>IFERROR(INDEX(Category_Targets!$B$2:$B$9,MATCH(F773,Category_Targets!$A$2:$A$9,0)),0)</f>
        <v>7.0000000000000007E-2</v>
      </c>
      <c r="R773" s="7">
        <f t="shared" si="25"/>
        <v>739.79010000000005</v>
      </c>
    </row>
    <row r="774" spans="1:18" x14ac:dyDescent="0.25">
      <c r="A774" s="5">
        <f>Procurement_Raw!A774</f>
        <v>45904</v>
      </c>
      <c r="B774" t="str">
        <f>Procurement_Raw!B774</f>
        <v>S020</v>
      </c>
      <c r="C774" t="str">
        <f>Procurement_Raw!C774</f>
        <v>Bangor Care &amp; Education Centre</v>
      </c>
      <c r="D774" t="str">
        <f>Procurement_Raw!D774</f>
        <v>Wales</v>
      </c>
      <c r="E774" t="str">
        <f>Procurement_Raw!E774</f>
        <v>HealthStaffing</v>
      </c>
      <c r="F774" t="str">
        <f>Procurement_Raw!F774</f>
        <v>Agency Labour</v>
      </c>
      <c r="G774" t="str">
        <f>Procurement_Raw!G774</f>
        <v>INV-2025-00773</v>
      </c>
      <c r="H774" s="6">
        <f>Procurement_Raw!H774</f>
        <v>49</v>
      </c>
      <c r="I774" s="7">
        <f>Procurement_Raw!I774</f>
        <v>424.8</v>
      </c>
      <c r="J774" s="7">
        <f>Procurement_Raw!J774</f>
        <v>20814.96</v>
      </c>
      <c r="K774" s="6">
        <f>Procurement_Raw!K774</f>
        <v>45</v>
      </c>
      <c r="L774" t="str">
        <f>Procurement_Raw!L774</f>
        <v>Legacy Spend File</v>
      </c>
      <c r="M774" s="8">
        <f>Procurement_Raw!M774</f>
        <v>4162.9920000000002</v>
      </c>
      <c r="N774" s="7">
        <f>Procurement_Raw!N774</f>
        <v>20814.96</v>
      </c>
      <c r="O774" s="7">
        <f t="shared" si="24"/>
        <v>20814.96</v>
      </c>
      <c r="P774" t="str">
        <f>IFERROR(INDEX(Supplier_Lookup!$B$2:$B$200,MATCH(E774,Supplier_Lookup!$A$2:$A$200,0)),"Unmapped")</f>
        <v>Agency Labour</v>
      </c>
      <c r="Q774" s="10">
        <f>IFERROR(INDEX(Category_Targets!$B$2:$B$9,MATCH(F774,Category_Targets!$A$2:$A$9,0)),0)</f>
        <v>7.0000000000000007E-2</v>
      </c>
      <c r="R774" s="7">
        <f t="shared" si="25"/>
        <v>1457.0472</v>
      </c>
    </row>
    <row r="775" spans="1:18" x14ac:dyDescent="0.25">
      <c r="A775" s="5">
        <f>Procurement_Raw!A775</f>
        <v>45726</v>
      </c>
      <c r="B775" t="str">
        <f>Procurement_Raw!B775</f>
        <v>S005</v>
      </c>
      <c r="C775" t="str">
        <f>Procurement_Raw!C775</f>
        <v>Sheffield Care &amp; Education Centre</v>
      </c>
      <c r="D775" t="str">
        <f>Procurement_Raw!D775</f>
        <v>North</v>
      </c>
      <c r="E775" t="str">
        <f>Procurement_Raw!E775</f>
        <v>NourishCo</v>
      </c>
      <c r="F775" t="str">
        <f>Procurement_Raw!F775</f>
        <v>Food &amp; Catering</v>
      </c>
      <c r="G775" t="str">
        <f>Procurement_Raw!G775</f>
        <v>INV-2025-00774</v>
      </c>
      <c r="H775" s="6">
        <f>Procurement_Raw!H775</f>
        <v>33</v>
      </c>
      <c r="I775" s="7">
        <f>Procurement_Raw!I775</f>
        <v>110.97</v>
      </c>
      <c r="J775" s="7">
        <f>Procurement_Raw!J775</f>
        <v>3662.13</v>
      </c>
      <c r="K775" s="6">
        <f>Procurement_Raw!K775</f>
        <v>45</v>
      </c>
      <c r="L775" t="str">
        <f>Procurement_Raw!L775</f>
        <v>ERP</v>
      </c>
      <c r="M775" s="8">
        <f>Procurement_Raw!M775</f>
        <v>732.42600000000004</v>
      </c>
      <c r="N775" s="7">
        <f>Procurement_Raw!N775</f>
        <v>3662.13</v>
      </c>
      <c r="O775" s="7">
        <f t="shared" si="24"/>
        <v>3662.13</v>
      </c>
      <c r="P775" t="str">
        <f>IFERROR(INDEX(Supplier_Lookup!$B$2:$B$200,MATCH(E775,Supplier_Lookup!$A$2:$A$200,0)),"Unmapped")</f>
        <v>Food &amp; Catering</v>
      </c>
      <c r="Q775" s="10">
        <f>IFERROR(INDEX(Category_Targets!$B$2:$B$9,MATCH(F775,Category_Targets!$A$2:$A$9,0)),0)</f>
        <v>0.04</v>
      </c>
      <c r="R775" s="7">
        <f t="shared" si="25"/>
        <v>146.48520000000002</v>
      </c>
    </row>
    <row r="776" spans="1:18" x14ac:dyDescent="0.25">
      <c r="A776" s="5">
        <f>Procurement_Raw!A776</f>
        <v>45936</v>
      </c>
      <c r="B776" t="str">
        <f>Procurement_Raw!B776</f>
        <v>S001</v>
      </c>
      <c r="C776" t="str">
        <f>Procurement_Raw!C776</f>
        <v>Preston Care &amp; Education Centre</v>
      </c>
      <c r="D776" t="str">
        <f>Procurement_Raw!D776</f>
        <v>North</v>
      </c>
      <c r="E776" t="str">
        <f>Procurement_Raw!E776</f>
        <v>NetServe</v>
      </c>
      <c r="F776" t="str">
        <f>Procurement_Raw!F776</f>
        <v>IT &amp; Telecoms</v>
      </c>
      <c r="G776" t="str">
        <f>Procurement_Raw!G776</f>
        <v>INV-2025-00775</v>
      </c>
      <c r="H776" s="6">
        <f>Procurement_Raw!H776</f>
        <v>53</v>
      </c>
      <c r="I776" s="7">
        <f>Procurement_Raw!I776</f>
        <v>309.70999999999998</v>
      </c>
      <c r="J776" s="7">
        <f>Procurement_Raw!J776</f>
        <v>16414.41</v>
      </c>
      <c r="K776" s="6">
        <f>Procurement_Raw!K776</f>
        <v>45</v>
      </c>
      <c r="L776" t="str">
        <f>Procurement_Raw!L776</f>
        <v>ERP</v>
      </c>
      <c r="M776" s="8">
        <f>Procurement_Raw!M776</f>
        <v>3282.8820000000001</v>
      </c>
      <c r="N776" s="7">
        <f>Procurement_Raw!N776</f>
        <v>16414.41</v>
      </c>
      <c r="O776" s="7">
        <f t="shared" si="24"/>
        <v>16414.41</v>
      </c>
      <c r="P776" t="str">
        <f>IFERROR(INDEX(Supplier_Lookup!$B$2:$B$200,MATCH(E776,Supplier_Lookup!$A$2:$A$200,0)),"Unmapped")</f>
        <v>IT &amp; Telecoms</v>
      </c>
      <c r="Q776" s="10">
        <f>IFERROR(INDEX(Category_Targets!$B$2:$B$9,MATCH(F776,Category_Targets!$A$2:$A$9,0)),0)</f>
        <v>0.08</v>
      </c>
      <c r="R776" s="7">
        <f t="shared" si="25"/>
        <v>1313.1528000000001</v>
      </c>
    </row>
    <row r="777" spans="1:18" x14ac:dyDescent="0.25">
      <c r="A777" s="5">
        <f>Procurement_Raw!A777</f>
        <v>45925</v>
      </c>
      <c r="B777" t="str">
        <f>Procurement_Raw!B777</f>
        <v>S001</v>
      </c>
      <c r="C777" t="str">
        <f>Procurement_Raw!C777</f>
        <v>Preston Care &amp; Education Centre</v>
      </c>
      <c r="D777" t="str">
        <f>Procurement_Raw!D777</f>
        <v>North</v>
      </c>
      <c r="E777" t="str">
        <f>Procurement_Raw!E777</f>
        <v>ClinEquip</v>
      </c>
      <c r="F777" t="str">
        <f>Procurement_Raw!F777</f>
        <v>Medical Supplies</v>
      </c>
      <c r="G777" t="str">
        <f>Procurement_Raw!G777</f>
        <v>INV-2025-00776</v>
      </c>
      <c r="H777" s="6">
        <f>Procurement_Raw!H777</f>
        <v>16</v>
      </c>
      <c r="I777" s="7">
        <f>Procurement_Raw!I777</f>
        <v>50.6</v>
      </c>
      <c r="J777" s="7">
        <f>Procurement_Raw!J777</f>
        <v>809.53</v>
      </c>
      <c r="K777" s="6">
        <f>Procurement_Raw!K777</f>
        <v>60</v>
      </c>
      <c r="L777" t="str">
        <f>Procurement_Raw!L777</f>
        <v>ERP</v>
      </c>
      <c r="M777" s="8">
        <f>Procurement_Raw!M777</f>
        <v>161.90600000000001</v>
      </c>
      <c r="N777" s="7">
        <f>Procurement_Raw!N777</f>
        <v>809.53</v>
      </c>
      <c r="O777" s="7">
        <f t="shared" si="24"/>
        <v>809.53</v>
      </c>
      <c r="P777" t="str">
        <f>IFERROR(INDEX(Supplier_Lookup!$B$2:$B$200,MATCH(E777,Supplier_Lookup!$A$2:$A$200,0)),"Unmapped")</f>
        <v>Medical Supplies</v>
      </c>
      <c r="Q777" s="10">
        <f>IFERROR(INDEX(Category_Targets!$B$2:$B$9,MATCH(F777,Category_Targets!$A$2:$A$9,0)),0)</f>
        <v>0.06</v>
      </c>
      <c r="R777" s="7">
        <f t="shared" si="25"/>
        <v>48.571799999999996</v>
      </c>
    </row>
    <row r="778" spans="1:18" x14ac:dyDescent="0.25">
      <c r="A778" s="5">
        <f>Procurement_Raw!A778</f>
        <v>45819</v>
      </c>
      <c r="B778" t="str">
        <f>Procurement_Raw!B778</f>
        <v>S014</v>
      </c>
      <c r="C778" t="str">
        <f>Procurement_Raw!C778</f>
        <v>Southampton Care &amp; Education Centre</v>
      </c>
      <c r="D778" t="str">
        <f>Procurement_Raw!D778</f>
        <v>South</v>
      </c>
      <c r="E778" t="str">
        <f>Procurement_Raw!E778</f>
        <v>PowerDirect</v>
      </c>
      <c r="F778" t="str">
        <f>Procurement_Raw!F778</f>
        <v>Utilities</v>
      </c>
      <c r="G778" t="str">
        <f>Procurement_Raw!G778</f>
        <v>INV-2025-00777</v>
      </c>
      <c r="H778" s="6">
        <f>Procurement_Raw!H778</f>
        <v>53</v>
      </c>
      <c r="I778" s="7">
        <f>Procurement_Raw!I778</f>
        <v>167.59</v>
      </c>
      <c r="J778" s="7">
        <f>Procurement_Raw!J778</f>
        <v>8882.4</v>
      </c>
      <c r="K778" s="6">
        <f>Procurement_Raw!K778</f>
        <v>45</v>
      </c>
      <c r="L778" t="str">
        <f>Procurement_Raw!L778</f>
        <v>ERP</v>
      </c>
      <c r="M778" s="8">
        <f>Procurement_Raw!M778</f>
        <v>1776.48</v>
      </c>
      <c r="N778" s="7">
        <f>Procurement_Raw!N778</f>
        <v>8882.4</v>
      </c>
      <c r="O778" s="7">
        <f t="shared" si="24"/>
        <v>8882.4</v>
      </c>
      <c r="P778" t="str">
        <f>IFERROR(INDEX(Supplier_Lookup!$B$2:$B$200,MATCH(E778,Supplier_Lookup!$A$2:$A$200,0)),"Unmapped")</f>
        <v>Utilities</v>
      </c>
      <c r="Q778" s="10">
        <f>IFERROR(INDEX(Category_Targets!$B$2:$B$9,MATCH(F778,Category_Targets!$A$2:$A$9,0)),0)</f>
        <v>0.03</v>
      </c>
      <c r="R778" s="7">
        <f t="shared" si="25"/>
        <v>266.47199999999998</v>
      </c>
    </row>
    <row r="779" spans="1:18" x14ac:dyDescent="0.25">
      <c r="A779" s="5">
        <f>Procurement_Raw!A779</f>
        <v>45957</v>
      </c>
      <c r="B779" t="str">
        <f>Procurement_Raw!B779</f>
        <v>S010</v>
      </c>
      <c r="C779" t="str">
        <f>Procurement_Raw!C779</f>
        <v>Coventry Care &amp; Education Centre</v>
      </c>
      <c r="D779" t="str">
        <f>Procurement_Raw!D779</f>
        <v>Midlands</v>
      </c>
      <c r="E779" t="str">
        <f>Procurement_Raw!E779</f>
        <v>NurseLink</v>
      </c>
      <c r="F779" t="str">
        <f>Procurement_Raw!F779</f>
        <v>Agency Labour</v>
      </c>
      <c r="G779" t="str">
        <f>Procurement_Raw!G779</f>
        <v>INV-2025-00778</v>
      </c>
      <c r="H779" s="6">
        <f>Procurement_Raw!H779</f>
        <v>33</v>
      </c>
      <c r="I779" s="7">
        <f>Procurement_Raw!I779</f>
        <v>261.82</v>
      </c>
      <c r="J779" s="7">
        <f>Procurement_Raw!J779</f>
        <v>8639.9699999999993</v>
      </c>
      <c r="K779" s="6">
        <f>Procurement_Raw!K779</f>
        <v>45</v>
      </c>
      <c r="L779" t="str">
        <f>Procurement_Raw!L779</f>
        <v>Legacy Spend File</v>
      </c>
      <c r="M779" s="8">
        <f>Procurement_Raw!M779</f>
        <v>1727.9939999999999</v>
      </c>
      <c r="N779" s="7">
        <f>Procurement_Raw!N779</f>
        <v>8639.9699999999993</v>
      </c>
      <c r="O779" s="7">
        <f t="shared" si="24"/>
        <v>8639.9699999999993</v>
      </c>
      <c r="P779" t="str">
        <f>IFERROR(INDEX(Supplier_Lookup!$B$2:$B$200,MATCH(E779,Supplier_Lookup!$A$2:$A$200,0)),"Unmapped")</f>
        <v>Agency Labour</v>
      </c>
      <c r="Q779" s="10">
        <f>IFERROR(INDEX(Category_Targets!$B$2:$B$9,MATCH(F779,Category_Targets!$A$2:$A$9,0)),0)</f>
        <v>7.0000000000000007E-2</v>
      </c>
      <c r="R779" s="7">
        <f t="shared" si="25"/>
        <v>604.79790000000003</v>
      </c>
    </row>
    <row r="780" spans="1:18" x14ac:dyDescent="0.25">
      <c r="A780" s="5">
        <f>Procurement_Raw!A780</f>
        <v>45799</v>
      </c>
      <c r="B780" t="str">
        <f>Procurement_Raw!B780</f>
        <v>S004</v>
      </c>
      <c r="C780" t="str">
        <f>Procurement_Raw!C780</f>
        <v>Newcastle Care &amp; Education Centre</v>
      </c>
      <c r="D780" t="str">
        <f>Procurement_Raw!D780</f>
        <v>North</v>
      </c>
      <c r="E780" t="str">
        <f>Procurement_Raw!E780</f>
        <v>AutoCare</v>
      </c>
      <c r="F780" t="str">
        <f>Procurement_Raw!F780</f>
        <v>Vehicle &amp; Fuel</v>
      </c>
      <c r="G780" t="str">
        <f>Procurement_Raw!G780</f>
        <v>INV-2025-00779</v>
      </c>
      <c r="H780" s="6">
        <f>Procurement_Raw!H780</f>
        <v>51</v>
      </c>
      <c r="I780" s="7">
        <f>Procurement_Raw!I780</f>
        <v>91.19</v>
      </c>
      <c r="J780" s="7">
        <f>Procurement_Raw!J780</f>
        <v>4650.66</v>
      </c>
      <c r="K780" s="6">
        <f>Procurement_Raw!K780</f>
        <v>30</v>
      </c>
      <c r="L780" t="str">
        <f>Procurement_Raw!L780</f>
        <v>Procurement Portal</v>
      </c>
      <c r="M780" s="8">
        <f>Procurement_Raw!M780</f>
        <v>930.13199999999995</v>
      </c>
      <c r="N780" s="7">
        <f>Procurement_Raw!N780</f>
        <v>4650.66</v>
      </c>
      <c r="O780" s="7">
        <f t="shared" si="24"/>
        <v>4650.66</v>
      </c>
      <c r="P780" t="str">
        <f>IFERROR(INDEX(Supplier_Lookup!$B$2:$B$200,MATCH(E780,Supplier_Lookup!$A$2:$A$200,0)),"Unmapped")</f>
        <v>Vehicle &amp; Fuel</v>
      </c>
      <c r="Q780" s="10">
        <f>IFERROR(INDEX(Category_Targets!$B$2:$B$9,MATCH(F780,Category_Targets!$A$2:$A$9,0)),0)</f>
        <v>0.05</v>
      </c>
      <c r="R780" s="7">
        <f t="shared" si="25"/>
        <v>232.53300000000002</v>
      </c>
    </row>
    <row r="781" spans="1:18" x14ac:dyDescent="0.25">
      <c r="A781" s="5">
        <f>Procurement_Raw!A781</f>
        <v>45847</v>
      </c>
      <c r="B781" t="str">
        <f>Procurement_Raw!B781</f>
        <v>S012</v>
      </c>
      <c r="C781" t="str">
        <f>Procurement_Raw!C781</f>
        <v>Bristol Care &amp; Education Centre</v>
      </c>
      <c r="D781" t="str">
        <f>Procurement_Raw!D781</f>
        <v>South</v>
      </c>
      <c r="E781" t="str">
        <f>Procurement_Raw!E781</f>
        <v>OfficePlus</v>
      </c>
      <c r="F781" t="str">
        <f>Procurement_Raw!F781</f>
        <v>Office &amp; Training</v>
      </c>
      <c r="G781" t="str">
        <f>Procurement_Raw!G781</f>
        <v>INV-2025-00780</v>
      </c>
      <c r="H781" s="6">
        <f>Procurement_Raw!H781</f>
        <v>72</v>
      </c>
      <c r="I781" s="7">
        <f>Procurement_Raw!I781</f>
        <v>105.52</v>
      </c>
      <c r="J781" s="7">
        <f>Procurement_Raw!J781</f>
        <v>7597.12</v>
      </c>
      <c r="K781" s="6">
        <f>Procurement_Raw!K781</f>
        <v>60</v>
      </c>
      <c r="L781" t="str">
        <f>Procurement_Raw!L781</f>
        <v>Procurement Portal</v>
      </c>
      <c r="M781" s="8">
        <f>Procurement_Raw!M781</f>
        <v>1519.424</v>
      </c>
      <c r="N781" s="7">
        <f>Procurement_Raw!N781</f>
        <v>7597.12</v>
      </c>
      <c r="O781" s="7">
        <f t="shared" si="24"/>
        <v>7597.12</v>
      </c>
      <c r="P781" t="str">
        <f>IFERROR(INDEX(Supplier_Lookup!$B$2:$B$200,MATCH(E781,Supplier_Lookup!$A$2:$A$200,0)),"Unmapped")</f>
        <v>Office &amp; Training</v>
      </c>
      <c r="Q781" s="10">
        <f>IFERROR(INDEX(Category_Targets!$B$2:$B$9,MATCH(F781,Category_Targets!$A$2:$A$9,0)),0)</f>
        <v>0.04</v>
      </c>
      <c r="R781" s="7">
        <f t="shared" si="25"/>
        <v>303.88479999999998</v>
      </c>
    </row>
    <row r="782" spans="1:18" x14ac:dyDescent="0.25">
      <c r="A782" s="5">
        <f>Procurement_Raw!A782</f>
        <v>45834</v>
      </c>
      <c r="B782" t="str">
        <f>Procurement_Raw!B782</f>
        <v>S014</v>
      </c>
      <c r="C782" t="str">
        <f>Procurement_Raw!C782</f>
        <v>Southampton Care &amp; Education Centre</v>
      </c>
      <c r="D782" t="str">
        <f>Procurement_Raw!D782</f>
        <v>South</v>
      </c>
      <c r="E782" t="str">
        <f>Procurement_Raw!E782</f>
        <v>NetServe</v>
      </c>
      <c r="F782" t="str">
        <f>Procurement_Raw!F782</f>
        <v>IT &amp; Telecoms</v>
      </c>
      <c r="G782" t="str">
        <f>Procurement_Raw!G782</f>
        <v>INV-2025-00781</v>
      </c>
      <c r="H782" s="6">
        <f>Procurement_Raw!H782</f>
        <v>51</v>
      </c>
      <c r="I782" s="7">
        <f>Procurement_Raw!I782</f>
        <v>242.59</v>
      </c>
      <c r="J782" s="7">
        <f>Procurement_Raw!J782</f>
        <v>12371.97</v>
      </c>
      <c r="K782" s="6">
        <f>Procurement_Raw!K782</f>
        <v>60</v>
      </c>
      <c r="L782" t="str">
        <f>Procurement_Raw!L782</f>
        <v>ERP</v>
      </c>
      <c r="M782" s="8">
        <f>Procurement_Raw!M782</f>
        <v>2474.3939999999998</v>
      </c>
      <c r="N782" s="7">
        <f>Procurement_Raw!N782</f>
        <v>12371.97</v>
      </c>
      <c r="O782" s="7">
        <f t="shared" si="24"/>
        <v>12371.97</v>
      </c>
      <c r="P782" t="str">
        <f>IFERROR(INDEX(Supplier_Lookup!$B$2:$B$200,MATCH(E782,Supplier_Lookup!$A$2:$A$200,0)),"Unmapped")</f>
        <v>IT &amp; Telecoms</v>
      </c>
      <c r="Q782" s="10">
        <f>IFERROR(INDEX(Category_Targets!$B$2:$B$9,MATCH(F782,Category_Targets!$A$2:$A$9,0)),0)</f>
        <v>0.08</v>
      </c>
      <c r="R782" s="7">
        <f t="shared" si="25"/>
        <v>989.75760000000002</v>
      </c>
    </row>
    <row r="783" spans="1:18" x14ac:dyDescent="0.25">
      <c r="A783" s="5">
        <f>Procurement_Raw!A783</f>
        <v>45775</v>
      </c>
      <c r="B783" t="str">
        <f>Procurement_Raw!B783</f>
        <v>S006</v>
      </c>
      <c r="C783" t="str">
        <f>Procurement_Raw!C783</f>
        <v>Birmingham Care &amp; Education Centre</v>
      </c>
      <c r="D783" t="str">
        <f>Procurement_Raw!D783</f>
        <v>Midlands</v>
      </c>
      <c r="E783" t="str">
        <f>Procurement_Raw!E783</f>
        <v>KitchenPro</v>
      </c>
      <c r="F783" t="str">
        <f>Procurement_Raw!F783</f>
        <v>Food &amp; Catering</v>
      </c>
      <c r="G783" t="str">
        <f>Procurement_Raw!G783</f>
        <v>INV-2025-00782</v>
      </c>
      <c r="H783" s="6">
        <f>Procurement_Raw!H783</f>
        <v>58</v>
      </c>
      <c r="I783" s="7">
        <f>Procurement_Raw!I783</f>
        <v>31.19</v>
      </c>
      <c r="J783" s="7">
        <f>Procurement_Raw!J783</f>
        <v>1808.75</v>
      </c>
      <c r="K783" s="6">
        <f>Procurement_Raw!K783</f>
        <v>60</v>
      </c>
      <c r="L783" t="str">
        <f>Procurement_Raw!L783</f>
        <v>ERP</v>
      </c>
      <c r="M783" s="8">
        <f>Procurement_Raw!M783</f>
        <v>361.75</v>
      </c>
      <c r="N783" s="7">
        <f>Procurement_Raw!N783</f>
        <v>1808.75</v>
      </c>
      <c r="O783" s="7">
        <f t="shared" si="24"/>
        <v>1808.75</v>
      </c>
      <c r="P783" t="str">
        <f>IFERROR(INDEX(Supplier_Lookup!$B$2:$B$200,MATCH(E783,Supplier_Lookup!$A$2:$A$200,0)),"Unmapped")</f>
        <v>Food &amp; Catering</v>
      </c>
      <c r="Q783" s="10">
        <f>IFERROR(INDEX(Category_Targets!$B$2:$B$9,MATCH(F783,Category_Targets!$A$2:$A$9,0)),0)</f>
        <v>0.04</v>
      </c>
      <c r="R783" s="7">
        <f t="shared" si="25"/>
        <v>72.350000000000009</v>
      </c>
    </row>
    <row r="784" spans="1:18" x14ac:dyDescent="0.25">
      <c r="A784" s="5">
        <f>Procurement_Raw!A784</f>
        <v>45863</v>
      </c>
      <c r="B784" t="str">
        <f>Procurement_Raw!B784</f>
        <v>S011</v>
      </c>
      <c r="C784" t="str">
        <f>Procurement_Raw!C784</f>
        <v>London Care &amp; Education Centre</v>
      </c>
      <c r="D784" t="str">
        <f>Procurement_Raw!D784</f>
        <v>South</v>
      </c>
      <c r="E784" t="str">
        <f>Procurement_Raw!E784</f>
        <v>PowerDirect</v>
      </c>
      <c r="F784" t="str">
        <f>Procurement_Raw!F784</f>
        <v>Utilities</v>
      </c>
      <c r="G784" t="str">
        <f>Procurement_Raw!G784</f>
        <v>INV-2025-00783</v>
      </c>
      <c r="H784" s="6">
        <f>Procurement_Raw!H784</f>
        <v>44</v>
      </c>
      <c r="I784" s="7">
        <f>Procurement_Raw!I784</f>
        <v>308.14</v>
      </c>
      <c r="J784" s="7">
        <f>Procurement_Raw!J784</f>
        <v>13558.37</v>
      </c>
      <c r="K784" s="6">
        <f>Procurement_Raw!K784</f>
        <v>60</v>
      </c>
      <c r="L784" t="str">
        <f>Procurement_Raw!L784</f>
        <v>Legacy Spend File</v>
      </c>
      <c r="M784" s="8">
        <f>Procurement_Raw!M784</f>
        <v>2711.674</v>
      </c>
      <c r="N784" s="7">
        <f>Procurement_Raw!N784</f>
        <v>13558.37</v>
      </c>
      <c r="O784" s="7">
        <f t="shared" si="24"/>
        <v>13558.37</v>
      </c>
      <c r="P784" t="str">
        <f>IFERROR(INDEX(Supplier_Lookup!$B$2:$B$200,MATCH(E784,Supplier_Lookup!$A$2:$A$200,0)),"Unmapped")</f>
        <v>Utilities</v>
      </c>
      <c r="Q784" s="10">
        <f>IFERROR(INDEX(Category_Targets!$B$2:$B$9,MATCH(F784,Category_Targets!$A$2:$A$9,0)),0)</f>
        <v>0.03</v>
      </c>
      <c r="R784" s="7">
        <f t="shared" si="25"/>
        <v>406.75110000000001</v>
      </c>
    </row>
    <row r="785" spans="1:18" x14ac:dyDescent="0.25">
      <c r="A785" s="5">
        <f>Procurement_Raw!A785</f>
        <v>45857</v>
      </c>
      <c r="B785" t="str">
        <f>Procurement_Raw!B785</f>
        <v>S010</v>
      </c>
      <c r="C785" t="str">
        <f>Procurement_Raw!C785</f>
        <v>Coventry Care &amp; Education Centre</v>
      </c>
      <c r="D785" t="str">
        <f>Procurement_Raw!D785</f>
        <v>Midlands</v>
      </c>
      <c r="E785" t="str">
        <f>Procurement_Raw!E785</f>
        <v>MediSure</v>
      </c>
      <c r="F785" t="str">
        <f>Procurement_Raw!F785</f>
        <v>Medical Supplies</v>
      </c>
      <c r="G785" t="str">
        <f>Procurement_Raw!G785</f>
        <v>INV-2025-00784</v>
      </c>
      <c r="H785" s="6">
        <f>Procurement_Raw!H785</f>
        <v>1</v>
      </c>
      <c r="I785" s="7">
        <f>Procurement_Raw!I785</f>
        <v>167.89</v>
      </c>
      <c r="J785" s="7">
        <f>Procurement_Raw!J785</f>
        <v>167.89</v>
      </c>
      <c r="K785" s="6">
        <f>Procurement_Raw!K785</f>
        <v>30</v>
      </c>
      <c r="L785" t="str">
        <f>Procurement_Raw!L785</f>
        <v>ERP</v>
      </c>
      <c r="M785" s="8">
        <f>Procurement_Raw!M785</f>
        <v>33.578000000000003</v>
      </c>
      <c r="N785" s="7">
        <f>Procurement_Raw!N785</f>
        <v>167.89</v>
      </c>
      <c r="O785" s="7">
        <f t="shared" si="24"/>
        <v>167.89</v>
      </c>
      <c r="P785" t="str">
        <f>IFERROR(INDEX(Supplier_Lookup!$B$2:$B$200,MATCH(E785,Supplier_Lookup!$A$2:$A$200,0)),"Unmapped")</f>
        <v>Medical Supplies</v>
      </c>
      <c r="Q785" s="10">
        <f>IFERROR(INDEX(Category_Targets!$B$2:$B$9,MATCH(F785,Category_Targets!$A$2:$A$9,0)),0)</f>
        <v>0.06</v>
      </c>
      <c r="R785" s="7">
        <f t="shared" si="25"/>
        <v>10.073399999999999</v>
      </c>
    </row>
    <row r="786" spans="1:18" x14ac:dyDescent="0.25">
      <c r="A786" s="5">
        <f>Procurement_Raw!A786</f>
        <v>45690</v>
      </c>
      <c r="B786" t="str">
        <f>Procurement_Raw!B786</f>
        <v>S016</v>
      </c>
      <c r="C786" t="str">
        <f>Procurement_Raw!C786</f>
        <v>Cardiff Care &amp; Education Centre</v>
      </c>
      <c r="D786" t="str">
        <f>Procurement_Raw!D786</f>
        <v>Wales</v>
      </c>
      <c r="E786" t="str">
        <f>Procurement_Raw!E786</f>
        <v>HealthStaffing</v>
      </c>
      <c r="F786" t="str">
        <f>Procurement_Raw!F786</f>
        <v>Agency Labour</v>
      </c>
      <c r="G786" t="str">
        <f>Procurement_Raw!G786</f>
        <v>INV-2025-00785</v>
      </c>
      <c r="H786" s="6">
        <f>Procurement_Raw!H786</f>
        <v>34</v>
      </c>
      <c r="I786" s="7">
        <f>Procurement_Raw!I786</f>
        <v>408.16</v>
      </c>
      <c r="J786" s="7">
        <f>Procurement_Raw!J786</f>
        <v>13877.55</v>
      </c>
      <c r="K786" s="6">
        <f>Procurement_Raw!K786</f>
        <v>30</v>
      </c>
      <c r="L786" t="str">
        <f>Procurement_Raw!L786</f>
        <v>Procurement Portal</v>
      </c>
      <c r="M786" s="8">
        <f>Procurement_Raw!M786</f>
        <v>2775.51</v>
      </c>
      <c r="N786" s="7">
        <f>Procurement_Raw!N786</f>
        <v>13877.55</v>
      </c>
      <c r="O786" s="7">
        <f t="shared" si="24"/>
        <v>13877.55</v>
      </c>
      <c r="P786" t="str">
        <f>IFERROR(INDEX(Supplier_Lookup!$B$2:$B$200,MATCH(E786,Supplier_Lookup!$A$2:$A$200,0)),"Unmapped")</f>
        <v>Agency Labour</v>
      </c>
      <c r="Q786" s="10">
        <f>IFERROR(INDEX(Category_Targets!$B$2:$B$9,MATCH(F786,Category_Targets!$A$2:$A$9,0)),0)</f>
        <v>7.0000000000000007E-2</v>
      </c>
      <c r="R786" s="7">
        <f t="shared" si="25"/>
        <v>971.42849999999999</v>
      </c>
    </row>
    <row r="787" spans="1:18" x14ac:dyDescent="0.25">
      <c r="A787" s="5">
        <f>Procurement_Raw!A787</f>
        <v>45854</v>
      </c>
      <c r="B787" t="str">
        <f>Procurement_Raw!B787</f>
        <v>S010</v>
      </c>
      <c r="C787" t="str">
        <f>Procurement_Raw!C787</f>
        <v>Coventry Care &amp; Education Centre</v>
      </c>
      <c r="D787" t="str">
        <f>Procurement_Raw!D787</f>
        <v>Midlands</v>
      </c>
      <c r="E787" t="str">
        <f>Procurement_Raw!E787</f>
        <v>ClinEquip</v>
      </c>
      <c r="F787" t="str">
        <f>Procurement_Raw!F787</f>
        <v>Medical Supplies</v>
      </c>
      <c r="G787" t="str">
        <f>Procurement_Raw!G787</f>
        <v>INV-2025-00786</v>
      </c>
      <c r="H787" s="6">
        <f>Procurement_Raw!H787</f>
        <v>52</v>
      </c>
      <c r="I787" s="7">
        <f>Procurement_Raw!I787</f>
        <v>217.44</v>
      </c>
      <c r="J787" s="7">
        <f>Procurement_Raw!J787</f>
        <v>11306.86</v>
      </c>
      <c r="K787" s="6">
        <f>Procurement_Raw!K787</f>
        <v>60</v>
      </c>
      <c r="L787" t="str">
        <f>Procurement_Raw!L787</f>
        <v>Legacy Spend File</v>
      </c>
      <c r="M787" s="8">
        <f>Procurement_Raw!M787</f>
        <v>2261.3719999999998</v>
      </c>
      <c r="N787" s="7">
        <f>Procurement_Raw!N787</f>
        <v>11306.86</v>
      </c>
      <c r="O787" s="7">
        <f t="shared" si="24"/>
        <v>11306.86</v>
      </c>
      <c r="P787" t="str">
        <f>IFERROR(INDEX(Supplier_Lookup!$B$2:$B$200,MATCH(E787,Supplier_Lookup!$A$2:$A$200,0)),"Unmapped")</f>
        <v>Medical Supplies</v>
      </c>
      <c r="Q787" s="10">
        <f>IFERROR(INDEX(Category_Targets!$B$2:$B$9,MATCH(F787,Category_Targets!$A$2:$A$9,0)),0)</f>
        <v>0.06</v>
      </c>
      <c r="R787" s="7">
        <f t="shared" si="25"/>
        <v>678.41160000000002</v>
      </c>
    </row>
    <row r="788" spans="1:18" x14ac:dyDescent="0.25">
      <c r="A788" s="5">
        <f>Procurement_Raw!A788</f>
        <v>45963</v>
      </c>
      <c r="B788" t="str">
        <f>Procurement_Raw!B788</f>
        <v>S020</v>
      </c>
      <c r="C788" t="str">
        <f>Procurement_Raw!C788</f>
        <v>Bangor Care &amp; Education Centre</v>
      </c>
      <c r="D788" t="str">
        <f>Procurement_Raw!D788</f>
        <v>Wales</v>
      </c>
      <c r="E788" t="str">
        <f>Procurement_Raw!E788</f>
        <v>NetServe</v>
      </c>
      <c r="F788" t="str">
        <f>Procurement_Raw!F788</f>
        <v>IT &amp; Telecoms</v>
      </c>
      <c r="G788" t="str">
        <f>Procurement_Raw!G788</f>
        <v>INV-2025-00787</v>
      </c>
      <c r="H788" s="6">
        <f>Procurement_Raw!H788</f>
        <v>8</v>
      </c>
      <c r="I788" s="7">
        <f>Procurement_Raw!I788</f>
        <v>348.03</v>
      </c>
      <c r="J788" s="7">
        <f>Procurement_Raw!J788</f>
        <v>2784.23</v>
      </c>
      <c r="K788" s="6">
        <f>Procurement_Raw!K788</f>
        <v>30</v>
      </c>
      <c r="L788" t="str">
        <f>Procurement_Raw!L788</f>
        <v>Legacy Spend File</v>
      </c>
      <c r="M788" s="8">
        <f>Procurement_Raw!M788</f>
        <v>556.846</v>
      </c>
      <c r="N788" s="7">
        <f>Procurement_Raw!N788</f>
        <v>2784.23</v>
      </c>
      <c r="O788" s="7">
        <f t="shared" si="24"/>
        <v>2784.23</v>
      </c>
      <c r="P788" t="str">
        <f>IFERROR(INDEX(Supplier_Lookup!$B$2:$B$200,MATCH(E788,Supplier_Lookup!$A$2:$A$200,0)),"Unmapped")</f>
        <v>IT &amp; Telecoms</v>
      </c>
      <c r="Q788" s="10">
        <f>IFERROR(INDEX(Category_Targets!$B$2:$B$9,MATCH(F788,Category_Targets!$A$2:$A$9,0)),0)</f>
        <v>0.08</v>
      </c>
      <c r="R788" s="7">
        <f t="shared" si="25"/>
        <v>222.73840000000001</v>
      </c>
    </row>
    <row r="789" spans="1:18" x14ac:dyDescent="0.25">
      <c r="A789" s="5">
        <f>Procurement_Raw!A789</f>
        <v>45761</v>
      </c>
      <c r="B789" t="str">
        <f>Procurement_Raw!B789</f>
        <v>S012</v>
      </c>
      <c r="C789" t="str">
        <f>Procurement_Raw!C789</f>
        <v>Bristol Care &amp; Education Centre</v>
      </c>
      <c r="D789" t="str">
        <f>Procurement_Raw!D789</f>
        <v>South</v>
      </c>
      <c r="E789" t="str">
        <f>Procurement_Raw!E789</f>
        <v>OfficePlus</v>
      </c>
      <c r="F789" t="str">
        <f>Procurement_Raw!F789</f>
        <v>Office &amp; Training</v>
      </c>
      <c r="G789" t="str">
        <f>Procurement_Raw!G789</f>
        <v>INV-2025-00788</v>
      </c>
      <c r="H789" s="6">
        <f>Procurement_Raw!H789</f>
        <v>67</v>
      </c>
      <c r="I789" s="7">
        <f>Procurement_Raw!I789</f>
        <v>96.55</v>
      </c>
      <c r="J789" s="7">
        <f>Procurement_Raw!J789</f>
        <v>6468.7</v>
      </c>
      <c r="K789" s="6">
        <f>Procurement_Raw!K789</f>
        <v>45</v>
      </c>
      <c r="L789" t="str">
        <f>Procurement_Raw!L789</f>
        <v>ERP</v>
      </c>
      <c r="M789" s="8">
        <f>Procurement_Raw!M789</f>
        <v>1293.74</v>
      </c>
      <c r="N789" s="7">
        <f>Procurement_Raw!N789</f>
        <v>6468.7</v>
      </c>
      <c r="O789" s="7">
        <f t="shared" si="24"/>
        <v>6468.7</v>
      </c>
      <c r="P789" t="str">
        <f>IFERROR(INDEX(Supplier_Lookup!$B$2:$B$200,MATCH(E789,Supplier_Lookup!$A$2:$A$200,0)),"Unmapped")</f>
        <v>Office &amp; Training</v>
      </c>
      <c r="Q789" s="10">
        <f>IFERROR(INDEX(Category_Targets!$B$2:$B$9,MATCH(F789,Category_Targets!$A$2:$A$9,0)),0)</f>
        <v>0.04</v>
      </c>
      <c r="R789" s="7">
        <f t="shared" si="25"/>
        <v>258.74799999999999</v>
      </c>
    </row>
    <row r="790" spans="1:18" x14ac:dyDescent="0.25">
      <c r="A790" s="5">
        <f>Procurement_Raw!A790</f>
        <v>45744</v>
      </c>
      <c r="B790" t="str">
        <f>Procurement_Raw!B790</f>
        <v>S006</v>
      </c>
      <c r="C790" t="str">
        <f>Procurement_Raw!C790</f>
        <v>Birmingham Care &amp; Education Centre</v>
      </c>
      <c r="D790" t="str">
        <f>Procurement_Raw!D790</f>
        <v>Midlands</v>
      </c>
      <c r="E790" t="str">
        <f>Procurement_Raw!E790</f>
        <v>PowerDirect</v>
      </c>
      <c r="F790" t="str">
        <f>Procurement_Raw!F790</f>
        <v>Utilities</v>
      </c>
      <c r="G790" t="str">
        <f>Procurement_Raw!G790</f>
        <v>INV-2025-00789</v>
      </c>
      <c r="H790" s="6">
        <f>Procurement_Raw!H790</f>
        <v>5</v>
      </c>
      <c r="I790" s="7">
        <f>Procurement_Raw!I790</f>
        <v>240.54</v>
      </c>
      <c r="J790" s="7">
        <f>Procurement_Raw!J790</f>
        <v>1202.68</v>
      </c>
      <c r="K790" s="6">
        <f>Procurement_Raw!K790</f>
        <v>45</v>
      </c>
      <c r="L790" t="str">
        <f>Procurement_Raw!L790</f>
        <v>ERP</v>
      </c>
      <c r="M790" s="8">
        <f>Procurement_Raw!M790</f>
        <v>240.536</v>
      </c>
      <c r="N790" s="7">
        <f>Procurement_Raw!N790</f>
        <v>1202.68</v>
      </c>
      <c r="O790" s="7">
        <f t="shared" si="24"/>
        <v>1202.68</v>
      </c>
      <c r="P790" t="str">
        <f>IFERROR(INDEX(Supplier_Lookup!$B$2:$B$200,MATCH(E790,Supplier_Lookup!$A$2:$A$200,0)),"Unmapped")</f>
        <v>Utilities</v>
      </c>
      <c r="Q790" s="10">
        <f>IFERROR(INDEX(Category_Targets!$B$2:$B$9,MATCH(F790,Category_Targets!$A$2:$A$9,0)),0)</f>
        <v>0.03</v>
      </c>
      <c r="R790" s="7">
        <f t="shared" si="25"/>
        <v>36.080399999999997</v>
      </c>
    </row>
    <row r="791" spans="1:18" x14ac:dyDescent="0.25">
      <c r="A791" s="5">
        <f>Procurement_Raw!A791</f>
        <v>45702</v>
      </c>
      <c r="B791" t="str">
        <f>Procurement_Raw!B791</f>
        <v>S018</v>
      </c>
      <c r="C791" t="str">
        <f>Procurement_Raw!C791</f>
        <v>Newport Care &amp; Education Centre</v>
      </c>
      <c r="D791" t="str">
        <f>Procurement_Raw!D791</f>
        <v>Wales</v>
      </c>
      <c r="E791" t="str">
        <f>Procurement_Raw!E791</f>
        <v>MediSure</v>
      </c>
      <c r="F791" t="str">
        <f>Procurement_Raw!F791</f>
        <v>Medical Supplies</v>
      </c>
      <c r="G791" t="str">
        <f>Procurement_Raw!G791</f>
        <v>INV-2025-00790</v>
      </c>
      <c r="H791" s="6">
        <f>Procurement_Raw!H791</f>
        <v>36</v>
      </c>
      <c r="I791" s="7">
        <f>Procurement_Raw!I791</f>
        <v>48.13</v>
      </c>
      <c r="J791" s="7">
        <f>Procurement_Raw!J791</f>
        <v>1732.78</v>
      </c>
      <c r="K791" s="6">
        <f>Procurement_Raw!K791</f>
        <v>45</v>
      </c>
      <c r="L791" t="str">
        <f>Procurement_Raw!L791</f>
        <v>Procurement Portal</v>
      </c>
      <c r="M791" s="8">
        <f>Procurement_Raw!M791</f>
        <v>346.55599999999998</v>
      </c>
      <c r="N791" s="7">
        <f>Procurement_Raw!N791</f>
        <v>1732.78</v>
      </c>
      <c r="O791" s="7">
        <f t="shared" si="24"/>
        <v>1732.78</v>
      </c>
      <c r="P791" t="str">
        <f>IFERROR(INDEX(Supplier_Lookup!$B$2:$B$200,MATCH(E791,Supplier_Lookup!$A$2:$A$200,0)),"Unmapped")</f>
        <v>Medical Supplies</v>
      </c>
      <c r="Q791" s="10">
        <f>IFERROR(INDEX(Category_Targets!$B$2:$B$9,MATCH(F791,Category_Targets!$A$2:$A$9,0)),0)</f>
        <v>0.06</v>
      </c>
      <c r="R791" s="7">
        <f t="shared" si="25"/>
        <v>103.96679999999999</v>
      </c>
    </row>
    <row r="792" spans="1:18" x14ac:dyDescent="0.25">
      <c r="A792" s="5">
        <f>Procurement_Raw!A792</f>
        <v>45958</v>
      </c>
      <c r="B792" t="str">
        <f>Procurement_Raw!B792</f>
        <v>S016</v>
      </c>
      <c r="C792" t="str">
        <f>Procurement_Raw!C792</f>
        <v>Cardiff Care &amp; Education Centre</v>
      </c>
      <c r="D792" t="str">
        <f>Procurement_Raw!D792</f>
        <v>Wales</v>
      </c>
      <c r="E792" t="str">
        <f>Procurement_Raw!E792</f>
        <v>CareTemps</v>
      </c>
      <c r="F792" t="str">
        <f>Procurement_Raw!F792</f>
        <v>Agency Labour</v>
      </c>
      <c r="G792" t="str">
        <f>Procurement_Raw!G792</f>
        <v>INV-2025-00791</v>
      </c>
      <c r="H792" s="6">
        <f>Procurement_Raw!H792</f>
        <v>26</v>
      </c>
      <c r="I792" s="7">
        <f>Procurement_Raw!I792</f>
        <v>379.96</v>
      </c>
      <c r="J792" s="7">
        <f>Procurement_Raw!J792</f>
        <v>9879.02</v>
      </c>
      <c r="K792" s="6">
        <f>Procurement_Raw!K792</f>
        <v>60</v>
      </c>
      <c r="L792" t="str">
        <f>Procurement_Raw!L792</f>
        <v>ERP</v>
      </c>
      <c r="M792" s="8">
        <f>Procurement_Raw!M792</f>
        <v>1975.8040000000001</v>
      </c>
      <c r="N792" s="7">
        <f>Procurement_Raw!N792</f>
        <v>9879.02</v>
      </c>
      <c r="O792" s="7">
        <f t="shared" si="24"/>
        <v>9879.02</v>
      </c>
      <c r="P792" t="str">
        <f>IFERROR(INDEX(Supplier_Lookup!$B$2:$B$200,MATCH(E792,Supplier_Lookup!$A$2:$A$200,0)),"Unmapped")</f>
        <v>Agency Labour</v>
      </c>
      <c r="Q792" s="10">
        <f>IFERROR(INDEX(Category_Targets!$B$2:$B$9,MATCH(F792,Category_Targets!$A$2:$A$9,0)),0)</f>
        <v>7.0000000000000007E-2</v>
      </c>
      <c r="R792" s="7">
        <f t="shared" si="25"/>
        <v>691.53140000000008</v>
      </c>
    </row>
    <row r="793" spans="1:18" x14ac:dyDescent="0.25">
      <c r="A793" s="5">
        <f>Procurement_Raw!A793</f>
        <v>45939</v>
      </c>
      <c r="B793" t="str">
        <f>Procurement_Raw!B793</f>
        <v>S017</v>
      </c>
      <c r="C793" t="str">
        <f>Procurement_Raw!C793</f>
        <v>Swansea Care &amp; Education Centre</v>
      </c>
      <c r="D793" t="str">
        <f>Procurement_Raw!D793</f>
        <v>Wales</v>
      </c>
      <c r="E793" t="str">
        <f>Procurement_Raw!E793</f>
        <v>FreshServe</v>
      </c>
      <c r="F793" t="str">
        <f>Procurement_Raw!F793</f>
        <v>Food &amp; Catering</v>
      </c>
      <c r="G793" t="str">
        <f>Procurement_Raw!G793</f>
        <v>INV-2025-00792</v>
      </c>
      <c r="H793" s="6">
        <f>Procurement_Raw!H793</f>
        <v>37</v>
      </c>
      <c r="I793" s="7">
        <f>Procurement_Raw!I793</f>
        <v>72.87</v>
      </c>
      <c r="J793" s="7">
        <f>Procurement_Raw!J793</f>
        <v>2696.02</v>
      </c>
      <c r="K793" s="6">
        <f>Procurement_Raw!K793</f>
        <v>60</v>
      </c>
      <c r="L793" t="str">
        <f>Procurement_Raw!L793</f>
        <v>Legacy Spend File</v>
      </c>
      <c r="M793" s="8">
        <f>Procurement_Raw!M793</f>
        <v>539.20399999999995</v>
      </c>
      <c r="N793" s="7">
        <f>Procurement_Raw!N793</f>
        <v>2696.02</v>
      </c>
      <c r="O793" s="7">
        <f t="shared" si="24"/>
        <v>2696.02</v>
      </c>
      <c r="P793" t="str">
        <f>IFERROR(INDEX(Supplier_Lookup!$B$2:$B$200,MATCH(E793,Supplier_Lookup!$A$2:$A$200,0)),"Unmapped")</f>
        <v>Food &amp; Catering</v>
      </c>
      <c r="Q793" s="10">
        <f>IFERROR(INDEX(Category_Targets!$B$2:$B$9,MATCH(F793,Category_Targets!$A$2:$A$9,0)),0)</f>
        <v>0.04</v>
      </c>
      <c r="R793" s="7">
        <f t="shared" si="25"/>
        <v>107.8408</v>
      </c>
    </row>
    <row r="794" spans="1:18" x14ac:dyDescent="0.25">
      <c r="A794" s="5">
        <f>Procurement_Raw!A794</f>
        <v>45799</v>
      </c>
      <c r="B794" t="str">
        <f>Procurement_Raw!B794</f>
        <v>S008</v>
      </c>
      <c r="C794" t="str">
        <f>Procurement_Raw!C794</f>
        <v>Leicester Care &amp; Education Centre</v>
      </c>
      <c r="D794" t="str">
        <f>Procurement_Raw!D794</f>
        <v>Midlands</v>
      </c>
      <c r="E794" t="str">
        <f>Procurement_Raw!E794</f>
        <v>RoadReady</v>
      </c>
      <c r="F794" t="str">
        <f>Procurement_Raw!F794</f>
        <v>Vehicle &amp; Fuel</v>
      </c>
      <c r="G794" t="str">
        <f>Procurement_Raw!G794</f>
        <v>INV-2025-00793</v>
      </c>
      <c r="H794" s="6">
        <f>Procurement_Raw!H794</f>
        <v>29</v>
      </c>
      <c r="I794" s="7">
        <f>Procurement_Raw!I794</f>
        <v>110.3</v>
      </c>
      <c r="J794" s="7">
        <f>Procurement_Raw!J794</f>
        <v>3198.83</v>
      </c>
      <c r="K794" s="6">
        <f>Procurement_Raw!K794</f>
        <v>60</v>
      </c>
      <c r="L794" t="str">
        <f>Procurement_Raw!L794</f>
        <v>ERP</v>
      </c>
      <c r="M794" s="8">
        <f>Procurement_Raw!M794</f>
        <v>639.76599999999996</v>
      </c>
      <c r="N794" s="7">
        <f>Procurement_Raw!N794</f>
        <v>3198.83</v>
      </c>
      <c r="O794" s="7">
        <f t="shared" si="24"/>
        <v>3198.83</v>
      </c>
      <c r="P794" t="str">
        <f>IFERROR(INDEX(Supplier_Lookup!$B$2:$B$200,MATCH(E794,Supplier_Lookup!$A$2:$A$200,0)),"Unmapped")</f>
        <v>Vehicle &amp; Fuel</v>
      </c>
      <c r="Q794" s="10">
        <f>IFERROR(INDEX(Category_Targets!$B$2:$B$9,MATCH(F794,Category_Targets!$A$2:$A$9,0)),0)</f>
        <v>0.05</v>
      </c>
      <c r="R794" s="7">
        <f t="shared" si="25"/>
        <v>159.94150000000002</v>
      </c>
    </row>
    <row r="795" spans="1:18" x14ac:dyDescent="0.25">
      <c r="A795" s="5">
        <f>Procurement_Raw!A795</f>
        <v>45660</v>
      </c>
      <c r="B795" t="str">
        <f>Procurement_Raw!B795</f>
        <v>S016</v>
      </c>
      <c r="C795" t="str">
        <f>Procurement_Raw!C795</f>
        <v>Cardiff Care &amp; Education Centre</v>
      </c>
      <c r="D795" t="str">
        <f>Procurement_Raw!D795</f>
        <v>Wales</v>
      </c>
      <c r="E795" t="str">
        <f>Procurement_Raw!E795</f>
        <v>NurseLink</v>
      </c>
      <c r="F795" t="str">
        <f>Procurement_Raw!F795</f>
        <v>Agency Labour</v>
      </c>
      <c r="G795" t="str">
        <f>Procurement_Raw!G795</f>
        <v>INV-2025-00794</v>
      </c>
      <c r="H795" s="6">
        <f>Procurement_Raw!H795</f>
        <v>34</v>
      </c>
      <c r="I795" s="7">
        <f>Procurement_Raw!I795</f>
        <v>148.65</v>
      </c>
      <c r="J795" s="7">
        <f>Procurement_Raw!J795</f>
        <v>5053.9799999999996</v>
      </c>
      <c r="K795" s="6">
        <f>Procurement_Raw!K795</f>
        <v>30</v>
      </c>
      <c r="L795" t="str">
        <f>Procurement_Raw!L795</f>
        <v>Procurement Portal</v>
      </c>
      <c r="M795" s="8">
        <f>Procurement_Raw!M795</f>
        <v>1010.796</v>
      </c>
      <c r="N795" s="7">
        <f>Procurement_Raw!N795</f>
        <v>5053.9799999999996</v>
      </c>
      <c r="O795" s="7">
        <f t="shared" si="24"/>
        <v>5053.9799999999996</v>
      </c>
      <c r="P795" t="str">
        <f>IFERROR(INDEX(Supplier_Lookup!$B$2:$B$200,MATCH(E795,Supplier_Lookup!$A$2:$A$200,0)),"Unmapped")</f>
        <v>Agency Labour</v>
      </c>
      <c r="Q795" s="10">
        <f>IFERROR(INDEX(Category_Targets!$B$2:$B$9,MATCH(F795,Category_Targets!$A$2:$A$9,0)),0)</f>
        <v>7.0000000000000007E-2</v>
      </c>
      <c r="R795" s="7">
        <f t="shared" si="25"/>
        <v>353.77859999999998</v>
      </c>
    </row>
    <row r="796" spans="1:18" x14ac:dyDescent="0.25">
      <c r="A796" s="5">
        <f>Procurement_Raw!A796</f>
        <v>45695</v>
      </c>
      <c r="B796" t="str">
        <f>Procurement_Raw!B796</f>
        <v>S009</v>
      </c>
      <c r="C796" t="str">
        <f>Procurement_Raw!C796</f>
        <v>Derby Care &amp; Education Centre</v>
      </c>
      <c r="D796" t="str">
        <f>Procurement_Raw!D796</f>
        <v>Midlands</v>
      </c>
      <c r="E796" t="str">
        <f>Procurement_Raw!E796</f>
        <v>KitchenPro</v>
      </c>
      <c r="F796" t="str">
        <f>Procurement_Raw!F796</f>
        <v>Food &amp; Catering</v>
      </c>
      <c r="G796" t="str">
        <f>Procurement_Raw!G796</f>
        <v>INV-2025-00795</v>
      </c>
      <c r="H796" s="6">
        <f>Procurement_Raw!H796</f>
        <v>65</v>
      </c>
      <c r="I796" s="7">
        <f>Procurement_Raw!I796</f>
        <v>35.869999999999997</v>
      </c>
      <c r="J796" s="7">
        <f>Procurement_Raw!J796</f>
        <v>2331.33</v>
      </c>
      <c r="K796" s="6">
        <f>Procurement_Raw!K796</f>
        <v>45</v>
      </c>
      <c r="L796" t="str">
        <f>Procurement_Raw!L796</f>
        <v>Procurement Portal</v>
      </c>
      <c r="M796" s="8">
        <f>Procurement_Raw!M796</f>
        <v>466.26600000000002</v>
      </c>
      <c r="N796" s="7">
        <f>Procurement_Raw!N796</f>
        <v>2331.33</v>
      </c>
      <c r="O796" s="7">
        <f t="shared" si="24"/>
        <v>2331.33</v>
      </c>
      <c r="P796" t="str">
        <f>IFERROR(INDEX(Supplier_Lookup!$B$2:$B$200,MATCH(E796,Supplier_Lookup!$A$2:$A$200,0)),"Unmapped")</f>
        <v>Food &amp; Catering</v>
      </c>
      <c r="Q796" s="10">
        <f>IFERROR(INDEX(Category_Targets!$B$2:$B$9,MATCH(F796,Category_Targets!$A$2:$A$9,0)),0)</f>
        <v>0.04</v>
      </c>
      <c r="R796" s="7">
        <f t="shared" si="25"/>
        <v>93.253199999999993</v>
      </c>
    </row>
    <row r="797" spans="1:18" x14ac:dyDescent="0.25">
      <c r="A797" s="5">
        <f>Procurement_Raw!A797</f>
        <v>45952</v>
      </c>
      <c r="B797" t="str">
        <f>Procurement_Raw!B797</f>
        <v>S015</v>
      </c>
      <c r="C797" t="str">
        <f>Procurement_Raw!C797</f>
        <v>Brighton Care &amp; Education Centre</v>
      </c>
      <c r="D797" t="str">
        <f>Procurement_Raw!D797</f>
        <v>South</v>
      </c>
      <c r="E797" t="str">
        <f>Procurement_Raw!E797</f>
        <v>NetServe</v>
      </c>
      <c r="F797" t="str">
        <f>Procurement_Raw!F797</f>
        <v>IT &amp; Telecoms</v>
      </c>
      <c r="G797" t="str">
        <f>Procurement_Raw!G797</f>
        <v>INV-2025-00796</v>
      </c>
      <c r="H797" s="6">
        <f>Procurement_Raw!H797</f>
        <v>33</v>
      </c>
      <c r="I797" s="7">
        <f>Procurement_Raw!I797</f>
        <v>392.63</v>
      </c>
      <c r="J797" s="7">
        <f>Procurement_Raw!J797</f>
        <v>12956.71</v>
      </c>
      <c r="K797" s="6">
        <f>Procurement_Raw!K797</f>
        <v>60</v>
      </c>
      <c r="L797" t="str">
        <f>Procurement_Raw!L797</f>
        <v>Procurement Portal</v>
      </c>
      <c r="M797" s="8">
        <f>Procurement_Raw!M797</f>
        <v>2591.3420000000001</v>
      </c>
      <c r="N797" s="7">
        <f>Procurement_Raw!N797</f>
        <v>12956.71</v>
      </c>
      <c r="O797" s="7">
        <f t="shared" si="24"/>
        <v>12956.71</v>
      </c>
      <c r="P797" t="str">
        <f>IFERROR(INDEX(Supplier_Lookup!$B$2:$B$200,MATCH(E797,Supplier_Lookup!$A$2:$A$200,0)),"Unmapped")</f>
        <v>IT &amp; Telecoms</v>
      </c>
      <c r="Q797" s="10">
        <f>IFERROR(INDEX(Category_Targets!$B$2:$B$9,MATCH(F797,Category_Targets!$A$2:$A$9,0)),0)</f>
        <v>0.08</v>
      </c>
      <c r="R797" s="7">
        <f t="shared" si="25"/>
        <v>1036.5367999999999</v>
      </c>
    </row>
    <row r="798" spans="1:18" x14ac:dyDescent="0.25">
      <c r="A798" s="5">
        <f>Procurement_Raw!A798</f>
        <v>45831</v>
      </c>
      <c r="B798" t="str">
        <f>Procurement_Raw!B798</f>
        <v>S004</v>
      </c>
      <c r="C798" t="str">
        <f>Procurement_Raw!C798</f>
        <v>Newcastle Care &amp; Education Centre</v>
      </c>
      <c r="D798" t="str">
        <f>Procurement_Raw!D798</f>
        <v>North</v>
      </c>
      <c r="E798" t="str">
        <f>Procurement_Raw!E798</f>
        <v>OfficePlus</v>
      </c>
      <c r="F798" t="str">
        <f>Procurement_Raw!F798</f>
        <v>Office &amp; Training</v>
      </c>
      <c r="G798" t="str">
        <f>Procurement_Raw!G798</f>
        <v>INV-2025-00797</v>
      </c>
      <c r="H798" s="6">
        <f>Procurement_Raw!H798</f>
        <v>59</v>
      </c>
      <c r="I798" s="7">
        <f>Procurement_Raw!I798</f>
        <v>73.39</v>
      </c>
      <c r="J798" s="7">
        <f>Procurement_Raw!J798</f>
        <v>4329.7700000000004</v>
      </c>
      <c r="K798" s="6">
        <f>Procurement_Raw!K798</f>
        <v>60</v>
      </c>
      <c r="L798" t="str">
        <f>Procurement_Raw!L798</f>
        <v>Procurement Portal</v>
      </c>
      <c r="M798" s="8">
        <f>Procurement_Raw!M798</f>
        <v>865.95399999999995</v>
      </c>
      <c r="N798" s="7">
        <f>Procurement_Raw!N798</f>
        <v>4329.7700000000004</v>
      </c>
      <c r="O798" s="7">
        <f t="shared" si="24"/>
        <v>4329.7700000000004</v>
      </c>
      <c r="P798" t="str">
        <f>IFERROR(INDEX(Supplier_Lookup!$B$2:$B$200,MATCH(E798,Supplier_Lookup!$A$2:$A$200,0)),"Unmapped")</f>
        <v>Office &amp; Training</v>
      </c>
      <c r="Q798" s="10">
        <f>IFERROR(INDEX(Category_Targets!$B$2:$B$9,MATCH(F798,Category_Targets!$A$2:$A$9,0)),0)</f>
        <v>0.04</v>
      </c>
      <c r="R798" s="7">
        <f t="shared" si="25"/>
        <v>173.19080000000002</v>
      </c>
    </row>
    <row r="799" spans="1:18" x14ac:dyDescent="0.25">
      <c r="A799" s="5">
        <f>Procurement_Raw!A799</f>
        <v>45717</v>
      </c>
      <c r="B799" t="str">
        <f>Procurement_Raw!B799</f>
        <v>S017</v>
      </c>
      <c r="C799" t="str">
        <f>Procurement_Raw!C799</f>
        <v>Swansea Care &amp; Education Centre</v>
      </c>
      <c r="D799" t="str">
        <f>Procurement_Raw!D799</f>
        <v>Wales</v>
      </c>
      <c r="E799" t="str">
        <f>Procurement_Raw!E799</f>
        <v>CareMed</v>
      </c>
      <c r="F799" t="str">
        <f>Procurement_Raw!F799</f>
        <v>Medical Supplies</v>
      </c>
      <c r="G799" t="str">
        <f>Procurement_Raw!G799</f>
        <v>INV-2025-00798</v>
      </c>
      <c r="H799" s="6">
        <f>Procurement_Raw!H799</f>
        <v>34</v>
      </c>
      <c r="I799" s="7">
        <f>Procurement_Raw!I799</f>
        <v>174.57</v>
      </c>
      <c r="J799" s="7">
        <f>Procurement_Raw!J799</f>
        <v>5935.33</v>
      </c>
      <c r="K799" s="6">
        <f>Procurement_Raw!K799</f>
        <v>30</v>
      </c>
      <c r="L799" t="str">
        <f>Procurement_Raw!L799</f>
        <v>Procurement Portal</v>
      </c>
      <c r="M799" s="8">
        <f>Procurement_Raw!M799</f>
        <v>1187.066</v>
      </c>
      <c r="N799" s="7">
        <f>Procurement_Raw!N799</f>
        <v>5935.33</v>
      </c>
      <c r="O799" s="7">
        <f t="shared" si="24"/>
        <v>5935.33</v>
      </c>
      <c r="P799" t="str">
        <f>IFERROR(INDEX(Supplier_Lookup!$B$2:$B$200,MATCH(E799,Supplier_Lookup!$A$2:$A$200,0)),"Unmapped")</f>
        <v>Medical Supplies</v>
      </c>
      <c r="Q799" s="10">
        <f>IFERROR(INDEX(Category_Targets!$B$2:$B$9,MATCH(F799,Category_Targets!$A$2:$A$9,0)),0)</f>
        <v>0.06</v>
      </c>
      <c r="R799" s="7">
        <f t="shared" si="25"/>
        <v>356.1198</v>
      </c>
    </row>
    <row r="800" spans="1:18" x14ac:dyDescent="0.25">
      <c r="A800" s="5">
        <f>Procurement_Raw!A800</f>
        <v>46017</v>
      </c>
      <c r="B800" t="str">
        <f>Procurement_Raw!B800</f>
        <v>S009</v>
      </c>
      <c r="C800" t="str">
        <f>Procurement_Raw!C800</f>
        <v>Derby Care &amp; Education Centre</v>
      </c>
      <c r="D800" t="str">
        <f>Procurement_Raw!D800</f>
        <v>Midlands</v>
      </c>
      <c r="E800" t="str">
        <f>Procurement_Raw!E800</f>
        <v>PowerDirect</v>
      </c>
      <c r="F800" t="str">
        <f>Procurement_Raw!F800</f>
        <v>Utilities</v>
      </c>
      <c r="G800" t="str">
        <f>Procurement_Raw!G800</f>
        <v>INV-2025-00799</v>
      </c>
      <c r="H800" s="6">
        <f>Procurement_Raw!H800</f>
        <v>30</v>
      </c>
      <c r="I800" s="7">
        <f>Procurement_Raw!I800</f>
        <v>253.92</v>
      </c>
      <c r="J800" s="7">
        <f>Procurement_Raw!J800</f>
        <v>7617.73</v>
      </c>
      <c r="K800" s="6">
        <f>Procurement_Raw!K800</f>
        <v>45</v>
      </c>
      <c r="L800" t="str">
        <f>Procurement_Raw!L800</f>
        <v>Procurement Portal</v>
      </c>
      <c r="M800" s="8">
        <f>Procurement_Raw!M800</f>
        <v>1523.546</v>
      </c>
      <c r="N800" s="7">
        <f>Procurement_Raw!N800</f>
        <v>7617.73</v>
      </c>
      <c r="O800" s="7">
        <f t="shared" si="24"/>
        <v>7617.73</v>
      </c>
      <c r="P800" t="str">
        <f>IFERROR(INDEX(Supplier_Lookup!$B$2:$B$200,MATCH(E800,Supplier_Lookup!$A$2:$A$200,0)),"Unmapped")</f>
        <v>Utilities</v>
      </c>
      <c r="Q800" s="10">
        <f>IFERROR(INDEX(Category_Targets!$B$2:$B$9,MATCH(F800,Category_Targets!$A$2:$A$9,0)),0)</f>
        <v>0.03</v>
      </c>
      <c r="R800" s="7">
        <f t="shared" si="25"/>
        <v>228.53189999999998</v>
      </c>
    </row>
    <row r="801" spans="1:18" x14ac:dyDescent="0.25">
      <c r="A801" s="5">
        <f>Procurement_Raw!A801</f>
        <v>45792</v>
      </c>
      <c r="B801" t="str">
        <f>Procurement_Raw!B801</f>
        <v>S002</v>
      </c>
      <c r="C801" t="str">
        <f>Procurement_Raw!C801</f>
        <v>Manchester Care &amp; Education Centre</v>
      </c>
      <c r="D801" t="str">
        <f>Procurement_Raw!D801</f>
        <v>North</v>
      </c>
      <c r="E801" t="str">
        <f>Procurement_Raw!E801</f>
        <v>ClinEquip</v>
      </c>
      <c r="F801" t="str">
        <f>Procurement_Raw!F801</f>
        <v>Medical Supplies</v>
      </c>
      <c r="G801" t="str">
        <f>Procurement_Raw!G801</f>
        <v>INV-2025-00800</v>
      </c>
      <c r="H801" s="6">
        <f>Procurement_Raw!H801</f>
        <v>32</v>
      </c>
      <c r="I801" s="7">
        <f>Procurement_Raw!I801</f>
        <v>121.98</v>
      </c>
      <c r="J801" s="7">
        <f>Procurement_Raw!J801</f>
        <v>3903.36</v>
      </c>
      <c r="K801" s="6">
        <f>Procurement_Raw!K801</f>
        <v>45</v>
      </c>
      <c r="L801" t="str">
        <f>Procurement_Raw!L801</f>
        <v>ERP</v>
      </c>
      <c r="M801" s="8">
        <f>Procurement_Raw!M801</f>
        <v>780.67200000000003</v>
      </c>
      <c r="N801" s="7">
        <f>Procurement_Raw!N801</f>
        <v>3903.36</v>
      </c>
      <c r="O801" s="7">
        <f t="shared" si="24"/>
        <v>3903.36</v>
      </c>
      <c r="P801" t="str">
        <f>IFERROR(INDEX(Supplier_Lookup!$B$2:$B$200,MATCH(E801,Supplier_Lookup!$A$2:$A$200,0)),"Unmapped")</f>
        <v>Medical Supplies</v>
      </c>
      <c r="Q801" s="10">
        <f>IFERROR(INDEX(Category_Targets!$B$2:$B$9,MATCH(F801,Category_Targets!$A$2:$A$9,0)),0)</f>
        <v>0.06</v>
      </c>
      <c r="R801" s="7">
        <f t="shared" si="25"/>
        <v>234.20159999999998</v>
      </c>
    </row>
    <row r="802" spans="1:18" x14ac:dyDescent="0.25">
      <c r="A802" s="5">
        <f>Procurement_Raw!A802</f>
        <v>45941</v>
      </c>
      <c r="B802" t="str">
        <f>Procurement_Raw!B802</f>
        <v>S012</v>
      </c>
      <c r="C802" t="str">
        <f>Procurement_Raw!C802</f>
        <v>Bristol Care &amp; Education Centre</v>
      </c>
      <c r="D802" t="str">
        <f>Procurement_Raw!D802</f>
        <v>South</v>
      </c>
      <c r="E802" t="str">
        <f>Procurement_Raw!E802</f>
        <v>FleetFuel</v>
      </c>
      <c r="F802" t="str">
        <f>Procurement_Raw!F802</f>
        <v>Vehicle &amp; Fuel</v>
      </c>
      <c r="G802" t="str">
        <f>Procurement_Raw!G802</f>
        <v>INV-2025-00801</v>
      </c>
      <c r="H802" s="6">
        <f>Procurement_Raw!H802</f>
        <v>23</v>
      </c>
      <c r="I802" s="7">
        <f>Procurement_Raw!I802</f>
        <v>159.16</v>
      </c>
      <c r="J802" s="7">
        <f>Procurement_Raw!J802</f>
        <v>3660.76</v>
      </c>
      <c r="K802" s="6">
        <f>Procurement_Raw!K802</f>
        <v>45</v>
      </c>
      <c r="L802" t="str">
        <f>Procurement_Raw!L802</f>
        <v>Procurement Portal</v>
      </c>
      <c r="M802" s="8">
        <f>Procurement_Raw!M802</f>
        <v>732.15200000000004</v>
      </c>
      <c r="N802" s="7">
        <f>Procurement_Raw!N802</f>
        <v>3660.76</v>
      </c>
      <c r="O802" s="7">
        <f t="shared" si="24"/>
        <v>3660.76</v>
      </c>
      <c r="P802" t="str">
        <f>IFERROR(INDEX(Supplier_Lookup!$B$2:$B$200,MATCH(E802,Supplier_Lookup!$A$2:$A$200,0)),"Unmapped")</f>
        <v>Vehicle &amp; Fuel</v>
      </c>
      <c r="Q802" s="10">
        <f>IFERROR(INDEX(Category_Targets!$B$2:$B$9,MATCH(F802,Category_Targets!$A$2:$A$9,0)),0)</f>
        <v>0.05</v>
      </c>
      <c r="R802" s="7">
        <f t="shared" si="25"/>
        <v>183.03800000000001</v>
      </c>
    </row>
    <row r="803" spans="1:18" x14ac:dyDescent="0.25">
      <c r="A803" s="5">
        <f>Procurement_Raw!A803</f>
        <v>45795</v>
      </c>
      <c r="B803" t="str">
        <f>Procurement_Raw!B803</f>
        <v>S010</v>
      </c>
      <c r="C803" t="str">
        <f>Procurement_Raw!C803</f>
        <v>Coventry Care &amp; Education Centre</v>
      </c>
      <c r="D803" t="str">
        <f>Procurement_Raw!D803</f>
        <v>Midlands</v>
      </c>
      <c r="E803" t="str">
        <f>Procurement_Raw!E803</f>
        <v>PowerDirect</v>
      </c>
      <c r="F803" t="str">
        <f>Procurement_Raw!F803</f>
        <v>Utilities</v>
      </c>
      <c r="G803" t="str">
        <f>Procurement_Raw!G803</f>
        <v>INV-2025-00802</v>
      </c>
      <c r="H803" s="6">
        <f>Procurement_Raw!H803</f>
        <v>24</v>
      </c>
      <c r="I803" s="7">
        <f>Procurement_Raw!I803</f>
        <v>188.22</v>
      </c>
      <c r="J803" s="7">
        <f>Procurement_Raw!J803</f>
        <v>4517.3900000000003</v>
      </c>
      <c r="K803" s="6">
        <f>Procurement_Raw!K803</f>
        <v>60</v>
      </c>
      <c r="L803" t="str">
        <f>Procurement_Raw!L803</f>
        <v>Legacy Spend File</v>
      </c>
      <c r="M803" s="8">
        <f>Procurement_Raw!M803</f>
        <v>903.47799999999995</v>
      </c>
      <c r="N803" s="7">
        <f>Procurement_Raw!N803</f>
        <v>4517.3900000000003</v>
      </c>
      <c r="O803" s="7">
        <f t="shared" si="24"/>
        <v>4517.3900000000003</v>
      </c>
      <c r="P803" t="str">
        <f>IFERROR(INDEX(Supplier_Lookup!$B$2:$B$200,MATCH(E803,Supplier_Lookup!$A$2:$A$200,0)),"Unmapped")</f>
        <v>Utilities</v>
      </c>
      <c r="Q803" s="10">
        <f>IFERROR(INDEX(Category_Targets!$B$2:$B$9,MATCH(F803,Category_Targets!$A$2:$A$9,0)),0)</f>
        <v>0.03</v>
      </c>
      <c r="R803" s="7">
        <f t="shared" si="25"/>
        <v>135.52170000000001</v>
      </c>
    </row>
    <row r="804" spans="1:18" x14ac:dyDescent="0.25">
      <c r="A804" s="5">
        <f>Procurement_Raw!A804</f>
        <v>45760</v>
      </c>
      <c r="B804" t="str">
        <f>Procurement_Raw!B804</f>
        <v>S001</v>
      </c>
      <c r="C804" t="str">
        <f>Procurement_Raw!C804</f>
        <v>Preston Care &amp; Education Centre</v>
      </c>
      <c r="D804" t="str">
        <f>Procurement_Raw!D804</f>
        <v>North</v>
      </c>
      <c r="E804" t="str">
        <f>Procurement_Raw!E804</f>
        <v>PrintCo</v>
      </c>
      <c r="F804" t="str">
        <f>Procurement_Raw!F804</f>
        <v>Office &amp; Training</v>
      </c>
      <c r="G804" t="str">
        <f>Procurement_Raw!G804</f>
        <v>INV-2025-00803</v>
      </c>
      <c r="H804" s="6">
        <f>Procurement_Raw!H804</f>
        <v>31</v>
      </c>
      <c r="I804" s="7">
        <f>Procurement_Raw!I804</f>
        <v>79.069999999999993</v>
      </c>
      <c r="J804" s="7">
        <f>Procurement_Raw!J804</f>
        <v>2451.2199999999998</v>
      </c>
      <c r="K804" s="6">
        <f>Procurement_Raw!K804</f>
        <v>60</v>
      </c>
      <c r="L804" t="str">
        <f>Procurement_Raw!L804</f>
        <v>ERP</v>
      </c>
      <c r="M804" s="8">
        <f>Procurement_Raw!M804</f>
        <v>490.24400000000003</v>
      </c>
      <c r="N804" s="7">
        <f>Procurement_Raw!N804</f>
        <v>2451.2199999999998</v>
      </c>
      <c r="O804" s="7">
        <f t="shared" si="24"/>
        <v>2451.2199999999998</v>
      </c>
      <c r="P804" t="str">
        <f>IFERROR(INDEX(Supplier_Lookup!$B$2:$B$200,MATCH(E804,Supplier_Lookup!$A$2:$A$200,0)),"Unmapped")</f>
        <v>Office &amp; Training</v>
      </c>
      <c r="Q804" s="10">
        <f>IFERROR(INDEX(Category_Targets!$B$2:$B$9,MATCH(F804,Category_Targets!$A$2:$A$9,0)),0)</f>
        <v>0.04</v>
      </c>
      <c r="R804" s="7">
        <f t="shared" si="25"/>
        <v>98.0488</v>
      </c>
    </row>
    <row r="805" spans="1:18" x14ac:dyDescent="0.25">
      <c r="A805" s="5">
        <f>Procurement_Raw!A805</f>
        <v>45761</v>
      </c>
      <c r="B805" t="str">
        <f>Procurement_Raw!B805</f>
        <v>S004</v>
      </c>
      <c r="C805" t="str">
        <f>Procurement_Raw!C805</f>
        <v>Newcastle Care &amp; Education Centre</v>
      </c>
      <c r="D805" t="str">
        <f>Procurement_Raw!D805</f>
        <v>North</v>
      </c>
      <c r="E805" t="str">
        <f>Procurement_Raw!E805</f>
        <v>UK Energy Partners</v>
      </c>
      <c r="F805" t="str">
        <f>Procurement_Raw!F805</f>
        <v>Utilities</v>
      </c>
      <c r="G805" t="str">
        <f>Procurement_Raw!G805</f>
        <v>INV-2025-00804</v>
      </c>
      <c r="H805" s="6">
        <f>Procurement_Raw!H805</f>
        <v>32</v>
      </c>
      <c r="I805" s="7">
        <f>Procurement_Raw!I805</f>
        <v>193.87</v>
      </c>
      <c r="J805" s="7">
        <f>Procurement_Raw!J805</f>
        <v>6203.97</v>
      </c>
      <c r="K805" s="6">
        <f>Procurement_Raw!K805</f>
        <v>60</v>
      </c>
      <c r="L805" t="str">
        <f>Procurement_Raw!L805</f>
        <v>Procurement Portal</v>
      </c>
      <c r="M805" s="8">
        <f>Procurement_Raw!M805</f>
        <v>1240.7940000000001</v>
      </c>
      <c r="N805" s="7">
        <f>Procurement_Raw!N805</f>
        <v>6203.97</v>
      </c>
      <c r="O805" s="7">
        <f t="shared" si="24"/>
        <v>6203.97</v>
      </c>
      <c r="P805" t="str">
        <f>IFERROR(INDEX(Supplier_Lookup!$B$2:$B$200,MATCH(E805,Supplier_Lookup!$A$2:$A$200,0)),"Unmapped")</f>
        <v>Utilities</v>
      </c>
      <c r="Q805" s="10">
        <f>IFERROR(INDEX(Category_Targets!$B$2:$B$9,MATCH(F805,Category_Targets!$A$2:$A$9,0)),0)</f>
        <v>0.03</v>
      </c>
      <c r="R805" s="7">
        <f t="shared" si="25"/>
        <v>186.1191</v>
      </c>
    </row>
    <row r="806" spans="1:18" x14ac:dyDescent="0.25">
      <c r="A806" s="5">
        <f>Procurement_Raw!A806</f>
        <v>45698</v>
      </c>
      <c r="B806" t="str">
        <f>Procurement_Raw!B806</f>
        <v>S003</v>
      </c>
      <c r="C806" t="str">
        <f>Procurement_Raw!C806</f>
        <v>Leeds Care &amp; Education Centre</v>
      </c>
      <c r="D806" t="str">
        <f>Procurement_Raw!D806</f>
        <v>North</v>
      </c>
      <c r="E806" t="str">
        <f>Procurement_Raw!E806</f>
        <v>FreshServe</v>
      </c>
      <c r="F806" t="str">
        <f>Procurement_Raw!F806</f>
        <v>Food &amp; Catering</v>
      </c>
      <c r="G806" t="str">
        <f>Procurement_Raw!G806</f>
        <v>INV-2025-00805</v>
      </c>
      <c r="H806" s="6">
        <f>Procurement_Raw!H806</f>
        <v>64</v>
      </c>
      <c r="I806" s="7">
        <f>Procurement_Raw!I806</f>
        <v>51.18</v>
      </c>
      <c r="J806" s="7">
        <f>Procurement_Raw!J806</f>
        <v>3275.73</v>
      </c>
      <c r="K806" s="6">
        <f>Procurement_Raw!K806</f>
        <v>60</v>
      </c>
      <c r="L806" t="str">
        <f>Procurement_Raw!L806</f>
        <v>ERP</v>
      </c>
      <c r="M806" s="8">
        <f>Procurement_Raw!M806</f>
        <v>655.14599999999996</v>
      </c>
      <c r="N806" s="7">
        <f>Procurement_Raw!N806</f>
        <v>3275.73</v>
      </c>
      <c r="O806" s="7">
        <f t="shared" si="24"/>
        <v>3275.73</v>
      </c>
      <c r="P806" t="str">
        <f>IFERROR(INDEX(Supplier_Lookup!$B$2:$B$200,MATCH(E806,Supplier_Lookup!$A$2:$A$200,0)),"Unmapped")</f>
        <v>Food &amp; Catering</v>
      </c>
      <c r="Q806" s="10">
        <f>IFERROR(INDEX(Category_Targets!$B$2:$B$9,MATCH(F806,Category_Targets!$A$2:$A$9,0)),0)</f>
        <v>0.04</v>
      </c>
      <c r="R806" s="7">
        <f t="shared" si="25"/>
        <v>131.0292</v>
      </c>
    </row>
    <row r="807" spans="1:18" x14ac:dyDescent="0.25">
      <c r="A807" s="5">
        <f>Procurement_Raw!A807</f>
        <v>45848</v>
      </c>
      <c r="B807" t="str">
        <f>Procurement_Raw!B807</f>
        <v>S012</v>
      </c>
      <c r="C807" t="str">
        <f>Procurement_Raw!C807</f>
        <v>Bristol Care &amp; Education Centre</v>
      </c>
      <c r="D807" t="str">
        <f>Procurement_Raw!D807</f>
        <v>South</v>
      </c>
      <c r="E807" t="str">
        <f>Procurement_Raw!E807</f>
        <v>CareMed</v>
      </c>
      <c r="F807" t="str">
        <f>Procurement_Raw!F807</f>
        <v>Medical Supplies</v>
      </c>
      <c r="G807" t="str">
        <f>Procurement_Raw!G807</f>
        <v>INV-2025-00806</v>
      </c>
      <c r="H807" s="6">
        <f>Procurement_Raw!H807</f>
        <v>80</v>
      </c>
      <c r="I807" s="7">
        <f>Procurement_Raw!I807</f>
        <v>101.24</v>
      </c>
      <c r="J807" s="7">
        <f>Procurement_Raw!J807</f>
        <v>8098.82</v>
      </c>
      <c r="K807" s="6">
        <f>Procurement_Raw!K807</f>
        <v>45</v>
      </c>
      <c r="L807" t="str">
        <f>Procurement_Raw!L807</f>
        <v>Procurement Portal</v>
      </c>
      <c r="M807" s="8">
        <f>Procurement_Raw!M807</f>
        <v>1619.7639999999999</v>
      </c>
      <c r="N807" s="7">
        <f>Procurement_Raw!N807</f>
        <v>8098.82</v>
      </c>
      <c r="O807" s="7">
        <f t="shared" si="24"/>
        <v>8098.82</v>
      </c>
      <c r="P807" t="str">
        <f>IFERROR(INDEX(Supplier_Lookup!$B$2:$B$200,MATCH(E807,Supplier_Lookup!$A$2:$A$200,0)),"Unmapped")</f>
        <v>Medical Supplies</v>
      </c>
      <c r="Q807" s="10">
        <f>IFERROR(INDEX(Category_Targets!$B$2:$B$9,MATCH(F807,Category_Targets!$A$2:$A$9,0)),0)</f>
        <v>0.06</v>
      </c>
      <c r="R807" s="7">
        <f t="shared" si="25"/>
        <v>485.92919999999998</v>
      </c>
    </row>
    <row r="808" spans="1:18" x14ac:dyDescent="0.25">
      <c r="A808" s="5">
        <f>Procurement_Raw!A808</f>
        <v>45751</v>
      </c>
      <c r="B808" t="str">
        <f>Procurement_Raw!B808</f>
        <v>S016</v>
      </c>
      <c r="C808" t="str">
        <f>Procurement_Raw!C808</f>
        <v>Cardiff Care &amp; Education Centre</v>
      </c>
      <c r="D808" t="str">
        <f>Procurement_Raw!D808</f>
        <v>Wales</v>
      </c>
      <c r="E808" t="str">
        <f>Procurement_Raw!E808</f>
        <v>TeleCare IT</v>
      </c>
      <c r="F808" t="str">
        <f>Procurement_Raw!F808</f>
        <v>IT &amp; Telecoms</v>
      </c>
      <c r="G808" t="str">
        <f>Procurement_Raw!G808</f>
        <v>INV-2025-00807</v>
      </c>
      <c r="H808" s="6">
        <f>Procurement_Raw!H808</f>
        <v>66</v>
      </c>
      <c r="I808" s="7">
        <f>Procurement_Raw!I808</f>
        <v>248.59</v>
      </c>
      <c r="J808" s="7">
        <f>Procurement_Raw!J808</f>
        <v>16406.88</v>
      </c>
      <c r="K808" s="6">
        <f>Procurement_Raw!K808</f>
        <v>45</v>
      </c>
      <c r="L808" t="str">
        <f>Procurement_Raw!L808</f>
        <v>Procurement Portal</v>
      </c>
      <c r="M808" s="8">
        <f>Procurement_Raw!M808</f>
        <v>3281.3760000000002</v>
      </c>
      <c r="N808" s="7">
        <f>Procurement_Raw!N808</f>
        <v>16406.88</v>
      </c>
      <c r="O808" s="7">
        <f t="shared" si="24"/>
        <v>16406.88</v>
      </c>
      <c r="P808" t="str">
        <f>IFERROR(INDEX(Supplier_Lookup!$B$2:$B$200,MATCH(E808,Supplier_Lookup!$A$2:$A$200,0)),"Unmapped")</f>
        <v>IT &amp; Telecoms</v>
      </c>
      <c r="Q808" s="10">
        <f>IFERROR(INDEX(Category_Targets!$B$2:$B$9,MATCH(F808,Category_Targets!$A$2:$A$9,0)),0)</f>
        <v>0.08</v>
      </c>
      <c r="R808" s="7">
        <f t="shared" si="25"/>
        <v>1312.5504000000001</v>
      </c>
    </row>
    <row r="809" spans="1:18" x14ac:dyDescent="0.25">
      <c r="A809" s="5">
        <f>Procurement_Raw!A809</f>
        <v>45927</v>
      </c>
      <c r="B809" t="str">
        <f>Procurement_Raw!B809</f>
        <v>S020</v>
      </c>
      <c r="C809" t="str">
        <f>Procurement_Raw!C809</f>
        <v>Bangor Care &amp; Education Centre</v>
      </c>
      <c r="D809" t="str">
        <f>Procurement_Raw!D809</f>
        <v>Wales</v>
      </c>
      <c r="E809" t="str">
        <f>Procurement_Raw!E809</f>
        <v>CleanWorks</v>
      </c>
      <c r="F809" t="str">
        <f>Procurement_Raw!F809</f>
        <v>Facilities</v>
      </c>
      <c r="G809" t="str">
        <f>Procurement_Raw!G809</f>
        <v>INV-2025-00808</v>
      </c>
      <c r="H809" s="6">
        <f>Procurement_Raw!H809</f>
        <v>55</v>
      </c>
      <c r="I809" s="7">
        <f>Procurement_Raw!I809</f>
        <v>138.33000000000001</v>
      </c>
      <c r="J809" s="7">
        <f>Procurement_Raw!J809</f>
        <v>7608.17</v>
      </c>
      <c r="K809" s="6">
        <f>Procurement_Raw!K809</f>
        <v>45</v>
      </c>
      <c r="L809" t="str">
        <f>Procurement_Raw!L809</f>
        <v>Legacy Spend File</v>
      </c>
      <c r="M809" s="8">
        <f>Procurement_Raw!M809</f>
        <v>1521.634</v>
      </c>
      <c r="N809" s="7">
        <f>Procurement_Raw!N809</f>
        <v>7608.17</v>
      </c>
      <c r="O809" s="7">
        <f t="shared" si="24"/>
        <v>7608.17</v>
      </c>
      <c r="P809" t="str">
        <f>IFERROR(INDEX(Supplier_Lookup!$B$2:$B$200,MATCH(E809,Supplier_Lookup!$A$2:$A$200,0)),"Unmapped")</f>
        <v>Facilities</v>
      </c>
      <c r="Q809" s="10">
        <f>IFERROR(INDEX(Category_Targets!$B$2:$B$9,MATCH(F809,Category_Targets!$A$2:$A$9,0)),0)</f>
        <v>0.05</v>
      </c>
      <c r="R809" s="7">
        <f t="shared" si="25"/>
        <v>380.4085</v>
      </c>
    </row>
    <row r="810" spans="1:18" x14ac:dyDescent="0.25">
      <c r="A810" s="5">
        <f>Procurement_Raw!A810</f>
        <v>46009</v>
      </c>
      <c r="B810" t="str">
        <f>Procurement_Raw!B810</f>
        <v>S020</v>
      </c>
      <c r="C810" t="str">
        <f>Procurement_Raw!C810</f>
        <v>Bangor Care &amp; Education Centre</v>
      </c>
      <c r="D810" t="str">
        <f>Procurement_Raw!D810</f>
        <v>Wales</v>
      </c>
      <c r="E810" t="str">
        <f>Procurement_Raw!E810</f>
        <v>RoadReady</v>
      </c>
      <c r="F810" t="str">
        <f>Procurement_Raw!F810</f>
        <v>Vehicle &amp; Fuel</v>
      </c>
      <c r="G810" t="str">
        <f>Procurement_Raw!G810</f>
        <v>INV-2025-00809</v>
      </c>
      <c r="H810" s="6">
        <f>Procurement_Raw!H810</f>
        <v>23</v>
      </c>
      <c r="I810" s="7">
        <f>Procurement_Raw!I810</f>
        <v>189.53</v>
      </c>
      <c r="J810" s="7">
        <f>Procurement_Raw!J810</f>
        <v>4359.17</v>
      </c>
      <c r="K810" s="6">
        <f>Procurement_Raw!K810</f>
        <v>45</v>
      </c>
      <c r="L810" t="str">
        <f>Procurement_Raw!L810</f>
        <v>ERP</v>
      </c>
      <c r="M810" s="8">
        <f>Procurement_Raw!M810</f>
        <v>871.83399999999995</v>
      </c>
      <c r="N810" s="7">
        <f>Procurement_Raw!N810</f>
        <v>4359.17</v>
      </c>
      <c r="O810" s="7">
        <f t="shared" si="24"/>
        <v>4359.17</v>
      </c>
      <c r="P810" t="str">
        <f>IFERROR(INDEX(Supplier_Lookup!$B$2:$B$200,MATCH(E810,Supplier_Lookup!$A$2:$A$200,0)),"Unmapped")</f>
        <v>Vehicle &amp; Fuel</v>
      </c>
      <c r="Q810" s="10">
        <f>IFERROR(INDEX(Category_Targets!$B$2:$B$9,MATCH(F810,Category_Targets!$A$2:$A$9,0)),0)</f>
        <v>0.05</v>
      </c>
      <c r="R810" s="7">
        <f t="shared" si="25"/>
        <v>217.95850000000002</v>
      </c>
    </row>
    <row r="811" spans="1:18" x14ac:dyDescent="0.25">
      <c r="A811" s="5">
        <f>Procurement_Raw!A811</f>
        <v>46010</v>
      </c>
      <c r="B811" t="str">
        <f>Procurement_Raw!B811</f>
        <v>S019</v>
      </c>
      <c r="C811" t="str">
        <f>Procurement_Raw!C811</f>
        <v>Wrexham Care &amp; Education Centre</v>
      </c>
      <c r="D811" t="str">
        <f>Procurement_Raw!D811</f>
        <v>Wales</v>
      </c>
      <c r="E811" t="str">
        <f>Procurement_Raw!E811</f>
        <v>LearnWell</v>
      </c>
      <c r="F811" t="str">
        <f>Procurement_Raw!F811</f>
        <v>Office &amp; Training</v>
      </c>
      <c r="G811" t="str">
        <f>Procurement_Raw!G811</f>
        <v>INV-2025-00810</v>
      </c>
      <c r="H811" s="6">
        <f>Procurement_Raw!H811</f>
        <v>2</v>
      </c>
      <c r="I811" s="7">
        <f>Procurement_Raw!I811</f>
        <v>45.85</v>
      </c>
      <c r="J811" s="7">
        <f>Procurement_Raw!J811</f>
        <v>91.71</v>
      </c>
      <c r="K811" s="6">
        <f>Procurement_Raw!K811</f>
        <v>30</v>
      </c>
      <c r="L811" t="str">
        <f>Procurement_Raw!L811</f>
        <v>Legacy Spend File</v>
      </c>
      <c r="M811" s="8">
        <f>Procurement_Raw!M811</f>
        <v>18.341999999999999</v>
      </c>
      <c r="N811" s="7">
        <f>Procurement_Raw!N811</f>
        <v>91.71</v>
      </c>
      <c r="O811" s="7">
        <f t="shared" si="24"/>
        <v>91.71</v>
      </c>
      <c r="P811" t="str">
        <f>IFERROR(INDEX(Supplier_Lookup!$B$2:$B$200,MATCH(E811,Supplier_Lookup!$A$2:$A$200,0)),"Unmapped")</f>
        <v>Office &amp; Training</v>
      </c>
      <c r="Q811" s="10">
        <f>IFERROR(INDEX(Category_Targets!$B$2:$B$9,MATCH(F811,Category_Targets!$A$2:$A$9,0)),0)</f>
        <v>0.04</v>
      </c>
      <c r="R811" s="7">
        <f t="shared" si="25"/>
        <v>3.6683999999999997</v>
      </c>
    </row>
    <row r="812" spans="1:18" x14ac:dyDescent="0.25">
      <c r="A812" s="5">
        <f>Procurement_Raw!A812</f>
        <v>45709</v>
      </c>
      <c r="B812" t="str">
        <f>Procurement_Raw!B812</f>
        <v>S006</v>
      </c>
      <c r="C812" t="str">
        <f>Procurement_Raw!C812</f>
        <v>Birmingham Care &amp; Education Centre</v>
      </c>
      <c r="D812" t="str">
        <f>Procurement_Raw!D812</f>
        <v>Midlands</v>
      </c>
      <c r="E812" t="str">
        <f>Procurement_Raw!E812</f>
        <v>NurseLink</v>
      </c>
      <c r="F812" t="str">
        <f>Procurement_Raw!F812</f>
        <v>Agency Labour</v>
      </c>
      <c r="G812" t="str">
        <f>Procurement_Raw!G812</f>
        <v>INV-2025-00811</v>
      </c>
      <c r="H812" s="6">
        <f>Procurement_Raw!H812</f>
        <v>42</v>
      </c>
      <c r="I812" s="7">
        <f>Procurement_Raw!I812</f>
        <v>270.7</v>
      </c>
      <c r="J812" s="7">
        <f>Procurement_Raw!J812</f>
        <v>11369.31</v>
      </c>
      <c r="K812" s="6">
        <f>Procurement_Raw!K812</f>
        <v>45</v>
      </c>
      <c r="L812" t="str">
        <f>Procurement_Raw!L812</f>
        <v>Legacy Spend File</v>
      </c>
      <c r="M812" s="8">
        <f>Procurement_Raw!M812</f>
        <v>2273.8620000000001</v>
      </c>
      <c r="N812" s="7">
        <f>Procurement_Raw!N812</f>
        <v>11369.31</v>
      </c>
      <c r="O812" s="7">
        <f t="shared" si="24"/>
        <v>11369.31</v>
      </c>
      <c r="P812" t="str">
        <f>IFERROR(INDEX(Supplier_Lookup!$B$2:$B$200,MATCH(E812,Supplier_Lookup!$A$2:$A$200,0)),"Unmapped")</f>
        <v>Agency Labour</v>
      </c>
      <c r="Q812" s="10">
        <f>IFERROR(INDEX(Category_Targets!$B$2:$B$9,MATCH(F812,Category_Targets!$A$2:$A$9,0)),0)</f>
        <v>7.0000000000000007E-2</v>
      </c>
      <c r="R812" s="7">
        <f t="shared" si="25"/>
        <v>795.85170000000005</v>
      </c>
    </row>
    <row r="813" spans="1:18" x14ac:dyDescent="0.25">
      <c r="A813" s="5">
        <f>Procurement_Raw!A813</f>
        <v>45792</v>
      </c>
      <c r="B813" t="str">
        <f>Procurement_Raw!B813</f>
        <v>S015</v>
      </c>
      <c r="C813" t="str">
        <f>Procurement_Raw!C813</f>
        <v>Brighton Care &amp; Education Centre</v>
      </c>
      <c r="D813" t="str">
        <f>Procurement_Raw!D813</f>
        <v>South</v>
      </c>
      <c r="E813" t="str">
        <f>Procurement_Raw!E813</f>
        <v>BuildCare</v>
      </c>
      <c r="F813" t="str">
        <f>Procurement_Raw!F813</f>
        <v>Facilities</v>
      </c>
      <c r="G813" t="str">
        <f>Procurement_Raw!G813</f>
        <v>INV-2025-00812</v>
      </c>
      <c r="H813" s="6">
        <f>Procurement_Raw!H813</f>
        <v>31</v>
      </c>
      <c r="I813" s="7">
        <f>Procurement_Raw!I813</f>
        <v>141.33000000000001</v>
      </c>
      <c r="J813" s="7">
        <f>Procurement_Raw!J813</f>
        <v>4381.26</v>
      </c>
      <c r="K813" s="6">
        <f>Procurement_Raw!K813</f>
        <v>45</v>
      </c>
      <c r="L813" t="str">
        <f>Procurement_Raw!L813</f>
        <v>Procurement Portal</v>
      </c>
      <c r="M813" s="8">
        <f>Procurement_Raw!M813</f>
        <v>876.25199999999995</v>
      </c>
      <c r="N813" s="7">
        <f>Procurement_Raw!N813</f>
        <v>4381.26</v>
      </c>
      <c r="O813" s="7">
        <f t="shared" si="24"/>
        <v>4381.26</v>
      </c>
      <c r="P813" t="str">
        <f>IFERROR(INDEX(Supplier_Lookup!$B$2:$B$200,MATCH(E813,Supplier_Lookup!$A$2:$A$200,0)),"Unmapped")</f>
        <v>Facilities</v>
      </c>
      <c r="Q813" s="10">
        <f>IFERROR(INDEX(Category_Targets!$B$2:$B$9,MATCH(F813,Category_Targets!$A$2:$A$9,0)),0)</f>
        <v>0.05</v>
      </c>
      <c r="R813" s="7">
        <f t="shared" si="25"/>
        <v>219.06300000000002</v>
      </c>
    </row>
    <row r="814" spans="1:18" x14ac:dyDescent="0.25">
      <c r="A814" s="5">
        <f>Procurement_Raw!A814</f>
        <v>45752</v>
      </c>
      <c r="B814" t="str">
        <f>Procurement_Raw!B814</f>
        <v>S003</v>
      </c>
      <c r="C814" t="str">
        <f>Procurement_Raw!C814</f>
        <v>Leeds Care &amp; Education Centre</v>
      </c>
      <c r="D814" t="str">
        <f>Procurement_Raw!D814</f>
        <v>North</v>
      </c>
      <c r="E814" t="str">
        <f>Procurement_Raw!E814</f>
        <v>RoadReady</v>
      </c>
      <c r="F814" t="str">
        <f>Procurement_Raw!F814</f>
        <v>Vehicle &amp; Fuel</v>
      </c>
      <c r="G814" t="str">
        <f>Procurement_Raw!G814</f>
        <v>INV-2025-00813</v>
      </c>
      <c r="H814" s="6">
        <f>Procurement_Raw!H814</f>
        <v>64</v>
      </c>
      <c r="I814" s="7">
        <f>Procurement_Raw!I814</f>
        <v>210.55</v>
      </c>
      <c r="J814" s="7">
        <f>Procurement_Raw!J814</f>
        <v>13475.09</v>
      </c>
      <c r="K814" s="6">
        <f>Procurement_Raw!K814</f>
        <v>45</v>
      </c>
      <c r="L814" t="str">
        <f>Procurement_Raw!L814</f>
        <v>ERP</v>
      </c>
      <c r="M814" s="8">
        <f>Procurement_Raw!M814</f>
        <v>2695.018</v>
      </c>
      <c r="N814" s="7">
        <f>Procurement_Raw!N814</f>
        <v>13475.09</v>
      </c>
      <c r="O814" s="7">
        <f t="shared" si="24"/>
        <v>13475.09</v>
      </c>
      <c r="P814" t="str">
        <f>IFERROR(INDEX(Supplier_Lookup!$B$2:$B$200,MATCH(E814,Supplier_Lookup!$A$2:$A$200,0)),"Unmapped")</f>
        <v>Vehicle &amp; Fuel</v>
      </c>
      <c r="Q814" s="10">
        <f>IFERROR(INDEX(Category_Targets!$B$2:$B$9,MATCH(F814,Category_Targets!$A$2:$A$9,0)),0)</f>
        <v>0.05</v>
      </c>
      <c r="R814" s="7">
        <f t="shared" si="25"/>
        <v>673.75450000000001</v>
      </c>
    </row>
    <row r="815" spans="1:18" x14ac:dyDescent="0.25">
      <c r="A815" s="5">
        <f>Procurement_Raw!A815</f>
        <v>45863</v>
      </c>
      <c r="B815" t="str">
        <f>Procurement_Raw!B815</f>
        <v>S016</v>
      </c>
      <c r="C815" t="str">
        <f>Procurement_Raw!C815</f>
        <v>Cardiff Care &amp; Education Centre</v>
      </c>
      <c r="D815" t="str">
        <f>Procurement_Raw!D815</f>
        <v>Wales</v>
      </c>
      <c r="E815" t="str">
        <f>Procurement_Raw!E815</f>
        <v>RoadReady</v>
      </c>
      <c r="F815" t="str">
        <f>Procurement_Raw!F815</f>
        <v>Vehicle &amp; Fuel</v>
      </c>
      <c r="G815" t="str">
        <f>Procurement_Raw!G815</f>
        <v>INV-2025-00814</v>
      </c>
      <c r="H815" s="6">
        <f>Procurement_Raw!H815</f>
        <v>36</v>
      </c>
      <c r="I815" s="7">
        <f>Procurement_Raw!I815</f>
        <v>105.85</v>
      </c>
      <c r="J815" s="7">
        <f>Procurement_Raw!J815</f>
        <v>3810.44</v>
      </c>
      <c r="K815" s="6">
        <f>Procurement_Raw!K815</f>
        <v>45</v>
      </c>
      <c r="L815" t="str">
        <f>Procurement_Raw!L815</f>
        <v>ERP</v>
      </c>
      <c r="M815" s="8">
        <f>Procurement_Raw!M815</f>
        <v>762.08799999999997</v>
      </c>
      <c r="N815" s="7">
        <f>Procurement_Raw!N815</f>
        <v>3810.44</v>
      </c>
      <c r="O815" s="7">
        <f t="shared" si="24"/>
        <v>3810.44</v>
      </c>
      <c r="P815" t="str">
        <f>IFERROR(INDEX(Supplier_Lookup!$B$2:$B$200,MATCH(E815,Supplier_Lookup!$A$2:$A$200,0)),"Unmapped")</f>
        <v>Vehicle &amp; Fuel</v>
      </c>
      <c r="Q815" s="10">
        <f>IFERROR(INDEX(Category_Targets!$B$2:$B$9,MATCH(F815,Category_Targets!$A$2:$A$9,0)),0)</f>
        <v>0.05</v>
      </c>
      <c r="R815" s="7">
        <f t="shared" si="25"/>
        <v>190.52200000000002</v>
      </c>
    </row>
    <row r="816" spans="1:18" x14ac:dyDescent="0.25">
      <c r="A816" s="5">
        <f>Procurement_Raw!A816</f>
        <v>46009</v>
      </c>
      <c r="B816" t="str">
        <f>Procurement_Raw!B816</f>
        <v>S005</v>
      </c>
      <c r="C816" t="str">
        <f>Procurement_Raw!C816</f>
        <v>Sheffield Care &amp; Education Centre</v>
      </c>
      <c r="D816" t="str">
        <f>Procurement_Raw!D816</f>
        <v>North</v>
      </c>
      <c r="E816" t="str">
        <f>Procurement_Raw!E816</f>
        <v>BuildCare</v>
      </c>
      <c r="F816" t="str">
        <f>Procurement_Raw!F816</f>
        <v>Facilities</v>
      </c>
      <c r="G816" t="str">
        <f>Procurement_Raw!G816</f>
        <v>INV-2025-00815</v>
      </c>
      <c r="H816" s="6">
        <f>Procurement_Raw!H816</f>
        <v>30</v>
      </c>
      <c r="I816" s="7">
        <f>Procurement_Raw!I816</f>
        <v>317.5</v>
      </c>
      <c r="J816" s="7">
        <f>Procurement_Raw!J816</f>
        <v>9524.94</v>
      </c>
      <c r="K816" s="6">
        <f>Procurement_Raw!K816</f>
        <v>30</v>
      </c>
      <c r="L816" t="str">
        <f>Procurement_Raw!L816</f>
        <v>Legacy Spend File</v>
      </c>
      <c r="M816" s="8">
        <f>Procurement_Raw!M816</f>
        <v>1904.9880000000001</v>
      </c>
      <c r="N816" s="7">
        <f>Procurement_Raw!N816</f>
        <v>9524.94</v>
      </c>
      <c r="O816" s="7">
        <f t="shared" si="24"/>
        <v>9524.94</v>
      </c>
      <c r="P816" t="str">
        <f>IFERROR(INDEX(Supplier_Lookup!$B$2:$B$200,MATCH(E816,Supplier_Lookup!$A$2:$A$200,0)),"Unmapped")</f>
        <v>Facilities</v>
      </c>
      <c r="Q816" s="10">
        <f>IFERROR(INDEX(Category_Targets!$B$2:$B$9,MATCH(F816,Category_Targets!$A$2:$A$9,0)),0)</f>
        <v>0.05</v>
      </c>
      <c r="R816" s="7">
        <f t="shared" si="25"/>
        <v>476.24700000000007</v>
      </c>
    </row>
    <row r="817" spans="1:18" x14ac:dyDescent="0.25">
      <c r="A817" s="5">
        <f>Procurement_Raw!A817</f>
        <v>45879</v>
      </c>
      <c r="B817" t="str">
        <f>Procurement_Raw!B817</f>
        <v>S013</v>
      </c>
      <c r="C817" t="str">
        <f>Procurement_Raw!C817</f>
        <v>Reading Care &amp; Education Centre</v>
      </c>
      <c r="D817" t="str">
        <f>Procurement_Raw!D817</f>
        <v>South</v>
      </c>
      <c r="E817" t="str">
        <f>Procurement_Raw!E817</f>
        <v>PowerDirect</v>
      </c>
      <c r="F817" t="str">
        <f>Procurement_Raw!F817</f>
        <v>Utilities</v>
      </c>
      <c r="G817" t="str">
        <f>Procurement_Raw!G817</f>
        <v>INV-2025-00816</v>
      </c>
      <c r="H817" s="6">
        <f>Procurement_Raw!H817</f>
        <v>49</v>
      </c>
      <c r="I817" s="7">
        <f>Procurement_Raw!I817</f>
        <v>110.43</v>
      </c>
      <c r="J817" s="7">
        <f>Procurement_Raw!J817</f>
        <v>5411.18</v>
      </c>
      <c r="K817" s="6">
        <f>Procurement_Raw!K817</f>
        <v>30</v>
      </c>
      <c r="L817" t="str">
        <f>Procurement_Raw!L817</f>
        <v>ERP</v>
      </c>
      <c r="M817" s="8">
        <f>Procurement_Raw!M817</f>
        <v>1082.2360000000001</v>
      </c>
      <c r="N817" s="7">
        <f>Procurement_Raw!N817</f>
        <v>5411.18</v>
      </c>
      <c r="O817" s="7">
        <f t="shared" si="24"/>
        <v>5411.18</v>
      </c>
      <c r="P817" t="str">
        <f>IFERROR(INDEX(Supplier_Lookup!$B$2:$B$200,MATCH(E817,Supplier_Lookup!$A$2:$A$200,0)),"Unmapped")</f>
        <v>Utilities</v>
      </c>
      <c r="Q817" s="10">
        <f>IFERROR(INDEX(Category_Targets!$B$2:$B$9,MATCH(F817,Category_Targets!$A$2:$A$9,0)),0)</f>
        <v>0.03</v>
      </c>
      <c r="R817" s="7">
        <f t="shared" si="25"/>
        <v>162.33539999999999</v>
      </c>
    </row>
    <row r="818" spans="1:18" x14ac:dyDescent="0.25">
      <c r="A818" s="5">
        <f>Procurement_Raw!A818</f>
        <v>45662</v>
      </c>
      <c r="B818" t="str">
        <f>Procurement_Raw!B818</f>
        <v>S018</v>
      </c>
      <c r="C818" t="str">
        <f>Procurement_Raw!C818</f>
        <v>Newport Care &amp; Education Centre</v>
      </c>
      <c r="D818" t="str">
        <f>Procurement_Raw!D818</f>
        <v>Wales</v>
      </c>
      <c r="E818" t="str">
        <f>Procurement_Raw!E818</f>
        <v>SafeGuard FM</v>
      </c>
      <c r="F818" t="str">
        <f>Procurement_Raw!F818</f>
        <v>Facilities</v>
      </c>
      <c r="G818" t="str">
        <f>Procurement_Raw!G818</f>
        <v>INV-2025-00817</v>
      </c>
      <c r="H818" s="6">
        <f>Procurement_Raw!H818</f>
        <v>23</v>
      </c>
      <c r="I818" s="7">
        <f>Procurement_Raw!I818</f>
        <v>208.48</v>
      </c>
      <c r="J818" s="7">
        <f>Procurement_Raw!J818</f>
        <v>4795</v>
      </c>
      <c r="K818" s="6">
        <f>Procurement_Raw!K818</f>
        <v>45</v>
      </c>
      <c r="L818" t="str">
        <f>Procurement_Raw!L818</f>
        <v>Procurement Portal</v>
      </c>
      <c r="M818" s="8">
        <f>Procurement_Raw!M818</f>
        <v>959</v>
      </c>
      <c r="N818" s="7">
        <f>Procurement_Raw!N818</f>
        <v>4795</v>
      </c>
      <c r="O818" s="7">
        <f t="shared" si="24"/>
        <v>4795</v>
      </c>
      <c r="P818" t="str">
        <f>IFERROR(INDEX(Supplier_Lookup!$B$2:$B$200,MATCH(E818,Supplier_Lookup!$A$2:$A$200,0)),"Unmapped")</f>
        <v>Facilities</v>
      </c>
      <c r="Q818" s="10">
        <f>IFERROR(INDEX(Category_Targets!$B$2:$B$9,MATCH(F818,Category_Targets!$A$2:$A$9,0)),0)</f>
        <v>0.05</v>
      </c>
      <c r="R818" s="7">
        <f t="shared" si="25"/>
        <v>239.75</v>
      </c>
    </row>
    <row r="819" spans="1:18" x14ac:dyDescent="0.25">
      <c r="A819" s="5">
        <f>Procurement_Raw!A819</f>
        <v>45811</v>
      </c>
      <c r="B819" t="str">
        <f>Procurement_Raw!B819</f>
        <v>S012</v>
      </c>
      <c r="C819" t="str">
        <f>Procurement_Raw!C819</f>
        <v>Bristol Care &amp; Education Centre</v>
      </c>
      <c r="D819" t="str">
        <f>Procurement_Raw!D819</f>
        <v>South</v>
      </c>
      <c r="E819" t="str">
        <f>Procurement_Raw!E819</f>
        <v>RoadReady</v>
      </c>
      <c r="F819" t="str">
        <f>Procurement_Raw!F819</f>
        <v>Vehicle &amp; Fuel</v>
      </c>
      <c r="G819" t="str">
        <f>Procurement_Raw!G819</f>
        <v>INV-2025-00818</v>
      </c>
      <c r="H819" s="6">
        <f>Procurement_Raw!H819</f>
        <v>33</v>
      </c>
      <c r="I819" s="7">
        <f>Procurement_Raw!I819</f>
        <v>154.96</v>
      </c>
      <c r="J819" s="7">
        <f>Procurement_Raw!J819</f>
        <v>5113.71</v>
      </c>
      <c r="K819" s="6">
        <f>Procurement_Raw!K819</f>
        <v>60</v>
      </c>
      <c r="L819" t="str">
        <f>Procurement_Raw!L819</f>
        <v>Legacy Spend File</v>
      </c>
      <c r="M819" s="8">
        <f>Procurement_Raw!M819</f>
        <v>1022.742</v>
      </c>
      <c r="N819" s="7">
        <f>Procurement_Raw!N819</f>
        <v>5113.71</v>
      </c>
      <c r="O819" s="7">
        <f t="shared" si="24"/>
        <v>5113.71</v>
      </c>
      <c r="P819" t="str">
        <f>IFERROR(INDEX(Supplier_Lookup!$B$2:$B$200,MATCH(E819,Supplier_Lookup!$A$2:$A$200,0)),"Unmapped")</f>
        <v>Vehicle &amp; Fuel</v>
      </c>
      <c r="Q819" s="10">
        <f>IFERROR(INDEX(Category_Targets!$B$2:$B$9,MATCH(F819,Category_Targets!$A$2:$A$9,0)),0)</f>
        <v>0.05</v>
      </c>
      <c r="R819" s="7">
        <f t="shared" si="25"/>
        <v>255.68550000000002</v>
      </c>
    </row>
    <row r="820" spans="1:18" x14ac:dyDescent="0.25">
      <c r="A820" s="5">
        <f>Procurement_Raw!A820</f>
        <v>46011</v>
      </c>
      <c r="B820" t="str">
        <f>Procurement_Raw!B820</f>
        <v>S020</v>
      </c>
      <c r="C820" t="str">
        <f>Procurement_Raw!C820</f>
        <v>Bangor Care &amp; Education Centre</v>
      </c>
      <c r="D820" t="str">
        <f>Procurement_Raw!D820</f>
        <v>Wales</v>
      </c>
      <c r="E820" t="str">
        <f>Procurement_Raw!E820</f>
        <v>HealthStaffing</v>
      </c>
      <c r="F820" t="str">
        <f>Procurement_Raw!F820</f>
        <v>Agency Labour</v>
      </c>
      <c r="G820" t="str">
        <f>Procurement_Raw!G820</f>
        <v>INV-2025-00819</v>
      </c>
      <c r="H820" s="6">
        <f>Procurement_Raw!H820</f>
        <v>21</v>
      </c>
      <c r="I820" s="7">
        <f>Procurement_Raw!I820</f>
        <v>313.89</v>
      </c>
      <c r="J820" s="7">
        <f>Procurement_Raw!J820</f>
        <v>6591.66</v>
      </c>
      <c r="K820" s="6">
        <f>Procurement_Raw!K820</f>
        <v>30</v>
      </c>
      <c r="L820" t="str">
        <f>Procurement_Raw!L820</f>
        <v>ERP</v>
      </c>
      <c r="M820" s="8">
        <f>Procurement_Raw!M820</f>
        <v>1318.3320000000001</v>
      </c>
      <c r="N820" s="7">
        <f>Procurement_Raw!N820</f>
        <v>6591.66</v>
      </c>
      <c r="O820" s="7">
        <f t="shared" si="24"/>
        <v>6591.66</v>
      </c>
      <c r="P820" t="str">
        <f>IFERROR(INDEX(Supplier_Lookup!$B$2:$B$200,MATCH(E820,Supplier_Lookup!$A$2:$A$200,0)),"Unmapped")</f>
        <v>Agency Labour</v>
      </c>
      <c r="Q820" s="10">
        <f>IFERROR(INDEX(Category_Targets!$B$2:$B$9,MATCH(F820,Category_Targets!$A$2:$A$9,0)),0)</f>
        <v>7.0000000000000007E-2</v>
      </c>
      <c r="R820" s="7">
        <f t="shared" si="25"/>
        <v>461.41620000000006</v>
      </c>
    </row>
    <row r="821" spans="1:18" x14ac:dyDescent="0.25">
      <c r="A821" s="5">
        <f>Procurement_Raw!A821</f>
        <v>45707</v>
      </c>
      <c r="B821" t="str">
        <f>Procurement_Raw!B821</f>
        <v>S009</v>
      </c>
      <c r="C821" t="str">
        <f>Procurement_Raw!C821</f>
        <v>Derby Care &amp; Education Centre</v>
      </c>
      <c r="D821" t="str">
        <f>Procurement_Raw!D821</f>
        <v>Midlands</v>
      </c>
      <c r="E821" t="str">
        <f>Procurement_Raw!E821</f>
        <v>PrintCo</v>
      </c>
      <c r="F821" t="str">
        <f>Procurement_Raw!F821</f>
        <v>Office &amp; Training</v>
      </c>
      <c r="G821" t="str">
        <f>Procurement_Raw!G821</f>
        <v>INV-2025-00820</v>
      </c>
      <c r="H821" s="6">
        <f>Procurement_Raw!H821</f>
        <v>58</v>
      </c>
      <c r="I821" s="7">
        <f>Procurement_Raw!I821</f>
        <v>134.76</v>
      </c>
      <c r="J821" s="7">
        <f>Procurement_Raw!J821</f>
        <v>7816.13</v>
      </c>
      <c r="K821" s="6">
        <f>Procurement_Raw!K821</f>
        <v>60</v>
      </c>
      <c r="L821" t="str">
        <f>Procurement_Raw!L821</f>
        <v>Procurement Portal</v>
      </c>
      <c r="M821" s="8">
        <f>Procurement_Raw!M821</f>
        <v>1563.2260000000001</v>
      </c>
      <c r="N821" s="7">
        <f>Procurement_Raw!N821</f>
        <v>7816.13</v>
      </c>
      <c r="O821" s="7">
        <f t="shared" si="24"/>
        <v>7816.13</v>
      </c>
      <c r="P821" t="str">
        <f>IFERROR(INDEX(Supplier_Lookup!$B$2:$B$200,MATCH(E821,Supplier_Lookup!$A$2:$A$200,0)),"Unmapped")</f>
        <v>Office &amp; Training</v>
      </c>
      <c r="Q821" s="10">
        <f>IFERROR(INDEX(Category_Targets!$B$2:$B$9,MATCH(F821,Category_Targets!$A$2:$A$9,0)),0)</f>
        <v>0.04</v>
      </c>
      <c r="R821" s="7">
        <f t="shared" si="25"/>
        <v>312.64519999999999</v>
      </c>
    </row>
    <row r="822" spans="1:18" x14ac:dyDescent="0.25">
      <c r="A822" s="5">
        <f>Procurement_Raw!A822</f>
        <v>45944</v>
      </c>
      <c r="B822" t="str">
        <f>Procurement_Raw!B822</f>
        <v>S008</v>
      </c>
      <c r="C822" t="str">
        <f>Procurement_Raw!C822</f>
        <v>Leicester Care &amp; Education Centre</v>
      </c>
      <c r="D822" t="str">
        <f>Procurement_Raw!D822</f>
        <v>Midlands</v>
      </c>
      <c r="E822" t="str">
        <f>Procurement_Raw!E822</f>
        <v>RoadReady</v>
      </c>
      <c r="F822" t="str">
        <f>Procurement_Raw!F822</f>
        <v>Vehicle &amp; Fuel</v>
      </c>
      <c r="G822" t="str">
        <f>Procurement_Raw!G822</f>
        <v>INV-2025-00821</v>
      </c>
      <c r="H822" s="6">
        <f>Procurement_Raw!H822</f>
        <v>72</v>
      </c>
      <c r="I822" s="7">
        <f>Procurement_Raw!I822</f>
        <v>71.48</v>
      </c>
      <c r="J822" s="7">
        <f>Procurement_Raw!J822</f>
        <v>5146.3100000000004</v>
      </c>
      <c r="K822" s="6">
        <f>Procurement_Raw!K822</f>
        <v>45</v>
      </c>
      <c r="L822" t="str">
        <f>Procurement_Raw!L822</f>
        <v>Procurement Portal</v>
      </c>
      <c r="M822" s="8">
        <f>Procurement_Raw!M822</f>
        <v>1029.2619999999999</v>
      </c>
      <c r="N822" s="7">
        <f>Procurement_Raw!N822</f>
        <v>5146.3100000000004</v>
      </c>
      <c r="O822" s="7">
        <f t="shared" si="24"/>
        <v>5146.3100000000004</v>
      </c>
      <c r="P822" t="str">
        <f>IFERROR(INDEX(Supplier_Lookup!$B$2:$B$200,MATCH(E822,Supplier_Lookup!$A$2:$A$200,0)),"Unmapped")</f>
        <v>Vehicle &amp; Fuel</v>
      </c>
      <c r="Q822" s="10">
        <f>IFERROR(INDEX(Category_Targets!$B$2:$B$9,MATCH(F822,Category_Targets!$A$2:$A$9,0)),0)</f>
        <v>0.05</v>
      </c>
      <c r="R822" s="7">
        <f t="shared" si="25"/>
        <v>257.31550000000004</v>
      </c>
    </row>
    <row r="823" spans="1:18" x14ac:dyDescent="0.25">
      <c r="A823" s="5">
        <f>Procurement_Raw!A823</f>
        <v>45837</v>
      </c>
      <c r="B823" t="str">
        <f>Procurement_Raw!B823</f>
        <v>S002</v>
      </c>
      <c r="C823" t="str">
        <f>Procurement_Raw!C823</f>
        <v>Manchester Care &amp; Education Centre</v>
      </c>
      <c r="D823" t="str">
        <f>Procurement_Raw!D823</f>
        <v>North</v>
      </c>
      <c r="E823" t="str">
        <f>Procurement_Raw!E823</f>
        <v>HealthStaffing</v>
      </c>
      <c r="F823" t="str">
        <f>Procurement_Raw!F823</f>
        <v>Agency Labour</v>
      </c>
      <c r="G823" t="str">
        <f>Procurement_Raw!G823</f>
        <v>INV-2025-00822</v>
      </c>
      <c r="H823" s="6">
        <f>Procurement_Raw!H823</f>
        <v>78</v>
      </c>
      <c r="I823" s="7">
        <f>Procurement_Raw!I823</f>
        <v>651.27</v>
      </c>
      <c r="J823" s="7">
        <f>Procurement_Raw!J823</f>
        <v>50799.02</v>
      </c>
      <c r="K823" s="6">
        <f>Procurement_Raw!K823</f>
        <v>30</v>
      </c>
      <c r="L823" t="str">
        <f>Procurement_Raw!L823</f>
        <v>Legacy Spend File</v>
      </c>
      <c r="M823" s="8">
        <f>Procurement_Raw!M823</f>
        <v>10159.804</v>
      </c>
      <c r="N823" s="7">
        <f>Procurement_Raw!N823</f>
        <v>50799.02</v>
      </c>
      <c r="O823" s="7">
        <f t="shared" si="24"/>
        <v>50799.02</v>
      </c>
      <c r="P823" t="str">
        <f>IFERROR(INDEX(Supplier_Lookup!$B$2:$B$200,MATCH(E823,Supplier_Lookup!$A$2:$A$200,0)),"Unmapped")</f>
        <v>Agency Labour</v>
      </c>
      <c r="Q823" s="10">
        <f>IFERROR(INDEX(Category_Targets!$B$2:$B$9,MATCH(F823,Category_Targets!$A$2:$A$9,0)),0)</f>
        <v>7.0000000000000007E-2</v>
      </c>
      <c r="R823" s="7">
        <f t="shared" si="25"/>
        <v>3555.9313999999999</v>
      </c>
    </row>
    <row r="824" spans="1:18" x14ac:dyDescent="0.25">
      <c r="A824" s="5">
        <f>Procurement_Raw!A824</f>
        <v>45839</v>
      </c>
      <c r="B824" t="str">
        <f>Procurement_Raw!B824</f>
        <v>S020</v>
      </c>
      <c r="C824" t="str">
        <f>Procurement_Raw!C824</f>
        <v>Bangor Care &amp; Education Centre</v>
      </c>
      <c r="D824" t="str">
        <f>Procurement_Raw!D824</f>
        <v>Wales</v>
      </c>
      <c r="E824" t="str">
        <f>Procurement_Raw!E824</f>
        <v>safeguard fm</v>
      </c>
      <c r="F824" t="str">
        <f>Procurement_Raw!F824</f>
        <v>Facilities</v>
      </c>
      <c r="G824" t="str">
        <f>Procurement_Raw!G824</f>
        <v>INV-2025-00823</v>
      </c>
      <c r="H824" s="6">
        <f>Procurement_Raw!H824</f>
        <v>42</v>
      </c>
      <c r="I824" s="7">
        <f>Procurement_Raw!I824</f>
        <v>637.37</v>
      </c>
      <c r="J824" s="7">
        <f>Procurement_Raw!J824</f>
        <v>26769.55</v>
      </c>
      <c r="K824" s="6">
        <f>Procurement_Raw!K824</f>
        <v>60</v>
      </c>
      <c r="L824" t="str">
        <f>Procurement_Raw!L824</f>
        <v>Legacy Spend File</v>
      </c>
      <c r="M824" s="8">
        <f>Procurement_Raw!M824</f>
        <v>5353.91</v>
      </c>
      <c r="N824" s="7">
        <f>Procurement_Raw!N824</f>
        <v>26769.55</v>
      </c>
      <c r="O824" s="7">
        <f t="shared" si="24"/>
        <v>26769.55</v>
      </c>
      <c r="P824" t="str">
        <f>IFERROR(INDEX(Supplier_Lookup!$B$2:$B$200,MATCH(E824,Supplier_Lookup!$A$2:$A$200,0)),"Unmapped")</f>
        <v>Facilities</v>
      </c>
      <c r="Q824" s="10">
        <f>IFERROR(INDEX(Category_Targets!$B$2:$B$9,MATCH(F824,Category_Targets!$A$2:$A$9,0)),0)</f>
        <v>0.05</v>
      </c>
      <c r="R824" s="7">
        <f t="shared" si="25"/>
        <v>1338.4775</v>
      </c>
    </row>
    <row r="825" spans="1:18" x14ac:dyDescent="0.25">
      <c r="A825" s="5">
        <f>Procurement_Raw!A825</f>
        <v>45853</v>
      </c>
      <c r="B825" t="str">
        <f>Procurement_Raw!B825</f>
        <v>S005</v>
      </c>
      <c r="C825" t="str">
        <f>Procurement_Raw!C825</f>
        <v>Sheffield Care &amp; Education Centre</v>
      </c>
      <c r="D825" t="str">
        <f>Procurement_Raw!D825</f>
        <v>North</v>
      </c>
      <c r="E825" t="str">
        <f>Procurement_Raw!E825</f>
        <v>OfficePlus</v>
      </c>
      <c r="F825" t="str">
        <f>Procurement_Raw!F825</f>
        <v>Office &amp; Training</v>
      </c>
      <c r="G825" t="str">
        <f>Procurement_Raw!G825</f>
        <v>INV-2025-00824</v>
      </c>
      <c r="H825" s="6">
        <f>Procurement_Raw!H825</f>
        <v>79</v>
      </c>
      <c r="I825" s="7">
        <f>Procurement_Raw!I825</f>
        <v>61.43</v>
      </c>
      <c r="J825" s="7">
        <f>Procurement_Raw!J825</f>
        <v>4853.1099999999997</v>
      </c>
      <c r="K825" s="6">
        <f>Procurement_Raw!K825</f>
        <v>45</v>
      </c>
      <c r="L825" t="str">
        <f>Procurement_Raw!L825</f>
        <v>Procurement Portal</v>
      </c>
      <c r="M825" s="8">
        <f>Procurement_Raw!M825</f>
        <v>970.62199999999996</v>
      </c>
      <c r="N825" s="7">
        <f>Procurement_Raw!N825</f>
        <v>4853.1099999999997</v>
      </c>
      <c r="O825" s="7">
        <f t="shared" si="24"/>
        <v>4853.1099999999997</v>
      </c>
      <c r="P825" t="str">
        <f>IFERROR(INDEX(Supplier_Lookup!$B$2:$B$200,MATCH(E825,Supplier_Lookup!$A$2:$A$200,0)),"Unmapped")</f>
        <v>Office &amp; Training</v>
      </c>
      <c r="Q825" s="10">
        <f>IFERROR(INDEX(Category_Targets!$B$2:$B$9,MATCH(F825,Category_Targets!$A$2:$A$9,0)),0)</f>
        <v>0.04</v>
      </c>
      <c r="R825" s="7">
        <f t="shared" si="25"/>
        <v>194.12439999999998</v>
      </c>
    </row>
    <row r="826" spans="1:18" x14ac:dyDescent="0.25">
      <c r="A826" s="5">
        <f>Procurement_Raw!A826</f>
        <v>45985</v>
      </c>
      <c r="B826" t="str">
        <f>Procurement_Raw!B826</f>
        <v>S004</v>
      </c>
      <c r="C826" t="str">
        <f>Procurement_Raw!C826</f>
        <v>Newcastle Care &amp; Education Centre</v>
      </c>
      <c r="D826" t="str">
        <f>Procurement_Raw!D826</f>
        <v>North</v>
      </c>
      <c r="E826" t="str">
        <f>Procurement_Raw!E826</f>
        <v>CleanWorks</v>
      </c>
      <c r="F826" t="str">
        <f>Procurement_Raw!F826</f>
        <v>Facilities</v>
      </c>
      <c r="G826" t="str">
        <f>Procurement_Raw!G826</f>
        <v>INV-2025-00825</v>
      </c>
      <c r="H826" s="6">
        <f>Procurement_Raw!H826</f>
        <v>44</v>
      </c>
      <c r="I826" s="7">
        <f>Procurement_Raw!I826</f>
        <v>140.88</v>
      </c>
      <c r="J826" s="7">
        <f>Procurement_Raw!J826</f>
        <v>6198.86</v>
      </c>
      <c r="K826" s="6">
        <f>Procurement_Raw!K826</f>
        <v>45</v>
      </c>
      <c r="L826" t="str">
        <f>Procurement_Raw!L826</f>
        <v>Legacy Spend File</v>
      </c>
      <c r="M826" s="8">
        <f>Procurement_Raw!M826</f>
        <v>1239.7719999999999</v>
      </c>
      <c r="N826" s="7">
        <f>Procurement_Raw!N826</f>
        <v>6198.86</v>
      </c>
      <c r="O826" s="7">
        <f t="shared" si="24"/>
        <v>6198.86</v>
      </c>
      <c r="P826" t="str">
        <f>IFERROR(INDEX(Supplier_Lookup!$B$2:$B$200,MATCH(E826,Supplier_Lookup!$A$2:$A$200,0)),"Unmapped")</f>
        <v>Facilities</v>
      </c>
      <c r="Q826" s="10">
        <f>IFERROR(INDEX(Category_Targets!$B$2:$B$9,MATCH(F826,Category_Targets!$A$2:$A$9,0)),0)</f>
        <v>0.05</v>
      </c>
      <c r="R826" s="7">
        <f t="shared" si="25"/>
        <v>309.94299999999998</v>
      </c>
    </row>
    <row r="827" spans="1:18" x14ac:dyDescent="0.25">
      <c r="A827" s="5">
        <f>Procurement_Raw!A827</f>
        <v>45698</v>
      </c>
      <c r="B827" t="str">
        <f>Procurement_Raw!B827</f>
        <v>S003</v>
      </c>
      <c r="C827" t="str">
        <f>Procurement_Raw!C827</f>
        <v>Leeds Care &amp; Education Centre</v>
      </c>
      <c r="D827" t="str">
        <f>Procurement_Raw!D827</f>
        <v>North</v>
      </c>
      <c r="E827" t="str">
        <f>Procurement_Raw!E827</f>
        <v>HealthStaffing</v>
      </c>
      <c r="F827" t="str">
        <f>Procurement_Raw!F827</f>
        <v>Agency Labour</v>
      </c>
      <c r="G827" t="str">
        <f>Procurement_Raw!G827</f>
        <v>INV-2025-00826</v>
      </c>
      <c r="H827" s="6">
        <f>Procurement_Raw!H827</f>
        <v>21</v>
      </c>
      <c r="I827" s="7">
        <f>Procurement_Raw!I827</f>
        <v>667.24</v>
      </c>
      <c r="J827" s="7">
        <f>Procurement_Raw!J827</f>
        <v>14011.96</v>
      </c>
      <c r="K827" s="6">
        <f>Procurement_Raw!K827</f>
        <v>45</v>
      </c>
      <c r="L827" t="str">
        <f>Procurement_Raw!L827</f>
        <v>ERP</v>
      </c>
      <c r="M827" s="8">
        <f>Procurement_Raw!M827</f>
        <v>2802.3919999999998</v>
      </c>
      <c r="N827" s="7">
        <f>Procurement_Raw!N827</f>
        <v>14011.96</v>
      </c>
      <c r="O827" s="7">
        <f t="shared" si="24"/>
        <v>14011.96</v>
      </c>
      <c r="P827" t="str">
        <f>IFERROR(INDEX(Supplier_Lookup!$B$2:$B$200,MATCH(E827,Supplier_Lookup!$A$2:$A$200,0)),"Unmapped")</f>
        <v>Agency Labour</v>
      </c>
      <c r="Q827" s="10">
        <f>IFERROR(INDEX(Category_Targets!$B$2:$B$9,MATCH(F827,Category_Targets!$A$2:$A$9,0)),0)</f>
        <v>7.0000000000000007E-2</v>
      </c>
      <c r="R827" s="7">
        <f t="shared" si="25"/>
        <v>980.83720000000005</v>
      </c>
    </row>
    <row r="828" spans="1:18" x14ac:dyDescent="0.25">
      <c r="A828" s="5">
        <f>Procurement_Raw!A828</f>
        <v>45807</v>
      </c>
      <c r="B828" t="str">
        <f>Procurement_Raw!B828</f>
        <v>S020</v>
      </c>
      <c r="C828" t="str">
        <f>Procurement_Raw!C828</f>
        <v>Bangor Care &amp; Education Centre</v>
      </c>
      <c r="D828" t="str">
        <f>Procurement_Raw!D828</f>
        <v>Wales</v>
      </c>
      <c r="E828" t="str">
        <f>Procurement_Raw!E828</f>
        <v>AutoCare</v>
      </c>
      <c r="F828" t="str">
        <f>Procurement_Raw!F828</f>
        <v>Vehicle &amp; Fuel</v>
      </c>
      <c r="G828" t="str">
        <f>Procurement_Raw!G828</f>
        <v>INV-2025-00827</v>
      </c>
      <c r="H828" s="6">
        <f>Procurement_Raw!H828</f>
        <v>35</v>
      </c>
      <c r="I828" s="7">
        <f>Procurement_Raw!I828</f>
        <v>226.48</v>
      </c>
      <c r="J828" s="7">
        <f>Procurement_Raw!J828</f>
        <v>7926.68</v>
      </c>
      <c r="K828" s="6">
        <f>Procurement_Raw!K828</f>
        <v>60</v>
      </c>
      <c r="L828" t="str">
        <f>Procurement_Raw!L828</f>
        <v>Legacy Spend File</v>
      </c>
      <c r="M828" s="8">
        <f>Procurement_Raw!M828</f>
        <v>1585.336</v>
      </c>
      <c r="N828" s="7">
        <f>Procurement_Raw!N828</f>
        <v>7926.68</v>
      </c>
      <c r="O828" s="7">
        <f t="shared" si="24"/>
        <v>7926.68</v>
      </c>
      <c r="P828" t="str">
        <f>IFERROR(INDEX(Supplier_Lookup!$B$2:$B$200,MATCH(E828,Supplier_Lookup!$A$2:$A$200,0)),"Unmapped")</f>
        <v>Vehicle &amp; Fuel</v>
      </c>
      <c r="Q828" s="10">
        <f>IFERROR(INDEX(Category_Targets!$B$2:$B$9,MATCH(F828,Category_Targets!$A$2:$A$9,0)),0)</f>
        <v>0.05</v>
      </c>
      <c r="R828" s="7">
        <f t="shared" si="25"/>
        <v>396.33400000000006</v>
      </c>
    </row>
    <row r="829" spans="1:18" x14ac:dyDescent="0.25">
      <c r="A829" s="5">
        <f>Procurement_Raw!A829</f>
        <v>45843</v>
      </c>
      <c r="B829" t="str">
        <f>Procurement_Raw!B829</f>
        <v>S018</v>
      </c>
      <c r="C829" t="str">
        <f>Procurement_Raw!C829</f>
        <v>Newport Care &amp; Education Centre</v>
      </c>
      <c r="D829" t="str">
        <f>Procurement_Raw!D829</f>
        <v>Wales</v>
      </c>
      <c r="E829" t="str">
        <f>Procurement_Raw!E829</f>
        <v>TeleCare IT</v>
      </c>
      <c r="F829" t="str">
        <f>Procurement_Raw!F829</f>
        <v>IT &amp; Telecoms</v>
      </c>
      <c r="G829" t="str">
        <f>Procurement_Raw!G829</f>
        <v>INV-2025-00828</v>
      </c>
      <c r="H829" s="6">
        <f>Procurement_Raw!H829</f>
        <v>76</v>
      </c>
      <c r="I829" s="7">
        <f>Procurement_Raw!I829</f>
        <v>165.02</v>
      </c>
      <c r="J829" s="7">
        <f>Procurement_Raw!J829</f>
        <v>12541.37</v>
      </c>
      <c r="K829" s="6">
        <f>Procurement_Raw!K829</f>
        <v>60</v>
      </c>
      <c r="L829" t="str">
        <f>Procurement_Raw!L829</f>
        <v>Procurement Portal</v>
      </c>
      <c r="M829" s="8">
        <f>Procurement_Raw!M829</f>
        <v>2508.2739999999999</v>
      </c>
      <c r="N829" s="7">
        <f>Procurement_Raw!N829</f>
        <v>12541.37</v>
      </c>
      <c r="O829" s="7">
        <f t="shared" si="24"/>
        <v>12541.37</v>
      </c>
      <c r="P829" t="str">
        <f>IFERROR(INDEX(Supplier_Lookup!$B$2:$B$200,MATCH(E829,Supplier_Lookup!$A$2:$A$200,0)),"Unmapped")</f>
        <v>IT &amp; Telecoms</v>
      </c>
      <c r="Q829" s="10">
        <f>IFERROR(INDEX(Category_Targets!$B$2:$B$9,MATCH(F829,Category_Targets!$A$2:$A$9,0)),0)</f>
        <v>0.08</v>
      </c>
      <c r="R829" s="7">
        <f t="shared" si="25"/>
        <v>1003.3096</v>
      </c>
    </row>
    <row r="830" spans="1:18" x14ac:dyDescent="0.25">
      <c r="A830" s="5">
        <f>Procurement_Raw!A830</f>
        <v>45669</v>
      </c>
      <c r="B830" t="str">
        <f>Procurement_Raw!B830</f>
        <v>S014</v>
      </c>
      <c r="C830" t="str">
        <f>Procurement_Raw!C830</f>
        <v>Southampton Care &amp; Education Centre</v>
      </c>
      <c r="D830" t="str">
        <f>Procurement_Raw!D830</f>
        <v>South</v>
      </c>
      <c r="E830" t="str">
        <f>Procurement_Raw!E830</f>
        <v>CleanWorks</v>
      </c>
      <c r="F830" t="str">
        <f>Procurement_Raw!F830</f>
        <v>Facilities</v>
      </c>
      <c r="G830" t="str">
        <f>Procurement_Raw!G830</f>
        <v>INV-2025-00829</v>
      </c>
      <c r="H830" s="6">
        <f>Procurement_Raw!H830</f>
        <v>17</v>
      </c>
      <c r="I830" s="7">
        <f>Procurement_Raw!I830</f>
        <v>142.86000000000001</v>
      </c>
      <c r="J830" s="7">
        <f>Procurement_Raw!J830</f>
        <v>2428.59</v>
      </c>
      <c r="K830" s="6">
        <f>Procurement_Raw!K830</f>
        <v>60</v>
      </c>
      <c r="L830" t="str">
        <f>Procurement_Raw!L830</f>
        <v>ERP</v>
      </c>
      <c r="M830" s="8">
        <f>Procurement_Raw!M830</f>
        <v>485.71800000000002</v>
      </c>
      <c r="N830" s="7">
        <f>Procurement_Raw!N830</f>
        <v>2428.59</v>
      </c>
      <c r="O830" s="7">
        <f t="shared" si="24"/>
        <v>2428.59</v>
      </c>
      <c r="P830" t="str">
        <f>IFERROR(INDEX(Supplier_Lookup!$B$2:$B$200,MATCH(E830,Supplier_Lookup!$A$2:$A$200,0)),"Unmapped")</f>
        <v>Facilities</v>
      </c>
      <c r="Q830" s="10">
        <f>IFERROR(INDEX(Category_Targets!$B$2:$B$9,MATCH(F830,Category_Targets!$A$2:$A$9,0)),0)</f>
        <v>0.05</v>
      </c>
      <c r="R830" s="7">
        <f t="shared" si="25"/>
        <v>121.42950000000002</v>
      </c>
    </row>
    <row r="831" spans="1:18" x14ac:dyDescent="0.25">
      <c r="A831" s="5">
        <f>Procurement_Raw!A831</f>
        <v>46016</v>
      </c>
      <c r="B831" t="str">
        <f>Procurement_Raw!B831</f>
        <v>S007</v>
      </c>
      <c r="C831" t="str">
        <f>Procurement_Raw!C831</f>
        <v>Nottingham Care &amp; Education Centre</v>
      </c>
      <c r="D831" t="str">
        <f>Procurement_Raw!D831</f>
        <v>Midlands</v>
      </c>
      <c r="E831" t="str">
        <f>Procurement_Raw!E831</f>
        <v>NetServe</v>
      </c>
      <c r="F831" t="str">
        <f>Procurement_Raw!F831</f>
        <v>IT &amp; Telecoms</v>
      </c>
      <c r="G831" t="str">
        <f>Procurement_Raw!G831</f>
        <v>INV-2025-00830</v>
      </c>
      <c r="H831" s="6">
        <f>Procurement_Raw!H831</f>
        <v>11</v>
      </c>
      <c r="I831" s="7">
        <f>Procurement_Raw!I831</f>
        <v>188.41</v>
      </c>
      <c r="J831" s="7">
        <f>Procurement_Raw!J831</f>
        <v>2072.56</v>
      </c>
      <c r="K831" s="6">
        <f>Procurement_Raw!K831</f>
        <v>30</v>
      </c>
      <c r="L831" t="str">
        <f>Procurement_Raw!L831</f>
        <v>ERP</v>
      </c>
      <c r="M831" s="8">
        <f>Procurement_Raw!M831</f>
        <v>414.512</v>
      </c>
      <c r="N831" s="7">
        <f>Procurement_Raw!N831</f>
        <v>2072.56</v>
      </c>
      <c r="O831" s="7">
        <f t="shared" si="24"/>
        <v>2072.56</v>
      </c>
      <c r="P831" t="str">
        <f>IFERROR(INDEX(Supplier_Lookup!$B$2:$B$200,MATCH(E831,Supplier_Lookup!$A$2:$A$200,0)),"Unmapped")</f>
        <v>IT &amp; Telecoms</v>
      </c>
      <c r="Q831" s="10">
        <f>IFERROR(INDEX(Category_Targets!$B$2:$B$9,MATCH(F831,Category_Targets!$A$2:$A$9,0)),0)</f>
        <v>0.08</v>
      </c>
      <c r="R831" s="7">
        <f t="shared" si="25"/>
        <v>165.8048</v>
      </c>
    </row>
    <row r="832" spans="1:18" x14ac:dyDescent="0.25">
      <c r="A832" s="5">
        <f>Procurement_Raw!A832</f>
        <v>45690</v>
      </c>
      <c r="B832" t="str">
        <f>Procurement_Raw!B832</f>
        <v>S002</v>
      </c>
      <c r="C832" t="str">
        <f>Procurement_Raw!C832</f>
        <v>Manchester Care &amp; Education Centre</v>
      </c>
      <c r="D832" t="str">
        <f>Procurement_Raw!D832</f>
        <v>North</v>
      </c>
      <c r="E832" t="str">
        <f>Procurement_Raw!E832</f>
        <v>FreshServe</v>
      </c>
      <c r="F832" t="str">
        <f>Procurement_Raw!F832</f>
        <v>Food &amp; Catering</v>
      </c>
      <c r="G832" t="str">
        <f>Procurement_Raw!G832</f>
        <v>INV-2025-00831</v>
      </c>
      <c r="H832" s="6">
        <f>Procurement_Raw!H832</f>
        <v>61</v>
      </c>
      <c r="I832" s="7">
        <f>Procurement_Raw!I832</f>
        <v>31.03</v>
      </c>
      <c r="J832" s="7">
        <f>Procurement_Raw!J832</f>
        <v>1892.8</v>
      </c>
      <c r="K832" s="6">
        <f>Procurement_Raw!K832</f>
        <v>60</v>
      </c>
      <c r="L832" t="str">
        <f>Procurement_Raw!L832</f>
        <v>ERP</v>
      </c>
      <c r="M832" s="8">
        <f>Procurement_Raw!M832</f>
        <v>378.56</v>
      </c>
      <c r="N832" s="7">
        <f>Procurement_Raw!N832</f>
        <v>1892.8</v>
      </c>
      <c r="O832" s="7">
        <f t="shared" si="24"/>
        <v>1892.8</v>
      </c>
      <c r="P832" t="str">
        <f>IFERROR(INDEX(Supplier_Lookup!$B$2:$B$200,MATCH(E832,Supplier_Lookup!$A$2:$A$200,0)),"Unmapped")</f>
        <v>Food &amp; Catering</v>
      </c>
      <c r="Q832" s="10">
        <f>IFERROR(INDEX(Category_Targets!$B$2:$B$9,MATCH(F832,Category_Targets!$A$2:$A$9,0)),0)</f>
        <v>0.04</v>
      </c>
      <c r="R832" s="7">
        <f t="shared" si="25"/>
        <v>75.712000000000003</v>
      </c>
    </row>
    <row r="833" spans="1:18" x14ac:dyDescent="0.25">
      <c r="A833" s="5">
        <f>Procurement_Raw!A833</f>
        <v>45700</v>
      </c>
      <c r="B833" t="str">
        <f>Procurement_Raw!B833</f>
        <v>S006</v>
      </c>
      <c r="C833" t="str">
        <f>Procurement_Raw!C833</f>
        <v>Birmingham Care &amp; Education Centre</v>
      </c>
      <c r="D833" t="str">
        <f>Procurement_Raw!D833</f>
        <v>Midlands</v>
      </c>
      <c r="E833" t="str">
        <f>Procurement_Raw!E833</f>
        <v>NurseLink</v>
      </c>
      <c r="F833" t="str">
        <f>Procurement_Raw!F833</f>
        <v>Agency Labour</v>
      </c>
      <c r="G833" t="str">
        <f>Procurement_Raw!G833</f>
        <v>INV-2025-00832</v>
      </c>
      <c r="H833" s="6">
        <f>Procurement_Raw!H833</f>
        <v>14</v>
      </c>
      <c r="I833" s="7">
        <f>Procurement_Raw!I833</f>
        <v>181</v>
      </c>
      <c r="J833" s="7">
        <f>Procurement_Raw!J833</f>
        <v>2534.0700000000002</v>
      </c>
      <c r="K833" s="6">
        <f>Procurement_Raw!K833</f>
        <v>45</v>
      </c>
      <c r="L833" t="str">
        <f>Procurement_Raw!L833</f>
        <v>Legacy Spend File</v>
      </c>
      <c r="M833" s="8">
        <f>Procurement_Raw!M833</f>
        <v>506.81400000000002</v>
      </c>
      <c r="N833" s="7">
        <f>Procurement_Raw!N833</f>
        <v>2534.0700000000002</v>
      </c>
      <c r="O833" s="7">
        <f t="shared" si="24"/>
        <v>2534.0700000000002</v>
      </c>
      <c r="P833" t="str">
        <f>IFERROR(INDEX(Supplier_Lookup!$B$2:$B$200,MATCH(E833,Supplier_Lookup!$A$2:$A$200,0)),"Unmapped")</f>
        <v>Agency Labour</v>
      </c>
      <c r="Q833" s="10">
        <f>IFERROR(INDEX(Category_Targets!$B$2:$B$9,MATCH(F833,Category_Targets!$A$2:$A$9,0)),0)</f>
        <v>7.0000000000000007E-2</v>
      </c>
      <c r="R833" s="7">
        <f t="shared" si="25"/>
        <v>177.38490000000002</v>
      </c>
    </row>
    <row r="834" spans="1:18" x14ac:dyDescent="0.25">
      <c r="A834" s="5">
        <f>Procurement_Raw!A834</f>
        <v>45857</v>
      </c>
      <c r="B834" t="str">
        <f>Procurement_Raw!B834</f>
        <v>S010</v>
      </c>
      <c r="C834" t="str">
        <f>Procurement_Raw!C834</f>
        <v>Coventry Care &amp; Education Centre</v>
      </c>
      <c r="D834" t="str">
        <f>Procurement_Raw!D834</f>
        <v>Midlands</v>
      </c>
      <c r="E834" t="str">
        <f>Procurement_Raw!E834</f>
        <v>KitchenPro</v>
      </c>
      <c r="F834" t="str">
        <f>Procurement_Raw!F834</f>
        <v>Food &amp; Catering</v>
      </c>
      <c r="G834" t="str">
        <f>Procurement_Raw!G834</f>
        <v>INV-2025-00833</v>
      </c>
      <c r="H834" s="6">
        <f>Procurement_Raw!H834</f>
        <v>40</v>
      </c>
      <c r="I834" s="7">
        <f>Procurement_Raw!I834</f>
        <v>37.42</v>
      </c>
      <c r="J834" s="7">
        <f>Procurement_Raw!J834</f>
        <v>1496.66</v>
      </c>
      <c r="K834" s="6">
        <f>Procurement_Raw!K834</f>
        <v>30</v>
      </c>
      <c r="L834" t="str">
        <f>Procurement_Raw!L834</f>
        <v>ERP</v>
      </c>
      <c r="M834" s="8">
        <f>Procurement_Raw!M834</f>
        <v>299.33199999999999</v>
      </c>
      <c r="N834" s="7">
        <f>Procurement_Raw!N834</f>
        <v>1496.66</v>
      </c>
      <c r="O834" s="7">
        <f t="shared" ref="O834:O897" si="26">IFERROR(IF(J834="","",J834),0)</f>
        <v>1496.66</v>
      </c>
      <c r="P834" t="str">
        <f>IFERROR(INDEX(Supplier_Lookup!$B$2:$B$200,MATCH(E834,Supplier_Lookup!$A$2:$A$200,0)),"Unmapped")</f>
        <v>Food &amp; Catering</v>
      </c>
      <c r="Q834" s="10">
        <f>IFERROR(INDEX(Category_Targets!$B$2:$B$9,MATCH(F834,Category_Targets!$A$2:$A$9,0)),0)</f>
        <v>0.04</v>
      </c>
      <c r="R834" s="7">
        <f t="shared" ref="R834:R897" si="27">O834*Q834</f>
        <v>59.866400000000006</v>
      </c>
    </row>
    <row r="835" spans="1:18" x14ac:dyDescent="0.25">
      <c r="A835" s="5">
        <f>Procurement_Raw!A835</f>
        <v>45978</v>
      </c>
      <c r="B835" t="str">
        <f>Procurement_Raw!B835</f>
        <v>S010</v>
      </c>
      <c r="C835" t="str">
        <f>Procurement_Raw!C835</f>
        <v>Coventry Care &amp; Education Centre</v>
      </c>
      <c r="D835" t="str">
        <f>Procurement_Raw!D835</f>
        <v>Midlands</v>
      </c>
      <c r="E835" t="str">
        <f>Procurement_Raw!E835</f>
        <v>TeleCare IT</v>
      </c>
      <c r="F835" t="str">
        <f>Procurement_Raw!F835</f>
        <v>IT &amp; Telecoms</v>
      </c>
      <c r="G835" t="str">
        <f>Procurement_Raw!G835</f>
        <v>INV-2025-00834</v>
      </c>
      <c r="H835" s="6">
        <f>Procurement_Raw!H835</f>
        <v>17</v>
      </c>
      <c r="I835" s="7">
        <f>Procurement_Raw!I835</f>
        <v>144.22</v>
      </c>
      <c r="J835" s="7">
        <f>Procurement_Raw!J835</f>
        <v>2451.7399999999998</v>
      </c>
      <c r="K835" s="6">
        <f>Procurement_Raw!K835</f>
        <v>30</v>
      </c>
      <c r="L835" t="str">
        <f>Procurement_Raw!L835</f>
        <v>Legacy Spend File</v>
      </c>
      <c r="M835" s="8">
        <f>Procurement_Raw!M835</f>
        <v>490.34800000000001</v>
      </c>
      <c r="N835" s="7">
        <f>Procurement_Raw!N835</f>
        <v>2451.7399999999998</v>
      </c>
      <c r="O835" s="7">
        <f t="shared" si="26"/>
        <v>2451.7399999999998</v>
      </c>
      <c r="P835" t="str">
        <f>IFERROR(INDEX(Supplier_Lookup!$B$2:$B$200,MATCH(E835,Supplier_Lookup!$A$2:$A$200,0)),"Unmapped")</f>
        <v>IT &amp; Telecoms</v>
      </c>
      <c r="Q835" s="10">
        <f>IFERROR(INDEX(Category_Targets!$B$2:$B$9,MATCH(F835,Category_Targets!$A$2:$A$9,0)),0)</f>
        <v>0.08</v>
      </c>
      <c r="R835" s="7">
        <f t="shared" si="27"/>
        <v>196.13919999999999</v>
      </c>
    </row>
    <row r="836" spans="1:18" x14ac:dyDescent="0.25">
      <c r="A836" s="5">
        <f>Procurement_Raw!A836</f>
        <v>45997</v>
      </c>
      <c r="B836" t="str">
        <f>Procurement_Raw!B836</f>
        <v>S007</v>
      </c>
      <c r="C836" t="str">
        <f>Procurement_Raw!C836</f>
        <v>Nottingham Care &amp; Education Centre</v>
      </c>
      <c r="D836" t="str">
        <f>Procurement_Raw!D836</f>
        <v>Midlands</v>
      </c>
      <c r="E836" t="str">
        <f>Procurement_Raw!E836</f>
        <v>MediSure</v>
      </c>
      <c r="F836" t="str">
        <f>Procurement_Raw!F836</f>
        <v>Medical Supplies</v>
      </c>
      <c r="G836" t="str">
        <f>Procurement_Raw!G836</f>
        <v>INV-2025-00835</v>
      </c>
      <c r="H836" s="6">
        <f>Procurement_Raw!H836</f>
        <v>46</v>
      </c>
      <c r="I836" s="7">
        <f>Procurement_Raw!I836</f>
        <v>117.73</v>
      </c>
      <c r="J836" s="7">
        <f>Procurement_Raw!J836</f>
        <v>5415.69</v>
      </c>
      <c r="K836" s="6">
        <f>Procurement_Raw!K836</f>
        <v>45</v>
      </c>
      <c r="L836" t="str">
        <f>Procurement_Raw!L836</f>
        <v>Procurement Portal</v>
      </c>
      <c r="M836" s="8">
        <f>Procurement_Raw!M836</f>
        <v>1083.1379999999999</v>
      </c>
      <c r="N836" s="7">
        <f>Procurement_Raw!N836</f>
        <v>5415.69</v>
      </c>
      <c r="O836" s="7">
        <f t="shared" si="26"/>
        <v>5415.69</v>
      </c>
      <c r="P836" t="str">
        <f>IFERROR(INDEX(Supplier_Lookup!$B$2:$B$200,MATCH(E836,Supplier_Lookup!$A$2:$A$200,0)),"Unmapped")</f>
        <v>Medical Supplies</v>
      </c>
      <c r="Q836" s="10">
        <f>IFERROR(INDEX(Category_Targets!$B$2:$B$9,MATCH(F836,Category_Targets!$A$2:$A$9,0)),0)</f>
        <v>0.06</v>
      </c>
      <c r="R836" s="7">
        <f t="shared" si="27"/>
        <v>324.94139999999999</v>
      </c>
    </row>
    <row r="837" spans="1:18" x14ac:dyDescent="0.25">
      <c r="A837" s="5">
        <f>Procurement_Raw!A837</f>
        <v>45885</v>
      </c>
      <c r="B837" t="str">
        <f>Procurement_Raw!B837</f>
        <v>S018</v>
      </c>
      <c r="C837" t="str">
        <f>Procurement_Raw!C837</f>
        <v>Newport Care &amp; Education Centre</v>
      </c>
      <c r="D837" t="str">
        <f>Procurement_Raw!D837</f>
        <v>Wales</v>
      </c>
      <c r="E837" t="str">
        <f>Procurement_Raw!E837</f>
        <v>NetServe</v>
      </c>
      <c r="F837" t="str">
        <f>Procurement_Raw!F837</f>
        <v>IT &amp; Telecoms</v>
      </c>
      <c r="G837" t="str">
        <f>Procurement_Raw!G837</f>
        <v>INV-2025-00836</v>
      </c>
      <c r="H837" s="6">
        <f>Procurement_Raw!H837</f>
        <v>18</v>
      </c>
      <c r="I837" s="7">
        <f>Procurement_Raw!I837</f>
        <v>250.25</v>
      </c>
      <c r="J837" s="7">
        <f>Procurement_Raw!J837</f>
        <v>4504.43</v>
      </c>
      <c r="K837" s="6">
        <f>Procurement_Raw!K837</f>
        <v>60</v>
      </c>
      <c r="L837" t="str">
        <f>Procurement_Raw!L837</f>
        <v>Legacy Spend File</v>
      </c>
      <c r="M837" s="8">
        <f>Procurement_Raw!M837</f>
        <v>900.88599999999997</v>
      </c>
      <c r="N837" s="7">
        <f>Procurement_Raw!N837</f>
        <v>4504.43</v>
      </c>
      <c r="O837" s="7">
        <f t="shared" si="26"/>
        <v>4504.43</v>
      </c>
      <c r="P837" t="str">
        <f>IFERROR(INDEX(Supplier_Lookup!$B$2:$B$200,MATCH(E837,Supplier_Lookup!$A$2:$A$200,0)),"Unmapped")</f>
        <v>IT &amp; Telecoms</v>
      </c>
      <c r="Q837" s="10">
        <f>IFERROR(INDEX(Category_Targets!$B$2:$B$9,MATCH(F837,Category_Targets!$A$2:$A$9,0)),0)</f>
        <v>0.08</v>
      </c>
      <c r="R837" s="7">
        <f t="shared" si="27"/>
        <v>360.35440000000006</v>
      </c>
    </row>
    <row r="838" spans="1:18" x14ac:dyDescent="0.25">
      <c r="A838" s="5">
        <f>Procurement_Raw!A838</f>
        <v>45983</v>
      </c>
      <c r="B838" t="str">
        <f>Procurement_Raw!B838</f>
        <v>S013</v>
      </c>
      <c r="C838" t="str">
        <f>Procurement_Raw!C838</f>
        <v>Reading Care &amp; Education Centre</v>
      </c>
      <c r="D838" t="str">
        <f>Procurement_Raw!D838</f>
        <v>South</v>
      </c>
      <c r="E838" t="str">
        <f>Procurement_Raw!E838</f>
        <v>PrintCo</v>
      </c>
      <c r="F838" t="str">
        <f>Procurement_Raw!F838</f>
        <v>Office &amp; Training</v>
      </c>
      <c r="G838" t="str">
        <f>Procurement_Raw!G838</f>
        <v>INV-2025-00837</v>
      </c>
      <c r="H838" s="6">
        <f>Procurement_Raw!H838</f>
        <v>73</v>
      </c>
      <c r="I838" s="7">
        <f>Procurement_Raw!I838</f>
        <v>175.96</v>
      </c>
      <c r="J838" s="7">
        <f>Procurement_Raw!J838</f>
        <v>12845.17</v>
      </c>
      <c r="K838" s="6">
        <f>Procurement_Raw!K838</f>
        <v>45</v>
      </c>
      <c r="L838" t="str">
        <f>Procurement_Raw!L838</f>
        <v>Legacy Spend File</v>
      </c>
      <c r="M838" s="8">
        <f>Procurement_Raw!M838</f>
        <v>2569.0340000000001</v>
      </c>
      <c r="N838" s="7">
        <f>Procurement_Raw!N838</f>
        <v>12845.17</v>
      </c>
      <c r="O838" s="7">
        <f t="shared" si="26"/>
        <v>12845.17</v>
      </c>
      <c r="P838" t="str">
        <f>IFERROR(INDEX(Supplier_Lookup!$B$2:$B$200,MATCH(E838,Supplier_Lookup!$A$2:$A$200,0)),"Unmapped")</f>
        <v>Office &amp; Training</v>
      </c>
      <c r="Q838" s="10">
        <f>IFERROR(INDEX(Category_Targets!$B$2:$B$9,MATCH(F838,Category_Targets!$A$2:$A$9,0)),0)</f>
        <v>0.04</v>
      </c>
      <c r="R838" s="7">
        <f t="shared" si="27"/>
        <v>513.80680000000007</v>
      </c>
    </row>
    <row r="839" spans="1:18" x14ac:dyDescent="0.25">
      <c r="A839" s="5">
        <f>Procurement_Raw!A839</f>
        <v>45904</v>
      </c>
      <c r="B839" t="str">
        <f>Procurement_Raw!B839</f>
        <v>S018</v>
      </c>
      <c r="C839" t="str">
        <f>Procurement_Raw!C839</f>
        <v>Newport Care &amp; Education Centre</v>
      </c>
      <c r="D839" t="str">
        <f>Procurement_Raw!D839</f>
        <v>Wales</v>
      </c>
      <c r="E839" t="str">
        <f>Procurement_Raw!E839</f>
        <v>TeleCare IT</v>
      </c>
      <c r="F839" t="str">
        <f>Procurement_Raw!F839</f>
        <v>IT &amp; Telecoms</v>
      </c>
      <c r="G839" t="str">
        <f>Procurement_Raw!G839</f>
        <v>INV-2025-00838</v>
      </c>
      <c r="H839" s="6">
        <f>Procurement_Raw!H839</f>
        <v>70</v>
      </c>
      <c r="I839" s="7">
        <f>Procurement_Raw!I839</f>
        <v>127.04</v>
      </c>
      <c r="J839" s="7">
        <f>Procurement_Raw!J839</f>
        <v>8893.07</v>
      </c>
      <c r="K839" s="6">
        <f>Procurement_Raw!K839</f>
        <v>30</v>
      </c>
      <c r="L839" t="str">
        <f>Procurement_Raw!L839</f>
        <v>ERP</v>
      </c>
      <c r="M839" s="8">
        <f>Procurement_Raw!M839</f>
        <v>1778.614</v>
      </c>
      <c r="N839" s="7">
        <f>Procurement_Raw!N839</f>
        <v>8893.07</v>
      </c>
      <c r="O839" s="7">
        <f t="shared" si="26"/>
        <v>8893.07</v>
      </c>
      <c r="P839" t="str">
        <f>IFERROR(INDEX(Supplier_Lookup!$B$2:$B$200,MATCH(E839,Supplier_Lookup!$A$2:$A$200,0)),"Unmapped")</f>
        <v>IT &amp; Telecoms</v>
      </c>
      <c r="Q839" s="10">
        <f>IFERROR(INDEX(Category_Targets!$B$2:$B$9,MATCH(F839,Category_Targets!$A$2:$A$9,0)),0)</f>
        <v>0.08</v>
      </c>
      <c r="R839" s="7">
        <f t="shared" si="27"/>
        <v>711.44560000000001</v>
      </c>
    </row>
    <row r="840" spans="1:18" x14ac:dyDescent="0.25">
      <c r="A840" s="5">
        <f>Procurement_Raw!A840</f>
        <v>45869</v>
      </c>
      <c r="B840" t="str">
        <f>Procurement_Raw!B840</f>
        <v>S020</v>
      </c>
      <c r="C840" t="str">
        <f>Procurement_Raw!C840</f>
        <v>Bangor Care &amp; Education Centre</v>
      </c>
      <c r="D840" t="str">
        <f>Procurement_Raw!D840</f>
        <v>Wales</v>
      </c>
      <c r="E840" t="str">
        <f>Procurement_Raw!E840</f>
        <v>TeleCare IT</v>
      </c>
      <c r="F840" t="str">
        <f>Procurement_Raw!F840</f>
        <v>IT &amp; Telecoms</v>
      </c>
      <c r="G840" t="str">
        <f>Procurement_Raw!G840</f>
        <v>INV-2025-00839</v>
      </c>
      <c r="H840" s="6">
        <f>Procurement_Raw!H840</f>
        <v>34</v>
      </c>
      <c r="I840" s="7">
        <f>Procurement_Raw!I840</f>
        <v>378.04</v>
      </c>
      <c r="J840" s="7">
        <f>Procurement_Raw!J840</f>
        <v>12853.42</v>
      </c>
      <c r="K840" s="6">
        <f>Procurement_Raw!K840</f>
        <v>30</v>
      </c>
      <c r="L840" t="str">
        <f>Procurement_Raw!L840</f>
        <v>Procurement Portal</v>
      </c>
      <c r="M840" s="8">
        <f>Procurement_Raw!M840</f>
        <v>2570.6840000000002</v>
      </c>
      <c r="N840" s="7">
        <f>Procurement_Raw!N840</f>
        <v>12853.42</v>
      </c>
      <c r="O840" s="7">
        <f t="shared" si="26"/>
        <v>12853.42</v>
      </c>
      <c r="P840" t="str">
        <f>IFERROR(INDEX(Supplier_Lookup!$B$2:$B$200,MATCH(E840,Supplier_Lookup!$A$2:$A$200,0)),"Unmapped")</f>
        <v>IT &amp; Telecoms</v>
      </c>
      <c r="Q840" s="10">
        <f>IFERROR(INDEX(Category_Targets!$B$2:$B$9,MATCH(F840,Category_Targets!$A$2:$A$9,0)),0)</f>
        <v>0.08</v>
      </c>
      <c r="R840" s="7">
        <f t="shared" si="27"/>
        <v>1028.2736</v>
      </c>
    </row>
    <row r="841" spans="1:18" x14ac:dyDescent="0.25">
      <c r="A841" s="5">
        <f>Procurement_Raw!A841</f>
        <v>45727</v>
      </c>
      <c r="B841" t="str">
        <f>Procurement_Raw!B841</f>
        <v>S013</v>
      </c>
      <c r="C841" t="str">
        <f>Procurement_Raw!C841</f>
        <v>Reading Care &amp; Education Centre</v>
      </c>
      <c r="D841" t="str">
        <f>Procurement_Raw!D841</f>
        <v>South</v>
      </c>
      <c r="E841" t="str">
        <f>Procurement_Raw!E841</f>
        <v>ClinEquip</v>
      </c>
      <c r="F841" t="str">
        <f>Procurement_Raw!F841</f>
        <v>Medical Supplies</v>
      </c>
      <c r="G841" t="str">
        <f>Procurement_Raw!G841</f>
        <v>INV-2025-00840</v>
      </c>
      <c r="H841" s="6">
        <f>Procurement_Raw!H841</f>
        <v>45</v>
      </c>
      <c r="I841" s="7">
        <f>Procurement_Raw!I841</f>
        <v>106.68</v>
      </c>
      <c r="J841" s="7">
        <f>Procurement_Raw!J841</f>
        <v>4800.43</v>
      </c>
      <c r="K841" s="6">
        <f>Procurement_Raw!K841</f>
        <v>45</v>
      </c>
      <c r="L841" t="str">
        <f>Procurement_Raw!L841</f>
        <v>Procurement Portal</v>
      </c>
      <c r="M841" s="8">
        <f>Procurement_Raw!M841</f>
        <v>960.08600000000001</v>
      </c>
      <c r="N841" s="7">
        <f>Procurement_Raw!N841</f>
        <v>4800.43</v>
      </c>
      <c r="O841" s="7">
        <f t="shared" si="26"/>
        <v>4800.43</v>
      </c>
      <c r="P841" t="str">
        <f>IFERROR(INDEX(Supplier_Lookup!$B$2:$B$200,MATCH(E841,Supplier_Lookup!$A$2:$A$200,0)),"Unmapped")</f>
        <v>Medical Supplies</v>
      </c>
      <c r="Q841" s="10">
        <f>IFERROR(INDEX(Category_Targets!$B$2:$B$9,MATCH(F841,Category_Targets!$A$2:$A$9,0)),0)</f>
        <v>0.06</v>
      </c>
      <c r="R841" s="7">
        <f t="shared" si="27"/>
        <v>288.0258</v>
      </c>
    </row>
    <row r="842" spans="1:18" x14ac:dyDescent="0.25">
      <c r="A842" s="5">
        <f>Procurement_Raw!A842</f>
        <v>45909</v>
      </c>
      <c r="B842" t="str">
        <f>Procurement_Raw!B842</f>
        <v>S002</v>
      </c>
      <c r="C842" t="str">
        <f>Procurement_Raw!C842</f>
        <v>Manchester Care &amp; Education Centre</v>
      </c>
      <c r="D842" t="str">
        <f>Procurement_Raw!D842</f>
        <v>North</v>
      </c>
      <c r="E842" t="str">
        <f>Procurement_Raw!E842</f>
        <v>ClinEquip</v>
      </c>
      <c r="F842" t="str">
        <f>Procurement_Raw!F842</f>
        <v>Medical Supplies</v>
      </c>
      <c r="G842" t="str">
        <f>Procurement_Raw!G842</f>
        <v>INV-2025-00841</v>
      </c>
      <c r="H842" s="6">
        <f>Procurement_Raw!H842</f>
        <v>62</v>
      </c>
      <c r="I842" s="7">
        <f>Procurement_Raw!I842</f>
        <v>116.78</v>
      </c>
      <c r="J842" s="7">
        <f>Procurement_Raw!J842</f>
        <v>7240.32</v>
      </c>
      <c r="K842" s="6">
        <f>Procurement_Raw!K842</f>
        <v>45</v>
      </c>
      <c r="L842" t="str">
        <f>Procurement_Raw!L842</f>
        <v>ERP</v>
      </c>
      <c r="M842" s="8">
        <f>Procurement_Raw!M842</f>
        <v>1448.0640000000001</v>
      </c>
      <c r="N842" s="7">
        <f>Procurement_Raw!N842</f>
        <v>7240.32</v>
      </c>
      <c r="O842" s="7">
        <f t="shared" si="26"/>
        <v>7240.32</v>
      </c>
      <c r="P842" t="str">
        <f>IFERROR(INDEX(Supplier_Lookup!$B$2:$B$200,MATCH(E842,Supplier_Lookup!$A$2:$A$200,0)),"Unmapped")</f>
        <v>Medical Supplies</v>
      </c>
      <c r="Q842" s="10">
        <f>IFERROR(INDEX(Category_Targets!$B$2:$B$9,MATCH(F842,Category_Targets!$A$2:$A$9,0)),0)</f>
        <v>0.06</v>
      </c>
      <c r="R842" s="7">
        <f t="shared" si="27"/>
        <v>434.41919999999999</v>
      </c>
    </row>
    <row r="843" spans="1:18" x14ac:dyDescent="0.25">
      <c r="A843" s="5">
        <f>Procurement_Raw!A843</f>
        <v>45776</v>
      </c>
      <c r="B843" t="str">
        <f>Procurement_Raw!B843</f>
        <v>S020</v>
      </c>
      <c r="C843" t="str">
        <f>Procurement_Raw!C843</f>
        <v>Bangor Care &amp; Education Centre</v>
      </c>
      <c r="D843" t="str">
        <f>Procurement_Raw!D843</f>
        <v>Wales</v>
      </c>
      <c r="E843" t="str">
        <f>Procurement_Raw!E843</f>
        <v>NetServe</v>
      </c>
      <c r="F843" t="str">
        <f>Procurement_Raw!F843</f>
        <v>IT &amp; Telecoms</v>
      </c>
      <c r="G843" t="str">
        <f>Procurement_Raw!G843</f>
        <v>INV-2025-00842</v>
      </c>
      <c r="H843" s="6">
        <f>Procurement_Raw!H843</f>
        <v>1</v>
      </c>
      <c r="I843" s="7">
        <f>Procurement_Raw!I843</f>
        <v>318.87</v>
      </c>
      <c r="J843" s="7">
        <f>Procurement_Raw!J843</f>
        <v>318.87</v>
      </c>
      <c r="K843" s="6">
        <f>Procurement_Raw!K843</f>
        <v>60</v>
      </c>
      <c r="L843" t="str">
        <f>Procurement_Raw!L843</f>
        <v>Procurement Portal</v>
      </c>
      <c r="M843" s="8">
        <f>Procurement_Raw!M843</f>
        <v>63.774000000000001</v>
      </c>
      <c r="N843" s="7">
        <f>Procurement_Raw!N843</f>
        <v>318.87</v>
      </c>
      <c r="O843" s="7">
        <f t="shared" si="26"/>
        <v>318.87</v>
      </c>
      <c r="P843" t="str">
        <f>IFERROR(INDEX(Supplier_Lookup!$B$2:$B$200,MATCH(E843,Supplier_Lookup!$A$2:$A$200,0)),"Unmapped")</f>
        <v>IT &amp; Telecoms</v>
      </c>
      <c r="Q843" s="10">
        <f>IFERROR(INDEX(Category_Targets!$B$2:$B$9,MATCH(F843,Category_Targets!$A$2:$A$9,0)),0)</f>
        <v>0.08</v>
      </c>
      <c r="R843" s="7">
        <f t="shared" si="27"/>
        <v>25.509600000000002</v>
      </c>
    </row>
    <row r="844" spans="1:18" x14ac:dyDescent="0.25">
      <c r="A844" s="5">
        <f>Procurement_Raw!A844</f>
        <v>45881</v>
      </c>
      <c r="B844" t="str">
        <f>Procurement_Raw!B844</f>
        <v>S011</v>
      </c>
      <c r="C844" t="str">
        <f>Procurement_Raw!C844</f>
        <v>London Care &amp; Education Centre</v>
      </c>
      <c r="D844" t="str">
        <f>Procurement_Raw!D844</f>
        <v>South</v>
      </c>
      <c r="E844" t="str">
        <f>Procurement_Raw!E844</f>
        <v>NurseLink</v>
      </c>
      <c r="F844" t="str">
        <f>Procurement_Raw!F844</f>
        <v>Agency Labour</v>
      </c>
      <c r="G844" t="str">
        <f>Procurement_Raw!G844</f>
        <v>INV-2025-00843</v>
      </c>
      <c r="H844" s="6">
        <f>Procurement_Raw!H844</f>
        <v>51</v>
      </c>
      <c r="I844" s="7">
        <f>Procurement_Raw!I844</f>
        <v>161.79</v>
      </c>
      <c r="J844" s="7">
        <f>Procurement_Raw!J844</f>
        <v>8251.18</v>
      </c>
      <c r="K844" s="6">
        <f>Procurement_Raw!K844</f>
        <v>30</v>
      </c>
      <c r="L844" t="str">
        <f>Procurement_Raw!L844</f>
        <v>ERP</v>
      </c>
      <c r="M844" s="8">
        <f>Procurement_Raw!M844</f>
        <v>1650.2360000000001</v>
      </c>
      <c r="N844" s="7">
        <f>Procurement_Raw!N844</f>
        <v>8251.18</v>
      </c>
      <c r="O844" s="7">
        <f t="shared" si="26"/>
        <v>8251.18</v>
      </c>
      <c r="P844" t="str">
        <f>IFERROR(INDEX(Supplier_Lookup!$B$2:$B$200,MATCH(E844,Supplier_Lookup!$A$2:$A$200,0)),"Unmapped")</f>
        <v>Agency Labour</v>
      </c>
      <c r="Q844" s="10">
        <f>IFERROR(INDEX(Category_Targets!$B$2:$B$9,MATCH(F844,Category_Targets!$A$2:$A$9,0)),0)</f>
        <v>7.0000000000000007E-2</v>
      </c>
      <c r="R844" s="7">
        <f t="shared" si="27"/>
        <v>577.58260000000007</v>
      </c>
    </row>
    <row r="845" spans="1:18" x14ac:dyDescent="0.25">
      <c r="A845" s="5">
        <f>Procurement_Raw!A845</f>
        <v>45770</v>
      </c>
      <c r="B845" t="str">
        <f>Procurement_Raw!B845</f>
        <v>S008</v>
      </c>
      <c r="C845" t="str">
        <f>Procurement_Raw!C845</f>
        <v>Leicester Care &amp; Education Centre</v>
      </c>
      <c r="D845" t="str">
        <f>Procurement_Raw!D845</f>
        <v>Midlands</v>
      </c>
      <c r="E845" t="str">
        <f>Procurement_Raw!E845</f>
        <v>CareTemps</v>
      </c>
      <c r="F845" t="str">
        <f>Procurement_Raw!F845</f>
        <v>Agency Labour</v>
      </c>
      <c r="G845" t="str">
        <f>Procurement_Raw!G845</f>
        <v>INV-2025-00844</v>
      </c>
      <c r="H845" s="6">
        <f>Procurement_Raw!H845</f>
        <v>34</v>
      </c>
      <c r="I845" s="7">
        <f>Procurement_Raw!I845</f>
        <v>370.22</v>
      </c>
      <c r="J845" s="7">
        <f>Procurement_Raw!J845</f>
        <v>12587.61</v>
      </c>
      <c r="K845" s="6">
        <f>Procurement_Raw!K845</f>
        <v>30</v>
      </c>
      <c r="L845" t="str">
        <f>Procurement_Raw!L845</f>
        <v>Procurement Portal</v>
      </c>
      <c r="M845" s="8">
        <f>Procurement_Raw!M845</f>
        <v>2517.5219999999999</v>
      </c>
      <c r="N845" s="7">
        <f>Procurement_Raw!N845</f>
        <v>12587.61</v>
      </c>
      <c r="O845" s="7">
        <f t="shared" si="26"/>
        <v>12587.61</v>
      </c>
      <c r="P845" t="str">
        <f>IFERROR(INDEX(Supplier_Lookup!$B$2:$B$200,MATCH(E845,Supplier_Lookup!$A$2:$A$200,0)),"Unmapped")</f>
        <v>Agency Labour</v>
      </c>
      <c r="Q845" s="10">
        <f>IFERROR(INDEX(Category_Targets!$B$2:$B$9,MATCH(F845,Category_Targets!$A$2:$A$9,0)),0)</f>
        <v>7.0000000000000007E-2</v>
      </c>
      <c r="R845" s="7">
        <f t="shared" si="27"/>
        <v>881.13270000000011</v>
      </c>
    </row>
    <row r="846" spans="1:18" x14ac:dyDescent="0.25">
      <c r="A846" s="5">
        <f>Procurement_Raw!A846</f>
        <v>45971</v>
      </c>
      <c r="B846" t="str">
        <f>Procurement_Raw!B846</f>
        <v>S008</v>
      </c>
      <c r="C846" t="str">
        <f>Procurement_Raw!C846</f>
        <v>Leicester Care &amp; Education Centre</v>
      </c>
      <c r="D846" t="str">
        <f>Procurement_Raw!D846</f>
        <v>Midlands</v>
      </c>
      <c r="E846" t="str">
        <f>Procurement_Raw!E846</f>
        <v>PowerDirect</v>
      </c>
      <c r="F846" t="str">
        <f>Procurement_Raw!F846</f>
        <v>Utilities</v>
      </c>
      <c r="G846" t="str">
        <f>Procurement_Raw!G846</f>
        <v>INV-2025-00845</v>
      </c>
      <c r="H846" s="6">
        <f>Procurement_Raw!H846</f>
        <v>35</v>
      </c>
      <c r="I846" s="7">
        <f>Procurement_Raw!I846</f>
        <v>273.97000000000003</v>
      </c>
      <c r="J846" s="7">
        <f>Procurement_Raw!J846</f>
        <v>9588.86</v>
      </c>
      <c r="K846" s="6">
        <f>Procurement_Raw!K846</f>
        <v>45</v>
      </c>
      <c r="L846" t="str">
        <f>Procurement_Raw!L846</f>
        <v>Legacy Spend File</v>
      </c>
      <c r="M846" s="8">
        <f>Procurement_Raw!M846</f>
        <v>1917.7719999999999</v>
      </c>
      <c r="N846" s="7">
        <f>Procurement_Raw!N846</f>
        <v>9588.86</v>
      </c>
      <c r="O846" s="7">
        <f t="shared" si="26"/>
        <v>9588.86</v>
      </c>
      <c r="P846" t="str">
        <f>IFERROR(INDEX(Supplier_Lookup!$B$2:$B$200,MATCH(E846,Supplier_Lookup!$A$2:$A$200,0)),"Unmapped")</f>
        <v>Utilities</v>
      </c>
      <c r="Q846" s="10">
        <f>IFERROR(INDEX(Category_Targets!$B$2:$B$9,MATCH(F846,Category_Targets!$A$2:$A$9,0)),0)</f>
        <v>0.03</v>
      </c>
      <c r="R846" s="7">
        <f t="shared" si="27"/>
        <v>287.66579999999999</v>
      </c>
    </row>
    <row r="847" spans="1:18" x14ac:dyDescent="0.25">
      <c r="A847" s="5">
        <f>Procurement_Raw!A847</f>
        <v>45754</v>
      </c>
      <c r="B847" t="str">
        <f>Procurement_Raw!B847</f>
        <v>S002</v>
      </c>
      <c r="C847" t="str">
        <f>Procurement_Raw!C847</f>
        <v>Manchester Care &amp; Education Centre</v>
      </c>
      <c r="D847" t="str">
        <f>Procurement_Raw!D847</f>
        <v>North</v>
      </c>
      <c r="E847" t="str">
        <f>Procurement_Raw!E847</f>
        <v>TeleCare IT</v>
      </c>
      <c r="F847" t="str">
        <f>Procurement_Raw!F847</f>
        <v>IT &amp; Telecoms</v>
      </c>
      <c r="G847" t="str">
        <f>Procurement_Raw!G847</f>
        <v>INV-2025-00846</v>
      </c>
      <c r="H847" s="6">
        <f>Procurement_Raw!H847</f>
        <v>9</v>
      </c>
      <c r="I847" s="7">
        <f>Procurement_Raw!I847</f>
        <v>288.44</v>
      </c>
      <c r="J847" s="7">
        <f>Procurement_Raw!J847</f>
        <v>2595.9299999999998</v>
      </c>
      <c r="K847" s="6">
        <f>Procurement_Raw!K847</f>
        <v>30</v>
      </c>
      <c r="L847" t="str">
        <f>Procurement_Raw!L847</f>
        <v>ERP</v>
      </c>
      <c r="M847" s="8">
        <f>Procurement_Raw!M847</f>
        <v>519.18600000000004</v>
      </c>
      <c r="N847" s="7">
        <f>Procurement_Raw!N847</f>
        <v>2595.9299999999998</v>
      </c>
      <c r="O847" s="7">
        <f t="shared" si="26"/>
        <v>2595.9299999999998</v>
      </c>
      <c r="P847" t="str">
        <f>IFERROR(INDEX(Supplier_Lookup!$B$2:$B$200,MATCH(E847,Supplier_Lookup!$A$2:$A$200,0)),"Unmapped")</f>
        <v>IT &amp; Telecoms</v>
      </c>
      <c r="Q847" s="10">
        <f>IFERROR(INDEX(Category_Targets!$B$2:$B$9,MATCH(F847,Category_Targets!$A$2:$A$9,0)),0)</f>
        <v>0.08</v>
      </c>
      <c r="R847" s="7">
        <f t="shared" si="27"/>
        <v>207.67439999999999</v>
      </c>
    </row>
    <row r="848" spans="1:18" x14ac:dyDescent="0.25">
      <c r="A848" s="5">
        <f>Procurement_Raw!A848</f>
        <v>45891</v>
      </c>
      <c r="B848" t="str">
        <f>Procurement_Raw!B848</f>
        <v>S001</v>
      </c>
      <c r="C848" t="str">
        <f>Procurement_Raw!C848</f>
        <v>Preston Care &amp; Education Centre</v>
      </c>
      <c r="D848" t="str">
        <f>Procurement_Raw!D848</f>
        <v>North</v>
      </c>
      <c r="E848" t="str">
        <f>Procurement_Raw!E848</f>
        <v>KitchenPro</v>
      </c>
      <c r="F848" t="str">
        <f>Procurement_Raw!F848</f>
        <v>Food &amp; Catering</v>
      </c>
      <c r="G848" t="str">
        <f>Procurement_Raw!G848</f>
        <v>INV-2025-00847</v>
      </c>
      <c r="H848" s="6">
        <f>Procurement_Raw!H848</f>
        <v>80</v>
      </c>
      <c r="I848" s="7">
        <f>Procurement_Raw!I848</f>
        <v>76.209999999999994</v>
      </c>
      <c r="J848" s="7">
        <f>Procurement_Raw!J848</f>
        <v>6096.42</v>
      </c>
      <c r="K848" s="6">
        <f>Procurement_Raw!K848</f>
        <v>45</v>
      </c>
      <c r="L848" t="str">
        <f>Procurement_Raw!L848</f>
        <v>Procurement Portal</v>
      </c>
      <c r="M848" s="8">
        <f>Procurement_Raw!M848</f>
        <v>1219.2840000000001</v>
      </c>
      <c r="N848" s="7">
        <f>Procurement_Raw!N848</f>
        <v>6096.42</v>
      </c>
      <c r="O848" s="7">
        <f t="shared" si="26"/>
        <v>6096.42</v>
      </c>
      <c r="P848" t="str">
        <f>IFERROR(INDEX(Supplier_Lookup!$B$2:$B$200,MATCH(E848,Supplier_Lookup!$A$2:$A$200,0)),"Unmapped")</f>
        <v>Food &amp; Catering</v>
      </c>
      <c r="Q848" s="10">
        <f>IFERROR(INDEX(Category_Targets!$B$2:$B$9,MATCH(F848,Category_Targets!$A$2:$A$9,0)),0)</f>
        <v>0.04</v>
      </c>
      <c r="R848" s="7">
        <f t="shared" si="27"/>
        <v>243.85680000000002</v>
      </c>
    </row>
    <row r="849" spans="1:18" x14ac:dyDescent="0.25">
      <c r="A849" s="5">
        <f>Procurement_Raw!A849</f>
        <v>45822</v>
      </c>
      <c r="B849" t="str">
        <f>Procurement_Raw!B849</f>
        <v>S009</v>
      </c>
      <c r="C849" t="str">
        <f>Procurement_Raw!C849</f>
        <v>Derby Care &amp; Education Centre</v>
      </c>
      <c r="D849" t="str">
        <f>Procurement_Raw!D849</f>
        <v>Midlands</v>
      </c>
      <c r="E849" t="str">
        <f>Procurement_Raw!E849</f>
        <v>OfficePlus</v>
      </c>
      <c r="F849" t="str">
        <f>Procurement_Raw!F849</f>
        <v>Office &amp; Training</v>
      </c>
      <c r="G849" t="str">
        <f>Procurement_Raw!G849</f>
        <v>INV-2025-00848</v>
      </c>
      <c r="H849" s="6">
        <f>Procurement_Raw!H849</f>
        <v>3</v>
      </c>
      <c r="I849" s="7">
        <f>Procurement_Raw!I849</f>
        <v>289.43</v>
      </c>
      <c r="J849" s="7">
        <f>Procurement_Raw!J849</f>
        <v>868.28</v>
      </c>
      <c r="K849" s="6">
        <f>Procurement_Raw!K849</f>
        <v>30</v>
      </c>
      <c r="L849" t="str">
        <f>Procurement_Raw!L849</f>
        <v>ERP</v>
      </c>
      <c r="M849" s="8">
        <f>Procurement_Raw!M849</f>
        <v>173.65600000000001</v>
      </c>
      <c r="N849" s="7">
        <f>Procurement_Raw!N849</f>
        <v>868.28</v>
      </c>
      <c r="O849" s="7">
        <f t="shared" si="26"/>
        <v>868.28</v>
      </c>
      <c r="P849" t="str">
        <f>IFERROR(INDEX(Supplier_Lookup!$B$2:$B$200,MATCH(E849,Supplier_Lookup!$A$2:$A$200,0)),"Unmapped")</f>
        <v>Office &amp; Training</v>
      </c>
      <c r="Q849" s="10">
        <f>IFERROR(INDEX(Category_Targets!$B$2:$B$9,MATCH(F849,Category_Targets!$A$2:$A$9,0)),0)</f>
        <v>0.04</v>
      </c>
      <c r="R849" s="7">
        <f t="shared" si="27"/>
        <v>34.731200000000001</v>
      </c>
    </row>
    <row r="850" spans="1:18" x14ac:dyDescent="0.25">
      <c r="A850" s="5">
        <f>Procurement_Raw!A850</f>
        <v>45710</v>
      </c>
      <c r="B850" t="str">
        <f>Procurement_Raw!B850</f>
        <v>S015</v>
      </c>
      <c r="C850" t="str">
        <f>Procurement_Raw!C850</f>
        <v>Brighton Care &amp; Education Centre</v>
      </c>
      <c r="D850" t="str">
        <f>Procurement_Raw!D850</f>
        <v>South</v>
      </c>
      <c r="E850" t="str">
        <f>Procurement_Raw!E850</f>
        <v>MediSure</v>
      </c>
      <c r="F850" t="str">
        <f>Procurement_Raw!F850</f>
        <v>Medical Supplies</v>
      </c>
      <c r="G850" t="str">
        <f>Procurement_Raw!G850</f>
        <v>INV-2025-00849</v>
      </c>
      <c r="H850" s="6">
        <f>Procurement_Raw!H850</f>
        <v>37</v>
      </c>
      <c r="I850" s="7">
        <f>Procurement_Raw!I850</f>
        <v>84.5</v>
      </c>
      <c r="J850" s="7">
        <f>Procurement_Raw!J850</f>
        <v>3126.45</v>
      </c>
      <c r="K850" s="6">
        <f>Procurement_Raw!K850</f>
        <v>45</v>
      </c>
      <c r="L850" t="str">
        <f>Procurement_Raw!L850</f>
        <v>ERP</v>
      </c>
      <c r="M850" s="8">
        <f>Procurement_Raw!M850</f>
        <v>625.29</v>
      </c>
      <c r="N850" s="7">
        <f>Procurement_Raw!N850</f>
        <v>3126.45</v>
      </c>
      <c r="O850" s="7">
        <f t="shared" si="26"/>
        <v>3126.45</v>
      </c>
      <c r="P850" t="str">
        <f>IFERROR(INDEX(Supplier_Lookup!$B$2:$B$200,MATCH(E850,Supplier_Lookup!$A$2:$A$200,0)),"Unmapped")</f>
        <v>Medical Supplies</v>
      </c>
      <c r="Q850" s="10">
        <f>IFERROR(INDEX(Category_Targets!$B$2:$B$9,MATCH(F850,Category_Targets!$A$2:$A$9,0)),0)</f>
        <v>0.06</v>
      </c>
      <c r="R850" s="7">
        <f t="shared" si="27"/>
        <v>187.58699999999999</v>
      </c>
    </row>
    <row r="851" spans="1:18" x14ac:dyDescent="0.25">
      <c r="A851" s="5">
        <f>Procurement_Raw!A851</f>
        <v>45662</v>
      </c>
      <c r="B851" t="str">
        <f>Procurement_Raw!B851</f>
        <v>S019</v>
      </c>
      <c r="C851" t="str">
        <f>Procurement_Raw!C851</f>
        <v>Wrexham Care &amp; Education Centre</v>
      </c>
      <c r="D851" t="str">
        <f>Procurement_Raw!D851</f>
        <v>Wales</v>
      </c>
      <c r="E851" t="str">
        <f>Procurement_Raw!E851</f>
        <v>PrintCo</v>
      </c>
      <c r="F851" t="str">
        <f>Procurement_Raw!F851</f>
        <v>Office &amp; Training</v>
      </c>
      <c r="G851" t="str">
        <f>Procurement_Raw!G851</f>
        <v>INV-2025-00850</v>
      </c>
      <c r="H851" s="6">
        <f>Procurement_Raw!H851</f>
        <v>30</v>
      </c>
      <c r="I851" s="7">
        <f>Procurement_Raw!I851</f>
        <v>56</v>
      </c>
      <c r="J851" s="7">
        <f>Procurement_Raw!J851</f>
        <v>1680.15</v>
      </c>
      <c r="K851" s="6">
        <f>Procurement_Raw!K851</f>
        <v>30</v>
      </c>
      <c r="L851" t="str">
        <f>Procurement_Raw!L851</f>
        <v>ERP</v>
      </c>
      <c r="M851" s="8">
        <f>Procurement_Raw!M851</f>
        <v>336.03</v>
      </c>
      <c r="N851" s="7">
        <f>Procurement_Raw!N851</f>
        <v>1680.15</v>
      </c>
      <c r="O851" s="7">
        <f t="shared" si="26"/>
        <v>1680.15</v>
      </c>
      <c r="P851" t="str">
        <f>IFERROR(INDEX(Supplier_Lookup!$B$2:$B$200,MATCH(E851,Supplier_Lookup!$A$2:$A$200,0)),"Unmapped")</f>
        <v>Office &amp; Training</v>
      </c>
      <c r="Q851" s="10">
        <f>IFERROR(INDEX(Category_Targets!$B$2:$B$9,MATCH(F851,Category_Targets!$A$2:$A$9,0)),0)</f>
        <v>0.04</v>
      </c>
      <c r="R851" s="7">
        <f t="shared" si="27"/>
        <v>67.206000000000003</v>
      </c>
    </row>
    <row r="852" spans="1:18" x14ac:dyDescent="0.25">
      <c r="A852" s="5">
        <f>Procurement_Raw!A852</f>
        <v>45833</v>
      </c>
      <c r="B852" t="str">
        <f>Procurement_Raw!B852</f>
        <v>S009</v>
      </c>
      <c r="C852" t="str">
        <f>Procurement_Raw!C852</f>
        <v>Derby Care &amp; Education Centre</v>
      </c>
      <c r="D852" t="str">
        <f>Procurement_Raw!D852</f>
        <v>Midlands</v>
      </c>
      <c r="E852" t="str">
        <f>Procurement_Raw!E852</f>
        <v>OfficePlus</v>
      </c>
      <c r="F852" t="str">
        <f>Procurement_Raw!F852</f>
        <v>Office &amp; Training</v>
      </c>
      <c r="G852" t="str">
        <f>Procurement_Raw!G852</f>
        <v>INV-2025-00851</v>
      </c>
      <c r="H852" s="6">
        <f>Procurement_Raw!H852</f>
        <v>54</v>
      </c>
      <c r="I852" s="7">
        <f>Procurement_Raw!I852</f>
        <v>53.24</v>
      </c>
      <c r="J852" s="7">
        <f>Procurement_Raw!J852</f>
        <v>2874.82</v>
      </c>
      <c r="K852" s="6">
        <f>Procurement_Raw!K852</f>
        <v>45</v>
      </c>
      <c r="L852" t="str">
        <f>Procurement_Raw!L852</f>
        <v>Procurement Portal</v>
      </c>
      <c r="M852" s="8">
        <f>Procurement_Raw!M852</f>
        <v>574.96400000000006</v>
      </c>
      <c r="N852" s="7">
        <f>Procurement_Raw!N852</f>
        <v>2874.82</v>
      </c>
      <c r="O852" s="7">
        <f t="shared" si="26"/>
        <v>2874.82</v>
      </c>
      <c r="P852" t="str">
        <f>IFERROR(INDEX(Supplier_Lookup!$B$2:$B$200,MATCH(E852,Supplier_Lookup!$A$2:$A$200,0)),"Unmapped")</f>
        <v>Office &amp; Training</v>
      </c>
      <c r="Q852" s="10">
        <f>IFERROR(INDEX(Category_Targets!$B$2:$B$9,MATCH(F852,Category_Targets!$A$2:$A$9,0)),0)</f>
        <v>0.04</v>
      </c>
      <c r="R852" s="7">
        <f t="shared" si="27"/>
        <v>114.9928</v>
      </c>
    </row>
    <row r="853" spans="1:18" x14ac:dyDescent="0.25">
      <c r="A853" s="5">
        <f>Procurement_Raw!A853</f>
        <v>45674</v>
      </c>
      <c r="B853" t="str">
        <f>Procurement_Raw!B853</f>
        <v>S010</v>
      </c>
      <c r="C853" t="str">
        <f>Procurement_Raw!C853</f>
        <v>Coventry Care &amp; Education Centre</v>
      </c>
      <c r="D853" t="str">
        <f>Procurement_Raw!D853</f>
        <v>Midlands</v>
      </c>
      <c r="E853" t="str">
        <f>Procurement_Raw!E853</f>
        <v>PrintCo</v>
      </c>
      <c r="F853" t="str">
        <f>Procurement_Raw!F853</f>
        <v>Office &amp; Training</v>
      </c>
      <c r="G853" t="str">
        <f>Procurement_Raw!G853</f>
        <v>INV-2025-00852</v>
      </c>
      <c r="H853" s="6">
        <f>Procurement_Raw!H853</f>
        <v>43</v>
      </c>
      <c r="I853" s="7">
        <f>Procurement_Raw!I853</f>
        <v>55.26</v>
      </c>
      <c r="J853" s="7">
        <f>Procurement_Raw!J853</f>
        <v>2376.0100000000002</v>
      </c>
      <c r="K853" s="6">
        <f>Procurement_Raw!K853</f>
        <v>30</v>
      </c>
      <c r="L853" t="str">
        <f>Procurement_Raw!L853</f>
        <v>ERP</v>
      </c>
      <c r="M853" s="8">
        <f>Procurement_Raw!M853</f>
        <v>475.202</v>
      </c>
      <c r="N853" s="7">
        <f>Procurement_Raw!N853</f>
        <v>2376.0100000000002</v>
      </c>
      <c r="O853" s="7">
        <f t="shared" si="26"/>
        <v>2376.0100000000002</v>
      </c>
      <c r="P853" t="str">
        <f>IFERROR(INDEX(Supplier_Lookup!$B$2:$B$200,MATCH(E853,Supplier_Lookup!$A$2:$A$200,0)),"Unmapped")</f>
        <v>Office &amp; Training</v>
      </c>
      <c r="Q853" s="10">
        <f>IFERROR(INDEX(Category_Targets!$B$2:$B$9,MATCH(F853,Category_Targets!$A$2:$A$9,0)),0)</f>
        <v>0.04</v>
      </c>
      <c r="R853" s="7">
        <f t="shared" si="27"/>
        <v>95.040400000000005</v>
      </c>
    </row>
    <row r="854" spans="1:18" x14ac:dyDescent="0.25">
      <c r="A854" s="5">
        <f>Procurement_Raw!A854</f>
        <v>45694</v>
      </c>
      <c r="B854" t="str">
        <f>Procurement_Raw!B854</f>
        <v>S006</v>
      </c>
      <c r="C854" t="str">
        <f>Procurement_Raw!C854</f>
        <v>Birmingham Care &amp; Education Centre</v>
      </c>
      <c r="D854" t="str">
        <f>Procurement_Raw!D854</f>
        <v>Midlands</v>
      </c>
      <c r="E854" t="str">
        <f>Procurement_Raw!E854</f>
        <v>TeleCare IT</v>
      </c>
      <c r="F854" t="str">
        <f>Procurement_Raw!F854</f>
        <v>IT &amp; Telecoms</v>
      </c>
      <c r="G854" t="str">
        <f>Procurement_Raw!G854</f>
        <v>INV-2025-00853</v>
      </c>
      <c r="H854" s="6">
        <f>Procurement_Raw!H854</f>
        <v>70</v>
      </c>
      <c r="I854" s="7">
        <f>Procurement_Raw!I854</f>
        <v>154.94</v>
      </c>
      <c r="J854" s="7">
        <f>Procurement_Raw!J854</f>
        <v>10846.09</v>
      </c>
      <c r="K854" s="6">
        <f>Procurement_Raw!K854</f>
        <v>45</v>
      </c>
      <c r="L854" t="str">
        <f>Procurement_Raw!L854</f>
        <v>ERP</v>
      </c>
      <c r="M854" s="8">
        <f>Procurement_Raw!M854</f>
        <v>2169.2179999999998</v>
      </c>
      <c r="N854" s="7">
        <f>Procurement_Raw!N854</f>
        <v>10846.09</v>
      </c>
      <c r="O854" s="7">
        <f t="shared" si="26"/>
        <v>10846.09</v>
      </c>
      <c r="P854" t="str">
        <f>IFERROR(INDEX(Supplier_Lookup!$B$2:$B$200,MATCH(E854,Supplier_Lookup!$A$2:$A$200,0)),"Unmapped")</f>
        <v>IT &amp; Telecoms</v>
      </c>
      <c r="Q854" s="10">
        <f>IFERROR(INDEX(Category_Targets!$B$2:$B$9,MATCH(F854,Category_Targets!$A$2:$A$9,0)),0)</f>
        <v>0.08</v>
      </c>
      <c r="R854" s="7">
        <f t="shared" si="27"/>
        <v>867.68720000000008</v>
      </c>
    </row>
    <row r="855" spans="1:18" x14ac:dyDescent="0.25">
      <c r="A855" s="5">
        <f>Procurement_Raw!A855</f>
        <v>45664</v>
      </c>
      <c r="B855" t="str">
        <f>Procurement_Raw!B855</f>
        <v>S015</v>
      </c>
      <c r="C855" t="str">
        <f>Procurement_Raw!C855</f>
        <v>Brighton Care &amp; Education Centre</v>
      </c>
      <c r="D855" t="str">
        <f>Procurement_Raw!D855</f>
        <v>South</v>
      </c>
      <c r="E855" t="str">
        <f>Procurement_Raw!E855</f>
        <v>TeleCare IT</v>
      </c>
      <c r="F855" t="str">
        <f>Procurement_Raw!F855</f>
        <v>IT &amp; Telecoms</v>
      </c>
      <c r="G855" t="str">
        <f>Procurement_Raw!G855</f>
        <v>INV-2025-00854</v>
      </c>
      <c r="H855" s="6">
        <f>Procurement_Raw!H855</f>
        <v>16</v>
      </c>
      <c r="I855" s="7">
        <f>Procurement_Raw!I855</f>
        <v>423.09</v>
      </c>
      <c r="J855" s="7">
        <f>Procurement_Raw!J855</f>
        <v>6769.45</v>
      </c>
      <c r="K855" s="6">
        <f>Procurement_Raw!K855</f>
        <v>60</v>
      </c>
      <c r="L855" t="str">
        <f>Procurement_Raw!L855</f>
        <v>ERP</v>
      </c>
      <c r="M855" s="8">
        <f>Procurement_Raw!M855</f>
        <v>1353.89</v>
      </c>
      <c r="N855" s="7">
        <f>Procurement_Raw!N855</f>
        <v>6769.45</v>
      </c>
      <c r="O855" s="7">
        <f t="shared" si="26"/>
        <v>6769.45</v>
      </c>
      <c r="P855" t="str">
        <f>IFERROR(INDEX(Supplier_Lookup!$B$2:$B$200,MATCH(E855,Supplier_Lookup!$A$2:$A$200,0)),"Unmapped")</f>
        <v>IT &amp; Telecoms</v>
      </c>
      <c r="Q855" s="10">
        <f>IFERROR(INDEX(Category_Targets!$B$2:$B$9,MATCH(F855,Category_Targets!$A$2:$A$9,0)),0)</f>
        <v>0.08</v>
      </c>
      <c r="R855" s="7">
        <f t="shared" si="27"/>
        <v>541.55600000000004</v>
      </c>
    </row>
    <row r="856" spans="1:18" x14ac:dyDescent="0.25">
      <c r="A856" s="5">
        <f>Procurement_Raw!A856</f>
        <v>45675</v>
      </c>
      <c r="B856" t="str">
        <f>Procurement_Raw!B856</f>
        <v>S010</v>
      </c>
      <c r="C856" t="str">
        <f>Procurement_Raw!C856</f>
        <v>Coventry Care &amp; Education Centre</v>
      </c>
      <c r="D856" t="str">
        <f>Procurement_Raw!D856</f>
        <v>Midlands</v>
      </c>
      <c r="E856" t="str">
        <f>Procurement_Raw!E856</f>
        <v>OfficePlus</v>
      </c>
      <c r="F856" t="str">
        <f>Procurement_Raw!F856</f>
        <v>Office &amp; Training</v>
      </c>
      <c r="G856" t="str">
        <f>Procurement_Raw!G856</f>
        <v>INV-2025-00855</v>
      </c>
      <c r="H856" s="6">
        <f>Procurement_Raw!H856</f>
        <v>26</v>
      </c>
      <c r="I856" s="7">
        <f>Procurement_Raw!I856</f>
        <v>163.82</v>
      </c>
      <c r="J856" s="7">
        <f>Procurement_Raw!J856</f>
        <v>4259.3100000000004</v>
      </c>
      <c r="K856" s="6">
        <f>Procurement_Raw!K856</f>
        <v>45</v>
      </c>
      <c r="L856" t="str">
        <f>Procurement_Raw!L856</f>
        <v>Legacy Spend File</v>
      </c>
      <c r="M856" s="8">
        <f>Procurement_Raw!M856</f>
        <v>851.86199999999997</v>
      </c>
      <c r="N856" s="7">
        <f>Procurement_Raw!N856</f>
        <v>4259.3100000000004</v>
      </c>
      <c r="O856" s="7">
        <f t="shared" si="26"/>
        <v>4259.3100000000004</v>
      </c>
      <c r="P856" t="str">
        <f>IFERROR(INDEX(Supplier_Lookup!$B$2:$B$200,MATCH(E856,Supplier_Lookup!$A$2:$A$200,0)),"Unmapped")</f>
        <v>Office &amp; Training</v>
      </c>
      <c r="Q856" s="10">
        <f>IFERROR(INDEX(Category_Targets!$B$2:$B$9,MATCH(F856,Category_Targets!$A$2:$A$9,0)),0)</f>
        <v>0.04</v>
      </c>
      <c r="R856" s="7">
        <f t="shared" si="27"/>
        <v>170.37240000000003</v>
      </c>
    </row>
    <row r="857" spans="1:18" x14ac:dyDescent="0.25">
      <c r="A857" s="5">
        <f>Procurement_Raw!A857</f>
        <v>45857</v>
      </c>
      <c r="B857" t="str">
        <f>Procurement_Raw!B857</f>
        <v>S016</v>
      </c>
      <c r="C857" t="str">
        <f>Procurement_Raw!C857</f>
        <v>Cardiff Care &amp; Education Centre</v>
      </c>
      <c r="D857" t="str">
        <f>Procurement_Raw!D857</f>
        <v>Wales</v>
      </c>
      <c r="E857" t="str">
        <f>Procurement_Raw!E857</f>
        <v>WaterGrid</v>
      </c>
      <c r="F857" t="str">
        <f>Procurement_Raw!F857</f>
        <v>Utilities</v>
      </c>
      <c r="G857" t="str">
        <f>Procurement_Raw!G857</f>
        <v>INV-2025-00856</v>
      </c>
      <c r="H857" s="6">
        <f>Procurement_Raw!H857</f>
        <v>40</v>
      </c>
      <c r="I857" s="7">
        <f>Procurement_Raw!I857</f>
        <v>182.65</v>
      </c>
      <c r="J857" s="7">
        <f>Procurement_Raw!J857</f>
        <v>7305.84</v>
      </c>
      <c r="K857" s="6">
        <f>Procurement_Raw!K857</f>
        <v>45</v>
      </c>
      <c r="L857" t="str">
        <f>Procurement_Raw!L857</f>
        <v>ERP</v>
      </c>
      <c r="M857" s="8">
        <f>Procurement_Raw!M857</f>
        <v>1461.1679999999999</v>
      </c>
      <c r="N857" s="7">
        <f>Procurement_Raw!N857</f>
        <v>7305.84</v>
      </c>
      <c r="O857" s="7">
        <f t="shared" si="26"/>
        <v>7305.84</v>
      </c>
      <c r="P857" t="str">
        <f>IFERROR(INDEX(Supplier_Lookup!$B$2:$B$200,MATCH(E857,Supplier_Lookup!$A$2:$A$200,0)),"Unmapped")</f>
        <v>Utilities</v>
      </c>
      <c r="Q857" s="10">
        <f>IFERROR(INDEX(Category_Targets!$B$2:$B$9,MATCH(F857,Category_Targets!$A$2:$A$9,0)),0)</f>
        <v>0.03</v>
      </c>
      <c r="R857" s="7">
        <f t="shared" si="27"/>
        <v>219.17519999999999</v>
      </c>
    </row>
    <row r="858" spans="1:18" x14ac:dyDescent="0.25">
      <c r="A858" s="5">
        <f>Procurement_Raw!A858</f>
        <v>45939</v>
      </c>
      <c r="B858" t="str">
        <f>Procurement_Raw!B858</f>
        <v>S016</v>
      </c>
      <c r="C858" t="str">
        <f>Procurement_Raw!C858</f>
        <v>Cardiff Care &amp; Education Centre</v>
      </c>
      <c r="D858" t="str">
        <f>Procurement_Raw!D858</f>
        <v>Wales</v>
      </c>
      <c r="E858" t="str">
        <f>Procurement_Raw!E858</f>
        <v>ClinEquip</v>
      </c>
      <c r="F858" t="str">
        <f>Procurement_Raw!F858</f>
        <v>Medical Supplies</v>
      </c>
      <c r="G858" t="str">
        <f>Procurement_Raw!G858</f>
        <v>INV-2025-00857</v>
      </c>
      <c r="H858" s="6">
        <f>Procurement_Raw!H858</f>
        <v>67</v>
      </c>
      <c r="I858" s="7">
        <f>Procurement_Raw!I858</f>
        <v>75.92</v>
      </c>
      <c r="J858" s="7">
        <f>Procurement_Raw!J858</f>
        <v>5086.72</v>
      </c>
      <c r="K858" s="6">
        <f>Procurement_Raw!K858</f>
        <v>30</v>
      </c>
      <c r="L858" t="str">
        <f>Procurement_Raw!L858</f>
        <v>Procurement Portal</v>
      </c>
      <c r="M858" s="8">
        <f>Procurement_Raw!M858</f>
        <v>1017.3440000000001</v>
      </c>
      <c r="N858" s="7">
        <f>Procurement_Raw!N858</f>
        <v>5086.72</v>
      </c>
      <c r="O858" s="7">
        <f t="shared" si="26"/>
        <v>5086.72</v>
      </c>
      <c r="P858" t="str">
        <f>IFERROR(INDEX(Supplier_Lookup!$B$2:$B$200,MATCH(E858,Supplier_Lookup!$A$2:$A$200,0)),"Unmapped")</f>
        <v>Medical Supplies</v>
      </c>
      <c r="Q858" s="10">
        <f>IFERROR(INDEX(Category_Targets!$B$2:$B$9,MATCH(F858,Category_Targets!$A$2:$A$9,0)),0)</f>
        <v>0.06</v>
      </c>
      <c r="R858" s="7">
        <f t="shared" si="27"/>
        <v>305.20319999999998</v>
      </c>
    </row>
    <row r="859" spans="1:18" x14ac:dyDescent="0.25">
      <c r="A859" s="5">
        <f>Procurement_Raw!A859</f>
        <v>45842</v>
      </c>
      <c r="B859" t="str">
        <f>Procurement_Raw!B859</f>
        <v>S003</v>
      </c>
      <c r="C859" t="str">
        <f>Procurement_Raw!C859</f>
        <v>Leeds Care &amp; Education Centre</v>
      </c>
      <c r="D859" t="str">
        <f>Procurement_Raw!D859</f>
        <v>North</v>
      </c>
      <c r="E859" t="str">
        <f>Procurement_Raw!E859</f>
        <v>CloudLink</v>
      </c>
      <c r="F859" t="str">
        <f>Procurement_Raw!F859</f>
        <v>IT &amp; Telecoms</v>
      </c>
      <c r="G859" t="str">
        <f>Procurement_Raw!G859</f>
        <v>INV-2025-00858</v>
      </c>
      <c r="H859" s="6">
        <f>Procurement_Raw!H859</f>
        <v>7</v>
      </c>
      <c r="I859" s="7">
        <f>Procurement_Raw!I859</f>
        <v>285.12</v>
      </c>
      <c r="J859" s="7">
        <f>Procurement_Raw!J859</f>
        <v>1995.83</v>
      </c>
      <c r="K859" s="6">
        <f>Procurement_Raw!K859</f>
        <v>60</v>
      </c>
      <c r="L859" t="str">
        <f>Procurement_Raw!L859</f>
        <v>ERP</v>
      </c>
      <c r="M859" s="8">
        <f>Procurement_Raw!M859</f>
        <v>399.166</v>
      </c>
      <c r="N859" s="7">
        <f>Procurement_Raw!N859</f>
        <v>1995.83</v>
      </c>
      <c r="O859" s="7">
        <f t="shared" si="26"/>
        <v>1995.83</v>
      </c>
      <c r="P859" t="str">
        <f>IFERROR(INDEX(Supplier_Lookup!$B$2:$B$200,MATCH(E859,Supplier_Lookup!$A$2:$A$200,0)),"Unmapped")</f>
        <v>medical supplies</v>
      </c>
      <c r="Q859" s="10">
        <f>IFERROR(INDEX(Category_Targets!$B$2:$B$9,MATCH(F859,Category_Targets!$A$2:$A$9,0)),0)</f>
        <v>0.08</v>
      </c>
      <c r="R859" s="7">
        <f t="shared" si="27"/>
        <v>159.66640000000001</v>
      </c>
    </row>
    <row r="860" spans="1:18" x14ac:dyDescent="0.25">
      <c r="A860" s="5">
        <f>Procurement_Raw!A860</f>
        <v>45880</v>
      </c>
      <c r="B860" t="str">
        <f>Procurement_Raw!B860</f>
        <v>S018</v>
      </c>
      <c r="C860" t="str">
        <f>Procurement_Raw!C860</f>
        <v>Newport Care &amp; Education Centre</v>
      </c>
      <c r="D860" t="str">
        <f>Procurement_Raw!D860</f>
        <v>Wales</v>
      </c>
      <c r="E860" t="str">
        <f>Procurement_Raw!E860</f>
        <v>PowerDirect</v>
      </c>
      <c r="F860" t="str">
        <f>Procurement_Raw!F860</f>
        <v>Utilities</v>
      </c>
      <c r="G860" t="str">
        <f>Procurement_Raw!G860</f>
        <v>INV-2025-00859</v>
      </c>
      <c r="H860" s="6">
        <f>Procurement_Raw!H860</f>
        <v>42</v>
      </c>
      <c r="I860" s="7">
        <f>Procurement_Raw!I860</f>
        <v>184.52</v>
      </c>
      <c r="J860" s="7">
        <f>Procurement_Raw!J860</f>
        <v>7749.69</v>
      </c>
      <c r="K860" s="6">
        <f>Procurement_Raw!K860</f>
        <v>30</v>
      </c>
      <c r="L860" t="str">
        <f>Procurement_Raw!L860</f>
        <v>ERP</v>
      </c>
      <c r="M860" s="8">
        <f>Procurement_Raw!M860</f>
        <v>1549.9380000000001</v>
      </c>
      <c r="N860" s="7">
        <f>Procurement_Raw!N860</f>
        <v>7749.69</v>
      </c>
      <c r="O860" s="7">
        <f t="shared" si="26"/>
        <v>7749.69</v>
      </c>
      <c r="P860" t="str">
        <f>IFERROR(INDEX(Supplier_Lookup!$B$2:$B$200,MATCH(E860,Supplier_Lookup!$A$2:$A$200,0)),"Unmapped")</f>
        <v>Utilities</v>
      </c>
      <c r="Q860" s="10">
        <f>IFERROR(INDEX(Category_Targets!$B$2:$B$9,MATCH(F860,Category_Targets!$A$2:$A$9,0)),0)</f>
        <v>0.03</v>
      </c>
      <c r="R860" s="7">
        <f t="shared" si="27"/>
        <v>232.49069999999998</v>
      </c>
    </row>
    <row r="861" spans="1:18" x14ac:dyDescent="0.25">
      <c r="A861" s="5">
        <f>Procurement_Raw!A861</f>
        <v>45782</v>
      </c>
      <c r="B861" t="str">
        <f>Procurement_Raw!B861</f>
        <v>S020</v>
      </c>
      <c r="C861" t="str">
        <f>Procurement_Raw!C861</f>
        <v>Bangor Care &amp; Education Centre</v>
      </c>
      <c r="D861" t="str">
        <f>Procurement_Raw!D861</f>
        <v>Wales</v>
      </c>
      <c r="E861" t="str">
        <f>Procurement_Raw!E861</f>
        <v>NourishCo</v>
      </c>
      <c r="F861" t="str">
        <f>Procurement_Raw!F861</f>
        <v>Food &amp; Catering</v>
      </c>
      <c r="G861" t="str">
        <f>Procurement_Raw!G861</f>
        <v>INV-2025-00860</v>
      </c>
      <c r="H861" s="6">
        <f>Procurement_Raw!H861</f>
        <v>2</v>
      </c>
      <c r="I861" s="7">
        <f>Procurement_Raw!I861</f>
        <v>92.07</v>
      </c>
      <c r="J861" s="7">
        <f>Procurement_Raw!J861</f>
        <v>184.13</v>
      </c>
      <c r="K861" s="6">
        <f>Procurement_Raw!K861</f>
        <v>30</v>
      </c>
      <c r="L861" t="str">
        <f>Procurement_Raw!L861</f>
        <v>Legacy Spend File</v>
      </c>
      <c r="M861" s="8">
        <f>Procurement_Raw!M861</f>
        <v>36.826000000000001</v>
      </c>
      <c r="N861" s="7">
        <f>Procurement_Raw!N861</f>
        <v>184.13</v>
      </c>
      <c r="O861" s="7">
        <f t="shared" si="26"/>
        <v>184.13</v>
      </c>
      <c r="P861" t="str">
        <f>IFERROR(INDEX(Supplier_Lookup!$B$2:$B$200,MATCH(E861,Supplier_Lookup!$A$2:$A$200,0)),"Unmapped")</f>
        <v>Food &amp; Catering</v>
      </c>
      <c r="Q861" s="10">
        <f>IFERROR(INDEX(Category_Targets!$B$2:$B$9,MATCH(F861,Category_Targets!$A$2:$A$9,0)),0)</f>
        <v>0.04</v>
      </c>
      <c r="R861" s="7">
        <f t="shared" si="27"/>
        <v>7.3651999999999997</v>
      </c>
    </row>
    <row r="862" spans="1:18" x14ac:dyDescent="0.25">
      <c r="A862" s="5">
        <f>Procurement_Raw!A862</f>
        <v>45963</v>
      </c>
      <c r="B862" t="str">
        <f>Procurement_Raw!B862</f>
        <v>S004</v>
      </c>
      <c r="C862" t="str">
        <f>Procurement_Raw!C862</f>
        <v>Newcastle Care &amp; Education Centre</v>
      </c>
      <c r="D862" t="str">
        <f>Procurement_Raw!D862</f>
        <v>North</v>
      </c>
      <c r="E862" t="str">
        <f>Procurement_Raw!E862</f>
        <v>PrintCo</v>
      </c>
      <c r="F862" t="str">
        <f>Procurement_Raw!F862</f>
        <v>Office &amp; Training</v>
      </c>
      <c r="G862" t="str">
        <f>Procurement_Raw!G862</f>
        <v>INV-2025-00861</v>
      </c>
      <c r="H862" s="6">
        <f>Procurement_Raw!H862</f>
        <v>20</v>
      </c>
      <c r="I862" s="7">
        <f>Procurement_Raw!I862</f>
        <v>83.86</v>
      </c>
      <c r="J862" s="7">
        <f>Procurement_Raw!J862</f>
        <v>1677.11</v>
      </c>
      <c r="K862" s="6">
        <f>Procurement_Raw!K862</f>
        <v>45</v>
      </c>
      <c r="L862" t="str">
        <f>Procurement_Raw!L862</f>
        <v>ERP</v>
      </c>
      <c r="M862" s="8">
        <f>Procurement_Raw!M862</f>
        <v>335.42200000000003</v>
      </c>
      <c r="N862" s="7">
        <f>Procurement_Raw!N862</f>
        <v>1677.11</v>
      </c>
      <c r="O862" s="7">
        <f t="shared" si="26"/>
        <v>1677.11</v>
      </c>
      <c r="P862" t="str">
        <f>IFERROR(INDEX(Supplier_Lookup!$B$2:$B$200,MATCH(E862,Supplier_Lookup!$A$2:$A$200,0)),"Unmapped")</f>
        <v>Office &amp; Training</v>
      </c>
      <c r="Q862" s="10">
        <f>IFERROR(INDEX(Category_Targets!$B$2:$B$9,MATCH(F862,Category_Targets!$A$2:$A$9,0)),0)</f>
        <v>0.04</v>
      </c>
      <c r="R862" s="7">
        <f t="shared" si="27"/>
        <v>67.084400000000002</v>
      </c>
    </row>
    <row r="863" spans="1:18" x14ac:dyDescent="0.25">
      <c r="A863" s="5">
        <f>Procurement_Raw!A863</f>
        <v>45704</v>
      </c>
      <c r="B863" t="str">
        <f>Procurement_Raw!B863</f>
        <v>S014</v>
      </c>
      <c r="C863" t="str">
        <f>Procurement_Raw!C863</f>
        <v>Southampton Care &amp; Education Centre</v>
      </c>
      <c r="D863" t="str">
        <f>Procurement_Raw!D863</f>
        <v>South</v>
      </c>
      <c r="E863" t="str">
        <f>Procurement_Raw!E863</f>
        <v>SafeGuard FM</v>
      </c>
      <c r="F863" t="str">
        <f>Procurement_Raw!F863</f>
        <v>Facilities</v>
      </c>
      <c r="G863" t="str">
        <f>Procurement_Raw!G863</f>
        <v>INV-2025-00862</v>
      </c>
      <c r="H863" s="6">
        <f>Procurement_Raw!H863</f>
        <v>80</v>
      </c>
      <c r="I863" s="7">
        <f>Procurement_Raw!I863</f>
        <v>78.2</v>
      </c>
      <c r="J863" s="7">
        <f>Procurement_Raw!J863</f>
        <v>6256.17</v>
      </c>
      <c r="K863" s="6">
        <f>Procurement_Raw!K863</f>
        <v>45</v>
      </c>
      <c r="L863" t="str">
        <f>Procurement_Raw!L863</f>
        <v>Legacy Spend File</v>
      </c>
      <c r="M863" s="8">
        <f>Procurement_Raw!M863</f>
        <v>1251.2339999999999</v>
      </c>
      <c r="N863" s="7">
        <f>Procurement_Raw!N863</f>
        <v>6256.17</v>
      </c>
      <c r="O863" s="7">
        <f t="shared" si="26"/>
        <v>6256.17</v>
      </c>
      <c r="P863" t="str">
        <f>IFERROR(INDEX(Supplier_Lookup!$B$2:$B$200,MATCH(E863,Supplier_Lookup!$A$2:$A$200,0)),"Unmapped")</f>
        <v>Facilities</v>
      </c>
      <c r="Q863" s="10">
        <f>IFERROR(INDEX(Category_Targets!$B$2:$B$9,MATCH(F863,Category_Targets!$A$2:$A$9,0)),0)</f>
        <v>0.05</v>
      </c>
      <c r="R863" s="7">
        <f t="shared" si="27"/>
        <v>312.80850000000004</v>
      </c>
    </row>
    <row r="864" spans="1:18" x14ac:dyDescent="0.25">
      <c r="A864" s="5">
        <f>Procurement_Raw!A864</f>
        <v>45988</v>
      </c>
      <c r="B864" t="str">
        <f>Procurement_Raw!B864</f>
        <v>S015</v>
      </c>
      <c r="C864" t="str">
        <f>Procurement_Raw!C864</f>
        <v>Brighton Care &amp; Education Centre</v>
      </c>
      <c r="D864" t="str">
        <f>Procurement_Raw!D864</f>
        <v>South</v>
      </c>
      <c r="E864" t="str">
        <f>Procurement_Raw!E864</f>
        <v>CareMed</v>
      </c>
      <c r="F864" t="str">
        <f>Procurement_Raw!F864</f>
        <v>Medical Supplies</v>
      </c>
      <c r="G864" t="str">
        <f>Procurement_Raw!G864</f>
        <v>INV-2025-00863</v>
      </c>
      <c r="H864" s="6">
        <f>Procurement_Raw!H864</f>
        <v>20</v>
      </c>
      <c r="I864" s="7">
        <f>Procurement_Raw!I864</f>
        <v>281.07</v>
      </c>
      <c r="J864" s="7">
        <f>Procurement_Raw!J864</f>
        <v>5621.49</v>
      </c>
      <c r="K864" s="6">
        <f>Procurement_Raw!K864</f>
        <v>60</v>
      </c>
      <c r="L864" t="str">
        <f>Procurement_Raw!L864</f>
        <v>Legacy Spend File</v>
      </c>
      <c r="M864" s="8">
        <f>Procurement_Raw!M864</f>
        <v>1124.298</v>
      </c>
      <c r="N864" s="7">
        <f>Procurement_Raw!N864</f>
        <v>5621.49</v>
      </c>
      <c r="O864" s="7">
        <f t="shared" si="26"/>
        <v>5621.49</v>
      </c>
      <c r="P864" t="str">
        <f>IFERROR(INDEX(Supplier_Lookup!$B$2:$B$200,MATCH(E864,Supplier_Lookup!$A$2:$A$200,0)),"Unmapped")</f>
        <v>Medical Supplies</v>
      </c>
      <c r="Q864" s="10">
        <f>IFERROR(INDEX(Category_Targets!$B$2:$B$9,MATCH(F864,Category_Targets!$A$2:$A$9,0)),0)</f>
        <v>0.06</v>
      </c>
      <c r="R864" s="7">
        <f t="shared" si="27"/>
        <v>337.2894</v>
      </c>
    </row>
    <row r="865" spans="1:18" x14ac:dyDescent="0.25">
      <c r="A865" s="5">
        <f>Procurement_Raw!A865</f>
        <v>45777</v>
      </c>
      <c r="B865" t="str">
        <f>Procurement_Raw!B865</f>
        <v>S006</v>
      </c>
      <c r="C865" t="str">
        <f>Procurement_Raw!C865</f>
        <v>Birmingham Care &amp; Education Centre</v>
      </c>
      <c r="D865" t="str">
        <f>Procurement_Raw!D865</f>
        <v>Midlands</v>
      </c>
      <c r="E865" t="str">
        <f>Procurement_Raw!E865</f>
        <v>SafeGuard FM</v>
      </c>
      <c r="F865" t="str">
        <f>Procurement_Raw!F865</f>
        <v>Facilities</v>
      </c>
      <c r="G865" t="str">
        <f>Procurement_Raw!G865</f>
        <v>INV-2025-00864</v>
      </c>
      <c r="H865" s="6">
        <f>Procurement_Raw!H865</f>
        <v>41</v>
      </c>
      <c r="I865" s="7">
        <f>Procurement_Raw!I865</f>
        <v>483.33</v>
      </c>
      <c r="J865" s="7">
        <f>Procurement_Raw!J865</f>
        <v>19816.330000000002</v>
      </c>
      <c r="K865" s="6">
        <f>Procurement_Raw!K865</f>
        <v>60</v>
      </c>
      <c r="L865" t="str">
        <f>Procurement_Raw!L865</f>
        <v>Legacy Spend File</v>
      </c>
      <c r="M865" s="8">
        <f>Procurement_Raw!M865</f>
        <v>3963.2660000000001</v>
      </c>
      <c r="N865" s="7">
        <f>Procurement_Raw!N865</f>
        <v>19816.330000000002</v>
      </c>
      <c r="O865" s="7">
        <f t="shared" si="26"/>
        <v>19816.330000000002</v>
      </c>
      <c r="P865" t="str">
        <f>IFERROR(INDEX(Supplier_Lookup!$B$2:$B$200,MATCH(E865,Supplier_Lookup!$A$2:$A$200,0)),"Unmapped")</f>
        <v>Facilities</v>
      </c>
      <c r="Q865" s="10">
        <f>IFERROR(INDEX(Category_Targets!$B$2:$B$9,MATCH(F865,Category_Targets!$A$2:$A$9,0)),0)</f>
        <v>0.05</v>
      </c>
      <c r="R865" s="7">
        <f t="shared" si="27"/>
        <v>990.81650000000013</v>
      </c>
    </row>
    <row r="866" spans="1:18" x14ac:dyDescent="0.25">
      <c r="A866" s="5">
        <f>Procurement_Raw!A866</f>
        <v>45756</v>
      </c>
      <c r="B866" t="str">
        <f>Procurement_Raw!B866</f>
        <v>S015</v>
      </c>
      <c r="C866" t="str">
        <f>Procurement_Raw!C866</f>
        <v>Brighton Care &amp; Education Centre</v>
      </c>
      <c r="D866" t="str">
        <f>Procurement_Raw!D866</f>
        <v>South</v>
      </c>
      <c r="E866" t="str">
        <f>Procurement_Raw!E866</f>
        <v>RoadReady</v>
      </c>
      <c r="F866" t="str">
        <f>Procurement_Raw!F866</f>
        <v>Vehicle &amp; Fuel</v>
      </c>
      <c r="G866" t="str">
        <f>Procurement_Raw!G866</f>
        <v>INV-2025-00865</v>
      </c>
      <c r="H866" s="6">
        <f>Procurement_Raw!H866</f>
        <v>3</v>
      </c>
      <c r="I866" s="7">
        <f>Procurement_Raw!I866</f>
        <v>67.819999999999993</v>
      </c>
      <c r="J866" s="7">
        <f>Procurement_Raw!J866</f>
        <v>203.46</v>
      </c>
      <c r="K866" s="6">
        <f>Procurement_Raw!K866</f>
        <v>60</v>
      </c>
      <c r="L866" t="str">
        <f>Procurement_Raw!L866</f>
        <v>Procurement Portal</v>
      </c>
      <c r="M866" s="8">
        <f>Procurement_Raw!M866</f>
        <v>40.692</v>
      </c>
      <c r="N866" s="7">
        <f>Procurement_Raw!N866</f>
        <v>203.46</v>
      </c>
      <c r="O866" s="7">
        <f t="shared" si="26"/>
        <v>203.46</v>
      </c>
      <c r="P866" t="str">
        <f>IFERROR(INDEX(Supplier_Lookup!$B$2:$B$200,MATCH(E866,Supplier_Lookup!$A$2:$A$200,0)),"Unmapped")</f>
        <v>Vehicle &amp; Fuel</v>
      </c>
      <c r="Q866" s="10">
        <f>IFERROR(INDEX(Category_Targets!$B$2:$B$9,MATCH(F866,Category_Targets!$A$2:$A$9,0)),0)</f>
        <v>0.05</v>
      </c>
      <c r="R866" s="7">
        <f t="shared" si="27"/>
        <v>10.173000000000002</v>
      </c>
    </row>
    <row r="867" spans="1:18" x14ac:dyDescent="0.25">
      <c r="A867" s="5">
        <f>Procurement_Raw!A867</f>
        <v>45678</v>
      </c>
      <c r="B867" t="str">
        <f>Procurement_Raw!B867</f>
        <v>S014</v>
      </c>
      <c r="C867" t="str">
        <f>Procurement_Raw!C867</f>
        <v>Southampton Care &amp; Education Centre</v>
      </c>
      <c r="D867" t="str">
        <f>Procurement_Raw!D867</f>
        <v>South</v>
      </c>
      <c r="E867" t="str">
        <f>Procurement_Raw!E867</f>
        <v>SafeGuard FM</v>
      </c>
      <c r="F867" t="str">
        <f>Procurement_Raw!F867</f>
        <v>Facilities</v>
      </c>
      <c r="G867" t="str">
        <f>Procurement_Raw!G867</f>
        <v>INV-2025-00866</v>
      </c>
      <c r="H867" s="6">
        <f>Procurement_Raw!H867</f>
        <v>63</v>
      </c>
      <c r="I867" s="7">
        <f>Procurement_Raw!I867</f>
        <v>145.43</v>
      </c>
      <c r="J867" s="7">
        <f>Procurement_Raw!J867</f>
        <v>9162.33</v>
      </c>
      <c r="K867" s="6">
        <f>Procurement_Raw!K867</f>
        <v>60</v>
      </c>
      <c r="L867" t="str">
        <f>Procurement_Raw!L867</f>
        <v>Procurement Portal</v>
      </c>
      <c r="M867" s="8">
        <f>Procurement_Raw!M867</f>
        <v>1832.4659999999999</v>
      </c>
      <c r="N867" s="7">
        <f>Procurement_Raw!N867</f>
        <v>9162.33</v>
      </c>
      <c r="O867" s="7">
        <f t="shared" si="26"/>
        <v>9162.33</v>
      </c>
      <c r="P867" t="str">
        <f>IFERROR(INDEX(Supplier_Lookup!$B$2:$B$200,MATCH(E867,Supplier_Lookup!$A$2:$A$200,0)),"Unmapped")</f>
        <v>Facilities</v>
      </c>
      <c r="Q867" s="10">
        <f>IFERROR(INDEX(Category_Targets!$B$2:$B$9,MATCH(F867,Category_Targets!$A$2:$A$9,0)),0)</f>
        <v>0.05</v>
      </c>
      <c r="R867" s="7">
        <f t="shared" si="27"/>
        <v>458.11650000000003</v>
      </c>
    </row>
    <row r="868" spans="1:18" x14ac:dyDescent="0.25">
      <c r="A868" s="5">
        <f>Procurement_Raw!A868</f>
        <v>46014</v>
      </c>
      <c r="B868" t="str">
        <f>Procurement_Raw!B868</f>
        <v>S018</v>
      </c>
      <c r="C868" t="str">
        <f>Procurement_Raw!C868</f>
        <v>Newport Care &amp; Education Centre</v>
      </c>
      <c r="D868" t="str">
        <f>Procurement_Raw!D868</f>
        <v>Wales</v>
      </c>
      <c r="E868" t="str">
        <f>Procurement_Raw!E868</f>
        <v>NetServe</v>
      </c>
      <c r="F868" t="str">
        <f>Procurement_Raw!F868</f>
        <v>IT &amp; Telecoms</v>
      </c>
      <c r="G868" t="str">
        <f>Procurement_Raw!G868</f>
        <v>INV-2025-00867</v>
      </c>
      <c r="H868" s="6">
        <f>Procurement_Raw!H868</f>
        <v>63</v>
      </c>
      <c r="I868" s="7">
        <f>Procurement_Raw!I868</f>
        <v>257.45999999999998</v>
      </c>
      <c r="J868" s="7">
        <f>Procurement_Raw!J868</f>
        <v>16219.8</v>
      </c>
      <c r="K868" s="6">
        <f>Procurement_Raw!K868</f>
        <v>30</v>
      </c>
      <c r="L868" t="str">
        <f>Procurement_Raw!L868</f>
        <v>Legacy Spend File</v>
      </c>
      <c r="M868" s="8">
        <f>Procurement_Raw!M868</f>
        <v>3243.96</v>
      </c>
      <c r="N868" s="7">
        <f>Procurement_Raw!N868</f>
        <v>16219.8</v>
      </c>
      <c r="O868" s="7">
        <f t="shared" si="26"/>
        <v>16219.8</v>
      </c>
      <c r="P868" t="str">
        <f>IFERROR(INDEX(Supplier_Lookup!$B$2:$B$200,MATCH(E868,Supplier_Lookup!$A$2:$A$200,0)),"Unmapped")</f>
        <v>IT &amp; Telecoms</v>
      </c>
      <c r="Q868" s="10">
        <f>IFERROR(INDEX(Category_Targets!$B$2:$B$9,MATCH(F868,Category_Targets!$A$2:$A$9,0)),0)</f>
        <v>0.08</v>
      </c>
      <c r="R868" s="7">
        <f t="shared" si="27"/>
        <v>1297.5840000000001</v>
      </c>
    </row>
    <row r="869" spans="1:18" x14ac:dyDescent="0.25">
      <c r="A869" s="5">
        <f>Procurement_Raw!A869</f>
        <v>45897</v>
      </c>
      <c r="B869" t="str">
        <f>Procurement_Raw!B869</f>
        <v>S019</v>
      </c>
      <c r="C869" t="str">
        <f>Procurement_Raw!C869</f>
        <v>Wrexham Care &amp; Education Centre</v>
      </c>
      <c r="D869" t="str">
        <f>Procurement_Raw!D869</f>
        <v>Wales</v>
      </c>
      <c r="E869" t="str">
        <f>Procurement_Raw!E869</f>
        <v>RoadReady</v>
      </c>
      <c r="F869" t="str">
        <f>Procurement_Raw!F869</f>
        <v>Vehicle &amp; Fuel</v>
      </c>
      <c r="G869" t="str">
        <f>Procurement_Raw!G869</f>
        <v>INV-2025-00868</v>
      </c>
      <c r="H869" s="6">
        <f>Procurement_Raw!H869</f>
        <v>36</v>
      </c>
      <c r="I869" s="7">
        <f>Procurement_Raw!I869</f>
        <v>114.19</v>
      </c>
      <c r="J869" s="7">
        <f>Procurement_Raw!J869</f>
        <v>4110.6899999999996</v>
      </c>
      <c r="K869" s="6">
        <f>Procurement_Raw!K869</f>
        <v>60</v>
      </c>
      <c r="L869" t="str">
        <f>Procurement_Raw!L869</f>
        <v>Legacy Spend File</v>
      </c>
      <c r="M869" s="8">
        <f>Procurement_Raw!M869</f>
        <v>822.13800000000003</v>
      </c>
      <c r="N869" s="7">
        <f>Procurement_Raw!N869</f>
        <v>4110.6899999999996</v>
      </c>
      <c r="O869" s="7">
        <f t="shared" si="26"/>
        <v>4110.6899999999996</v>
      </c>
      <c r="P869" t="str">
        <f>IFERROR(INDEX(Supplier_Lookup!$B$2:$B$200,MATCH(E869,Supplier_Lookup!$A$2:$A$200,0)),"Unmapped")</f>
        <v>Vehicle &amp; Fuel</v>
      </c>
      <c r="Q869" s="10">
        <f>IFERROR(INDEX(Category_Targets!$B$2:$B$9,MATCH(F869,Category_Targets!$A$2:$A$9,0)),0)</f>
        <v>0.05</v>
      </c>
      <c r="R869" s="7">
        <f t="shared" si="27"/>
        <v>205.53449999999998</v>
      </c>
    </row>
    <row r="870" spans="1:18" x14ac:dyDescent="0.25">
      <c r="A870" s="5">
        <f>Procurement_Raw!A870</f>
        <v>45737</v>
      </c>
      <c r="B870" t="str">
        <f>Procurement_Raw!B870</f>
        <v>S020</v>
      </c>
      <c r="C870" t="str">
        <f>Procurement_Raw!C870</f>
        <v>Bangor Care &amp; Education Centre</v>
      </c>
      <c r="D870" t="str">
        <f>Procurement_Raw!D870</f>
        <v>Wales</v>
      </c>
      <c r="E870" t="str">
        <f>Procurement_Raw!E870</f>
        <v>KitchenPro</v>
      </c>
      <c r="F870" t="str">
        <f>Procurement_Raw!F870</f>
        <v>Food &amp; Catering</v>
      </c>
      <c r="G870" t="str">
        <f>Procurement_Raw!G870</f>
        <v>INV-2025-00869</v>
      </c>
      <c r="H870" s="6">
        <f>Procurement_Raw!H870</f>
        <v>58</v>
      </c>
      <c r="I870" s="7">
        <f>Procurement_Raw!I870</f>
        <v>93.37</v>
      </c>
      <c r="J870" s="7">
        <f>Procurement_Raw!J870</f>
        <v>5415.55</v>
      </c>
      <c r="K870" s="6">
        <f>Procurement_Raw!K870</f>
        <v>45</v>
      </c>
      <c r="L870" t="str">
        <f>Procurement_Raw!L870</f>
        <v>Procurement Portal</v>
      </c>
      <c r="M870" s="8">
        <f>Procurement_Raw!M870</f>
        <v>1083.1099999999999</v>
      </c>
      <c r="N870" s="7">
        <f>Procurement_Raw!N870</f>
        <v>5415.55</v>
      </c>
      <c r="O870" s="7">
        <f t="shared" si="26"/>
        <v>5415.55</v>
      </c>
      <c r="P870" t="str">
        <f>IFERROR(INDEX(Supplier_Lookup!$B$2:$B$200,MATCH(E870,Supplier_Lookup!$A$2:$A$200,0)),"Unmapped")</f>
        <v>Food &amp; Catering</v>
      </c>
      <c r="Q870" s="10">
        <f>IFERROR(INDEX(Category_Targets!$B$2:$B$9,MATCH(F870,Category_Targets!$A$2:$A$9,0)),0)</f>
        <v>0.04</v>
      </c>
      <c r="R870" s="7">
        <f t="shared" si="27"/>
        <v>216.62200000000001</v>
      </c>
    </row>
    <row r="871" spans="1:18" x14ac:dyDescent="0.25">
      <c r="A871" s="5">
        <f>Procurement_Raw!A871</f>
        <v>45658</v>
      </c>
      <c r="B871" t="str">
        <f>Procurement_Raw!B871</f>
        <v>S009</v>
      </c>
      <c r="C871" t="str">
        <f>Procurement_Raw!C871</f>
        <v>Derby Care &amp; Education Centre</v>
      </c>
      <c r="D871" t="str">
        <f>Procurement_Raw!D871</f>
        <v>Midlands</v>
      </c>
      <c r="E871" t="str">
        <f>Procurement_Raw!E871</f>
        <v>RoadReady</v>
      </c>
      <c r="F871" t="str">
        <f>Procurement_Raw!F871</f>
        <v>Vehicle &amp; Fuel</v>
      </c>
      <c r="G871" t="str">
        <f>Procurement_Raw!G871</f>
        <v>INV-2025-00870</v>
      </c>
      <c r="H871" s="6">
        <f>Procurement_Raw!H871</f>
        <v>65</v>
      </c>
      <c r="I871" s="7">
        <f>Procurement_Raw!I871</f>
        <v>287</v>
      </c>
      <c r="J871" s="7">
        <f>Procurement_Raw!J871</f>
        <v>18655.13</v>
      </c>
      <c r="K871" s="6">
        <f>Procurement_Raw!K871</f>
        <v>45</v>
      </c>
      <c r="L871" t="str">
        <f>Procurement_Raw!L871</f>
        <v>Legacy Spend File</v>
      </c>
      <c r="M871" s="8">
        <f>Procurement_Raw!M871</f>
        <v>3731.0259999999998</v>
      </c>
      <c r="N871" s="7">
        <f>Procurement_Raw!N871</f>
        <v>18655.13</v>
      </c>
      <c r="O871" s="7">
        <f t="shared" si="26"/>
        <v>18655.13</v>
      </c>
      <c r="P871" t="str">
        <f>IFERROR(INDEX(Supplier_Lookup!$B$2:$B$200,MATCH(E871,Supplier_Lookup!$A$2:$A$200,0)),"Unmapped")</f>
        <v>Vehicle &amp; Fuel</v>
      </c>
      <c r="Q871" s="10">
        <f>IFERROR(INDEX(Category_Targets!$B$2:$B$9,MATCH(F871,Category_Targets!$A$2:$A$9,0)),0)</f>
        <v>0.05</v>
      </c>
      <c r="R871" s="7">
        <f t="shared" si="27"/>
        <v>932.75650000000007</v>
      </c>
    </row>
    <row r="872" spans="1:18" x14ac:dyDescent="0.25">
      <c r="A872" s="5">
        <f>Procurement_Raw!A872</f>
        <v>45844</v>
      </c>
      <c r="B872" t="str">
        <f>Procurement_Raw!B872</f>
        <v>S012</v>
      </c>
      <c r="C872" t="str">
        <f>Procurement_Raw!C872</f>
        <v>Bristol Care &amp; Education Centre</v>
      </c>
      <c r="D872" t="str">
        <f>Procurement_Raw!D872</f>
        <v>South</v>
      </c>
      <c r="E872" t="str">
        <f>Procurement_Raw!E872</f>
        <v>ClinEquip</v>
      </c>
      <c r="F872" t="str">
        <f>Procurement_Raw!F872</f>
        <v>Medical Supplies</v>
      </c>
      <c r="G872" t="str">
        <f>Procurement_Raw!G872</f>
        <v>INV-2025-00871</v>
      </c>
      <c r="H872" s="6">
        <f>Procurement_Raw!H872</f>
        <v>80</v>
      </c>
      <c r="I872" s="7">
        <f>Procurement_Raw!I872</f>
        <v>108.87</v>
      </c>
      <c r="J872" s="7">
        <f>Procurement_Raw!J872</f>
        <v>8709.74</v>
      </c>
      <c r="K872" s="6">
        <f>Procurement_Raw!K872</f>
        <v>30</v>
      </c>
      <c r="L872" t="str">
        <f>Procurement_Raw!L872</f>
        <v>Procurement Portal</v>
      </c>
      <c r="M872" s="8">
        <f>Procurement_Raw!M872</f>
        <v>1741.9480000000001</v>
      </c>
      <c r="N872" s="7">
        <f>Procurement_Raw!N872</f>
        <v>8709.74</v>
      </c>
      <c r="O872" s="7">
        <f t="shared" si="26"/>
        <v>8709.74</v>
      </c>
      <c r="P872" t="str">
        <f>IFERROR(INDEX(Supplier_Lookup!$B$2:$B$200,MATCH(E872,Supplier_Lookup!$A$2:$A$200,0)),"Unmapped")</f>
        <v>Medical Supplies</v>
      </c>
      <c r="Q872" s="10">
        <f>IFERROR(INDEX(Category_Targets!$B$2:$B$9,MATCH(F872,Category_Targets!$A$2:$A$9,0)),0)</f>
        <v>0.06</v>
      </c>
      <c r="R872" s="7">
        <f t="shared" si="27"/>
        <v>522.58439999999996</v>
      </c>
    </row>
    <row r="873" spans="1:18" x14ac:dyDescent="0.25">
      <c r="A873" s="5">
        <f>Procurement_Raw!A873</f>
        <v>45933</v>
      </c>
      <c r="B873" t="str">
        <f>Procurement_Raw!B873</f>
        <v>S015</v>
      </c>
      <c r="C873" t="str">
        <f>Procurement_Raw!C873</f>
        <v>Brighton Care &amp; Education Centre</v>
      </c>
      <c r="D873" t="str">
        <f>Procurement_Raw!D873</f>
        <v>South</v>
      </c>
      <c r="E873" t="str">
        <f>Procurement_Raw!E873</f>
        <v>KitchenPro</v>
      </c>
      <c r="F873" t="str">
        <f>Procurement_Raw!F873</f>
        <v>Food &amp; Catering</v>
      </c>
      <c r="G873" t="str">
        <f>Procurement_Raw!G873</f>
        <v>INV-2025-00872</v>
      </c>
      <c r="H873" s="6">
        <f>Procurement_Raw!H873</f>
        <v>50</v>
      </c>
      <c r="I873" s="7">
        <f>Procurement_Raw!I873</f>
        <v>41.9</v>
      </c>
      <c r="J873" s="7">
        <f>Procurement_Raw!J873</f>
        <v>2095.08</v>
      </c>
      <c r="K873" s="6">
        <f>Procurement_Raw!K873</f>
        <v>30</v>
      </c>
      <c r="L873" t="str">
        <f>Procurement_Raw!L873</f>
        <v>Legacy Spend File</v>
      </c>
      <c r="M873" s="8">
        <f>Procurement_Raw!M873</f>
        <v>419.01600000000002</v>
      </c>
      <c r="N873" s="7">
        <f>Procurement_Raw!N873</f>
        <v>2095.08</v>
      </c>
      <c r="O873" s="7">
        <f t="shared" si="26"/>
        <v>2095.08</v>
      </c>
      <c r="P873" t="str">
        <f>IFERROR(INDEX(Supplier_Lookup!$B$2:$B$200,MATCH(E873,Supplier_Lookup!$A$2:$A$200,0)),"Unmapped")</f>
        <v>Food &amp; Catering</v>
      </c>
      <c r="Q873" s="10">
        <f>IFERROR(INDEX(Category_Targets!$B$2:$B$9,MATCH(F873,Category_Targets!$A$2:$A$9,0)),0)</f>
        <v>0.04</v>
      </c>
      <c r="R873" s="7">
        <f t="shared" si="27"/>
        <v>83.803200000000004</v>
      </c>
    </row>
    <row r="874" spans="1:18" x14ac:dyDescent="0.25">
      <c r="A874" s="5">
        <f>Procurement_Raw!A874</f>
        <v>45736</v>
      </c>
      <c r="B874" t="str">
        <f>Procurement_Raw!B874</f>
        <v>S005</v>
      </c>
      <c r="C874" t="str">
        <f>Procurement_Raw!C874</f>
        <v>Sheffield Care &amp; Education Centre</v>
      </c>
      <c r="D874" t="str">
        <f>Procurement_Raw!D874</f>
        <v>North</v>
      </c>
      <c r="E874" t="str">
        <f>Procurement_Raw!E874</f>
        <v>PrintCo</v>
      </c>
      <c r="F874" t="str">
        <f>Procurement_Raw!F874</f>
        <v>Office &amp; Training</v>
      </c>
      <c r="G874" t="str">
        <f>Procurement_Raw!G874</f>
        <v>INV-2025-00873</v>
      </c>
      <c r="H874" s="6">
        <f>Procurement_Raw!H874</f>
        <v>79</v>
      </c>
      <c r="I874" s="7">
        <f>Procurement_Raw!I874</f>
        <v>35.119999999999997</v>
      </c>
      <c r="J874" s="7">
        <f>Procurement_Raw!J874</f>
        <v>2774.73</v>
      </c>
      <c r="K874" s="6">
        <f>Procurement_Raw!K874</f>
        <v>45</v>
      </c>
      <c r="L874" t="str">
        <f>Procurement_Raw!L874</f>
        <v>Procurement Portal</v>
      </c>
      <c r="M874" s="8">
        <f>Procurement_Raw!M874</f>
        <v>554.94600000000003</v>
      </c>
      <c r="N874" s="7">
        <f>Procurement_Raw!N874</f>
        <v>2774.73</v>
      </c>
      <c r="O874" s="7">
        <f t="shared" si="26"/>
        <v>2774.73</v>
      </c>
      <c r="P874" t="str">
        <f>IFERROR(INDEX(Supplier_Lookup!$B$2:$B$200,MATCH(E874,Supplier_Lookup!$A$2:$A$200,0)),"Unmapped")</f>
        <v>Office &amp; Training</v>
      </c>
      <c r="Q874" s="10">
        <f>IFERROR(INDEX(Category_Targets!$B$2:$B$9,MATCH(F874,Category_Targets!$A$2:$A$9,0)),0)</f>
        <v>0.04</v>
      </c>
      <c r="R874" s="7">
        <f t="shared" si="27"/>
        <v>110.9892</v>
      </c>
    </row>
    <row r="875" spans="1:18" x14ac:dyDescent="0.25">
      <c r="A875" s="5">
        <f>Procurement_Raw!A875</f>
        <v>45707</v>
      </c>
      <c r="B875" t="str">
        <f>Procurement_Raw!B875</f>
        <v>S005</v>
      </c>
      <c r="C875" t="str">
        <f>Procurement_Raw!C875</f>
        <v>Sheffield Care &amp; Education Centre</v>
      </c>
      <c r="D875" t="str">
        <f>Procurement_Raw!D875</f>
        <v>North</v>
      </c>
      <c r="E875" t="str">
        <f>Procurement_Raw!E875</f>
        <v>FleetFuel</v>
      </c>
      <c r="F875" t="str">
        <f>Procurement_Raw!F875</f>
        <v>Vehicle &amp; Fuel</v>
      </c>
      <c r="G875" t="str">
        <f>Procurement_Raw!G875</f>
        <v>INV-2025-00874</v>
      </c>
      <c r="H875" s="6">
        <f>Procurement_Raw!H875</f>
        <v>67</v>
      </c>
      <c r="I875" s="7">
        <f>Procurement_Raw!I875</f>
        <v>63.55</v>
      </c>
      <c r="J875" s="7">
        <f>Procurement_Raw!J875</f>
        <v>4258.01</v>
      </c>
      <c r="K875" s="6">
        <f>Procurement_Raw!K875</f>
        <v>60</v>
      </c>
      <c r="L875" t="str">
        <f>Procurement_Raw!L875</f>
        <v>ERP</v>
      </c>
      <c r="M875" s="8">
        <f>Procurement_Raw!M875</f>
        <v>851.60199999999998</v>
      </c>
      <c r="N875" s="7">
        <f>Procurement_Raw!N875</f>
        <v>4258.01</v>
      </c>
      <c r="O875" s="7">
        <f t="shared" si="26"/>
        <v>4258.01</v>
      </c>
      <c r="P875" t="str">
        <f>IFERROR(INDEX(Supplier_Lookup!$B$2:$B$200,MATCH(E875,Supplier_Lookup!$A$2:$A$200,0)),"Unmapped")</f>
        <v>Vehicle &amp; Fuel</v>
      </c>
      <c r="Q875" s="10">
        <f>IFERROR(INDEX(Category_Targets!$B$2:$B$9,MATCH(F875,Category_Targets!$A$2:$A$9,0)),0)</f>
        <v>0.05</v>
      </c>
      <c r="R875" s="7">
        <f t="shared" si="27"/>
        <v>212.90050000000002</v>
      </c>
    </row>
    <row r="876" spans="1:18" x14ac:dyDescent="0.25">
      <c r="A876" s="5">
        <f>Procurement_Raw!A876</f>
        <v>45674</v>
      </c>
      <c r="B876" t="str">
        <f>Procurement_Raw!B876</f>
        <v>S006</v>
      </c>
      <c r="C876" t="str">
        <f>Procurement_Raw!C876</f>
        <v>Birmingham Care &amp; Education Centre</v>
      </c>
      <c r="D876" t="str">
        <f>Procurement_Raw!D876</f>
        <v>Midlands</v>
      </c>
      <c r="E876" t="str">
        <f>Procurement_Raw!E876</f>
        <v>CleanWorks</v>
      </c>
      <c r="F876" t="str">
        <f>Procurement_Raw!F876</f>
        <v>Facilities</v>
      </c>
      <c r="G876" t="str">
        <f>Procurement_Raw!G876</f>
        <v>INV-2025-00875</v>
      </c>
      <c r="H876" s="6">
        <f>Procurement_Raw!H876</f>
        <v>26</v>
      </c>
      <c r="I876" s="7">
        <f>Procurement_Raw!I876</f>
        <v>176.75</v>
      </c>
      <c r="J876" s="7">
        <f>Procurement_Raw!J876</f>
        <v>4595.5</v>
      </c>
      <c r="K876" s="6">
        <f>Procurement_Raw!K876</f>
        <v>30</v>
      </c>
      <c r="L876" t="str">
        <f>Procurement_Raw!L876</f>
        <v>Procurement Portal</v>
      </c>
      <c r="M876" s="8">
        <f>Procurement_Raw!M876</f>
        <v>919.1</v>
      </c>
      <c r="N876" s="7">
        <f>Procurement_Raw!N876</f>
        <v>4595.5</v>
      </c>
      <c r="O876" s="7">
        <f t="shared" si="26"/>
        <v>4595.5</v>
      </c>
      <c r="P876" t="str">
        <f>IFERROR(INDEX(Supplier_Lookup!$B$2:$B$200,MATCH(E876,Supplier_Lookup!$A$2:$A$200,0)),"Unmapped")</f>
        <v>Facilities</v>
      </c>
      <c r="Q876" s="10">
        <f>IFERROR(INDEX(Category_Targets!$B$2:$B$9,MATCH(F876,Category_Targets!$A$2:$A$9,0)),0)</f>
        <v>0.05</v>
      </c>
      <c r="R876" s="7">
        <f t="shared" si="27"/>
        <v>229.77500000000001</v>
      </c>
    </row>
    <row r="877" spans="1:18" x14ac:dyDescent="0.25">
      <c r="A877" s="5">
        <f>Procurement_Raw!A877</f>
        <v>45950</v>
      </c>
      <c r="B877" t="str">
        <f>Procurement_Raw!B877</f>
        <v>S004</v>
      </c>
      <c r="C877" t="str">
        <f>Procurement_Raw!C877</f>
        <v>Newcastle Care &amp; Education Centre</v>
      </c>
      <c r="D877" t="str">
        <f>Procurement_Raw!D877</f>
        <v>North</v>
      </c>
      <c r="E877" t="str">
        <f>Procurement_Raw!E877</f>
        <v>FreshServe</v>
      </c>
      <c r="F877" t="str">
        <f>Procurement_Raw!F877</f>
        <v>Food &amp; Catering</v>
      </c>
      <c r="G877" t="str">
        <f>Procurement_Raw!G877</f>
        <v>INV-2025-00876</v>
      </c>
      <c r="H877" s="6">
        <f>Procurement_Raw!H877</f>
        <v>50</v>
      </c>
      <c r="I877" s="7">
        <f>Procurement_Raw!I877</f>
        <v>174.41</v>
      </c>
      <c r="J877" s="7">
        <f>Procurement_Raw!J877</f>
        <v>8720.3700000000008</v>
      </c>
      <c r="K877" s="6">
        <f>Procurement_Raw!K877</f>
        <v>60</v>
      </c>
      <c r="L877" t="str">
        <f>Procurement_Raw!L877</f>
        <v>Procurement Portal</v>
      </c>
      <c r="M877" s="8">
        <f>Procurement_Raw!M877</f>
        <v>1744.0740000000001</v>
      </c>
      <c r="N877" s="7">
        <f>Procurement_Raw!N877</f>
        <v>8720.3700000000008</v>
      </c>
      <c r="O877" s="7">
        <f t="shared" si="26"/>
        <v>8720.3700000000008</v>
      </c>
      <c r="P877" t="str">
        <f>IFERROR(INDEX(Supplier_Lookup!$B$2:$B$200,MATCH(E877,Supplier_Lookup!$A$2:$A$200,0)),"Unmapped")</f>
        <v>Food &amp; Catering</v>
      </c>
      <c r="Q877" s="10">
        <f>IFERROR(INDEX(Category_Targets!$B$2:$B$9,MATCH(F877,Category_Targets!$A$2:$A$9,0)),0)</f>
        <v>0.04</v>
      </c>
      <c r="R877" s="7">
        <f t="shared" si="27"/>
        <v>348.81480000000005</v>
      </c>
    </row>
    <row r="878" spans="1:18" x14ac:dyDescent="0.25">
      <c r="A878" s="5">
        <f>Procurement_Raw!A878</f>
        <v>45845</v>
      </c>
      <c r="B878" t="str">
        <f>Procurement_Raw!B878</f>
        <v>S011</v>
      </c>
      <c r="C878" t="str">
        <f>Procurement_Raw!C878</f>
        <v>London Care &amp; Education Centre</v>
      </c>
      <c r="D878" t="str">
        <f>Procurement_Raw!D878</f>
        <v>South</v>
      </c>
      <c r="E878" t="str">
        <f>Procurement_Raw!E878</f>
        <v>CloudLink</v>
      </c>
      <c r="F878" t="str">
        <f>Procurement_Raw!F878</f>
        <v>IT &amp; Telecoms</v>
      </c>
      <c r="G878" t="str">
        <f>Procurement_Raw!G878</f>
        <v>INV-2025-00877</v>
      </c>
      <c r="H878" s="6">
        <f>Procurement_Raw!H878</f>
        <v>29</v>
      </c>
      <c r="I878" s="7">
        <f>Procurement_Raw!I878</f>
        <v>165.5</v>
      </c>
      <c r="J878" s="7">
        <f>Procurement_Raw!J878</f>
        <v>4799.3599999999997</v>
      </c>
      <c r="K878" s="6">
        <f>Procurement_Raw!K878</f>
        <v>60</v>
      </c>
      <c r="L878" t="str">
        <f>Procurement_Raw!L878</f>
        <v>Legacy Spend File</v>
      </c>
      <c r="M878" s="8">
        <f>Procurement_Raw!M878</f>
        <v>959.87199999999996</v>
      </c>
      <c r="N878" s="7">
        <f>Procurement_Raw!N878</f>
        <v>4799.3599999999997</v>
      </c>
      <c r="O878" s="7">
        <f t="shared" si="26"/>
        <v>4799.3599999999997</v>
      </c>
      <c r="P878" t="str">
        <f>IFERROR(INDEX(Supplier_Lookup!$B$2:$B$200,MATCH(E878,Supplier_Lookup!$A$2:$A$200,0)),"Unmapped")</f>
        <v>medical supplies</v>
      </c>
      <c r="Q878" s="10">
        <f>IFERROR(INDEX(Category_Targets!$B$2:$B$9,MATCH(F878,Category_Targets!$A$2:$A$9,0)),0)</f>
        <v>0.08</v>
      </c>
      <c r="R878" s="7">
        <f t="shared" si="27"/>
        <v>383.94880000000001</v>
      </c>
    </row>
    <row r="879" spans="1:18" x14ac:dyDescent="0.25">
      <c r="A879" s="5">
        <f>Procurement_Raw!A879</f>
        <v>45993</v>
      </c>
      <c r="B879" t="str">
        <f>Procurement_Raw!B879</f>
        <v>S019</v>
      </c>
      <c r="C879" t="str">
        <f>Procurement_Raw!C879</f>
        <v>Wrexham Care &amp; Education Centre</v>
      </c>
      <c r="D879" t="str">
        <f>Procurement_Raw!D879</f>
        <v>Wales</v>
      </c>
      <c r="E879" t="str">
        <f>Procurement_Raw!E879</f>
        <v>MediSure</v>
      </c>
      <c r="F879" t="str">
        <f>Procurement_Raw!F879</f>
        <v>Medical Supplies</v>
      </c>
      <c r="G879" t="str">
        <f>Procurement_Raw!G879</f>
        <v>INV-2025-00878</v>
      </c>
      <c r="H879" s="6">
        <f>Procurement_Raw!H879</f>
        <v>63</v>
      </c>
      <c r="I879" s="7">
        <f>Procurement_Raw!I879</f>
        <v>135.72</v>
      </c>
      <c r="J879" s="7">
        <f>Procurement_Raw!J879</f>
        <v>8550.2000000000007</v>
      </c>
      <c r="K879" s="6">
        <f>Procurement_Raw!K879</f>
        <v>30</v>
      </c>
      <c r="L879" t="str">
        <f>Procurement_Raw!L879</f>
        <v>Procurement Portal</v>
      </c>
      <c r="M879" s="8">
        <f>Procurement_Raw!M879</f>
        <v>1710.04</v>
      </c>
      <c r="N879" s="7">
        <f>Procurement_Raw!N879</f>
        <v>8550.2000000000007</v>
      </c>
      <c r="O879" s="7">
        <f t="shared" si="26"/>
        <v>8550.2000000000007</v>
      </c>
      <c r="P879" t="str">
        <f>IFERROR(INDEX(Supplier_Lookup!$B$2:$B$200,MATCH(E879,Supplier_Lookup!$A$2:$A$200,0)),"Unmapped")</f>
        <v>Medical Supplies</v>
      </c>
      <c r="Q879" s="10">
        <f>IFERROR(INDEX(Category_Targets!$B$2:$B$9,MATCH(F879,Category_Targets!$A$2:$A$9,0)),0)</f>
        <v>0.06</v>
      </c>
      <c r="R879" s="7">
        <f t="shared" si="27"/>
        <v>513.01200000000006</v>
      </c>
    </row>
    <row r="880" spans="1:18" x14ac:dyDescent="0.25">
      <c r="A880" s="5">
        <f>Procurement_Raw!A880</f>
        <v>45943</v>
      </c>
      <c r="B880" t="str">
        <f>Procurement_Raw!B880</f>
        <v>S008</v>
      </c>
      <c r="C880" t="str">
        <f>Procurement_Raw!C880</f>
        <v>Leicester Care &amp; Education Centre</v>
      </c>
      <c r="D880" t="str">
        <f>Procurement_Raw!D880</f>
        <v>Midlands</v>
      </c>
      <c r="E880" t="str">
        <f>Procurement_Raw!E880</f>
        <v>CareMed</v>
      </c>
      <c r="F880" t="str">
        <f>Procurement_Raw!F880</f>
        <v>Medical Supplies</v>
      </c>
      <c r="G880" t="str">
        <f>Procurement_Raw!G880</f>
        <v>INV-2025-00879</v>
      </c>
      <c r="H880" s="6">
        <f>Procurement_Raw!H880</f>
        <v>54</v>
      </c>
      <c r="I880" s="7">
        <f>Procurement_Raw!I880</f>
        <v>118.92</v>
      </c>
      <c r="J880" s="7">
        <f>Procurement_Raw!J880</f>
        <v>6421.73</v>
      </c>
      <c r="K880" s="6">
        <f>Procurement_Raw!K880</f>
        <v>45</v>
      </c>
      <c r="L880" t="str">
        <f>Procurement_Raw!L880</f>
        <v>Legacy Spend File</v>
      </c>
      <c r="M880" s="8">
        <f>Procurement_Raw!M880</f>
        <v>1284.346</v>
      </c>
      <c r="N880" s="7">
        <f>Procurement_Raw!N880</f>
        <v>6421.73</v>
      </c>
      <c r="O880" s="7">
        <f t="shared" si="26"/>
        <v>6421.73</v>
      </c>
      <c r="P880" t="str">
        <f>IFERROR(INDEX(Supplier_Lookup!$B$2:$B$200,MATCH(E880,Supplier_Lookup!$A$2:$A$200,0)),"Unmapped")</f>
        <v>Medical Supplies</v>
      </c>
      <c r="Q880" s="10">
        <f>IFERROR(INDEX(Category_Targets!$B$2:$B$9,MATCH(F880,Category_Targets!$A$2:$A$9,0)),0)</f>
        <v>0.06</v>
      </c>
      <c r="R880" s="7">
        <f t="shared" si="27"/>
        <v>385.30379999999997</v>
      </c>
    </row>
    <row r="881" spans="1:18" x14ac:dyDescent="0.25">
      <c r="A881" s="5">
        <f>Procurement_Raw!A881</f>
        <v>45678</v>
      </c>
      <c r="B881" t="str">
        <f>Procurement_Raw!B881</f>
        <v>S012</v>
      </c>
      <c r="C881" t="str">
        <f>Procurement_Raw!C881</f>
        <v>Bristol Care &amp; Education Centre</v>
      </c>
      <c r="D881" t="str">
        <f>Procurement_Raw!D881</f>
        <v>South</v>
      </c>
      <c r="E881" t="str">
        <f>Procurement_Raw!E881</f>
        <v>NetServe</v>
      </c>
      <c r="F881" t="str">
        <f>Procurement_Raw!F881</f>
        <v>IT &amp; Telecoms</v>
      </c>
      <c r="G881" t="str">
        <f>Procurement_Raw!G881</f>
        <v>INV-2025-00880</v>
      </c>
      <c r="H881" s="6">
        <f>Procurement_Raw!H881</f>
        <v>10</v>
      </c>
      <c r="I881" s="7">
        <f>Procurement_Raw!I881</f>
        <v>422.95</v>
      </c>
      <c r="J881" s="7">
        <f>Procurement_Raw!J881</f>
        <v>4229.46</v>
      </c>
      <c r="K881" s="6">
        <f>Procurement_Raw!K881</f>
        <v>45</v>
      </c>
      <c r="L881" t="str">
        <f>Procurement_Raw!L881</f>
        <v>ERP</v>
      </c>
      <c r="M881" s="8">
        <f>Procurement_Raw!M881</f>
        <v>845.89200000000005</v>
      </c>
      <c r="N881" s="7">
        <f>Procurement_Raw!N881</f>
        <v>4229.46</v>
      </c>
      <c r="O881" s="7">
        <f t="shared" si="26"/>
        <v>4229.46</v>
      </c>
      <c r="P881" t="str">
        <f>IFERROR(INDEX(Supplier_Lookup!$B$2:$B$200,MATCH(E881,Supplier_Lookup!$A$2:$A$200,0)),"Unmapped")</f>
        <v>IT &amp; Telecoms</v>
      </c>
      <c r="Q881" s="10">
        <f>IFERROR(INDEX(Category_Targets!$B$2:$B$9,MATCH(F881,Category_Targets!$A$2:$A$9,0)),0)</f>
        <v>0.08</v>
      </c>
      <c r="R881" s="7">
        <f t="shared" si="27"/>
        <v>338.35680000000002</v>
      </c>
    </row>
    <row r="882" spans="1:18" x14ac:dyDescent="0.25">
      <c r="A882" s="5">
        <f>Procurement_Raw!A882</f>
        <v>45776</v>
      </c>
      <c r="B882" t="str">
        <f>Procurement_Raw!B882</f>
        <v>S003</v>
      </c>
      <c r="C882" t="str">
        <f>Procurement_Raw!C882</f>
        <v>Leeds Care &amp; Education Centre</v>
      </c>
      <c r="D882" t="str">
        <f>Procurement_Raw!D882</f>
        <v>North</v>
      </c>
      <c r="E882" t="str">
        <f>Procurement_Raw!E882</f>
        <v>FreshServe</v>
      </c>
      <c r="F882" t="str">
        <f>Procurement_Raw!F882</f>
        <v>Food &amp; Catering</v>
      </c>
      <c r="G882" t="str">
        <f>Procurement_Raw!G882</f>
        <v>INV-2025-00881</v>
      </c>
      <c r="H882" s="6">
        <f>Procurement_Raw!H882</f>
        <v>69</v>
      </c>
      <c r="I882" s="7">
        <f>Procurement_Raw!I882</f>
        <v>260.92</v>
      </c>
      <c r="J882" s="7">
        <f>Procurement_Raw!J882</f>
        <v>18003.23</v>
      </c>
      <c r="K882" s="6">
        <f>Procurement_Raw!K882</f>
        <v>45</v>
      </c>
      <c r="L882" t="str">
        <f>Procurement_Raw!L882</f>
        <v>ERP</v>
      </c>
      <c r="M882" s="8">
        <f>Procurement_Raw!M882</f>
        <v>3600.6460000000002</v>
      </c>
      <c r="N882" s="7">
        <f>Procurement_Raw!N882</f>
        <v>18003.23</v>
      </c>
      <c r="O882" s="7">
        <f t="shared" si="26"/>
        <v>18003.23</v>
      </c>
      <c r="P882" t="str">
        <f>IFERROR(INDEX(Supplier_Lookup!$B$2:$B$200,MATCH(E882,Supplier_Lookup!$A$2:$A$200,0)),"Unmapped")</f>
        <v>Food &amp; Catering</v>
      </c>
      <c r="Q882" s="10">
        <f>IFERROR(INDEX(Category_Targets!$B$2:$B$9,MATCH(F882,Category_Targets!$A$2:$A$9,0)),0)</f>
        <v>0.04</v>
      </c>
      <c r="R882" s="7">
        <f t="shared" si="27"/>
        <v>720.12919999999997</v>
      </c>
    </row>
    <row r="883" spans="1:18" x14ac:dyDescent="0.25">
      <c r="A883" s="5">
        <f>Procurement_Raw!A883</f>
        <v>45978</v>
      </c>
      <c r="B883" t="str">
        <f>Procurement_Raw!B883</f>
        <v>S009</v>
      </c>
      <c r="C883" t="str">
        <f>Procurement_Raw!C883</f>
        <v>Derby Care &amp; Education Centre</v>
      </c>
      <c r="D883" t="str">
        <f>Procurement_Raw!D883</f>
        <v>Midlands</v>
      </c>
      <c r="E883" t="str">
        <f>Procurement_Raw!E883</f>
        <v>PowerDirect</v>
      </c>
      <c r="F883" t="str">
        <f>Procurement_Raw!F883</f>
        <v>Utilities</v>
      </c>
      <c r="G883" t="str">
        <f>Procurement_Raw!G883</f>
        <v>INV-2025-00882</v>
      </c>
      <c r="H883" s="6">
        <f>Procurement_Raw!H883</f>
        <v>23</v>
      </c>
      <c r="I883" s="7">
        <f>Procurement_Raw!I883</f>
        <v>186.7</v>
      </c>
      <c r="J883" s="7">
        <f>Procurement_Raw!J883</f>
        <v>4294.01</v>
      </c>
      <c r="K883" s="6">
        <f>Procurement_Raw!K883</f>
        <v>60</v>
      </c>
      <c r="L883" t="str">
        <f>Procurement_Raw!L883</f>
        <v>Legacy Spend File</v>
      </c>
      <c r="M883" s="8">
        <f>Procurement_Raw!M883</f>
        <v>858.80200000000002</v>
      </c>
      <c r="N883" s="7">
        <f>Procurement_Raw!N883</f>
        <v>4294.01</v>
      </c>
      <c r="O883" s="7">
        <f t="shared" si="26"/>
        <v>4294.01</v>
      </c>
      <c r="P883" t="str">
        <f>IFERROR(INDEX(Supplier_Lookup!$B$2:$B$200,MATCH(E883,Supplier_Lookup!$A$2:$A$200,0)),"Unmapped")</f>
        <v>Utilities</v>
      </c>
      <c r="Q883" s="10">
        <f>IFERROR(INDEX(Category_Targets!$B$2:$B$9,MATCH(F883,Category_Targets!$A$2:$A$9,0)),0)</f>
        <v>0.03</v>
      </c>
      <c r="R883" s="7">
        <f t="shared" si="27"/>
        <v>128.8203</v>
      </c>
    </row>
    <row r="884" spans="1:18" x14ac:dyDescent="0.25">
      <c r="A884" s="5">
        <f>Procurement_Raw!A884</f>
        <v>45712</v>
      </c>
      <c r="B884" t="str">
        <f>Procurement_Raw!B884</f>
        <v>S013</v>
      </c>
      <c r="C884" t="str">
        <f>Procurement_Raw!C884</f>
        <v>Reading Care &amp; Education Centre</v>
      </c>
      <c r="D884" t="str">
        <f>Procurement_Raw!D884</f>
        <v>South</v>
      </c>
      <c r="E884" t="str">
        <f>Procurement_Raw!E884</f>
        <v>NurseLink</v>
      </c>
      <c r="F884" t="str">
        <f>Procurement_Raw!F884</f>
        <v>Agency Labour</v>
      </c>
      <c r="G884" t="str">
        <f>Procurement_Raw!G884</f>
        <v>INV-2025-00883</v>
      </c>
      <c r="H884" s="6">
        <f>Procurement_Raw!H884</f>
        <v>74</v>
      </c>
      <c r="I884" s="7">
        <f>Procurement_Raw!I884</f>
        <v>229.2</v>
      </c>
      <c r="J884" s="7">
        <f>Procurement_Raw!J884</f>
        <v>16960.73</v>
      </c>
      <c r="K884" s="6">
        <f>Procurement_Raw!K884</f>
        <v>45</v>
      </c>
      <c r="L884" t="str">
        <f>Procurement_Raw!L884</f>
        <v>Legacy Spend File</v>
      </c>
      <c r="M884" s="8">
        <f>Procurement_Raw!M884</f>
        <v>3392.1460000000002</v>
      </c>
      <c r="N884" s="7">
        <f>Procurement_Raw!N884</f>
        <v>16960.73</v>
      </c>
      <c r="O884" s="7">
        <f t="shared" si="26"/>
        <v>16960.73</v>
      </c>
      <c r="P884" t="str">
        <f>IFERROR(INDEX(Supplier_Lookup!$B$2:$B$200,MATCH(E884,Supplier_Lookup!$A$2:$A$200,0)),"Unmapped")</f>
        <v>Agency Labour</v>
      </c>
      <c r="Q884" s="10">
        <f>IFERROR(INDEX(Category_Targets!$B$2:$B$9,MATCH(F884,Category_Targets!$A$2:$A$9,0)),0)</f>
        <v>7.0000000000000007E-2</v>
      </c>
      <c r="R884" s="7">
        <f t="shared" si="27"/>
        <v>1187.2511000000002</v>
      </c>
    </row>
    <row r="885" spans="1:18" x14ac:dyDescent="0.25">
      <c r="A885" s="5">
        <f>Procurement_Raw!A885</f>
        <v>45743</v>
      </c>
      <c r="B885" t="str">
        <f>Procurement_Raw!B885</f>
        <v>S001</v>
      </c>
      <c r="C885" t="str">
        <f>Procurement_Raw!C885</f>
        <v>Preston Care &amp; Education Centre</v>
      </c>
      <c r="D885" t="str">
        <f>Procurement_Raw!D885</f>
        <v>North</v>
      </c>
      <c r="E885" t="str">
        <f>Procurement_Raw!E885</f>
        <v>HealthStaffing</v>
      </c>
      <c r="F885" t="str">
        <f>Procurement_Raw!F885</f>
        <v>Agency Labour</v>
      </c>
      <c r="G885" t="str">
        <f>Procurement_Raw!G885</f>
        <v>INV-2025-00884</v>
      </c>
      <c r="H885" s="6">
        <f>Procurement_Raw!H885</f>
        <v>24</v>
      </c>
      <c r="I885" s="7">
        <f>Procurement_Raw!I885</f>
        <v>532.76</v>
      </c>
      <c r="J885" s="7">
        <f>Procurement_Raw!J885</f>
        <v>12786.24</v>
      </c>
      <c r="K885" s="6">
        <f>Procurement_Raw!K885</f>
        <v>60</v>
      </c>
      <c r="L885" t="str">
        <f>Procurement_Raw!L885</f>
        <v>Procurement Portal</v>
      </c>
      <c r="M885" s="8">
        <f>Procurement_Raw!M885</f>
        <v>2557.248</v>
      </c>
      <c r="N885" s="7">
        <f>Procurement_Raw!N885</f>
        <v>12786.24</v>
      </c>
      <c r="O885" s="7">
        <f t="shared" si="26"/>
        <v>12786.24</v>
      </c>
      <c r="P885" t="str">
        <f>IFERROR(INDEX(Supplier_Lookup!$B$2:$B$200,MATCH(E885,Supplier_Lookup!$A$2:$A$200,0)),"Unmapped")</f>
        <v>Agency Labour</v>
      </c>
      <c r="Q885" s="10">
        <f>IFERROR(INDEX(Category_Targets!$B$2:$B$9,MATCH(F885,Category_Targets!$A$2:$A$9,0)),0)</f>
        <v>7.0000000000000007E-2</v>
      </c>
      <c r="R885" s="7">
        <f t="shared" si="27"/>
        <v>895.03680000000008</v>
      </c>
    </row>
    <row r="886" spans="1:18" x14ac:dyDescent="0.25">
      <c r="A886" s="5">
        <f>Procurement_Raw!A886</f>
        <v>45738</v>
      </c>
      <c r="B886" t="str">
        <f>Procurement_Raw!B886</f>
        <v>S014</v>
      </c>
      <c r="C886" t="str">
        <f>Procurement_Raw!C886</f>
        <v>Southampton Care &amp; Education Centre</v>
      </c>
      <c r="D886" t="str">
        <f>Procurement_Raw!D886</f>
        <v>South</v>
      </c>
      <c r="E886" t="str">
        <f>Procurement_Raw!E886</f>
        <v>AutoCare</v>
      </c>
      <c r="F886" t="str">
        <f>Procurement_Raw!F886</f>
        <v>Vehicle &amp; Fuel</v>
      </c>
      <c r="G886" t="str">
        <f>Procurement_Raw!G886</f>
        <v>INV-2025-00885</v>
      </c>
      <c r="H886" s="6">
        <f>Procurement_Raw!H886</f>
        <v>69</v>
      </c>
      <c r="I886" s="7">
        <f>Procurement_Raw!I886</f>
        <v>138.22999999999999</v>
      </c>
      <c r="J886" s="7">
        <f>Procurement_Raw!J886</f>
        <v>9537.85</v>
      </c>
      <c r="K886" s="6">
        <f>Procurement_Raw!K886</f>
        <v>60</v>
      </c>
      <c r="L886" t="str">
        <f>Procurement_Raw!L886</f>
        <v>Procurement Portal</v>
      </c>
      <c r="M886" s="8">
        <f>Procurement_Raw!M886</f>
        <v>1907.57</v>
      </c>
      <c r="N886" s="7">
        <f>Procurement_Raw!N886</f>
        <v>9537.85</v>
      </c>
      <c r="O886" s="7">
        <f t="shared" si="26"/>
        <v>9537.85</v>
      </c>
      <c r="P886" t="str">
        <f>IFERROR(INDEX(Supplier_Lookup!$B$2:$B$200,MATCH(E886,Supplier_Lookup!$A$2:$A$200,0)),"Unmapped")</f>
        <v>Vehicle &amp; Fuel</v>
      </c>
      <c r="Q886" s="10">
        <f>IFERROR(INDEX(Category_Targets!$B$2:$B$9,MATCH(F886,Category_Targets!$A$2:$A$9,0)),0)</f>
        <v>0.05</v>
      </c>
      <c r="R886" s="7">
        <f t="shared" si="27"/>
        <v>476.89250000000004</v>
      </c>
    </row>
    <row r="887" spans="1:18" x14ac:dyDescent="0.25">
      <c r="A887" s="5">
        <f>Procurement_Raw!A887</f>
        <v>45824</v>
      </c>
      <c r="B887" t="str">
        <f>Procurement_Raw!B887</f>
        <v>S009</v>
      </c>
      <c r="C887" t="str">
        <f>Procurement_Raw!C887</f>
        <v>Derby Care &amp; Education Centre</v>
      </c>
      <c r="D887" t="str">
        <f>Procurement_Raw!D887</f>
        <v>Midlands</v>
      </c>
      <c r="E887" t="str">
        <f>Procurement_Raw!E887</f>
        <v>AutoCare</v>
      </c>
      <c r="F887" t="str">
        <f>Procurement_Raw!F887</f>
        <v>Vehicle &amp; Fuel</v>
      </c>
      <c r="G887" t="str">
        <f>Procurement_Raw!G887</f>
        <v>INV-2025-00886</v>
      </c>
      <c r="H887" s="6">
        <f>Procurement_Raw!H887</f>
        <v>48</v>
      </c>
      <c r="I887" s="7">
        <f>Procurement_Raw!I887</f>
        <v>262.32</v>
      </c>
      <c r="J887" s="7">
        <f>Procurement_Raw!J887</f>
        <v>12591.37</v>
      </c>
      <c r="K887" s="6">
        <f>Procurement_Raw!K887</f>
        <v>45</v>
      </c>
      <c r="L887" t="str">
        <f>Procurement_Raw!L887</f>
        <v>Legacy Spend File</v>
      </c>
      <c r="M887" s="8">
        <f>Procurement_Raw!M887</f>
        <v>2518.2739999999999</v>
      </c>
      <c r="N887" s="7">
        <f>Procurement_Raw!N887</f>
        <v>12591.37</v>
      </c>
      <c r="O887" s="7">
        <f t="shared" si="26"/>
        <v>12591.37</v>
      </c>
      <c r="P887" t="str">
        <f>IFERROR(INDEX(Supplier_Lookup!$B$2:$B$200,MATCH(E887,Supplier_Lookup!$A$2:$A$200,0)),"Unmapped")</f>
        <v>Vehicle &amp; Fuel</v>
      </c>
      <c r="Q887" s="10">
        <f>IFERROR(INDEX(Category_Targets!$B$2:$B$9,MATCH(F887,Category_Targets!$A$2:$A$9,0)),0)</f>
        <v>0.05</v>
      </c>
      <c r="R887" s="7">
        <f t="shared" si="27"/>
        <v>629.56850000000009</v>
      </c>
    </row>
    <row r="888" spans="1:18" x14ac:dyDescent="0.25">
      <c r="A888" s="5">
        <f>Procurement_Raw!A888</f>
        <v>45781</v>
      </c>
      <c r="B888" t="str">
        <f>Procurement_Raw!B888</f>
        <v>S007</v>
      </c>
      <c r="C888" t="str">
        <f>Procurement_Raw!C888</f>
        <v>Nottingham Care &amp; Education Centre</v>
      </c>
      <c r="D888" t="str">
        <f>Procurement_Raw!D888</f>
        <v>Midlands</v>
      </c>
      <c r="E888" t="str">
        <f>Procurement_Raw!E888</f>
        <v>AutoCare</v>
      </c>
      <c r="F888" t="str">
        <f>Procurement_Raw!F888</f>
        <v>Vehicle &amp; Fuel</v>
      </c>
      <c r="G888" t="str">
        <f>Procurement_Raw!G888</f>
        <v>INV-2025-00887</v>
      </c>
      <c r="H888" s="6">
        <f>Procurement_Raw!H888</f>
        <v>73</v>
      </c>
      <c r="I888" s="7">
        <f>Procurement_Raw!I888</f>
        <v>130.97999999999999</v>
      </c>
      <c r="J888" s="7">
        <f>Procurement_Raw!J888</f>
        <v>9561.4699999999993</v>
      </c>
      <c r="K888" s="6">
        <f>Procurement_Raw!K888</f>
        <v>60</v>
      </c>
      <c r="L888" t="str">
        <f>Procurement_Raw!L888</f>
        <v>ERP</v>
      </c>
      <c r="M888" s="8">
        <f>Procurement_Raw!M888</f>
        <v>1912.2940000000001</v>
      </c>
      <c r="N888" s="7">
        <f>Procurement_Raw!N888</f>
        <v>9561.4699999999993</v>
      </c>
      <c r="O888" s="7">
        <f t="shared" si="26"/>
        <v>9561.4699999999993</v>
      </c>
      <c r="P888" t="str">
        <f>IFERROR(INDEX(Supplier_Lookup!$B$2:$B$200,MATCH(E888,Supplier_Lookup!$A$2:$A$200,0)),"Unmapped")</f>
        <v>Vehicle &amp; Fuel</v>
      </c>
      <c r="Q888" s="10">
        <f>IFERROR(INDEX(Category_Targets!$B$2:$B$9,MATCH(F888,Category_Targets!$A$2:$A$9,0)),0)</f>
        <v>0.05</v>
      </c>
      <c r="R888" s="7">
        <f t="shared" si="27"/>
        <v>478.07349999999997</v>
      </c>
    </row>
    <row r="889" spans="1:18" x14ac:dyDescent="0.25">
      <c r="A889" s="5">
        <f>Procurement_Raw!A889</f>
        <v>45889</v>
      </c>
      <c r="B889" t="str">
        <f>Procurement_Raw!B889</f>
        <v>S014</v>
      </c>
      <c r="C889" t="str">
        <f>Procurement_Raw!C889</f>
        <v>Southampton Care &amp; Education Centre</v>
      </c>
      <c r="D889" t="str">
        <f>Procurement_Raw!D889</f>
        <v>South</v>
      </c>
      <c r="E889" t="str">
        <f>Procurement_Raw!E889</f>
        <v>TeleCare IT</v>
      </c>
      <c r="F889" t="str">
        <f>Procurement_Raw!F889</f>
        <v>IT &amp; Telecoms</v>
      </c>
      <c r="G889" t="str">
        <f>Procurement_Raw!G889</f>
        <v>INV-2025-00888</v>
      </c>
      <c r="H889" s="6">
        <f>Procurement_Raw!H889</f>
        <v>58</v>
      </c>
      <c r="I889" s="7">
        <f>Procurement_Raw!I889</f>
        <v>180.55</v>
      </c>
      <c r="J889" s="7">
        <f>Procurement_Raw!J889</f>
        <v>10472</v>
      </c>
      <c r="K889" s="6">
        <f>Procurement_Raw!K889</f>
        <v>45</v>
      </c>
      <c r="L889" t="str">
        <f>Procurement_Raw!L889</f>
        <v>ERP</v>
      </c>
      <c r="M889" s="8">
        <f>Procurement_Raw!M889</f>
        <v>2094.4</v>
      </c>
      <c r="N889" s="7">
        <f>Procurement_Raw!N889</f>
        <v>10472</v>
      </c>
      <c r="O889" s="7">
        <f t="shared" si="26"/>
        <v>10472</v>
      </c>
      <c r="P889" t="str">
        <f>IFERROR(INDEX(Supplier_Lookup!$B$2:$B$200,MATCH(E889,Supplier_Lookup!$A$2:$A$200,0)),"Unmapped")</f>
        <v>IT &amp; Telecoms</v>
      </c>
      <c r="Q889" s="10">
        <f>IFERROR(INDEX(Category_Targets!$B$2:$B$9,MATCH(F889,Category_Targets!$A$2:$A$9,0)),0)</f>
        <v>0.08</v>
      </c>
      <c r="R889" s="7">
        <f t="shared" si="27"/>
        <v>837.76</v>
      </c>
    </row>
    <row r="890" spans="1:18" x14ac:dyDescent="0.25">
      <c r="A890" s="5">
        <f>Procurement_Raw!A890</f>
        <v>45963</v>
      </c>
      <c r="B890" t="str">
        <f>Procurement_Raw!B890</f>
        <v>S011</v>
      </c>
      <c r="C890" t="str">
        <f>Procurement_Raw!C890</f>
        <v>London Care &amp; Education Centre</v>
      </c>
      <c r="D890" t="str">
        <f>Procurement_Raw!D890</f>
        <v>South</v>
      </c>
      <c r="E890" t="str">
        <f>Procurement_Raw!E890</f>
        <v>CareMed</v>
      </c>
      <c r="F890" t="str">
        <f>Procurement_Raw!F890</f>
        <v>Medical Supplies</v>
      </c>
      <c r="G890" t="str">
        <f>Procurement_Raw!G890</f>
        <v>INV-2025-00889</v>
      </c>
      <c r="H890" s="6">
        <f>Procurement_Raw!H890</f>
        <v>3</v>
      </c>
      <c r="I890" s="7">
        <f>Procurement_Raw!I890</f>
        <v>166.06</v>
      </c>
      <c r="J890" s="7">
        <f>Procurement_Raw!J890</f>
        <v>498.18</v>
      </c>
      <c r="K890" s="6">
        <f>Procurement_Raw!K890</f>
        <v>60</v>
      </c>
      <c r="L890" t="str">
        <f>Procurement_Raw!L890</f>
        <v>ERP</v>
      </c>
      <c r="M890" s="8">
        <f>Procurement_Raw!M890</f>
        <v>99.635999999999996</v>
      </c>
      <c r="N890" s="7">
        <f>Procurement_Raw!N890</f>
        <v>498.18</v>
      </c>
      <c r="O890" s="7">
        <f t="shared" si="26"/>
        <v>498.18</v>
      </c>
      <c r="P890" t="str">
        <f>IFERROR(INDEX(Supplier_Lookup!$B$2:$B$200,MATCH(E890,Supplier_Lookup!$A$2:$A$200,0)),"Unmapped")</f>
        <v>Medical Supplies</v>
      </c>
      <c r="Q890" s="10">
        <f>IFERROR(INDEX(Category_Targets!$B$2:$B$9,MATCH(F890,Category_Targets!$A$2:$A$9,0)),0)</f>
        <v>0.06</v>
      </c>
      <c r="R890" s="7">
        <f t="shared" si="27"/>
        <v>29.890799999999999</v>
      </c>
    </row>
    <row r="891" spans="1:18" x14ac:dyDescent="0.25">
      <c r="A891" s="5">
        <f>Procurement_Raw!A891</f>
        <v>45771</v>
      </c>
      <c r="B891" t="str">
        <f>Procurement_Raw!B891</f>
        <v>S013</v>
      </c>
      <c r="C891" t="str">
        <f>Procurement_Raw!C891</f>
        <v>Reading Care &amp; Education Centre</v>
      </c>
      <c r="D891" t="str">
        <f>Procurement_Raw!D891</f>
        <v>South</v>
      </c>
      <c r="E891" t="str">
        <f>Procurement_Raw!E891</f>
        <v>CareMed</v>
      </c>
      <c r="F891" t="str">
        <f>Procurement_Raw!F891</f>
        <v>Medical Supplies</v>
      </c>
      <c r="G891" t="str">
        <f>Procurement_Raw!G891</f>
        <v>INV-2025-00890</v>
      </c>
      <c r="H891" s="6">
        <f>Procurement_Raw!H891</f>
        <v>28</v>
      </c>
      <c r="I891" s="7">
        <f>Procurement_Raw!I891</f>
        <v>220.8</v>
      </c>
      <c r="J891" s="7">
        <f>Procurement_Raw!J891</f>
        <v>6182.53</v>
      </c>
      <c r="K891" s="6">
        <f>Procurement_Raw!K891</f>
        <v>45</v>
      </c>
      <c r="L891" t="str">
        <f>Procurement_Raw!L891</f>
        <v>ERP</v>
      </c>
      <c r="M891" s="8">
        <f>Procurement_Raw!M891</f>
        <v>1236.5060000000001</v>
      </c>
      <c r="N891" s="7">
        <f>Procurement_Raw!N891</f>
        <v>6182.53</v>
      </c>
      <c r="O891" s="7">
        <f t="shared" si="26"/>
        <v>6182.53</v>
      </c>
      <c r="P891" t="str">
        <f>IFERROR(INDEX(Supplier_Lookup!$B$2:$B$200,MATCH(E891,Supplier_Lookup!$A$2:$A$200,0)),"Unmapped")</f>
        <v>Medical Supplies</v>
      </c>
      <c r="Q891" s="10">
        <f>IFERROR(INDEX(Category_Targets!$B$2:$B$9,MATCH(F891,Category_Targets!$A$2:$A$9,0)),0)</f>
        <v>0.06</v>
      </c>
      <c r="R891" s="7">
        <f t="shared" si="27"/>
        <v>370.95179999999999</v>
      </c>
    </row>
    <row r="892" spans="1:18" x14ac:dyDescent="0.25">
      <c r="A892" s="5">
        <f>Procurement_Raw!A892</f>
        <v>45919</v>
      </c>
      <c r="B892" t="str">
        <f>Procurement_Raw!B892</f>
        <v>S018</v>
      </c>
      <c r="C892" t="str">
        <f>Procurement_Raw!C892</f>
        <v>Newport Care &amp; Education Centre</v>
      </c>
      <c r="D892" t="str">
        <f>Procurement_Raw!D892</f>
        <v>Wales</v>
      </c>
      <c r="E892" t="str">
        <f>Procurement_Raw!E892</f>
        <v>NetServe</v>
      </c>
      <c r="F892" t="str">
        <f>Procurement_Raw!F892</f>
        <v>IT &amp; Telecoms</v>
      </c>
      <c r="G892" t="str">
        <f>Procurement_Raw!G892</f>
        <v>INV-2025-00891</v>
      </c>
      <c r="H892" s="6">
        <f>Procurement_Raw!H892</f>
        <v>72</v>
      </c>
      <c r="I892" s="7">
        <f>Procurement_Raw!I892</f>
        <v>345.47</v>
      </c>
      <c r="J892" s="7">
        <f>Procurement_Raw!J892</f>
        <v>24873.52</v>
      </c>
      <c r="K892" s="6">
        <f>Procurement_Raw!K892</f>
        <v>60</v>
      </c>
      <c r="L892" t="str">
        <f>Procurement_Raw!L892</f>
        <v>Legacy Spend File</v>
      </c>
      <c r="M892" s="8">
        <f>Procurement_Raw!M892</f>
        <v>4974.7039999999997</v>
      </c>
      <c r="N892" s="7">
        <f>Procurement_Raw!N892</f>
        <v>24873.52</v>
      </c>
      <c r="O892" s="7">
        <f t="shared" si="26"/>
        <v>24873.52</v>
      </c>
      <c r="P892" t="str">
        <f>IFERROR(INDEX(Supplier_Lookup!$B$2:$B$200,MATCH(E892,Supplier_Lookup!$A$2:$A$200,0)),"Unmapped")</f>
        <v>IT &amp; Telecoms</v>
      </c>
      <c r="Q892" s="10">
        <f>IFERROR(INDEX(Category_Targets!$B$2:$B$9,MATCH(F892,Category_Targets!$A$2:$A$9,0)),0)</f>
        <v>0.08</v>
      </c>
      <c r="R892" s="7">
        <f t="shared" si="27"/>
        <v>1989.8816000000002</v>
      </c>
    </row>
    <row r="893" spans="1:18" x14ac:dyDescent="0.25">
      <c r="A893" s="5">
        <f>Procurement_Raw!A893</f>
        <v>45893</v>
      </c>
      <c r="B893" t="str">
        <f>Procurement_Raw!B893</f>
        <v>S008</v>
      </c>
      <c r="C893" t="str">
        <f>Procurement_Raw!C893</f>
        <v>Leicester Care &amp; Education Centre</v>
      </c>
      <c r="D893" t="str">
        <f>Procurement_Raw!D893</f>
        <v>Midlands</v>
      </c>
      <c r="E893" t="str">
        <f>Procurement_Raw!E893</f>
        <v>FreshServe</v>
      </c>
      <c r="F893" t="str">
        <f>Procurement_Raw!F893</f>
        <v>Food &amp; Catering</v>
      </c>
      <c r="G893" t="str">
        <f>Procurement_Raw!G893</f>
        <v>INV-2025-00892</v>
      </c>
      <c r="H893" s="6">
        <f>Procurement_Raw!H893</f>
        <v>46</v>
      </c>
      <c r="I893" s="7">
        <f>Procurement_Raw!I893</f>
        <v>85.92</v>
      </c>
      <c r="J893" s="7">
        <f>Procurement_Raw!J893</f>
        <v>3952.21</v>
      </c>
      <c r="K893" s="6">
        <f>Procurement_Raw!K893</f>
        <v>30</v>
      </c>
      <c r="L893" t="str">
        <f>Procurement_Raw!L893</f>
        <v>ERP</v>
      </c>
      <c r="M893" s="8">
        <f>Procurement_Raw!M893</f>
        <v>790.44200000000001</v>
      </c>
      <c r="N893" s="7">
        <f>Procurement_Raw!N893</f>
        <v>3952.21</v>
      </c>
      <c r="O893" s="7">
        <f t="shared" si="26"/>
        <v>3952.21</v>
      </c>
      <c r="P893" t="str">
        <f>IFERROR(INDEX(Supplier_Lookup!$B$2:$B$200,MATCH(E893,Supplier_Lookup!$A$2:$A$200,0)),"Unmapped")</f>
        <v>Food &amp; Catering</v>
      </c>
      <c r="Q893" s="10">
        <f>IFERROR(INDEX(Category_Targets!$B$2:$B$9,MATCH(F893,Category_Targets!$A$2:$A$9,0)),0)</f>
        <v>0.04</v>
      </c>
      <c r="R893" s="7">
        <f t="shared" si="27"/>
        <v>158.08840000000001</v>
      </c>
    </row>
    <row r="894" spans="1:18" x14ac:dyDescent="0.25">
      <c r="A894" s="5">
        <f>Procurement_Raw!A894</f>
        <v>45785</v>
      </c>
      <c r="B894" t="str">
        <f>Procurement_Raw!B894</f>
        <v>S013</v>
      </c>
      <c r="C894" t="str">
        <f>Procurement_Raw!C894</f>
        <v>Reading Care &amp; Education Centre</v>
      </c>
      <c r="D894" t="str">
        <f>Procurement_Raw!D894</f>
        <v>South</v>
      </c>
      <c r="E894" t="str">
        <f>Procurement_Raw!E894</f>
        <v>AutoCare</v>
      </c>
      <c r="F894" t="str">
        <f>Procurement_Raw!F894</f>
        <v>Vehicle &amp; Fuel</v>
      </c>
      <c r="G894" t="str">
        <f>Procurement_Raw!G894</f>
        <v>INV-2025-00893</v>
      </c>
      <c r="H894" s="6">
        <f>Procurement_Raw!H894</f>
        <v>30</v>
      </c>
      <c r="I894" s="7">
        <f>Procurement_Raw!I894</f>
        <v>170.81</v>
      </c>
      <c r="J894" s="7">
        <f>Procurement_Raw!J894</f>
        <v>5124.28</v>
      </c>
      <c r="K894" s="6">
        <f>Procurement_Raw!K894</f>
        <v>45</v>
      </c>
      <c r="L894" t="str">
        <f>Procurement_Raw!L894</f>
        <v>Procurement Portal</v>
      </c>
      <c r="M894" s="8">
        <f>Procurement_Raw!M894</f>
        <v>1024.856</v>
      </c>
      <c r="N894" s="7">
        <f>Procurement_Raw!N894</f>
        <v>5124.28</v>
      </c>
      <c r="O894" s="7">
        <f t="shared" si="26"/>
        <v>5124.28</v>
      </c>
      <c r="P894" t="str">
        <f>IFERROR(INDEX(Supplier_Lookup!$B$2:$B$200,MATCH(E894,Supplier_Lookup!$A$2:$A$200,0)),"Unmapped")</f>
        <v>Vehicle &amp; Fuel</v>
      </c>
      <c r="Q894" s="10">
        <f>IFERROR(INDEX(Category_Targets!$B$2:$B$9,MATCH(F894,Category_Targets!$A$2:$A$9,0)),0)</f>
        <v>0.05</v>
      </c>
      <c r="R894" s="7">
        <f t="shared" si="27"/>
        <v>256.214</v>
      </c>
    </row>
    <row r="895" spans="1:18" x14ac:dyDescent="0.25">
      <c r="A895" s="5">
        <f>Procurement_Raw!A895</f>
        <v>45769</v>
      </c>
      <c r="B895" t="str">
        <f>Procurement_Raw!B895</f>
        <v>S009</v>
      </c>
      <c r="C895" t="str">
        <f>Procurement_Raw!C895</f>
        <v>Derby Care &amp; Education Centre</v>
      </c>
      <c r="D895" t="str">
        <f>Procurement_Raw!D895</f>
        <v>Midlands</v>
      </c>
      <c r="E895" t="str">
        <f>Procurement_Raw!E895</f>
        <v>NurseLink</v>
      </c>
      <c r="F895" t="str">
        <f>Procurement_Raw!F895</f>
        <v>Agency Labour</v>
      </c>
      <c r="G895" t="str">
        <f>Procurement_Raw!G895</f>
        <v>INV-2025-00894</v>
      </c>
      <c r="H895" s="6">
        <f>Procurement_Raw!H895</f>
        <v>10</v>
      </c>
      <c r="I895" s="7">
        <f>Procurement_Raw!I895</f>
        <v>570.72</v>
      </c>
      <c r="J895" s="7">
        <f>Procurement_Raw!J895</f>
        <v>5707.18</v>
      </c>
      <c r="K895" s="6">
        <f>Procurement_Raw!K895</f>
        <v>60</v>
      </c>
      <c r="L895" t="str">
        <f>Procurement_Raw!L895</f>
        <v>Procurement Portal</v>
      </c>
      <c r="M895" s="8">
        <f>Procurement_Raw!M895</f>
        <v>1141.4359999999999</v>
      </c>
      <c r="N895" s="7">
        <f>Procurement_Raw!N895</f>
        <v>5707.18</v>
      </c>
      <c r="O895" s="7">
        <f t="shared" si="26"/>
        <v>5707.18</v>
      </c>
      <c r="P895" t="str">
        <f>IFERROR(INDEX(Supplier_Lookup!$B$2:$B$200,MATCH(E895,Supplier_Lookup!$A$2:$A$200,0)),"Unmapped")</f>
        <v>Agency Labour</v>
      </c>
      <c r="Q895" s="10">
        <f>IFERROR(INDEX(Category_Targets!$B$2:$B$9,MATCH(F895,Category_Targets!$A$2:$A$9,0)),0)</f>
        <v>7.0000000000000007E-2</v>
      </c>
      <c r="R895" s="7">
        <f t="shared" si="27"/>
        <v>399.50260000000009</v>
      </c>
    </row>
    <row r="896" spans="1:18" x14ac:dyDescent="0.25">
      <c r="A896" s="5">
        <f>Procurement_Raw!A896</f>
        <v>46011</v>
      </c>
      <c r="B896" t="str">
        <f>Procurement_Raw!B896</f>
        <v>S013</v>
      </c>
      <c r="C896" t="str">
        <f>Procurement_Raw!C896</f>
        <v>Reading Care &amp; Education Centre</v>
      </c>
      <c r="D896" t="str">
        <f>Procurement_Raw!D896</f>
        <v>South</v>
      </c>
      <c r="E896" t="str">
        <f>Procurement_Raw!E896</f>
        <v>SafeGuard FM</v>
      </c>
      <c r="F896" t="str">
        <f>Procurement_Raw!F896</f>
        <v>Facilities</v>
      </c>
      <c r="G896" t="str">
        <f>Procurement_Raw!G896</f>
        <v>INV-2025-00895</v>
      </c>
      <c r="H896" s="6">
        <f>Procurement_Raw!H896</f>
        <v>74</v>
      </c>
      <c r="I896" s="7">
        <f>Procurement_Raw!I896</f>
        <v>384.96</v>
      </c>
      <c r="J896" s="7">
        <f>Procurement_Raw!J896</f>
        <v>28487.18</v>
      </c>
      <c r="K896" s="6">
        <f>Procurement_Raw!K896</f>
        <v>30</v>
      </c>
      <c r="L896" t="str">
        <f>Procurement_Raw!L896</f>
        <v>Legacy Spend File</v>
      </c>
      <c r="M896" s="8">
        <f>Procurement_Raw!M896</f>
        <v>5697.4359999999997</v>
      </c>
      <c r="N896" s="7">
        <f>Procurement_Raw!N896</f>
        <v>28487.18</v>
      </c>
      <c r="O896" s="7">
        <f t="shared" si="26"/>
        <v>28487.18</v>
      </c>
      <c r="P896" t="str">
        <f>IFERROR(INDEX(Supplier_Lookup!$B$2:$B$200,MATCH(E896,Supplier_Lookup!$A$2:$A$200,0)),"Unmapped")</f>
        <v>Facilities</v>
      </c>
      <c r="Q896" s="10">
        <f>IFERROR(INDEX(Category_Targets!$B$2:$B$9,MATCH(F896,Category_Targets!$A$2:$A$9,0)),0)</f>
        <v>0.05</v>
      </c>
      <c r="R896" s="7">
        <f t="shared" si="27"/>
        <v>1424.3590000000002</v>
      </c>
    </row>
    <row r="897" spans="1:18" x14ac:dyDescent="0.25">
      <c r="A897" s="5">
        <f>Procurement_Raw!A897</f>
        <v>45953</v>
      </c>
      <c r="B897" t="str">
        <f>Procurement_Raw!B897</f>
        <v>S001</v>
      </c>
      <c r="C897" t="str">
        <f>Procurement_Raw!C897</f>
        <v>Preston Care &amp; Education Centre</v>
      </c>
      <c r="D897" t="str">
        <f>Procurement_Raw!D897</f>
        <v>North</v>
      </c>
      <c r="E897" t="str">
        <f>Procurement_Raw!E897</f>
        <v>CloudLink</v>
      </c>
      <c r="F897" t="str">
        <f>Procurement_Raw!F897</f>
        <v>IT &amp; Telecoms</v>
      </c>
      <c r="G897" t="str">
        <f>Procurement_Raw!G897</f>
        <v>INV-2025-00896</v>
      </c>
      <c r="H897" s="6">
        <f>Procurement_Raw!H897</f>
        <v>49</v>
      </c>
      <c r="I897" s="7">
        <f>Procurement_Raw!I897</f>
        <v>314.32</v>
      </c>
      <c r="J897" s="7">
        <f>Procurement_Raw!J897</f>
        <v>15401.78</v>
      </c>
      <c r="K897" s="6">
        <f>Procurement_Raw!K897</f>
        <v>30</v>
      </c>
      <c r="L897" t="str">
        <f>Procurement_Raw!L897</f>
        <v>ERP</v>
      </c>
      <c r="M897" s="8">
        <f>Procurement_Raw!M897</f>
        <v>3080.3560000000002</v>
      </c>
      <c r="N897" s="7">
        <f>Procurement_Raw!N897</f>
        <v>15401.78</v>
      </c>
      <c r="O897" s="7">
        <f t="shared" si="26"/>
        <v>15401.78</v>
      </c>
      <c r="P897" t="str">
        <f>IFERROR(INDEX(Supplier_Lookup!$B$2:$B$200,MATCH(E897,Supplier_Lookup!$A$2:$A$200,0)),"Unmapped")</f>
        <v>medical supplies</v>
      </c>
      <c r="Q897" s="10">
        <f>IFERROR(INDEX(Category_Targets!$B$2:$B$9,MATCH(F897,Category_Targets!$A$2:$A$9,0)),0)</f>
        <v>0.08</v>
      </c>
      <c r="R897" s="7">
        <f t="shared" si="27"/>
        <v>1232.1424000000002</v>
      </c>
    </row>
    <row r="898" spans="1:18" x14ac:dyDescent="0.25">
      <c r="A898" s="5">
        <f>Procurement_Raw!A898</f>
        <v>45871</v>
      </c>
      <c r="B898" t="str">
        <f>Procurement_Raw!B898</f>
        <v>S002</v>
      </c>
      <c r="C898" t="str">
        <f>Procurement_Raw!C898</f>
        <v>Manchester Care &amp; Education Centre</v>
      </c>
      <c r="D898" t="str">
        <f>Procurement_Raw!D898</f>
        <v>North</v>
      </c>
      <c r="E898" t="str">
        <f>Procurement_Raw!E898</f>
        <v>RoadReady</v>
      </c>
      <c r="F898" t="str">
        <f>Procurement_Raw!F898</f>
        <v>Vehicle &amp; Fuel</v>
      </c>
      <c r="G898" t="str">
        <f>Procurement_Raw!G898</f>
        <v>INV-2025-00897</v>
      </c>
      <c r="H898" s="6">
        <f>Procurement_Raw!H898</f>
        <v>16</v>
      </c>
      <c r="I898" s="7">
        <f>Procurement_Raw!I898</f>
        <v>86.66</v>
      </c>
      <c r="J898" s="7">
        <f>Procurement_Raw!J898</f>
        <v>1386.52</v>
      </c>
      <c r="K898" s="6">
        <f>Procurement_Raw!K898</f>
        <v>30</v>
      </c>
      <c r="L898" t="str">
        <f>Procurement_Raw!L898</f>
        <v>Legacy Spend File</v>
      </c>
      <c r="M898" s="8">
        <f>Procurement_Raw!M898</f>
        <v>277.30399999999997</v>
      </c>
      <c r="N898" s="7">
        <f>Procurement_Raw!N898</f>
        <v>1386.52</v>
      </c>
      <c r="O898" s="7">
        <f t="shared" ref="O898:O961" si="28">IFERROR(IF(J898="","",J898),0)</f>
        <v>1386.52</v>
      </c>
      <c r="P898" t="str">
        <f>IFERROR(INDEX(Supplier_Lookup!$B$2:$B$200,MATCH(E898,Supplier_Lookup!$A$2:$A$200,0)),"Unmapped")</f>
        <v>Vehicle &amp; Fuel</v>
      </c>
      <c r="Q898" s="10">
        <f>IFERROR(INDEX(Category_Targets!$B$2:$B$9,MATCH(F898,Category_Targets!$A$2:$A$9,0)),0)</f>
        <v>0.05</v>
      </c>
      <c r="R898" s="7">
        <f t="shared" ref="R898:R961" si="29">O898*Q898</f>
        <v>69.326000000000008</v>
      </c>
    </row>
    <row r="899" spans="1:18" x14ac:dyDescent="0.25">
      <c r="A899" s="5">
        <f>Procurement_Raw!A899</f>
        <v>45981</v>
      </c>
      <c r="B899" t="str">
        <f>Procurement_Raw!B899</f>
        <v>S015</v>
      </c>
      <c r="C899" t="str">
        <f>Procurement_Raw!C899</f>
        <v>Brighton Care &amp; Education Centre</v>
      </c>
      <c r="D899" t="str">
        <f>Procurement_Raw!D899</f>
        <v>South</v>
      </c>
      <c r="E899" t="str">
        <f>Procurement_Raw!E899</f>
        <v>ClinEquip</v>
      </c>
      <c r="F899" t="str">
        <f>Procurement_Raw!F899</f>
        <v>Medical Supplies</v>
      </c>
      <c r="G899" t="str">
        <f>Procurement_Raw!G899</f>
        <v>INV-2025-00898</v>
      </c>
      <c r="H899" s="6">
        <f>Procurement_Raw!H899</f>
        <v>49</v>
      </c>
      <c r="I899" s="7">
        <f>Procurement_Raw!I899</f>
        <v>130.08000000000001</v>
      </c>
      <c r="J899" s="7">
        <f>Procurement_Raw!J899</f>
        <v>6374.14</v>
      </c>
      <c r="K899" s="6">
        <f>Procurement_Raw!K899</f>
        <v>30</v>
      </c>
      <c r="L899" t="str">
        <f>Procurement_Raw!L899</f>
        <v>Procurement Portal</v>
      </c>
      <c r="M899" s="8">
        <f>Procurement_Raw!M899</f>
        <v>1274.828</v>
      </c>
      <c r="N899" s="7">
        <f>Procurement_Raw!N899</f>
        <v>6374.14</v>
      </c>
      <c r="O899" s="7">
        <f t="shared" si="28"/>
        <v>6374.14</v>
      </c>
      <c r="P899" t="str">
        <f>IFERROR(INDEX(Supplier_Lookup!$B$2:$B$200,MATCH(E899,Supplier_Lookup!$A$2:$A$200,0)),"Unmapped")</f>
        <v>Medical Supplies</v>
      </c>
      <c r="Q899" s="10">
        <f>IFERROR(INDEX(Category_Targets!$B$2:$B$9,MATCH(F899,Category_Targets!$A$2:$A$9,0)),0)</f>
        <v>0.06</v>
      </c>
      <c r="R899" s="7">
        <f t="shared" si="29"/>
        <v>382.44839999999999</v>
      </c>
    </row>
    <row r="900" spans="1:18" x14ac:dyDescent="0.25">
      <c r="A900" s="5">
        <f>Procurement_Raw!A900</f>
        <v>45934</v>
      </c>
      <c r="B900" t="str">
        <f>Procurement_Raw!B900</f>
        <v>S006</v>
      </c>
      <c r="C900" t="str">
        <f>Procurement_Raw!C900</f>
        <v>Birmingham Care &amp; Education Centre</v>
      </c>
      <c r="D900" t="str">
        <f>Procurement_Raw!D900</f>
        <v>Midlands</v>
      </c>
      <c r="E900" t="str">
        <f>Procurement_Raw!E900</f>
        <v>CareMed</v>
      </c>
      <c r="F900" t="str">
        <f>Procurement_Raw!F900</f>
        <v>Medical Supplies</v>
      </c>
      <c r="G900" t="str">
        <f>Procurement_Raw!G900</f>
        <v>INV-2025-00899</v>
      </c>
      <c r="H900" s="6">
        <f>Procurement_Raw!H900</f>
        <v>73</v>
      </c>
      <c r="I900" s="7">
        <f>Procurement_Raw!I900</f>
        <v>233.01</v>
      </c>
      <c r="J900" s="7">
        <f>Procurement_Raw!J900</f>
        <v>17009.57</v>
      </c>
      <c r="K900" s="6">
        <f>Procurement_Raw!K900</f>
        <v>30</v>
      </c>
      <c r="L900" t="str">
        <f>Procurement_Raw!L900</f>
        <v>Procurement Portal</v>
      </c>
      <c r="M900" s="8">
        <f>Procurement_Raw!M900</f>
        <v>3401.9140000000002</v>
      </c>
      <c r="N900" s="7">
        <f>Procurement_Raw!N900</f>
        <v>17009.57</v>
      </c>
      <c r="O900" s="7">
        <f t="shared" si="28"/>
        <v>17009.57</v>
      </c>
      <c r="P900" t="str">
        <f>IFERROR(INDEX(Supplier_Lookup!$B$2:$B$200,MATCH(E900,Supplier_Lookup!$A$2:$A$200,0)),"Unmapped")</f>
        <v>Medical Supplies</v>
      </c>
      <c r="Q900" s="10">
        <f>IFERROR(INDEX(Category_Targets!$B$2:$B$9,MATCH(F900,Category_Targets!$A$2:$A$9,0)),0)</f>
        <v>0.06</v>
      </c>
      <c r="R900" s="7">
        <f t="shared" si="29"/>
        <v>1020.5741999999999</v>
      </c>
    </row>
    <row r="901" spans="1:18" x14ac:dyDescent="0.25">
      <c r="A901" s="5">
        <f>Procurement_Raw!A901</f>
        <v>45683</v>
      </c>
      <c r="B901" t="str">
        <f>Procurement_Raw!B901</f>
        <v>S006</v>
      </c>
      <c r="C901" t="str">
        <f>Procurement_Raw!C901</f>
        <v>Birmingham Care &amp; Education Centre</v>
      </c>
      <c r="D901" t="str">
        <f>Procurement_Raw!D901</f>
        <v>Midlands</v>
      </c>
      <c r="E901" t="str">
        <f>Procurement_Raw!E901</f>
        <v>UK Energy Partners</v>
      </c>
      <c r="F901" t="str">
        <f>Procurement_Raw!F901</f>
        <v>Utilities</v>
      </c>
      <c r="G901" t="str">
        <f>Procurement_Raw!G901</f>
        <v>INV-2025-00900</v>
      </c>
      <c r="H901" s="6">
        <f>Procurement_Raw!H901</f>
        <v>51</v>
      </c>
      <c r="I901" s="7">
        <f>Procurement_Raw!I901</f>
        <v>159.52000000000001</v>
      </c>
      <c r="J901" s="7">
        <f>Procurement_Raw!J901</f>
        <v>8135.33</v>
      </c>
      <c r="K901" s="6">
        <f>Procurement_Raw!K901</f>
        <v>45</v>
      </c>
      <c r="L901" t="str">
        <f>Procurement_Raw!L901</f>
        <v>Legacy Spend File</v>
      </c>
      <c r="M901" s="8">
        <f>Procurement_Raw!M901</f>
        <v>1627.066</v>
      </c>
      <c r="N901" s="7">
        <f>Procurement_Raw!N901</f>
        <v>8135.33</v>
      </c>
      <c r="O901" s="7">
        <f t="shared" si="28"/>
        <v>8135.33</v>
      </c>
      <c r="P901" t="str">
        <f>IFERROR(INDEX(Supplier_Lookup!$B$2:$B$200,MATCH(E901,Supplier_Lookup!$A$2:$A$200,0)),"Unmapped")</f>
        <v>Utilities</v>
      </c>
      <c r="Q901" s="10">
        <f>IFERROR(INDEX(Category_Targets!$B$2:$B$9,MATCH(F901,Category_Targets!$A$2:$A$9,0)),0)</f>
        <v>0.03</v>
      </c>
      <c r="R901" s="7">
        <f t="shared" si="29"/>
        <v>244.0599</v>
      </c>
    </row>
    <row r="902" spans="1:18" x14ac:dyDescent="0.25">
      <c r="A902" s="5">
        <f>Procurement_Raw!A902</f>
        <v>45879</v>
      </c>
      <c r="B902" t="str">
        <f>Procurement_Raw!B902</f>
        <v>S009</v>
      </c>
      <c r="C902" t="str">
        <f>Procurement_Raw!C902</f>
        <v>Derby Care &amp; Education Centre</v>
      </c>
      <c r="D902" t="str">
        <f>Procurement_Raw!D902</f>
        <v>Midlands</v>
      </c>
      <c r="E902" t="str">
        <f>Procurement_Raw!E902</f>
        <v>FreshServe</v>
      </c>
      <c r="F902" t="str">
        <f>Procurement_Raw!F902</f>
        <v>Food &amp; Catering</v>
      </c>
      <c r="G902" t="str">
        <f>Procurement_Raw!G902</f>
        <v>INV-2025-00901</v>
      </c>
      <c r="H902" s="6">
        <f>Procurement_Raw!H902</f>
        <v>38</v>
      </c>
      <c r="I902" s="7">
        <f>Procurement_Raw!I902</f>
        <v>79.61</v>
      </c>
      <c r="J902" s="7">
        <f>Procurement_Raw!J902</f>
        <v>3025.23</v>
      </c>
      <c r="K902" s="6">
        <f>Procurement_Raw!K902</f>
        <v>45</v>
      </c>
      <c r="L902" t="str">
        <f>Procurement_Raw!L902</f>
        <v>ERP</v>
      </c>
      <c r="M902" s="8">
        <f>Procurement_Raw!M902</f>
        <v>605.04600000000005</v>
      </c>
      <c r="N902" s="7">
        <f>Procurement_Raw!N902</f>
        <v>3025.23</v>
      </c>
      <c r="O902" s="7">
        <f t="shared" si="28"/>
        <v>3025.23</v>
      </c>
      <c r="P902" t="str">
        <f>IFERROR(INDEX(Supplier_Lookup!$B$2:$B$200,MATCH(E902,Supplier_Lookup!$A$2:$A$200,0)),"Unmapped")</f>
        <v>Food &amp; Catering</v>
      </c>
      <c r="Q902" s="10">
        <f>IFERROR(INDEX(Category_Targets!$B$2:$B$9,MATCH(F902,Category_Targets!$A$2:$A$9,0)),0)</f>
        <v>0.04</v>
      </c>
      <c r="R902" s="7">
        <f t="shared" si="29"/>
        <v>121.00920000000001</v>
      </c>
    </row>
    <row r="903" spans="1:18" x14ac:dyDescent="0.25">
      <c r="A903" s="5">
        <f>Procurement_Raw!A903</f>
        <v>45901</v>
      </c>
      <c r="B903">
        <f>Procurement_Raw!B903</f>
        <v>0</v>
      </c>
      <c r="C903" t="str">
        <f>Procurement_Raw!C903</f>
        <v>Preston Care &amp; Education Centre</v>
      </c>
      <c r="D903" t="str">
        <f>Procurement_Raw!D903</f>
        <v>North</v>
      </c>
      <c r="E903" t="str">
        <f>Procurement_Raw!E903</f>
        <v>FleetFuel</v>
      </c>
      <c r="F903" t="str">
        <f>Procurement_Raw!F903</f>
        <v>Vehicle &amp; Fuel</v>
      </c>
      <c r="G903" t="str">
        <f>Procurement_Raw!G903</f>
        <v>INV-2025-00902</v>
      </c>
      <c r="H903" s="6">
        <f>Procurement_Raw!H903</f>
        <v>74</v>
      </c>
      <c r="I903" s="7">
        <f>Procurement_Raw!I903</f>
        <v>76.52</v>
      </c>
      <c r="J903" s="7">
        <f>Procurement_Raw!J903</f>
        <v>5662.41</v>
      </c>
      <c r="K903" s="6">
        <f>Procurement_Raw!K903</f>
        <v>60</v>
      </c>
      <c r="L903" t="str">
        <f>Procurement_Raw!L903</f>
        <v>ERP</v>
      </c>
      <c r="M903" s="8">
        <f>Procurement_Raw!M903</f>
        <v>1132.482</v>
      </c>
      <c r="N903" s="7">
        <f>Procurement_Raw!N903</f>
        <v>5662.41</v>
      </c>
      <c r="O903" s="7">
        <f t="shared" si="28"/>
        <v>5662.41</v>
      </c>
      <c r="P903" t="str">
        <f>IFERROR(INDEX(Supplier_Lookup!$B$2:$B$200,MATCH(E903,Supplier_Lookup!$A$2:$A$200,0)),"Unmapped")</f>
        <v>Vehicle &amp; Fuel</v>
      </c>
      <c r="Q903" s="10">
        <f>IFERROR(INDEX(Category_Targets!$B$2:$B$9,MATCH(F903,Category_Targets!$A$2:$A$9,0)),0)</f>
        <v>0.05</v>
      </c>
      <c r="R903" s="7">
        <f t="shared" si="29"/>
        <v>283.12049999999999</v>
      </c>
    </row>
    <row r="904" spans="1:18" x14ac:dyDescent="0.25">
      <c r="A904" s="5">
        <f>Procurement_Raw!A904</f>
        <v>45701</v>
      </c>
      <c r="B904" t="str">
        <f>Procurement_Raw!B904</f>
        <v>S005</v>
      </c>
      <c r="C904" t="str">
        <f>Procurement_Raw!C904</f>
        <v>Sheffield Care &amp; Education Centre</v>
      </c>
      <c r="D904" t="str">
        <f>Procurement_Raw!D904</f>
        <v>North</v>
      </c>
      <c r="E904" t="str">
        <f>Procurement_Raw!E904</f>
        <v>CareTemps</v>
      </c>
      <c r="F904" t="str">
        <f>Procurement_Raw!F904</f>
        <v>Agency Labour</v>
      </c>
      <c r="G904" t="str">
        <f>Procurement_Raw!G904</f>
        <v>INV-2025-00903</v>
      </c>
      <c r="H904" s="6">
        <f>Procurement_Raw!H904</f>
        <v>52</v>
      </c>
      <c r="I904" s="7">
        <f>Procurement_Raw!I904</f>
        <v>304.77999999999997</v>
      </c>
      <c r="J904" s="7">
        <f>Procurement_Raw!J904</f>
        <v>15848.59</v>
      </c>
      <c r="K904" s="6">
        <f>Procurement_Raw!K904</f>
        <v>60</v>
      </c>
      <c r="L904" t="str">
        <f>Procurement_Raw!L904</f>
        <v>Procurement Portal</v>
      </c>
      <c r="M904" s="8">
        <f>Procurement_Raw!M904</f>
        <v>3169.7179999999998</v>
      </c>
      <c r="N904" s="7">
        <f>Procurement_Raw!N904</f>
        <v>15848.59</v>
      </c>
      <c r="O904" s="7">
        <f t="shared" si="28"/>
        <v>15848.59</v>
      </c>
      <c r="P904" t="str">
        <f>IFERROR(INDEX(Supplier_Lookup!$B$2:$B$200,MATCH(E904,Supplier_Lookup!$A$2:$A$200,0)),"Unmapped")</f>
        <v>Agency Labour</v>
      </c>
      <c r="Q904" s="10">
        <f>IFERROR(INDEX(Category_Targets!$B$2:$B$9,MATCH(F904,Category_Targets!$A$2:$A$9,0)),0)</f>
        <v>7.0000000000000007E-2</v>
      </c>
      <c r="R904" s="7">
        <f t="shared" si="29"/>
        <v>1109.4013000000002</v>
      </c>
    </row>
    <row r="905" spans="1:18" x14ac:dyDescent="0.25">
      <c r="A905" s="5">
        <f>Procurement_Raw!A905</f>
        <v>45904</v>
      </c>
      <c r="B905" t="str">
        <f>Procurement_Raw!B905</f>
        <v>S016</v>
      </c>
      <c r="C905" t="str">
        <f>Procurement_Raw!C905</f>
        <v>Cardiff Care &amp; Education Centre</v>
      </c>
      <c r="D905" t="str">
        <f>Procurement_Raw!D905</f>
        <v>Wales</v>
      </c>
      <c r="E905" t="str">
        <f>Procurement_Raw!E905</f>
        <v>CleanWorks</v>
      </c>
      <c r="F905" t="str">
        <f>Procurement_Raw!F905</f>
        <v>Facilities</v>
      </c>
      <c r="G905" t="str">
        <f>Procurement_Raw!G905</f>
        <v>INV-2025-00904</v>
      </c>
      <c r="H905" s="6">
        <f>Procurement_Raw!H905</f>
        <v>72</v>
      </c>
      <c r="I905" s="7">
        <f>Procurement_Raw!I905</f>
        <v>363.62</v>
      </c>
      <c r="J905" s="7">
        <f>Procurement_Raw!J905</f>
        <v>26180.54</v>
      </c>
      <c r="K905" s="6">
        <f>Procurement_Raw!K905</f>
        <v>30</v>
      </c>
      <c r="L905" t="str">
        <f>Procurement_Raw!L905</f>
        <v>Procurement Portal</v>
      </c>
      <c r="M905" s="8">
        <f>Procurement_Raw!M905</f>
        <v>5236.1080000000002</v>
      </c>
      <c r="N905" s="7">
        <f>Procurement_Raw!N905</f>
        <v>26180.54</v>
      </c>
      <c r="O905" s="7">
        <f t="shared" si="28"/>
        <v>26180.54</v>
      </c>
      <c r="P905" t="str">
        <f>IFERROR(INDEX(Supplier_Lookup!$B$2:$B$200,MATCH(E905,Supplier_Lookup!$A$2:$A$200,0)),"Unmapped")</f>
        <v>Facilities</v>
      </c>
      <c r="Q905" s="10">
        <f>IFERROR(INDEX(Category_Targets!$B$2:$B$9,MATCH(F905,Category_Targets!$A$2:$A$9,0)),0)</f>
        <v>0.05</v>
      </c>
      <c r="R905" s="7">
        <f t="shared" si="29"/>
        <v>1309.027</v>
      </c>
    </row>
    <row r="906" spans="1:18" x14ac:dyDescent="0.25">
      <c r="A906" s="5">
        <f>Procurement_Raw!A906</f>
        <v>45973</v>
      </c>
      <c r="B906" t="str">
        <f>Procurement_Raw!B906</f>
        <v>S009</v>
      </c>
      <c r="C906" t="str">
        <f>Procurement_Raw!C906</f>
        <v>Derby Care &amp; Education Centre</v>
      </c>
      <c r="D906" t="str">
        <f>Procurement_Raw!D906</f>
        <v>Midlands</v>
      </c>
      <c r="E906" t="str">
        <f>Procurement_Raw!E906</f>
        <v>PowerDirect</v>
      </c>
      <c r="F906" t="str">
        <f>Procurement_Raw!F906</f>
        <v>Utilities</v>
      </c>
      <c r="G906" t="str">
        <f>Procurement_Raw!G906</f>
        <v>INV-2025-00905</v>
      </c>
      <c r="H906" s="6">
        <f>Procurement_Raw!H906</f>
        <v>68</v>
      </c>
      <c r="I906" s="7">
        <f>Procurement_Raw!I906</f>
        <v>277.70999999999998</v>
      </c>
      <c r="J906" s="7">
        <f>Procurement_Raw!J906</f>
        <v>18884.05</v>
      </c>
      <c r="K906" s="6">
        <f>Procurement_Raw!K906</f>
        <v>30</v>
      </c>
      <c r="L906" t="str">
        <f>Procurement_Raw!L906</f>
        <v>ERP</v>
      </c>
      <c r="M906" s="8">
        <f>Procurement_Raw!M906</f>
        <v>3776.81</v>
      </c>
      <c r="N906" s="7">
        <f>Procurement_Raw!N906</f>
        <v>18884.05</v>
      </c>
      <c r="O906" s="7">
        <f t="shared" si="28"/>
        <v>18884.05</v>
      </c>
      <c r="P906" t="str">
        <f>IFERROR(INDEX(Supplier_Lookup!$B$2:$B$200,MATCH(E906,Supplier_Lookup!$A$2:$A$200,0)),"Unmapped")</f>
        <v>Utilities</v>
      </c>
      <c r="Q906" s="10">
        <f>IFERROR(INDEX(Category_Targets!$B$2:$B$9,MATCH(F906,Category_Targets!$A$2:$A$9,0)),0)</f>
        <v>0.03</v>
      </c>
      <c r="R906" s="7">
        <f t="shared" si="29"/>
        <v>566.52149999999995</v>
      </c>
    </row>
    <row r="907" spans="1:18" x14ac:dyDescent="0.25">
      <c r="A907" s="5">
        <f>Procurement_Raw!A907</f>
        <v>45823</v>
      </c>
      <c r="B907" t="str">
        <f>Procurement_Raw!B907</f>
        <v>S011</v>
      </c>
      <c r="C907" t="str">
        <f>Procurement_Raw!C907</f>
        <v>London Care &amp; Education Centre</v>
      </c>
      <c r="D907" t="str">
        <f>Procurement_Raw!D907</f>
        <v>South</v>
      </c>
      <c r="E907" t="str">
        <f>Procurement_Raw!E907</f>
        <v>TeleCare IT</v>
      </c>
      <c r="F907" t="str">
        <f>Procurement_Raw!F907</f>
        <v>IT &amp; Telecoms</v>
      </c>
      <c r="G907" t="str">
        <f>Procurement_Raw!G907</f>
        <v>INV-2025-00906</v>
      </c>
      <c r="H907" s="6">
        <f>Procurement_Raw!H907</f>
        <v>74</v>
      </c>
      <c r="I907" s="7">
        <f>Procurement_Raw!I907</f>
        <v>225.69</v>
      </c>
      <c r="J907" s="7">
        <f>Procurement_Raw!J907</f>
        <v>16701.150000000001</v>
      </c>
      <c r="K907" s="6">
        <f>Procurement_Raw!K907</f>
        <v>30</v>
      </c>
      <c r="L907" t="str">
        <f>Procurement_Raw!L907</f>
        <v>ERP</v>
      </c>
      <c r="M907" s="8">
        <f>Procurement_Raw!M907</f>
        <v>3340.23</v>
      </c>
      <c r="N907" s="7">
        <f>Procurement_Raw!N907</f>
        <v>16701.150000000001</v>
      </c>
      <c r="O907" s="7">
        <f t="shared" si="28"/>
        <v>16701.150000000001</v>
      </c>
      <c r="P907" t="str">
        <f>IFERROR(INDEX(Supplier_Lookup!$B$2:$B$200,MATCH(E907,Supplier_Lookup!$A$2:$A$200,0)),"Unmapped")</f>
        <v>IT &amp; Telecoms</v>
      </c>
      <c r="Q907" s="10">
        <f>IFERROR(INDEX(Category_Targets!$B$2:$B$9,MATCH(F907,Category_Targets!$A$2:$A$9,0)),0)</f>
        <v>0.08</v>
      </c>
      <c r="R907" s="7">
        <f t="shared" si="29"/>
        <v>1336.0920000000001</v>
      </c>
    </row>
    <row r="908" spans="1:18" x14ac:dyDescent="0.25">
      <c r="A908" s="5">
        <f>Procurement_Raw!A908</f>
        <v>45845</v>
      </c>
      <c r="B908" t="str">
        <f>Procurement_Raw!B908</f>
        <v>S010</v>
      </c>
      <c r="C908" t="str">
        <f>Procurement_Raw!C908</f>
        <v>Coventry Care &amp; Education Centre</v>
      </c>
      <c r="D908" t="str">
        <f>Procurement_Raw!D908</f>
        <v>Midlands</v>
      </c>
      <c r="E908" t="str">
        <f>Procurement_Raw!E908</f>
        <v>CareTemps</v>
      </c>
      <c r="F908" t="str">
        <f>Procurement_Raw!F908</f>
        <v>Agency Labour</v>
      </c>
      <c r="G908" t="str">
        <f>Procurement_Raw!G908</f>
        <v>INV-2025-00907</v>
      </c>
      <c r="H908" s="6">
        <f>Procurement_Raw!H908</f>
        <v>45</v>
      </c>
      <c r="I908" s="7">
        <f>Procurement_Raw!I908</f>
        <v>142</v>
      </c>
      <c r="J908" s="7">
        <f>Procurement_Raw!J908</f>
        <v>6390.22</v>
      </c>
      <c r="K908" s="6">
        <f>Procurement_Raw!K908</f>
        <v>30</v>
      </c>
      <c r="L908" t="str">
        <f>Procurement_Raw!L908</f>
        <v>Procurement Portal</v>
      </c>
      <c r="M908" s="8">
        <f>Procurement_Raw!M908</f>
        <v>1278.0440000000001</v>
      </c>
      <c r="N908" s="7">
        <f>Procurement_Raw!N908</f>
        <v>6390.22</v>
      </c>
      <c r="O908" s="7">
        <f t="shared" si="28"/>
        <v>6390.22</v>
      </c>
      <c r="P908" t="str">
        <f>IFERROR(INDEX(Supplier_Lookup!$B$2:$B$200,MATCH(E908,Supplier_Lookup!$A$2:$A$200,0)),"Unmapped")</f>
        <v>Agency Labour</v>
      </c>
      <c r="Q908" s="10">
        <f>IFERROR(INDEX(Category_Targets!$B$2:$B$9,MATCH(F908,Category_Targets!$A$2:$A$9,0)),0)</f>
        <v>7.0000000000000007E-2</v>
      </c>
      <c r="R908" s="7">
        <f t="shared" si="29"/>
        <v>447.31540000000007</v>
      </c>
    </row>
    <row r="909" spans="1:18" x14ac:dyDescent="0.25">
      <c r="A909" s="5">
        <f>Procurement_Raw!A909</f>
        <v>45744</v>
      </c>
      <c r="B909" t="str">
        <f>Procurement_Raw!B909</f>
        <v>S008</v>
      </c>
      <c r="C909" t="str">
        <f>Procurement_Raw!C909</f>
        <v>Leicester Care &amp; Education Centre</v>
      </c>
      <c r="D909" t="str">
        <f>Procurement_Raw!D909</f>
        <v>Midlands</v>
      </c>
      <c r="E909" t="str">
        <f>Procurement_Raw!E909</f>
        <v>CareMed</v>
      </c>
      <c r="F909" t="str">
        <f>Procurement_Raw!F909</f>
        <v>Medical Supplies</v>
      </c>
      <c r="G909" t="str">
        <f>Procurement_Raw!G909</f>
        <v>INV-2025-00908</v>
      </c>
      <c r="H909" s="6">
        <f>Procurement_Raw!H909</f>
        <v>45</v>
      </c>
      <c r="I909" s="7">
        <f>Procurement_Raw!I909</f>
        <v>180.9</v>
      </c>
      <c r="J909" s="7">
        <f>Procurement_Raw!J909</f>
        <v>8140.39</v>
      </c>
      <c r="K909" s="6">
        <f>Procurement_Raw!K909</f>
        <v>60</v>
      </c>
      <c r="L909" t="str">
        <f>Procurement_Raw!L909</f>
        <v>Procurement Portal</v>
      </c>
      <c r="M909" s="8">
        <f>Procurement_Raw!M909</f>
        <v>1628.078</v>
      </c>
      <c r="N909" s="7">
        <f>Procurement_Raw!N909</f>
        <v>8140.39</v>
      </c>
      <c r="O909" s="7">
        <f t="shared" si="28"/>
        <v>8140.39</v>
      </c>
      <c r="P909" t="str">
        <f>IFERROR(INDEX(Supplier_Lookup!$B$2:$B$200,MATCH(E909,Supplier_Lookup!$A$2:$A$200,0)),"Unmapped")</f>
        <v>Medical Supplies</v>
      </c>
      <c r="Q909" s="10">
        <f>IFERROR(INDEX(Category_Targets!$B$2:$B$9,MATCH(F909,Category_Targets!$A$2:$A$9,0)),0)</f>
        <v>0.06</v>
      </c>
      <c r="R909" s="7">
        <f t="shared" si="29"/>
        <v>488.42340000000002</v>
      </c>
    </row>
    <row r="910" spans="1:18" x14ac:dyDescent="0.25">
      <c r="A910" s="5">
        <f>Procurement_Raw!A910</f>
        <v>45680</v>
      </c>
      <c r="B910" t="str">
        <f>Procurement_Raw!B910</f>
        <v>S016</v>
      </c>
      <c r="C910" t="str">
        <f>Procurement_Raw!C910</f>
        <v>Cardiff Care &amp; Education Centre</v>
      </c>
      <c r="D910" t="str">
        <f>Procurement_Raw!D910</f>
        <v>Wales</v>
      </c>
      <c r="E910" t="str">
        <f>Procurement_Raw!E910</f>
        <v>SafeGuard FM</v>
      </c>
      <c r="F910" t="str">
        <f>Procurement_Raw!F910</f>
        <v>Facilities</v>
      </c>
      <c r="G910" t="str">
        <f>Procurement_Raw!G910</f>
        <v>INV-2025-00909</v>
      </c>
      <c r="H910" s="6">
        <f>Procurement_Raw!H910</f>
        <v>30</v>
      </c>
      <c r="I910" s="7">
        <f>Procurement_Raw!I910</f>
        <v>256.72000000000003</v>
      </c>
      <c r="J910" s="7">
        <f>Procurement_Raw!J910</f>
        <v>7701.5</v>
      </c>
      <c r="K910" s="6">
        <f>Procurement_Raw!K910</f>
        <v>30</v>
      </c>
      <c r="L910" t="str">
        <f>Procurement_Raw!L910</f>
        <v>Legacy Spend File</v>
      </c>
      <c r="M910" s="8">
        <f>Procurement_Raw!M910</f>
        <v>1540.3</v>
      </c>
      <c r="N910" s="7">
        <f>Procurement_Raw!N910</f>
        <v>7701.5</v>
      </c>
      <c r="O910" s="7">
        <f t="shared" si="28"/>
        <v>7701.5</v>
      </c>
      <c r="P910" t="str">
        <f>IFERROR(INDEX(Supplier_Lookup!$B$2:$B$200,MATCH(E910,Supplier_Lookup!$A$2:$A$200,0)),"Unmapped")</f>
        <v>Facilities</v>
      </c>
      <c r="Q910" s="10">
        <f>IFERROR(INDEX(Category_Targets!$B$2:$B$9,MATCH(F910,Category_Targets!$A$2:$A$9,0)),0)</f>
        <v>0.05</v>
      </c>
      <c r="R910" s="7">
        <f t="shared" si="29"/>
        <v>385.07500000000005</v>
      </c>
    </row>
    <row r="911" spans="1:18" x14ac:dyDescent="0.25">
      <c r="A911" s="5">
        <f>Procurement_Raw!A911</f>
        <v>45701</v>
      </c>
      <c r="B911" t="str">
        <f>Procurement_Raw!B911</f>
        <v>S001</v>
      </c>
      <c r="C911" t="str">
        <f>Procurement_Raw!C911</f>
        <v>Preston Care &amp; Education Centre</v>
      </c>
      <c r="D911" t="str">
        <f>Procurement_Raw!D911</f>
        <v>North</v>
      </c>
      <c r="E911" t="str">
        <f>Procurement_Raw!E911</f>
        <v>BuildCare</v>
      </c>
      <c r="F911" t="str">
        <f>Procurement_Raw!F911</f>
        <v>Facilities</v>
      </c>
      <c r="G911" t="str">
        <f>Procurement_Raw!G911</f>
        <v>INV-2025-00910</v>
      </c>
      <c r="H911" s="6">
        <f>Procurement_Raw!H911</f>
        <v>15</v>
      </c>
      <c r="I911" s="7">
        <f>Procurement_Raw!I911</f>
        <v>591.54999999999995</v>
      </c>
      <c r="J911" s="7">
        <f>Procurement_Raw!J911</f>
        <v>8873.26</v>
      </c>
      <c r="K911" s="6">
        <f>Procurement_Raw!K911</f>
        <v>60</v>
      </c>
      <c r="L911" t="str">
        <f>Procurement_Raw!L911</f>
        <v>ERP</v>
      </c>
      <c r="M911" s="8">
        <f>Procurement_Raw!M911</f>
        <v>1774.652</v>
      </c>
      <c r="N911" s="7">
        <f>Procurement_Raw!N911</f>
        <v>8873.26</v>
      </c>
      <c r="O911" s="7">
        <f t="shared" si="28"/>
        <v>8873.26</v>
      </c>
      <c r="P911" t="str">
        <f>IFERROR(INDEX(Supplier_Lookup!$B$2:$B$200,MATCH(E911,Supplier_Lookup!$A$2:$A$200,0)),"Unmapped")</f>
        <v>Facilities</v>
      </c>
      <c r="Q911" s="10">
        <f>IFERROR(INDEX(Category_Targets!$B$2:$B$9,MATCH(F911,Category_Targets!$A$2:$A$9,0)),0)</f>
        <v>0.05</v>
      </c>
      <c r="R911" s="7">
        <f t="shared" si="29"/>
        <v>443.66300000000001</v>
      </c>
    </row>
    <row r="912" spans="1:18" x14ac:dyDescent="0.25">
      <c r="A912" s="5">
        <f>Procurement_Raw!A912</f>
        <v>45665</v>
      </c>
      <c r="B912" t="str">
        <f>Procurement_Raw!B912</f>
        <v>S015</v>
      </c>
      <c r="C912" t="str">
        <f>Procurement_Raw!C912</f>
        <v>Brighton Care &amp; Education Centre</v>
      </c>
      <c r="D912" t="str">
        <f>Procurement_Raw!D912</f>
        <v>South</v>
      </c>
      <c r="E912" t="str">
        <f>Procurement_Raw!E912</f>
        <v>SafeGuard FM</v>
      </c>
      <c r="F912" t="str">
        <f>Procurement_Raw!F912</f>
        <v>Facilities</v>
      </c>
      <c r="G912" t="str">
        <f>Procurement_Raw!G912</f>
        <v>INV-2025-00911</v>
      </c>
      <c r="H912" s="6">
        <f>Procurement_Raw!H912</f>
        <v>44</v>
      </c>
      <c r="I912" s="7">
        <f>Procurement_Raw!I912</f>
        <v>151.97</v>
      </c>
      <c r="J912" s="7">
        <f>Procurement_Raw!J912</f>
        <v>6686.65</v>
      </c>
      <c r="K912" s="6">
        <f>Procurement_Raw!K912</f>
        <v>60</v>
      </c>
      <c r="L912" t="str">
        <f>Procurement_Raw!L912</f>
        <v>ERP</v>
      </c>
      <c r="M912" s="8">
        <f>Procurement_Raw!M912</f>
        <v>1337.33</v>
      </c>
      <c r="N912" s="7">
        <f>Procurement_Raw!N912</f>
        <v>6686.65</v>
      </c>
      <c r="O912" s="7">
        <f t="shared" si="28"/>
        <v>6686.65</v>
      </c>
      <c r="P912" t="str">
        <f>IFERROR(INDEX(Supplier_Lookup!$B$2:$B$200,MATCH(E912,Supplier_Lookup!$A$2:$A$200,0)),"Unmapped")</f>
        <v>Facilities</v>
      </c>
      <c r="Q912" s="10">
        <f>IFERROR(INDEX(Category_Targets!$B$2:$B$9,MATCH(F912,Category_Targets!$A$2:$A$9,0)),0)</f>
        <v>0.05</v>
      </c>
      <c r="R912" s="7">
        <f t="shared" si="29"/>
        <v>334.33249999999998</v>
      </c>
    </row>
    <row r="913" spans="1:18" x14ac:dyDescent="0.25">
      <c r="A913" s="5">
        <f>Procurement_Raw!A913</f>
        <v>45669</v>
      </c>
      <c r="B913" t="str">
        <f>Procurement_Raw!B913</f>
        <v>S019</v>
      </c>
      <c r="C913" t="str">
        <f>Procurement_Raw!C913</f>
        <v>Wrexham Care &amp; Education Centre</v>
      </c>
      <c r="D913" t="str">
        <f>Procurement_Raw!D913</f>
        <v>Wales</v>
      </c>
      <c r="E913" t="str">
        <f>Procurement_Raw!E913</f>
        <v>LearnWell</v>
      </c>
      <c r="F913" t="str">
        <f>Procurement_Raw!F913</f>
        <v>Office &amp; Training</v>
      </c>
      <c r="G913" t="str">
        <f>Procurement_Raw!G913</f>
        <v>INV-2025-00912</v>
      </c>
      <c r="H913" s="6">
        <f>Procurement_Raw!H913</f>
        <v>43</v>
      </c>
      <c r="I913" s="7">
        <f>Procurement_Raw!I913</f>
        <v>84.61</v>
      </c>
      <c r="J913" s="7">
        <f>Procurement_Raw!J913</f>
        <v>3638.11</v>
      </c>
      <c r="K913" s="6">
        <f>Procurement_Raw!K913</f>
        <v>30</v>
      </c>
      <c r="L913" t="str">
        <f>Procurement_Raw!L913</f>
        <v>Legacy Spend File</v>
      </c>
      <c r="M913" s="8">
        <f>Procurement_Raw!M913</f>
        <v>727.62199999999996</v>
      </c>
      <c r="N913" s="7">
        <f>Procurement_Raw!N913</f>
        <v>3638.11</v>
      </c>
      <c r="O913" s="7">
        <f t="shared" si="28"/>
        <v>3638.11</v>
      </c>
      <c r="P913" t="str">
        <f>IFERROR(INDEX(Supplier_Lookup!$B$2:$B$200,MATCH(E913,Supplier_Lookup!$A$2:$A$200,0)),"Unmapped")</f>
        <v>Office &amp; Training</v>
      </c>
      <c r="Q913" s="10">
        <f>IFERROR(INDEX(Category_Targets!$B$2:$B$9,MATCH(F913,Category_Targets!$A$2:$A$9,0)),0)</f>
        <v>0.04</v>
      </c>
      <c r="R913" s="7">
        <f t="shared" si="29"/>
        <v>145.52440000000001</v>
      </c>
    </row>
    <row r="914" spans="1:18" x14ac:dyDescent="0.25">
      <c r="A914" s="5">
        <f>Procurement_Raw!A914</f>
        <v>45937</v>
      </c>
      <c r="B914" t="str">
        <f>Procurement_Raw!B914</f>
        <v>S015</v>
      </c>
      <c r="C914" t="str">
        <f>Procurement_Raw!C914</f>
        <v>Brighton Care &amp; Education Centre</v>
      </c>
      <c r="D914" t="str">
        <f>Procurement_Raw!D914</f>
        <v>South</v>
      </c>
      <c r="E914" t="str">
        <f>Procurement_Raw!E914</f>
        <v>UK Energy Partners</v>
      </c>
      <c r="F914" t="str">
        <f>Procurement_Raw!F914</f>
        <v>Utilities</v>
      </c>
      <c r="G914" t="str">
        <f>Procurement_Raw!G914</f>
        <v>INV-2025-00913</v>
      </c>
      <c r="H914" s="6">
        <f>Procurement_Raw!H914</f>
        <v>67</v>
      </c>
      <c r="I914" s="7">
        <f>Procurement_Raw!I914</f>
        <v>286.75</v>
      </c>
      <c r="J914" s="7">
        <f>Procurement_Raw!J914</f>
        <v>19212.46</v>
      </c>
      <c r="K914" s="6">
        <f>Procurement_Raw!K914</f>
        <v>45</v>
      </c>
      <c r="L914" t="str">
        <f>Procurement_Raw!L914</f>
        <v>Legacy Spend File</v>
      </c>
      <c r="M914" s="8">
        <f>Procurement_Raw!M914</f>
        <v>3842.4920000000002</v>
      </c>
      <c r="N914" s="7">
        <f>Procurement_Raw!N914</f>
        <v>19212.46</v>
      </c>
      <c r="O914" s="7">
        <f t="shared" si="28"/>
        <v>19212.46</v>
      </c>
      <c r="P914" t="str">
        <f>IFERROR(INDEX(Supplier_Lookup!$B$2:$B$200,MATCH(E914,Supplier_Lookup!$A$2:$A$200,0)),"Unmapped")</f>
        <v>Utilities</v>
      </c>
      <c r="Q914" s="10">
        <f>IFERROR(INDEX(Category_Targets!$B$2:$B$9,MATCH(F914,Category_Targets!$A$2:$A$9,0)),0)</f>
        <v>0.03</v>
      </c>
      <c r="R914" s="7">
        <f t="shared" si="29"/>
        <v>576.37379999999996</v>
      </c>
    </row>
    <row r="915" spans="1:18" x14ac:dyDescent="0.25">
      <c r="A915" s="5">
        <f>Procurement_Raw!A915</f>
        <v>46015</v>
      </c>
      <c r="B915" t="str">
        <f>Procurement_Raw!B915</f>
        <v>S013</v>
      </c>
      <c r="C915" t="str">
        <f>Procurement_Raw!C915</f>
        <v>Reading Care &amp; Education Centre</v>
      </c>
      <c r="D915" t="str">
        <f>Procurement_Raw!D915</f>
        <v>South</v>
      </c>
      <c r="E915" t="str">
        <f>Procurement_Raw!E915</f>
        <v>BuildCare</v>
      </c>
      <c r="F915" t="str">
        <f>Procurement_Raw!F915</f>
        <v>Facilities</v>
      </c>
      <c r="G915" t="str">
        <f>Procurement_Raw!G915</f>
        <v>INV-2025-00914</v>
      </c>
      <c r="H915" s="6">
        <f>Procurement_Raw!H915</f>
        <v>3</v>
      </c>
      <c r="I915" s="7">
        <f>Procurement_Raw!I915</f>
        <v>428.61</v>
      </c>
      <c r="J915" s="7">
        <f>Procurement_Raw!J915</f>
        <v>1285.8399999999999</v>
      </c>
      <c r="K915" s="6">
        <f>Procurement_Raw!K915</f>
        <v>45</v>
      </c>
      <c r="L915" t="str">
        <f>Procurement_Raw!L915</f>
        <v>Legacy Spend File</v>
      </c>
      <c r="M915" s="8">
        <f>Procurement_Raw!M915</f>
        <v>257.16800000000001</v>
      </c>
      <c r="N915" s="7">
        <f>Procurement_Raw!N915</f>
        <v>1285.8399999999999</v>
      </c>
      <c r="O915" s="7">
        <f t="shared" si="28"/>
        <v>1285.8399999999999</v>
      </c>
      <c r="P915" t="str">
        <f>IFERROR(INDEX(Supplier_Lookup!$B$2:$B$200,MATCH(E915,Supplier_Lookup!$A$2:$A$200,0)),"Unmapped")</f>
        <v>Facilities</v>
      </c>
      <c r="Q915" s="10">
        <f>IFERROR(INDEX(Category_Targets!$B$2:$B$9,MATCH(F915,Category_Targets!$A$2:$A$9,0)),0)</f>
        <v>0.05</v>
      </c>
      <c r="R915" s="7">
        <f t="shared" si="29"/>
        <v>64.292000000000002</v>
      </c>
    </row>
    <row r="916" spans="1:18" x14ac:dyDescent="0.25">
      <c r="A916" s="5">
        <f>Procurement_Raw!A916</f>
        <v>45745</v>
      </c>
      <c r="B916" t="str">
        <f>Procurement_Raw!B916</f>
        <v>S020</v>
      </c>
      <c r="C916" t="str">
        <f>Procurement_Raw!C916</f>
        <v>Bangor Care &amp; Education Centre</v>
      </c>
      <c r="D916" t="str">
        <f>Procurement_Raw!D916</f>
        <v>Wales</v>
      </c>
      <c r="E916" t="str">
        <f>Procurement_Raw!E916</f>
        <v>CareMed</v>
      </c>
      <c r="F916" t="str">
        <f>Procurement_Raw!F916</f>
        <v>Medical Supplies</v>
      </c>
      <c r="G916" t="str">
        <f>Procurement_Raw!G916</f>
        <v>INV-2025-00915</v>
      </c>
      <c r="H916" s="6">
        <f>Procurement_Raw!H916</f>
        <v>8</v>
      </c>
      <c r="I916" s="7">
        <f>Procurement_Raw!I916</f>
        <v>113.87</v>
      </c>
      <c r="J916" s="7">
        <f>Procurement_Raw!J916</f>
        <v>910.98</v>
      </c>
      <c r="K916" s="6">
        <f>Procurement_Raw!K916</f>
        <v>45</v>
      </c>
      <c r="L916" t="str">
        <f>Procurement_Raw!L916</f>
        <v>ERP</v>
      </c>
      <c r="M916" s="8">
        <f>Procurement_Raw!M916</f>
        <v>182.196</v>
      </c>
      <c r="N916" s="7">
        <f>Procurement_Raw!N916</f>
        <v>910.98</v>
      </c>
      <c r="O916" s="7">
        <f t="shared" si="28"/>
        <v>910.98</v>
      </c>
      <c r="P916" t="str">
        <f>IFERROR(INDEX(Supplier_Lookup!$B$2:$B$200,MATCH(E916,Supplier_Lookup!$A$2:$A$200,0)),"Unmapped")</f>
        <v>Medical Supplies</v>
      </c>
      <c r="Q916" s="10">
        <f>IFERROR(INDEX(Category_Targets!$B$2:$B$9,MATCH(F916,Category_Targets!$A$2:$A$9,0)),0)</f>
        <v>0.06</v>
      </c>
      <c r="R916" s="7">
        <f t="shared" si="29"/>
        <v>54.658799999999999</v>
      </c>
    </row>
    <row r="917" spans="1:18" x14ac:dyDescent="0.25">
      <c r="A917" s="5">
        <f>Procurement_Raw!A917</f>
        <v>45896</v>
      </c>
      <c r="B917" t="str">
        <f>Procurement_Raw!B917</f>
        <v>S019</v>
      </c>
      <c r="C917" t="str">
        <f>Procurement_Raw!C917</f>
        <v>Wrexham Care &amp; Education Centre</v>
      </c>
      <c r="D917" t="str">
        <f>Procurement_Raw!D917</f>
        <v>Wales</v>
      </c>
      <c r="E917" t="str">
        <f>Procurement_Raw!E917</f>
        <v>CloudLink</v>
      </c>
      <c r="F917" t="str">
        <f>Procurement_Raw!F917</f>
        <v>IT &amp; Telecoms</v>
      </c>
      <c r="G917" t="str">
        <f>Procurement_Raw!G917</f>
        <v>INV-2025-00916</v>
      </c>
      <c r="H917" s="6">
        <f>Procurement_Raw!H917</f>
        <v>2</v>
      </c>
      <c r="I917" s="7">
        <f>Procurement_Raw!I917</f>
        <v>256.49</v>
      </c>
      <c r="J917" s="7">
        <f>Procurement_Raw!J917</f>
        <v>512.98</v>
      </c>
      <c r="K917" s="6">
        <f>Procurement_Raw!K917</f>
        <v>30</v>
      </c>
      <c r="L917" t="str">
        <f>Procurement_Raw!L917</f>
        <v>Procurement Portal</v>
      </c>
      <c r="M917" s="8">
        <f>Procurement_Raw!M917</f>
        <v>102.596</v>
      </c>
      <c r="N917" s="7">
        <f>Procurement_Raw!N917</f>
        <v>512.98</v>
      </c>
      <c r="O917" s="7">
        <f t="shared" si="28"/>
        <v>512.98</v>
      </c>
      <c r="P917" t="str">
        <f>IFERROR(INDEX(Supplier_Lookup!$B$2:$B$200,MATCH(E917,Supplier_Lookup!$A$2:$A$200,0)),"Unmapped")</f>
        <v>medical supplies</v>
      </c>
      <c r="Q917" s="10">
        <f>IFERROR(INDEX(Category_Targets!$B$2:$B$9,MATCH(F917,Category_Targets!$A$2:$A$9,0)),0)</f>
        <v>0.08</v>
      </c>
      <c r="R917" s="7">
        <f t="shared" si="29"/>
        <v>41.038400000000003</v>
      </c>
    </row>
    <row r="918" spans="1:18" x14ac:dyDescent="0.25">
      <c r="A918" s="5">
        <f>Procurement_Raw!A918</f>
        <v>45995</v>
      </c>
      <c r="B918" t="str">
        <f>Procurement_Raw!B918</f>
        <v>S017</v>
      </c>
      <c r="C918" t="str">
        <f>Procurement_Raw!C918</f>
        <v>Swansea Care &amp; Education Centre</v>
      </c>
      <c r="D918" t="str">
        <f>Procurement_Raw!D918</f>
        <v>Wales</v>
      </c>
      <c r="E918" t="str">
        <f>Procurement_Raw!E918</f>
        <v>NetServe</v>
      </c>
      <c r="F918" t="str">
        <f>Procurement_Raw!F918</f>
        <v>IT &amp; Telecoms</v>
      </c>
      <c r="G918" t="str">
        <f>Procurement_Raw!G918</f>
        <v>INV-2025-00917</v>
      </c>
      <c r="H918" s="6">
        <f>Procurement_Raw!H918</f>
        <v>47</v>
      </c>
      <c r="I918" s="7">
        <f>Procurement_Raw!I918</f>
        <v>307.33999999999997</v>
      </c>
      <c r="J918" s="7">
        <f>Procurement_Raw!J918</f>
        <v>14445.21</v>
      </c>
      <c r="K918" s="6">
        <f>Procurement_Raw!K918</f>
        <v>30</v>
      </c>
      <c r="L918" t="str">
        <f>Procurement_Raw!L918</f>
        <v>ERP</v>
      </c>
      <c r="M918" s="8">
        <f>Procurement_Raw!M918</f>
        <v>2889.0419999999999</v>
      </c>
      <c r="N918" s="7">
        <f>Procurement_Raw!N918</f>
        <v>14445.21</v>
      </c>
      <c r="O918" s="7">
        <f t="shared" si="28"/>
        <v>14445.21</v>
      </c>
      <c r="P918" t="str">
        <f>IFERROR(INDEX(Supplier_Lookup!$B$2:$B$200,MATCH(E918,Supplier_Lookup!$A$2:$A$200,0)),"Unmapped")</f>
        <v>IT &amp; Telecoms</v>
      </c>
      <c r="Q918" s="10">
        <f>IFERROR(INDEX(Category_Targets!$B$2:$B$9,MATCH(F918,Category_Targets!$A$2:$A$9,0)),0)</f>
        <v>0.08</v>
      </c>
      <c r="R918" s="7">
        <f t="shared" si="29"/>
        <v>1155.6168</v>
      </c>
    </row>
    <row r="919" spans="1:18" x14ac:dyDescent="0.25">
      <c r="A919" s="5">
        <f>Procurement_Raw!A919</f>
        <v>45852</v>
      </c>
      <c r="B919" t="str">
        <f>Procurement_Raw!B919</f>
        <v>S004</v>
      </c>
      <c r="C919" t="str">
        <f>Procurement_Raw!C919</f>
        <v>Newcastle Care &amp; Education Centre</v>
      </c>
      <c r="D919" t="str">
        <f>Procurement_Raw!D919</f>
        <v>North</v>
      </c>
      <c r="E919" t="str">
        <f>Procurement_Raw!E919</f>
        <v>HealthStaffing</v>
      </c>
      <c r="F919" t="str">
        <f>Procurement_Raw!F919</f>
        <v>Agency Labour</v>
      </c>
      <c r="G919" t="str">
        <f>Procurement_Raw!G919</f>
        <v>INV-2025-00918</v>
      </c>
      <c r="H919" s="6">
        <f>Procurement_Raw!H919</f>
        <v>66</v>
      </c>
      <c r="I919" s="7">
        <f>Procurement_Raw!I919</f>
        <v>332.43</v>
      </c>
      <c r="J919" s="7">
        <f>Procurement_Raw!J919</f>
        <v>21940.12</v>
      </c>
      <c r="K919" s="6">
        <f>Procurement_Raw!K919</f>
        <v>60</v>
      </c>
      <c r="L919" t="str">
        <f>Procurement_Raw!L919</f>
        <v>ERP</v>
      </c>
      <c r="M919" s="8">
        <f>Procurement_Raw!M919</f>
        <v>4388.0240000000003</v>
      </c>
      <c r="N919" s="7">
        <f>Procurement_Raw!N919</f>
        <v>21940.12</v>
      </c>
      <c r="O919" s="7">
        <f t="shared" si="28"/>
        <v>21940.12</v>
      </c>
      <c r="P919" t="str">
        <f>IFERROR(INDEX(Supplier_Lookup!$B$2:$B$200,MATCH(E919,Supplier_Lookup!$A$2:$A$200,0)),"Unmapped")</f>
        <v>Agency Labour</v>
      </c>
      <c r="Q919" s="10">
        <f>IFERROR(INDEX(Category_Targets!$B$2:$B$9,MATCH(F919,Category_Targets!$A$2:$A$9,0)),0)</f>
        <v>7.0000000000000007E-2</v>
      </c>
      <c r="R919" s="7">
        <f t="shared" si="29"/>
        <v>1535.8084000000001</v>
      </c>
    </row>
    <row r="920" spans="1:18" x14ac:dyDescent="0.25">
      <c r="A920" s="5">
        <f>Procurement_Raw!A920</f>
        <v>45930</v>
      </c>
      <c r="B920" t="str">
        <f>Procurement_Raw!B920</f>
        <v>S007</v>
      </c>
      <c r="C920" t="str">
        <f>Procurement_Raw!C920</f>
        <v>Nottingham Care &amp; Education Centre</v>
      </c>
      <c r="D920" t="str">
        <f>Procurement_Raw!D920</f>
        <v>Midlands</v>
      </c>
      <c r="E920" t="str">
        <f>Procurement_Raw!E920</f>
        <v>PrintCo</v>
      </c>
      <c r="F920" t="str">
        <f>Procurement_Raw!F920</f>
        <v>Office &amp; Training</v>
      </c>
      <c r="G920" t="str">
        <f>Procurement_Raw!G920</f>
        <v>INV-2025-00919</v>
      </c>
      <c r="H920" s="6">
        <f>Procurement_Raw!H920</f>
        <v>12</v>
      </c>
      <c r="I920" s="7">
        <f>Procurement_Raw!I920</f>
        <v>58.67</v>
      </c>
      <c r="J920" s="7">
        <f>Procurement_Raw!J920</f>
        <v>704.05</v>
      </c>
      <c r="K920" s="6">
        <f>Procurement_Raw!K920</f>
        <v>30</v>
      </c>
      <c r="L920" t="str">
        <f>Procurement_Raw!L920</f>
        <v>ERP</v>
      </c>
      <c r="M920" s="8">
        <f>Procurement_Raw!M920</f>
        <v>140.81</v>
      </c>
      <c r="N920" s="7">
        <f>Procurement_Raw!N920</f>
        <v>704.05</v>
      </c>
      <c r="O920" s="7">
        <f t="shared" si="28"/>
        <v>704.05</v>
      </c>
      <c r="P920" t="str">
        <f>IFERROR(INDEX(Supplier_Lookup!$B$2:$B$200,MATCH(E920,Supplier_Lookup!$A$2:$A$200,0)),"Unmapped")</f>
        <v>Office &amp; Training</v>
      </c>
      <c r="Q920" s="10">
        <f>IFERROR(INDEX(Category_Targets!$B$2:$B$9,MATCH(F920,Category_Targets!$A$2:$A$9,0)),0)</f>
        <v>0.04</v>
      </c>
      <c r="R920" s="7">
        <f t="shared" si="29"/>
        <v>28.161999999999999</v>
      </c>
    </row>
    <row r="921" spans="1:18" x14ac:dyDescent="0.25">
      <c r="A921" s="5">
        <f>Procurement_Raw!A921</f>
        <v>46022</v>
      </c>
      <c r="B921" t="str">
        <f>Procurement_Raw!B921</f>
        <v>S008</v>
      </c>
      <c r="C921" t="str">
        <f>Procurement_Raw!C921</f>
        <v>Leicester Care &amp; Education Centre</v>
      </c>
      <c r="D921" t="str">
        <f>Procurement_Raw!D921</f>
        <v>Midlands</v>
      </c>
      <c r="E921" t="str">
        <f>Procurement_Raw!E921</f>
        <v>PrintCo</v>
      </c>
      <c r="F921" t="str">
        <f>Procurement_Raw!F921</f>
        <v>Office &amp; Training</v>
      </c>
      <c r="G921" t="str">
        <f>Procurement_Raw!G921</f>
        <v>INV-2025-00920</v>
      </c>
      <c r="H921" s="6">
        <f>Procurement_Raw!H921</f>
        <v>3</v>
      </c>
      <c r="I921" s="7">
        <f>Procurement_Raw!I921</f>
        <v>83.45</v>
      </c>
      <c r="J921" s="7">
        <f>Procurement_Raw!J921</f>
        <v>250.35</v>
      </c>
      <c r="K921" s="6">
        <f>Procurement_Raw!K921</f>
        <v>30</v>
      </c>
      <c r="L921" t="str">
        <f>Procurement_Raw!L921</f>
        <v>ERP</v>
      </c>
      <c r="M921" s="8">
        <f>Procurement_Raw!M921</f>
        <v>50.07</v>
      </c>
      <c r="N921" s="7">
        <f>Procurement_Raw!N921</f>
        <v>250.35</v>
      </c>
      <c r="O921" s="7">
        <f t="shared" si="28"/>
        <v>250.35</v>
      </c>
      <c r="P921" t="str">
        <f>IFERROR(INDEX(Supplier_Lookup!$B$2:$B$200,MATCH(E921,Supplier_Lookup!$A$2:$A$200,0)),"Unmapped")</f>
        <v>Office &amp; Training</v>
      </c>
      <c r="Q921" s="10">
        <f>IFERROR(INDEX(Category_Targets!$B$2:$B$9,MATCH(F921,Category_Targets!$A$2:$A$9,0)),0)</f>
        <v>0.04</v>
      </c>
      <c r="R921" s="7">
        <f t="shared" si="29"/>
        <v>10.013999999999999</v>
      </c>
    </row>
    <row r="922" spans="1:18" x14ac:dyDescent="0.25">
      <c r="A922" s="5">
        <f>Procurement_Raw!A922</f>
        <v>45908</v>
      </c>
      <c r="B922" t="str">
        <f>Procurement_Raw!B922</f>
        <v>S006</v>
      </c>
      <c r="C922" t="str">
        <f>Procurement_Raw!C922</f>
        <v>Birmingham Care &amp; Education Centre</v>
      </c>
      <c r="D922" t="str">
        <f>Procurement_Raw!D922</f>
        <v>Midlands</v>
      </c>
      <c r="E922" t="str">
        <f>Procurement_Raw!E922</f>
        <v>TeleCare IT</v>
      </c>
      <c r="F922" t="str">
        <f>Procurement_Raw!F922</f>
        <v>IT &amp; Telecoms</v>
      </c>
      <c r="G922" t="str">
        <f>Procurement_Raw!G922</f>
        <v>INV-2025-00921</v>
      </c>
      <c r="H922" s="6">
        <f>Procurement_Raw!H922</f>
        <v>51</v>
      </c>
      <c r="I922" s="7">
        <f>Procurement_Raw!I922</f>
        <v>397.07</v>
      </c>
      <c r="J922" s="7">
        <f>Procurement_Raw!J922</f>
        <v>20250.82</v>
      </c>
      <c r="K922" s="6">
        <f>Procurement_Raw!K922</f>
        <v>60</v>
      </c>
      <c r="L922" t="str">
        <f>Procurement_Raw!L922</f>
        <v>ERP</v>
      </c>
      <c r="M922" s="8">
        <f>Procurement_Raw!M922</f>
        <v>4050.1640000000002</v>
      </c>
      <c r="N922" s="7">
        <f>Procurement_Raw!N922</f>
        <v>20250.82</v>
      </c>
      <c r="O922" s="7">
        <f t="shared" si="28"/>
        <v>20250.82</v>
      </c>
      <c r="P922" t="str">
        <f>IFERROR(INDEX(Supplier_Lookup!$B$2:$B$200,MATCH(E922,Supplier_Lookup!$A$2:$A$200,0)),"Unmapped")</f>
        <v>IT &amp; Telecoms</v>
      </c>
      <c r="Q922" s="10">
        <f>IFERROR(INDEX(Category_Targets!$B$2:$B$9,MATCH(F922,Category_Targets!$A$2:$A$9,0)),0)</f>
        <v>0.08</v>
      </c>
      <c r="R922" s="7">
        <f t="shared" si="29"/>
        <v>1620.0655999999999</v>
      </c>
    </row>
    <row r="923" spans="1:18" x14ac:dyDescent="0.25">
      <c r="A923" s="5">
        <f>Procurement_Raw!A923</f>
        <v>45838</v>
      </c>
      <c r="B923" t="str">
        <f>Procurement_Raw!B923</f>
        <v>S001</v>
      </c>
      <c r="C923" t="str">
        <f>Procurement_Raw!C923</f>
        <v>Preston Care &amp; Education Centre</v>
      </c>
      <c r="D923" t="str">
        <f>Procurement_Raw!D923</f>
        <v>North</v>
      </c>
      <c r="E923" t="str">
        <f>Procurement_Raw!E923</f>
        <v>AutoCare</v>
      </c>
      <c r="F923" t="str">
        <f>Procurement_Raw!F923</f>
        <v>Vehicle &amp; Fuel</v>
      </c>
      <c r="G923" t="str">
        <f>Procurement_Raw!G923</f>
        <v>INV-2025-00922</v>
      </c>
      <c r="H923" s="6">
        <f>Procurement_Raw!H923</f>
        <v>46</v>
      </c>
      <c r="I923" s="7">
        <f>Procurement_Raw!I923</f>
        <v>54.02</v>
      </c>
      <c r="J923" s="7">
        <f>Procurement_Raw!J923</f>
        <v>2484.77</v>
      </c>
      <c r="K923" s="6">
        <f>Procurement_Raw!K923</f>
        <v>60</v>
      </c>
      <c r="L923" t="str">
        <f>Procurement_Raw!L923</f>
        <v>Procurement Portal</v>
      </c>
      <c r="M923" s="8">
        <f>Procurement_Raw!M923</f>
        <v>496.95400000000001</v>
      </c>
      <c r="N923" s="7">
        <f>Procurement_Raw!N923</f>
        <v>2484.77</v>
      </c>
      <c r="O923" s="7">
        <f t="shared" si="28"/>
        <v>2484.77</v>
      </c>
      <c r="P923" t="str">
        <f>IFERROR(INDEX(Supplier_Lookup!$B$2:$B$200,MATCH(E923,Supplier_Lookup!$A$2:$A$200,0)),"Unmapped")</f>
        <v>Vehicle &amp; Fuel</v>
      </c>
      <c r="Q923" s="10">
        <f>IFERROR(INDEX(Category_Targets!$B$2:$B$9,MATCH(F923,Category_Targets!$A$2:$A$9,0)),0)</f>
        <v>0.05</v>
      </c>
      <c r="R923" s="7">
        <f t="shared" si="29"/>
        <v>124.2385</v>
      </c>
    </row>
    <row r="924" spans="1:18" x14ac:dyDescent="0.25">
      <c r="A924" s="5">
        <f>Procurement_Raw!A924</f>
        <v>45978</v>
      </c>
      <c r="B924" t="str">
        <f>Procurement_Raw!B924</f>
        <v>S011</v>
      </c>
      <c r="C924" t="str">
        <f>Procurement_Raw!C924</f>
        <v>London Care &amp; Education Centre</v>
      </c>
      <c r="D924" t="str">
        <f>Procurement_Raw!D924</f>
        <v>South</v>
      </c>
      <c r="E924" t="str">
        <f>Procurement_Raw!E924</f>
        <v>CloudLink</v>
      </c>
      <c r="F924" t="str">
        <f>Procurement_Raw!F924</f>
        <v>IT &amp; Telecoms</v>
      </c>
      <c r="G924" t="str">
        <f>Procurement_Raw!G924</f>
        <v>INV-2025-00923</v>
      </c>
      <c r="H924" s="6">
        <f>Procurement_Raw!H924</f>
        <v>33</v>
      </c>
      <c r="I924" s="7">
        <f>Procurement_Raw!I924</f>
        <v>236.69</v>
      </c>
      <c r="J924" s="7">
        <f>Procurement_Raw!J924</f>
        <v>7810.84</v>
      </c>
      <c r="K924" s="6">
        <f>Procurement_Raw!K924</f>
        <v>45</v>
      </c>
      <c r="L924" t="str">
        <f>Procurement_Raw!L924</f>
        <v>ERP</v>
      </c>
      <c r="M924" s="8">
        <f>Procurement_Raw!M924</f>
        <v>1562.1679999999999</v>
      </c>
      <c r="N924" s="7">
        <f>Procurement_Raw!N924</f>
        <v>7810.84</v>
      </c>
      <c r="O924" s="7">
        <f t="shared" si="28"/>
        <v>7810.84</v>
      </c>
      <c r="P924" t="str">
        <f>IFERROR(INDEX(Supplier_Lookup!$B$2:$B$200,MATCH(E924,Supplier_Lookup!$A$2:$A$200,0)),"Unmapped")</f>
        <v>medical supplies</v>
      </c>
      <c r="Q924" s="10">
        <f>IFERROR(INDEX(Category_Targets!$B$2:$B$9,MATCH(F924,Category_Targets!$A$2:$A$9,0)),0)</f>
        <v>0.08</v>
      </c>
      <c r="R924" s="7">
        <f t="shared" si="29"/>
        <v>624.86720000000003</v>
      </c>
    </row>
    <row r="925" spans="1:18" x14ac:dyDescent="0.25">
      <c r="A925" s="5">
        <f>Procurement_Raw!A925</f>
        <v>45735</v>
      </c>
      <c r="B925" t="str">
        <f>Procurement_Raw!B925</f>
        <v>S012</v>
      </c>
      <c r="C925" t="str">
        <f>Procurement_Raw!C925</f>
        <v>Bristol Care &amp; Education Centre</v>
      </c>
      <c r="D925" t="str">
        <f>Procurement_Raw!D925</f>
        <v>South</v>
      </c>
      <c r="E925" t="str">
        <f>Procurement_Raw!E925</f>
        <v>CloudLink</v>
      </c>
      <c r="F925" t="str">
        <f>Procurement_Raw!F925</f>
        <v>IT &amp; Telecoms</v>
      </c>
      <c r="G925" t="str">
        <f>Procurement_Raw!G925</f>
        <v>INV-2025-00924</v>
      </c>
      <c r="H925" s="6">
        <f>Procurement_Raw!H925</f>
        <v>44</v>
      </c>
      <c r="I925" s="7">
        <f>Procurement_Raw!I925</f>
        <v>149.69</v>
      </c>
      <c r="J925" s="7">
        <f>Procurement_Raw!J925</f>
        <v>6586.32</v>
      </c>
      <c r="K925" s="6">
        <f>Procurement_Raw!K925</f>
        <v>45</v>
      </c>
      <c r="L925" t="str">
        <f>Procurement_Raw!L925</f>
        <v>Legacy Spend File</v>
      </c>
      <c r="M925" s="8">
        <f>Procurement_Raw!M925</f>
        <v>1317.2639999999999</v>
      </c>
      <c r="N925" s="7">
        <f>Procurement_Raw!N925</f>
        <v>6586.32</v>
      </c>
      <c r="O925" s="7">
        <f t="shared" si="28"/>
        <v>6586.32</v>
      </c>
      <c r="P925" t="str">
        <f>IFERROR(INDEX(Supplier_Lookup!$B$2:$B$200,MATCH(E925,Supplier_Lookup!$A$2:$A$200,0)),"Unmapped")</f>
        <v>medical supplies</v>
      </c>
      <c r="Q925" s="10">
        <f>IFERROR(INDEX(Category_Targets!$B$2:$B$9,MATCH(F925,Category_Targets!$A$2:$A$9,0)),0)</f>
        <v>0.08</v>
      </c>
      <c r="R925" s="7">
        <f t="shared" si="29"/>
        <v>526.90559999999994</v>
      </c>
    </row>
    <row r="926" spans="1:18" x14ac:dyDescent="0.25">
      <c r="A926" s="5">
        <f>Procurement_Raw!A926</f>
        <v>45853</v>
      </c>
      <c r="B926" t="str">
        <f>Procurement_Raw!B926</f>
        <v>S009</v>
      </c>
      <c r="C926" t="str">
        <f>Procurement_Raw!C926</f>
        <v>Derby Care &amp; Education Centre</v>
      </c>
      <c r="D926" t="str">
        <f>Procurement_Raw!D926</f>
        <v>Midlands</v>
      </c>
      <c r="E926" t="str">
        <f>Procurement_Raw!E926</f>
        <v>KitchenPro</v>
      </c>
      <c r="F926" t="str">
        <f>Procurement_Raw!F926</f>
        <v>Food &amp; Catering</v>
      </c>
      <c r="G926" t="str">
        <f>Procurement_Raw!G926</f>
        <v>INV-2025-00925</v>
      </c>
      <c r="H926" s="6">
        <f>Procurement_Raw!H926</f>
        <v>67</v>
      </c>
      <c r="I926" s="7">
        <f>Procurement_Raw!I926</f>
        <v>125.42</v>
      </c>
      <c r="J926" s="7">
        <f>Procurement_Raw!J926</f>
        <v>8403.1</v>
      </c>
      <c r="K926" s="6">
        <f>Procurement_Raw!K926</f>
        <v>60</v>
      </c>
      <c r="L926" t="str">
        <f>Procurement_Raw!L926</f>
        <v>Legacy Spend File</v>
      </c>
      <c r="M926" s="8">
        <f>Procurement_Raw!M926</f>
        <v>1680.62</v>
      </c>
      <c r="N926" s="7">
        <f>Procurement_Raw!N926</f>
        <v>8403.1</v>
      </c>
      <c r="O926" s="7">
        <f t="shared" si="28"/>
        <v>8403.1</v>
      </c>
      <c r="P926" t="str">
        <f>IFERROR(INDEX(Supplier_Lookup!$B$2:$B$200,MATCH(E926,Supplier_Lookup!$A$2:$A$200,0)),"Unmapped")</f>
        <v>Food &amp; Catering</v>
      </c>
      <c r="Q926" s="10">
        <f>IFERROR(INDEX(Category_Targets!$B$2:$B$9,MATCH(F926,Category_Targets!$A$2:$A$9,0)),0)</f>
        <v>0.04</v>
      </c>
      <c r="R926" s="7">
        <f t="shared" si="29"/>
        <v>336.12400000000002</v>
      </c>
    </row>
    <row r="927" spans="1:18" x14ac:dyDescent="0.25">
      <c r="A927" s="5">
        <f>Procurement_Raw!A927</f>
        <v>45781</v>
      </c>
      <c r="B927" t="str">
        <f>Procurement_Raw!B927</f>
        <v>S005</v>
      </c>
      <c r="C927" t="str">
        <f>Procurement_Raw!C927</f>
        <v>Sheffield Care &amp; Education Centre</v>
      </c>
      <c r="D927" t="str">
        <f>Procurement_Raw!D927</f>
        <v>North</v>
      </c>
      <c r="E927" t="str">
        <f>Procurement_Raw!E927</f>
        <v>WaterGrid</v>
      </c>
      <c r="F927" t="str">
        <f>Procurement_Raw!F927</f>
        <v>Utilities</v>
      </c>
      <c r="G927" t="str">
        <f>Procurement_Raw!G927</f>
        <v>INV-2025-00926</v>
      </c>
      <c r="H927" s="6">
        <f>Procurement_Raw!H927</f>
        <v>74</v>
      </c>
      <c r="I927" s="7">
        <f>Procurement_Raw!I927</f>
        <v>108.17</v>
      </c>
      <c r="J927" s="7">
        <f>Procurement_Raw!J927</f>
        <v>8004.61</v>
      </c>
      <c r="K927" s="6">
        <f>Procurement_Raw!K927</f>
        <v>30</v>
      </c>
      <c r="L927" t="str">
        <f>Procurement_Raw!L927</f>
        <v>Procurement Portal</v>
      </c>
      <c r="M927" s="8">
        <f>Procurement_Raw!M927</f>
        <v>1600.922</v>
      </c>
      <c r="N927" s="7">
        <f>Procurement_Raw!N927</f>
        <v>8004.61</v>
      </c>
      <c r="O927" s="7">
        <f t="shared" si="28"/>
        <v>8004.61</v>
      </c>
      <c r="P927" t="str">
        <f>IFERROR(INDEX(Supplier_Lookup!$B$2:$B$200,MATCH(E927,Supplier_Lookup!$A$2:$A$200,0)),"Unmapped")</f>
        <v>Utilities</v>
      </c>
      <c r="Q927" s="10">
        <f>IFERROR(INDEX(Category_Targets!$B$2:$B$9,MATCH(F927,Category_Targets!$A$2:$A$9,0)),0)</f>
        <v>0.03</v>
      </c>
      <c r="R927" s="7">
        <f t="shared" si="29"/>
        <v>240.13829999999999</v>
      </c>
    </row>
    <row r="928" spans="1:18" x14ac:dyDescent="0.25">
      <c r="A928" s="5">
        <f>Procurement_Raw!A928</f>
        <v>45935</v>
      </c>
      <c r="B928" t="str">
        <f>Procurement_Raw!B928</f>
        <v>S001</v>
      </c>
      <c r="C928" t="str">
        <f>Procurement_Raw!C928</f>
        <v>Preston Care &amp; Education Centre</v>
      </c>
      <c r="D928" t="str">
        <f>Procurement_Raw!D928</f>
        <v>North</v>
      </c>
      <c r="E928" t="str">
        <f>Procurement_Raw!E928</f>
        <v>RoadReady</v>
      </c>
      <c r="F928" t="str">
        <f>Procurement_Raw!F928</f>
        <v>Vehicle &amp; Fuel</v>
      </c>
      <c r="G928" t="str">
        <f>Procurement_Raw!G928</f>
        <v>INV-2025-00927</v>
      </c>
      <c r="H928" s="6">
        <f>Procurement_Raw!H928</f>
        <v>17</v>
      </c>
      <c r="I928" s="7">
        <f>Procurement_Raw!I928</f>
        <v>69.86</v>
      </c>
      <c r="J928" s="7">
        <f>Procurement_Raw!J928</f>
        <v>1187.5899999999999</v>
      </c>
      <c r="K928" s="6">
        <f>Procurement_Raw!K928</f>
        <v>30</v>
      </c>
      <c r="L928" t="str">
        <f>Procurement_Raw!L928</f>
        <v>Legacy Spend File</v>
      </c>
      <c r="M928" s="8">
        <f>Procurement_Raw!M928</f>
        <v>237.518</v>
      </c>
      <c r="N928" s="7">
        <f>Procurement_Raw!N928</f>
        <v>1187.5899999999999</v>
      </c>
      <c r="O928" s="7">
        <f t="shared" si="28"/>
        <v>1187.5899999999999</v>
      </c>
      <c r="P928" t="str">
        <f>IFERROR(INDEX(Supplier_Lookup!$B$2:$B$200,MATCH(E928,Supplier_Lookup!$A$2:$A$200,0)),"Unmapped")</f>
        <v>Vehicle &amp; Fuel</v>
      </c>
      <c r="Q928" s="10">
        <f>IFERROR(INDEX(Category_Targets!$B$2:$B$9,MATCH(F928,Category_Targets!$A$2:$A$9,0)),0)</f>
        <v>0.05</v>
      </c>
      <c r="R928" s="7">
        <f t="shared" si="29"/>
        <v>59.3795</v>
      </c>
    </row>
    <row r="929" spans="1:18" x14ac:dyDescent="0.25">
      <c r="A929" s="5">
        <f>Procurement_Raw!A929</f>
        <v>45816</v>
      </c>
      <c r="B929" t="str">
        <f>Procurement_Raw!B929</f>
        <v>S017</v>
      </c>
      <c r="C929" t="str">
        <f>Procurement_Raw!C929</f>
        <v>Swansea Care &amp; Education Centre</v>
      </c>
      <c r="D929" t="str">
        <f>Procurement_Raw!D929</f>
        <v>Wales</v>
      </c>
      <c r="E929" t="str">
        <f>Procurement_Raw!E929</f>
        <v>UK Energy Partners</v>
      </c>
      <c r="F929" t="str">
        <f>Procurement_Raw!F929</f>
        <v>Utilities</v>
      </c>
      <c r="G929" t="str">
        <f>Procurement_Raw!G929</f>
        <v>INV-2025-00928</v>
      </c>
      <c r="H929" s="6">
        <f>Procurement_Raw!H929</f>
        <v>68</v>
      </c>
      <c r="I929" s="7">
        <f>Procurement_Raw!I929</f>
        <v>307.64</v>
      </c>
      <c r="J929" s="7">
        <f>Procurement_Raw!J929</f>
        <v>20919.46</v>
      </c>
      <c r="K929" s="6">
        <f>Procurement_Raw!K929</f>
        <v>30</v>
      </c>
      <c r="L929" t="str">
        <f>Procurement_Raw!L929</f>
        <v>Procurement Portal</v>
      </c>
      <c r="M929" s="8">
        <f>Procurement_Raw!M929</f>
        <v>4183.8919999999998</v>
      </c>
      <c r="N929" s="7">
        <f>Procurement_Raw!N929</f>
        <v>20919.46</v>
      </c>
      <c r="O929" s="7">
        <f t="shared" si="28"/>
        <v>20919.46</v>
      </c>
      <c r="P929" t="str">
        <f>IFERROR(INDEX(Supplier_Lookup!$B$2:$B$200,MATCH(E929,Supplier_Lookup!$A$2:$A$200,0)),"Unmapped")</f>
        <v>Utilities</v>
      </c>
      <c r="Q929" s="10">
        <f>IFERROR(INDEX(Category_Targets!$B$2:$B$9,MATCH(F929,Category_Targets!$A$2:$A$9,0)),0)</f>
        <v>0.03</v>
      </c>
      <c r="R929" s="7">
        <f t="shared" si="29"/>
        <v>627.5838</v>
      </c>
    </row>
    <row r="930" spans="1:18" x14ac:dyDescent="0.25">
      <c r="A930" s="5">
        <f>Procurement_Raw!A930</f>
        <v>45692</v>
      </c>
      <c r="B930" t="str">
        <f>Procurement_Raw!B930</f>
        <v>S003</v>
      </c>
      <c r="C930" t="str">
        <f>Procurement_Raw!C930</f>
        <v>Leeds Care &amp; Education Centre</v>
      </c>
      <c r="D930" t="str">
        <f>Procurement_Raw!D930</f>
        <v>North</v>
      </c>
      <c r="E930" t="str">
        <f>Procurement_Raw!E930</f>
        <v>SafeGuard FM</v>
      </c>
      <c r="F930" t="str">
        <f>Procurement_Raw!F930</f>
        <v>Facilities</v>
      </c>
      <c r="G930" t="str">
        <f>Procurement_Raw!G930</f>
        <v>INV-2025-00929</v>
      </c>
      <c r="H930" s="6">
        <f>Procurement_Raw!H930</f>
        <v>72</v>
      </c>
      <c r="I930" s="7">
        <f>Procurement_Raw!I930</f>
        <v>425.81</v>
      </c>
      <c r="J930" s="7">
        <f>Procurement_Raw!J930</f>
        <v>30658.38</v>
      </c>
      <c r="K930" s="6">
        <f>Procurement_Raw!K930</f>
        <v>60</v>
      </c>
      <c r="L930" t="str">
        <f>Procurement_Raw!L930</f>
        <v>Legacy Spend File</v>
      </c>
      <c r="M930" s="8">
        <f>Procurement_Raw!M930</f>
        <v>6131.6760000000004</v>
      </c>
      <c r="N930" s="7">
        <f>Procurement_Raw!N930</f>
        <v>30658.38</v>
      </c>
      <c r="O930" s="7">
        <f t="shared" si="28"/>
        <v>30658.38</v>
      </c>
      <c r="P930" t="str">
        <f>IFERROR(INDEX(Supplier_Lookup!$B$2:$B$200,MATCH(E930,Supplier_Lookup!$A$2:$A$200,0)),"Unmapped")</f>
        <v>Facilities</v>
      </c>
      <c r="Q930" s="10">
        <f>IFERROR(INDEX(Category_Targets!$B$2:$B$9,MATCH(F930,Category_Targets!$A$2:$A$9,0)),0)</f>
        <v>0.05</v>
      </c>
      <c r="R930" s="7">
        <f t="shared" si="29"/>
        <v>1532.9190000000001</v>
      </c>
    </row>
    <row r="931" spans="1:18" x14ac:dyDescent="0.25">
      <c r="A931" s="5">
        <f>Procurement_Raw!A931</f>
        <v>45732</v>
      </c>
      <c r="B931" t="str">
        <f>Procurement_Raw!B931</f>
        <v>S002</v>
      </c>
      <c r="C931" t="str">
        <f>Procurement_Raw!C931</f>
        <v>Manchester Care &amp; Education Centre</v>
      </c>
      <c r="D931" t="str">
        <f>Procurement_Raw!D931</f>
        <v>North</v>
      </c>
      <c r="E931" t="str">
        <f>Procurement_Raw!E931</f>
        <v>SafeGuard FM</v>
      </c>
      <c r="F931" t="str">
        <f>Procurement_Raw!F931</f>
        <v>Facilities</v>
      </c>
      <c r="G931" t="str">
        <f>Procurement_Raw!G931</f>
        <v>INV-2025-00930</v>
      </c>
      <c r="H931" s="6">
        <f>Procurement_Raw!H931</f>
        <v>4</v>
      </c>
      <c r="I931" s="7">
        <f>Procurement_Raw!I931</f>
        <v>173.61</v>
      </c>
      <c r="J931" s="7">
        <f>Procurement_Raw!J931</f>
        <v>694.43</v>
      </c>
      <c r="K931" s="6">
        <f>Procurement_Raw!K931</f>
        <v>45</v>
      </c>
      <c r="L931" t="str">
        <f>Procurement_Raw!L931</f>
        <v>Procurement Portal</v>
      </c>
      <c r="M931" s="8">
        <f>Procurement_Raw!M931</f>
        <v>138.886</v>
      </c>
      <c r="N931" s="7">
        <f>Procurement_Raw!N931</f>
        <v>694.43</v>
      </c>
      <c r="O931" s="7">
        <f t="shared" si="28"/>
        <v>694.43</v>
      </c>
      <c r="P931" t="str">
        <f>IFERROR(INDEX(Supplier_Lookup!$B$2:$B$200,MATCH(E931,Supplier_Lookup!$A$2:$A$200,0)),"Unmapped")</f>
        <v>Facilities</v>
      </c>
      <c r="Q931" s="10">
        <f>IFERROR(INDEX(Category_Targets!$B$2:$B$9,MATCH(F931,Category_Targets!$A$2:$A$9,0)),0)</f>
        <v>0.05</v>
      </c>
      <c r="R931" s="7">
        <f t="shared" si="29"/>
        <v>34.721499999999999</v>
      </c>
    </row>
    <row r="932" spans="1:18" x14ac:dyDescent="0.25">
      <c r="A932" s="5">
        <f>Procurement_Raw!A932</f>
        <v>45984</v>
      </c>
      <c r="B932" t="str">
        <f>Procurement_Raw!B932</f>
        <v>S003</v>
      </c>
      <c r="C932" t="str">
        <f>Procurement_Raw!C932</f>
        <v>Leeds Care &amp; Education Centre</v>
      </c>
      <c r="D932" t="str">
        <f>Procurement_Raw!D932</f>
        <v>North</v>
      </c>
      <c r="E932" t="str">
        <f>Procurement_Raw!E932</f>
        <v>TeleCare IT</v>
      </c>
      <c r="F932" t="str">
        <f>Procurement_Raw!F932</f>
        <v>IT &amp; Telecoms</v>
      </c>
      <c r="G932" t="str">
        <f>Procurement_Raw!G932</f>
        <v>INV-2025-00931</v>
      </c>
      <c r="H932" s="6">
        <f>Procurement_Raw!H932</f>
        <v>36</v>
      </c>
      <c r="I932" s="7">
        <f>Procurement_Raw!I932</f>
        <v>162.11000000000001</v>
      </c>
      <c r="J932" s="7">
        <f>Procurement_Raw!J932</f>
        <v>5835.92</v>
      </c>
      <c r="K932" s="6">
        <f>Procurement_Raw!K932</f>
        <v>30</v>
      </c>
      <c r="L932" t="str">
        <f>Procurement_Raw!L932</f>
        <v>ERP</v>
      </c>
      <c r="M932" s="8">
        <f>Procurement_Raw!M932</f>
        <v>1167.184</v>
      </c>
      <c r="N932" s="7">
        <f>Procurement_Raw!N932</f>
        <v>5835.92</v>
      </c>
      <c r="O932" s="7">
        <f t="shared" si="28"/>
        <v>5835.92</v>
      </c>
      <c r="P932" t="str">
        <f>IFERROR(INDEX(Supplier_Lookup!$B$2:$B$200,MATCH(E932,Supplier_Lookup!$A$2:$A$200,0)),"Unmapped")</f>
        <v>IT &amp; Telecoms</v>
      </c>
      <c r="Q932" s="10">
        <f>IFERROR(INDEX(Category_Targets!$B$2:$B$9,MATCH(F932,Category_Targets!$A$2:$A$9,0)),0)</f>
        <v>0.08</v>
      </c>
      <c r="R932" s="7">
        <f t="shared" si="29"/>
        <v>466.87360000000001</v>
      </c>
    </row>
    <row r="933" spans="1:18" x14ac:dyDescent="0.25">
      <c r="A933" s="5">
        <f>Procurement_Raw!A933</f>
        <v>45671</v>
      </c>
      <c r="B933" t="str">
        <f>Procurement_Raw!B933</f>
        <v>S003</v>
      </c>
      <c r="C933" t="str">
        <f>Procurement_Raw!C933</f>
        <v>Leeds Care &amp; Education Centre</v>
      </c>
      <c r="D933" t="str">
        <f>Procurement_Raw!D933</f>
        <v>North</v>
      </c>
      <c r="E933" t="str">
        <f>Procurement_Raw!E933</f>
        <v>CleanWorks</v>
      </c>
      <c r="F933" t="str">
        <f>Procurement_Raw!F933</f>
        <v>Facilities</v>
      </c>
      <c r="G933" t="str">
        <f>Procurement_Raw!G933</f>
        <v>INV-2025-00932</v>
      </c>
      <c r="H933" s="6">
        <f>Procurement_Raw!H933</f>
        <v>79</v>
      </c>
      <c r="I933" s="7">
        <f>Procurement_Raw!I933</f>
        <v>506.53</v>
      </c>
      <c r="J933" s="7">
        <f>Procurement_Raw!J933</f>
        <v>40016.26</v>
      </c>
      <c r="K933" s="6">
        <f>Procurement_Raw!K933</f>
        <v>60</v>
      </c>
      <c r="L933" t="str">
        <f>Procurement_Raw!L933</f>
        <v>Procurement Portal</v>
      </c>
      <c r="M933" s="8">
        <f>Procurement_Raw!M933</f>
        <v>8003.2520000000004</v>
      </c>
      <c r="N933" s="7">
        <f>Procurement_Raw!N933</f>
        <v>40016.26</v>
      </c>
      <c r="O933" s="7">
        <f t="shared" si="28"/>
        <v>40016.26</v>
      </c>
      <c r="P933" t="str">
        <f>IFERROR(INDEX(Supplier_Lookup!$B$2:$B$200,MATCH(E933,Supplier_Lookup!$A$2:$A$200,0)),"Unmapped")</f>
        <v>Facilities</v>
      </c>
      <c r="Q933" s="10">
        <f>IFERROR(INDEX(Category_Targets!$B$2:$B$9,MATCH(F933,Category_Targets!$A$2:$A$9,0)),0)</f>
        <v>0.05</v>
      </c>
      <c r="R933" s="7">
        <f t="shared" si="29"/>
        <v>2000.8130000000001</v>
      </c>
    </row>
    <row r="934" spans="1:18" x14ac:dyDescent="0.25">
      <c r="A934" s="5">
        <f>Procurement_Raw!A934</f>
        <v>45776</v>
      </c>
      <c r="B934" t="str">
        <f>Procurement_Raw!B934</f>
        <v>S011</v>
      </c>
      <c r="C934" t="str">
        <f>Procurement_Raw!C934</f>
        <v>London Care &amp; Education Centre</v>
      </c>
      <c r="D934" t="str">
        <f>Procurement_Raw!D934</f>
        <v>South</v>
      </c>
      <c r="E934" t="str">
        <f>Procurement_Raw!E934</f>
        <v>PowerDirect</v>
      </c>
      <c r="F934" t="str">
        <f>Procurement_Raw!F934</f>
        <v>Utilities</v>
      </c>
      <c r="G934" t="str">
        <f>Procurement_Raw!G934</f>
        <v>INV-2025-00933</v>
      </c>
      <c r="H934" s="6">
        <f>Procurement_Raw!H934</f>
        <v>30</v>
      </c>
      <c r="I934" s="7">
        <f>Procurement_Raw!I934</f>
        <v>112.74</v>
      </c>
      <c r="J934" s="7">
        <f>Procurement_Raw!J934</f>
        <v>3382.1</v>
      </c>
      <c r="K934" s="6">
        <f>Procurement_Raw!K934</f>
        <v>60</v>
      </c>
      <c r="L934" t="str">
        <f>Procurement_Raw!L934</f>
        <v>ERP</v>
      </c>
      <c r="M934" s="8">
        <f>Procurement_Raw!M934</f>
        <v>676.42</v>
      </c>
      <c r="N934" s="7">
        <f>Procurement_Raw!N934</f>
        <v>3382.1</v>
      </c>
      <c r="O934" s="7">
        <f t="shared" si="28"/>
        <v>3382.1</v>
      </c>
      <c r="P934" t="str">
        <f>IFERROR(INDEX(Supplier_Lookup!$B$2:$B$200,MATCH(E934,Supplier_Lookup!$A$2:$A$200,0)),"Unmapped")</f>
        <v>Utilities</v>
      </c>
      <c r="Q934" s="10">
        <f>IFERROR(INDEX(Category_Targets!$B$2:$B$9,MATCH(F934,Category_Targets!$A$2:$A$9,0)),0)</f>
        <v>0.03</v>
      </c>
      <c r="R934" s="7">
        <f t="shared" si="29"/>
        <v>101.46299999999999</v>
      </c>
    </row>
    <row r="935" spans="1:18" x14ac:dyDescent="0.25">
      <c r="A935" s="5">
        <f>Procurement_Raw!A935</f>
        <v>45902</v>
      </c>
      <c r="B935" t="str">
        <f>Procurement_Raw!B935</f>
        <v>S019</v>
      </c>
      <c r="C935" t="str">
        <f>Procurement_Raw!C935</f>
        <v>Wrexham Care &amp; Education Centre</v>
      </c>
      <c r="D935" t="str">
        <f>Procurement_Raw!D935</f>
        <v>Wales</v>
      </c>
      <c r="E935" t="str">
        <f>Procurement_Raw!E935</f>
        <v>KitchenPro</v>
      </c>
      <c r="F935" t="str">
        <f>Procurement_Raw!F935</f>
        <v>Food &amp; Catering</v>
      </c>
      <c r="G935" t="str">
        <f>Procurement_Raw!G935</f>
        <v>INV-2025-00934</v>
      </c>
      <c r="H935" s="6">
        <f>Procurement_Raw!H935</f>
        <v>18</v>
      </c>
      <c r="I935" s="7">
        <f>Procurement_Raw!I935</f>
        <v>19.399999999999999</v>
      </c>
      <c r="J935" s="7">
        <f>Procurement_Raw!J935</f>
        <v>349.12</v>
      </c>
      <c r="K935" s="6">
        <f>Procurement_Raw!K935</f>
        <v>60</v>
      </c>
      <c r="L935" t="str">
        <f>Procurement_Raw!L935</f>
        <v>Legacy Spend File</v>
      </c>
      <c r="M935" s="8">
        <f>Procurement_Raw!M935</f>
        <v>69.823999999999998</v>
      </c>
      <c r="N935" s="7">
        <f>Procurement_Raw!N935</f>
        <v>349.12</v>
      </c>
      <c r="O935" s="7">
        <f t="shared" si="28"/>
        <v>349.12</v>
      </c>
      <c r="P935" t="str">
        <f>IFERROR(INDEX(Supplier_Lookup!$B$2:$B$200,MATCH(E935,Supplier_Lookup!$A$2:$A$200,0)),"Unmapped")</f>
        <v>Food &amp; Catering</v>
      </c>
      <c r="Q935" s="10">
        <f>IFERROR(INDEX(Category_Targets!$B$2:$B$9,MATCH(F935,Category_Targets!$A$2:$A$9,0)),0)</f>
        <v>0.04</v>
      </c>
      <c r="R935" s="7">
        <f t="shared" si="29"/>
        <v>13.9648</v>
      </c>
    </row>
    <row r="936" spans="1:18" x14ac:dyDescent="0.25">
      <c r="A936" s="5">
        <f>Procurement_Raw!A936</f>
        <v>45856</v>
      </c>
      <c r="B936" t="str">
        <f>Procurement_Raw!B936</f>
        <v>S015</v>
      </c>
      <c r="C936" t="str">
        <f>Procurement_Raw!C936</f>
        <v>Brighton Care &amp; Education Centre</v>
      </c>
      <c r="D936" t="str">
        <f>Procurement_Raw!D936</f>
        <v>South</v>
      </c>
      <c r="E936" t="str">
        <f>Procurement_Raw!E936</f>
        <v>FleetFuel</v>
      </c>
      <c r="F936" t="str">
        <f>Procurement_Raw!F936</f>
        <v>Vehicle &amp; Fuel</v>
      </c>
      <c r="G936" t="str">
        <f>Procurement_Raw!G936</f>
        <v>INV-2025-00935</v>
      </c>
      <c r="H936" s="6">
        <f>Procurement_Raw!H936</f>
        <v>63</v>
      </c>
      <c r="I936" s="7">
        <f>Procurement_Raw!I936</f>
        <v>121.01</v>
      </c>
      <c r="J936" s="7">
        <f>Procurement_Raw!J936</f>
        <v>7623.72</v>
      </c>
      <c r="K936" s="6">
        <f>Procurement_Raw!K936</f>
        <v>45</v>
      </c>
      <c r="L936" t="str">
        <f>Procurement_Raw!L936</f>
        <v>ERP</v>
      </c>
      <c r="M936" s="8">
        <f>Procurement_Raw!M936</f>
        <v>1524.7439999999999</v>
      </c>
      <c r="N936" s="7">
        <f>Procurement_Raw!N936</f>
        <v>7623.72</v>
      </c>
      <c r="O936" s="7">
        <f t="shared" si="28"/>
        <v>7623.72</v>
      </c>
      <c r="P936" t="str">
        <f>IFERROR(INDEX(Supplier_Lookup!$B$2:$B$200,MATCH(E936,Supplier_Lookup!$A$2:$A$200,0)),"Unmapped")</f>
        <v>Vehicle &amp; Fuel</v>
      </c>
      <c r="Q936" s="10">
        <f>IFERROR(INDEX(Category_Targets!$B$2:$B$9,MATCH(F936,Category_Targets!$A$2:$A$9,0)),0)</f>
        <v>0.05</v>
      </c>
      <c r="R936" s="7">
        <f t="shared" si="29"/>
        <v>381.18600000000004</v>
      </c>
    </row>
    <row r="937" spans="1:18" x14ac:dyDescent="0.25">
      <c r="A937" s="5">
        <f>Procurement_Raw!A937</f>
        <v>45674</v>
      </c>
      <c r="B937" t="str">
        <f>Procurement_Raw!B937</f>
        <v>S011</v>
      </c>
      <c r="C937" t="str">
        <f>Procurement_Raw!C937</f>
        <v>London Care &amp; Education Centre</v>
      </c>
      <c r="D937" t="str">
        <f>Procurement_Raw!D937</f>
        <v>South</v>
      </c>
      <c r="E937" t="str">
        <f>Procurement_Raw!E937</f>
        <v>UK Energy Partners</v>
      </c>
      <c r="F937" t="str">
        <f>Procurement_Raw!F937</f>
        <v>Utilities</v>
      </c>
      <c r="G937" t="str">
        <f>Procurement_Raw!G937</f>
        <v>INV-2025-00936</v>
      </c>
      <c r="H937" s="6">
        <f>Procurement_Raw!H937</f>
        <v>53</v>
      </c>
      <c r="I937" s="7">
        <f>Procurement_Raw!I937</f>
        <v>189.68</v>
      </c>
      <c r="J937" s="7">
        <f>Procurement_Raw!J937</f>
        <v>10052.969999999999</v>
      </c>
      <c r="K937" s="6">
        <f>Procurement_Raw!K937</f>
        <v>30</v>
      </c>
      <c r="L937" t="str">
        <f>Procurement_Raw!L937</f>
        <v>Procurement Portal</v>
      </c>
      <c r="M937" s="8">
        <f>Procurement_Raw!M937</f>
        <v>2010.5940000000001</v>
      </c>
      <c r="N937" s="7">
        <f>Procurement_Raw!N937</f>
        <v>10052.969999999999</v>
      </c>
      <c r="O937" s="7">
        <f t="shared" si="28"/>
        <v>10052.969999999999</v>
      </c>
      <c r="P937" t="str">
        <f>IFERROR(INDEX(Supplier_Lookup!$B$2:$B$200,MATCH(E937,Supplier_Lookup!$A$2:$A$200,0)),"Unmapped")</f>
        <v>Utilities</v>
      </c>
      <c r="Q937" s="10">
        <f>IFERROR(INDEX(Category_Targets!$B$2:$B$9,MATCH(F937,Category_Targets!$A$2:$A$9,0)),0)</f>
        <v>0.03</v>
      </c>
      <c r="R937" s="7">
        <f t="shared" si="29"/>
        <v>301.58909999999997</v>
      </c>
    </row>
    <row r="938" spans="1:18" x14ac:dyDescent="0.25">
      <c r="A938" s="5">
        <f>Procurement_Raw!A938</f>
        <v>46001</v>
      </c>
      <c r="B938" t="str">
        <f>Procurement_Raw!B938</f>
        <v>S002</v>
      </c>
      <c r="C938" t="str">
        <f>Procurement_Raw!C938</f>
        <v>Manchester Care &amp; Education Centre</v>
      </c>
      <c r="D938" t="str">
        <f>Procurement_Raw!D938</f>
        <v>North</v>
      </c>
      <c r="E938" t="str">
        <f>Procurement_Raw!E938</f>
        <v>PowerDirect</v>
      </c>
      <c r="F938" t="str">
        <f>Procurement_Raw!F938</f>
        <v>Utilities</v>
      </c>
      <c r="G938" t="str">
        <f>Procurement_Raw!G938</f>
        <v>INV-2025-00937</v>
      </c>
      <c r="H938" s="6">
        <f>Procurement_Raw!H938</f>
        <v>26</v>
      </c>
      <c r="I938" s="7">
        <f>Procurement_Raw!I938</f>
        <v>142.56</v>
      </c>
      <c r="J938" s="7">
        <f>Procurement_Raw!J938</f>
        <v>3706.63</v>
      </c>
      <c r="K938" s="6">
        <f>Procurement_Raw!K938</f>
        <v>30</v>
      </c>
      <c r="L938" t="str">
        <f>Procurement_Raw!L938</f>
        <v>ERP</v>
      </c>
      <c r="M938" s="8">
        <f>Procurement_Raw!M938</f>
        <v>741.32600000000002</v>
      </c>
      <c r="N938" s="7">
        <f>Procurement_Raw!N938</f>
        <v>3706.63</v>
      </c>
      <c r="O938" s="7">
        <f t="shared" si="28"/>
        <v>3706.63</v>
      </c>
      <c r="P938" t="str">
        <f>IFERROR(INDEX(Supplier_Lookup!$B$2:$B$200,MATCH(E938,Supplier_Lookup!$A$2:$A$200,0)),"Unmapped")</f>
        <v>Utilities</v>
      </c>
      <c r="Q938" s="10">
        <f>IFERROR(INDEX(Category_Targets!$B$2:$B$9,MATCH(F938,Category_Targets!$A$2:$A$9,0)),0)</f>
        <v>0.03</v>
      </c>
      <c r="R938" s="7">
        <f t="shared" si="29"/>
        <v>111.19889999999999</v>
      </c>
    </row>
    <row r="939" spans="1:18" x14ac:dyDescent="0.25">
      <c r="A939" s="5">
        <f>Procurement_Raw!A939</f>
        <v>45908</v>
      </c>
      <c r="B939" t="str">
        <f>Procurement_Raw!B939</f>
        <v>S019</v>
      </c>
      <c r="C939" t="str">
        <f>Procurement_Raw!C939</f>
        <v>Wrexham Care &amp; Education Centre</v>
      </c>
      <c r="D939" t="str">
        <f>Procurement_Raw!D939</f>
        <v>Wales</v>
      </c>
      <c r="E939" t="str">
        <f>Procurement_Raw!E939</f>
        <v>PrintCo</v>
      </c>
      <c r="F939" t="str">
        <f>Procurement_Raw!F939</f>
        <v>Office &amp; Training</v>
      </c>
      <c r="G939" t="str">
        <f>Procurement_Raw!G939</f>
        <v>INV-2025-00938</v>
      </c>
      <c r="H939" s="6">
        <f>Procurement_Raw!H939</f>
        <v>42</v>
      </c>
      <c r="I939" s="7">
        <f>Procurement_Raw!I939</f>
        <v>110.73</v>
      </c>
      <c r="J939" s="7">
        <f>Procurement_Raw!J939</f>
        <v>4650.6099999999997</v>
      </c>
      <c r="K939" s="6">
        <f>Procurement_Raw!K939</f>
        <v>45</v>
      </c>
      <c r="L939" t="str">
        <f>Procurement_Raw!L939</f>
        <v>ERP</v>
      </c>
      <c r="M939" s="8">
        <f>Procurement_Raw!M939</f>
        <v>930.12199999999996</v>
      </c>
      <c r="N939" s="7">
        <f>Procurement_Raw!N939</f>
        <v>4650.6099999999997</v>
      </c>
      <c r="O939" s="7">
        <f t="shared" si="28"/>
        <v>4650.6099999999997</v>
      </c>
      <c r="P939" t="str">
        <f>IFERROR(INDEX(Supplier_Lookup!$B$2:$B$200,MATCH(E939,Supplier_Lookup!$A$2:$A$200,0)),"Unmapped")</f>
        <v>Office &amp; Training</v>
      </c>
      <c r="Q939" s="10">
        <f>IFERROR(INDEX(Category_Targets!$B$2:$B$9,MATCH(F939,Category_Targets!$A$2:$A$9,0)),0)</f>
        <v>0.04</v>
      </c>
      <c r="R939" s="7">
        <f t="shared" si="29"/>
        <v>186.02439999999999</v>
      </c>
    </row>
    <row r="940" spans="1:18" x14ac:dyDescent="0.25">
      <c r="A940" s="5">
        <f>Procurement_Raw!A940</f>
        <v>45969</v>
      </c>
      <c r="B940" t="str">
        <f>Procurement_Raw!B940</f>
        <v>S008</v>
      </c>
      <c r="C940" t="str">
        <f>Procurement_Raw!C940</f>
        <v>Leicester Care &amp; Education Centre</v>
      </c>
      <c r="D940" t="str">
        <f>Procurement_Raw!D940</f>
        <v>Midlands</v>
      </c>
      <c r="E940" t="str">
        <f>Procurement_Raw!E940</f>
        <v>HealthStaffing</v>
      </c>
      <c r="F940" t="str">
        <f>Procurement_Raw!F940</f>
        <v>Agency Labour</v>
      </c>
      <c r="G940" t="str">
        <f>Procurement_Raw!G940</f>
        <v>INV-2025-00939</v>
      </c>
      <c r="H940" s="6">
        <f>Procurement_Raw!H940</f>
        <v>49</v>
      </c>
      <c r="I940" s="7">
        <f>Procurement_Raw!I940</f>
        <v>343.05</v>
      </c>
      <c r="J940" s="7">
        <f>Procurement_Raw!J940</f>
        <v>16809.39</v>
      </c>
      <c r="K940" s="6">
        <f>Procurement_Raw!K940</f>
        <v>60</v>
      </c>
      <c r="L940" t="str">
        <f>Procurement_Raw!L940</f>
        <v>Procurement Portal</v>
      </c>
      <c r="M940" s="8">
        <f>Procurement_Raw!M940</f>
        <v>3361.8780000000002</v>
      </c>
      <c r="N940" s="7">
        <f>Procurement_Raw!N940</f>
        <v>16809.39</v>
      </c>
      <c r="O940" s="7">
        <f t="shared" si="28"/>
        <v>16809.39</v>
      </c>
      <c r="P940" t="str">
        <f>IFERROR(INDEX(Supplier_Lookup!$B$2:$B$200,MATCH(E940,Supplier_Lookup!$A$2:$A$200,0)),"Unmapped")</f>
        <v>Agency Labour</v>
      </c>
      <c r="Q940" s="10">
        <f>IFERROR(INDEX(Category_Targets!$B$2:$B$9,MATCH(F940,Category_Targets!$A$2:$A$9,0)),0)</f>
        <v>7.0000000000000007E-2</v>
      </c>
      <c r="R940" s="7">
        <f t="shared" si="29"/>
        <v>1176.6573000000001</v>
      </c>
    </row>
    <row r="941" spans="1:18" x14ac:dyDescent="0.25">
      <c r="A941" s="5">
        <f>Procurement_Raw!A941</f>
        <v>45713</v>
      </c>
      <c r="B941" t="str">
        <f>Procurement_Raw!B941</f>
        <v>S019</v>
      </c>
      <c r="C941" t="str">
        <f>Procurement_Raw!C941</f>
        <v>Wrexham Care &amp; Education Centre</v>
      </c>
      <c r="D941" t="str">
        <f>Procurement_Raw!D941</f>
        <v>Wales</v>
      </c>
      <c r="E941" t="str">
        <f>Procurement_Raw!E941</f>
        <v>ClinEquip</v>
      </c>
      <c r="F941" t="str">
        <f>Procurement_Raw!F941</f>
        <v>Medical Supplies</v>
      </c>
      <c r="G941" t="str">
        <f>Procurement_Raw!G941</f>
        <v>INV-2025-00940</v>
      </c>
      <c r="H941" s="6">
        <f>Procurement_Raw!H941</f>
        <v>58</v>
      </c>
      <c r="I941" s="7">
        <f>Procurement_Raw!I941</f>
        <v>87.99</v>
      </c>
      <c r="J941" s="7">
        <f>Procurement_Raw!J941</f>
        <v>5103.55</v>
      </c>
      <c r="K941" s="6">
        <f>Procurement_Raw!K941</f>
        <v>45</v>
      </c>
      <c r="L941" t="str">
        <f>Procurement_Raw!L941</f>
        <v>ERP</v>
      </c>
      <c r="M941" s="8">
        <f>Procurement_Raw!M941</f>
        <v>1020.71</v>
      </c>
      <c r="N941" s="7">
        <f>Procurement_Raw!N941</f>
        <v>5103.55</v>
      </c>
      <c r="O941" s="7">
        <f t="shared" si="28"/>
        <v>5103.55</v>
      </c>
      <c r="P941" t="str">
        <f>IFERROR(INDEX(Supplier_Lookup!$B$2:$B$200,MATCH(E941,Supplier_Lookup!$A$2:$A$200,0)),"Unmapped")</f>
        <v>Medical Supplies</v>
      </c>
      <c r="Q941" s="10">
        <f>IFERROR(INDEX(Category_Targets!$B$2:$B$9,MATCH(F941,Category_Targets!$A$2:$A$9,0)),0)</f>
        <v>0.06</v>
      </c>
      <c r="R941" s="7">
        <f t="shared" si="29"/>
        <v>306.21300000000002</v>
      </c>
    </row>
    <row r="942" spans="1:18" x14ac:dyDescent="0.25">
      <c r="A942" s="5">
        <f>Procurement_Raw!A942</f>
        <v>45678</v>
      </c>
      <c r="B942" t="str">
        <f>Procurement_Raw!B942</f>
        <v>S001</v>
      </c>
      <c r="C942" t="str">
        <f>Procurement_Raw!C942</f>
        <v>Preston Care &amp; Education Centre</v>
      </c>
      <c r="D942" t="str">
        <f>Procurement_Raw!D942</f>
        <v>North</v>
      </c>
      <c r="E942" t="str">
        <f>Procurement_Raw!E942</f>
        <v>NurseLink</v>
      </c>
      <c r="F942" t="str">
        <f>Procurement_Raw!F942</f>
        <v>Agency Labour</v>
      </c>
      <c r="G942" t="str">
        <f>Procurement_Raw!G942</f>
        <v>INV-2025-00941</v>
      </c>
      <c r="H942" s="6">
        <f>Procurement_Raw!H942</f>
        <v>72</v>
      </c>
      <c r="I942" s="7">
        <f>Procurement_Raw!I942</f>
        <v>148.36000000000001</v>
      </c>
      <c r="J942" s="7">
        <f>Procurement_Raw!J942</f>
        <v>10681.63</v>
      </c>
      <c r="K942" s="6">
        <f>Procurement_Raw!K942</f>
        <v>45</v>
      </c>
      <c r="L942" t="str">
        <f>Procurement_Raw!L942</f>
        <v>Legacy Spend File</v>
      </c>
      <c r="M942" s="8">
        <f>Procurement_Raw!M942</f>
        <v>2136.326</v>
      </c>
      <c r="N942" s="7">
        <f>Procurement_Raw!N942</f>
        <v>10681.63</v>
      </c>
      <c r="O942" s="7">
        <f t="shared" si="28"/>
        <v>10681.63</v>
      </c>
      <c r="P942" t="str">
        <f>IFERROR(INDEX(Supplier_Lookup!$B$2:$B$200,MATCH(E942,Supplier_Lookup!$A$2:$A$200,0)),"Unmapped")</f>
        <v>Agency Labour</v>
      </c>
      <c r="Q942" s="10">
        <f>IFERROR(INDEX(Category_Targets!$B$2:$B$9,MATCH(F942,Category_Targets!$A$2:$A$9,0)),0)</f>
        <v>7.0000000000000007E-2</v>
      </c>
      <c r="R942" s="7">
        <f t="shared" si="29"/>
        <v>747.71410000000003</v>
      </c>
    </row>
    <row r="943" spans="1:18" x14ac:dyDescent="0.25">
      <c r="A943" s="5">
        <f>Procurement_Raw!A943</f>
        <v>45807</v>
      </c>
      <c r="B943" t="str">
        <f>Procurement_Raw!B943</f>
        <v>S005</v>
      </c>
      <c r="C943" t="str">
        <f>Procurement_Raw!C943</f>
        <v>Sheffield Care &amp; Education Centre</v>
      </c>
      <c r="D943" t="str">
        <f>Procurement_Raw!D943</f>
        <v>North</v>
      </c>
      <c r="E943" t="str">
        <f>Procurement_Raw!E943</f>
        <v>MediSure</v>
      </c>
      <c r="F943" t="str">
        <f>Procurement_Raw!F943</f>
        <v>Medical Supplies</v>
      </c>
      <c r="G943" t="str">
        <f>Procurement_Raw!G943</f>
        <v>INV-2025-00942</v>
      </c>
      <c r="H943" s="6">
        <f>Procurement_Raw!H943</f>
        <v>57</v>
      </c>
      <c r="I943" s="7">
        <f>Procurement_Raw!I943</f>
        <v>193.9</v>
      </c>
      <c r="J943" s="7">
        <f>Procurement_Raw!J943</f>
        <v>11052.31</v>
      </c>
      <c r="K943" s="6">
        <f>Procurement_Raw!K943</f>
        <v>45</v>
      </c>
      <c r="L943" t="str">
        <f>Procurement_Raw!L943</f>
        <v>Procurement Portal</v>
      </c>
      <c r="M943" s="8">
        <f>Procurement_Raw!M943</f>
        <v>2210.462</v>
      </c>
      <c r="N943" s="7">
        <f>Procurement_Raw!N943</f>
        <v>11052.31</v>
      </c>
      <c r="O943" s="7">
        <f t="shared" si="28"/>
        <v>11052.31</v>
      </c>
      <c r="P943" t="str">
        <f>IFERROR(INDEX(Supplier_Lookup!$B$2:$B$200,MATCH(E943,Supplier_Lookup!$A$2:$A$200,0)),"Unmapped")</f>
        <v>Medical Supplies</v>
      </c>
      <c r="Q943" s="10">
        <f>IFERROR(INDEX(Category_Targets!$B$2:$B$9,MATCH(F943,Category_Targets!$A$2:$A$9,0)),0)</f>
        <v>0.06</v>
      </c>
      <c r="R943" s="7">
        <f t="shared" si="29"/>
        <v>663.1386</v>
      </c>
    </row>
    <row r="944" spans="1:18" x14ac:dyDescent="0.25">
      <c r="A944" s="5">
        <f>Procurement_Raw!A944</f>
        <v>45874</v>
      </c>
      <c r="B944" t="str">
        <f>Procurement_Raw!B944</f>
        <v>S002</v>
      </c>
      <c r="C944" t="str">
        <f>Procurement_Raw!C944</f>
        <v>Manchester Care &amp; Education Centre</v>
      </c>
      <c r="D944" t="str">
        <f>Procurement_Raw!D944</f>
        <v>North</v>
      </c>
      <c r="E944" t="str">
        <f>Procurement_Raw!E944</f>
        <v>OfficePlus</v>
      </c>
      <c r="F944" t="str">
        <f>Procurement_Raw!F944</f>
        <v>Office &amp; Training</v>
      </c>
      <c r="G944" t="str">
        <f>Procurement_Raw!G944</f>
        <v>INV-2025-00943</v>
      </c>
      <c r="H944" s="6">
        <f>Procurement_Raw!H944</f>
        <v>38</v>
      </c>
      <c r="I944" s="7">
        <f>Procurement_Raw!I944</f>
        <v>107.24</v>
      </c>
      <c r="J944" s="7">
        <f>Procurement_Raw!J944</f>
        <v>4075.24</v>
      </c>
      <c r="K944" s="6">
        <f>Procurement_Raw!K944</f>
        <v>60</v>
      </c>
      <c r="L944" t="str">
        <f>Procurement_Raw!L944</f>
        <v>ERP</v>
      </c>
      <c r="M944" s="8">
        <f>Procurement_Raw!M944</f>
        <v>815.048</v>
      </c>
      <c r="N944" s="7">
        <f>Procurement_Raw!N944</f>
        <v>4075.24</v>
      </c>
      <c r="O944" s="7">
        <f t="shared" si="28"/>
        <v>4075.24</v>
      </c>
      <c r="P944" t="str">
        <f>IFERROR(INDEX(Supplier_Lookup!$B$2:$B$200,MATCH(E944,Supplier_Lookup!$A$2:$A$200,0)),"Unmapped")</f>
        <v>Office &amp; Training</v>
      </c>
      <c r="Q944" s="10">
        <f>IFERROR(INDEX(Category_Targets!$B$2:$B$9,MATCH(F944,Category_Targets!$A$2:$A$9,0)),0)</f>
        <v>0.04</v>
      </c>
      <c r="R944" s="7">
        <f t="shared" si="29"/>
        <v>163.00960000000001</v>
      </c>
    </row>
    <row r="945" spans="1:18" x14ac:dyDescent="0.25">
      <c r="A945" s="5">
        <f>Procurement_Raw!A945</f>
        <v>45988</v>
      </c>
      <c r="B945" t="str">
        <f>Procurement_Raw!B945</f>
        <v>S020</v>
      </c>
      <c r="C945" t="str">
        <f>Procurement_Raw!C945</f>
        <v>Bangor Care &amp; Education Centre</v>
      </c>
      <c r="D945" t="str">
        <f>Procurement_Raw!D945</f>
        <v>Wales</v>
      </c>
      <c r="E945" t="str">
        <f>Procurement_Raw!E945</f>
        <v>SafeGuard FM</v>
      </c>
      <c r="F945" t="str">
        <f>Procurement_Raw!F945</f>
        <v>Facilities</v>
      </c>
      <c r="G945" t="str">
        <f>Procurement_Raw!G945</f>
        <v>INV-2025-00944</v>
      </c>
      <c r="H945" s="6">
        <f>Procurement_Raw!H945</f>
        <v>58</v>
      </c>
      <c r="I945" s="7">
        <f>Procurement_Raw!I945</f>
        <v>170.44</v>
      </c>
      <c r="J945" s="7">
        <f>Procurement_Raw!J945</f>
        <v>9885.7800000000007</v>
      </c>
      <c r="K945" s="6">
        <f>Procurement_Raw!K945</f>
        <v>30</v>
      </c>
      <c r="L945" t="str">
        <f>Procurement_Raw!L945</f>
        <v>Legacy Spend File</v>
      </c>
      <c r="M945" s="8">
        <f>Procurement_Raw!M945</f>
        <v>1977.1559999999999</v>
      </c>
      <c r="N945" s="7">
        <f>Procurement_Raw!N945</f>
        <v>9885.7800000000007</v>
      </c>
      <c r="O945" s="7">
        <f t="shared" si="28"/>
        <v>9885.7800000000007</v>
      </c>
      <c r="P945" t="str">
        <f>IFERROR(INDEX(Supplier_Lookup!$B$2:$B$200,MATCH(E945,Supplier_Lookup!$A$2:$A$200,0)),"Unmapped")</f>
        <v>Facilities</v>
      </c>
      <c r="Q945" s="10">
        <f>IFERROR(INDEX(Category_Targets!$B$2:$B$9,MATCH(F945,Category_Targets!$A$2:$A$9,0)),0)</f>
        <v>0.05</v>
      </c>
      <c r="R945" s="7">
        <f t="shared" si="29"/>
        <v>494.28900000000004</v>
      </c>
    </row>
    <row r="946" spans="1:18" x14ac:dyDescent="0.25">
      <c r="A946" s="5">
        <f>Procurement_Raw!A946</f>
        <v>45957</v>
      </c>
      <c r="B946" t="str">
        <f>Procurement_Raw!B946</f>
        <v>S009</v>
      </c>
      <c r="C946" t="str">
        <f>Procurement_Raw!C946</f>
        <v>Derby Care &amp; Education Centre</v>
      </c>
      <c r="D946" t="str">
        <f>Procurement_Raw!D946</f>
        <v>Midlands</v>
      </c>
      <c r="E946" t="str">
        <f>Procurement_Raw!E946</f>
        <v>FreshServe</v>
      </c>
      <c r="F946" t="str">
        <f>Procurement_Raw!F946</f>
        <v>Food &amp; Catering</v>
      </c>
      <c r="G946" t="str">
        <f>Procurement_Raw!G946</f>
        <v>INV-2025-00945</v>
      </c>
      <c r="H946" s="6">
        <f>Procurement_Raw!H946</f>
        <v>70</v>
      </c>
      <c r="I946" s="7">
        <f>Procurement_Raw!I946</f>
        <v>179.48</v>
      </c>
      <c r="J946" s="7">
        <f>Procurement_Raw!J946</f>
        <v>12563.27</v>
      </c>
      <c r="K946" s="6">
        <f>Procurement_Raw!K946</f>
        <v>30</v>
      </c>
      <c r="L946" t="str">
        <f>Procurement_Raw!L946</f>
        <v>Procurement Portal</v>
      </c>
      <c r="M946" s="8">
        <f>Procurement_Raw!M946</f>
        <v>2512.654</v>
      </c>
      <c r="N946" s="7">
        <f>Procurement_Raw!N946</f>
        <v>12563.27</v>
      </c>
      <c r="O946" s="7">
        <f t="shared" si="28"/>
        <v>12563.27</v>
      </c>
      <c r="P946" t="str">
        <f>IFERROR(INDEX(Supplier_Lookup!$B$2:$B$200,MATCH(E946,Supplier_Lookup!$A$2:$A$200,0)),"Unmapped")</f>
        <v>Food &amp; Catering</v>
      </c>
      <c r="Q946" s="10">
        <f>IFERROR(INDEX(Category_Targets!$B$2:$B$9,MATCH(F946,Category_Targets!$A$2:$A$9,0)),0)</f>
        <v>0.04</v>
      </c>
      <c r="R946" s="7">
        <f t="shared" si="29"/>
        <v>502.53080000000006</v>
      </c>
    </row>
    <row r="947" spans="1:18" x14ac:dyDescent="0.25">
      <c r="A947" s="5">
        <f>Procurement_Raw!A947</f>
        <v>45670</v>
      </c>
      <c r="B947" t="str">
        <f>Procurement_Raw!B947</f>
        <v>S016</v>
      </c>
      <c r="C947" t="str">
        <f>Procurement_Raw!C947</f>
        <v>Cardiff Care &amp; Education Centre</v>
      </c>
      <c r="D947" t="str">
        <f>Procurement_Raw!D947</f>
        <v>Wales</v>
      </c>
      <c r="E947" t="str">
        <f>Procurement_Raw!E947</f>
        <v>RoadReady</v>
      </c>
      <c r="F947" t="str">
        <f>Procurement_Raw!F947</f>
        <v>Vehicle &amp; Fuel</v>
      </c>
      <c r="G947" t="str">
        <f>Procurement_Raw!G947</f>
        <v>INV-2025-00946</v>
      </c>
      <c r="H947" s="6">
        <f>Procurement_Raw!H947</f>
        <v>23</v>
      </c>
      <c r="I947" s="7">
        <f>Procurement_Raw!I947</f>
        <v>52.74</v>
      </c>
      <c r="J947" s="7">
        <f>Procurement_Raw!J947</f>
        <v>1212.97</v>
      </c>
      <c r="K947" s="6">
        <f>Procurement_Raw!K947</f>
        <v>45</v>
      </c>
      <c r="L947" t="str">
        <f>Procurement_Raw!L947</f>
        <v>Legacy Spend File</v>
      </c>
      <c r="M947" s="8">
        <f>Procurement_Raw!M947</f>
        <v>242.59399999999999</v>
      </c>
      <c r="N947" s="7">
        <f>Procurement_Raw!N947</f>
        <v>1212.97</v>
      </c>
      <c r="O947" s="7">
        <f t="shared" si="28"/>
        <v>1212.97</v>
      </c>
      <c r="P947" t="str">
        <f>IFERROR(INDEX(Supplier_Lookup!$B$2:$B$200,MATCH(E947,Supplier_Lookup!$A$2:$A$200,0)),"Unmapped")</f>
        <v>Vehicle &amp; Fuel</v>
      </c>
      <c r="Q947" s="10">
        <f>IFERROR(INDEX(Category_Targets!$B$2:$B$9,MATCH(F947,Category_Targets!$A$2:$A$9,0)),0)</f>
        <v>0.05</v>
      </c>
      <c r="R947" s="7">
        <f t="shared" si="29"/>
        <v>60.648500000000006</v>
      </c>
    </row>
    <row r="948" spans="1:18" x14ac:dyDescent="0.25">
      <c r="A948" s="5">
        <f>Procurement_Raw!A948</f>
        <v>45704</v>
      </c>
      <c r="B948" t="str">
        <f>Procurement_Raw!B948</f>
        <v>S020</v>
      </c>
      <c r="C948" t="str">
        <f>Procurement_Raw!C948</f>
        <v>Bangor Care &amp; Education Centre</v>
      </c>
      <c r="D948" t="str">
        <f>Procurement_Raw!D948</f>
        <v>Wales</v>
      </c>
      <c r="E948" t="str">
        <f>Procurement_Raw!E948</f>
        <v>WaterGrid</v>
      </c>
      <c r="F948" t="str">
        <f>Procurement_Raw!F948</f>
        <v>Utilities</v>
      </c>
      <c r="G948" t="str">
        <f>Procurement_Raw!G948</f>
        <v>INV-2025-00947</v>
      </c>
      <c r="H948" s="6">
        <f>Procurement_Raw!H948</f>
        <v>33</v>
      </c>
      <c r="I948" s="7">
        <f>Procurement_Raw!I948</f>
        <v>108.03</v>
      </c>
      <c r="J948" s="7">
        <f>Procurement_Raw!J948</f>
        <v>3565.04</v>
      </c>
      <c r="K948" s="6">
        <f>Procurement_Raw!K948</f>
        <v>45</v>
      </c>
      <c r="L948" t="str">
        <f>Procurement_Raw!L948</f>
        <v>Legacy Spend File</v>
      </c>
      <c r="M948" s="8">
        <f>Procurement_Raw!M948</f>
        <v>713.00800000000004</v>
      </c>
      <c r="N948" s="7">
        <f>Procurement_Raw!N948</f>
        <v>3565.04</v>
      </c>
      <c r="O948" s="7">
        <f t="shared" si="28"/>
        <v>3565.04</v>
      </c>
      <c r="P948" t="str">
        <f>IFERROR(INDEX(Supplier_Lookup!$B$2:$B$200,MATCH(E948,Supplier_Lookup!$A$2:$A$200,0)),"Unmapped")</f>
        <v>Utilities</v>
      </c>
      <c r="Q948" s="10">
        <f>IFERROR(INDEX(Category_Targets!$B$2:$B$9,MATCH(F948,Category_Targets!$A$2:$A$9,0)),0)</f>
        <v>0.03</v>
      </c>
      <c r="R948" s="7">
        <f t="shared" si="29"/>
        <v>106.9512</v>
      </c>
    </row>
    <row r="949" spans="1:18" x14ac:dyDescent="0.25">
      <c r="A949" s="5">
        <f>Procurement_Raw!A949</f>
        <v>45721</v>
      </c>
      <c r="B949" t="str">
        <f>Procurement_Raw!B949</f>
        <v>S003</v>
      </c>
      <c r="C949" t="str">
        <f>Procurement_Raw!C949</f>
        <v>Leeds Care &amp; Education Centre</v>
      </c>
      <c r="D949" t="str">
        <f>Procurement_Raw!D949</f>
        <v>North</v>
      </c>
      <c r="E949" t="str">
        <f>Procurement_Raw!E949</f>
        <v>BuildCare</v>
      </c>
      <c r="F949" t="str">
        <f>Procurement_Raw!F949</f>
        <v>Facilities</v>
      </c>
      <c r="G949" t="str">
        <f>Procurement_Raw!G949</f>
        <v>INV-2025-00948</v>
      </c>
      <c r="H949" s="6">
        <f>Procurement_Raw!H949</f>
        <v>12</v>
      </c>
      <c r="I949" s="7">
        <f>Procurement_Raw!I949</f>
        <v>123.03</v>
      </c>
      <c r="J949" s="7">
        <f>Procurement_Raw!J949</f>
        <v>1476.33</v>
      </c>
      <c r="K949" s="6">
        <f>Procurement_Raw!K949</f>
        <v>30</v>
      </c>
      <c r="L949" t="str">
        <f>Procurement_Raw!L949</f>
        <v>Legacy Spend File</v>
      </c>
      <c r="M949" s="8">
        <f>Procurement_Raw!M949</f>
        <v>295.26600000000002</v>
      </c>
      <c r="N949" s="7">
        <f>Procurement_Raw!N949</f>
        <v>1476.33</v>
      </c>
      <c r="O949" s="7">
        <f t="shared" si="28"/>
        <v>1476.33</v>
      </c>
      <c r="P949" t="str">
        <f>IFERROR(INDEX(Supplier_Lookup!$B$2:$B$200,MATCH(E949,Supplier_Lookup!$A$2:$A$200,0)),"Unmapped")</f>
        <v>Facilities</v>
      </c>
      <c r="Q949" s="10">
        <f>IFERROR(INDEX(Category_Targets!$B$2:$B$9,MATCH(F949,Category_Targets!$A$2:$A$9,0)),0)</f>
        <v>0.05</v>
      </c>
      <c r="R949" s="7">
        <f t="shared" si="29"/>
        <v>73.816500000000005</v>
      </c>
    </row>
    <row r="950" spans="1:18" x14ac:dyDescent="0.25">
      <c r="A950" s="5">
        <f>Procurement_Raw!A950</f>
        <v>45926</v>
      </c>
      <c r="B950" t="str">
        <f>Procurement_Raw!B950</f>
        <v>S005</v>
      </c>
      <c r="C950" t="str">
        <f>Procurement_Raw!C950</f>
        <v>Sheffield Care &amp; Education Centre</v>
      </c>
      <c r="D950" t="str">
        <f>Procurement_Raw!D950</f>
        <v>North</v>
      </c>
      <c r="E950" t="str">
        <f>Procurement_Raw!E950</f>
        <v>FleetFuel</v>
      </c>
      <c r="F950" t="str">
        <f>Procurement_Raw!F950</f>
        <v>Vehicle &amp; Fuel</v>
      </c>
      <c r="G950" t="str">
        <f>Procurement_Raw!G950</f>
        <v>INV-2025-00949</v>
      </c>
      <c r="H950" s="6">
        <f>Procurement_Raw!H950</f>
        <v>50</v>
      </c>
      <c r="I950" s="7">
        <f>Procurement_Raw!I950</f>
        <v>92.65</v>
      </c>
      <c r="J950" s="7">
        <f>Procurement_Raw!J950</f>
        <v>4632.3900000000003</v>
      </c>
      <c r="K950" s="6">
        <f>Procurement_Raw!K950</f>
        <v>60</v>
      </c>
      <c r="L950" t="str">
        <f>Procurement_Raw!L950</f>
        <v>Legacy Spend File</v>
      </c>
      <c r="M950" s="8">
        <f>Procurement_Raw!M950</f>
        <v>926.47799999999995</v>
      </c>
      <c r="N950" s="7">
        <f>Procurement_Raw!N950</f>
        <v>4632.3900000000003</v>
      </c>
      <c r="O950" s="7">
        <f t="shared" si="28"/>
        <v>4632.3900000000003</v>
      </c>
      <c r="P950" t="str">
        <f>IFERROR(INDEX(Supplier_Lookup!$B$2:$B$200,MATCH(E950,Supplier_Lookup!$A$2:$A$200,0)),"Unmapped")</f>
        <v>Vehicle &amp; Fuel</v>
      </c>
      <c r="Q950" s="10">
        <f>IFERROR(INDEX(Category_Targets!$B$2:$B$9,MATCH(F950,Category_Targets!$A$2:$A$9,0)),0)</f>
        <v>0.05</v>
      </c>
      <c r="R950" s="7">
        <f t="shared" si="29"/>
        <v>231.61950000000002</v>
      </c>
    </row>
    <row r="951" spans="1:18" x14ac:dyDescent="0.25">
      <c r="A951" s="5">
        <f>Procurement_Raw!A951</f>
        <v>45939</v>
      </c>
      <c r="B951" t="str">
        <f>Procurement_Raw!B951</f>
        <v>S003</v>
      </c>
      <c r="C951" t="str">
        <f>Procurement_Raw!C951</f>
        <v>Leeds Care &amp; Education Centre</v>
      </c>
      <c r="D951" t="str">
        <f>Procurement_Raw!D951</f>
        <v>North</v>
      </c>
      <c r="E951" t="str">
        <f>Procurement_Raw!E951</f>
        <v>SafeGuard FM</v>
      </c>
      <c r="F951" t="str">
        <f>Procurement_Raw!F951</f>
        <v>Facilities</v>
      </c>
      <c r="G951" t="str">
        <f>Procurement_Raw!G951</f>
        <v>INV-2025-00950</v>
      </c>
      <c r="H951" s="6">
        <f>Procurement_Raw!H951</f>
        <v>49</v>
      </c>
      <c r="I951" s="7">
        <f>Procurement_Raw!I951</f>
        <v>205.78</v>
      </c>
      <c r="J951" s="7">
        <f>Procurement_Raw!J951</f>
        <v>10083.08</v>
      </c>
      <c r="K951" s="6">
        <f>Procurement_Raw!K951</f>
        <v>30</v>
      </c>
      <c r="L951" t="str">
        <f>Procurement_Raw!L951</f>
        <v>ERP</v>
      </c>
      <c r="M951" s="8">
        <f>Procurement_Raw!M951</f>
        <v>2016.616</v>
      </c>
      <c r="N951" s="7">
        <f>Procurement_Raw!N951</f>
        <v>10083.08</v>
      </c>
      <c r="O951" s="7">
        <f t="shared" si="28"/>
        <v>10083.08</v>
      </c>
      <c r="P951" t="str">
        <f>IFERROR(INDEX(Supplier_Lookup!$B$2:$B$200,MATCH(E951,Supplier_Lookup!$A$2:$A$200,0)),"Unmapped")</f>
        <v>Facilities</v>
      </c>
      <c r="Q951" s="10">
        <f>IFERROR(INDEX(Category_Targets!$B$2:$B$9,MATCH(F951,Category_Targets!$A$2:$A$9,0)),0)</f>
        <v>0.05</v>
      </c>
      <c r="R951" s="7">
        <f t="shared" si="29"/>
        <v>504.154</v>
      </c>
    </row>
    <row r="952" spans="1:18" x14ac:dyDescent="0.25">
      <c r="A952" s="5">
        <f>Procurement_Raw!A952</f>
        <v>45732</v>
      </c>
      <c r="B952" t="str">
        <f>Procurement_Raw!B952</f>
        <v>S013</v>
      </c>
      <c r="C952" t="str">
        <f>Procurement_Raw!C952</f>
        <v>Reading Care &amp; Education Centre</v>
      </c>
      <c r="D952" t="str">
        <f>Procurement_Raw!D952</f>
        <v>South</v>
      </c>
      <c r="E952" t="str">
        <f>Procurement_Raw!E952</f>
        <v>CleanWorks</v>
      </c>
      <c r="F952" t="str">
        <f>Procurement_Raw!F952</f>
        <v>Facilities</v>
      </c>
      <c r="G952" t="str">
        <f>Procurement_Raw!G952</f>
        <v>INV-2025-00951</v>
      </c>
      <c r="H952" s="6">
        <f>Procurement_Raw!H952</f>
        <v>23</v>
      </c>
      <c r="I952" s="7">
        <f>Procurement_Raw!I952</f>
        <v>157.63</v>
      </c>
      <c r="J952" s="7">
        <f>Procurement_Raw!J952</f>
        <v>3625.59</v>
      </c>
      <c r="K952" s="6">
        <f>Procurement_Raw!K952</f>
        <v>60</v>
      </c>
      <c r="L952" t="str">
        <f>Procurement_Raw!L952</f>
        <v>ERP</v>
      </c>
      <c r="M952" s="8">
        <f>Procurement_Raw!M952</f>
        <v>725.11800000000005</v>
      </c>
      <c r="N952" s="7">
        <f>Procurement_Raw!N952</f>
        <v>3625.59</v>
      </c>
      <c r="O952" s="7">
        <f t="shared" si="28"/>
        <v>3625.59</v>
      </c>
      <c r="P952" t="str">
        <f>IFERROR(INDEX(Supplier_Lookup!$B$2:$B$200,MATCH(E952,Supplier_Lookup!$A$2:$A$200,0)),"Unmapped")</f>
        <v>Facilities</v>
      </c>
      <c r="Q952" s="10">
        <f>IFERROR(INDEX(Category_Targets!$B$2:$B$9,MATCH(F952,Category_Targets!$A$2:$A$9,0)),0)</f>
        <v>0.05</v>
      </c>
      <c r="R952" s="7">
        <f t="shared" si="29"/>
        <v>181.27950000000001</v>
      </c>
    </row>
    <row r="953" spans="1:18" x14ac:dyDescent="0.25">
      <c r="A953" s="5">
        <f>Procurement_Raw!A953</f>
        <v>45886</v>
      </c>
      <c r="B953" t="str">
        <f>Procurement_Raw!B953</f>
        <v>S007</v>
      </c>
      <c r="C953" t="str">
        <f>Procurement_Raw!C953</f>
        <v>Nottingham Care &amp; Education Centre</v>
      </c>
      <c r="D953" t="str">
        <f>Procurement_Raw!D953</f>
        <v>Midlands</v>
      </c>
      <c r="E953" t="str">
        <f>Procurement_Raw!E953</f>
        <v>TeleCare IT</v>
      </c>
      <c r="F953" t="str">
        <f>Procurement_Raw!F953</f>
        <v>IT &amp; Telecoms</v>
      </c>
      <c r="G953" t="str">
        <f>Procurement_Raw!G953</f>
        <v>INV-2025-00952</v>
      </c>
      <c r="H953" s="6">
        <f>Procurement_Raw!H953</f>
        <v>37</v>
      </c>
      <c r="I953" s="7">
        <f>Procurement_Raw!I953</f>
        <v>267</v>
      </c>
      <c r="J953" s="7">
        <f>Procurement_Raw!J953</f>
        <v>9879.09</v>
      </c>
      <c r="K953" s="6">
        <f>Procurement_Raw!K953</f>
        <v>60</v>
      </c>
      <c r="L953" t="str">
        <f>Procurement_Raw!L953</f>
        <v>ERP</v>
      </c>
      <c r="M953" s="8">
        <f>Procurement_Raw!M953</f>
        <v>1975.818</v>
      </c>
      <c r="N953" s="7">
        <f>Procurement_Raw!N953</f>
        <v>9879.09</v>
      </c>
      <c r="O953" s="7">
        <f t="shared" si="28"/>
        <v>9879.09</v>
      </c>
      <c r="P953" t="str">
        <f>IFERROR(INDEX(Supplier_Lookup!$B$2:$B$200,MATCH(E953,Supplier_Lookup!$A$2:$A$200,0)),"Unmapped")</f>
        <v>IT &amp; Telecoms</v>
      </c>
      <c r="Q953" s="10">
        <f>IFERROR(INDEX(Category_Targets!$B$2:$B$9,MATCH(F953,Category_Targets!$A$2:$A$9,0)),0)</f>
        <v>0.08</v>
      </c>
      <c r="R953" s="7">
        <f t="shared" si="29"/>
        <v>790.32720000000006</v>
      </c>
    </row>
    <row r="954" spans="1:18" x14ac:dyDescent="0.25">
      <c r="A954" s="5">
        <f>Procurement_Raw!A954</f>
        <v>45659</v>
      </c>
      <c r="B954" t="str">
        <f>Procurement_Raw!B954</f>
        <v>S002</v>
      </c>
      <c r="C954" t="str">
        <f>Procurement_Raw!C954</f>
        <v>Manchester Care &amp; Education Centre</v>
      </c>
      <c r="D954" t="str">
        <f>Procurement_Raw!D954</f>
        <v>North</v>
      </c>
      <c r="E954" t="str">
        <f>Procurement_Raw!E954</f>
        <v>CleanWorks</v>
      </c>
      <c r="F954" t="str">
        <f>Procurement_Raw!F954</f>
        <v>Facilities</v>
      </c>
      <c r="G954" t="str">
        <f>Procurement_Raw!G954</f>
        <v>INV-2025-00953</v>
      </c>
      <c r="H954" s="6">
        <f>Procurement_Raw!H954</f>
        <v>80</v>
      </c>
      <c r="I954" s="7">
        <f>Procurement_Raw!I954</f>
        <v>90.43</v>
      </c>
      <c r="J954" s="7">
        <f>Procurement_Raw!J954</f>
        <v>7234.65</v>
      </c>
      <c r="K954" s="6">
        <f>Procurement_Raw!K954</f>
        <v>45</v>
      </c>
      <c r="L954" t="str">
        <f>Procurement_Raw!L954</f>
        <v>ERP</v>
      </c>
      <c r="M954" s="8">
        <f>Procurement_Raw!M954</f>
        <v>1446.93</v>
      </c>
      <c r="N954" s="7">
        <f>Procurement_Raw!N954</f>
        <v>7234.65</v>
      </c>
      <c r="O954" s="7">
        <f t="shared" si="28"/>
        <v>7234.65</v>
      </c>
      <c r="P954" t="str">
        <f>IFERROR(INDEX(Supplier_Lookup!$B$2:$B$200,MATCH(E954,Supplier_Lookup!$A$2:$A$200,0)),"Unmapped")</f>
        <v>Facilities</v>
      </c>
      <c r="Q954" s="10">
        <f>IFERROR(INDEX(Category_Targets!$B$2:$B$9,MATCH(F954,Category_Targets!$A$2:$A$9,0)),0)</f>
        <v>0.05</v>
      </c>
      <c r="R954" s="7">
        <f t="shared" si="29"/>
        <v>361.73250000000002</v>
      </c>
    </row>
    <row r="955" spans="1:18" x14ac:dyDescent="0.25">
      <c r="A955" s="5">
        <f>Procurement_Raw!A955</f>
        <v>45936</v>
      </c>
      <c r="B955" t="str">
        <f>Procurement_Raw!B955</f>
        <v>S015</v>
      </c>
      <c r="C955" t="str">
        <f>Procurement_Raw!C955</f>
        <v>Brighton Care &amp; Education Centre</v>
      </c>
      <c r="D955" t="str">
        <f>Procurement_Raw!D955</f>
        <v>South</v>
      </c>
      <c r="E955" t="str">
        <f>Procurement_Raw!E955</f>
        <v>LearnWell</v>
      </c>
      <c r="F955" t="str">
        <f>Procurement_Raw!F955</f>
        <v>Office &amp; Training</v>
      </c>
      <c r="G955" t="str">
        <f>Procurement_Raw!G955</f>
        <v>INV-2025-00954</v>
      </c>
      <c r="H955" s="6">
        <f>Procurement_Raw!H955</f>
        <v>1</v>
      </c>
      <c r="I955" s="7">
        <f>Procurement_Raw!I955</f>
        <v>165.93</v>
      </c>
      <c r="J955" s="7">
        <f>Procurement_Raw!J955</f>
        <v>165.93</v>
      </c>
      <c r="K955" s="6">
        <f>Procurement_Raw!K955</f>
        <v>60</v>
      </c>
      <c r="L955" t="str">
        <f>Procurement_Raw!L955</f>
        <v>Procurement Portal</v>
      </c>
      <c r="M955" s="8">
        <f>Procurement_Raw!M955</f>
        <v>33.186</v>
      </c>
      <c r="N955" s="7">
        <f>Procurement_Raw!N955</f>
        <v>165.93</v>
      </c>
      <c r="O955" s="7">
        <f t="shared" si="28"/>
        <v>165.93</v>
      </c>
      <c r="P955" t="str">
        <f>IFERROR(INDEX(Supplier_Lookup!$B$2:$B$200,MATCH(E955,Supplier_Lookup!$A$2:$A$200,0)),"Unmapped")</f>
        <v>Office &amp; Training</v>
      </c>
      <c r="Q955" s="10">
        <f>IFERROR(INDEX(Category_Targets!$B$2:$B$9,MATCH(F955,Category_Targets!$A$2:$A$9,0)),0)</f>
        <v>0.04</v>
      </c>
      <c r="R955" s="7">
        <f t="shared" si="29"/>
        <v>6.6372</v>
      </c>
    </row>
    <row r="956" spans="1:18" x14ac:dyDescent="0.25">
      <c r="A956" s="5">
        <f>Procurement_Raw!A956</f>
        <v>45995</v>
      </c>
      <c r="B956" t="str">
        <f>Procurement_Raw!B956</f>
        <v>S019</v>
      </c>
      <c r="C956" t="str">
        <f>Procurement_Raw!C956</f>
        <v>Wrexham Care &amp; Education Centre</v>
      </c>
      <c r="D956" t="str">
        <f>Procurement_Raw!D956</f>
        <v>Wales</v>
      </c>
      <c r="E956" t="str">
        <f>Procurement_Raw!E956</f>
        <v>PowerDirect</v>
      </c>
      <c r="F956" t="str">
        <f>Procurement_Raw!F956</f>
        <v>Utilities</v>
      </c>
      <c r="G956" t="str">
        <f>Procurement_Raw!G956</f>
        <v>INV-2025-00955</v>
      </c>
      <c r="H956" s="6">
        <f>Procurement_Raw!H956</f>
        <v>61</v>
      </c>
      <c r="I956" s="7">
        <f>Procurement_Raw!I956</f>
        <v>238.96</v>
      </c>
      <c r="J956" s="7">
        <f>Procurement_Raw!J956</f>
        <v>14576.29</v>
      </c>
      <c r="K956" s="6">
        <f>Procurement_Raw!K956</f>
        <v>45</v>
      </c>
      <c r="L956" t="str">
        <f>Procurement_Raw!L956</f>
        <v>Procurement Portal</v>
      </c>
      <c r="M956" s="8">
        <f>Procurement_Raw!M956</f>
        <v>2915.2579999999998</v>
      </c>
      <c r="N956" s="7">
        <f>Procurement_Raw!N956</f>
        <v>14576.29</v>
      </c>
      <c r="O956" s="7">
        <f t="shared" si="28"/>
        <v>14576.29</v>
      </c>
      <c r="P956" t="str">
        <f>IFERROR(INDEX(Supplier_Lookup!$B$2:$B$200,MATCH(E956,Supplier_Lookup!$A$2:$A$200,0)),"Unmapped")</f>
        <v>Utilities</v>
      </c>
      <c r="Q956" s="10">
        <f>IFERROR(INDEX(Category_Targets!$B$2:$B$9,MATCH(F956,Category_Targets!$A$2:$A$9,0)),0)</f>
        <v>0.03</v>
      </c>
      <c r="R956" s="7">
        <f t="shared" si="29"/>
        <v>437.28870000000001</v>
      </c>
    </row>
    <row r="957" spans="1:18" x14ac:dyDescent="0.25">
      <c r="A957" s="5">
        <f>Procurement_Raw!A957</f>
        <v>45965</v>
      </c>
      <c r="B957" t="str">
        <f>Procurement_Raw!B957</f>
        <v>S018</v>
      </c>
      <c r="C957" t="str">
        <f>Procurement_Raw!C957</f>
        <v>Newport Care &amp; Education Centre</v>
      </c>
      <c r="D957" t="str">
        <f>Procurement_Raw!D957</f>
        <v>Wales</v>
      </c>
      <c r="E957" t="str">
        <f>Procurement_Raw!E957</f>
        <v>KitchenPro</v>
      </c>
      <c r="F957" t="str">
        <f>Procurement_Raw!F957</f>
        <v>Food &amp; Catering</v>
      </c>
      <c r="G957" t="str">
        <f>Procurement_Raw!G957</f>
        <v>INV-2025-00956</v>
      </c>
      <c r="H957" s="6">
        <f>Procurement_Raw!H957</f>
        <v>1</v>
      </c>
      <c r="I957" s="7">
        <f>Procurement_Raw!I957</f>
        <v>120.17</v>
      </c>
      <c r="J957" s="7">
        <f>Procurement_Raw!J957</f>
        <v>120.17</v>
      </c>
      <c r="K957" s="6">
        <f>Procurement_Raw!K957</f>
        <v>30</v>
      </c>
      <c r="L957" t="str">
        <f>Procurement_Raw!L957</f>
        <v>Legacy Spend File</v>
      </c>
      <c r="M957" s="8">
        <f>Procurement_Raw!M957</f>
        <v>24.033999999999999</v>
      </c>
      <c r="N957" s="7">
        <f>Procurement_Raw!N957</f>
        <v>120.17</v>
      </c>
      <c r="O957" s="7">
        <f t="shared" si="28"/>
        <v>120.17</v>
      </c>
      <c r="P957" t="str">
        <f>IFERROR(INDEX(Supplier_Lookup!$B$2:$B$200,MATCH(E957,Supplier_Lookup!$A$2:$A$200,0)),"Unmapped")</f>
        <v>Food &amp; Catering</v>
      </c>
      <c r="Q957" s="10">
        <f>IFERROR(INDEX(Category_Targets!$B$2:$B$9,MATCH(F957,Category_Targets!$A$2:$A$9,0)),0)</f>
        <v>0.04</v>
      </c>
      <c r="R957" s="7">
        <f t="shared" si="29"/>
        <v>4.8068</v>
      </c>
    </row>
    <row r="958" spans="1:18" x14ac:dyDescent="0.25">
      <c r="A958" s="5">
        <f>Procurement_Raw!A958</f>
        <v>45752</v>
      </c>
      <c r="B958" t="str">
        <f>Procurement_Raw!B958</f>
        <v>S019</v>
      </c>
      <c r="C958" t="str">
        <f>Procurement_Raw!C958</f>
        <v>Wrexham Care &amp; Education Centre</v>
      </c>
      <c r="D958" t="str">
        <f>Procurement_Raw!D958</f>
        <v>Wales</v>
      </c>
      <c r="E958" t="str">
        <f>Procurement_Raw!E958</f>
        <v>UK Energy Partners</v>
      </c>
      <c r="F958" t="str">
        <f>Procurement_Raw!F958</f>
        <v>Utilities</v>
      </c>
      <c r="G958" t="str">
        <f>Procurement_Raw!G958</f>
        <v>INV-2025-00957</v>
      </c>
      <c r="H958" s="6">
        <f>Procurement_Raw!H958</f>
        <v>19</v>
      </c>
      <c r="I958" s="7">
        <f>Procurement_Raw!I958</f>
        <v>301.86</v>
      </c>
      <c r="J958" s="7">
        <f>Procurement_Raw!J958</f>
        <v>5735.32</v>
      </c>
      <c r="K958" s="6">
        <f>Procurement_Raw!K958</f>
        <v>30</v>
      </c>
      <c r="L958" t="str">
        <f>Procurement_Raw!L958</f>
        <v>Legacy Spend File</v>
      </c>
      <c r="M958" s="8">
        <f>Procurement_Raw!M958</f>
        <v>1147.0640000000001</v>
      </c>
      <c r="N958" s="7">
        <f>Procurement_Raw!N958</f>
        <v>5735.32</v>
      </c>
      <c r="O958" s="7">
        <f t="shared" si="28"/>
        <v>5735.32</v>
      </c>
      <c r="P958" t="str">
        <f>IFERROR(INDEX(Supplier_Lookup!$B$2:$B$200,MATCH(E958,Supplier_Lookup!$A$2:$A$200,0)),"Unmapped")</f>
        <v>Utilities</v>
      </c>
      <c r="Q958" s="10">
        <f>IFERROR(INDEX(Category_Targets!$B$2:$B$9,MATCH(F958,Category_Targets!$A$2:$A$9,0)),0)</f>
        <v>0.03</v>
      </c>
      <c r="R958" s="7">
        <f t="shared" si="29"/>
        <v>172.05959999999999</v>
      </c>
    </row>
    <row r="959" spans="1:18" x14ac:dyDescent="0.25">
      <c r="A959" s="5">
        <f>Procurement_Raw!A959</f>
        <v>45674</v>
      </c>
      <c r="B959" t="str">
        <f>Procurement_Raw!B959</f>
        <v>S018</v>
      </c>
      <c r="C959" t="str">
        <f>Procurement_Raw!C959</f>
        <v>Newport Care &amp; Education Centre</v>
      </c>
      <c r="D959" t="str">
        <f>Procurement_Raw!D959</f>
        <v>Wales</v>
      </c>
      <c r="E959" t="str">
        <f>Procurement_Raw!E959</f>
        <v>MediSure</v>
      </c>
      <c r="F959" t="str">
        <f>Procurement_Raw!F959</f>
        <v>Medical Supplies</v>
      </c>
      <c r="G959" t="str">
        <f>Procurement_Raw!G959</f>
        <v>INV-2025-00958</v>
      </c>
      <c r="H959" s="6">
        <f>Procurement_Raw!H959</f>
        <v>74</v>
      </c>
      <c r="I959" s="7">
        <f>Procurement_Raw!I959</f>
        <v>154.27000000000001</v>
      </c>
      <c r="J959" s="7">
        <f>Procurement_Raw!J959</f>
        <v>11416</v>
      </c>
      <c r="K959" s="6">
        <f>Procurement_Raw!K959</f>
        <v>60</v>
      </c>
      <c r="L959" t="str">
        <f>Procurement_Raw!L959</f>
        <v>Procurement Portal</v>
      </c>
      <c r="M959" s="8">
        <f>Procurement_Raw!M959</f>
        <v>2283.1999999999998</v>
      </c>
      <c r="N959" s="7">
        <f>Procurement_Raw!N959</f>
        <v>11416</v>
      </c>
      <c r="O959" s="7">
        <f t="shared" si="28"/>
        <v>11416</v>
      </c>
      <c r="P959" t="str">
        <f>IFERROR(INDEX(Supplier_Lookup!$B$2:$B$200,MATCH(E959,Supplier_Lookup!$A$2:$A$200,0)),"Unmapped")</f>
        <v>Medical Supplies</v>
      </c>
      <c r="Q959" s="10">
        <f>IFERROR(INDEX(Category_Targets!$B$2:$B$9,MATCH(F959,Category_Targets!$A$2:$A$9,0)),0)</f>
        <v>0.06</v>
      </c>
      <c r="R959" s="7">
        <f t="shared" si="29"/>
        <v>684.95999999999992</v>
      </c>
    </row>
    <row r="960" spans="1:18" x14ac:dyDescent="0.25">
      <c r="A960" s="5">
        <f>Procurement_Raw!A960</f>
        <v>45713</v>
      </c>
      <c r="B960" t="str">
        <f>Procurement_Raw!B960</f>
        <v>S011</v>
      </c>
      <c r="C960" t="str">
        <f>Procurement_Raw!C960</f>
        <v>London Care &amp; Education Centre</v>
      </c>
      <c r="D960" t="str">
        <f>Procurement_Raw!D960</f>
        <v>South</v>
      </c>
      <c r="E960" t="str">
        <f>Procurement_Raw!E960</f>
        <v>FreshServe</v>
      </c>
      <c r="F960" t="str">
        <f>Procurement_Raw!F960</f>
        <v>Food &amp; Catering</v>
      </c>
      <c r="G960" t="str">
        <f>Procurement_Raw!G960</f>
        <v>INV-2025-00959</v>
      </c>
      <c r="H960" s="6">
        <f>Procurement_Raw!H960</f>
        <v>54</v>
      </c>
      <c r="I960" s="7">
        <f>Procurement_Raw!I960</f>
        <v>88.92</v>
      </c>
      <c r="J960" s="7">
        <f>Procurement_Raw!J960</f>
        <v>4801.79</v>
      </c>
      <c r="K960" s="6">
        <f>Procurement_Raw!K960</f>
        <v>30</v>
      </c>
      <c r="L960" t="str">
        <f>Procurement_Raw!L960</f>
        <v>ERP</v>
      </c>
      <c r="M960" s="8">
        <f>Procurement_Raw!M960</f>
        <v>960.35799999999995</v>
      </c>
      <c r="N960" s="7">
        <f>Procurement_Raw!N960</f>
        <v>4801.79</v>
      </c>
      <c r="O960" s="7">
        <f t="shared" si="28"/>
        <v>4801.79</v>
      </c>
      <c r="P960" t="str">
        <f>IFERROR(INDEX(Supplier_Lookup!$B$2:$B$200,MATCH(E960,Supplier_Lookup!$A$2:$A$200,0)),"Unmapped")</f>
        <v>Food &amp; Catering</v>
      </c>
      <c r="Q960" s="10">
        <f>IFERROR(INDEX(Category_Targets!$B$2:$B$9,MATCH(F960,Category_Targets!$A$2:$A$9,0)),0)</f>
        <v>0.04</v>
      </c>
      <c r="R960" s="7">
        <f t="shared" si="29"/>
        <v>192.07159999999999</v>
      </c>
    </row>
    <row r="961" spans="1:18" x14ac:dyDescent="0.25">
      <c r="A961" s="5">
        <f>Procurement_Raw!A961</f>
        <v>45996</v>
      </c>
      <c r="B961" t="str">
        <f>Procurement_Raw!B961</f>
        <v>S019</v>
      </c>
      <c r="C961" t="str">
        <f>Procurement_Raw!C961</f>
        <v>Wrexham Care &amp; Education Centre</v>
      </c>
      <c r="D961" t="str">
        <f>Procurement_Raw!D961</f>
        <v>Wales</v>
      </c>
      <c r="E961" t="str">
        <f>Procurement_Raw!E961</f>
        <v>netserve</v>
      </c>
      <c r="F961" t="str">
        <f>Procurement_Raw!F961</f>
        <v>IT &amp; Telecoms</v>
      </c>
      <c r="G961" t="str">
        <f>Procurement_Raw!G961</f>
        <v>INV-2025-00960</v>
      </c>
      <c r="H961" s="6">
        <f>Procurement_Raw!H961</f>
        <v>77</v>
      </c>
      <c r="I961" s="7">
        <f>Procurement_Raw!I961</f>
        <v>281.43</v>
      </c>
      <c r="J961" s="7">
        <f>Procurement_Raw!J961</f>
        <v>21669.75</v>
      </c>
      <c r="K961" s="6">
        <f>Procurement_Raw!K961</f>
        <v>60</v>
      </c>
      <c r="L961" t="str">
        <f>Procurement_Raw!L961</f>
        <v>Legacy Spend File</v>
      </c>
      <c r="M961" s="8">
        <f>Procurement_Raw!M961</f>
        <v>4333.95</v>
      </c>
      <c r="N961" s="7">
        <f>Procurement_Raw!N961</f>
        <v>21669.75</v>
      </c>
      <c r="O961" s="7">
        <f t="shared" si="28"/>
        <v>21669.75</v>
      </c>
      <c r="P961" t="str">
        <f>IFERROR(INDEX(Supplier_Lookup!$B$2:$B$200,MATCH(E961,Supplier_Lookup!$A$2:$A$200,0)),"Unmapped")</f>
        <v>IT &amp; Telecoms</v>
      </c>
      <c r="Q961" s="10">
        <f>IFERROR(INDEX(Category_Targets!$B$2:$B$9,MATCH(F961,Category_Targets!$A$2:$A$9,0)),0)</f>
        <v>0.08</v>
      </c>
      <c r="R961" s="7">
        <f t="shared" si="29"/>
        <v>1733.58</v>
      </c>
    </row>
    <row r="962" spans="1:18" x14ac:dyDescent="0.25">
      <c r="A962" s="5">
        <f>Procurement_Raw!A962</f>
        <v>45954</v>
      </c>
      <c r="B962" t="str">
        <f>Procurement_Raw!B962</f>
        <v>S008</v>
      </c>
      <c r="C962" t="str">
        <f>Procurement_Raw!C962</f>
        <v>Leicester Care &amp; Education Centre</v>
      </c>
      <c r="D962" t="str">
        <f>Procurement_Raw!D962</f>
        <v>Midlands</v>
      </c>
      <c r="E962" t="str">
        <f>Procurement_Raw!E962</f>
        <v>PrintCo</v>
      </c>
      <c r="F962" t="str">
        <f>Procurement_Raw!F962</f>
        <v>Office &amp; Training</v>
      </c>
      <c r="G962" t="str">
        <f>Procurement_Raw!G962</f>
        <v>INV-2025-00961</v>
      </c>
      <c r="H962" s="6">
        <f>Procurement_Raw!H962</f>
        <v>47</v>
      </c>
      <c r="I962" s="7">
        <f>Procurement_Raw!I962</f>
        <v>106.8</v>
      </c>
      <c r="J962" s="7">
        <f>Procurement_Raw!J962</f>
        <v>5019.74</v>
      </c>
      <c r="K962" s="6">
        <f>Procurement_Raw!K962</f>
        <v>30</v>
      </c>
      <c r="L962" t="str">
        <f>Procurement_Raw!L962</f>
        <v>ERP</v>
      </c>
      <c r="M962" s="8">
        <f>Procurement_Raw!M962</f>
        <v>1003.948</v>
      </c>
      <c r="N962" s="7">
        <f>Procurement_Raw!N962</f>
        <v>5019.74</v>
      </c>
      <c r="O962" s="7">
        <f t="shared" ref="O962:O1025" si="30">IFERROR(IF(J962="","",J962),0)</f>
        <v>5019.74</v>
      </c>
      <c r="P962" t="str">
        <f>IFERROR(INDEX(Supplier_Lookup!$B$2:$B$200,MATCH(E962,Supplier_Lookup!$A$2:$A$200,0)),"Unmapped")</f>
        <v>Office &amp; Training</v>
      </c>
      <c r="Q962" s="10">
        <f>IFERROR(INDEX(Category_Targets!$B$2:$B$9,MATCH(F962,Category_Targets!$A$2:$A$9,0)),0)</f>
        <v>0.04</v>
      </c>
      <c r="R962" s="7">
        <f t="shared" ref="R962:R1025" si="31">O962*Q962</f>
        <v>200.78960000000001</v>
      </c>
    </row>
    <row r="963" spans="1:18" x14ac:dyDescent="0.25">
      <c r="A963" s="5">
        <f>Procurement_Raw!A963</f>
        <v>45852</v>
      </c>
      <c r="B963" t="str">
        <f>Procurement_Raw!B963</f>
        <v>S020</v>
      </c>
      <c r="C963" t="str">
        <f>Procurement_Raw!C963</f>
        <v>Bangor Care &amp; Education Centre</v>
      </c>
      <c r="D963" t="str">
        <f>Procurement_Raw!D963</f>
        <v>Wales</v>
      </c>
      <c r="E963" t="str">
        <f>Procurement_Raw!E963</f>
        <v>RoadReady</v>
      </c>
      <c r="F963" t="str">
        <f>Procurement_Raw!F963</f>
        <v>Vehicle &amp; Fuel</v>
      </c>
      <c r="G963" t="str">
        <f>Procurement_Raw!G963</f>
        <v>INV-2025-00962</v>
      </c>
      <c r="H963" s="6">
        <f>Procurement_Raw!H963</f>
        <v>9</v>
      </c>
      <c r="I963" s="7">
        <f>Procurement_Raw!I963</f>
        <v>197.34</v>
      </c>
      <c r="J963" s="7">
        <f>Procurement_Raw!J963</f>
        <v>1776.03</v>
      </c>
      <c r="K963" s="6">
        <f>Procurement_Raw!K963</f>
        <v>45</v>
      </c>
      <c r="L963" t="str">
        <f>Procurement_Raw!L963</f>
        <v>Legacy Spend File</v>
      </c>
      <c r="M963" s="8">
        <f>Procurement_Raw!M963</f>
        <v>355.20600000000002</v>
      </c>
      <c r="N963" s="7">
        <f>Procurement_Raw!N963</f>
        <v>1776.03</v>
      </c>
      <c r="O963" s="7">
        <f t="shared" si="30"/>
        <v>1776.03</v>
      </c>
      <c r="P963" t="str">
        <f>IFERROR(INDEX(Supplier_Lookup!$B$2:$B$200,MATCH(E963,Supplier_Lookup!$A$2:$A$200,0)),"Unmapped")</f>
        <v>Vehicle &amp; Fuel</v>
      </c>
      <c r="Q963" s="10">
        <f>IFERROR(INDEX(Category_Targets!$B$2:$B$9,MATCH(F963,Category_Targets!$A$2:$A$9,0)),0)</f>
        <v>0.05</v>
      </c>
      <c r="R963" s="7">
        <f t="shared" si="31"/>
        <v>88.801500000000004</v>
      </c>
    </row>
    <row r="964" spans="1:18" x14ac:dyDescent="0.25">
      <c r="A964" s="5">
        <f>Procurement_Raw!A964</f>
        <v>45726</v>
      </c>
      <c r="B964" t="str">
        <f>Procurement_Raw!B964</f>
        <v>S014</v>
      </c>
      <c r="C964" t="str">
        <f>Procurement_Raw!C964</f>
        <v>Southampton Care &amp; Education Centre</v>
      </c>
      <c r="D964" t="str">
        <f>Procurement_Raw!D964</f>
        <v>South</v>
      </c>
      <c r="E964" t="str">
        <f>Procurement_Raw!E964</f>
        <v>TeleCare IT</v>
      </c>
      <c r="F964" t="str">
        <f>Procurement_Raw!F964</f>
        <v>IT &amp; Telecoms</v>
      </c>
      <c r="G964" t="str">
        <f>Procurement_Raw!G964</f>
        <v>INV-2025-00963</v>
      </c>
      <c r="H964" s="6">
        <f>Procurement_Raw!H964</f>
        <v>16</v>
      </c>
      <c r="I964" s="7">
        <f>Procurement_Raw!I964</f>
        <v>245.11</v>
      </c>
      <c r="J964" s="7">
        <f>Procurement_Raw!J964</f>
        <v>3921.79</v>
      </c>
      <c r="K964" s="6">
        <f>Procurement_Raw!K964</f>
        <v>60</v>
      </c>
      <c r="L964" t="str">
        <f>Procurement_Raw!L964</f>
        <v>Procurement Portal</v>
      </c>
      <c r="M964" s="8">
        <f>Procurement_Raw!M964</f>
        <v>784.35799999999995</v>
      </c>
      <c r="N964" s="7">
        <f>Procurement_Raw!N964</f>
        <v>3921.79</v>
      </c>
      <c r="O964" s="7">
        <f t="shared" si="30"/>
        <v>3921.79</v>
      </c>
      <c r="P964" t="str">
        <f>IFERROR(INDEX(Supplier_Lookup!$B$2:$B$200,MATCH(E964,Supplier_Lookup!$A$2:$A$200,0)),"Unmapped")</f>
        <v>IT &amp; Telecoms</v>
      </c>
      <c r="Q964" s="10">
        <f>IFERROR(INDEX(Category_Targets!$B$2:$B$9,MATCH(F964,Category_Targets!$A$2:$A$9,0)),0)</f>
        <v>0.08</v>
      </c>
      <c r="R964" s="7">
        <f t="shared" si="31"/>
        <v>313.7432</v>
      </c>
    </row>
    <row r="965" spans="1:18" x14ac:dyDescent="0.25">
      <c r="A965" s="5">
        <f>Procurement_Raw!A965</f>
        <v>45765</v>
      </c>
      <c r="B965" t="str">
        <f>Procurement_Raw!B965</f>
        <v>S002</v>
      </c>
      <c r="C965" t="str">
        <f>Procurement_Raw!C965</f>
        <v>Manchester Care &amp; Education Centre</v>
      </c>
      <c r="D965" t="str">
        <f>Procurement_Raw!D965</f>
        <v>North</v>
      </c>
      <c r="E965" t="str">
        <f>Procurement_Raw!E965</f>
        <v>NurseLink</v>
      </c>
      <c r="F965" t="str">
        <f>Procurement_Raw!F965</f>
        <v>Agency Labour</v>
      </c>
      <c r="G965" t="str">
        <f>Procurement_Raw!G965</f>
        <v>INV-2025-00964</v>
      </c>
      <c r="H965" s="6">
        <f>Procurement_Raw!H965</f>
        <v>27</v>
      </c>
      <c r="I965" s="7">
        <f>Procurement_Raw!I965</f>
        <v>443.07</v>
      </c>
      <c r="J965" s="7">
        <f>Procurement_Raw!J965</f>
        <v>11962.97</v>
      </c>
      <c r="K965" s="6">
        <f>Procurement_Raw!K965</f>
        <v>60</v>
      </c>
      <c r="L965" t="str">
        <f>Procurement_Raw!L965</f>
        <v>ERP</v>
      </c>
      <c r="M965" s="8">
        <f>Procurement_Raw!M965</f>
        <v>2392.5940000000001</v>
      </c>
      <c r="N965" s="7">
        <f>Procurement_Raw!N965</f>
        <v>11962.97</v>
      </c>
      <c r="O965" s="7">
        <f t="shared" si="30"/>
        <v>11962.97</v>
      </c>
      <c r="P965" t="str">
        <f>IFERROR(INDEX(Supplier_Lookup!$B$2:$B$200,MATCH(E965,Supplier_Lookup!$A$2:$A$200,0)),"Unmapped")</f>
        <v>Agency Labour</v>
      </c>
      <c r="Q965" s="10">
        <f>IFERROR(INDEX(Category_Targets!$B$2:$B$9,MATCH(F965,Category_Targets!$A$2:$A$9,0)),0)</f>
        <v>7.0000000000000007E-2</v>
      </c>
      <c r="R965" s="7">
        <f t="shared" si="31"/>
        <v>837.40790000000004</v>
      </c>
    </row>
    <row r="966" spans="1:18" x14ac:dyDescent="0.25">
      <c r="A966" s="5">
        <f>Procurement_Raw!A966</f>
        <v>46010</v>
      </c>
      <c r="B966" t="str">
        <f>Procurement_Raw!B966</f>
        <v>S004</v>
      </c>
      <c r="C966" t="str">
        <f>Procurement_Raw!C966</f>
        <v>Newcastle Care &amp; Education Centre</v>
      </c>
      <c r="D966" t="str">
        <f>Procurement_Raw!D966</f>
        <v>North</v>
      </c>
      <c r="E966" t="str">
        <f>Procurement_Raw!E966</f>
        <v>NourishCo</v>
      </c>
      <c r="F966" t="str">
        <f>Procurement_Raw!F966</f>
        <v>Food &amp; Catering</v>
      </c>
      <c r="G966" t="str">
        <f>Procurement_Raw!G966</f>
        <v>INV-2025-00965</v>
      </c>
      <c r="H966" s="6">
        <f>Procurement_Raw!H966</f>
        <v>78</v>
      </c>
      <c r="I966" s="7">
        <f>Procurement_Raw!I966</f>
        <v>61.87</v>
      </c>
      <c r="J966" s="7">
        <f>Procurement_Raw!J966</f>
        <v>4825.8500000000004</v>
      </c>
      <c r="K966" s="6">
        <f>Procurement_Raw!K966</f>
        <v>60</v>
      </c>
      <c r="L966" t="str">
        <f>Procurement_Raw!L966</f>
        <v>Procurement Portal</v>
      </c>
      <c r="M966" s="8">
        <f>Procurement_Raw!M966</f>
        <v>965.17</v>
      </c>
      <c r="N966" s="7">
        <f>Procurement_Raw!N966</f>
        <v>4825.8500000000004</v>
      </c>
      <c r="O966" s="7">
        <f t="shared" si="30"/>
        <v>4825.8500000000004</v>
      </c>
      <c r="P966" t="str">
        <f>IFERROR(INDEX(Supplier_Lookup!$B$2:$B$200,MATCH(E966,Supplier_Lookup!$A$2:$A$200,0)),"Unmapped")</f>
        <v>Food &amp; Catering</v>
      </c>
      <c r="Q966" s="10">
        <f>IFERROR(INDEX(Category_Targets!$B$2:$B$9,MATCH(F966,Category_Targets!$A$2:$A$9,0)),0)</f>
        <v>0.04</v>
      </c>
      <c r="R966" s="7">
        <f t="shared" si="31"/>
        <v>193.03400000000002</v>
      </c>
    </row>
    <row r="967" spans="1:18" x14ac:dyDescent="0.25">
      <c r="A967" s="5">
        <f>Procurement_Raw!A967</f>
        <v>45927</v>
      </c>
      <c r="B967" t="str">
        <f>Procurement_Raw!B967</f>
        <v>S005</v>
      </c>
      <c r="C967" t="str">
        <f>Procurement_Raw!C967</f>
        <v>Sheffield Care &amp; Education Centre</v>
      </c>
      <c r="D967" t="str">
        <f>Procurement_Raw!D967</f>
        <v>North</v>
      </c>
      <c r="E967" t="str">
        <f>Procurement_Raw!E967</f>
        <v>RoadReady</v>
      </c>
      <c r="F967" t="str">
        <f>Procurement_Raw!F967</f>
        <v>Vehicle &amp; Fuel</v>
      </c>
      <c r="G967" t="str">
        <f>Procurement_Raw!G967</f>
        <v>INV-2025-00966</v>
      </c>
      <c r="H967" s="6">
        <f>Procurement_Raw!H967</f>
        <v>74</v>
      </c>
      <c r="I967" s="7">
        <f>Procurement_Raw!I967</f>
        <v>209.76</v>
      </c>
      <c r="J967" s="7">
        <f>Procurement_Raw!J967</f>
        <v>15521.89</v>
      </c>
      <c r="K967" s="6">
        <f>Procurement_Raw!K967</f>
        <v>60</v>
      </c>
      <c r="L967" t="str">
        <f>Procurement_Raw!L967</f>
        <v>Procurement Portal</v>
      </c>
      <c r="M967" s="8">
        <f>Procurement_Raw!M967</f>
        <v>3104.3780000000002</v>
      </c>
      <c r="N967" s="7">
        <f>Procurement_Raw!N967</f>
        <v>15521.89</v>
      </c>
      <c r="O967" s="7">
        <f t="shared" si="30"/>
        <v>15521.89</v>
      </c>
      <c r="P967" t="str">
        <f>IFERROR(INDEX(Supplier_Lookup!$B$2:$B$200,MATCH(E967,Supplier_Lookup!$A$2:$A$200,0)),"Unmapped")</f>
        <v>Vehicle &amp; Fuel</v>
      </c>
      <c r="Q967" s="10">
        <f>IFERROR(INDEX(Category_Targets!$B$2:$B$9,MATCH(F967,Category_Targets!$A$2:$A$9,0)),0)</f>
        <v>0.05</v>
      </c>
      <c r="R967" s="7">
        <f t="shared" si="31"/>
        <v>776.09450000000004</v>
      </c>
    </row>
    <row r="968" spans="1:18" x14ac:dyDescent="0.25">
      <c r="A968" s="5">
        <f>Procurement_Raw!A968</f>
        <v>45981</v>
      </c>
      <c r="B968" t="str">
        <f>Procurement_Raw!B968</f>
        <v>S012</v>
      </c>
      <c r="C968" t="str">
        <f>Procurement_Raw!C968</f>
        <v>Bristol Care &amp; Education Centre</v>
      </c>
      <c r="D968" t="str">
        <f>Procurement_Raw!D968</f>
        <v>South</v>
      </c>
      <c r="E968" t="str">
        <f>Procurement_Raw!E968</f>
        <v>PrintCo</v>
      </c>
      <c r="F968" t="str">
        <f>Procurement_Raw!F968</f>
        <v>Office &amp; Training</v>
      </c>
      <c r="G968" t="str">
        <f>Procurement_Raw!G968</f>
        <v>INV-2025-00967</v>
      </c>
      <c r="H968" s="6">
        <f>Procurement_Raw!H968</f>
        <v>64</v>
      </c>
      <c r="I968" s="7">
        <f>Procurement_Raw!I968</f>
        <v>51.7</v>
      </c>
      <c r="J968" s="7">
        <f>Procurement_Raw!J968</f>
        <v>3308.85</v>
      </c>
      <c r="K968" s="6">
        <f>Procurement_Raw!K968</f>
        <v>45</v>
      </c>
      <c r="L968" t="str">
        <f>Procurement_Raw!L968</f>
        <v>ERP</v>
      </c>
      <c r="M968" s="8">
        <f>Procurement_Raw!M968</f>
        <v>661.77</v>
      </c>
      <c r="N968" s="7">
        <f>Procurement_Raw!N968</f>
        <v>3308.85</v>
      </c>
      <c r="O968" s="7">
        <f t="shared" si="30"/>
        <v>3308.85</v>
      </c>
      <c r="P968" t="str">
        <f>IFERROR(INDEX(Supplier_Lookup!$B$2:$B$200,MATCH(E968,Supplier_Lookup!$A$2:$A$200,0)),"Unmapped")</f>
        <v>Office &amp; Training</v>
      </c>
      <c r="Q968" s="10">
        <f>IFERROR(INDEX(Category_Targets!$B$2:$B$9,MATCH(F968,Category_Targets!$A$2:$A$9,0)),0)</f>
        <v>0.04</v>
      </c>
      <c r="R968" s="7">
        <f t="shared" si="31"/>
        <v>132.35399999999998</v>
      </c>
    </row>
    <row r="969" spans="1:18" x14ac:dyDescent="0.25">
      <c r="A969" s="5">
        <f>Procurement_Raw!A969</f>
        <v>45806</v>
      </c>
      <c r="B969" t="str">
        <f>Procurement_Raw!B969</f>
        <v>S018</v>
      </c>
      <c r="C969" t="str">
        <f>Procurement_Raw!C969</f>
        <v>Newport Care &amp; Education Centre</v>
      </c>
      <c r="D969" t="str">
        <f>Procurement_Raw!D969</f>
        <v>Wales</v>
      </c>
      <c r="E969" t="str">
        <f>Procurement_Raw!E969</f>
        <v>PowerDirect</v>
      </c>
      <c r="F969" t="str">
        <f>Procurement_Raw!F969</f>
        <v>Utilities</v>
      </c>
      <c r="G969" t="str">
        <f>Procurement_Raw!G969</f>
        <v>INV-2025-00968</v>
      </c>
      <c r="H969" s="6">
        <f>Procurement_Raw!H969</f>
        <v>25</v>
      </c>
      <c r="I969" s="7">
        <f>Procurement_Raw!I969</f>
        <v>673.16</v>
      </c>
      <c r="J969" s="7">
        <f>Procurement_Raw!J969</f>
        <v>16828.919999999998</v>
      </c>
      <c r="K969" s="6">
        <f>Procurement_Raw!K969</f>
        <v>30</v>
      </c>
      <c r="L969" t="str">
        <f>Procurement_Raw!L969</f>
        <v>ERP</v>
      </c>
      <c r="M969" s="8">
        <f>Procurement_Raw!M969</f>
        <v>3365.7840000000001</v>
      </c>
      <c r="N969" s="7">
        <f>Procurement_Raw!N969</f>
        <v>16828.919999999998</v>
      </c>
      <c r="O969" s="7">
        <f t="shared" si="30"/>
        <v>16828.919999999998</v>
      </c>
      <c r="P969" t="str">
        <f>IFERROR(INDEX(Supplier_Lookup!$B$2:$B$200,MATCH(E969,Supplier_Lookup!$A$2:$A$200,0)),"Unmapped")</f>
        <v>Utilities</v>
      </c>
      <c r="Q969" s="10">
        <f>IFERROR(INDEX(Category_Targets!$B$2:$B$9,MATCH(F969,Category_Targets!$A$2:$A$9,0)),0)</f>
        <v>0.03</v>
      </c>
      <c r="R969" s="7">
        <f t="shared" si="31"/>
        <v>504.86759999999992</v>
      </c>
    </row>
    <row r="970" spans="1:18" x14ac:dyDescent="0.25">
      <c r="A970" s="5">
        <f>Procurement_Raw!A970</f>
        <v>45718</v>
      </c>
      <c r="B970" t="str">
        <f>Procurement_Raw!B970</f>
        <v>S008</v>
      </c>
      <c r="C970" t="str">
        <f>Procurement_Raw!C970</f>
        <v>Leicester Care &amp; Education Centre</v>
      </c>
      <c r="D970" t="str">
        <f>Procurement_Raw!D970</f>
        <v>Midlands</v>
      </c>
      <c r="E970" t="str">
        <f>Procurement_Raw!E970</f>
        <v>PrintCo</v>
      </c>
      <c r="F970" t="str">
        <f>Procurement_Raw!F970</f>
        <v>Office &amp; Training</v>
      </c>
      <c r="G970" t="str">
        <f>Procurement_Raw!G970</f>
        <v>INV-2025-00969</v>
      </c>
      <c r="H970" s="6">
        <f>Procurement_Raw!H970</f>
        <v>27</v>
      </c>
      <c r="I970" s="7">
        <f>Procurement_Raw!I970</f>
        <v>73.36</v>
      </c>
      <c r="J970" s="7">
        <f>Procurement_Raw!J970</f>
        <v>1980.76</v>
      </c>
      <c r="K970" s="6">
        <f>Procurement_Raw!K970</f>
        <v>60</v>
      </c>
      <c r="L970" t="str">
        <f>Procurement_Raw!L970</f>
        <v>Procurement Portal</v>
      </c>
      <c r="M970" s="8">
        <f>Procurement_Raw!M970</f>
        <v>396.15199999999999</v>
      </c>
      <c r="N970" s="7">
        <f>Procurement_Raw!N970</f>
        <v>1980.76</v>
      </c>
      <c r="O970" s="7">
        <f t="shared" si="30"/>
        <v>1980.76</v>
      </c>
      <c r="P970" t="str">
        <f>IFERROR(INDEX(Supplier_Lookup!$B$2:$B$200,MATCH(E970,Supplier_Lookup!$A$2:$A$200,0)),"Unmapped")</f>
        <v>Office &amp; Training</v>
      </c>
      <c r="Q970" s="10">
        <f>IFERROR(INDEX(Category_Targets!$B$2:$B$9,MATCH(F970,Category_Targets!$A$2:$A$9,0)),0)</f>
        <v>0.04</v>
      </c>
      <c r="R970" s="7">
        <f t="shared" si="31"/>
        <v>79.230400000000003</v>
      </c>
    </row>
    <row r="971" spans="1:18" x14ac:dyDescent="0.25">
      <c r="A971" s="5">
        <f>Procurement_Raw!A971</f>
        <v>45837</v>
      </c>
      <c r="B971" t="str">
        <f>Procurement_Raw!B971</f>
        <v>S020</v>
      </c>
      <c r="C971" t="str">
        <f>Procurement_Raw!C971</f>
        <v>Bangor Care &amp; Education Centre</v>
      </c>
      <c r="D971" t="str">
        <f>Procurement_Raw!D971</f>
        <v>Wales</v>
      </c>
      <c r="E971" t="str">
        <f>Procurement_Raw!E971</f>
        <v>CareMed</v>
      </c>
      <c r="F971" t="str">
        <f>Procurement_Raw!F971</f>
        <v>Medical Supplies</v>
      </c>
      <c r="G971" t="str">
        <f>Procurement_Raw!G971</f>
        <v>INV-2025-00970</v>
      </c>
      <c r="H971" s="6">
        <f>Procurement_Raw!H971</f>
        <v>72</v>
      </c>
      <c r="I971" s="7">
        <f>Procurement_Raw!I971</f>
        <v>54.63</v>
      </c>
      <c r="J971" s="7">
        <f>Procurement_Raw!J971</f>
        <v>3933.29</v>
      </c>
      <c r="K971" s="6">
        <f>Procurement_Raw!K971</f>
        <v>60</v>
      </c>
      <c r="L971" t="str">
        <f>Procurement_Raw!L971</f>
        <v>ERP</v>
      </c>
      <c r="M971" s="8">
        <f>Procurement_Raw!M971</f>
        <v>786.65800000000002</v>
      </c>
      <c r="N971" s="7">
        <f>Procurement_Raw!N971</f>
        <v>3933.29</v>
      </c>
      <c r="O971" s="7">
        <f t="shared" si="30"/>
        <v>3933.29</v>
      </c>
      <c r="P971" t="str">
        <f>IFERROR(INDEX(Supplier_Lookup!$B$2:$B$200,MATCH(E971,Supplier_Lookup!$A$2:$A$200,0)),"Unmapped")</f>
        <v>Medical Supplies</v>
      </c>
      <c r="Q971" s="10">
        <f>IFERROR(INDEX(Category_Targets!$B$2:$B$9,MATCH(F971,Category_Targets!$A$2:$A$9,0)),0)</f>
        <v>0.06</v>
      </c>
      <c r="R971" s="7">
        <f t="shared" si="31"/>
        <v>235.9974</v>
      </c>
    </row>
    <row r="972" spans="1:18" x14ac:dyDescent="0.25">
      <c r="A972" s="5">
        <f>Procurement_Raw!A972</f>
        <v>45802</v>
      </c>
      <c r="B972" t="str">
        <f>Procurement_Raw!B972</f>
        <v>S014</v>
      </c>
      <c r="C972" t="str">
        <f>Procurement_Raw!C972</f>
        <v>Southampton Care &amp; Education Centre</v>
      </c>
      <c r="D972" t="str">
        <f>Procurement_Raw!D972</f>
        <v>South</v>
      </c>
      <c r="E972" t="str">
        <f>Procurement_Raw!E972</f>
        <v>PowerDirect</v>
      </c>
      <c r="F972" t="str">
        <f>Procurement_Raw!F972</f>
        <v>Utilities</v>
      </c>
      <c r="G972" t="str">
        <f>Procurement_Raw!G972</f>
        <v>INV-2025-00971</v>
      </c>
      <c r="H972" s="6">
        <f>Procurement_Raw!H972</f>
        <v>33</v>
      </c>
      <c r="I972" s="7">
        <f>Procurement_Raw!I972</f>
        <v>268.25</v>
      </c>
      <c r="J972" s="7">
        <f>Procurement_Raw!J972</f>
        <v>8852.24</v>
      </c>
      <c r="K972" s="6">
        <f>Procurement_Raw!K972</f>
        <v>30</v>
      </c>
      <c r="L972" t="str">
        <f>Procurement_Raw!L972</f>
        <v>Procurement Portal</v>
      </c>
      <c r="M972" s="8">
        <f>Procurement_Raw!M972</f>
        <v>1770.4480000000001</v>
      </c>
      <c r="N972" s="7">
        <f>Procurement_Raw!N972</f>
        <v>8852.24</v>
      </c>
      <c r="O972" s="7">
        <f t="shared" si="30"/>
        <v>8852.24</v>
      </c>
      <c r="P972" t="str">
        <f>IFERROR(INDEX(Supplier_Lookup!$B$2:$B$200,MATCH(E972,Supplier_Lookup!$A$2:$A$200,0)),"Unmapped")</f>
        <v>Utilities</v>
      </c>
      <c r="Q972" s="10">
        <f>IFERROR(INDEX(Category_Targets!$B$2:$B$9,MATCH(F972,Category_Targets!$A$2:$A$9,0)),0)</f>
        <v>0.03</v>
      </c>
      <c r="R972" s="7">
        <f t="shared" si="31"/>
        <v>265.56719999999996</v>
      </c>
    </row>
    <row r="973" spans="1:18" x14ac:dyDescent="0.25">
      <c r="A973" s="5">
        <f>Procurement_Raw!A973</f>
        <v>45716</v>
      </c>
      <c r="B973" t="str">
        <f>Procurement_Raw!B973</f>
        <v>S004</v>
      </c>
      <c r="C973" t="str">
        <f>Procurement_Raw!C973</f>
        <v>Newcastle Care &amp; Education Centre</v>
      </c>
      <c r="D973" t="str">
        <f>Procurement_Raw!D973</f>
        <v>North</v>
      </c>
      <c r="E973" t="str">
        <f>Procurement_Raw!E973</f>
        <v>FleetFuel</v>
      </c>
      <c r="F973" t="str">
        <f>Procurement_Raw!F973</f>
        <v>Vehicle &amp; Fuel</v>
      </c>
      <c r="G973" t="str">
        <f>Procurement_Raw!G973</f>
        <v>INV-2025-00972</v>
      </c>
      <c r="H973" s="6">
        <f>Procurement_Raw!H973</f>
        <v>43</v>
      </c>
      <c r="I973" s="7">
        <f>Procurement_Raw!I973</f>
        <v>65.319999999999993</v>
      </c>
      <c r="J973" s="7">
        <f>Procurement_Raw!J973</f>
        <v>2808.76</v>
      </c>
      <c r="K973" s="6">
        <f>Procurement_Raw!K973</f>
        <v>45</v>
      </c>
      <c r="L973" t="str">
        <f>Procurement_Raw!L973</f>
        <v>Procurement Portal</v>
      </c>
      <c r="M973" s="8">
        <f>Procurement_Raw!M973</f>
        <v>561.75199999999995</v>
      </c>
      <c r="N973" s="7">
        <f>Procurement_Raw!N973</f>
        <v>2808.76</v>
      </c>
      <c r="O973" s="7">
        <f t="shared" si="30"/>
        <v>2808.76</v>
      </c>
      <c r="P973" t="str">
        <f>IFERROR(INDEX(Supplier_Lookup!$B$2:$B$200,MATCH(E973,Supplier_Lookup!$A$2:$A$200,0)),"Unmapped")</f>
        <v>Vehicle &amp; Fuel</v>
      </c>
      <c r="Q973" s="10">
        <f>IFERROR(INDEX(Category_Targets!$B$2:$B$9,MATCH(F973,Category_Targets!$A$2:$A$9,0)),0)</f>
        <v>0.05</v>
      </c>
      <c r="R973" s="7">
        <f t="shared" si="31"/>
        <v>140.43800000000002</v>
      </c>
    </row>
    <row r="974" spans="1:18" x14ac:dyDescent="0.25">
      <c r="A974" s="5">
        <f>Procurement_Raw!A974</f>
        <v>45757</v>
      </c>
      <c r="B974" t="str">
        <f>Procurement_Raw!B974</f>
        <v>S007</v>
      </c>
      <c r="C974" t="str">
        <f>Procurement_Raw!C974</f>
        <v>Nottingham Care &amp; Education Centre</v>
      </c>
      <c r="D974" t="str">
        <f>Procurement_Raw!D974</f>
        <v>Midlands</v>
      </c>
      <c r="E974" t="str">
        <f>Procurement_Raw!E974</f>
        <v>MediSure</v>
      </c>
      <c r="F974" t="str">
        <f>Procurement_Raw!F974</f>
        <v>Medical Supplies</v>
      </c>
      <c r="G974" t="str">
        <f>Procurement_Raw!G974</f>
        <v>INV-2025-00973</v>
      </c>
      <c r="H974" s="6">
        <f>Procurement_Raw!H974</f>
        <v>43</v>
      </c>
      <c r="I974" s="7">
        <f>Procurement_Raw!I974</f>
        <v>190.54</v>
      </c>
      <c r="J974" s="7">
        <f>Procurement_Raw!J974</f>
        <v>8193.09</v>
      </c>
      <c r="K974" s="6">
        <f>Procurement_Raw!K974</f>
        <v>45</v>
      </c>
      <c r="L974" t="str">
        <f>Procurement_Raw!L974</f>
        <v>Legacy Spend File</v>
      </c>
      <c r="M974" s="8">
        <f>Procurement_Raw!M974</f>
        <v>1638.6179999999999</v>
      </c>
      <c r="N974" s="7">
        <f>Procurement_Raw!N974</f>
        <v>8193.09</v>
      </c>
      <c r="O974" s="7">
        <f t="shared" si="30"/>
        <v>8193.09</v>
      </c>
      <c r="P974" t="str">
        <f>IFERROR(INDEX(Supplier_Lookup!$B$2:$B$200,MATCH(E974,Supplier_Lookup!$A$2:$A$200,0)),"Unmapped")</f>
        <v>Medical Supplies</v>
      </c>
      <c r="Q974" s="10">
        <f>IFERROR(INDEX(Category_Targets!$B$2:$B$9,MATCH(F974,Category_Targets!$A$2:$A$9,0)),0)</f>
        <v>0.06</v>
      </c>
      <c r="R974" s="7">
        <f t="shared" si="31"/>
        <v>491.58539999999999</v>
      </c>
    </row>
    <row r="975" spans="1:18" x14ac:dyDescent="0.25">
      <c r="A975" s="5">
        <f>Procurement_Raw!A975</f>
        <v>45988</v>
      </c>
      <c r="B975" t="str">
        <f>Procurement_Raw!B975</f>
        <v>S007</v>
      </c>
      <c r="C975" t="str">
        <f>Procurement_Raw!C975</f>
        <v>Nottingham Care &amp; Education Centre</v>
      </c>
      <c r="D975" t="str">
        <f>Procurement_Raw!D975</f>
        <v>Midlands</v>
      </c>
      <c r="E975" t="str">
        <f>Procurement_Raw!E975</f>
        <v>OfficePlus</v>
      </c>
      <c r="F975" t="str">
        <f>Procurement_Raw!F975</f>
        <v>Office &amp; Training</v>
      </c>
      <c r="G975" t="str">
        <f>Procurement_Raw!G975</f>
        <v>INV-2025-00974</v>
      </c>
      <c r="H975" s="6">
        <f>Procurement_Raw!H975</f>
        <v>18</v>
      </c>
      <c r="I975" s="7">
        <f>Procurement_Raw!I975</f>
        <v>52.38</v>
      </c>
      <c r="J975" s="7">
        <f>Procurement_Raw!J975</f>
        <v>942.86</v>
      </c>
      <c r="K975" s="6">
        <f>Procurement_Raw!K975</f>
        <v>45</v>
      </c>
      <c r="L975" t="str">
        <f>Procurement_Raw!L975</f>
        <v>ERP</v>
      </c>
      <c r="M975" s="8">
        <f>Procurement_Raw!M975</f>
        <v>188.572</v>
      </c>
      <c r="N975" s="7">
        <f>Procurement_Raw!N975</f>
        <v>942.86</v>
      </c>
      <c r="O975" s="7">
        <f t="shared" si="30"/>
        <v>942.86</v>
      </c>
      <c r="P975" t="str">
        <f>IFERROR(INDEX(Supplier_Lookup!$B$2:$B$200,MATCH(E975,Supplier_Lookup!$A$2:$A$200,0)),"Unmapped")</f>
        <v>Office &amp; Training</v>
      </c>
      <c r="Q975" s="10">
        <f>IFERROR(INDEX(Category_Targets!$B$2:$B$9,MATCH(F975,Category_Targets!$A$2:$A$9,0)),0)</f>
        <v>0.04</v>
      </c>
      <c r="R975" s="7">
        <f t="shared" si="31"/>
        <v>37.714400000000005</v>
      </c>
    </row>
    <row r="976" spans="1:18" x14ac:dyDescent="0.25">
      <c r="A976" s="5">
        <f>Procurement_Raw!A976</f>
        <v>45829</v>
      </c>
      <c r="B976" t="str">
        <f>Procurement_Raw!B976</f>
        <v>S019</v>
      </c>
      <c r="C976" t="str">
        <f>Procurement_Raw!C976</f>
        <v>Wrexham Care &amp; Education Centre</v>
      </c>
      <c r="D976" t="str">
        <f>Procurement_Raw!D976</f>
        <v>Wales</v>
      </c>
      <c r="E976" t="str">
        <f>Procurement_Raw!E976</f>
        <v>PrintCo</v>
      </c>
      <c r="F976" t="str">
        <f>Procurement_Raw!F976</f>
        <v>Office &amp; Training</v>
      </c>
      <c r="G976" t="str">
        <f>Procurement_Raw!G976</f>
        <v>INV-2025-00975</v>
      </c>
      <c r="H976" s="6">
        <f>Procurement_Raw!H976</f>
        <v>60</v>
      </c>
      <c r="I976" s="7">
        <f>Procurement_Raw!I976</f>
        <v>58.68</v>
      </c>
      <c r="J976" s="7">
        <f>Procurement_Raw!J976</f>
        <v>3520.76</v>
      </c>
      <c r="K976" s="6">
        <f>Procurement_Raw!K976</f>
        <v>45</v>
      </c>
      <c r="L976" t="str">
        <f>Procurement_Raw!L976</f>
        <v>Legacy Spend File</v>
      </c>
      <c r="M976" s="8">
        <f>Procurement_Raw!M976</f>
        <v>704.15200000000004</v>
      </c>
      <c r="N976" s="7">
        <f>Procurement_Raw!N976</f>
        <v>3520.76</v>
      </c>
      <c r="O976" s="7">
        <f t="shared" si="30"/>
        <v>3520.76</v>
      </c>
      <c r="P976" t="str">
        <f>IFERROR(INDEX(Supplier_Lookup!$B$2:$B$200,MATCH(E976,Supplier_Lookup!$A$2:$A$200,0)),"Unmapped")</f>
        <v>Office &amp; Training</v>
      </c>
      <c r="Q976" s="10">
        <f>IFERROR(INDEX(Category_Targets!$B$2:$B$9,MATCH(F976,Category_Targets!$A$2:$A$9,0)),0)</f>
        <v>0.04</v>
      </c>
      <c r="R976" s="7">
        <f t="shared" si="31"/>
        <v>140.83040000000003</v>
      </c>
    </row>
    <row r="977" spans="1:18" x14ac:dyDescent="0.25">
      <c r="A977" s="5">
        <f>Procurement_Raw!A977</f>
        <v>46005</v>
      </c>
      <c r="B977" t="str">
        <f>Procurement_Raw!B977</f>
        <v>S007</v>
      </c>
      <c r="C977" t="str">
        <f>Procurement_Raw!C977</f>
        <v>Nottingham Care &amp; Education Centre</v>
      </c>
      <c r="D977" t="str">
        <f>Procurement_Raw!D977</f>
        <v>Midlands</v>
      </c>
      <c r="E977" t="str">
        <f>Procurement_Raw!E977</f>
        <v>NetServe</v>
      </c>
      <c r="F977" t="str">
        <f>Procurement_Raw!F977</f>
        <v>IT &amp; Telecoms</v>
      </c>
      <c r="G977" t="str">
        <f>Procurement_Raw!G977</f>
        <v>INV-2025-00976</v>
      </c>
      <c r="H977" s="6">
        <f>Procurement_Raw!H977</f>
        <v>41</v>
      </c>
      <c r="I977" s="7">
        <f>Procurement_Raw!I977</f>
        <v>77.819999999999993</v>
      </c>
      <c r="J977" s="7">
        <f>Procurement_Raw!J977</f>
        <v>3190.56</v>
      </c>
      <c r="K977" s="6">
        <f>Procurement_Raw!K977</f>
        <v>60</v>
      </c>
      <c r="L977" t="str">
        <f>Procurement_Raw!L977</f>
        <v>Legacy Spend File</v>
      </c>
      <c r="M977" s="8">
        <f>Procurement_Raw!M977</f>
        <v>638.11199999999997</v>
      </c>
      <c r="N977" s="7">
        <f>Procurement_Raw!N977</f>
        <v>3190.56</v>
      </c>
      <c r="O977" s="7">
        <f t="shared" si="30"/>
        <v>3190.56</v>
      </c>
      <c r="P977" t="str">
        <f>IFERROR(INDEX(Supplier_Lookup!$B$2:$B$200,MATCH(E977,Supplier_Lookup!$A$2:$A$200,0)),"Unmapped")</f>
        <v>IT &amp; Telecoms</v>
      </c>
      <c r="Q977" s="10">
        <f>IFERROR(INDEX(Category_Targets!$B$2:$B$9,MATCH(F977,Category_Targets!$A$2:$A$9,0)),0)</f>
        <v>0.08</v>
      </c>
      <c r="R977" s="7">
        <f t="shared" si="31"/>
        <v>255.2448</v>
      </c>
    </row>
    <row r="978" spans="1:18" x14ac:dyDescent="0.25">
      <c r="A978" s="5">
        <f>Procurement_Raw!A978</f>
        <v>46008</v>
      </c>
      <c r="B978" t="str">
        <f>Procurement_Raw!B978</f>
        <v>S010</v>
      </c>
      <c r="C978" t="str">
        <f>Procurement_Raw!C978</f>
        <v>Coventry Care &amp; Education Centre</v>
      </c>
      <c r="D978" t="str">
        <f>Procurement_Raw!D978</f>
        <v>Midlands</v>
      </c>
      <c r="E978" t="str">
        <f>Procurement_Raw!E978</f>
        <v>PowerDirect</v>
      </c>
      <c r="F978" t="str">
        <f>Procurement_Raw!F978</f>
        <v>Utilities</v>
      </c>
      <c r="G978" t="str">
        <f>Procurement_Raw!G978</f>
        <v>INV-2025-00977</v>
      </c>
      <c r="H978" s="6">
        <f>Procurement_Raw!H978</f>
        <v>43</v>
      </c>
      <c r="I978" s="7">
        <f>Procurement_Raw!I978</f>
        <v>194.94</v>
      </c>
      <c r="J978" s="7">
        <f>Procurement_Raw!J978</f>
        <v>8382.43</v>
      </c>
      <c r="K978" s="6">
        <f>Procurement_Raw!K978</f>
        <v>45</v>
      </c>
      <c r="L978" t="str">
        <f>Procurement_Raw!L978</f>
        <v>ERP</v>
      </c>
      <c r="M978" s="8">
        <f>Procurement_Raw!M978</f>
        <v>1676.4860000000001</v>
      </c>
      <c r="N978" s="7">
        <f>Procurement_Raw!N978</f>
        <v>8382.43</v>
      </c>
      <c r="O978" s="7">
        <f t="shared" si="30"/>
        <v>8382.43</v>
      </c>
      <c r="P978" t="str">
        <f>IFERROR(INDEX(Supplier_Lookup!$B$2:$B$200,MATCH(E978,Supplier_Lookup!$A$2:$A$200,0)),"Unmapped")</f>
        <v>Utilities</v>
      </c>
      <c r="Q978" s="10">
        <f>IFERROR(INDEX(Category_Targets!$B$2:$B$9,MATCH(F978,Category_Targets!$A$2:$A$9,0)),0)</f>
        <v>0.03</v>
      </c>
      <c r="R978" s="7">
        <f t="shared" si="31"/>
        <v>251.47290000000001</v>
      </c>
    </row>
    <row r="979" spans="1:18" x14ac:dyDescent="0.25">
      <c r="A979" s="5">
        <f>Procurement_Raw!A979</f>
        <v>45831</v>
      </c>
      <c r="B979" t="str">
        <f>Procurement_Raw!B979</f>
        <v>S014</v>
      </c>
      <c r="C979" t="str">
        <f>Procurement_Raw!C979</f>
        <v>Southampton Care &amp; Education Centre</v>
      </c>
      <c r="D979" t="str">
        <f>Procurement_Raw!D979</f>
        <v>South</v>
      </c>
      <c r="E979" t="str">
        <f>Procurement_Raw!E979</f>
        <v>CloudLink</v>
      </c>
      <c r="F979" t="str">
        <f>Procurement_Raw!F979</f>
        <v>IT &amp; Telecoms</v>
      </c>
      <c r="G979" t="str">
        <f>Procurement_Raw!G979</f>
        <v>INV-2025-00978</v>
      </c>
      <c r="H979" s="6">
        <f>Procurement_Raw!H979</f>
        <v>49</v>
      </c>
      <c r="I979" s="7">
        <f>Procurement_Raw!I979</f>
        <v>58</v>
      </c>
      <c r="J979" s="7">
        <f>Procurement_Raw!J979</f>
        <v>2842.14</v>
      </c>
      <c r="K979" s="6">
        <f>Procurement_Raw!K979</f>
        <v>60</v>
      </c>
      <c r="L979" t="str">
        <f>Procurement_Raw!L979</f>
        <v>Legacy Spend File</v>
      </c>
      <c r="M979" s="8">
        <f>Procurement_Raw!M979</f>
        <v>568.428</v>
      </c>
      <c r="N979" s="7">
        <f>Procurement_Raw!N979</f>
        <v>2842.14</v>
      </c>
      <c r="O979" s="7">
        <f t="shared" si="30"/>
        <v>2842.14</v>
      </c>
      <c r="P979" t="str">
        <f>IFERROR(INDEX(Supplier_Lookup!$B$2:$B$200,MATCH(E979,Supplier_Lookup!$A$2:$A$200,0)),"Unmapped")</f>
        <v>medical supplies</v>
      </c>
      <c r="Q979" s="10">
        <f>IFERROR(INDEX(Category_Targets!$B$2:$B$9,MATCH(F979,Category_Targets!$A$2:$A$9,0)),0)</f>
        <v>0.08</v>
      </c>
      <c r="R979" s="7">
        <f t="shared" si="31"/>
        <v>227.37119999999999</v>
      </c>
    </row>
    <row r="980" spans="1:18" x14ac:dyDescent="0.25">
      <c r="A980" s="5">
        <f>Procurement_Raw!A980</f>
        <v>45962</v>
      </c>
      <c r="B980" t="str">
        <f>Procurement_Raw!B980</f>
        <v>S008</v>
      </c>
      <c r="C980" t="str">
        <f>Procurement_Raw!C980</f>
        <v>Leicester Care &amp; Education Centre</v>
      </c>
      <c r="D980" t="str">
        <f>Procurement_Raw!D980</f>
        <v>Midlands</v>
      </c>
      <c r="E980" t="str">
        <f>Procurement_Raw!E980</f>
        <v>HealthStaffing</v>
      </c>
      <c r="F980" t="str">
        <f>Procurement_Raw!F980</f>
        <v>Agency Labour</v>
      </c>
      <c r="G980" t="str">
        <f>Procurement_Raw!G980</f>
        <v>INV-2025-00979</v>
      </c>
      <c r="H980" s="6">
        <f>Procurement_Raw!H980</f>
        <v>15</v>
      </c>
      <c r="I980" s="7">
        <f>Procurement_Raw!I980</f>
        <v>125.54</v>
      </c>
      <c r="J980" s="7">
        <f>Procurement_Raw!J980</f>
        <v>1883.12</v>
      </c>
      <c r="K980" s="6">
        <f>Procurement_Raw!K980</f>
        <v>45</v>
      </c>
      <c r="L980" t="str">
        <f>Procurement_Raw!L980</f>
        <v>Legacy Spend File</v>
      </c>
      <c r="M980" s="8">
        <f>Procurement_Raw!M980</f>
        <v>376.62400000000002</v>
      </c>
      <c r="N980" s="7">
        <f>Procurement_Raw!N980</f>
        <v>1883.12</v>
      </c>
      <c r="O980" s="7">
        <f t="shared" si="30"/>
        <v>1883.12</v>
      </c>
      <c r="P980" t="str">
        <f>IFERROR(INDEX(Supplier_Lookup!$B$2:$B$200,MATCH(E980,Supplier_Lookup!$A$2:$A$200,0)),"Unmapped")</f>
        <v>Agency Labour</v>
      </c>
      <c r="Q980" s="10">
        <f>IFERROR(INDEX(Category_Targets!$B$2:$B$9,MATCH(F980,Category_Targets!$A$2:$A$9,0)),0)</f>
        <v>7.0000000000000007E-2</v>
      </c>
      <c r="R980" s="7">
        <f t="shared" si="31"/>
        <v>131.8184</v>
      </c>
    </row>
    <row r="981" spans="1:18" x14ac:dyDescent="0.25">
      <c r="A981" s="5">
        <f>Procurement_Raw!A981</f>
        <v>45869</v>
      </c>
      <c r="B981" t="str">
        <f>Procurement_Raw!B981</f>
        <v>S008</v>
      </c>
      <c r="C981" t="str">
        <f>Procurement_Raw!C981</f>
        <v>Leicester Care &amp; Education Centre</v>
      </c>
      <c r="D981" t="str">
        <f>Procurement_Raw!D981</f>
        <v>Midlands</v>
      </c>
      <c r="E981" t="str">
        <f>Procurement_Raw!E981</f>
        <v>CareMed</v>
      </c>
      <c r="F981" t="str">
        <f>Procurement_Raw!F981</f>
        <v>Medical Supplies</v>
      </c>
      <c r="G981" t="str">
        <f>Procurement_Raw!G981</f>
        <v>INV-2025-00980</v>
      </c>
      <c r="H981" s="6">
        <f>Procurement_Raw!H981</f>
        <v>12</v>
      </c>
      <c r="I981" s="7">
        <f>Procurement_Raw!I981</f>
        <v>182.31</v>
      </c>
      <c r="J981" s="7">
        <f>Procurement_Raw!J981</f>
        <v>2187.7399999999998</v>
      </c>
      <c r="K981" s="6">
        <f>Procurement_Raw!K981</f>
        <v>45</v>
      </c>
      <c r="L981" t="str">
        <f>Procurement_Raw!L981</f>
        <v>ERP</v>
      </c>
      <c r="M981" s="8">
        <f>Procurement_Raw!M981</f>
        <v>437.548</v>
      </c>
      <c r="N981" s="7">
        <f>Procurement_Raw!N981</f>
        <v>2187.7399999999998</v>
      </c>
      <c r="O981" s="7">
        <f t="shared" si="30"/>
        <v>2187.7399999999998</v>
      </c>
      <c r="P981" t="str">
        <f>IFERROR(INDEX(Supplier_Lookup!$B$2:$B$200,MATCH(E981,Supplier_Lookup!$A$2:$A$200,0)),"Unmapped")</f>
        <v>Medical Supplies</v>
      </c>
      <c r="Q981" s="10">
        <f>IFERROR(INDEX(Category_Targets!$B$2:$B$9,MATCH(F981,Category_Targets!$A$2:$A$9,0)),0)</f>
        <v>0.06</v>
      </c>
      <c r="R981" s="7">
        <f t="shared" si="31"/>
        <v>131.26439999999999</v>
      </c>
    </row>
    <row r="982" spans="1:18" x14ac:dyDescent="0.25">
      <c r="A982" s="5">
        <f>Procurement_Raw!A982</f>
        <v>45768</v>
      </c>
      <c r="B982" t="str">
        <f>Procurement_Raw!B982</f>
        <v>S009</v>
      </c>
      <c r="C982" t="str">
        <f>Procurement_Raw!C982</f>
        <v>Derby Care &amp; Education Centre</v>
      </c>
      <c r="D982" t="str">
        <f>Procurement_Raw!D982</f>
        <v>Midlands</v>
      </c>
      <c r="E982" t="str">
        <f>Procurement_Raw!E982</f>
        <v>LearnWell</v>
      </c>
      <c r="F982" t="str">
        <f>Procurement_Raw!F982</f>
        <v>Office &amp; Training</v>
      </c>
      <c r="G982" t="str">
        <f>Procurement_Raw!G982</f>
        <v>INV-2025-00981</v>
      </c>
      <c r="H982" s="6">
        <f>Procurement_Raw!H982</f>
        <v>68</v>
      </c>
      <c r="I982" s="7">
        <f>Procurement_Raw!I982</f>
        <v>115.55</v>
      </c>
      <c r="J982" s="7">
        <f>Procurement_Raw!J982</f>
        <v>7857.2</v>
      </c>
      <c r="K982" s="6">
        <f>Procurement_Raw!K982</f>
        <v>45</v>
      </c>
      <c r="L982" t="str">
        <f>Procurement_Raw!L982</f>
        <v>ERP</v>
      </c>
      <c r="M982" s="8">
        <f>Procurement_Raw!M982</f>
        <v>1571.44</v>
      </c>
      <c r="N982" s="7">
        <f>Procurement_Raw!N982</f>
        <v>7857.2</v>
      </c>
      <c r="O982" s="7">
        <f t="shared" si="30"/>
        <v>7857.2</v>
      </c>
      <c r="P982" t="str">
        <f>IFERROR(INDEX(Supplier_Lookup!$B$2:$B$200,MATCH(E982,Supplier_Lookup!$A$2:$A$200,0)),"Unmapped")</f>
        <v>Office &amp; Training</v>
      </c>
      <c r="Q982" s="10">
        <f>IFERROR(INDEX(Category_Targets!$B$2:$B$9,MATCH(F982,Category_Targets!$A$2:$A$9,0)),0)</f>
        <v>0.04</v>
      </c>
      <c r="R982" s="7">
        <f t="shared" si="31"/>
        <v>314.28800000000001</v>
      </c>
    </row>
    <row r="983" spans="1:18" x14ac:dyDescent="0.25">
      <c r="A983" s="5">
        <f>Procurement_Raw!A983</f>
        <v>45761</v>
      </c>
      <c r="B983" t="str">
        <f>Procurement_Raw!B983</f>
        <v>S005</v>
      </c>
      <c r="C983" t="str">
        <f>Procurement_Raw!C983</f>
        <v>Sheffield Care &amp; Education Centre</v>
      </c>
      <c r="D983" t="str">
        <f>Procurement_Raw!D983</f>
        <v>North</v>
      </c>
      <c r="E983" t="str">
        <f>Procurement_Raw!E983</f>
        <v>FleetFuel</v>
      </c>
      <c r="F983" t="str">
        <f>Procurement_Raw!F983</f>
        <v>Vehicle &amp; Fuel</v>
      </c>
      <c r="G983" t="str">
        <f>Procurement_Raw!G983</f>
        <v>INV-2025-00982</v>
      </c>
      <c r="H983" s="6">
        <f>Procurement_Raw!H983</f>
        <v>12</v>
      </c>
      <c r="I983" s="7">
        <f>Procurement_Raw!I983</f>
        <v>120.05</v>
      </c>
      <c r="J983" s="7">
        <f>Procurement_Raw!J983</f>
        <v>1440.56</v>
      </c>
      <c r="K983" s="6">
        <f>Procurement_Raw!K983</f>
        <v>45</v>
      </c>
      <c r="L983" t="str">
        <f>Procurement_Raw!L983</f>
        <v>Legacy Spend File</v>
      </c>
      <c r="M983" s="8">
        <f>Procurement_Raw!M983</f>
        <v>288.11200000000002</v>
      </c>
      <c r="N983" s="7">
        <f>Procurement_Raw!N983</f>
        <v>1440.56</v>
      </c>
      <c r="O983" s="7">
        <f t="shared" si="30"/>
        <v>1440.56</v>
      </c>
      <c r="P983" t="str">
        <f>IFERROR(INDEX(Supplier_Lookup!$B$2:$B$200,MATCH(E983,Supplier_Lookup!$A$2:$A$200,0)),"Unmapped")</f>
        <v>Vehicle &amp; Fuel</v>
      </c>
      <c r="Q983" s="10">
        <f>IFERROR(INDEX(Category_Targets!$B$2:$B$9,MATCH(F983,Category_Targets!$A$2:$A$9,0)),0)</f>
        <v>0.05</v>
      </c>
      <c r="R983" s="7">
        <f t="shared" si="31"/>
        <v>72.028000000000006</v>
      </c>
    </row>
    <row r="984" spans="1:18" x14ac:dyDescent="0.25">
      <c r="A984" s="5">
        <f>Procurement_Raw!A984</f>
        <v>45736</v>
      </c>
      <c r="B984" t="str">
        <f>Procurement_Raw!B984</f>
        <v>S018</v>
      </c>
      <c r="C984" t="str">
        <f>Procurement_Raw!C984</f>
        <v>Newport Care &amp; Education Centre</v>
      </c>
      <c r="D984" t="str">
        <f>Procurement_Raw!D984</f>
        <v>Wales</v>
      </c>
      <c r="E984" t="str">
        <f>Procurement_Raw!E984</f>
        <v>PrintCo</v>
      </c>
      <c r="F984" t="str">
        <f>Procurement_Raw!F984</f>
        <v>Office &amp; Training</v>
      </c>
      <c r="G984" t="str">
        <f>Procurement_Raw!G984</f>
        <v>INV-2025-00983</v>
      </c>
      <c r="H984" s="6">
        <f>Procurement_Raw!H984</f>
        <v>25</v>
      </c>
      <c r="I984" s="7">
        <f>Procurement_Raw!I984</f>
        <v>44.06</v>
      </c>
      <c r="J984" s="7">
        <f>Procurement_Raw!J984</f>
        <v>1101.6099999999999</v>
      </c>
      <c r="K984" s="6">
        <f>Procurement_Raw!K984</f>
        <v>45</v>
      </c>
      <c r="L984" t="str">
        <f>Procurement_Raw!L984</f>
        <v>Procurement Portal</v>
      </c>
      <c r="M984" s="8">
        <f>Procurement_Raw!M984</f>
        <v>220.322</v>
      </c>
      <c r="N984" s="7">
        <f>Procurement_Raw!N984</f>
        <v>1101.6099999999999</v>
      </c>
      <c r="O984" s="7">
        <f t="shared" si="30"/>
        <v>1101.6099999999999</v>
      </c>
      <c r="P984" t="str">
        <f>IFERROR(INDEX(Supplier_Lookup!$B$2:$B$200,MATCH(E984,Supplier_Lookup!$A$2:$A$200,0)),"Unmapped")</f>
        <v>Office &amp; Training</v>
      </c>
      <c r="Q984" s="10">
        <f>IFERROR(INDEX(Category_Targets!$B$2:$B$9,MATCH(F984,Category_Targets!$A$2:$A$9,0)),0)</f>
        <v>0.04</v>
      </c>
      <c r="R984" s="7">
        <f t="shared" si="31"/>
        <v>44.064399999999999</v>
      </c>
    </row>
    <row r="985" spans="1:18" x14ac:dyDescent="0.25">
      <c r="A985" s="5">
        <f>Procurement_Raw!A985</f>
        <v>45731</v>
      </c>
      <c r="B985" t="str">
        <f>Procurement_Raw!B985</f>
        <v>S011</v>
      </c>
      <c r="C985" t="str">
        <f>Procurement_Raw!C985</f>
        <v>London Care &amp; Education Centre</v>
      </c>
      <c r="D985" t="str">
        <f>Procurement_Raw!D985</f>
        <v>South</v>
      </c>
      <c r="E985" t="str">
        <f>Procurement_Raw!E985</f>
        <v>TeleCare IT</v>
      </c>
      <c r="F985" t="str">
        <f>Procurement_Raw!F985</f>
        <v>IT &amp; Telecoms</v>
      </c>
      <c r="G985" t="str">
        <f>Procurement_Raw!G985</f>
        <v>INV-2025-00984</v>
      </c>
      <c r="H985" s="6">
        <f>Procurement_Raw!H985</f>
        <v>13</v>
      </c>
      <c r="I985" s="7">
        <f>Procurement_Raw!I985</f>
        <v>214.3</v>
      </c>
      <c r="J985" s="7">
        <f>Procurement_Raw!J985</f>
        <v>2785.93</v>
      </c>
      <c r="K985" s="6">
        <f>Procurement_Raw!K985</f>
        <v>60</v>
      </c>
      <c r="L985" t="str">
        <f>Procurement_Raw!L985</f>
        <v>Legacy Spend File</v>
      </c>
      <c r="M985" s="8">
        <f>Procurement_Raw!M985</f>
        <v>557.18600000000004</v>
      </c>
      <c r="N985" s="7">
        <f>Procurement_Raw!N985</f>
        <v>2785.93</v>
      </c>
      <c r="O985" s="7">
        <f t="shared" si="30"/>
        <v>2785.93</v>
      </c>
      <c r="P985" t="str">
        <f>IFERROR(INDEX(Supplier_Lookup!$B$2:$B$200,MATCH(E985,Supplier_Lookup!$A$2:$A$200,0)),"Unmapped")</f>
        <v>IT &amp; Telecoms</v>
      </c>
      <c r="Q985" s="10">
        <f>IFERROR(INDEX(Category_Targets!$B$2:$B$9,MATCH(F985,Category_Targets!$A$2:$A$9,0)),0)</f>
        <v>0.08</v>
      </c>
      <c r="R985" s="7">
        <f t="shared" si="31"/>
        <v>222.87439999999998</v>
      </c>
    </row>
    <row r="986" spans="1:18" x14ac:dyDescent="0.25">
      <c r="A986" s="5">
        <f>Procurement_Raw!A986</f>
        <v>45676</v>
      </c>
      <c r="B986" t="str">
        <f>Procurement_Raw!B986</f>
        <v>S003</v>
      </c>
      <c r="C986" t="str">
        <f>Procurement_Raw!C986</f>
        <v>Leeds Care &amp; Education Centre</v>
      </c>
      <c r="D986" t="str">
        <f>Procurement_Raw!D986</f>
        <v>North</v>
      </c>
      <c r="E986" t="str">
        <f>Procurement_Raw!E986</f>
        <v>PowerDirect</v>
      </c>
      <c r="F986" t="str">
        <f>Procurement_Raw!F986</f>
        <v>Utilities</v>
      </c>
      <c r="G986" t="str">
        <f>Procurement_Raw!G986</f>
        <v>INV-2025-00985</v>
      </c>
      <c r="H986" s="6">
        <f>Procurement_Raw!H986</f>
        <v>59</v>
      </c>
      <c r="I986" s="7">
        <f>Procurement_Raw!I986</f>
        <v>249.51</v>
      </c>
      <c r="J986" s="7">
        <f>Procurement_Raw!J986</f>
        <v>14720.8</v>
      </c>
      <c r="K986" s="6">
        <f>Procurement_Raw!K986</f>
        <v>45</v>
      </c>
      <c r="L986" t="str">
        <f>Procurement_Raw!L986</f>
        <v>Legacy Spend File</v>
      </c>
      <c r="M986" s="8">
        <f>Procurement_Raw!M986</f>
        <v>2944.16</v>
      </c>
      <c r="N986" s="7">
        <f>Procurement_Raw!N986</f>
        <v>14720.8</v>
      </c>
      <c r="O986" s="7">
        <f t="shared" si="30"/>
        <v>14720.8</v>
      </c>
      <c r="P986" t="str">
        <f>IFERROR(INDEX(Supplier_Lookup!$B$2:$B$200,MATCH(E986,Supplier_Lookup!$A$2:$A$200,0)),"Unmapped")</f>
        <v>Utilities</v>
      </c>
      <c r="Q986" s="10">
        <f>IFERROR(INDEX(Category_Targets!$B$2:$B$9,MATCH(F986,Category_Targets!$A$2:$A$9,0)),0)</f>
        <v>0.03</v>
      </c>
      <c r="R986" s="7">
        <f t="shared" si="31"/>
        <v>441.62399999999997</v>
      </c>
    </row>
    <row r="987" spans="1:18" x14ac:dyDescent="0.25">
      <c r="A987" s="5">
        <f>Procurement_Raw!A987</f>
        <v>45817</v>
      </c>
      <c r="B987" t="str">
        <f>Procurement_Raw!B987</f>
        <v>S010</v>
      </c>
      <c r="C987" t="str">
        <f>Procurement_Raw!C987</f>
        <v>Coventry Care &amp; Education Centre</v>
      </c>
      <c r="D987" t="str">
        <f>Procurement_Raw!D987</f>
        <v>Midlands</v>
      </c>
      <c r="E987" t="str">
        <f>Procurement_Raw!E987</f>
        <v>FreshServe</v>
      </c>
      <c r="F987" t="str">
        <f>Procurement_Raw!F987</f>
        <v>Food &amp; Catering</v>
      </c>
      <c r="G987" t="str">
        <f>Procurement_Raw!G987</f>
        <v>INV-2025-00986</v>
      </c>
      <c r="H987" s="6">
        <f>Procurement_Raw!H987</f>
        <v>6</v>
      </c>
      <c r="I987" s="7">
        <f>Procurement_Raw!I987</f>
        <v>34.369999999999997</v>
      </c>
      <c r="J987" s="7">
        <f>Procurement_Raw!J987</f>
        <v>206.24</v>
      </c>
      <c r="K987" s="6">
        <f>Procurement_Raw!K987</f>
        <v>60</v>
      </c>
      <c r="L987" t="str">
        <f>Procurement_Raw!L987</f>
        <v>Legacy Spend File</v>
      </c>
      <c r="M987" s="8">
        <f>Procurement_Raw!M987</f>
        <v>41.247999999999998</v>
      </c>
      <c r="N987" s="7">
        <f>Procurement_Raw!N987</f>
        <v>206.24</v>
      </c>
      <c r="O987" s="7">
        <f t="shared" si="30"/>
        <v>206.24</v>
      </c>
      <c r="P987" t="str">
        <f>IFERROR(INDEX(Supplier_Lookup!$B$2:$B$200,MATCH(E987,Supplier_Lookup!$A$2:$A$200,0)),"Unmapped")</f>
        <v>Food &amp; Catering</v>
      </c>
      <c r="Q987" s="10">
        <f>IFERROR(INDEX(Category_Targets!$B$2:$B$9,MATCH(F987,Category_Targets!$A$2:$A$9,0)),0)</f>
        <v>0.04</v>
      </c>
      <c r="R987" s="7">
        <f t="shared" si="31"/>
        <v>8.2496000000000009</v>
      </c>
    </row>
    <row r="988" spans="1:18" x14ac:dyDescent="0.25">
      <c r="A988" s="5">
        <f>Procurement_Raw!A988</f>
        <v>45681</v>
      </c>
      <c r="B988" t="str">
        <f>Procurement_Raw!B988</f>
        <v>S006</v>
      </c>
      <c r="C988" t="str">
        <f>Procurement_Raw!C988</f>
        <v>Birmingham Care &amp; Education Centre</v>
      </c>
      <c r="D988" t="str">
        <f>Procurement_Raw!D988</f>
        <v>Midlands</v>
      </c>
      <c r="E988" t="str">
        <f>Procurement_Raw!E988</f>
        <v>RoadReady</v>
      </c>
      <c r="F988" t="str">
        <f>Procurement_Raw!F988</f>
        <v>Vehicle &amp; Fuel</v>
      </c>
      <c r="G988" t="str">
        <f>Procurement_Raw!G988</f>
        <v>INV-2025-00987</v>
      </c>
      <c r="H988" s="6">
        <f>Procurement_Raw!H988</f>
        <v>14</v>
      </c>
      <c r="I988" s="7">
        <f>Procurement_Raw!I988</f>
        <v>217.18</v>
      </c>
      <c r="J988" s="7">
        <f>Procurement_Raw!J988</f>
        <v>3040.58</v>
      </c>
      <c r="K988" s="6">
        <f>Procurement_Raw!K988</f>
        <v>60</v>
      </c>
      <c r="L988" t="str">
        <f>Procurement_Raw!L988</f>
        <v>Legacy Spend File</v>
      </c>
      <c r="M988" s="8">
        <f>Procurement_Raw!M988</f>
        <v>608.11599999999999</v>
      </c>
      <c r="N988" s="7">
        <f>Procurement_Raw!N988</f>
        <v>3040.58</v>
      </c>
      <c r="O988" s="7">
        <f t="shared" si="30"/>
        <v>3040.58</v>
      </c>
      <c r="P988" t="str">
        <f>IFERROR(INDEX(Supplier_Lookup!$B$2:$B$200,MATCH(E988,Supplier_Lookup!$A$2:$A$200,0)),"Unmapped")</f>
        <v>Vehicle &amp; Fuel</v>
      </c>
      <c r="Q988" s="10">
        <f>IFERROR(INDEX(Category_Targets!$B$2:$B$9,MATCH(F988,Category_Targets!$A$2:$A$9,0)),0)</f>
        <v>0.05</v>
      </c>
      <c r="R988" s="7">
        <f t="shared" si="31"/>
        <v>152.029</v>
      </c>
    </row>
    <row r="989" spans="1:18" x14ac:dyDescent="0.25">
      <c r="A989" s="5">
        <f>Procurement_Raw!A989</f>
        <v>45953</v>
      </c>
      <c r="B989" t="str">
        <f>Procurement_Raw!B989</f>
        <v>S013</v>
      </c>
      <c r="C989" t="str">
        <f>Procurement_Raw!C989</f>
        <v>Reading Care &amp; Education Centre</v>
      </c>
      <c r="D989" t="str">
        <f>Procurement_Raw!D989</f>
        <v>South</v>
      </c>
      <c r="E989" t="str">
        <f>Procurement_Raw!E989</f>
        <v>CloudLink</v>
      </c>
      <c r="F989" t="str">
        <f>Procurement_Raw!F989</f>
        <v>IT &amp; Telecoms</v>
      </c>
      <c r="G989" t="str">
        <f>Procurement_Raw!G989</f>
        <v>INV-2025-00988</v>
      </c>
      <c r="H989" s="6">
        <f>Procurement_Raw!H989</f>
        <v>40</v>
      </c>
      <c r="I989" s="7">
        <f>Procurement_Raw!I989</f>
        <v>356.44</v>
      </c>
      <c r="J989" s="7">
        <f>Procurement_Raw!J989</f>
        <v>14257.76</v>
      </c>
      <c r="K989" s="6">
        <f>Procurement_Raw!K989</f>
        <v>60</v>
      </c>
      <c r="L989" t="str">
        <f>Procurement_Raw!L989</f>
        <v>ERP</v>
      </c>
      <c r="M989" s="8">
        <f>Procurement_Raw!M989</f>
        <v>2851.5520000000001</v>
      </c>
      <c r="N989" s="7">
        <f>Procurement_Raw!N989</f>
        <v>14257.76</v>
      </c>
      <c r="O989" s="7">
        <f t="shared" si="30"/>
        <v>14257.76</v>
      </c>
      <c r="P989" t="str">
        <f>IFERROR(INDEX(Supplier_Lookup!$B$2:$B$200,MATCH(E989,Supplier_Lookup!$A$2:$A$200,0)),"Unmapped")</f>
        <v>medical supplies</v>
      </c>
      <c r="Q989" s="10">
        <f>IFERROR(INDEX(Category_Targets!$B$2:$B$9,MATCH(F989,Category_Targets!$A$2:$A$9,0)),0)</f>
        <v>0.08</v>
      </c>
      <c r="R989" s="7">
        <f t="shared" si="31"/>
        <v>1140.6208000000001</v>
      </c>
    </row>
    <row r="990" spans="1:18" x14ac:dyDescent="0.25">
      <c r="A990" s="5">
        <f>Procurement_Raw!A990</f>
        <v>45804</v>
      </c>
      <c r="B990" t="str">
        <f>Procurement_Raw!B990</f>
        <v>S005</v>
      </c>
      <c r="C990" t="str">
        <f>Procurement_Raw!C990</f>
        <v>Sheffield Care &amp; Education Centre</v>
      </c>
      <c r="D990" t="str">
        <f>Procurement_Raw!D990</f>
        <v>North</v>
      </c>
      <c r="E990" t="str">
        <f>Procurement_Raw!E990</f>
        <v>UK Energy Partners</v>
      </c>
      <c r="F990" t="str">
        <f>Procurement_Raw!F990</f>
        <v>Utilities</v>
      </c>
      <c r="G990" t="str">
        <f>Procurement_Raw!G990</f>
        <v>INV-2025-00989</v>
      </c>
      <c r="H990" s="6">
        <f>Procurement_Raw!H990</f>
        <v>36</v>
      </c>
      <c r="I990" s="7">
        <f>Procurement_Raw!I990</f>
        <v>221.39</v>
      </c>
      <c r="J990" s="7">
        <f>Procurement_Raw!J990</f>
        <v>7970.08</v>
      </c>
      <c r="K990" s="6">
        <f>Procurement_Raw!K990</f>
        <v>60</v>
      </c>
      <c r="L990" t="str">
        <f>Procurement_Raw!L990</f>
        <v>Procurement Portal</v>
      </c>
      <c r="M990" s="8">
        <f>Procurement_Raw!M990</f>
        <v>1594.0160000000001</v>
      </c>
      <c r="N990" s="7">
        <f>Procurement_Raw!N990</f>
        <v>7970.08</v>
      </c>
      <c r="O990" s="7">
        <f t="shared" si="30"/>
        <v>7970.08</v>
      </c>
      <c r="P990" t="str">
        <f>IFERROR(INDEX(Supplier_Lookup!$B$2:$B$200,MATCH(E990,Supplier_Lookup!$A$2:$A$200,0)),"Unmapped")</f>
        <v>Utilities</v>
      </c>
      <c r="Q990" s="10">
        <f>IFERROR(INDEX(Category_Targets!$B$2:$B$9,MATCH(F990,Category_Targets!$A$2:$A$9,0)),0)</f>
        <v>0.03</v>
      </c>
      <c r="R990" s="7">
        <f t="shared" si="31"/>
        <v>239.10239999999999</v>
      </c>
    </row>
    <row r="991" spans="1:18" x14ac:dyDescent="0.25">
      <c r="A991" s="5">
        <f>Procurement_Raw!A991</f>
        <v>45734</v>
      </c>
      <c r="B991" t="str">
        <f>Procurement_Raw!B991</f>
        <v>S019</v>
      </c>
      <c r="C991" t="str">
        <f>Procurement_Raw!C991</f>
        <v>Wrexham Care &amp; Education Centre</v>
      </c>
      <c r="D991" t="str">
        <f>Procurement_Raw!D991</f>
        <v>Wales</v>
      </c>
      <c r="E991" t="str">
        <f>Procurement_Raw!E991</f>
        <v>NourishCo</v>
      </c>
      <c r="F991" t="str">
        <f>Procurement_Raw!F991</f>
        <v>Food &amp; Catering</v>
      </c>
      <c r="G991" t="str">
        <f>Procurement_Raw!G991</f>
        <v>INV-2025-00990</v>
      </c>
      <c r="H991" s="6">
        <f>Procurement_Raw!H991</f>
        <v>21</v>
      </c>
      <c r="I991" s="7">
        <f>Procurement_Raw!I991</f>
        <v>65.97</v>
      </c>
      <c r="J991" s="7">
        <f>Procurement_Raw!J991</f>
        <v>1385.33</v>
      </c>
      <c r="K991" s="6">
        <f>Procurement_Raw!K991</f>
        <v>45</v>
      </c>
      <c r="L991" t="str">
        <f>Procurement_Raw!L991</f>
        <v>ERP</v>
      </c>
      <c r="M991" s="8">
        <f>Procurement_Raw!M991</f>
        <v>277.06599999999997</v>
      </c>
      <c r="N991" s="7">
        <f>Procurement_Raw!N991</f>
        <v>1385.33</v>
      </c>
      <c r="O991" s="7">
        <f t="shared" si="30"/>
        <v>1385.33</v>
      </c>
      <c r="P991" t="str">
        <f>IFERROR(INDEX(Supplier_Lookup!$B$2:$B$200,MATCH(E991,Supplier_Lookup!$A$2:$A$200,0)),"Unmapped")</f>
        <v>Food &amp; Catering</v>
      </c>
      <c r="Q991" s="10">
        <f>IFERROR(INDEX(Category_Targets!$B$2:$B$9,MATCH(F991,Category_Targets!$A$2:$A$9,0)),0)</f>
        <v>0.04</v>
      </c>
      <c r="R991" s="7">
        <f t="shared" si="31"/>
        <v>55.413199999999996</v>
      </c>
    </row>
    <row r="992" spans="1:18" x14ac:dyDescent="0.25">
      <c r="A992" s="5">
        <f>Procurement_Raw!A992</f>
        <v>45935</v>
      </c>
      <c r="B992" t="str">
        <f>Procurement_Raw!B992</f>
        <v>S007</v>
      </c>
      <c r="C992" t="str">
        <f>Procurement_Raw!C992</f>
        <v>Nottingham Care &amp; Education Centre</v>
      </c>
      <c r="D992" t="str">
        <f>Procurement_Raw!D992</f>
        <v>Midlands</v>
      </c>
      <c r="E992" t="str">
        <f>Procurement_Raw!E992</f>
        <v>FreshServe</v>
      </c>
      <c r="F992" t="str">
        <f>Procurement_Raw!F992</f>
        <v>Food &amp; Catering</v>
      </c>
      <c r="G992" t="str">
        <f>Procurement_Raw!G992</f>
        <v>INV-2025-00991</v>
      </c>
      <c r="H992" s="6">
        <f>Procurement_Raw!H992</f>
        <v>45</v>
      </c>
      <c r="I992" s="7">
        <f>Procurement_Raw!I992</f>
        <v>72.89</v>
      </c>
      <c r="J992" s="7">
        <f>Procurement_Raw!J992</f>
        <v>3280.2</v>
      </c>
      <c r="K992" s="6">
        <f>Procurement_Raw!K992</f>
        <v>60</v>
      </c>
      <c r="L992" t="str">
        <f>Procurement_Raw!L992</f>
        <v>Procurement Portal</v>
      </c>
      <c r="M992" s="8">
        <f>Procurement_Raw!M992</f>
        <v>656.04</v>
      </c>
      <c r="N992" s="7">
        <f>Procurement_Raw!N992</f>
        <v>3280.2</v>
      </c>
      <c r="O992" s="7">
        <f t="shared" si="30"/>
        <v>3280.2</v>
      </c>
      <c r="P992" t="str">
        <f>IFERROR(INDEX(Supplier_Lookup!$B$2:$B$200,MATCH(E992,Supplier_Lookup!$A$2:$A$200,0)),"Unmapped")</f>
        <v>Food &amp; Catering</v>
      </c>
      <c r="Q992" s="10">
        <f>IFERROR(INDEX(Category_Targets!$B$2:$B$9,MATCH(F992,Category_Targets!$A$2:$A$9,0)),0)</f>
        <v>0.04</v>
      </c>
      <c r="R992" s="7">
        <f t="shared" si="31"/>
        <v>131.208</v>
      </c>
    </row>
    <row r="993" spans="1:18" x14ac:dyDescent="0.25">
      <c r="A993" s="5">
        <f>Procurement_Raw!A993</f>
        <v>45803</v>
      </c>
      <c r="B993" t="str">
        <f>Procurement_Raw!B993</f>
        <v>S010</v>
      </c>
      <c r="C993" t="str">
        <f>Procurement_Raw!C993</f>
        <v>Coventry Care &amp; Education Centre</v>
      </c>
      <c r="D993" t="str">
        <f>Procurement_Raw!D993</f>
        <v>Midlands</v>
      </c>
      <c r="E993" t="str">
        <f>Procurement_Raw!E993</f>
        <v>BuildCare</v>
      </c>
      <c r="F993" t="str">
        <f>Procurement_Raw!F993</f>
        <v>Facilities</v>
      </c>
      <c r="G993" t="str">
        <f>Procurement_Raw!G993</f>
        <v>INV-2025-00992</v>
      </c>
      <c r="H993" s="6">
        <f>Procurement_Raw!H993</f>
        <v>74</v>
      </c>
      <c r="I993" s="7">
        <f>Procurement_Raw!I993</f>
        <v>58.56</v>
      </c>
      <c r="J993" s="7">
        <f>Procurement_Raw!J993</f>
        <v>4333.2299999999996</v>
      </c>
      <c r="K993" s="6">
        <f>Procurement_Raw!K993</f>
        <v>30</v>
      </c>
      <c r="L993" t="str">
        <f>Procurement_Raw!L993</f>
        <v>ERP</v>
      </c>
      <c r="M993" s="8">
        <f>Procurement_Raw!M993</f>
        <v>866.64599999999996</v>
      </c>
      <c r="N993" s="7">
        <f>Procurement_Raw!N993</f>
        <v>4333.2299999999996</v>
      </c>
      <c r="O993" s="7">
        <f t="shared" si="30"/>
        <v>4333.2299999999996</v>
      </c>
      <c r="P993" t="str">
        <f>IFERROR(INDEX(Supplier_Lookup!$B$2:$B$200,MATCH(E993,Supplier_Lookup!$A$2:$A$200,0)),"Unmapped")</f>
        <v>Facilities</v>
      </c>
      <c r="Q993" s="10">
        <f>IFERROR(INDEX(Category_Targets!$B$2:$B$9,MATCH(F993,Category_Targets!$A$2:$A$9,0)),0)</f>
        <v>0.05</v>
      </c>
      <c r="R993" s="7">
        <f t="shared" si="31"/>
        <v>216.66149999999999</v>
      </c>
    </row>
    <row r="994" spans="1:18" x14ac:dyDescent="0.25">
      <c r="A994" s="5">
        <f>Procurement_Raw!A994</f>
        <v>45831</v>
      </c>
      <c r="B994" t="str">
        <f>Procurement_Raw!B994</f>
        <v>S009</v>
      </c>
      <c r="C994" t="str">
        <f>Procurement_Raw!C994</f>
        <v>Derby Care &amp; Education Centre</v>
      </c>
      <c r="D994" t="str">
        <f>Procurement_Raw!D994</f>
        <v>Midlands</v>
      </c>
      <c r="E994" t="str">
        <f>Procurement_Raw!E994</f>
        <v>NetServe</v>
      </c>
      <c r="F994" t="str">
        <f>Procurement_Raw!F994</f>
        <v>IT &amp; Telecoms</v>
      </c>
      <c r="G994" t="str">
        <f>Procurement_Raw!G994</f>
        <v>INV-2025-00993</v>
      </c>
      <c r="H994" s="6">
        <f>Procurement_Raw!H994</f>
        <v>70</v>
      </c>
      <c r="I994" s="7">
        <f>Procurement_Raw!I994</f>
        <v>192.04</v>
      </c>
      <c r="J994" s="7">
        <f>Procurement_Raw!J994</f>
        <v>13442.48</v>
      </c>
      <c r="K994" s="6">
        <f>Procurement_Raw!K994</f>
        <v>45</v>
      </c>
      <c r="L994" t="str">
        <f>Procurement_Raw!L994</f>
        <v>ERP</v>
      </c>
      <c r="M994" s="8">
        <f>Procurement_Raw!M994</f>
        <v>2688.4960000000001</v>
      </c>
      <c r="N994" s="7">
        <f>Procurement_Raw!N994</f>
        <v>13442.48</v>
      </c>
      <c r="O994" s="7">
        <f t="shared" si="30"/>
        <v>13442.48</v>
      </c>
      <c r="P994" t="str">
        <f>IFERROR(INDEX(Supplier_Lookup!$B$2:$B$200,MATCH(E994,Supplier_Lookup!$A$2:$A$200,0)),"Unmapped")</f>
        <v>IT &amp; Telecoms</v>
      </c>
      <c r="Q994" s="10">
        <f>IFERROR(INDEX(Category_Targets!$B$2:$B$9,MATCH(F994,Category_Targets!$A$2:$A$9,0)),0)</f>
        <v>0.08</v>
      </c>
      <c r="R994" s="7">
        <f t="shared" si="31"/>
        <v>1075.3984</v>
      </c>
    </row>
    <row r="995" spans="1:18" x14ac:dyDescent="0.25">
      <c r="A995" s="5">
        <f>Procurement_Raw!A995</f>
        <v>46003</v>
      </c>
      <c r="B995" t="str">
        <f>Procurement_Raw!B995</f>
        <v>S012</v>
      </c>
      <c r="C995" t="str">
        <f>Procurement_Raw!C995</f>
        <v>Bristol Care &amp; Education Centre</v>
      </c>
      <c r="D995" t="str">
        <f>Procurement_Raw!D995</f>
        <v>South</v>
      </c>
      <c r="E995" t="str">
        <f>Procurement_Raw!E995</f>
        <v>CareMed</v>
      </c>
      <c r="F995" t="str">
        <f>Procurement_Raw!F995</f>
        <v>Medical Supplies</v>
      </c>
      <c r="G995" t="str">
        <f>Procurement_Raw!G995</f>
        <v>INV-2025-00994</v>
      </c>
      <c r="H995" s="6">
        <f>Procurement_Raw!H995</f>
        <v>7</v>
      </c>
      <c r="I995" s="7">
        <f>Procurement_Raw!I995</f>
        <v>82.47</v>
      </c>
      <c r="J995" s="7">
        <f>Procurement_Raw!J995</f>
        <v>577.27</v>
      </c>
      <c r="K995" s="6">
        <f>Procurement_Raw!K995</f>
        <v>30</v>
      </c>
      <c r="L995" t="str">
        <f>Procurement_Raw!L995</f>
        <v>Procurement Portal</v>
      </c>
      <c r="M995" s="8">
        <f>Procurement_Raw!M995</f>
        <v>115.45399999999999</v>
      </c>
      <c r="N995" s="7">
        <f>Procurement_Raw!N995</f>
        <v>577.27</v>
      </c>
      <c r="O995" s="7">
        <f t="shared" si="30"/>
        <v>577.27</v>
      </c>
      <c r="P995" t="str">
        <f>IFERROR(INDEX(Supplier_Lookup!$B$2:$B$200,MATCH(E995,Supplier_Lookup!$A$2:$A$200,0)),"Unmapped")</f>
        <v>Medical Supplies</v>
      </c>
      <c r="Q995" s="10">
        <f>IFERROR(INDEX(Category_Targets!$B$2:$B$9,MATCH(F995,Category_Targets!$A$2:$A$9,0)),0)</f>
        <v>0.06</v>
      </c>
      <c r="R995" s="7">
        <f t="shared" si="31"/>
        <v>34.636199999999995</v>
      </c>
    </row>
    <row r="996" spans="1:18" x14ac:dyDescent="0.25">
      <c r="A996" s="5">
        <f>Procurement_Raw!A996</f>
        <v>45858</v>
      </c>
      <c r="B996" t="str">
        <f>Procurement_Raw!B996</f>
        <v>S007</v>
      </c>
      <c r="C996" t="str">
        <f>Procurement_Raw!C996</f>
        <v>Nottingham Care &amp; Education Centre</v>
      </c>
      <c r="D996" t="str">
        <f>Procurement_Raw!D996</f>
        <v>Midlands</v>
      </c>
      <c r="E996" t="str">
        <f>Procurement_Raw!E996</f>
        <v>NourishCo</v>
      </c>
      <c r="F996" t="str">
        <f>Procurement_Raw!F996</f>
        <v>Food &amp; Catering</v>
      </c>
      <c r="G996" t="str">
        <f>Procurement_Raw!G996</f>
        <v>INV-2025-00995</v>
      </c>
      <c r="H996" s="6">
        <f>Procurement_Raw!H996</f>
        <v>23</v>
      </c>
      <c r="I996" s="7">
        <f>Procurement_Raw!I996</f>
        <v>37.47</v>
      </c>
      <c r="J996" s="7">
        <f>Procurement_Raw!J996</f>
        <v>861.77</v>
      </c>
      <c r="K996" s="6">
        <f>Procurement_Raw!K996</f>
        <v>60</v>
      </c>
      <c r="L996" t="str">
        <f>Procurement_Raw!L996</f>
        <v>Legacy Spend File</v>
      </c>
      <c r="M996" s="8">
        <f>Procurement_Raw!M996</f>
        <v>172.35400000000001</v>
      </c>
      <c r="N996" s="7">
        <f>Procurement_Raw!N996</f>
        <v>861.77</v>
      </c>
      <c r="O996" s="7">
        <f t="shared" si="30"/>
        <v>861.77</v>
      </c>
      <c r="P996" t="str">
        <f>IFERROR(INDEX(Supplier_Lookup!$B$2:$B$200,MATCH(E996,Supplier_Lookup!$A$2:$A$200,0)),"Unmapped")</f>
        <v>Food &amp; Catering</v>
      </c>
      <c r="Q996" s="10">
        <f>IFERROR(INDEX(Category_Targets!$B$2:$B$9,MATCH(F996,Category_Targets!$A$2:$A$9,0)),0)</f>
        <v>0.04</v>
      </c>
      <c r="R996" s="7">
        <f t="shared" si="31"/>
        <v>34.470799999999997</v>
      </c>
    </row>
    <row r="997" spans="1:18" x14ac:dyDescent="0.25">
      <c r="A997" s="5">
        <f>Procurement_Raw!A997</f>
        <v>45840</v>
      </c>
      <c r="B997" t="str">
        <f>Procurement_Raw!B997</f>
        <v>S010</v>
      </c>
      <c r="C997" t="str">
        <f>Procurement_Raw!C997</f>
        <v>Coventry Care &amp; Education Centre</v>
      </c>
      <c r="D997" t="str">
        <f>Procurement_Raw!D997</f>
        <v>Midlands</v>
      </c>
      <c r="E997" t="str">
        <f>Procurement_Raw!E997</f>
        <v>PrintCo</v>
      </c>
      <c r="F997" t="str">
        <f>Procurement_Raw!F997</f>
        <v>Office &amp; Training</v>
      </c>
      <c r="G997" t="str">
        <f>Procurement_Raw!G997</f>
        <v>INV-2025-00996</v>
      </c>
      <c r="H997" s="6">
        <f>Procurement_Raw!H997</f>
        <v>40</v>
      </c>
      <c r="I997" s="7">
        <f>Procurement_Raw!I997</f>
        <v>64.260000000000005</v>
      </c>
      <c r="J997" s="7">
        <f>Procurement_Raw!J997</f>
        <v>2570.2600000000002</v>
      </c>
      <c r="K997" s="6">
        <f>Procurement_Raw!K997</f>
        <v>45</v>
      </c>
      <c r="L997" t="str">
        <f>Procurement_Raw!L997</f>
        <v>ERP</v>
      </c>
      <c r="M997" s="8">
        <f>Procurement_Raw!M997</f>
        <v>514.05200000000002</v>
      </c>
      <c r="N997" s="7">
        <f>Procurement_Raw!N997</f>
        <v>2570.2600000000002</v>
      </c>
      <c r="O997" s="7">
        <f t="shared" si="30"/>
        <v>2570.2600000000002</v>
      </c>
      <c r="P997" t="str">
        <f>IFERROR(INDEX(Supplier_Lookup!$B$2:$B$200,MATCH(E997,Supplier_Lookup!$A$2:$A$200,0)),"Unmapped")</f>
        <v>Office &amp; Training</v>
      </c>
      <c r="Q997" s="10">
        <f>IFERROR(INDEX(Category_Targets!$B$2:$B$9,MATCH(F997,Category_Targets!$A$2:$A$9,0)),0)</f>
        <v>0.04</v>
      </c>
      <c r="R997" s="7">
        <f t="shared" si="31"/>
        <v>102.81040000000002</v>
      </c>
    </row>
    <row r="998" spans="1:18" x14ac:dyDescent="0.25">
      <c r="A998" s="5">
        <f>Procurement_Raw!A998</f>
        <v>45948</v>
      </c>
      <c r="B998" t="str">
        <f>Procurement_Raw!B998</f>
        <v>S016</v>
      </c>
      <c r="C998" t="str">
        <f>Procurement_Raw!C998</f>
        <v>Cardiff Care &amp; Education Centre</v>
      </c>
      <c r="D998" t="str">
        <f>Procurement_Raw!D998</f>
        <v>Wales</v>
      </c>
      <c r="E998" t="str">
        <f>Procurement_Raw!E998</f>
        <v>NourishCo</v>
      </c>
      <c r="F998" t="str">
        <f>Procurement_Raw!F998</f>
        <v>Food &amp; Catering</v>
      </c>
      <c r="G998" t="str">
        <f>Procurement_Raw!G998</f>
        <v>INV-2025-00997</v>
      </c>
      <c r="H998" s="6">
        <f>Procurement_Raw!H998</f>
        <v>17</v>
      </c>
      <c r="I998" s="7">
        <f>Procurement_Raw!I998</f>
        <v>174.71</v>
      </c>
      <c r="J998" s="7">
        <f>Procurement_Raw!J998</f>
        <v>2970.03</v>
      </c>
      <c r="K998" s="6">
        <f>Procurement_Raw!K998</f>
        <v>30</v>
      </c>
      <c r="L998" t="str">
        <f>Procurement_Raw!L998</f>
        <v>Legacy Spend File</v>
      </c>
      <c r="M998" s="8">
        <f>Procurement_Raw!M998</f>
        <v>594.00599999999997</v>
      </c>
      <c r="N998" s="7">
        <f>Procurement_Raw!N998</f>
        <v>2970.03</v>
      </c>
      <c r="O998" s="7">
        <f t="shared" si="30"/>
        <v>2970.03</v>
      </c>
      <c r="P998" t="str">
        <f>IFERROR(INDEX(Supplier_Lookup!$B$2:$B$200,MATCH(E998,Supplier_Lookup!$A$2:$A$200,0)),"Unmapped")</f>
        <v>Food &amp; Catering</v>
      </c>
      <c r="Q998" s="10">
        <f>IFERROR(INDEX(Category_Targets!$B$2:$B$9,MATCH(F998,Category_Targets!$A$2:$A$9,0)),0)</f>
        <v>0.04</v>
      </c>
      <c r="R998" s="7">
        <f t="shared" si="31"/>
        <v>118.80120000000001</v>
      </c>
    </row>
    <row r="999" spans="1:18" x14ac:dyDescent="0.25">
      <c r="A999" s="5">
        <f>Procurement_Raw!A999</f>
        <v>45816</v>
      </c>
      <c r="B999" t="str">
        <f>Procurement_Raw!B999</f>
        <v>S015</v>
      </c>
      <c r="C999" t="str">
        <f>Procurement_Raw!C999</f>
        <v>Brighton Care &amp; Education Centre</v>
      </c>
      <c r="D999" t="str">
        <f>Procurement_Raw!D999</f>
        <v>South</v>
      </c>
      <c r="E999" t="str">
        <f>Procurement_Raw!E999</f>
        <v>NourishCo</v>
      </c>
      <c r="F999" t="str">
        <f>Procurement_Raw!F999</f>
        <v>Food &amp; Catering</v>
      </c>
      <c r="G999" t="str">
        <f>Procurement_Raw!G999</f>
        <v>INV-2025-00998</v>
      </c>
      <c r="H999" s="6">
        <f>Procurement_Raw!H999</f>
        <v>60</v>
      </c>
      <c r="I999" s="7">
        <f>Procurement_Raw!I999</f>
        <v>92.47</v>
      </c>
      <c r="J999" s="7">
        <f>Procurement_Raw!J999</f>
        <v>5548.01</v>
      </c>
      <c r="K999" s="6">
        <f>Procurement_Raw!K999</f>
        <v>45</v>
      </c>
      <c r="L999" t="str">
        <f>Procurement_Raw!L999</f>
        <v>ERP</v>
      </c>
      <c r="M999" s="8">
        <f>Procurement_Raw!M999</f>
        <v>1109.6020000000001</v>
      </c>
      <c r="N999" s="7">
        <f>Procurement_Raw!N999</f>
        <v>5548.01</v>
      </c>
      <c r="O999" s="7">
        <f t="shared" si="30"/>
        <v>5548.01</v>
      </c>
      <c r="P999" t="str">
        <f>IFERROR(INDEX(Supplier_Lookup!$B$2:$B$200,MATCH(E999,Supplier_Lookup!$A$2:$A$200,0)),"Unmapped")</f>
        <v>Food &amp; Catering</v>
      </c>
      <c r="Q999" s="10">
        <f>IFERROR(INDEX(Category_Targets!$B$2:$B$9,MATCH(F999,Category_Targets!$A$2:$A$9,0)),0)</f>
        <v>0.04</v>
      </c>
      <c r="R999" s="7">
        <f t="shared" si="31"/>
        <v>221.9204</v>
      </c>
    </row>
    <row r="1000" spans="1:18" x14ac:dyDescent="0.25">
      <c r="A1000" s="5">
        <f>Procurement_Raw!A1000</f>
        <v>45790</v>
      </c>
      <c r="B1000" t="str">
        <f>Procurement_Raw!B1000</f>
        <v>S012</v>
      </c>
      <c r="C1000" t="str">
        <f>Procurement_Raw!C1000</f>
        <v>Bristol Care &amp; Education Centre</v>
      </c>
      <c r="D1000" t="str">
        <f>Procurement_Raw!D1000</f>
        <v>South</v>
      </c>
      <c r="E1000" t="str">
        <f>Procurement_Raw!E1000</f>
        <v>BuildCare</v>
      </c>
      <c r="F1000" t="str">
        <f>Procurement_Raw!F1000</f>
        <v>Facilities</v>
      </c>
      <c r="G1000" t="str">
        <f>Procurement_Raw!G1000</f>
        <v>INV-2025-00999</v>
      </c>
      <c r="H1000" s="6">
        <f>Procurement_Raw!H1000</f>
        <v>47</v>
      </c>
      <c r="I1000" s="7">
        <f>Procurement_Raw!I1000</f>
        <v>131.47</v>
      </c>
      <c r="J1000" s="7">
        <f>Procurement_Raw!J1000</f>
        <v>6179.27</v>
      </c>
      <c r="K1000" s="6">
        <f>Procurement_Raw!K1000</f>
        <v>45</v>
      </c>
      <c r="L1000" t="str">
        <f>Procurement_Raw!L1000</f>
        <v>ERP</v>
      </c>
      <c r="M1000" s="8">
        <f>Procurement_Raw!M1000</f>
        <v>1235.854</v>
      </c>
      <c r="N1000" s="7">
        <f>Procurement_Raw!N1000</f>
        <v>6179.27</v>
      </c>
      <c r="O1000" s="7">
        <f t="shared" si="30"/>
        <v>6179.27</v>
      </c>
      <c r="P1000" t="str">
        <f>IFERROR(INDEX(Supplier_Lookup!$B$2:$B$200,MATCH(E1000,Supplier_Lookup!$A$2:$A$200,0)),"Unmapped")</f>
        <v>Facilities</v>
      </c>
      <c r="Q1000" s="10">
        <f>IFERROR(INDEX(Category_Targets!$B$2:$B$9,MATCH(F1000,Category_Targets!$A$2:$A$9,0)),0)</f>
        <v>0.05</v>
      </c>
      <c r="R1000" s="7">
        <f t="shared" si="31"/>
        <v>308.96350000000007</v>
      </c>
    </row>
    <row r="1001" spans="1:18" x14ac:dyDescent="0.25">
      <c r="A1001" s="5">
        <f>Procurement_Raw!A1001</f>
        <v>45890</v>
      </c>
      <c r="B1001" t="str">
        <f>Procurement_Raw!B1001</f>
        <v>S018</v>
      </c>
      <c r="C1001" t="str">
        <f>Procurement_Raw!C1001</f>
        <v>Newport Care &amp; Education Centre</v>
      </c>
      <c r="D1001" t="str">
        <f>Procurement_Raw!D1001</f>
        <v>Wales</v>
      </c>
      <c r="E1001" t="str">
        <f>Procurement_Raw!E1001</f>
        <v>RoadReady</v>
      </c>
      <c r="F1001" t="str">
        <f>Procurement_Raw!F1001</f>
        <v>Vehicle &amp; Fuel</v>
      </c>
      <c r="G1001" t="str">
        <f>Procurement_Raw!G1001</f>
        <v>INV-2025-01000</v>
      </c>
      <c r="H1001" s="6">
        <f>Procurement_Raw!H1001</f>
        <v>63</v>
      </c>
      <c r="I1001" s="7">
        <f>Procurement_Raw!I1001</f>
        <v>130.16</v>
      </c>
      <c r="J1001" s="7">
        <f>Procurement_Raw!J1001</f>
        <v>8200.35</v>
      </c>
      <c r="K1001" s="6">
        <f>Procurement_Raw!K1001</f>
        <v>30</v>
      </c>
      <c r="L1001" t="str">
        <f>Procurement_Raw!L1001</f>
        <v>ERP</v>
      </c>
      <c r="M1001" s="8">
        <f>Procurement_Raw!M1001</f>
        <v>1640.07</v>
      </c>
      <c r="N1001" s="7">
        <f>Procurement_Raw!N1001</f>
        <v>8200.35</v>
      </c>
      <c r="O1001" s="7">
        <f t="shared" si="30"/>
        <v>8200.35</v>
      </c>
      <c r="P1001" t="str">
        <f>IFERROR(INDEX(Supplier_Lookup!$B$2:$B$200,MATCH(E1001,Supplier_Lookup!$A$2:$A$200,0)),"Unmapped")</f>
        <v>Vehicle &amp; Fuel</v>
      </c>
      <c r="Q1001" s="10">
        <f>IFERROR(INDEX(Category_Targets!$B$2:$B$9,MATCH(F1001,Category_Targets!$A$2:$A$9,0)),0)</f>
        <v>0.05</v>
      </c>
      <c r="R1001" s="7">
        <f t="shared" si="31"/>
        <v>410.01750000000004</v>
      </c>
    </row>
    <row r="1002" spans="1:18" x14ac:dyDescent="0.25">
      <c r="A1002" s="5">
        <f>Procurement_Raw!A1002</f>
        <v>45903</v>
      </c>
      <c r="B1002" t="str">
        <f>Procurement_Raw!B1002</f>
        <v>S012</v>
      </c>
      <c r="C1002" t="str">
        <f>Procurement_Raw!C1002</f>
        <v>Bristol Care &amp; Education Centre</v>
      </c>
      <c r="D1002" t="str">
        <f>Procurement_Raw!D1002</f>
        <v>South</v>
      </c>
      <c r="E1002" t="str">
        <f>Procurement_Raw!E1002</f>
        <v>NourishCo</v>
      </c>
      <c r="F1002" t="str">
        <f>Procurement_Raw!F1002</f>
        <v>Food &amp; Catering</v>
      </c>
      <c r="G1002" t="str">
        <f>Procurement_Raw!G1002</f>
        <v>INV-2025-01001</v>
      </c>
      <c r="H1002" s="6">
        <f>Procurement_Raw!H1002</f>
        <v>60</v>
      </c>
      <c r="I1002" s="7">
        <f>Procurement_Raw!I1002</f>
        <v>140.34</v>
      </c>
      <c r="J1002" s="7">
        <f>Procurement_Raw!J1002</f>
        <v>8420.1</v>
      </c>
      <c r="K1002" s="6">
        <f>Procurement_Raw!K1002</f>
        <v>30</v>
      </c>
      <c r="L1002" t="str">
        <f>Procurement_Raw!L1002</f>
        <v>Procurement Portal</v>
      </c>
      <c r="M1002" s="8">
        <f>Procurement_Raw!M1002</f>
        <v>1684.02</v>
      </c>
      <c r="N1002" s="7">
        <f>Procurement_Raw!N1002</f>
        <v>8420.1</v>
      </c>
      <c r="O1002" s="7">
        <f t="shared" si="30"/>
        <v>8420.1</v>
      </c>
      <c r="P1002" t="str">
        <f>IFERROR(INDEX(Supplier_Lookup!$B$2:$B$200,MATCH(E1002,Supplier_Lookup!$A$2:$A$200,0)),"Unmapped")</f>
        <v>Food &amp; Catering</v>
      </c>
      <c r="Q1002" s="10">
        <f>IFERROR(INDEX(Category_Targets!$B$2:$B$9,MATCH(F1002,Category_Targets!$A$2:$A$9,0)),0)</f>
        <v>0.04</v>
      </c>
      <c r="R1002" s="7">
        <f t="shared" si="31"/>
        <v>336.80400000000003</v>
      </c>
    </row>
    <row r="1003" spans="1:18" x14ac:dyDescent="0.25">
      <c r="A1003" s="5">
        <f>Procurement_Raw!A1003</f>
        <v>45710</v>
      </c>
      <c r="B1003" t="str">
        <f>Procurement_Raw!B1003</f>
        <v>S019</v>
      </c>
      <c r="C1003" t="str">
        <f>Procurement_Raw!C1003</f>
        <v>Wrexham Care &amp; Education Centre</v>
      </c>
      <c r="D1003" t="str">
        <f>Procurement_Raw!D1003</f>
        <v>Wales</v>
      </c>
      <c r="E1003" t="str">
        <f>Procurement_Raw!E1003</f>
        <v>BuildCare</v>
      </c>
      <c r="F1003" t="str">
        <f>Procurement_Raw!F1003</f>
        <v>Facilities</v>
      </c>
      <c r="G1003" t="str">
        <f>Procurement_Raw!G1003</f>
        <v>INV-2025-01002</v>
      </c>
      <c r="H1003" s="6">
        <f>Procurement_Raw!H1003</f>
        <v>52</v>
      </c>
      <c r="I1003" s="7">
        <f>Procurement_Raw!I1003</f>
        <v>299.32</v>
      </c>
      <c r="J1003" s="7">
        <f>Procurement_Raw!J1003</f>
        <v>15564.52</v>
      </c>
      <c r="K1003" s="6">
        <f>Procurement_Raw!K1003</f>
        <v>60</v>
      </c>
      <c r="L1003" t="str">
        <f>Procurement_Raw!L1003</f>
        <v>ERP</v>
      </c>
      <c r="M1003" s="8">
        <f>Procurement_Raw!M1003</f>
        <v>3112.904</v>
      </c>
      <c r="N1003" s="7">
        <f>Procurement_Raw!N1003</f>
        <v>15564.52</v>
      </c>
      <c r="O1003" s="7">
        <f t="shared" si="30"/>
        <v>15564.52</v>
      </c>
      <c r="P1003" t="str">
        <f>IFERROR(INDEX(Supplier_Lookup!$B$2:$B$200,MATCH(E1003,Supplier_Lookup!$A$2:$A$200,0)),"Unmapped")</f>
        <v>Facilities</v>
      </c>
      <c r="Q1003" s="10">
        <f>IFERROR(INDEX(Category_Targets!$B$2:$B$9,MATCH(F1003,Category_Targets!$A$2:$A$9,0)),0)</f>
        <v>0.05</v>
      </c>
      <c r="R1003" s="7">
        <f t="shared" si="31"/>
        <v>778.22600000000011</v>
      </c>
    </row>
    <row r="1004" spans="1:18" x14ac:dyDescent="0.25">
      <c r="A1004" s="5">
        <f>Procurement_Raw!A1004</f>
        <v>45930</v>
      </c>
      <c r="B1004" t="str">
        <f>Procurement_Raw!B1004</f>
        <v>S009</v>
      </c>
      <c r="C1004" t="str">
        <f>Procurement_Raw!C1004</f>
        <v>Derby Care &amp; Education Centre</v>
      </c>
      <c r="D1004" t="str">
        <f>Procurement_Raw!D1004</f>
        <v>Midlands</v>
      </c>
      <c r="E1004" t="str">
        <f>Procurement_Raw!E1004</f>
        <v>NourishCo</v>
      </c>
      <c r="F1004" t="str">
        <f>Procurement_Raw!F1004</f>
        <v>Food &amp; Catering</v>
      </c>
      <c r="G1004" t="str">
        <f>Procurement_Raw!G1004</f>
        <v>INV-2025-01003</v>
      </c>
      <c r="H1004" s="6">
        <f>Procurement_Raw!H1004</f>
        <v>60</v>
      </c>
      <c r="I1004" s="7">
        <f>Procurement_Raw!I1004</f>
        <v>67.17</v>
      </c>
      <c r="J1004" s="7">
        <f>Procurement_Raw!J1004</f>
        <v>4030.03</v>
      </c>
      <c r="K1004" s="6">
        <f>Procurement_Raw!K1004</f>
        <v>45</v>
      </c>
      <c r="L1004" t="str">
        <f>Procurement_Raw!L1004</f>
        <v>Legacy Spend File</v>
      </c>
      <c r="M1004" s="8">
        <f>Procurement_Raw!M1004</f>
        <v>806.00599999999997</v>
      </c>
      <c r="N1004" s="7">
        <f>Procurement_Raw!N1004</f>
        <v>4030.03</v>
      </c>
      <c r="O1004" s="7">
        <f t="shared" si="30"/>
        <v>4030.03</v>
      </c>
      <c r="P1004" t="str">
        <f>IFERROR(INDEX(Supplier_Lookup!$B$2:$B$200,MATCH(E1004,Supplier_Lookup!$A$2:$A$200,0)),"Unmapped")</f>
        <v>Food &amp; Catering</v>
      </c>
      <c r="Q1004" s="10">
        <f>IFERROR(INDEX(Category_Targets!$B$2:$B$9,MATCH(F1004,Category_Targets!$A$2:$A$9,0)),0)</f>
        <v>0.04</v>
      </c>
      <c r="R1004" s="7">
        <f t="shared" si="31"/>
        <v>161.2012</v>
      </c>
    </row>
    <row r="1005" spans="1:18" x14ac:dyDescent="0.25">
      <c r="A1005" s="5">
        <f>Procurement_Raw!A1005</f>
        <v>45782</v>
      </c>
      <c r="B1005" t="str">
        <f>Procurement_Raw!B1005</f>
        <v>S011</v>
      </c>
      <c r="C1005" t="str">
        <f>Procurement_Raw!C1005</f>
        <v>London Care &amp; Education Centre</v>
      </c>
      <c r="D1005" t="str">
        <f>Procurement_Raw!D1005</f>
        <v>South</v>
      </c>
      <c r="E1005" t="str">
        <f>Procurement_Raw!E1005</f>
        <v>PowerDirect</v>
      </c>
      <c r="F1005" t="str">
        <f>Procurement_Raw!F1005</f>
        <v>Utilities</v>
      </c>
      <c r="G1005" t="str">
        <f>Procurement_Raw!G1005</f>
        <v>INV-2025-01004</v>
      </c>
      <c r="H1005" s="6">
        <f>Procurement_Raw!H1005</f>
        <v>71</v>
      </c>
      <c r="I1005" s="7">
        <f>Procurement_Raw!I1005</f>
        <v>175.15</v>
      </c>
      <c r="J1005" s="7">
        <f>Procurement_Raw!J1005</f>
        <v>12435.69</v>
      </c>
      <c r="K1005" s="6">
        <f>Procurement_Raw!K1005</f>
        <v>30</v>
      </c>
      <c r="L1005" t="str">
        <f>Procurement_Raw!L1005</f>
        <v>Procurement Portal</v>
      </c>
      <c r="M1005" s="8">
        <f>Procurement_Raw!M1005</f>
        <v>2487.1379999999999</v>
      </c>
      <c r="N1005" s="7">
        <f>Procurement_Raw!N1005</f>
        <v>12435.69</v>
      </c>
      <c r="O1005" s="7">
        <f t="shared" si="30"/>
        <v>12435.69</v>
      </c>
      <c r="P1005" t="str">
        <f>IFERROR(INDEX(Supplier_Lookup!$B$2:$B$200,MATCH(E1005,Supplier_Lookup!$A$2:$A$200,0)),"Unmapped")</f>
        <v>Utilities</v>
      </c>
      <c r="Q1005" s="10">
        <f>IFERROR(INDEX(Category_Targets!$B$2:$B$9,MATCH(F1005,Category_Targets!$A$2:$A$9,0)),0)</f>
        <v>0.03</v>
      </c>
      <c r="R1005" s="7">
        <f t="shared" si="31"/>
        <v>373.07069999999999</v>
      </c>
    </row>
    <row r="1006" spans="1:18" x14ac:dyDescent="0.25">
      <c r="A1006" s="5">
        <f>Procurement_Raw!A1006</f>
        <v>45764</v>
      </c>
      <c r="B1006" t="str">
        <f>Procurement_Raw!B1006</f>
        <v>S012</v>
      </c>
      <c r="C1006" t="str">
        <f>Procurement_Raw!C1006</f>
        <v>Bristol Care &amp; Education Centre</v>
      </c>
      <c r="D1006" t="str">
        <f>Procurement_Raw!D1006</f>
        <v>South</v>
      </c>
      <c r="E1006" t="str">
        <f>Procurement_Raw!E1006</f>
        <v>NourishCo</v>
      </c>
      <c r="F1006" t="str">
        <f>Procurement_Raw!F1006</f>
        <v>Food &amp; Catering</v>
      </c>
      <c r="G1006" t="str">
        <f>Procurement_Raw!G1006</f>
        <v>INV-2025-01005</v>
      </c>
      <c r="H1006" s="6">
        <f>Procurement_Raw!H1006</f>
        <v>76</v>
      </c>
      <c r="I1006" s="7">
        <f>Procurement_Raw!I1006</f>
        <v>95.43</v>
      </c>
      <c r="J1006" s="7">
        <f>Procurement_Raw!J1006</f>
        <v>7252.8</v>
      </c>
      <c r="K1006" s="6">
        <f>Procurement_Raw!K1006</f>
        <v>45</v>
      </c>
      <c r="L1006" t="str">
        <f>Procurement_Raw!L1006</f>
        <v>Procurement Portal</v>
      </c>
      <c r="M1006" s="8">
        <f>Procurement_Raw!M1006</f>
        <v>1450.56</v>
      </c>
      <c r="N1006" s="7">
        <f>Procurement_Raw!N1006</f>
        <v>7252.8</v>
      </c>
      <c r="O1006" s="7">
        <f t="shared" si="30"/>
        <v>7252.8</v>
      </c>
      <c r="P1006" t="str">
        <f>IFERROR(INDEX(Supplier_Lookup!$B$2:$B$200,MATCH(E1006,Supplier_Lookup!$A$2:$A$200,0)),"Unmapped")</f>
        <v>Food &amp; Catering</v>
      </c>
      <c r="Q1006" s="10">
        <f>IFERROR(INDEX(Category_Targets!$B$2:$B$9,MATCH(F1006,Category_Targets!$A$2:$A$9,0)),0)</f>
        <v>0.04</v>
      </c>
      <c r="R1006" s="7">
        <f t="shared" si="31"/>
        <v>290.11200000000002</v>
      </c>
    </row>
    <row r="1007" spans="1:18" x14ac:dyDescent="0.25">
      <c r="A1007" s="5">
        <f>Procurement_Raw!A1007</f>
        <v>46013</v>
      </c>
      <c r="B1007" t="str">
        <f>Procurement_Raw!B1007</f>
        <v>S015</v>
      </c>
      <c r="C1007" t="str">
        <f>Procurement_Raw!C1007</f>
        <v>Brighton Care &amp; Education Centre</v>
      </c>
      <c r="D1007" t="str">
        <f>Procurement_Raw!D1007</f>
        <v>South</v>
      </c>
      <c r="E1007" t="str">
        <f>Procurement_Raw!E1007</f>
        <v>AutoCare</v>
      </c>
      <c r="F1007" t="str">
        <f>Procurement_Raw!F1007</f>
        <v>Vehicle &amp; Fuel</v>
      </c>
      <c r="G1007" t="str">
        <f>Procurement_Raw!G1007</f>
        <v>INV-2025-01006</v>
      </c>
      <c r="H1007" s="6">
        <f>Procurement_Raw!H1007</f>
        <v>31</v>
      </c>
      <c r="I1007" s="7">
        <f>Procurement_Raw!I1007</f>
        <v>117.95</v>
      </c>
      <c r="J1007" s="7">
        <f>Procurement_Raw!J1007</f>
        <v>3656.57</v>
      </c>
      <c r="K1007" s="6">
        <f>Procurement_Raw!K1007</f>
        <v>30</v>
      </c>
      <c r="L1007" t="str">
        <f>Procurement_Raw!L1007</f>
        <v>Legacy Spend File</v>
      </c>
      <c r="M1007" s="8">
        <f>Procurement_Raw!M1007</f>
        <v>731.31399999999996</v>
      </c>
      <c r="N1007" s="7">
        <f>Procurement_Raw!N1007</f>
        <v>3656.57</v>
      </c>
      <c r="O1007" s="7">
        <f t="shared" si="30"/>
        <v>3656.57</v>
      </c>
      <c r="P1007" t="str">
        <f>IFERROR(INDEX(Supplier_Lookup!$B$2:$B$200,MATCH(E1007,Supplier_Lookup!$A$2:$A$200,0)),"Unmapped")</f>
        <v>Vehicle &amp; Fuel</v>
      </c>
      <c r="Q1007" s="10">
        <f>IFERROR(INDEX(Category_Targets!$B$2:$B$9,MATCH(F1007,Category_Targets!$A$2:$A$9,0)),0)</f>
        <v>0.05</v>
      </c>
      <c r="R1007" s="7">
        <f t="shared" si="31"/>
        <v>182.82850000000002</v>
      </c>
    </row>
    <row r="1008" spans="1:18" x14ac:dyDescent="0.25">
      <c r="A1008" s="5">
        <f>Procurement_Raw!A1008</f>
        <v>46022</v>
      </c>
      <c r="B1008" t="str">
        <f>Procurement_Raw!B1008</f>
        <v>S001</v>
      </c>
      <c r="C1008" t="str">
        <f>Procurement_Raw!C1008</f>
        <v>Preston Care &amp; Education Centre</v>
      </c>
      <c r="D1008" t="str">
        <f>Procurement_Raw!D1008</f>
        <v>North</v>
      </c>
      <c r="E1008" t="str">
        <f>Procurement_Raw!E1008</f>
        <v>KitchenPro</v>
      </c>
      <c r="F1008" t="str">
        <f>Procurement_Raw!F1008</f>
        <v>Food &amp; Catering</v>
      </c>
      <c r="G1008" t="str">
        <f>Procurement_Raw!G1008</f>
        <v>INV-2025-01007</v>
      </c>
      <c r="H1008" s="6">
        <f>Procurement_Raw!H1008</f>
        <v>74</v>
      </c>
      <c r="I1008" s="7">
        <f>Procurement_Raw!I1008</f>
        <v>106.35</v>
      </c>
      <c r="J1008" s="7">
        <f>Procurement_Raw!J1008</f>
        <v>7869.96</v>
      </c>
      <c r="K1008" s="6">
        <f>Procurement_Raw!K1008</f>
        <v>45</v>
      </c>
      <c r="L1008" t="str">
        <f>Procurement_Raw!L1008</f>
        <v>ERP</v>
      </c>
      <c r="M1008" s="8">
        <f>Procurement_Raw!M1008</f>
        <v>1573.992</v>
      </c>
      <c r="N1008" s="7">
        <f>Procurement_Raw!N1008</f>
        <v>7869.96</v>
      </c>
      <c r="O1008" s="7">
        <f t="shared" si="30"/>
        <v>7869.96</v>
      </c>
      <c r="P1008" t="str">
        <f>IFERROR(INDEX(Supplier_Lookup!$B$2:$B$200,MATCH(E1008,Supplier_Lookup!$A$2:$A$200,0)),"Unmapped")</f>
        <v>Food &amp; Catering</v>
      </c>
      <c r="Q1008" s="10">
        <f>IFERROR(INDEX(Category_Targets!$B$2:$B$9,MATCH(F1008,Category_Targets!$A$2:$A$9,0)),0)</f>
        <v>0.04</v>
      </c>
      <c r="R1008" s="7">
        <f t="shared" si="31"/>
        <v>314.79840000000002</v>
      </c>
    </row>
    <row r="1009" spans="1:18" x14ac:dyDescent="0.25">
      <c r="A1009" s="5">
        <f>Procurement_Raw!A1009</f>
        <v>45942</v>
      </c>
      <c r="B1009" t="str">
        <f>Procurement_Raw!B1009</f>
        <v>S004</v>
      </c>
      <c r="C1009" t="str">
        <f>Procurement_Raw!C1009</f>
        <v>Newcastle Care &amp; Education Centre</v>
      </c>
      <c r="D1009" t="str">
        <f>Procurement_Raw!D1009</f>
        <v>North</v>
      </c>
      <c r="E1009" t="str">
        <f>Procurement_Raw!E1009</f>
        <v>LearnWell</v>
      </c>
      <c r="F1009" t="str">
        <f>Procurement_Raw!F1009</f>
        <v>Office &amp; Training</v>
      </c>
      <c r="G1009" t="str">
        <f>Procurement_Raw!G1009</f>
        <v>INV-2025-01008</v>
      </c>
      <c r="H1009" s="6">
        <f>Procurement_Raw!H1009</f>
        <v>13</v>
      </c>
      <c r="I1009" s="7">
        <f>Procurement_Raw!I1009</f>
        <v>106.36</v>
      </c>
      <c r="J1009" s="7">
        <f>Procurement_Raw!J1009</f>
        <v>1382.68</v>
      </c>
      <c r="K1009" s="6">
        <f>Procurement_Raw!K1009</f>
        <v>45</v>
      </c>
      <c r="L1009" t="str">
        <f>Procurement_Raw!L1009</f>
        <v>ERP</v>
      </c>
      <c r="M1009" s="8">
        <f>Procurement_Raw!M1009</f>
        <v>276.536</v>
      </c>
      <c r="N1009" s="7">
        <f>Procurement_Raw!N1009</f>
        <v>1382.68</v>
      </c>
      <c r="O1009" s="7">
        <f t="shared" si="30"/>
        <v>1382.68</v>
      </c>
      <c r="P1009" t="str">
        <f>IFERROR(INDEX(Supplier_Lookup!$B$2:$B$200,MATCH(E1009,Supplier_Lookup!$A$2:$A$200,0)),"Unmapped")</f>
        <v>Office &amp; Training</v>
      </c>
      <c r="Q1009" s="10">
        <f>IFERROR(INDEX(Category_Targets!$B$2:$B$9,MATCH(F1009,Category_Targets!$A$2:$A$9,0)),0)</f>
        <v>0.04</v>
      </c>
      <c r="R1009" s="7">
        <f t="shared" si="31"/>
        <v>55.307200000000002</v>
      </c>
    </row>
    <row r="1010" spans="1:18" x14ac:dyDescent="0.25">
      <c r="A1010" s="5">
        <f>Procurement_Raw!A1010</f>
        <v>45964</v>
      </c>
      <c r="B1010" t="str">
        <f>Procurement_Raw!B1010</f>
        <v>S010</v>
      </c>
      <c r="C1010" t="str">
        <f>Procurement_Raw!C1010</f>
        <v>Coventry Care &amp; Education Centre</v>
      </c>
      <c r="D1010" t="str">
        <f>Procurement_Raw!D1010</f>
        <v>Midlands</v>
      </c>
      <c r="E1010" t="str">
        <f>Procurement_Raw!E1010</f>
        <v>HealthStaffing</v>
      </c>
      <c r="F1010" t="str">
        <f>Procurement_Raw!F1010</f>
        <v>Agency Labour</v>
      </c>
      <c r="G1010" t="str">
        <f>Procurement_Raw!G1010</f>
        <v>INV-2025-01009</v>
      </c>
      <c r="H1010" s="6">
        <f>Procurement_Raw!H1010</f>
        <v>14</v>
      </c>
      <c r="I1010" s="7">
        <f>Procurement_Raw!I1010</f>
        <v>534.34</v>
      </c>
      <c r="J1010" s="7">
        <f>Procurement_Raw!J1010</f>
        <v>7480.79</v>
      </c>
      <c r="K1010" s="6">
        <f>Procurement_Raw!K1010</f>
        <v>60</v>
      </c>
      <c r="L1010" t="str">
        <f>Procurement_Raw!L1010</f>
        <v>Legacy Spend File</v>
      </c>
      <c r="M1010" s="8">
        <f>Procurement_Raw!M1010</f>
        <v>1496.1579999999999</v>
      </c>
      <c r="N1010" s="7">
        <f>Procurement_Raw!N1010</f>
        <v>7480.79</v>
      </c>
      <c r="O1010" s="7">
        <f t="shared" si="30"/>
        <v>7480.79</v>
      </c>
      <c r="P1010" t="str">
        <f>IFERROR(INDEX(Supplier_Lookup!$B$2:$B$200,MATCH(E1010,Supplier_Lookup!$A$2:$A$200,0)),"Unmapped")</f>
        <v>Agency Labour</v>
      </c>
      <c r="Q1010" s="10">
        <f>IFERROR(INDEX(Category_Targets!$B$2:$B$9,MATCH(F1010,Category_Targets!$A$2:$A$9,0)),0)</f>
        <v>7.0000000000000007E-2</v>
      </c>
      <c r="R1010" s="7">
        <f t="shared" si="31"/>
        <v>523.65530000000001</v>
      </c>
    </row>
    <row r="1011" spans="1:18" x14ac:dyDescent="0.25">
      <c r="A1011" s="5">
        <f>Procurement_Raw!A1011</f>
        <v>45988</v>
      </c>
      <c r="B1011" t="str">
        <f>Procurement_Raw!B1011</f>
        <v>S008</v>
      </c>
      <c r="C1011" t="str">
        <f>Procurement_Raw!C1011</f>
        <v>Leicester Care &amp; Education Centre</v>
      </c>
      <c r="D1011" t="str">
        <f>Procurement_Raw!D1011</f>
        <v>Midlands</v>
      </c>
      <c r="E1011" t="str">
        <f>Procurement_Raw!E1011</f>
        <v>RoadReady</v>
      </c>
      <c r="F1011" t="str">
        <f>Procurement_Raw!F1011</f>
        <v>Vehicle &amp; Fuel</v>
      </c>
      <c r="G1011" t="str">
        <f>Procurement_Raw!G1011</f>
        <v>INV-2025-01010</v>
      </c>
      <c r="H1011" s="6">
        <f>Procurement_Raw!H1011</f>
        <v>8</v>
      </c>
      <c r="I1011" s="7">
        <f>Procurement_Raw!I1011</f>
        <v>70.77</v>
      </c>
      <c r="J1011" s="7">
        <f>Procurement_Raw!J1011</f>
        <v>566.20000000000005</v>
      </c>
      <c r="K1011" s="6">
        <f>Procurement_Raw!K1011</f>
        <v>30</v>
      </c>
      <c r="L1011" t="str">
        <f>Procurement_Raw!L1011</f>
        <v>ERP</v>
      </c>
      <c r="M1011" s="8">
        <f>Procurement_Raw!M1011</f>
        <v>113.24</v>
      </c>
      <c r="N1011" s="7">
        <f>Procurement_Raw!N1011</f>
        <v>566.20000000000005</v>
      </c>
      <c r="O1011" s="7">
        <f t="shared" si="30"/>
        <v>566.20000000000005</v>
      </c>
      <c r="P1011" t="str">
        <f>IFERROR(INDEX(Supplier_Lookup!$B$2:$B$200,MATCH(E1011,Supplier_Lookup!$A$2:$A$200,0)),"Unmapped")</f>
        <v>Vehicle &amp; Fuel</v>
      </c>
      <c r="Q1011" s="10">
        <f>IFERROR(INDEX(Category_Targets!$B$2:$B$9,MATCH(F1011,Category_Targets!$A$2:$A$9,0)),0)</f>
        <v>0.05</v>
      </c>
      <c r="R1011" s="7">
        <f t="shared" si="31"/>
        <v>28.310000000000002</v>
      </c>
    </row>
    <row r="1012" spans="1:18" x14ac:dyDescent="0.25">
      <c r="A1012" s="5">
        <f>Procurement_Raw!A1012</f>
        <v>45996</v>
      </c>
      <c r="B1012" t="str">
        <f>Procurement_Raw!B1012</f>
        <v>S013</v>
      </c>
      <c r="C1012" t="str">
        <f>Procurement_Raw!C1012</f>
        <v>Reading Care &amp; Education Centre</v>
      </c>
      <c r="D1012" t="str">
        <f>Procurement_Raw!D1012</f>
        <v>South</v>
      </c>
      <c r="E1012" t="str">
        <f>Procurement_Raw!E1012</f>
        <v>MediSure</v>
      </c>
      <c r="F1012" t="str">
        <f>Procurement_Raw!F1012</f>
        <v>Medical Supplies</v>
      </c>
      <c r="G1012" t="str">
        <f>Procurement_Raw!G1012</f>
        <v>INV-2025-01011</v>
      </c>
      <c r="H1012" s="6">
        <f>Procurement_Raw!H1012</f>
        <v>20</v>
      </c>
      <c r="I1012" s="7">
        <f>Procurement_Raw!I1012</f>
        <v>247.66</v>
      </c>
      <c r="J1012" s="7">
        <f>Procurement_Raw!J1012</f>
        <v>4953.21</v>
      </c>
      <c r="K1012" s="6">
        <f>Procurement_Raw!K1012</f>
        <v>45</v>
      </c>
      <c r="L1012" t="str">
        <f>Procurement_Raw!L1012</f>
        <v>Legacy Spend File</v>
      </c>
      <c r="M1012" s="8">
        <f>Procurement_Raw!M1012</f>
        <v>990.64200000000005</v>
      </c>
      <c r="N1012" s="7">
        <f>Procurement_Raw!N1012</f>
        <v>4953.21</v>
      </c>
      <c r="O1012" s="7">
        <f t="shared" si="30"/>
        <v>4953.21</v>
      </c>
      <c r="P1012" t="str">
        <f>IFERROR(INDEX(Supplier_Lookup!$B$2:$B$200,MATCH(E1012,Supplier_Lookup!$A$2:$A$200,0)),"Unmapped")</f>
        <v>Medical Supplies</v>
      </c>
      <c r="Q1012" s="10">
        <f>IFERROR(INDEX(Category_Targets!$B$2:$B$9,MATCH(F1012,Category_Targets!$A$2:$A$9,0)),0)</f>
        <v>0.06</v>
      </c>
      <c r="R1012" s="7">
        <f t="shared" si="31"/>
        <v>297.19259999999997</v>
      </c>
    </row>
    <row r="1013" spans="1:18" x14ac:dyDescent="0.25">
      <c r="A1013" s="5">
        <f>Procurement_Raw!A1013</f>
        <v>45953</v>
      </c>
      <c r="B1013" t="str">
        <f>Procurement_Raw!B1013</f>
        <v>S020</v>
      </c>
      <c r="C1013" t="str">
        <f>Procurement_Raw!C1013</f>
        <v>Bangor Care &amp; Education Centre</v>
      </c>
      <c r="D1013" t="str">
        <f>Procurement_Raw!D1013</f>
        <v>Wales</v>
      </c>
      <c r="E1013" t="str">
        <f>Procurement_Raw!E1013</f>
        <v>NurseLink</v>
      </c>
      <c r="F1013" t="str">
        <f>Procurement_Raw!F1013</f>
        <v>Agency Labour</v>
      </c>
      <c r="G1013" t="str">
        <f>Procurement_Raw!G1013</f>
        <v>INV-2025-01012</v>
      </c>
      <c r="H1013" s="6">
        <f>Procurement_Raw!H1013</f>
        <v>58</v>
      </c>
      <c r="I1013" s="7">
        <f>Procurement_Raw!I1013</f>
        <v>334.44</v>
      </c>
      <c r="J1013" s="7">
        <f>Procurement_Raw!J1013</f>
        <v>19397.61</v>
      </c>
      <c r="K1013" s="6">
        <f>Procurement_Raw!K1013</f>
        <v>30</v>
      </c>
      <c r="L1013" t="str">
        <f>Procurement_Raw!L1013</f>
        <v>ERP</v>
      </c>
      <c r="M1013" s="8">
        <f>Procurement_Raw!M1013</f>
        <v>3879.5219999999999</v>
      </c>
      <c r="N1013" s="7">
        <f>Procurement_Raw!N1013</f>
        <v>19397.61</v>
      </c>
      <c r="O1013" s="7">
        <f t="shared" si="30"/>
        <v>19397.61</v>
      </c>
      <c r="P1013" t="str">
        <f>IFERROR(INDEX(Supplier_Lookup!$B$2:$B$200,MATCH(E1013,Supplier_Lookup!$A$2:$A$200,0)),"Unmapped")</f>
        <v>Agency Labour</v>
      </c>
      <c r="Q1013" s="10">
        <f>IFERROR(INDEX(Category_Targets!$B$2:$B$9,MATCH(F1013,Category_Targets!$A$2:$A$9,0)),0)</f>
        <v>7.0000000000000007E-2</v>
      </c>
      <c r="R1013" s="7">
        <f t="shared" si="31"/>
        <v>1357.8327000000002</v>
      </c>
    </row>
    <row r="1014" spans="1:18" x14ac:dyDescent="0.25">
      <c r="A1014" s="5">
        <f>Procurement_Raw!A1014</f>
        <v>45949</v>
      </c>
      <c r="B1014" t="str">
        <f>Procurement_Raw!B1014</f>
        <v>S012</v>
      </c>
      <c r="C1014" t="str">
        <f>Procurement_Raw!C1014</f>
        <v>Bristol Care &amp; Education Centre</v>
      </c>
      <c r="D1014" t="str">
        <f>Procurement_Raw!D1014</f>
        <v>South</v>
      </c>
      <c r="E1014" t="str">
        <f>Procurement_Raw!E1014</f>
        <v>RoadReady</v>
      </c>
      <c r="F1014" t="str">
        <f>Procurement_Raw!F1014</f>
        <v>Vehicle &amp; Fuel</v>
      </c>
      <c r="G1014" t="str">
        <f>Procurement_Raw!G1014</f>
        <v>INV-2025-01013</v>
      </c>
      <c r="H1014" s="6">
        <f>Procurement_Raw!H1014</f>
        <v>39</v>
      </c>
      <c r="I1014" s="7">
        <f>Procurement_Raw!I1014</f>
        <v>297.45999999999998</v>
      </c>
      <c r="J1014" s="7">
        <f>Procurement_Raw!J1014</f>
        <v>11600.83</v>
      </c>
      <c r="K1014" s="6">
        <f>Procurement_Raw!K1014</f>
        <v>45</v>
      </c>
      <c r="L1014" t="str">
        <f>Procurement_Raw!L1014</f>
        <v>Legacy Spend File</v>
      </c>
      <c r="M1014" s="8">
        <f>Procurement_Raw!M1014</f>
        <v>2320.1660000000002</v>
      </c>
      <c r="N1014" s="7">
        <f>Procurement_Raw!N1014</f>
        <v>11600.83</v>
      </c>
      <c r="O1014" s="7">
        <f t="shared" si="30"/>
        <v>11600.83</v>
      </c>
      <c r="P1014" t="str">
        <f>IFERROR(INDEX(Supplier_Lookup!$B$2:$B$200,MATCH(E1014,Supplier_Lookup!$A$2:$A$200,0)),"Unmapped")</f>
        <v>Vehicle &amp; Fuel</v>
      </c>
      <c r="Q1014" s="10">
        <f>IFERROR(INDEX(Category_Targets!$B$2:$B$9,MATCH(F1014,Category_Targets!$A$2:$A$9,0)),0)</f>
        <v>0.05</v>
      </c>
      <c r="R1014" s="7">
        <f t="shared" si="31"/>
        <v>580.04150000000004</v>
      </c>
    </row>
    <row r="1015" spans="1:18" x14ac:dyDescent="0.25">
      <c r="A1015" s="5">
        <f>Procurement_Raw!A1015</f>
        <v>45662</v>
      </c>
      <c r="B1015" t="str">
        <f>Procurement_Raw!B1015</f>
        <v>S010</v>
      </c>
      <c r="C1015" t="str">
        <f>Procurement_Raw!C1015</f>
        <v>Coventry Care &amp; Education Centre</v>
      </c>
      <c r="D1015" t="str">
        <f>Procurement_Raw!D1015</f>
        <v>Midlands</v>
      </c>
      <c r="E1015" t="str">
        <f>Procurement_Raw!E1015</f>
        <v>KitchenPro</v>
      </c>
      <c r="F1015" t="str">
        <f>Procurement_Raw!F1015</f>
        <v>Food &amp; Catering</v>
      </c>
      <c r="G1015" t="str">
        <f>Procurement_Raw!G1015</f>
        <v>INV-2025-01014</v>
      </c>
      <c r="H1015" s="6">
        <f>Procurement_Raw!H1015</f>
        <v>79</v>
      </c>
      <c r="I1015" s="7">
        <f>Procurement_Raw!I1015</f>
        <v>44.49</v>
      </c>
      <c r="J1015" s="7">
        <f>Procurement_Raw!J1015</f>
        <v>3514.95</v>
      </c>
      <c r="K1015" s="6">
        <f>Procurement_Raw!K1015</f>
        <v>60</v>
      </c>
      <c r="L1015" t="str">
        <f>Procurement_Raw!L1015</f>
        <v>Procurement Portal</v>
      </c>
      <c r="M1015" s="8">
        <f>Procurement_Raw!M1015</f>
        <v>702.99</v>
      </c>
      <c r="N1015" s="7">
        <f>Procurement_Raw!N1015</f>
        <v>3514.95</v>
      </c>
      <c r="O1015" s="7">
        <f t="shared" si="30"/>
        <v>3514.95</v>
      </c>
      <c r="P1015" t="str">
        <f>IFERROR(INDEX(Supplier_Lookup!$B$2:$B$200,MATCH(E1015,Supplier_Lookup!$A$2:$A$200,0)),"Unmapped")</f>
        <v>Food &amp; Catering</v>
      </c>
      <c r="Q1015" s="10">
        <f>IFERROR(INDEX(Category_Targets!$B$2:$B$9,MATCH(F1015,Category_Targets!$A$2:$A$9,0)),0)</f>
        <v>0.04</v>
      </c>
      <c r="R1015" s="7">
        <f t="shared" si="31"/>
        <v>140.59799999999998</v>
      </c>
    </row>
    <row r="1016" spans="1:18" x14ac:dyDescent="0.25">
      <c r="A1016" s="5">
        <f>Procurement_Raw!A1016</f>
        <v>45847</v>
      </c>
      <c r="B1016" t="str">
        <f>Procurement_Raw!B1016</f>
        <v>S018</v>
      </c>
      <c r="C1016" t="str">
        <f>Procurement_Raw!C1016</f>
        <v>Newport Care &amp; Education Centre</v>
      </c>
      <c r="D1016" t="str">
        <f>Procurement_Raw!D1016</f>
        <v>Wales</v>
      </c>
      <c r="E1016" t="str">
        <f>Procurement_Raw!E1016</f>
        <v>CloudLink</v>
      </c>
      <c r="F1016" t="str">
        <f>Procurement_Raw!F1016</f>
        <v>IT &amp; Telecoms</v>
      </c>
      <c r="G1016" t="str">
        <f>Procurement_Raw!G1016</f>
        <v>INV-2025-01015</v>
      </c>
      <c r="H1016" s="6">
        <f>Procurement_Raw!H1016</f>
        <v>71</v>
      </c>
      <c r="I1016" s="7">
        <f>Procurement_Raw!I1016</f>
        <v>571.58000000000004</v>
      </c>
      <c r="J1016" s="7">
        <f>Procurement_Raw!J1016</f>
        <v>40582.31</v>
      </c>
      <c r="K1016" s="6">
        <f>Procurement_Raw!K1016</f>
        <v>30</v>
      </c>
      <c r="L1016" t="str">
        <f>Procurement_Raw!L1016</f>
        <v>ERP</v>
      </c>
      <c r="M1016" s="8">
        <f>Procurement_Raw!M1016</f>
        <v>8116.4620000000004</v>
      </c>
      <c r="N1016" s="7">
        <f>Procurement_Raw!N1016</f>
        <v>40582.31</v>
      </c>
      <c r="O1016" s="7">
        <f t="shared" si="30"/>
        <v>40582.31</v>
      </c>
      <c r="P1016" t="str">
        <f>IFERROR(INDEX(Supplier_Lookup!$B$2:$B$200,MATCH(E1016,Supplier_Lookup!$A$2:$A$200,0)),"Unmapped")</f>
        <v>medical supplies</v>
      </c>
      <c r="Q1016" s="10">
        <f>IFERROR(INDEX(Category_Targets!$B$2:$B$9,MATCH(F1016,Category_Targets!$A$2:$A$9,0)),0)</f>
        <v>0.08</v>
      </c>
      <c r="R1016" s="7">
        <f t="shared" si="31"/>
        <v>3246.5848000000001</v>
      </c>
    </row>
    <row r="1017" spans="1:18" x14ac:dyDescent="0.25">
      <c r="A1017" s="5">
        <f>Procurement_Raw!A1017</f>
        <v>45802</v>
      </c>
      <c r="B1017" t="str">
        <f>Procurement_Raw!B1017</f>
        <v>S017</v>
      </c>
      <c r="C1017" t="str">
        <f>Procurement_Raw!C1017</f>
        <v>Swansea Care &amp; Education Centre</v>
      </c>
      <c r="D1017" t="str">
        <f>Procurement_Raw!D1017</f>
        <v>Wales</v>
      </c>
      <c r="E1017" t="str">
        <f>Procurement_Raw!E1017</f>
        <v>FleetFuel</v>
      </c>
      <c r="F1017" t="str">
        <f>Procurement_Raw!F1017</f>
        <v>Vehicle &amp; Fuel</v>
      </c>
      <c r="G1017" t="str">
        <f>Procurement_Raw!G1017</f>
        <v>INV-2025-01016</v>
      </c>
      <c r="H1017" s="6">
        <f>Procurement_Raw!H1017</f>
        <v>4</v>
      </c>
      <c r="I1017" s="7">
        <f>Procurement_Raw!I1017</f>
        <v>105.92</v>
      </c>
      <c r="J1017" s="7">
        <f>Procurement_Raw!J1017</f>
        <v>423.7</v>
      </c>
      <c r="K1017" s="6">
        <f>Procurement_Raw!K1017</f>
        <v>30</v>
      </c>
      <c r="L1017" t="str">
        <f>Procurement_Raw!L1017</f>
        <v>Procurement Portal</v>
      </c>
      <c r="M1017" s="8">
        <f>Procurement_Raw!M1017</f>
        <v>84.74</v>
      </c>
      <c r="N1017" s="7">
        <f>Procurement_Raw!N1017</f>
        <v>423.7</v>
      </c>
      <c r="O1017" s="7">
        <f t="shared" si="30"/>
        <v>423.7</v>
      </c>
      <c r="P1017" t="str">
        <f>IFERROR(INDEX(Supplier_Lookup!$B$2:$B$200,MATCH(E1017,Supplier_Lookup!$A$2:$A$200,0)),"Unmapped")</f>
        <v>Vehicle &amp; Fuel</v>
      </c>
      <c r="Q1017" s="10">
        <f>IFERROR(INDEX(Category_Targets!$B$2:$B$9,MATCH(F1017,Category_Targets!$A$2:$A$9,0)),0)</f>
        <v>0.05</v>
      </c>
      <c r="R1017" s="7">
        <f t="shared" si="31"/>
        <v>21.185000000000002</v>
      </c>
    </row>
    <row r="1018" spans="1:18" x14ac:dyDescent="0.25">
      <c r="A1018" s="5">
        <f>Procurement_Raw!A1018</f>
        <v>45820</v>
      </c>
      <c r="B1018" t="str">
        <f>Procurement_Raw!B1018</f>
        <v>S005</v>
      </c>
      <c r="C1018" t="str">
        <f>Procurement_Raw!C1018</f>
        <v>Sheffield Care &amp; Education Centre</v>
      </c>
      <c r="D1018" t="str">
        <f>Procurement_Raw!D1018</f>
        <v>North</v>
      </c>
      <c r="E1018" t="str">
        <f>Procurement_Raw!E1018</f>
        <v>NurseLink</v>
      </c>
      <c r="F1018" t="str">
        <f>Procurement_Raw!F1018</f>
        <v>Agency Labour</v>
      </c>
      <c r="G1018" t="str">
        <f>Procurement_Raw!G1018</f>
        <v>INV-2025-01017</v>
      </c>
      <c r="H1018" s="6">
        <f>Procurement_Raw!H1018</f>
        <v>49</v>
      </c>
      <c r="I1018" s="7">
        <f>Procurement_Raw!I1018</f>
        <v>209.66</v>
      </c>
      <c r="J1018" s="7">
        <f>Procurement_Raw!J1018</f>
        <v>10273.5</v>
      </c>
      <c r="K1018" s="6">
        <f>Procurement_Raw!K1018</f>
        <v>45</v>
      </c>
      <c r="L1018" t="str">
        <f>Procurement_Raw!L1018</f>
        <v>Procurement Portal</v>
      </c>
      <c r="M1018" s="8">
        <f>Procurement_Raw!M1018</f>
        <v>2054.6999999999998</v>
      </c>
      <c r="N1018" s="7">
        <f>Procurement_Raw!N1018</f>
        <v>10273.5</v>
      </c>
      <c r="O1018" s="7">
        <f t="shared" si="30"/>
        <v>10273.5</v>
      </c>
      <c r="P1018" t="str">
        <f>IFERROR(INDEX(Supplier_Lookup!$B$2:$B$200,MATCH(E1018,Supplier_Lookup!$A$2:$A$200,0)),"Unmapped")</f>
        <v>Agency Labour</v>
      </c>
      <c r="Q1018" s="10">
        <f>IFERROR(INDEX(Category_Targets!$B$2:$B$9,MATCH(F1018,Category_Targets!$A$2:$A$9,0)),0)</f>
        <v>7.0000000000000007E-2</v>
      </c>
      <c r="R1018" s="7">
        <f t="shared" si="31"/>
        <v>719.1450000000001</v>
      </c>
    </row>
    <row r="1019" spans="1:18" x14ac:dyDescent="0.25">
      <c r="A1019" s="5">
        <f>Procurement_Raw!A1019</f>
        <v>45746</v>
      </c>
      <c r="B1019" t="str">
        <f>Procurement_Raw!B1019</f>
        <v>S013</v>
      </c>
      <c r="C1019" t="str">
        <f>Procurement_Raw!C1019</f>
        <v>Reading Care &amp; Education Centre</v>
      </c>
      <c r="D1019" t="str">
        <f>Procurement_Raw!D1019</f>
        <v>South</v>
      </c>
      <c r="E1019" t="str">
        <f>Procurement_Raw!E1019</f>
        <v>PowerDirect</v>
      </c>
      <c r="F1019" t="str">
        <f>Procurement_Raw!F1019</f>
        <v>Utilities</v>
      </c>
      <c r="G1019" t="str">
        <f>Procurement_Raw!G1019</f>
        <v>INV-2025-01018</v>
      </c>
      <c r="H1019" s="6">
        <f>Procurement_Raw!H1019</f>
        <v>61</v>
      </c>
      <c r="I1019" s="7">
        <f>Procurement_Raw!I1019</f>
        <v>191.58</v>
      </c>
      <c r="J1019" s="7">
        <f>Procurement_Raw!J1019</f>
        <v>11686.59</v>
      </c>
      <c r="K1019" s="6">
        <f>Procurement_Raw!K1019</f>
        <v>30</v>
      </c>
      <c r="L1019" t="str">
        <f>Procurement_Raw!L1019</f>
        <v>ERP</v>
      </c>
      <c r="M1019" s="8">
        <f>Procurement_Raw!M1019</f>
        <v>2337.3180000000002</v>
      </c>
      <c r="N1019" s="7">
        <f>Procurement_Raw!N1019</f>
        <v>11686.59</v>
      </c>
      <c r="O1019" s="7">
        <f t="shared" si="30"/>
        <v>11686.59</v>
      </c>
      <c r="P1019" t="str">
        <f>IFERROR(INDEX(Supplier_Lookup!$B$2:$B$200,MATCH(E1019,Supplier_Lookup!$A$2:$A$200,0)),"Unmapped")</f>
        <v>Utilities</v>
      </c>
      <c r="Q1019" s="10">
        <f>IFERROR(INDEX(Category_Targets!$B$2:$B$9,MATCH(F1019,Category_Targets!$A$2:$A$9,0)),0)</f>
        <v>0.03</v>
      </c>
      <c r="R1019" s="7">
        <f t="shared" si="31"/>
        <v>350.59769999999997</v>
      </c>
    </row>
    <row r="1020" spans="1:18" x14ac:dyDescent="0.25">
      <c r="A1020" s="5">
        <f>Procurement_Raw!A1020</f>
        <v>45871</v>
      </c>
      <c r="B1020" t="str">
        <f>Procurement_Raw!B1020</f>
        <v>S018</v>
      </c>
      <c r="C1020" t="str">
        <f>Procurement_Raw!C1020</f>
        <v>Newport Care &amp; Education Centre</v>
      </c>
      <c r="D1020" t="str">
        <f>Procurement_Raw!D1020</f>
        <v>Wales</v>
      </c>
      <c r="E1020" t="str">
        <f>Procurement_Raw!E1020</f>
        <v>CareTemps</v>
      </c>
      <c r="F1020" t="str">
        <f>Procurement_Raw!F1020</f>
        <v>Agency Labour</v>
      </c>
      <c r="G1020" t="str">
        <f>Procurement_Raw!G1020</f>
        <v>INV-2025-01019</v>
      </c>
      <c r="H1020" s="6">
        <f>Procurement_Raw!H1020</f>
        <v>20</v>
      </c>
      <c r="I1020" s="7">
        <f>Procurement_Raw!I1020</f>
        <v>251.54</v>
      </c>
      <c r="J1020" s="7">
        <f>Procurement_Raw!J1020</f>
        <v>5030.75</v>
      </c>
      <c r="K1020" s="6">
        <f>Procurement_Raw!K1020</f>
        <v>45</v>
      </c>
      <c r="L1020" t="str">
        <f>Procurement_Raw!L1020</f>
        <v>Legacy Spend File</v>
      </c>
      <c r="M1020" s="8">
        <f>Procurement_Raw!M1020</f>
        <v>1006.15</v>
      </c>
      <c r="N1020" s="7">
        <f>Procurement_Raw!N1020</f>
        <v>5030.75</v>
      </c>
      <c r="O1020" s="7">
        <f t="shared" si="30"/>
        <v>5030.75</v>
      </c>
      <c r="P1020" t="str">
        <f>IFERROR(INDEX(Supplier_Lookup!$B$2:$B$200,MATCH(E1020,Supplier_Lookup!$A$2:$A$200,0)),"Unmapped")</f>
        <v>Agency Labour</v>
      </c>
      <c r="Q1020" s="10">
        <f>IFERROR(INDEX(Category_Targets!$B$2:$B$9,MATCH(F1020,Category_Targets!$A$2:$A$9,0)),0)</f>
        <v>7.0000000000000007E-2</v>
      </c>
      <c r="R1020" s="7">
        <f t="shared" si="31"/>
        <v>352.15250000000003</v>
      </c>
    </row>
    <row r="1021" spans="1:18" x14ac:dyDescent="0.25">
      <c r="A1021" s="5">
        <f>Procurement_Raw!A1021</f>
        <v>45694</v>
      </c>
      <c r="B1021" t="str">
        <f>Procurement_Raw!B1021</f>
        <v>S003</v>
      </c>
      <c r="C1021" t="str">
        <f>Procurement_Raw!C1021</f>
        <v>Leeds Care &amp; Education Centre</v>
      </c>
      <c r="D1021" t="str">
        <f>Procurement_Raw!D1021</f>
        <v>North</v>
      </c>
      <c r="E1021" t="str">
        <f>Procurement_Raw!E1021</f>
        <v>CleanWorks</v>
      </c>
      <c r="F1021" t="str">
        <f>Procurement_Raw!F1021</f>
        <v>Facilities</v>
      </c>
      <c r="G1021" t="str">
        <f>Procurement_Raw!G1021</f>
        <v>INV-2025-01020</v>
      </c>
      <c r="H1021" s="6">
        <f>Procurement_Raw!H1021</f>
        <v>3</v>
      </c>
      <c r="I1021" s="7">
        <f>Procurement_Raw!I1021</f>
        <v>227.29</v>
      </c>
      <c r="J1021" s="7">
        <f>Procurement_Raw!J1021</f>
        <v>681.88</v>
      </c>
      <c r="K1021" s="6">
        <f>Procurement_Raw!K1021</f>
        <v>30</v>
      </c>
      <c r="L1021" t="str">
        <f>Procurement_Raw!L1021</f>
        <v>Legacy Spend File</v>
      </c>
      <c r="M1021" s="8">
        <f>Procurement_Raw!M1021</f>
        <v>136.376</v>
      </c>
      <c r="N1021" s="7">
        <f>Procurement_Raw!N1021</f>
        <v>681.88</v>
      </c>
      <c r="O1021" s="7">
        <f t="shared" si="30"/>
        <v>681.88</v>
      </c>
      <c r="P1021" t="str">
        <f>IFERROR(INDEX(Supplier_Lookup!$B$2:$B$200,MATCH(E1021,Supplier_Lookup!$A$2:$A$200,0)),"Unmapped")</f>
        <v>Facilities</v>
      </c>
      <c r="Q1021" s="10">
        <f>IFERROR(INDEX(Category_Targets!$B$2:$B$9,MATCH(F1021,Category_Targets!$A$2:$A$9,0)),0)</f>
        <v>0.05</v>
      </c>
      <c r="R1021" s="7">
        <f t="shared" si="31"/>
        <v>34.094000000000001</v>
      </c>
    </row>
    <row r="1022" spans="1:18" x14ac:dyDescent="0.25">
      <c r="A1022" s="5">
        <f>Procurement_Raw!A1022</f>
        <v>45701</v>
      </c>
      <c r="B1022" t="str">
        <f>Procurement_Raw!B1022</f>
        <v>S005</v>
      </c>
      <c r="C1022" t="str">
        <f>Procurement_Raw!C1022</f>
        <v>Sheffield Care &amp; Education Centre</v>
      </c>
      <c r="D1022" t="str">
        <f>Procurement_Raw!D1022</f>
        <v>North</v>
      </c>
      <c r="E1022" t="str">
        <f>Procurement_Raw!E1022</f>
        <v>HealthStaffing</v>
      </c>
      <c r="F1022" t="str">
        <f>Procurement_Raw!F1022</f>
        <v>Agency Labour</v>
      </c>
      <c r="G1022" t="str">
        <f>Procurement_Raw!G1022</f>
        <v>INV-2025-01021</v>
      </c>
      <c r="H1022" s="6">
        <f>Procurement_Raw!H1022</f>
        <v>18</v>
      </c>
      <c r="I1022" s="7">
        <f>Procurement_Raw!I1022</f>
        <v>399.95</v>
      </c>
      <c r="J1022" s="7">
        <f>Procurement_Raw!J1022</f>
        <v>7199.12</v>
      </c>
      <c r="K1022" s="6">
        <f>Procurement_Raw!K1022</f>
        <v>60</v>
      </c>
      <c r="L1022" t="str">
        <f>Procurement_Raw!L1022</f>
        <v>Procurement Portal</v>
      </c>
      <c r="M1022" s="8">
        <f>Procurement_Raw!M1022</f>
        <v>1439.8240000000001</v>
      </c>
      <c r="N1022" s="7">
        <f>Procurement_Raw!N1022</f>
        <v>7199.12</v>
      </c>
      <c r="O1022" s="7">
        <f t="shared" si="30"/>
        <v>7199.12</v>
      </c>
      <c r="P1022" t="str">
        <f>IFERROR(INDEX(Supplier_Lookup!$B$2:$B$200,MATCH(E1022,Supplier_Lookup!$A$2:$A$200,0)),"Unmapped")</f>
        <v>Agency Labour</v>
      </c>
      <c r="Q1022" s="10">
        <f>IFERROR(INDEX(Category_Targets!$B$2:$B$9,MATCH(F1022,Category_Targets!$A$2:$A$9,0)),0)</f>
        <v>7.0000000000000007E-2</v>
      </c>
      <c r="R1022" s="7">
        <f t="shared" si="31"/>
        <v>503.93840000000006</v>
      </c>
    </row>
    <row r="1023" spans="1:18" x14ac:dyDescent="0.25">
      <c r="A1023" s="5">
        <f>Procurement_Raw!A1023</f>
        <v>45750</v>
      </c>
      <c r="B1023" t="str">
        <f>Procurement_Raw!B1023</f>
        <v>S016</v>
      </c>
      <c r="C1023" t="str">
        <f>Procurement_Raw!C1023</f>
        <v>Cardiff Care &amp; Education Centre</v>
      </c>
      <c r="D1023" t="str">
        <f>Procurement_Raw!D1023</f>
        <v>Wales</v>
      </c>
      <c r="E1023" t="str">
        <f>Procurement_Raw!E1023</f>
        <v>NurseLink</v>
      </c>
      <c r="F1023" t="str">
        <f>Procurement_Raw!F1023</f>
        <v>Agency Labour</v>
      </c>
      <c r="G1023" t="str">
        <f>Procurement_Raw!G1023</f>
        <v>INV-2025-01022</v>
      </c>
      <c r="H1023" s="6">
        <f>Procurement_Raw!H1023</f>
        <v>59</v>
      </c>
      <c r="I1023" s="7">
        <f>Procurement_Raw!I1023</f>
        <v>218.82</v>
      </c>
      <c r="J1023" s="7">
        <f>Procurement_Raw!J1023</f>
        <v>12910.35</v>
      </c>
      <c r="K1023" s="6">
        <f>Procurement_Raw!K1023</f>
        <v>60</v>
      </c>
      <c r="L1023" t="str">
        <f>Procurement_Raw!L1023</f>
        <v>Procurement Portal</v>
      </c>
      <c r="M1023" s="8">
        <f>Procurement_Raw!M1023</f>
        <v>2582.0700000000002</v>
      </c>
      <c r="N1023" s="7">
        <f>Procurement_Raw!N1023</f>
        <v>12910.35</v>
      </c>
      <c r="O1023" s="7">
        <f t="shared" si="30"/>
        <v>12910.35</v>
      </c>
      <c r="P1023" t="str">
        <f>IFERROR(INDEX(Supplier_Lookup!$B$2:$B$200,MATCH(E1023,Supplier_Lookup!$A$2:$A$200,0)),"Unmapped")</f>
        <v>Agency Labour</v>
      </c>
      <c r="Q1023" s="10">
        <f>IFERROR(INDEX(Category_Targets!$B$2:$B$9,MATCH(F1023,Category_Targets!$A$2:$A$9,0)),0)</f>
        <v>7.0000000000000007E-2</v>
      </c>
      <c r="R1023" s="7">
        <f t="shared" si="31"/>
        <v>903.72450000000015</v>
      </c>
    </row>
    <row r="1024" spans="1:18" x14ac:dyDescent="0.25">
      <c r="A1024" s="5">
        <f>Procurement_Raw!A1024</f>
        <v>45839</v>
      </c>
      <c r="B1024" t="str">
        <f>Procurement_Raw!B1024</f>
        <v>S020</v>
      </c>
      <c r="C1024" t="str">
        <f>Procurement_Raw!C1024</f>
        <v>Bangor Care &amp; Education Centre</v>
      </c>
      <c r="D1024" t="str">
        <f>Procurement_Raw!D1024</f>
        <v>Wales</v>
      </c>
      <c r="E1024" t="str">
        <f>Procurement_Raw!E1024</f>
        <v>LearnWell</v>
      </c>
      <c r="F1024" t="str">
        <f>Procurement_Raw!F1024</f>
        <v>Office &amp; Training</v>
      </c>
      <c r="G1024" t="str">
        <f>Procurement_Raw!G1024</f>
        <v>INV-2025-01023</v>
      </c>
      <c r="H1024" s="6">
        <f>Procurement_Raw!H1024</f>
        <v>29</v>
      </c>
      <c r="I1024" s="7">
        <f>Procurement_Raw!I1024</f>
        <v>74</v>
      </c>
      <c r="J1024" s="7">
        <f>Procurement_Raw!J1024</f>
        <v>2146.06</v>
      </c>
      <c r="K1024" s="6">
        <f>Procurement_Raw!K1024</f>
        <v>30</v>
      </c>
      <c r="L1024" t="str">
        <f>Procurement_Raw!L1024</f>
        <v>Procurement Portal</v>
      </c>
      <c r="M1024" s="8">
        <f>Procurement_Raw!M1024</f>
        <v>429.21199999999999</v>
      </c>
      <c r="N1024" s="7">
        <f>Procurement_Raw!N1024</f>
        <v>2146.06</v>
      </c>
      <c r="O1024" s="7">
        <f t="shared" si="30"/>
        <v>2146.06</v>
      </c>
      <c r="P1024" t="str">
        <f>IFERROR(INDEX(Supplier_Lookup!$B$2:$B$200,MATCH(E1024,Supplier_Lookup!$A$2:$A$200,0)),"Unmapped")</f>
        <v>Office &amp; Training</v>
      </c>
      <c r="Q1024" s="10">
        <f>IFERROR(INDEX(Category_Targets!$B$2:$B$9,MATCH(F1024,Category_Targets!$A$2:$A$9,0)),0)</f>
        <v>0.04</v>
      </c>
      <c r="R1024" s="7">
        <f t="shared" si="31"/>
        <v>85.842399999999998</v>
      </c>
    </row>
    <row r="1025" spans="1:18" x14ac:dyDescent="0.25">
      <c r="A1025" s="5">
        <f>Procurement_Raw!A1025</f>
        <v>45913</v>
      </c>
      <c r="B1025" t="str">
        <f>Procurement_Raw!B1025</f>
        <v>S003</v>
      </c>
      <c r="C1025" t="str">
        <f>Procurement_Raw!C1025</f>
        <v>Leeds Care &amp; Education Centre</v>
      </c>
      <c r="D1025" t="str">
        <f>Procurement_Raw!D1025</f>
        <v>North</v>
      </c>
      <c r="E1025" t="str">
        <f>Procurement_Raw!E1025</f>
        <v>ClinEquip</v>
      </c>
      <c r="F1025" t="str">
        <f>Procurement_Raw!F1025</f>
        <v>Medical Supplies</v>
      </c>
      <c r="G1025" t="str">
        <f>Procurement_Raw!G1025</f>
        <v>INV-2025-01024</v>
      </c>
      <c r="H1025" s="6">
        <f>Procurement_Raw!H1025</f>
        <v>31</v>
      </c>
      <c r="I1025" s="7">
        <f>Procurement_Raw!I1025</f>
        <v>389.84</v>
      </c>
      <c r="J1025" s="7">
        <f>Procurement_Raw!J1025</f>
        <v>12085.09</v>
      </c>
      <c r="K1025" s="6">
        <f>Procurement_Raw!K1025</f>
        <v>60</v>
      </c>
      <c r="L1025" t="str">
        <f>Procurement_Raw!L1025</f>
        <v>Legacy Spend File</v>
      </c>
      <c r="M1025" s="8">
        <f>Procurement_Raw!M1025</f>
        <v>2417.018</v>
      </c>
      <c r="N1025" s="7">
        <f>Procurement_Raw!N1025</f>
        <v>12085.09</v>
      </c>
      <c r="O1025" s="7">
        <f t="shared" si="30"/>
        <v>12085.09</v>
      </c>
      <c r="P1025" t="str">
        <f>IFERROR(INDEX(Supplier_Lookup!$B$2:$B$200,MATCH(E1025,Supplier_Lookup!$A$2:$A$200,0)),"Unmapped")</f>
        <v>Medical Supplies</v>
      </c>
      <c r="Q1025" s="10">
        <f>IFERROR(INDEX(Category_Targets!$B$2:$B$9,MATCH(F1025,Category_Targets!$A$2:$A$9,0)),0)</f>
        <v>0.06</v>
      </c>
      <c r="R1025" s="7">
        <f t="shared" si="31"/>
        <v>725.10540000000003</v>
      </c>
    </row>
    <row r="1026" spans="1:18" x14ac:dyDescent="0.25">
      <c r="A1026" s="5">
        <f>Procurement_Raw!A1026</f>
        <v>45953</v>
      </c>
      <c r="B1026" t="str">
        <f>Procurement_Raw!B1026</f>
        <v>S007</v>
      </c>
      <c r="C1026" t="str">
        <f>Procurement_Raw!C1026</f>
        <v>Nottingham Care &amp; Education Centre</v>
      </c>
      <c r="D1026" t="str">
        <f>Procurement_Raw!D1026</f>
        <v>Midlands</v>
      </c>
      <c r="E1026" t="str">
        <f>Procurement_Raw!E1026</f>
        <v>NurseLink</v>
      </c>
      <c r="F1026" t="str">
        <f>Procurement_Raw!F1026</f>
        <v>Agency Labour</v>
      </c>
      <c r="G1026" t="str">
        <f>Procurement_Raw!G1026</f>
        <v>INV-2025-01025</v>
      </c>
      <c r="H1026" s="6">
        <f>Procurement_Raw!H1026</f>
        <v>47</v>
      </c>
      <c r="I1026" s="7">
        <f>Procurement_Raw!I1026</f>
        <v>775.83</v>
      </c>
      <c r="J1026" s="7">
        <f>Procurement_Raw!J1026</f>
        <v>36463.93</v>
      </c>
      <c r="K1026" s="6">
        <f>Procurement_Raw!K1026</f>
        <v>30</v>
      </c>
      <c r="L1026" t="str">
        <f>Procurement_Raw!L1026</f>
        <v>ERP</v>
      </c>
      <c r="M1026" s="8">
        <f>Procurement_Raw!M1026</f>
        <v>7292.7860000000001</v>
      </c>
      <c r="N1026" s="7">
        <f>Procurement_Raw!N1026</f>
        <v>36463.93</v>
      </c>
      <c r="O1026" s="7">
        <f t="shared" ref="O1026:O1089" si="32">IFERROR(IF(J1026="","",J1026),0)</f>
        <v>36463.93</v>
      </c>
      <c r="P1026" t="str">
        <f>IFERROR(INDEX(Supplier_Lookup!$B$2:$B$200,MATCH(E1026,Supplier_Lookup!$A$2:$A$200,0)),"Unmapped")</f>
        <v>Agency Labour</v>
      </c>
      <c r="Q1026" s="10">
        <f>IFERROR(INDEX(Category_Targets!$B$2:$B$9,MATCH(F1026,Category_Targets!$A$2:$A$9,0)),0)</f>
        <v>7.0000000000000007E-2</v>
      </c>
      <c r="R1026" s="7">
        <f t="shared" ref="R1026:R1089" si="33">O1026*Q1026</f>
        <v>2552.4751000000001</v>
      </c>
    </row>
    <row r="1027" spans="1:18" x14ac:dyDescent="0.25">
      <c r="A1027" s="5">
        <f>Procurement_Raw!A1027</f>
        <v>45846</v>
      </c>
      <c r="B1027" t="str">
        <f>Procurement_Raw!B1027</f>
        <v>S003</v>
      </c>
      <c r="C1027" t="str">
        <f>Procurement_Raw!C1027</f>
        <v>Leeds Care &amp; Education Centre</v>
      </c>
      <c r="D1027" t="str">
        <f>Procurement_Raw!D1027</f>
        <v>North</v>
      </c>
      <c r="E1027" t="str">
        <f>Procurement_Raw!E1027</f>
        <v>PrintCo</v>
      </c>
      <c r="F1027" t="str">
        <f>Procurement_Raw!F1027</f>
        <v>Office &amp; Training</v>
      </c>
      <c r="G1027" t="str">
        <f>Procurement_Raw!G1027</f>
        <v>INV-2025-01026</v>
      </c>
      <c r="H1027" s="6">
        <f>Procurement_Raw!H1027</f>
        <v>15</v>
      </c>
      <c r="I1027" s="7">
        <f>Procurement_Raw!I1027</f>
        <v>95.34</v>
      </c>
      <c r="J1027" s="7">
        <f>Procurement_Raw!J1027</f>
        <v>1430.12</v>
      </c>
      <c r="K1027" s="6">
        <f>Procurement_Raw!K1027</f>
        <v>60</v>
      </c>
      <c r="L1027" t="str">
        <f>Procurement_Raw!L1027</f>
        <v>Procurement Portal</v>
      </c>
      <c r="M1027" s="8">
        <f>Procurement_Raw!M1027</f>
        <v>286.024</v>
      </c>
      <c r="N1027" s="7">
        <f>Procurement_Raw!N1027</f>
        <v>1430.12</v>
      </c>
      <c r="O1027" s="7">
        <f t="shared" si="32"/>
        <v>1430.12</v>
      </c>
      <c r="P1027" t="str">
        <f>IFERROR(INDEX(Supplier_Lookup!$B$2:$B$200,MATCH(E1027,Supplier_Lookup!$A$2:$A$200,0)),"Unmapped")</f>
        <v>Office &amp; Training</v>
      </c>
      <c r="Q1027" s="10">
        <f>IFERROR(INDEX(Category_Targets!$B$2:$B$9,MATCH(F1027,Category_Targets!$A$2:$A$9,0)),0)</f>
        <v>0.04</v>
      </c>
      <c r="R1027" s="7">
        <f t="shared" si="33"/>
        <v>57.204799999999999</v>
      </c>
    </row>
    <row r="1028" spans="1:18" x14ac:dyDescent="0.25">
      <c r="A1028" s="5">
        <f>Procurement_Raw!A1028</f>
        <v>45927</v>
      </c>
      <c r="B1028" t="str">
        <f>Procurement_Raw!B1028</f>
        <v>S012</v>
      </c>
      <c r="C1028" t="str">
        <f>Procurement_Raw!C1028</f>
        <v>Bristol Care &amp; Education Centre</v>
      </c>
      <c r="D1028" t="str">
        <f>Procurement_Raw!D1028</f>
        <v>South</v>
      </c>
      <c r="E1028" t="str">
        <f>Procurement_Raw!E1028</f>
        <v>FreshServe</v>
      </c>
      <c r="F1028" t="str">
        <f>Procurement_Raw!F1028</f>
        <v>Food &amp; Catering</v>
      </c>
      <c r="G1028" t="str">
        <f>Procurement_Raw!G1028</f>
        <v>INV-2025-01027</v>
      </c>
      <c r="H1028" s="6">
        <f>Procurement_Raw!H1028</f>
        <v>36</v>
      </c>
      <c r="I1028" s="7">
        <f>Procurement_Raw!I1028</f>
        <v>66.37</v>
      </c>
      <c r="J1028" s="7">
        <f>Procurement_Raw!J1028</f>
        <v>2389.4299999999998</v>
      </c>
      <c r="K1028" s="6">
        <f>Procurement_Raw!K1028</f>
        <v>45</v>
      </c>
      <c r="L1028" t="str">
        <f>Procurement_Raw!L1028</f>
        <v>Legacy Spend File</v>
      </c>
      <c r="M1028" s="8">
        <f>Procurement_Raw!M1028</f>
        <v>477.88600000000002</v>
      </c>
      <c r="N1028" s="7">
        <f>Procurement_Raw!N1028</f>
        <v>2389.4299999999998</v>
      </c>
      <c r="O1028" s="7">
        <f t="shared" si="32"/>
        <v>2389.4299999999998</v>
      </c>
      <c r="P1028" t="str">
        <f>IFERROR(INDEX(Supplier_Lookup!$B$2:$B$200,MATCH(E1028,Supplier_Lookup!$A$2:$A$200,0)),"Unmapped")</f>
        <v>Food &amp; Catering</v>
      </c>
      <c r="Q1028" s="10">
        <f>IFERROR(INDEX(Category_Targets!$B$2:$B$9,MATCH(F1028,Category_Targets!$A$2:$A$9,0)),0)</f>
        <v>0.04</v>
      </c>
      <c r="R1028" s="7">
        <f t="shared" si="33"/>
        <v>95.577199999999991</v>
      </c>
    </row>
    <row r="1029" spans="1:18" x14ac:dyDescent="0.25">
      <c r="A1029" s="5">
        <f>Procurement_Raw!A1029</f>
        <v>45899</v>
      </c>
      <c r="B1029" t="str">
        <f>Procurement_Raw!B1029</f>
        <v>S011</v>
      </c>
      <c r="C1029" t="str">
        <f>Procurement_Raw!C1029</f>
        <v>London Care &amp; Education Centre</v>
      </c>
      <c r="D1029" t="str">
        <f>Procurement_Raw!D1029</f>
        <v>South</v>
      </c>
      <c r="E1029" t="str">
        <f>Procurement_Raw!E1029</f>
        <v>FreshServe</v>
      </c>
      <c r="F1029" t="str">
        <f>Procurement_Raw!F1029</f>
        <v>Food &amp; Catering</v>
      </c>
      <c r="G1029" t="str">
        <f>Procurement_Raw!G1029</f>
        <v>INV-2025-01028</v>
      </c>
      <c r="H1029" s="6">
        <f>Procurement_Raw!H1029</f>
        <v>10</v>
      </c>
      <c r="I1029" s="7">
        <f>Procurement_Raw!I1029</f>
        <v>69.44</v>
      </c>
      <c r="J1029" s="7">
        <f>Procurement_Raw!J1029</f>
        <v>694.36</v>
      </c>
      <c r="K1029" s="6">
        <f>Procurement_Raw!K1029</f>
        <v>60</v>
      </c>
      <c r="L1029" t="str">
        <f>Procurement_Raw!L1029</f>
        <v>Legacy Spend File</v>
      </c>
      <c r="M1029" s="8">
        <f>Procurement_Raw!M1029</f>
        <v>138.87200000000001</v>
      </c>
      <c r="N1029" s="7">
        <f>Procurement_Raw!N1029</f>
        <v>694.36</v>
      </c>
      <c r="O1029" s="7">
        <f t="shared" si="32"/>
        <v>694.36</v>
      </c>
      <c r="P1029" t="str">
        <f>IFERROR(INDEX(Supplier_Lookup!$B$2:$B$200,MATCH(E1029,Supplier_Lookup!$A$2:$A$200,0)),"Unmapped")</f>
        <v>Food &amp; Catering</v>
      </c>
      <c r="Q1029" s="10">
        <f>IFERROR(INDEX(Category_Targets!$B$2:$B$9,MATCH(F1029,Category_Targets!$A$2:$A$9,0)),0)</f>
        <v>0.04</v>
      </c>
      <c r="R1029" s="7">
        <f t="shared" si="33"/>
        <v>27.7744</v>
      </c>
    </row>
    <row r="1030" spans="1:18" x14ac:dyDescent="0.25">
      <c r="A1030" s="5">
        <f>Procurement_Raw!A1030</f>
        <v>45685</v>
      </c>
      <c r="B1030" t="str">
        <f>Procurement_Raw!B1030</f>
        <v>S015</v>
      </c>
      <c r="C1030" t="str">
        <f>Procurement_Raw!C1030</f>
        <v>Brighton Care &amp; Education Centre</v>
      </c>
      <c r="D1030" t="str">
        <f>Procurement_Raw!D1030</f>
        <v>South</v>
      </c>
      <c r="E1030" t="str">
        <f>Procurement_Raw!E1030</f>
        <v>NetServe</v>
      </c>
      <c r="F1030" t="str">
        <f>Procurement_Raw!F1030</f>
        <v>IT &amp; Telecoms</v>
      </c>
      <c r="G1030" t="str">
        <f>Procurement_Raw!G1030</f>
        <v>INV-2025-01029</v>
      </c>
      <c r="H1030" s="6">
        <f>Procurement_Raw!H1030</f>
        <v>44</v>
      </c>
      <c r="I1030" s="7">
        <f>Procurement_Raw!I1030</f>
        <v>308.3</v>
      </c>
      <c r="J1030" s="7">
        <f>Procurement_Raw!J1030</f>
        <v>13565.05</v>
      </c>
      <c r="K1030" s="6">
        <f>Procurement_Raw!K1030</f>
        <v>60</v>
      </c>
      <c r="L1030" t="str">
        <f>Procurement_Raw!L1030</f>
        <v>ERP</v>
      </c>
      <c r="M1030" s="8">
        <f>Procurement_Raw!M1030</f>
        <v>2713.01</v>
      </c>
      <c r="N1030" s="7">
        <f>Procurement_Raw!N1030</f>
        <v>13565.05</v>
      </c>
      <c r="O1030" s="7">
        <f t="shared" si="32"/>
        <v>13565.05</v>
      </c>
      <c r="P1030" t="str">
        <f>IFERROR(INDEX(Supplier_Lookup!$B$2:$B$200,MATCH(E1030,Supplier_Lookup!$A$2:$A$200,0)),"Unmapped")</f>
        <v>IT &amp; Telecoms</v>
      </c>
      <c r="Q1030" s="10">
        <f>IFERROR(INDEX(Category_Targets!$B$2:$B$9,MATCH(F1030,Category_Targets!$A$2:$A$9,0)),0)</f>
        <v>0.08</v>
      </c>
      <c r="R1030" s="7">
        <f t="shared" si="33"/>
        <v>1085.204</v>
      </c>
    </row>
    <row r="1031" spans="1:18" x14ac:dyDescent="0.25">
      <c r="A1031" s="5">
        <f>Procurement_Raw!A1031</f>
        <v>45898</v>
      </c>
      <c r="B1031" t="str">
        <f>Procurement_Raw!B1031</f>
        <v>S018</v>
      </c>
      <c r="C1031" t="str">
        <f>Procurement_Raw!C1031</f>
        <v>Newport Care &amp; Education Centre</v>
      </c>
      <c r="D1031" t="str">
        <f>Procurement_Raw!D1031</f>
        <v>Wales</v>
      </c>
      <c r="E1031" t="str">
        <f>Procurement_Raw!E1031</f>
        <v>PrintCo</v>
      </c>
      <c r="F1031" t="str">
        <f>Procurement_Raw!F1031</f>
        <v>Office &amp; Training</v>
      </c>
      <c r="G1031" t="str">
        <f>Procurement_Raw!G1031</f>
        <v>INV-2025-01030</v>
      </c>
      <c r="H1031" s="6">
        <f>Procurement_Raw!H1031</f>
        <v>74</v>
      </c>
      <c r="I1031" s="7">
        <f>Procurement_Raw!I1031</f>
        <v>42.73</v>
      </c>
      <c r="J1031" s="7">
        <f>Procurement_Raw!J1031</f>
        <v>3162.18</v>
      </c>
      <c r="K1031" s="6">
        <f>Procurement_Raw!K1031</f>
        <v>60</v>
      </c>
      <c r="L1031" t="str">
        <f>Procurement_Raw!L1031</f>
        <v>Procurement Portal</v>
      </c>
      <c r="M1031" s="8">
        <f>Procurement_Raw!M1031</f>
        <v>632.43600000000004</v>
      </c>
      <c r="N1031" s="7">
        <f>Procurement_Raw!N1031</f>
        <v>3162.18</v>
      </c>
      <c r="O1031" s="7">
        <f t="shared" si="32"/>
        <v>3162.18</v>
      </c>
      <c r="P1031" t="str">
        <f>IFERROR(INDEX(Supplier_Lookup!$B$2:$B$200,MATCH(E1031,Supplier_Lookup!$A$2:$A$200,0)),"Unmapped")</f>
        <v>Office &amp; Training</v>
      </c>
      <c r="Q1031" s="10">
        <f>IFERROR(INDEX(Category_Targets!$B$2:$B$9,MATCH(F1031,Category_Targets!$A$2:$A$9,0)),0)</f>
        <v>0.04</v>
      </c>
      <c r="R1031" s="7">
        <f t="shared" si="33"/>
        <v>126.4872</v>
      </c>
    </row>
    <row r="1032" spans="1:18" x14ac:dyDescent="0.25">
      <c r="A1032" s="5">
        <f>Procurement_Raw!A1032</f>
        <v>45806</v>
      </c>
      <c r="B1032" t="str">
        <f>Procurement_Raw!B1032</f>
        <v>S015</v>
      </c>
      <c r="C1032" t="str">
        <f>Procurement_Raw!C1032</f>
        <v>Brighton Care &amp; Education Centre</v>
      </c>
      <c r="D1032" t="str">
        <f>Procurement_Raw!D1032</f>
        <v>South</v>
      </c>
      <c r="E1032" t="str">
        <f>Procurement_Raw!E1032</f>
        <v>RoadReady</v>
      </c>
      <c r="F1032" t="str">
        <f>Procurement_Raw!F1032</f>
        <v>Vehicle &amp; Fuel</v>
      </c>
      <c r="G1032" t="str">
        <f>Procurement_Raw!G1032</f>
        <v>INV-2025-01031</v>
      </c>
      <c r="H1032" s="6">
        <f>Procurement_Raw!H1032</f>
        <v>22</v>
      </c>
      <c r="I1032" s="7">
        <f>Procurement_Raw!I1032</f>
        <v>82.46</v>
      </c>
      <c r="J1032" s="7">
        <f>Procurement_Raw!J1032</f>
        <v>1814.13</v>
      </c>
      <c r="K1032" s="6">
        <f>Procurement_Raw!K1032</f>
        <v>30</v>
      </c>
      <c r="L1032" t="str">
        <f>Procurement_Raw!L1032</f>
        <v>Legacy Spend File</v>
      </c>
      <c r="M1032" s="8">
        <f>Procurement_Raw!M1032</f>
        <v>362.82600000000002</v>
      </c>
      <c r="N1032" s="7">
        <f>Procurement_Raw!N1032</f>
        <v>1814.13</v>
      </c>
      <c r="O1032" s="7">
        <f t="shared" si="32"/>
        <v>1814.13</v>
      </c>
      <c r="P1032" t="str">
        <f>IFERROR(INDEX(Supplier_Lookup!$B$2:$B$200,MATCH(E1032,Supplier_Lookup!$A$2:$A$200,0)),"Unmapped")</f>
        <v>Vehicle &amp; Fuel</v>
      </c>
      <c r="Q1032" s="10">
        <f>IFERROR(INDEX(Category_Targets!$B$2:$B$9,MATCH(F1032,Category_Targets!$A$2:$A$9,0)),0)</f>
        <v>0.05</v>
      </c>
      <c r="R1032" s="7">
        <f t="shared" si="33"/>
        <v>90.706500000000005</v>
      </c>
    </row>
    <row r="1033" spans="1:18" x14ac:dyDescent="0.25">
      <c r="A1033" s="5">
        <f>Procurement_Raw!A1033</f>
        <v>45946</v>
      </c>
      <c r="B1033" t="str">
        <f>Procurement_Raw!B1033</f>
        <v>S009</v>
      </c>
      <c r="C1033" t="str">
        <f>Procurement_Raw!C1033</f>
        <v>Derby Care &amp; Education Centre</v>
      </c>
      <c r="D1033" t="str">
        <f>Procurement_Raw!D1033</f>
        <v>Midlands</v>
      </c>
      <c r="E1033" t="str">
        <f>Procurement_Raw!E1033</f>
        <v>NetServe</v>
      </c>
      <c r="F1033" t="str">
        <f>Procurement_Raw!F1033</f>
        <v>IT &amp; Telecoms</v>
      </c>
      <c r="G1033" t="str">
        <f>Procurement_Raw!G1033</f>
        <v>INV-2025-01032</v>
      </c>
      <c r="H1033" s="6">
        <f>Procurement_Raw!H1033</f>
        <v>34</v>
      </c>
      <c r="I1033" s="7">
        <f>Procurement_Raw!I1033</f>
        <v>87.87</v>
      </c>
      <c r="J1033" s="7">
        <f>Procurement_Raw!J1033</f>
        <v>2987.72</v>
      </c>
      <c r="K1033" s="6">
        <f>Procurement_Raw!K1033</f>
        <v>30</v>
      </c>
      <c r="L1033" t="str">
        <f>Procurement_Raw!L1033</f>
        <v>Legacy Spend File</v>
      </c>
      <c r="M1033" s="8">
        <f>Procurement_Raw!M1033</f>
        <v>597.54399999999998</v>
      </c>
      <c r="N1033" s="7">
        <f>Procurement_Raw!N1033</f>
        <v>2987.72</v>
      </c>
      <c r="O1033" s="7">
        <f t="shared" si="32"/>
        <v>2987.72</v>
      </c>
      <c r="P1033" t="str">
        <f>IFERROR(INDEX(Supplier_Lookup!$B$2:$B$200,MATCH(E1033,Supplier_Lookup!$A$2:$A$200,0)),"Unmapped")</f>
        <v>IT &amp; Telecoms</v>
      </c>
      <c r="Q1033" s="10">
        <f>IFERROR(INDEX(Category_Targets!$B$2:$B$9,MATCH(F1033,Category_Targets!$A$2:$A$9,0)),0)</f>
        <v>0.08</v>
      </c>
      <c r="R1033" s="7">
        <f t="shared" si="33"/>
        <v>239.01759999999999</v>
      </c>
    </row>
    <row r="1034" spans="1:18" x14ac:dyDescent="0.25">
      <c r="A1034" s="5">
        <f>Procurement_Raw!A1034</f>
        <v>45684</v>
      </c>
      <c r="B1034" t="str">
        <f>Procurement_Raw!B1034</f>
        <v>S019</v>
      </c>
      <c r="C1034" t="str">
        <f>Procurement_Raw!C1034</f>
        <v>Wrexham Care &amp; Education Centre</v>
      </c>
      <c r="D1034" t="str">
        <f>Procurement_Raw!D1034</f>
        <v>Wales</v>
      </c>
      <c r="E1034" t="str">
        <f>Procurement_Raw!E1034</f>
        <v>BuildCare</v>
      </c>
      <c r="F1034" t="str">
        <f>Procurement_Raw!F1034</f>
        <v>Facilities</v>
      </c>
      <c r="G1034" t="str">
        <f>Procurement_Raw!G1034</f>
        <v>INV-2025-01033</v>
      </c>
      <c r="H1034" s="6">
        <f>Procurement_Raw!H1034</f>
        <v>38</v>
      </c>
      <c r="I1034" s="7">
        <f>Procurement_Raw!I1034</f>
        <v>224.2</v>
      </c>
      <c r="J1034" s="7">
        <f>Procurement_Raw!J1034</f>
        <v>8519.52</v>
      </c>
      <c r="K1034" s="6">
        <f>Procurement_Raw!K1034</f>
        <v>60</v>
      </c>
      <c r="L1034" t="str">
        <f>Procurement_Raw!L1034</f>
        <v>Legacy Spend File</v>
      </c>
      <c r="M1034" s="8">
        <f>Procurement_Raw!M1034</f>
        <v>1703.904</v>
      </c>
      <c r="N1034" s="7">
        <f>Procurement_Raw!N1034</f>
        <v>8519.52</v>
      </c>
      <c r="O1034" s="7">
        <f t="shared" si="32"/>
        <v>8519.52</v>
      </c>
      <c r="P1034" t="str">
        <f>IFERROR(INDEX(Supplier_Lookup!$B$2:$B$200,MATCH(E1034,Supplier_Lookup!$A$2:$A$200,0)),"Unmapped")</f>
        <v>Facilities</v>
      </c>
      <c r="Q1034" s="10">
        <f>IFERROR(INDEX(Category_Targets!$B$2:$B$9,MATCH(F1034,Category_Targets!$A$2:$A$9,0)),0)</f>
        <v>0.05</v>
      </c>
      <c r="R1034" s="7">
        <f t="shared" si="33"/>
        <v>425.97600000000006</v>
      </c>
    </row>
    <row r="1035" spans="1:18" x14ac:dyDescent="0.25">
      <c r="A1035" s="5">
        <f>Procurement_Raw!A1035</f>
        <v>45700</v>
      </c>
      <c r="B1035" t="str">
        <f>Procurement_Raw!B1035</f>
        <v>S001</v>
      </c>
      <c r="C1035" t="str">
        <f>Procurement_Raw!C1035</f>
        <v>Preston Care &amp; Education Centre</v>
      </c>
      <c r="D1035" t="str">
        <f>Procurement_Raw!D1035</f>
        <v>North</v>
      </c>
      <c r="E1035" t="str">
        <f>Procurement_Raw!E1035</f>
        <v>TeleCare IT</v>
      </c>
      <c r="F1035" t="str">
        <f>Procurement_Raw!F1035</f>
        <v>IT &amp; Telecoms</v>
      </c>
      <c r="G1035" t="str">
        <f>Procurement_Raw!G1035</f>
        <v>INV-2025-01034</v>
      </c>
      <c r="H1035" s="6">
        <f>Procurement_Raw!H1035</f>
        <v>17</v>
      </c>
      <c r="I1035" s="7">
        <f>Procurement_Raw!I1035</f>
        <v>314.06</v>
      </c>
      <c r="J1035" s="7">
        <f>Procurement_Raw!J1035</f>
        <v>5339.03</v>
      </c>
      <c r="K1035" s="6">
        <f>Procurement_Raw!K1035</f>
        <v>60</v>
      </c>
      <c r="L1035" t="str">
        <f>Procurement_Raw!L1035</f>
        <v>ERP</v>
      </c>
      <c r="M1035" s="8">
        <f>Procurement_Raw!M1035</f>
        <v>1067.806</v>
      </c>
      <c r="N1035" s="7">
        <f>Procurement_Raw!N1035</f>
        <v>5339.03</v>
      </c>
      <c r="O1035" s="7">
        <f t="shared" si="32"/>
        <v>5339.03</v>
      </c>
      <c r="P1035" t="str">
        <f>IFERROR(INDEX(Supplier_Lookup!$B$2:$B$200,MATCH(E1035,Supplier_Lookup!$A$2:$A$200,0)),"Unmapped")</f>
        <v>IT &amp; Telecoms</v>
      </c>
      <c r="Q1035" s="10">
        <f>IFERROR(INDEX(Category_Targets!$B$2:$B$9,MATCH(F1035,Category_Targets!$A$2:$A$9,0)),0)</f>
        <v>0.08</v>
      </c>
      <c r="R1035" s="7">
        <f t="shared" si="33"/>
        <v>427.12239999999997</v>
      </c>
    </row>
    <row r="1036" spans="1:18" x14ac:dyDescent="0.25">
      <c r="A1036" s="5">
        <f>Procurement_Raw!A1036</f>
        <v>45973</v>
      </c>
      <c r="B1036" t="str">
        <f>Procurement_Raw!B1036</f>
        <v>S017</v>
      </c>
      <c r="C1036" t="str">
        <f>Procurement_Raw!C1036</f>
        <v>Swansea Care &amp; Education Centre</v>
      </c>
      <c r="D1036" t="str">
        <f>Procurement_Raw!D1036</f>
        <v>Wales</v>
      </c>
      <c r="E1036" t="str">
        <f>Procurement_Raw!E1036</f>
        <v>CloudLink</v>
      </c>
      <c r="F1036" t="str">
        <f>Procurement_Raw!F1036</f>
        <v>IT &amp; Telecoms</v>
      </c>
      <c r="G1036" t="str">
        <f>Procurement_Raw!G1036</f>
        <v>INV-2025-01035</v>
      </c>
      <c r="H1036" s="6">
        <f>Procurement_Raw!H1036</f>
        <v>36</v>
      </c>
      <c r="I1036" s="7">
        <f>Procurement_Raw!I1036</f>
        <v>168.66</v>
      </c>
      <c r="J1036" s="7">
        <f>Procurement_Raw!J1036</f>
        <v>6071.7</v>
      </c>
      <c r="K1036" s="6">
        <f>Procurement_Raw!K1036</f>
        <v>45</v>
      </c>
      <c r="L1036" t="str">
        <f>Procurement_Raw!L1036</f>
        <v>Procurement Portal</v>
      </c>
      <c r="M1036" s="8">
        <f>Procurement_Raw!M1036</f>
        <v>1214.3399999999999</v>
      </c>
      <c r="N1036" s="7">
        <f>Procurement_Raw!N1036</f>
        <v>6071.7</v>
      </c>
      <c r="O1036" s="7">
        <f t="shared" si="32"/>
        <v>6071.7</v>
      </c>
      <c r="P1036" t="str">
        <f>IFERROR(INDEX(Supplier_Lookup!$B$2:$B$200,MATCH(E1036,Supplier_Lookup!$A$2:$A$200,0)),"Unmapped")</f>
        <v>medical supplies</v>
      </c>
      <c r="Q1036" s="10">
        <f>IFERROR(INDEX(Category_Targets!$B$2:$B$9,MATCH(F1036,Category_Targets!$A$2:$A$9,0)),0)</f>
        <v>0.08</v>
      </c>
      <c r="R1036" s="7">
        <f t="shared" si="33"/>
        <v>485.73599999999999</v>
      </c>
    </row>
    <row r="1037" spans="1:18" x14ac:dyDescent="0.25">
      <c r="A1037" s="5">
        <f>Procurement_Raw!A1037</f>
        <v>45747</v>
      </c>
      <c r="B1037" t="str">
        <f>Procurement_Raw!B1037</f>
        <v>S017</v>
      </c>
      <c r="C1037" t="str">
        <f>Procurement_Raw!C1037</f>
        <v>Swansea Care &amp; Education Centre</v>
      </c>
      <c r="D1037" t="str">
        <f>Procurement_Raw!D1037</f>
        <v>Wales</v>
      </c>
      <c r="E1037" t="str">
        <f>Procurement_Raw!E1037</f>
        <v>KitchenPro</v>
      </c>
      <c r="F1037" t="str">
        <f>Procurement_Raw!F1037</f>
        <v>Food &amp; Catering</v>
      </c>
      <c r="G1037" t="str">
        <f>Procurement_Raw!G1037</f>
        <v>INV-2025-01036</v>
      </c>
      <c r="H1037" s="6">
        <f>Procurement_Raw!H1037</f>
        <v>76</v>
      </c>
      <c r="I1037" s="7">
        <f>Procurement_Raw!I1037</f>
        <v>154.47999999999999</v>
      </c>
      <c r="J1037" s="7">
        <f>Procurement_Raw!J1037</f>
        <v>11740.66</v>
      </c>
      <c r="K1037" s="6">
        <f>Procurement_Raw!K1037</f>
        <v>60</v>
      </c>
      <c r="L1037" t="str">
        <f>Procurement_Raw!L1037</f>
        <v>ERP</v>
      </c>
      <c r="M1037" s="8">
        <f>Procurement_Raw!M1037</f>
        <v>2348.1320000000001</v>
      </c>
      <c r="N1037" s="7">
        <f>Procurement_Raw!N1037</f>
        <v>11740.66</v>
      </c>
      <c r="O1037" s="7">
        <f t="shared" si="32"/>
        <v>11740.66</v>
      </c>
      <c r="P1037" t="str">
        <f>IFERROR(INDEX(Supplier_Lookup!$B$2:$B$200,MATCH(E1037,Supplier_Lookup!$A$2:$A$200,0)),"Unmapped")</f>
        <v>Food &amp; Catering</v>
      </c>
      <c r="Q1037" s="10">
        <f>IFERROR(INDEX(Category_Targets!$B$2:$B$9,MATCH(F1037,Category_Targets!$A$2:$A$9,0)),0)</f>
        <v>0.04</v>
      </c>
      <c r="R1037" s="7">
        <f t="shared" si="33"/>
        <v>469.62639999999999</v>
      </c>
    </row>
    <row r="1038" spans="1:18" x14ac:dyDescent="0.25">
      <c r="A1038" s="5">
        <f>Procurement_Raw!A1038</f>
        <v>45747</v>
      </c>
      <c r="B1038" t="str">
        <f>Procurement_Raw!B1038</f>
        <v>S001</v>
      </c>
      <c r="C1038" t="str">
        <f>Procurement_Raw!C1038</f>
        <v>Preston Care &amp; Education Centre</v>
      </c>
      <c r="D1038" t="str">
        <f>Procurement_Raw!D1038</f>
        <v>North</v>
      </c>
      <c r="E1038" t="str">
        <f>Procurement_Raw!E1038</f>
        <v>LearnWell</v>
      </c>
      <c r="F1038" t="str">
        <f>Procurement_Raw!F1038</f>
        <v>Office &amp; Training</v>
      </c>
      <c r="G1038" t="str">
        <f>Procurement_Raw!G1038</f>
        <v>INV-2025-01037</v>
      </c>
      <c r="H1038" s="6">
        <f>Procurement_Raw!H1038</f>
        <v>34</v>
      </c>
      <c r="I1038" s="7">
        <f>Procurement_Raw!I1038</f>
        <v>38.22</v>
      </c>
      <c r="J1038" s="7">
        <f>Procurement_Raw!J1038</f>
        <v>1299.43</v>
      </c>
      <c r="K1038" s="6">
        <f>Procurement_Raw!K1038</f>
        <v>60</v>
      </c>
      <c r="L1038" t="str">
        <f>Procurement_Raw!L1038</f>
        <v>ERP</v>
      </c>
      <c r="M1038" s="8">
        <f>Procurement_Raw!M1038</f>
        <v>259.88600000000002</v>
      </c>
      <c r="N1038" s="7">
        <f>Procurement_Raw!N1038</f>
        <v>1299.43</v>
      </c>
      <c r="O1038" s="7">
        <f t="shared" si="32"/>
        <v>1299.43</v>
      </c>
      <c r="P1038" t="str">
        <f>IFERROR(INDEX(Supplier_Lookup!$B$2:$B$200,MATCH(E1038,Supplier_Lookup!$A$2:$A$200,0)),"Unmapped")</f>
        <v>Office &amp; Training</v>
      </c>
      <c r="Q1038" s="10">
        <f>IFERROR(INDEX(Category_Targets!$B$2:$B$9,MATCH(F1038,Category_Targets!$A$2:$A$9,0)),0)</f>
        <v>0.04</v>
      </c>
      <c r="R1038" s="7">
        <f t="shared" si="33"/>
        <v>51.977200000000003</v>
      </c>
    </row>
    <row r="1039" spans="1:18" x14ac:dyDescent="0.25">
      <c r="A1039" s="5">
        <f>Procurement_Raw!A1039</f>
        <v>45674</v>
      </c>
      <c r="B1039" t="str">
        <f>Procurement_Raw!B1039</f>
        <v>S005</v>
      </c>
      <c r="C1039" t="str">
        <f>Procurement_Raw!C1039</f>
        <v>Sheffield Care &amp; Education Centre</v>
      </c>
      <c r="D1039" t="str">
        <f>Procurement_Raw!D1039</f>
        <v>North</v>
      </c>
      <c r="E1039" t="str">
        <f>Procurement_Raw!E1039</f>
        <v>BuildCare</v>
      </c>
      <c r="F1039" t="str">
        <f>Procurement_Raw!F1039</f>
        <v>Facilities</v>
      </c>
      <c r="G1039" t="str">
        <f>Procurement_Raw!G1039</f>
        <v>INV-2025-01038</v>
      </c>
      <c r="H1039" s="6">
        <f>Procurement_Raw!H1039</f>
        <v>44</v>
      </c>
      <c r="I1039" s="7">
        <f>Procurement_Raw!I1039</f>
        <v>80.44</v>
      </c>
      <c r="J1039" s="7">
        <f>Procurement_Raw!J1039</f>
        <v>3539.5</v>
      </c>
      <c r="K1039" s="6">
        <f>Procurement_Raw!K1039</f>
        <v>30</v>
      </c>
      <c r="L1039" t="str">
        <f>Procurement_Raw!L1039</f>
        <v>ERP</v>
      </c>
      <c r="M1039" s="8">
        <f>Procurement_Raw!M1039</f>
        <v>707.9</v>
      </c>
      <c r="N1039" s="7">
        <f>Procurement_Raw!N1039</f>
        <v>3539.5</v>
      </c>
      <c r="O1039" s="7">
        <f t="shared" si="32"/>
        <v>3539.5</v>
      </c>
      <c r="P1039" t="str">
        <f>IFERROR(INDEX(Supplier_Lookup!$B$2:$B$200,MATCH(E1039,Supplier_Lookup!$A$2:$A$200,0)),"Unmapped")</f>
        <v>Facilities</v>
      </c>
      <c r="Q1039" s="10">
        <f>IFERROR(INDEX(Category_Targets!$B$2:$B$9,MATCH(F1039,Category_Targets!$A$2:$A$9,0)),0)</f>
        <v>0.05</v>
      </c>
      <c r="R1039" s="7">
        <f t="shared" si="33"/>
        <v>176.97500000000002</v>
      </c>
    </row>
    <row r="1040" spans="1:18" x14ac:dyDescent="0.25">
      <c r="A1040" s="5">
        <f>Procurement_Raw!A1040</f>
        <v>45869</v>
      </c>
      <c r="B1040" t="str">
        <f>Procurement_Raw!B1040</f>
        <v>S015</v>
      </c>
      <c r="C1040" t="str">
        <f>Procurement_Raw!C1040</f>
        <v>Brighton Care &amp; Education Centre</v>
      </c>
      <c r="D1040" t="str">
        <f>Procurement_Raw!D1040</f>
        <v>South</v>
      </c>
      <c r="E1040" t="str">
        <f>Procurement_Raw!E1040</f>
        <v>SafeGuard FM</v>
      </c>
      <c r="F1040" t="str">
        <f>Procurement_Raw!F1040</f>
        <v>Facilities</v>
      </c>
      <c r="G1040" t="str">
        <f>Procurement_Raw!G1040</f>
        <v>INV-2025-01039</v>
      </c>
      <c r="H1040" s="6">
        <f>Procurement_Raw!H1040</f>
        <v>50</v>
      </c>
      <c r="I1040" s="7">
        <f>Procurement_Raw!I1040</f>
        <v>203.65</v>
      </c>
      <c r="J1040" s="7">
        <f>Procurement_Raw!J1040</f>
        <v>10182.530000000001</v>
      </c>
      <c r="K1040" s="6">
        <f>Procurement_Raw!K1040</f>
        <v>30</v>
      </c>
      <c r="L1040" t="str">
        <f>Procurement_Raw!L1040</f>
        <v>Legacy Spend File</v>
      </c>
      <c r="M1040" s="8">
        <f>Procurement_Raw!M1040</f>
        <v>2036.5060000000001</v>
      </c>
      <c r="N1040" s="7">
        <f>Procurement_Raw!N1040</f>
        <v>10182.530000000001</v>
      </c>
      <c r="O1040" s="7">
        <f t="shared" si="32"/>
        <v>10182.530000000001</v>
      </c>
      <c r="P1040" t="str">
        <f>IFERROR(INDEX(Supplier_Lookup!$B$2:$B$200,MATCH(E1040,Supplier_Lookup!$A$2:$A$200,0)),"Unmapped")</f>
        <v>Facilities</v>
      </c>
      <c r="Q1040" s="10">
        <f>IFERROR(INDEX(Category_Targets!$B$2:$B$9,MATCH(F1040,Category_Targets!$A$2:$A$9,0)),0)</f>
        <v>0.05</v>
      </c>
      <c r="R1040" s="7">
        <f t="shared" si="33"/>
        <v>509.12650000000008</v>
      </c>
    </row>
    <row r="1041" spans="1:18" x14ac:dyDescent="0.25">
      <c r="A1041" s="5">
        <f>Procurement_Raw!A1041</f>
        <v>45953</v>
      </c>
      <c r="B1041" t="str">
        <f>Procurement_Raw!B1041</f>
        <v>S017</v>
      </c>
      <c r="C1041" t="str">
        <f>Procurement_Raw!C1041</f>
        <v>Swansea Care &amp; Education Centre</v>
      </c>
      <c r="D1041" t="str">
        <f>Procurement_Raw!D1041</f>
        <v>Wales</v>
      </c>
      <c r="E1041" t="str">
        <f>Procurement_Raw!E1041</f>
        <v>CleanWorks</v>
      </c>
      <c r="F1041" t="str">
        <f>Procurement_Raw!F1041</f>
        <v>Facilities</v>
      </c>
      <c r="G1041" t="str">
        <f>Procurement_Raw!G1041</f>
        <v>INV-2025-01040</v>
      </c>
      <c r="H1041" s="6">
        <f>Procurement_Raw!H1041</f>
        <v>45</v>
      </c>
      <c r="I1041" s="7">
        <f>Procurement_Raw!I1041</f>
        <v>320.17</v>
      </c>
      <c r="J1041" s="7">
        <f>Procurement_Raw!J1041</f>
        <v>14407.78</v>
      </c>
      <c r="K1041" s="6">
        <f>Procurement_Raw!K1041</f>
        <v>30</v>
      </c>
      <c r="L1041" t="str">
        <f>Procurement_Raw!L1041</f>
        <v>Legacy Spend File</v>
      </c>
      <c r="M1041" s="8">
        <f>Procurement_Raw!M1041</f>
        <v>2881.556</v>
      </c>
      <c r="N1041" s="7">
        <f>Procurement_Raw!N1041</f>
        <v>14407.78</v>
      </c>
      <c r="O1041" s="7">
        <f t="shared" si="32"/>
        <v>14407.78</v>
      </c>
      <c r="P1041" t="str">
        <f>IFERROR(INDEX(Supplier_Lookup!$B$2:$B$200,MATCH(E1041,Supplier_Lookup!$A$2:$A$200,0)),"Unmapped")</f>
        <v>Facilities</v>
      </c>
      <c r="Q1041" s="10">
        <f>IFERROR(INDEX(Category_Targets!$B$2:$B$9,MATCH(F1041,Category_Targets!$A$2:$A$9,0)),0)</f>
        <v>0.05</v>
      </c>
      <c r="R1041" s="7">
        <f t="shared" si="33"/>
        <v>720.38900000000012</v>
      </c>
    </row>
    <row r="1042" spans="1:18" x14ac:dyDescent="0.25">
      <c r="A1042" s="5">
        <f>Procurement_Raw!A1042</f>
        <v>45743</v>
      </c>
      <c r="B1042" t="str">
        <f>Procurement_Raw!B1042</f>
        <v>S001</v>
      </c>
      <c r="C1042" t="str">
        <f>Procurement_Raw!C1042</f>
        <v>Preston Care &amp; Education Centre</v>
      </c>
      <c r="D1042" t="str">
        <f>Procurement_Raw!D1042</f>
        <v>North</v>
      </c>
      <c r="E1042" t="str">
        <f>Procurement_Raw!E1042</f>
        <v>FreshServe</v>
      </c>
      <c r="F1042" t="str">
        <f>Procurement_Raw!F1042</f>
        <v>Food &amp; Catering</v>
      </c>
      <c r="G1042" t="str">
        <f>Procurement_Raw!G1042</f>
        <v>INV-2025-01041</v>
      </c>
      <c r="H1042" s="6">
        <f>Procurement_Raw!H1042</f>
        <v>60</v>
      </c>
      <c r="I1042" s="7">
        <f>Procurement_Raw!I1042</f>
        <v>164.11</v>
      </c>
      <c r="J1042" s="7">
        <f>Procurement_Raw!J1042</f>
        <v>9846.7000000000007</v>
      </c>
      <c r="K1042" s="6">
        <f>Procurement_Raw!K1042</f>
        <v>45</v>
      </c>
      <c r="L1042" t="str">
        <f>Procurement_Raw!L1042</f>
        <v>Procurement Portal</v>
      </c>
      <c r="M1042" s="8">
        <f>Procurement_Raw!M1042</f>
        <v>1969.34</v>
      </c>
      <c r="N1042" s="7">
        <f>Procurement_Raw!N1042</f>
        <v>9846.7000000000007</v>
      </c>
      <c r="O1042" s="7">
        <f t="shared" si="32"/>
        <v>9846.7000000000007</v>
      </c>
      <c r="P1042" t="str">
        <f>IFERROR(INDEX(Supplier_Lookup!$B$2:$B$200,MATCH(E1042,Supplier_Lookup!$A$2:$A$200,0)),"Unmapped")</f>
        <v>Food &amp; Catering</v>
      </c>
      <c r="Q1042" s="10">
        <f>IFERROR(INDEX(Category_Targets!$B$2:$B$9,MATCH(F1042,Category_Targets!$A$2:$A$9,0)),0)</f>
        <v>0.04</v>
      </c>
      <c r="R1042" s="7">
        <f t="shared" si="33"/>
        <v>393.86800000000005</v>
      </c>
    </row>
    <row r="1043" spans="1:18" x14ac:dyDescent="0.25">
      <c r="A1043" s="5">
        <f>Procurement_Raw!A1043</f>
        <v>45930</v>
      </c>
      <c r="B1043" t="str">
        <f>Procurement_Raw!B1043</f>
        <v>S015</v>
      </c>
      <c r="C1043" t="str">
        <f>Procurement_Raw!C1043</f>
        <v>Brighton Care &amp; Education Centre</v>
      </c>
      <c r="D1043" t="str">
        <f>Procurement_Raw!D1043</f>
        <v>South</v>
      </c>
      <c r="E1043" t="str">
        <f>Procurement_Raw!E1043</f>
        <v>PrintCo</v>
      </c>
      <c r="F1043" t="str">
        <f>Procurement_Raw!F1043</f>
        <v>Office &amp; Training</v>
      </c>
      <c r="G1043" t="str">
        <f>Procurement_Raw!G1043</f>
        <v>INV-2025-01042</v>
      </c>
      <c r="H1043" s="6">
        <f>Procurement_Raw!H1043</f>
        <v>30</v>
      </c>
      <c r="I1043" s="7">
        <f>Procurement_Raw!I1043</f>
        <v>58.27</v>
      </c>
      <c r="J1043" s="7">
        <f>Procurement_Raw!J1043</f>
        <v>1748.13</v>
      </c>
      <c r="K1043" s="6">
        <f>Procurement_Raw!K1043</f>
        <v>45</v>
      </c>
      <c r="L1043" t="str">
        <f>Procurement_Raw!L1043</f>
        <v>Legacy Spend File</v>
      </c>
      <c r="M1043" s="8">
        <f>Procurement_Raw!M1043</f>
        <v>349.62599999999998</v>
      </c>
      <c r="N1043" s="7">
        <f>Procurement_Raw!N1043</f>
        <v>1748.13</v>
      </c>
      <c r="O1043" s="7">
        <f t="shared" si="32"/>
        <v>1748.13</v>
      </c>
      <c r="P1043" t="str">
        <f>IFERROR(INDEX(Supplier_Lookup!$B$2:$B$200,MATCH(E1043,Supplier_Lookup!$A$2:$A$200,0)),"Unmapped")</f>
        <v>Office &amp; Training</v>
      </c>
      <c r="Q1043" s="10">
        <f>IFERROR(INDEX(Category_Targets!$B$2:$B$9,MATCH(F1043,Category_Targets!$A$2:$A$9,0)),0)</f>
        <v>0.04</v>
      </c>
      <c r="R1043" s="7">
        <f t="shared" si="33"/>
        <v>69.925200000000004</v>
      </c>
    </row>
    <row r="1044" spans="1:18" x14ac:dyDescent="0.25">
      <c r="A1044" s="5">
        <f>Procurement_Raw!A1044</f>
        <v>45792</v>
      </c>
      <c r="B1044" t="str">
        <f>Procurement_Raw!B1044</f>
        <v>S020</v>
      </c>
      <c r="C1044" t="str">
        <f>Procurement_Raw!C1044</f>
        <v>Bangor Care &amp; Education Centre</v>
      </c>
      <c r="D1044" t="str">
        <f>Procurement_Raw!D1044</f>
        <v>Wales</v>
      </c>
      <c r="E1044" t="str">
        <f>Procurement_Raw!E1044</f>
        <v>CareTemps</v>
      </c>
      <c r="F1044" t="str">
        <f>Procurement_Raw!F1044</f>
        <v>Agency Labour</v>
      </c>
      <c r="G1044" t="str">
        <f>Procurement_Raw!G1044</f>
        <v>INV-2025-01043</v>
      </c>
      <c r="H1044" s="6">
        <f>Procurement_Raw!H1044</f>
        <v>19</v>
      </c>
      <c r="I1044" s="7">
        <f>Procurement_Raw!I1044</f>
        <v>542.97</v>
      </c>
      <c r="J1044" s="7">
        <f>Procurement_Raw!J1044</f>
        <v>10316.459999999999</v>
      </c>
      <c r="K1044" s="6">
        <f>Procurement_Raw!K1044</f>
        <v>60</v>
      </c>
      <c r="L1044" t="str">
        <f>Procurement_Raw!L1044</f>
        <v>Procurement Portal</v>
      </c>
      <c r="M1044" s="8">
        <f>Procurement_Raw!M1044</f>
        <v>2063.2919999999999</v>
      </c>
      <c r="N1044" s="7">
        <f>Procurement_Raw!N1044</f>
        <v>10316.459999999999</v>
      </c>
      <c r="O1044" s="7">
        <f t="shared" si="32"/>
        <v>10316.459999999999</v>
      </c>
      <c r="P1044" t="str">
        <f>IFERROR(INDEX(Supplier_Lookup!$B$2:$B$200,MATCH(E1044,Supplier_Lookup!$A$2:$A$200,0)),"Unmapped")</f>
        <v>Agency Labour</v>
      </c>
      <c r="Q1044" s="10">
        <f>IFERROR(INDEX(Category_Targets!$B$2:$B$9,MATCH(F1044,Category_Targets!$A$2:$A$9,0)),0)</f>
        <v>7.0000000000000007E-2</v>
      </c>
      <c r="R1044" s="7">
        <f t="shared" si="33"/>
        <v>722.15219999999999</v>
      </c>
    </row>
    <row r="1045" spans="1:18" x14ac:dyDescent="0.25">
      <c r="A1045" s="5">
        <f>Procurement_Raw!A1045</f>
        <v>45853</v>
      </c>
      <c r="B1045" t="str">
        <f>Procurement_Raw!B1045</f>
        <v>S012</v>
      </c>
      <c r="C1045" t="str">
        <f>Procurement_Raw!C1045</f>
        <v>Bristol Care &amp; Education Centre</v>
      </c>
      <c r="D1045" t="str">
        <f>Procurement_Raw!D1045</f>
        <v>South</v>
      </c>
      <c r="E1045" t="str">
        <f>Procurement_Raw!E1045</f>
        <v>TeleCare IT</v>
      </c>
      <c r="F1045" t="str">
        <f>Procurement_Raw!F1045</f>
        <v>IT &amp; Telecoms</v>
      </c>
      <c r="G1045" t="str">
        <f>Procurement_Raw!G1045</f>
        <v>INV-2025-01044</v>
      </c>
      <c r="H1045" s="6">
        <f>Procurement_Raw!H1045</f>
        <v>41</v>
      </c>
      <c r="I1045" s="7">
        <f>Procurement_Raw!I1045</f>
        <v>215.39</v>
      </c>
      <c r="J1045" s="7">
        <f>Procurement_Raw!J1045</f>
        <v>8830.9699999999993</v>
      </c>
      <c r="K1045" s="6">
        <f>Procurement_Raw!K1045</f>
        <v>60</v>
      </c>
      <c r="L1045" t="str">
        <f>Procurement_Raw!L1045</f>
        <v>Legacy Spend File</v>
      </c>
      <c r="M1045" s="8">
        <f>Procurement_Raw!M1045</f>
        <v>1766.194</v>
      </c>
      <c r="N1045" s="7">
        <f>Procurement_Raw!N1045</f>
        <v>8830.9699999999993</v>
      </c>
      <c r="O1045" s="7">
        <f t="shared" si="32"/>
        <v>8830.9699999999993</v>
      </c>
      <c r="P1045" t="str">
        <f>IFERROR(INDEX(Supplier_Lookup!$B$2:$B$200,MATCH(E1045,Supplier_Lookup!$A$2:$A$200,0)),"Unmapped")</f>
        <v>IT &amp; Telecoms</v>
      </c>
      <c r="Q1045" s="10">
        <f>IFERROR(INDEX(Category_Targets!$B$2:$B$9,MATCH(F1045,Category_Targets!$A$2:$A$9,0)),0)</f>
        <v>0.08</v>
      </c>
      <c r="R1045" s="7">
        <f t="shared" si="33"/>
        <v>706.47759999999994</v>
      </c>
    </row>
    <row r="1046" spans="1:18" x14ac:dyDescent="0.25">
      <c r="A1046" s="5">
        <f>Procurement_Raw!A1046</f>
        <v>45984</v>
      </c>
      <c r="B1046" t="str">
        <f>Procurement_Raw!B1046</f>
        <v>S003</v>
      </c>
      <c r="C1046" t="str">
        <f>Procurement_Raw!C1046</f>
        <v>Leeds Care &amp; Education Centre</v>
      </c>
      <c r="D1046" t="str">
        <f>Procurement_Raw!D1046</f>
        <v>North</v>
      </c>
      <c r="E1046" t="str">
        <f>Procurement_Raw!E1046</f>
        <v>KitchenPro</v>
      </c>
      <c r="F1046" t="str">
        <f>Procurement_Raw!F1046</f>
        <v>Food &amp; Catering</v>
      </c>
      <c r="G1046" t="str">
        <f>Procurement_Raw!G1046</f>
        <v>INV-2025-01045</v>
      </c>
      <c r="H1046" s="6">
        <f>Procurement_Raw!H1046</f>
        <v>46</v>
      </c>
      <c r="I1046" s="7">
        <f>Procurement_Raw!I1046</f>
        <v>59.11</v>
      </c>
      <c r="J1046" s="7">
        <f>Procurement_Raw!J1046</f>
        <v>2719.17</v>
      </c>
      <c r="K1046" s="6">
        <f>Procurement_Raw!K1046</f>
        <v>45</v>
      </c>
      <c r="L1046" t="str">
        <f>Procurement_Raw!L1046</f>
        <v>Legacy Spend File</v>
      </c>
      <c r="M1046" s="8">
        <f>Procurement_Raw!M1046</f>
        <v>543.83399999999995</v>
      </c>
      <c r="N1046" s="7">
        <f>Procurement_Raw!N1046</f>
        <v>2719.17</v>
      </c>
      <c r="O1046" s="7">
        <f t="shared" si="32"/>
        <v>2719.17</v>
      </c>
      <c r="P1046" t="str">
        <f>IFERROR(INDEX(Supplier_Lookup!$B$2:$B$200,MATCH(E1046,Supplier_Lookup!$A$2:$A$200,0)),"Unmapped")</f>
        <v>Food &amp; Catering</v>
      </c>
      <c r="Q1046" s="10">
        <f>IFERROR(INDEX(Category_Targets!$B$2:$B$9,MATCH(F1046,Category_Targets!$A$2:$A$9,0)),0)</f>
        <v>0.04</v>
      </c>
      <c r="R1046" s="7">
        <f t="shared" si="33"/>
        <v>108.7668</v>
      </c>
    </row>
    <row r="1047" spans="1:18" x14ac:dyDescent="0.25">
      <c r="A1047" s="5">
        <f>Procurement_Raw!A1047</f>
        <v>45796</v>
      </c>
      <c r="B1047" t="str">
        <f>Procurement_Raw!B1047</f>
        <v>S017</v>
      </c>
      <c r="C1047" t="str">
        <f>Procurement_Raw!C1047</f>
        <v>Swansea Care &amp; Education Centre</v>
      </c>
      <c r="D1047" t="str">
        <f>Procurement_Raw!D1047</f>
        <v>Wales</v>
      </c>
      <c r="E1047" t="str">
        <f>Procurement_Raw!E1047</f>
        <v>TeleCare IT</v>
      </c>
      <c r="F1047" t="str">
        <f>Procurement_Raw!F1047</f>
        <v>IT &amp; Telecoms</v>
      </c>
      <c r="G1047" t="str">
        <f>Procurement_Raw!G1047</f>
        <v>INV-2025-01046</v>
      </c>
      <c r="H1047" s="6">
        <f>Procurement_Raw!H1047</f>
        <v>35</v>
      </c>
      <c r="I1047" s="7">
        <f>Procurement_Raw!I1047</f>
        <v>357.68</v>
      </c>
      <c r="J1047" s="7">
        <f>Procurement_Raw!J1047</f>
        <v>12518.82</v>
      </c>
      <c r="K1047" s="6">
        <f>Procurement_Raw!K1047</f>
        <v>30</v>
      </c>
      <c r="L1047" t="str">
        <f>Procurement_Raw!L1047</f>
        <v>Procurement Portal</v>
      </c>
      <c r="M1047" s="8">
        <f>Procurement_Raw!M1047</f>
        <v>2503.7640000000001</v>
      </c>
      <c r="N1047" s="7">
        <f>Procurement_Raw!N1047</f>
        <v>12518.82</v>
      </c>
      <c r="O1047" s="7">
        <f t="shared" si="32"/>
        <v>12518.82</v>
      </c>
      <c r="P1047" t="str">
        <f>IFERROR(INDEX(Supplier_Lookup!$B$2:$B$200,MATCH(E1047,Supplier_Lookup!$A$2:$A$200,0)),"Unmapped")</f>
        <v>IT &amp; Telecoms</v>
      </c>
      <c r="Q1047" s="10">
        <f>IFERROR(INDEX(Category_Targets!$B$2:$B$9,MATCH(F1047,Category_Targets!$A$2:$A$9,0)),0)</f>
        <v>0.08</v>
      </c>
      <c r="R1047" s="7">
        <f t="shared" si="33"/>
        <v>1001.5056</v>
      </c>
    </row>
    <row r="1048" spans="1:18" x14ac:dyDescent="0.25">
      <c r="A1048" s="5">
        <f>Procurement_Raw!A1048</f>
        <v>46003</v>
      </c>
      <c r="B1048" t="str">
        <f>Procurement_Raw!B1048</f>
        <v>S013</v>
      </c>
      <c r="C1048" t="str">
        <f>Procurement_Raw!C1048</f>
        <v>Reading Care &amp; Education Centre</v>
      </c>
      <c r="D1048" t="str">
        <f>Procurement_Raw!D1048</f>
        <v>South</v>
      </c>
      <c r="E1048" t="str">
        <f>Procurement_Raw!E1048</f>
        <v>CareTemps</v>
      </c>
      <c r="F1048" t="str">
        <f>Procurement_Raw!F1048</f>
        <v>Agency Labour</v>
      </c>
      <c r="G1048" t="str">
        <f>Procurement_Raw!G1048</f>
        <v>INV-2025-01047</v>
      </c>
      <c r="H1048" s="6">
        <f>Procurement_Raw!H1048</f>
        <v>31</v>
      </c>
      <c r="I1048" s="7">
        <f>Procurement_Raw!I1048</f>
        <v>429.47</v>
      </c>
      <c r="J1048" s="7">
        <f>Procurement_Raw!J1048</f>
        <v>13313.68</v>
      </c>
      <c r="K1048" s="6">
        <f>Procurement_Raw!K1048</f>
        <v>60</v>
      </c>
      <c r="L1048" t="str">
        <f>Procurement_Raw!L1048</f>
        <v>Legacy Spend File</v>
      </c>
      <c r="M1048" s="8">
        <f>Procurement_Raw!M1048</f>
        <v>2662.7359999999999</v>
      </c>
      <c r="N1048" s="7">
        <f>Procurement_Raw!N1048</f>
        <v>13313.68</v>
      </c>
      <c r="O1048" s="7">
        <f t="shared" si="32"/>
        <v>13313.68</v>
      </c>
      <c r="P1048" t="str">
        <f>IFERROR(INDEX(Supplier_Lookup!$B$2:$B$200,MATCH(E1048,Supplier_Lookup!$A$2:$A$200,0)),"Unmapped")</f>
        <v>Agency Labour</v>
      </c>
      <c r="Q1048" s="10">
        <f>IFERROR(INDEX(Category_Targets!$B$2:$B$9,MATCH(F1048,Category_Targets!$A$2:$A$9,0)),0)</f>
        <v>7.0000000000000007E-2</v>
      </c>
      <c r="R1048" s="7">
        <f t="shared" si="33"/>
        <v>931.95760000000007</v>
      </c>
    </row>
    <row r="1049" spans="1:18" x14ac:dyDescent="0.25">
      <c r="A1049" s="5">
        <f>Procurement_Raw!A1049</f>
        <v>45830</v>
      </c>
      <c r="B1049" t="str">
        <f>Procurement_Raw!B1049</f>
        <v>S014</v>
      </c>
      <c r="C1049" t="str">
        <f>Procurement_Raw!C1049</f>
        <v>Southampton Care &amp; Education Centre</v>
      </c>
      <c r="D1049" t="str">
        <f>Procurement_Raw!D1049</f>
        <v>South</v>
      </c>
      <c r="E1049" t="str">
        <f>Procurement_Raw!E1049</f>
        <v>PowerDirect</v>
      </c>
      <c r="F1049" t="str">
        <f>Procurement_Raw!F1049</f>
        <v>Utilities</v>
      </c>
      <c r="G1049" t="str">
        <f>Procurement_Raw!G1049</f>
        <v>INV-2025-01048</v>
      </c>
      <c r="H1049" s="6">
        <f>Procurement_Raw!H1049</f>
        <v>24</v>
      </c>
      <c r="I1049" s="7">
        <f>Procurement_Raw!I1049</f>
        <v>105.05</v>
      </c>
      <c r="J1049" s="7">
        <f>Procurement_Raw!J1049</f>
        <v>2521.2199999999998</v>
      </c>
      <c r="K1049" s="6">
        <f>Procurement_Raw!K1049</f>
        <v>45</v>
      </c>
      <c r="L1049" t="str">
        <f>Procurement_Raw!L1049</f>
        <v>Legacy Spend File</v>
      </c>
      <c r="M1049" s="8">
        <f>Procurement_Raw!M1049</f>
        <v>504.24400000000003</v>
      </c>
      <c r="N1049" s="7">
        <f>Procurement_Raw!N1049</f>
        <v>2521.2199999999998</v>
      </c>
      <c r="O1049" s="7">
        <f t="shared" si="32"/>
        <v>2521.2199999999998</v>
      </c>
      <c r="P1049" t="str">
        <f>IFERROR(INDEX(Supplier_Lookup!$B$2:$B$200,MATCH(E1049,Supplier_Lookup!$A$2:$A$200,0)),"Unmapped")</f>
        <v>Utilities</v>
      </c>
      <c r="Q1049" s="10">
        <f>IFERROR(INDEX(Category_Targets!$B$2:$B$9,MATCH(F1049,Category_Targets!$A$2:$A$9,0)),0)</f>
        <v>0.03</v>
      </c>
      <c r="R1049" s="7">
        <f t="shared" si="33"/>
        <v>75.636599999999987</v>
      </c>
    </row>
    <row r="1050" spans="1:18" x14ac:dyDescent="0.25">
      <c r="A1050" s="5">
        <f>Procurement_Raw!A1050</f>
        <v>45664</v>
      </c>
      <c r="B1050" t="str">
        <f>Procurement_Raw!B1050</f>
        <v>S015</v>
      </c>
      <c r="C1050" t="str">
        <f>Procurement_Raw!C1050</f>
        <v>Brighton Care &amp; Education Centre</v>
      </c>
      <c r="D1050" t="str">
        <f>Procurement_Raw!D1050</f>
        <v>South</v>
      </c>
      <c r="E1050" t="str">
        <f>Procurement_Raw!E1050</f>
        <v>MediSure</v>
      </c>
      <c r="F1050" t="str">
        <f>Procurement_Raw!F1050</f>
        <v>Medical Supplies</v>
      </c>
      <c r="G1050" t="str">
        <f>Procurement_Raw!G1050</f>
        <v>INV-2025-01049</v>
      </c>
      <c r="H1050" s="6">
        <f>Procurement_Raw!H1050</f>
        <v>53</v>
      </c>
      <c r="I1050" s="7">
        <f>Procurement_Raw!I1050</f>
        <v>270.32</v>
      </c>
      <c r="J1050" s="7">
        <f>Procurement_Raw!J1050</f>
        <v>14326.71</v>
      </c>
      <c r="K1050" s="6">
        <f>Procurement_Raw!K1050</f>
        <v>30</v>
      </c>
      <c r="L1050" t="str">
        <f>Procurement_Raw!L1050</f>
        <v>Legacy Spend File</v>
      </c>
      <c r="M1050" s="8">
        <f>Procurement_Raw!M1050</f>
        <v>2865.3420000000001</v>
      </c>
      <c r="N1050" s="7">
        <f>Procurement_Raw!N1050</f>
        <v>14326.71</v>
      </c>
      <c r="O1050" s="7">
        <f t="shared" si="32"/>
        <v>14326.71</v>
      </c>
      <c r="P1050" t="str">
        <f>IFERROR(INDEX(Supplier_Lookup!$B$2:$B$200,MATCH(E1050,Supplier_Lookup!$A$2:$A$200,0)),"Unmapped")</f>
        <v>Medical Supplies</v>
      </c>
      <c r="Q1050" s="10">
        <f>IFERROR(INDEX(Category_Targets!$B$2:$B$9,MATCH(F1050,Category_Targets!$A$2:$A$9,0)),0)</f>
        <v>0.06</v>
      </c>
      <c r="R1050" s="7">
        <f t="shared" si="33"/>
        <v>859.60259999999994</v>
      </c>
    </row>
    <row r="1051" spans="1:18" x14ac:dyDescent="0.25">
      <c r="A1051" s="5">
        <f>Procurement_Raw!A1051</f>
        <v>45770</v>
      </c>
      <c r="B1051" t="str">
        <f>Procurement_Raw!B1051</f>
        <v>S007</v>
      </c>
      <c r="C1051" t="str">
        <f>Procurement_Raw!C1051</f>
        <v>Nottingham Care &amp; Education Centre</v>
      </c>
      <c r="D1051" t="str">
        <f>Procurement_Raw!D1051</f>
        <v>Midlands</v>
      </c>
      <c r="E1051" t="str">
        <f>Procurement_Raw!E1051</f>
        <v>LearnWell</v>
      </c>
      <c r="F1051" t="str">
        <f>Procurement_Raw!F1051</f>
        <v>Office &amp; Training</v>
      </c>
      <c r="G1051" t="str">
        <f>Procurement_Raw!G1051</f>
        <v>INV-2025-01050</v>
      </c>
      <c r="H1051" s="6">
        <f>Procurement_Raw!H1051</f>
        <v>37</v>
      </c>
      <c r="I1051" s="7">
        <f>Procurement_Raw!I1051</f>
        <v>160.22</v>
      </c>
      <c r="J1051" s="7">
        <f>Procurement_Raw!J1051</f>
        <v>5928.08</v>
      </c>
      <c r="K1051" s="6">
        <f>Procurement_Raw!K1051</f>
        <v>45</v>
      </c>
      <c r="L1051" t="str">
        <f>Procurement_Raw!L1051</f>
        <v>ERP</v>
      </c>
      <c r="M1051" s="8">
        <f>Procurement_Raw!M1051</f>
        <v>1185.616</v>
      </c>
      <c r="N1051" s="7">
        <f>Procurement_Raw!N1051</f>
        <v>5928.08</v>
      </c>
      <c r="O1051" s="7">
        <f t="shared" si="32"/>
        <v>5928.08</v>
      </c>
      <c r="P1051" t="str">
        <f>IFERROR(INDEX(Supplier_Lookup!$B$2:$B$200,MATCH(E1051,Supplier_Lookup!$A$2:$A$200,0)),"Unmapped")</f>
        <v>Office &amp; Training</v>
      </c>
      <c r="Q1051" s="10">
        <f>IFERROR(INDEX(Category_Targets!$B$2:$B$9,MATCH(F1051,Category_Targets!$A$2:$A$9,0)),0)</f>
        <v>0.04</v>
      </c>
      <c r="R1051" s="7">
        <f t="shared" si="33"/>
        <v>237.1232</v>
      </c>
    </row>
    <row r="1052" spans="1:18" x14ac:dyDescent="0.25">
      <c r="A1052" s="5">
        <f>Procurement_Raw!A1052</f>
        <v>45705</v>
      </c>
      <c r="B1052" t="str">
        <f>Procurement_Raw!B1052</f>
        <v>S014</v>
      </c>
      <c r="C1052" t="str">
        <f>Procurement_Raw!C1052</f>
        <v>Southampton Care &amp; Education Centre</v>
      </c>
      <c r="D1052" t="str">
        <f>Procurement_Raw!D1052</f>
        <v>South</v>
      </c>
      <c r="E1052" t="str">
        <f>Procurement_Raw!E1052</f>
        <v>ClinEquip</v>
      </c>
      <c r="F1052" t="str">
        <f>Procurement_Raw!F1052</f>
        <v>Medical Supplies</v>
      </c>
      <c r="G1052" t="str">
        <f>Procurement_Raw!G1052</f>
        <v>INV-2025-01051</v>
      </c>
      <c r="H1052" s="6">
        <f>Procurement_Raw!H1052</f>
        <v>8</v>
      </c>
      <c r="I1052" s="7">
        <f>Procurement_Raw!I1052</f>
        <v>85.07</v>
      </c>
      <c r="J1052" s="7">
        <f>Procurement_Raw!J1052</f>
        <v>680.53</v>
      </c>
      <c r="K1052" s="6">
        <f>Procurement_Raw!K1052</f>
        <v>60</v>
      </c>
      <c r="L1052" t="str">
        <f>Procurement_Raw!L1052</f>
        <v>Legacy Spend File</v>
      </c>
      <c r="M1052" s="8">
        <f>Procurement_Raw!M1052</f>
        <v>136.10599999999999</v>
      </c>
      <c r="N1052" s="7">
        <f>Procurement_Raw!N1052</f>
        <v>680.53</v>
      </c>
      <c r="O1052" s="7">
        <f t="shared" si="32"/>
        <v>680.53</v>
      </c>
      <c r="P1052" t="str">
        <f>IFERROR(INDEX(Supplier_Lookup!$B$2:$B$200,MATCH(E1052,Supplier_Lookup!$A$2:$A$200,0)),"Unmapped")</f>
        <v>Medical Supplies</v>
      </c>
      <c r="Q1052" s="10">
        <f>IFERROR(INDEX(Category_Targets!$B$2:$B$9,MATCH(F1052,Category_Targets!$A$2:$A$9,0)),0)</f>
        <v>0.06</v>
      </c>
      <c r="R1052" s="7">
        <f t="shared" si="33"/>
        <v>40.831799999999994</v>
      </c>
    </row>
    <row r="1053" spans="1:18" x14ac:dyDescent="0.25">
      <c r="A1053" s="5">
        <f>Procurement_Raw!A1053</f>
        <v>45719</v>
      </c>
      <c r="B1053" t="str">
        <f>Procurement_Raw!B1053</f>
        <v>S011</v>
      </c>
      <c r="C1053" t="str">
        <f>Procurement_Raw!C1053</f>
        <v>London Care &amp; Education Centre</v>
      </c>
      <c r="D1053" t="str">
        <f>Procurement_Raw!D1053</f>
        <v>South</v>
      </c>
      <c r="E1053" t="str">
        <f>Procurement_Raw!E1053</f>
        <v>KitchenPro</v>
      </c>
      <c r="F1053" t="str">
        <f>Procurement_Raw!F1053</f>
        <v>Food &amp; Catering</v>
      </c>
      <c r="G1053" t="str">
        <f>Procurement_Raw!G1053</f>
        <v>INV-2025-01052</v>
      </c>
      <c r="H1053" s="6">
        <f>Procurement_Raw!H1053</f>
        <v>12</v>
      </c>
      <c r="I1053" s="7">
        <f>Procurement_Raw!I1053</f>
        <v>80.81</v>
      </c>
      <c r="J1053" s="7">
        <f>Procurement_Raw!J1053</f>
        <v>969.7</v>
      </c>
      <c r="K1053" s="6">
        <f>Procurement_Raw!K1053</f>
        <v>60</v>
      </c>
      <c r="L1053" t="str">
        <f>Procurement_Raw!L1053</f>
        <v>ERP</v>
      </c>
      <c r="M1053" s="8">
        <f>Procurement_Raw!M1053</f>
        <v>193.94</v>
      </c>
      <c r="N1053" s="7">
        <f>Procurement_Raw!N1053</f>
        <v>969.7</v>
      </c>
      <c r="O1053" s="7">
        <f t="shared" si="32"/>
        <v>969.7</v>
      </c>
      <c r="P1053" t="str">
        <f>IFERROR(INDEX(Supplier_Lookup!$B$2:$B$200,MATCH(E1053,Supplier_Lookup!$A$2:$A$200,0)),"Unmapped")</f>
        <v>Food &amp; Catering</v>
      </c>
      <c r="Q1053" s="10">
        <f>IFERROR(INDEX(Category_Targets!$B$2:$B$9,MATCH(F1053,Category_Targets!$A$2:$A$9,0)),0)</f>
        <v>0.04</v>
      </c>
      <c r="R1053" s="7">
        <f t="shared" si="33"/>
        <v>38.788000000000004</v>
      </c>
    </row>
    <row r="1054" spans="1:18" x14ac:dyDescent="0.25">
      <c r="A1054" s="5">
        <f>Procurement_Raw!A1054</f>
        <v>46014</v>
      </c>
      <c r="B1054" t="str">
        <f>Procurement_Raw!B1054</f>
        <v>S005</v>
      </c>
      <c r="C1054" t="str">
        <f>Procurement_Raw!C1054</f>
        <v>Sheffield Care &amp; Education Centre</v>
      </c>
      <c r="D1054" t="str">
        <f>Procurement_Raw!D1054</f>
        <v>North</v>
      </c>
      <c r="E1054" t="str">
        <f>Procurement_Raw!E1054</f>
        <v>CleanWorks</v>
      </c>
      <c r="F1054" t="str">
        <f>Procurement_Raw!F1054</f>
        <v>Facilities</v>
      </c>
      <c r="G1054" t="str">
        <f>Procurement_Raw!G1054</f>
        <v>INV-2025-01053</v>
      </c>
      <c r="H1054" s="6">
        <f>Procurement_Raw!H1054</f>
        <v>24</v>
      </c>
      <c r="I1054" s="7">
        <f>Procurement_Raw!I1054</f>
        <v>236.2</v>
      </c>
      <c r="J1054" s="7">
        <f>Procurement_Raw!J1054</f>
        <v>5668.77</v>
      </c>
      <c r="K1054" s="6">
        <f>Procurement_Raw!K1054</f>
        <v>45</v>
      </c>
      <c r="L1054" t="str">
        <f>Procurement_Raw!L1054</f>
        <v>Procurement Portal</v>
      </c>
      <c r="M1054" s="8">
        <f>Procurement_Raw!M1054</f>
        <v>1133.7539999999999</v>
      </c>
      <c r="N1054" s="7">
        <f>Procurement_Raw!N1054</f>
        <v>5668.77</v>
      </c>
      <c r="O1054" s="7">
        <f t="shared" si="32"/>
        <v>5668.77</v>
      </c>
      <c r="P1054" t="str">
        <f>IFERROR(INDEX(Supplier_Lookup!$B$2:$B$200,MATCH(E1054,Supplier_Lookup!$A$2:$A$200,0)),"Unmapped")</f>
        <v>Facilities</v>
      </c>
      <c r="Q1054" s="10">
        <f>IFERROR(INDEX(Category_Targets!$B$2:$B$9,MATCH(F1054,Category_Targets!$A$2:$A$9,0)),0)</f>
        <v>0.05</v>
      </c>
      <c r="R1054" s="7">
        <f t="shared" si="33"/>
        <v>283.43850000000003</v>
      </c>
    </row>
    <row r="1055" spans="1:18" x14ac:dyDescent="0.25">
      <c r="A1055" s="5">
        <f>Procurement_Raw!A1055</f>
        <v>45890</v>
      </c>
      <c r="B1055" t="str">
        <f>Procurement_Raw!B1055</f>
        <v>S002</v>
      </c>
      <c r="C1055" t="str">
        <f>Procurement_Raw!C1055</f>
        <v>Manchester Care &amp; Education Centre</v>
      </c>
      <c r="D1055" t="str">
        <f>Procurement_Raw!D1055</f>
        <v>North</v>
      </c>
      <c r="E1055" t="str">
        <f>Procurement_Raw!E1055</f>
        <v>KitchenPro</v>
      </c>
      <c r="F1055" t="str">
        <f>Procurement_Raw!F1055</f>
        <v>Food &amp; Catering</v>
      </c>
      <c r="G1055" t="str">
        <f>Procurement_Raw!G1055</f>
        <v>INV-2025-01054</v>
      </c>
      <c r="H1055" s="6">
        <f>Procurement_Raw!H1055</f>
        <v>36</v>
      </c>
      <c r="I1055" s="7">
        <f>Procurement_Raw!I1055</f>
        <v>75.02</v>
      </c>
      <c r="J1055" s="7">
        <f>Procurement_Raw!J1055</f>
        <v>2700.73</v>
      </c>
      <c r="K1055" s="6">
        <f>Procurement_Raw!K1055</f>
        <v>45</v>
      </c>
      <c r="L1055" t="str">
        <f>Procurement_Raw!L1055</f>
        <v>Legacy Spend File</v>
      </c>
      <c r="M1055" s="8">
        <f>Procurement_Raw!M1055</f>
        <v>540.14599999999996</v>
      </c>
      <c r="N1055" s="7">
        <f>Procurement_Raw!N1055</f>
        <v>2700.73</v>
      </c>
      <c r="O1055" s="7">
        <f t="shared" si="32"/>
        <v>2700.73</v>
      </c>
      <c r="P1055" t="str">
        <f>IFERROR(INDEX(Supplier_Lookup!$B$2:$B$200,MATCH(E1055,Supplier_Lookup!$A$2:$A$200,0)),"Unmapped")</f>
        <v>Food &amp; Catering</v>
      </c>
      <c r="Q1055" s="10">
        <f>IFERROR(INDEX(Category_Targets!$B$2:$B$9,MATCH(F1055,Category_Targets!$A$2:$A$9,0)),0)</f>
        <v>0.04</v>
      </c>
      <c r="R1055" s="7">
        <f t="shared" si="33"/>
        <v>108.0292</v>
      </c>
    </row>
    <row r="1056" spans="1:18" x14ac:dyDescent="0.25">
      <c r="A1056" s="5">
        <f>Procurement_Raw!A1056</f>
        <v>45740</v>
      </c>
      <c r="B1056" t="str">
        <f>Procurement_Raw!B1056</f>
        <v>S001</v>
      </c>
      <c r="C1056" t="str">
        <f>Procurement_Raw!C1056</f>
        <v>Preston Care &amp; Education Centre</v>
      </c>
      <c r="D1056" t="str">
        <f>Procurement_Raw!D1056</f>
        <v>North</v>
      </c>
      <c r="E1056" t="str">
        <f>Procurement_Raw!E1056</f>
        <v>RoadReady</v>
      </c>
      <c r="F1056" t="str">
        <f>Procurement_Raw!F1056</f>
        <v>Vehicle &amp; Fuel</v>
      </c>
      <c r="G1056" t="str">
        <f>Procurement_Raw!G1056</f>
        <v>INV-2025-01055</v>
      </c>
      <c r="H1056" s="6">
        <f>Procurement_Raw!H1056</f>
        <v>10</v>
      </c>
      <c r="I1056" s="7">
        <f>Procurement_Raw!I1056</f>
        <v>70.19</v>
      </c>
      <c r="J1056" s="7">
        <f>Procurement_Raw!J1056</f>
        <v>701.9</v>
      </c>
      <c r="K1056" s="6">
        <f>Procurement_Raw!K1056</f>
        <v>45</v>
      </c>
      <c r="L1056" t="str">
        <f>Procurement_Raw!L1056</f>
        <v>ERP</v>
      </c>
      <c r="M1056" s="8">
        <f>Procurement_Raw!M1056</f>
        <v>140.38</v>
      </c>
      <c r="N1056" s="7">
        <f>Procurement_Raw!N1056</f>
        <v>701.9</v>
      </c>
      <c r="O1056" s="7">
        <f t="shared" si="32"/>
        <v>701.9</v>
      </c>
      <c r="P1056" t="str">
        <f>IFERROR(INDEX(Supplier_Lookup!$B$2:$B$200,MATCH(E1056,Supplier_Lookup!$A$2:$A$200,0)),"Unmapped")</f>
        <v>Vehicle &amp; Fuel</v>
      </c>
      <c r="Q1056" s="10">
        <f>IFERROR(INDEX(Category_Targets!$B$2:$B$9,MATCH(F1056,Category_Targets!$A$2:$A$9,0)),0)</f>
        <v>0.05</v>
      </c>
      <c r="R1056" s="7">
        <f t="shared" si="33"/>
        <v>35.094999999999999</v>
      </c>
    </row>
    <row r="1057" spans="1:18" x14ac:dyDescent="0.25">
      <c r="A1057" s="5">
        <f>Procurement_Raw!A1057</f>
        <v>45688</v>
      </c>
      <c r="B1057" t="str">
        <f>Procurement_Raw!B1057</f>
        <v>S018</v>
      </c>
      <c r="C1057" t="str">
        <f>Procurement_Raw!C1057</f>
        <v>Newport Care &amp; Education Centre</v>
      </c>
      <c r="D1057" t="str">
        <f>Procurement_Raw!D1057</f>
        <v>Wales</v>
      </c>
      <c r="E1057" t="str">
        <f>Procurement_Raw!E1057</f>
        <v>CareTemps</v>
      </c>
      <c r="F1057" t="str">
        <f>Procurement_Raw!F1057</f>
        <v>Agency Labour</v>
      </c>
      <c r="G1057" t="str">
        <f>Procurement_Raw!G1057</f>
        <v>INV-2025-01056</v>
      </c>
      <c r="H1057" s="6">
        <f>Procurement_Raw!H1057</f>
        <v>34</v>
      </c>
      <c r="I1057" s="7">
        <f>Procurement_Raw!I1057</f>
        <v>207.35</v>
      </c>
      <c r="J1057" s="7">
        <f>Procurement_Raw!J1057</f>
        <v>7049.77</v>
      </c>
      <c r="K1057" s="6">
        <f>Procurement_Raw!K1057</f>
        <v>45</v>
      </c>
      <c r="L1057" t="str">
        <f>Procurement_Raw!L1057</f>
        <v>ERP</v>
      </c>
      <c r="M1057" s="8">
        <f>Procurement_Raw!M1057</f>
        <v>1409.954</v>
      </c>
      <c r="N1057" s="7">
        <f>Procurement_Raw!N1057</f>
        <v>7049.77</v>
      </c>
      <c r="O1057" s="7">
        <f t="shared" si="32"/>
        <v>7049.77</v>
      </c>
      <c r="P1057" t="str">
        <f>IFERROR(INDEX(Supplier_Lookup!$B$2:$B$200,MATCH(E1057,Supplier_Lookup!$A$2:$A$200,0)),"Unmapped")</f>
        <v>Agency Labour</v>
      </c>
      <c r="Q1057" s="10">
        <f>IFERROR(INDEX(Category_Targets!$B$2:$B$9,MATCH(F1057,Category_Targets!$A$2:$A$9,0)),0)</f>
        <v>7.0000000000000007E-2</v>
      </c>
      <c r="R1057" s="7">
        <f t="shared" si="33"/>
        <v>493.48390000000006</v>
      </c>
    </row>
    <row r="1058" spans="1:18" x14ac:dyDescent="0.25">
      <c r="A1058" s="5">
        <f>Procurement_Raw!A1058</f>
        <v>45760</v>
      </c>
      <c r="B1058" t="str">
        <f>Procurement_Raw!B1058</f>
        <v>S007</v>
      </c>
      <c r="C1058" t="str">
        <f>Procurement_Raw!C1058</f>
        <v>Nottingham Care &amp; Education Centre</v>
      </c>
      <c r="D1058" t="str">
        <f>Procurement_Raw!D1058</f>
        <v>Midlands</v>
      </c>
      <c r="E1058" t="str">
        <f>Procurement_Raw!E1058</f>
        <v>NourishCo</v>
      </c>
      <c r="F1058" t="str">
        <f>Procurement_Raw!F1058</f>
        <v>Food &amp; Catering</v>
      </c>
      <c r="G1058" t="str">
        <f>Procurement_Raw!G1058</f>
        <v>INV-2025-01057</v>
      </c>
      <c r="H1058" s="6">
        <f>Procurement_Raw!H1058</f>
        <v>79</v>
      </c>
      <c r="I1058" s="7">
        <f>Procurement_Raw!I1058</f>
        <v>64.09</v>
      </c>
      <c r="J1058" s="7">
        <f>Procurement_Raw!J1058</f>
        <v>5063.33</v>
      </c>
      <c r="K1058" s="6">
        <f>Procurement_Raw!K1058</f>
        <v>45</v>
      </c>
      <c r="L1058" t="str">
        <f>Procurement_Raw!L1058</f>
        <v>ERP</v>
      </c>
      <c r="M1058" s="8">
        <f>Procurement_Raw!M1058</f>
        <v>1012.6660000000001</v>
      </c>
      <c r="N1058" s="7">
        <f>Procurement_Raw!N1058</f>
        <v>5063.33</v>
      </c>
      <c r="O1058" s="7">
        <f t="shared" si="32"/>
        <v>5063.33</v>
      </c>
      <c r="P1058" t="str">
        <f>IFERROR(INDEX(Supplier_Lookup!$B$2:$B$200,MATCH(E1058,Supplier_Lookup!$A$2:$A$200,0)),"Unmapped")</f>
        <v>Food &amp; Catering</v>
      </c>
      <c r="Q1058" s="10">
        <f>IFERROR(INDEX(Category_Targets!$B$2:$B$9,MATCH(F1058,Category_Targets!$A$2:$A$9,0)),0)</f>
        <v>0.04</v>
      </c>
      <c r="R1058" s="7">
        <f t="shared" si="33"/>
        <v>202.53319999999999</v>
      </c>
    </row>
    <row r="1059" spans="1:18" x14ac:dyDescent="0.25">
      <c r="A1059" s="5">
        <f>Procurement_Raw!A1059</f>
        <v>45731</v>
      </c>
      <c r="B1059" t="str">
        <f>Procurement_Raw!B1059</f>
        <v>S014</v>
      </c>
      <c r="C1059" t="str">
        <f>Procurement_Raw!C1059</f>
        <v>Southampton Care &amp; Education Centre</v>
      </c>
      <c r="D1059" t="str">
        <f>Procurement_Raw!D1059</f>
        <v>South</v>
      </c>
      <c r="E1059" t="str">
        <f>Procurement_Raw!E1059</f>
        <v>OfficePlus</v>
      </c>
      <c r="F1059" t="str">
        <f>Procurement_Raw!F1059</f>
        <v>Office &amp; Training</v>
      </c>
      <c r="G1059" t="str">
        <f>Procurement_Raw!G1059</f>
        <v>INV-2025-01058</v>
      </c>
      <c r="H1059" s="6">
        <f>Procurement_Raw!H1059</f>
        <v>70</v>
      </c>
      <c r="I1059" s="7">
        <f>Procurement_Raw!I1059</f>
        <v>142.94999999999999</v>
      </c>
      <c r="J1059" s="7">
        <f>Procurement_Raw!J1059</f>
        <v>10006.44</v>
      </c>
      <c r="K1059" s="6">
        <f>Procurement_Raw!K1059</f>
        <v>45</v>
      </c>
      <c r="L1059" t="str">
        <f>Procurement_Raw!L1059</f>
        <v>ERP</v>
      </c>
      <c r="M1059" s="8">
        <f>Procurement_Raw!M1059</f>
        <v>2001.288</v>
      </c>
      <c r="N1059" s="7">
        <f>Procurement_Raw!N1059</f>
        <v>10006.44</v>
      </c>
      <c r="O1059" s="7">
        <f t="shared" si="32"/>
        <v>10006.44</v>
      </c>
      <c r="P1059" t="str">
        <f>IFERROR(INDEX(Supplier_Lookup!$B$2:$B$200,MATCH(E1059,Supplier_Lookup!$A$2:$A$200,0)),"Unmapped")</f>
        <v>Office &amp; Training</v>
      </c>
      <c r="Q1059" s="10">
        <f>IFERROR(INDEX(Category_Targets!$B$2:$B$9,MATCH(F1059,Category_Targets!$A$2:$A$9,0)),0)</f>
        <v>0.04</v>
      </c>
      <c r="R1059" s="7">
        <f t="shared" si="33"/>
        <v>400.25760000000002</v>
      </c>
    </row>
    <row r="1060" spans="1:18" x14ac:dyDescent="0.25">
      <c r="A1060" s="5">
        <f>Procurement_Raw!A1060</f>
        <v>45790</v>
      </c>
      <c r="B1060" t="str">
        <f>Procurement_Raw!B1060</f>
        <v>S017</v>
      </c>
      <c r="C1060" t="str">
        <f>Procurement_Raw!C1060</f>
        <v>Swansea Care &amp; Education Centre</v>
      </c>
      <c r="D1060" t="str">
        <f>Procurement_Raw!D1060</f>
        <v>Wales</v>
      </c>
      <c r="E1060" t="str">
        <f>Procurement_Raw!E1060</f>
        <v>NourishCo</v>
      </c>
      <c r="F1060" t="str">
        <f>Procurement_Raw!F1060</f>
        <v>Food &amp; Catering</v>
      </c>
      <c r="G1060" t="str">
        <f>Procurement_Raw!G1060</f>
        <v>INV-2025-01059</v>
      </c>
      <c r="H1060" s="6">
        <f>Procurement_Raw!H1060</f>
        <v>14</v>
      </c>
      <c r="I1060" s="7">
        <f>Procurement_Raw!I1060</f>
        <v>87.65</v>
      </c>
      <c r="J1060" s="7">
        <f>Procurement_Raw!J1060</f>
        <v>1227.1199999999999</v>
      </c>
      <c r="K1060" s="6">
        <f>Procurement_Raw!K1060</f>
        <v>30</v>
      </c>
      <c r="L1060" t="str">
        <f>Procurement_Raw!L1060</f>
        <v>ERP</v>
      </c>
      <c r="M1060" s="8">
        <f>Procurement_Raw!M1060</f>
        <v>245.42400000000001</v>
      </c>
      <c r="N1060" s="7">
        <f>Procurement_Raw!N1060</f>
        <v>1227.1199999999999</v>
      </c>
      <c r="O1060" s="7">
        <f t="shared" si="32"/>
        <v>1227.1199999999999</v>
      </c>
      <c r="P1060" t="str">
        <f>IFERROR(INDEX(Supplier_Lookup!$B$2:$B$200,MATCH(E1060,Supplier_Lookup!$A$2:$A$200,0)),"Unmapped")</f>
        <v>Food &amp; Catering</v>
      </c>
      <c r="Q1060" s="10">
        <f>IFERROR(INDEX(Category_Targets!$B$2:$B$9,MATCH(F1060,Category_Targets!$A$2:$A$9,0)),0)</f>
        <v>0.04</v>
      </c>
      <c r="R1060" s="7">
        <f t="shared" si="33"/>
        <v>49.084799999999994</v>
      </c>
    </row>
    <row r="1061" spans="1:18" x14ac:dyDescent="0.25">
      <c r="A1061" s="5">
        <f>Procurement_Raw!A1061</f>
        <v>45667</v>
      </c>
      <c r="B1061" t="str">
        <f>Procurement_Raw!B1061</f>
        <v>S019</v>
      </c>
      <c r="C1061" t="str">
        <f>Procurement_Raw!C1061</f>
        <v>Wrexham Care &amp; Education Centre</v>
      </c>
      <c r="D1061" t="str">
        <f>Procurement_Raw!D1061</f>
        <v>Wales</v>
      </c>
      <c r="E1061" t="str">
        <f>Procurement_Raw!E1061</f>
        <v>TeleCare IT</v>
      </c>
      <c r="F1061" t="str">
        <f>Procurement_Raw!F1061</f>
        <v>IT &amp; Telecoms</v>
      </c>
      <c r="G1061" t="str">
        <f>Procurement_Raw!G1061</f>
        <v>INV-2025-01060</v>
      </c>
      <c r="H1061" s="6">
        <f>Procurement_Raw!H1061</f>
        <v>64</v>
      </c>
      <c r="I1061" s="7">
        <f>Procurement_Raw!I1061</f>
        <v>179.43</v>
      </c>
      <c r="J1061" s="7">
        <f>Procurement_Raw!J1061</f>
        <v>11483.57</v>
      </c>
      <c r="K1061" s="6">
        <f>Procurement_Raw!K1061</f>
        <v>30</v>
      </c>
      <c r="L1061" t="str">
        <f>Procurement_Raw!L1061</f>
        <v>Legacy Spend File</v>
      </c>
      <c r="M1061" s="8">
        <f>Procurement_Raw!M1061</f>
        <v>2296.7139999999999</v>
      </c>
      <c r="N1061" s="7">
        <f>Procurement_Raw!N1061</f>
        <v>11483.57</v>
      </c>
      <c r="O1061" s="7">
        <f t="shared" si="32"/>
        <v>11483.57</v>
      </c>
      <c r="P1061" t="str">
        <f>IFERROR(INDEX(Supplier_Lookup!$B$2:$B$200,MATCH(E1061,Supplier_Lookup!$A$2:$A$200,0)),"Unmapped")</f>
        <v>IT &amp; Telecoms</v>
      </c>
      <c r="Q1061" s="10">
        <f>IFERROR(INDEX(Category_Targets!$B$2:$B$9,MATCH(F1061,Category_Targets!$A$2:$A$9,0)),0)</f>
        <v>0.08</v>
      </c>
      <c r="R1061" s="7">
        <f t="shared" si="33"/>
        <v>918.68560000000002</v>
      </c>
    </row>
    <row r="1062" spans="1:18" x14ac:dyDescent="0.25">
      <c r="A1062" s="5">
        <f>Procurement_Raw!A1062</f>
        <v>45998</v>
      </c>
      <c r="B1062" t="str">
        <f>Procurement_Raw!B1062</f>
        <v>S016</v>
      </c>
      <c r="C1062" t="str">
        <f>Procurement_Raw!C1062</f>
        <v>Cardiff Care &amp; Education Centre</v>
      </c>
      <c r="D1062" t="str">
        <f>Procurement_Raw!D1062</f>
        <v>Wales</v>
      </c>
      <c r="E1062" t="str">
        <f>Procurement_Raw!E1062</f>
        <v>MediSure</v>
      </c>
      <c r="F1062" t="str">
        <f>Procurement_Raw!F1062</f>
        <v>Medical Supplies</v>
      </c>
      <c r="G1062" t="str">
        <f>Procurement_Raw!G1062</f>
        <v>INV-2025-01061</v>
      </c>
      <c r="H1062" s="6">
        <f>Procurement_Raw!H1062</f>
        <v>50</v>
      </c>
      <c r="I1062" s="7">
        <f>Procurement_Raw!I1062</f>
        <v>183.45</v>
      </c>
      <c r="J1062" s="7">
        <f>Procurement_Raw!J1062</f>
        <v>9172.35</v>
      </c>
      <c r="K1062" s="6">
        <f>Procurement_Raw!K1062</f>
        <v>45</v>
      </c>
      <c r="L1062" t="str">
        <f>Procurement_Raw!L1062</f>
        <v>ERP</v>
      </c>
      <c r="M1062" s="8">
        <f>Procurement_Raw!M1062</f>
        <v>1834.47</v>
      </c>
      <c r="N1062" s="7">
        <f>Procurement_Raw!N1062</f>
        <v>9172.35</v>
      </c>
      <c r="O1062" s="7">
        <f t="shared" si="32"/>
        <v>9172.35</v>
      </c>
      <c r="P1062" t="str">
        <f>IFERROR(INDEX(Supplier_Lookup!$B$2:$B$200,MATCH(E1062,Supplier_Lookup!$A$2:$A$200,0)),"Unmapped")</f>
        <v>Medical Supplies</v>
      </c>
      <c r="Q1062" s="10">
        <f>IFERROR(INDEX(Category_Targets!$B$2:$B$9,MATCH(F1062,Category_Targets!$A$2:$A$9,0)),0)</f>
        <v>0.06</v>
      </c>
      <c r="R1062" s="7">
        <f t="shared" si="33"/>
        <v>550.34100000000001</v>
      </c>
    </row>
    <row r="1063" spans="1:18" x14ac:dyDescent="0.25">
      <c r="A1063" s="5">
        <f>Procurement_Raw!A1063</f>
        <v>45952</v>
      </c>
      <c r="B1063" t="str">
        <f>Procurement_Raw!B1063</f>
        <v>S004</v>
      </c>
      <c r="C1063" t="str">
        <f>Procurement_Raw!C1063</f>
        <v>Newcastle Care &amp; Education Centre</v>
      </c>
      <c r="D1063" t="str">
        <f>Procurement_Raw!D1063</f>
        <v>North</v>
      </c>
      <c r="E1063" t="str">
        <f>Procurement_Raw!E1063</f>
        <v>RoadReady</v>
      </c>
      <c r="F1063" t="str">
        <f>Procurement_Raw!F1063</f>
        <v>Vehicle &amp; Fuel</v>
      </c>
      <c r="G1063" t="str">
        <f>Procurement_Raw!G1063</f>
        <v>INV-2025-01062</v>
      </c>
      <c r="H1063" s="6">
        <f>Procurement_Raw!H1063</f>
        <v>1</v>
      </c>
      <c r="I1063" s="7">
        <f>Procurement_Raw!I1063</f>
        <v>19.829999999999998</v>
      </c>
      <c r="J1063" s="7">
        <f>Procurement_Raw!J1063</f>
        <v>19.829999999999998</v>
      </c>
      <c r="K1063" s="6">
        <f>Procurement_Raw!K1063</f>
        <v>60</v>
      </c>
      <c r="L1063" t="str">
        <f>Procurement_Raw!L1063</f>
        <v>Legacy Spend File</v>
      </c>
      <c r="M1063" s="8">
        <f>Procurement_Raw!M1063</f>
        <v>3.9660000000000002</v>
      </c>
      <c r="N1063" s="7">
        <f>Procurement_Raw!N1063</f>
        <v>19.829999999999998</v>
      </c>
      <c r="O1063" s="7">
        <f t="shared" si="32"/>
        <v>19.829999999999998</v>
      </c>
      <c r="P1063" t="str">
        <f>IFERROR(INDEX(Supplier_Lookup!$B$2:$B$200,MATCH(E1063,Supplier_Lookup!$A$2:$A$200,0)),"Unmapped")</f>
        <v>Vehicle &amp; Fuel</v>
      </c>
      <c r="Q1063" s="10">
        <f>IFERROR(INDEX(Category_Targets!$B$2:$B$9,MATCH(F1063,Category_Targets!$A$2:$A$9,0)),0)</f>
        <v>0.05</v>
      </c>
      <c r="R1063" s="7">
        <f t="shared" si="33"/>
        <v>0.99149999999999994</v>
      </c>
    </row>
    <row r="1064" spans="1:18" x14ac:dyDescent="0.25">
      <c r="A1064" s="5">
        <f>Procurement_Raw!A1064</f>
        <v>45864</v>
      </c>
      <c r="B1064" t="str">
        <f>Procurement_Raw!B1064</f>
        <v>S002</v>
      </c>
      <c r="C1064" t="str">
        <f>Procurement_Raw!C1064</f>
        <v>Manchester Care &amp; Education Centre</v>
      </c>
      <c r="D1064" t="str">
        <f>Procurement_Raw!D1064</f>
        <v>North</v>
      </c>
      <c r="E1064" t="str">
        <f>Procurement_Raw!E1064</f>
        <v>LearnWell</v>
      </c>
      <c r="F1064" t="str">
        <f>Procurement_Raw!F1064</f>
        <v>Office &amp; Training</v>
      </c>
      <c r="G1064" t="str">
        <f>Procurement_Raw!G1064</f>
        <v>INV-2025-01063</v>
      </c>
      <c r="H1064" s="6">
        <f>Procurement_Raw!H1064</f>
        <v>9</v>
      </c>
      <c r="I1064" s="7">
        <f>Procurement_Raw!I1064</f>
        <v>141.08000000000001</v>
      </c>
      <c r="J1064" s="7">
        <f>Procurement_Raw!J1064</f>
        <v>1269.7</v>
      </c>
      <c r="K1064" s="6">
        <f>Procurement_Raw!K1064</f>
        <v>60</v>
      </c>
      <c r="L1064" t="str">
        <f>Procurement_Raw!L1064</f>
        <v>ERP</v>
      </c>
      <c r="M1064" s="8">
        <f>Procurement_Raw!M1064</f>
        <v>253.94</v>
      </c>
      <c r="N1064" s="7">
        <f>Procurement_Raw!N1064</f>
        <v>1269.7</v>
      </c>
      <c r="O1064" s="7">
        <f t="shared" si="32"/>
        <v>1269.7</v>
      </c>
      <c r="P1064" t="str">
        <f>IFERROR(INDEX(Supplier_Lookup!$B$2:$B$200,MATCH(E1064,Supplier_Lookup!$A$2:$A$200,0)),"Unmapped")</f>
        <v>Office &amp; Training</v>
      </c>
      <c r="Q1064" s="10">
        <f>IFERROR(INDEX(Category_Targets!$B$2:$B$9,MATCH(F1064,Category_Targets!$A$2:$A$9,0)),0)</f>
        <v>0.04</v>
      </c>
      <c r="R1064" s="7">
        <f t="shared" si="33"/>
        <v>50.788000000000004</v>
      </c>
    </row>
    <row r="1065" spans="1:18" x14ac:dyDescent="0.25">
      <c r="A1065" s="5">
        <f>Procurement_Raw!A1065</f>
        <v>45904</v>
      </c>
      <c r="B1065" t="str">
        <f>Procurement_Raw!B1065</f>
        <v>S016</v>
      </c>
      <c r="C1065" t="str">
        <f>Procurement_Raw!C1065</f>
        <v>Cardiff Care &amp; Education Centre</v>
      </c>
      <c r="D1065" t="str">
        <f>Procurement_Raw!D1065</f>
        <v>Wales</v>
      </c>
      <c r="E1065" t="str">
        <f>Procurement_Raw!E1065</f>
        <v>NurseLink</v>
      </c>
      <c r="F1065" t="str">
        <f>Procurement_Raw!F1065</f>
        <v>Agency Labour</v>
      </c>
      <c r="G1065" t="str">
        <f>Procurement_Raw!G1065</f>
        <v>INV-2025-01064</v>
      </c>
      <c r="H1065" s="6">
        <f>Procurement_Raw!H1065</f>
        <v>16</v>
      </c>
      <c r="I1065" s="7">
        <f>Procurement_Raw!I1065</f>
        <v>115.23</v>
      </c>
      <c r="J1065" s="7">
        <f>Procurement_Raw!J1065</f>
        <v>1843.7</v>
      </c>
      <c r="K1065" s="6">
        <f>Procurement_Raw!K1065</f>
        <v>60</v>
      </c>
      <c r="L1065" t="str">
        <f>Procurement_Raw!L1065</f>
        <v>Legacy Spend File</v>
      </c>
      <c r="M1065" s="8">
        <f>Procurement_Raw!M1065</f>
        <v>368.74</v>
      </c>
      <c r="N1065" s="7">
        <f>Procurement_Raw!N1065</f>
        <v>1843.7</v>
      </c>
      <c r="O1065" s="7">
        <f t="shared" si="32"/>
        <v>1843.7</v>
      </c>
      <c r="P1065" t="str">
        <f>IFERROR(INDEX(Supplier_Lookup!$B$2:$B$200,MATCH(E1065,Supplier_Lookup!$A$2:$A$200,0)),"Unmapped")</f>
        <v>Agency Labour</v>
      </c>
      <c r="Q1065" s="10">
        <f>IFERROR(INDEX(Category_Targets!$B$2:$B$9,MATCH(F1065,Category_Targets!$A$2:$A$9,0)),0)</f>
        <v>7.0000000000000007E-2</v>
      </c>
      <c r="R1065" s="7">
        <f t="shared" si="33"/>
        <v>129.05900000000003</v>
      </c>
    </row>
    <row r="1066" spans="1:18" x14ac:dyDescent="0.25">
      <c r="A1066" s="5">
        <f>Procurement_Raw!A1066</f>
        <v>45813</v>
      </c>
      <c r="B1066" t="str">
        <f>Procurement_Raw!B1066</f>
        <v>S016</v>
      </c>
      <c r="C1066" t="str">
        <f>Procurement_Raw!C1066</f>
        <v>Cardiff Care &amp; Education Centre</v>
      </c>
      <c r="D1066" t="str">
        <f>Procurement_Raw!D1066</f>
        <v>Wales</v>
      </c>
      <c r="E1066" t="str">
        <f>Procurement_Raw!E1066</f>
        <v>AutoCare</v>
      </c>
      <c r="F1066" t="str">
        <f>Procurement_Raw!F1066</f>
        <v>Vehicle &amp; Fuel</v>
      </c>
      <c r="G1066" t="str">
        <f>Procurement_Raw!G1066</f>
        <v>INV-2025-01065</v>
      </c>
      <c r="H1066" s="6">
        <f>Procurement_Raw!H1066</f>
        <v>52</v>
      </c>
      <c r="I1066" s="7">
        <f>Procurement_Raw!I1066</f>
        <v>77.83</v>
      </c>
      <c r="J1066" s="7">
        <f>Procurement_Raw!J1066</f>
        <v>4047.19</v>
      </c>
      <c r="K1066" s="6">
        <f>Procurement_Raw!K1066</f>
        <v>30</v>
      </c>
      <c r="L1066" t="str">
        <f>Procurement_Raw!L1066</f>
        <v>Legacy Spend File</v>
      </c>
      <c r="M1066" s="8">
        <f>Procurement_Raw!M1066</f>
        <v>809.43799999999999</v>
      </c>
      <c r="N1066" s="7">
        <f>Procurement_Raw!N1066</f>
        <v>4047.19</v>
      </c>
      <c r="O1066" s="7">
        <f t="shared" si="32"/>
        <v>4047.19</v>
      </c>
      <c r="P1066" t="str">
        <f>IFERROR(INDEX(Supplier_Lookup!$B$2:$B$200,MATCH(E1066,Supplier_Lookup!$A$2:$A$200,0)),"Unmapped")</f>
        <v>Vehicle &amp; Fuel</v>
      </c>
      <c r="Q1066" s="10">
        <f>IFERROR(INDEX(Category_Targets!$B$2:$B$9,MATCH(F1066,Category_Targets!$A$2:$A$9,0)),0)</f>
        <v>0.05</v>
      </c>
      <c r="R1066" s="7">
        <f t="shared" si="33"/>
        <v>202.35950000000003</v>
      </c>
    </row>
    <row r="1067" spans="1:18" x14ac:dyDescent="0.25">
      <c r="A1067" s="5">
        <f>Procurement_Raw!A1067</f>
        <v>45931</v>
      </c>
      <c r="B1067" t="str">
        <f>Procurement_Raw!B1067</f>
        <v>S008</v>
      </c>
      <c r="C1067" t="str">
        <f>Procurement_Raw!C1067</f>
        <v>Leicester Care &amp; Education Centre</v>
      </c>
      <c r="D1067" t="str">
        <f>Procurement_Raw!D1067</f>
        <v>Midlands</v>
      </c>
      <c r="E1067" t="str">
        <f>Procurement_Raw!E1067</f>
        <v>NourishCo</v>
      </c>
      <c r="F1067" t="str">
        <f>Procurement_Raw!F1067</f>
        <v>Food &amp; Catering</v>
      </c>
      <c r="G1067" t="str">
        <f>Procurement_Raw!G1067</f>
        <v>INV-2025-01066</v>
      </c>
      <c r="H1067" s="6">
        <f>Procurement_Raw!H1067</f>
        <v>44</v>
      </c>
      <c r="I1067" s="7">
        <f>Procurement_Raw!I1067</f>
        <v>35.11</v>
      </c>
      <c r="J1067" s="7">
        <f>Procurement_Raw!J1067</f>
        <v>1544.97</v>
      </c>
      <c r="K1067" s="6">
        <f>Procurement_Raw!K1067</f>
        <v>30</v>
      </c>
      <c r="L1067" t="str">
        <f>Procurement_Raw!L1067</f>
        <v>Procurement Portal</v>
      </c>
      <c r="M1067" s="8">
        <f>Procurement_Raw!M1067</f>
        <v>308.99400000000003</v>
      </c>
      <c r="N1067" s="7">
        <f>Procurement_Raw!N1067</f>
        <v>1544.97</v>
      </c>
      <c r="O1067" s="7">
        <f t="shared" si="32"/>
        <v>1544.97</v>
      </c>
      <c r="P1067" t="str">
        <f>IFERROR(INDEX(Supplier_Lookup!$B$2:$B$200,MATCH(E1067,Supplier_Lookup!$A$2:$A$200,0)),"Unmapped")</f>
        <v>Food &amp; Catering</v>
      </c>
      <c r="Q1067" s="10">
        <f>IFERROR(INDEX(Category_Targets!$B$2:$B$9,MATCH(F1067,Category_Targets!$A$2:$A$9,0)),0)</f>
        <v>0.04</v>
      </c>
      <c r="R1067" s="7">
        <f t="shared" si="33"/>
        <v>61.7988</v>
      </c>
    </row>
    <row r="1068" spans="1:18" x14ac:dyDescent="0.25">
      <c r="A1068" s="5">
        <f>Procurement_Raw!A1068</f>
        <v>45761</v>
      </c>
      <c r="B1068" t="str">
        <f>Procurement_Raw!B1068</f>
        <v>S002</v>
      </c>
      <c r="C1068" t="str">
        <f>Procurement_Raw!C1068</f>
        <v>Manchester Care &amp; Education Centre</v>
      </c>
      <c r="D1068" t="str">
        <f>Procurement_Raw!D1068</f>
        <v>North</v>
      </c>
      <c r="E1068" t="str">
        <f>Procurement_Raw!E1068</f>
        <v>NetServe</v>
      </c>
      <c r="F1068" t="str">
        <f>Procurement_Raw!F1068</f>
        <v>IT &amp; Telecoms</v>
      </c>
      <c r="G1068" t="str">
        <f>Procurement_Raw!G1068</f>
        <v>INV-2025-01067</v>
      </c>
      <c r="H1068" s="6">
        <f>Procurement_Raw!H1068</f>
        <v>23</v>
      </c>
      <c r="I1068" s="7">
        <f>Procurement_Raw!I1068</f>
        <v>107.94</v>
      </c>
      <c r="J1068" s="7">
        <f>Procurement_Raw!J1068</f>
        <v>2482.56</v>
      </c>
      <c r="K1068" s="6">
        <f>Procurement_Raw!K1068</f>
        <v>60</v>
      </c>
      <c r="L1068" t="str">
        <f>Procurement_Raw!L1068</f>
        <v>ERP</v>
      </c>
      <c r="M1068" s="8">
        <f>Procurement_Raw!M1068</f>
        <v>496.512</v>
      </c>
      <c r="N1068" s="7">
        <f>Procurement_Raw!N1068</f>
        <v>2482.56</v>
      </c>
      <c r="O1068" s="7">
        <f t="shared" si="32"/>
        <v>2482.56</v>
      </c>
      <c r="P1068" t="str">
        <f>IFERROR(INDEX(Supplier_Lookup!$B$2:$B$200,MATCH(E1068,Supplier_Lookup!$A$2:$A$200,0)),"Unmapped")</f>
        <v>IT &amp; Telecoms</v>
      </c>
      <c r="Q1068" s="10">
        <f>IFERROR(INDEX(Category_Targets!$B$2:$B$9,MATCH(F1068,Category_Targets!$A$2:$A$9,0)),0)</f>
        <v>0.08</v>
      </c>
      <c r="R1068" s="7">
        <f t="shared" si="33"/>
        <v>198.60480000000001</v>
      </c>
    </row>
    <row r="1069" spans="1:18" x14ac:dyDescent="0.25">
      <c r="A1069" s="5">
        <f>Procurement_Raw!A1069</f>
        <v>46014</v>
      </c>
      <c r="B1069" t="str">
        <f>Procurement_Raw!B1069</f>
        <v>S020</v>
      </c>
      <c r="C1069" t="str">
        <f>Procurement_Raw!C1069</f>
        <v>Bangor Care &amp; Education Centre</v>
      </c>
      <c r="D1069" t="str">
        <f>Procurement_Raw!D1069</f>
        <v>Wales</v>
      </c>
      <c r="E1069" t="str">
        <f>Procurement_Raw!E1069</f>
        <v>WaterGrid</v>
      </c>
      <c r="F1069" t="str">
        <f>Procurement_Raw!F1069</f>
        <v>Utilities</v>
      </c>
      <c r="G1069" t="str">
        <f>Procurement_Raw!G1069</f>
        <v>INV-2025-01068</v>
      </c>
      <c r="H1069" s="6">
        <f>Procurement_Raw!H1069</f>
        <v>50</v>
      </c>
      <c r="I1069" s="7">
        <f>Procurement_Raw!I1069</f>
        <v>473.39</v>
      </c>
      <c r="J1069" s="7">
        <f>Procurement_Raw!J1069</f>
        <v>23669.41</v>
      </c>
      <c r="K1069" s="6">
        <f>Procurement_Raw!K1069</f>
        <v>30</v>
      </c>
      <c r="L1069" t="str">
        <f>Procurement_Raw!L1069</f>
        <v>Legacy Spend File</v>
      </c>
      <c r="M1069" s="8">
        <f>Procurement_Raw!M1069</f>
        <v>4733.8819999999996</v>
      </c>
      <c r="N1069" s="7">
        <f>Procurement_Raw!N1069</f>
        <v>23669.41</v>
      </c>
      <c r="O1069" s="7">
        <f t="shared" si="32"/>
        <v>23669.41</v>
      </c>
      <c r="P1069" t="str">
        <f>IFERROR(INDEX(Supplier_Lookup!$B$2:$B$200,MATCH(E1069,Supplier_Lookup!$A$2:$A$200,0)),"Unmapped")</f>
        <v>Utilities</v>
      </c>
      <c r="Q1069" s="10">
        <f>IFERROR(INDEX(Category_Targets!$B$2:$B$9,MATCH(F1069,Category_Targets!$A$2:$A$9,0)),0)</f>
        <v>0.03</v>
      </c>
      <c r="R1069" s="7">
        <f t="shared" si="33"/>
        <v>710.08229999999992</v>
      </c>
    </row>
    <row r="1070" spans="1:18" x14ac:dyDescent="0.25">
      <c r="A1070" s="5">
        <f>Procurement_Raw!A1070</f>
        <v>45701</v>
      </c>
      <c r="B1070" t="str">
        <f>Procurement_Raw!B1070</f>
        <v>S015</v>
      </c>
      <c r="C1070" t="str">
        <f>Procurement_Raw!C1070</f>
        <v>Brighton Care &amp; Education Centre</v>
      </c>
      <c r="D1070" t="str">
        <f>Procurement_Raw!D1070</f>
        <v>South</v>
      </c>
      <c r="E1070" t="str">
        <f>Procurement_Raw!E1070</f>
        <v>RoadReady</v>
      </c>
      <c r="F1070" t="str">
        <f>Procurement_Raw!F1070</f>
        <v>Vehicle &amp; Fuel</v>
      </c>
      <c r="G1070" t="str">
        <f>Procurement_Raw!G1070</f>
        <v>INV-2025-01069</v>
      </c>
      <c r="H1070" s="6">
        <f>Procurement_Raw!H1070</f>
        <v>57</v>
      </c>
      <c r="I1070" s="7">
        <f>Procurement_Raw!I1070</f>
        <v>73.45</v>
      </c>
      <c r="J1070" s="7">
        <f>Procurement_Raw!J1070</f>
        <v>4186.8</v>
      </c>
      <c r="K1070" s="6">
        <f>Procurement_Raw!K1070</f>
        <v>60</v>
      </c>
      <c r="L1070" t="str">
        <f>Procurement_Raw!L1070</f>
        <v>ERP</v>
      </c>
      <c r="M1070" s="8">
        <f>Procurement_Raw!M1070</f>
        <v>837.36</v>
      </c>
      <c r="N1070" s="7">
        <f>Procurement_Raw!N1070</f>
        <v>4186.8</v>
      </c>
      <c r="O1070" s="7">
        <f t="shared" si="32"/>
        <v>4186.8</v>
      </c>
      <c r="P1070" t="str">
        <f>IFERROR(INDEX(Supplier_Lookup!$B$2:$B$200,MATCH(E1070,Supplier_Lookup!$A$2:$A$200,0)),"Unmapped")</f>
        <v>Vehicle &amp; Fuel</v>
      </c>
      <c r="Q1070" s="10">
        <f>IFERROR(INDEX(Category_Targets!$B$2:$B$9,MATCH(F1070,Category_Targets!$A$2:$A$9,0)),0)</f>
        <v>0.05</v>
      </c>
      <c r="R1070" s="7">
        <f t="shared" si="33"/>
        <v>209.34000000000003</v>
      </c>
    </row>
    <row r="1071" spans="1:18" x14ac:dyDescent="0.25">
      <c r="A1071" s="5">
        <f>Procurement_Raw!A1071</f>
        <v>45670</v>
      </c>
      <c r="B1071" t="str">
        <f>Procurement_Raw!B1071</f>
        <v>S016</v>
      </c>
      <c r="C1071" t="str">
        <f>Procurement_Raw!C1071</f>
        <v>Cardiff Care &amp; Education Centre</v>
      </c>
      <c r="D1071" t="str">
        <f>Procurement_Raw!D1071</f>
        <v>Wales</v>
      </c>
      <c r="E1071" t="str">
        <f>Procurement_Raw!E1071</f>
        <v>MediSure</v>
      </c>
      <c r="F1071" t="str">
        <f>Procurement_Raw!F1071</f>
        <v>Medical Supplies</v>
      </c>
      <c r="G1071" t="str">
        <f>Procurement_Raw!G1071</f>
        <v>INV-2025-01070</v>
      </c>
      <c r="H1071" s="6">
        <f>Procurement_Raw!H1071</f>
        <v>76</v>
      </c>
      <c r="I1071" s="7">
        <f>Procurement_Raw!I1071</f>
        <v>145.19</v>
      </c>
      <c r="J1071" s="7">
        <f>Procurement_Raw!J1071</f>
        <v>11034.72</v>
      </c>
      <c r="K1071" s="6">
        <f>Procurement_Raw!K1071</f>
        <v>30</v>
      </c>
      <c r="L1071" t="str">
        <f>Procurement_Raw!L1071</f>
        <v>Procurement Portal</v>
      </c>
      <c r="M1071" s="8">
        <f>Procurement_Raw!M1071</f>
        <v>2206.944</v>
      </c>
      <c r="N1071" s="7">
        <f>Procurement_Raw!N1071</f>
        <v>11034.72</v>
      </c>
      <c r="O1071" s="7">
        <f t="shared" si="32"/>
        <v>11034.72</v>
      </c>
      <c r="P1071" t="str">
        <f>IFERROR(INDEX(Supplier_Lookup!$B$2:$B$200,MATCH(E1071,Supplier_Lookup!$A$2:$A$200,0)),"Unmapped")</f>
        <v>Medical Supplies</v>
      </c>
      <c r="Q1071" s="10">
        <f>IFERROR(INDEX(Category_Targets!$B$2:$B$9,MATCH(F1071,Category_Targets!$A$2:$A$9,0)),0)</f>
        <v>0.06</v>
      </c>
      <c r="R1071" s="7">
        <f t="shared" si="33"/>
        <v>662.08319999999992</v>
      </c>
    </row>
    <row r="1072" spans="1:18" x14ac:dyDescent="0.25">
      <c r="A1072" s="5">
        <f>Procurement_Raw!A1072</f>
        <v>45987</v>
      </c>
      <c r="B1072" t="str">
        <f>Procurement_Raw!B1072</f>
        <v>S016</v>
      </c>
      <c r="C1072" t="str">
        <f>Procurement_Raw!C1072</f>
        <v>Cardiff Care &amp; Education Centre</v>
      </c>
      <c r="D1072" t="str">
        <f>Procurement_Raw!D1072</f>
        <v>Wales</v>
      </c>
      <c r="E1072" t="str">
        <f>Procurement_Raw!E1072</f>
        <v>KitchenPro</v>
      </c>
      <c r="F1072" t="str">
        <f>Procurement_Raw!F1072</f>
        <v>Food &amp; Catering</v>
      </c>
      <c r="G1072" t="str">
        <f>Procurement_Raw!G1072</f>
        <v>INV-2025-01071</v>
      </c>
      <c r="H1072" s="6">
        <f>Procurement_Raw!H1072</f>
        <v>40</v>
      </c>
      <c r="I1072" s="7">
        <f>Procurement_Raw!I1072</f>
        <v>63.34</v>
      </c>
      <c r="J1072" s="7">
        <f>Procurement_Raw!J1072</f>
        <v>2533.7600000000002</v>
      </c>
      <c r="K1072" s="6">
        <f>Procurement_Raw!K1072</f>
        <v>45</v>
      </c>
      <c r="L1072" t="str">
        <f>Procurement_Raw!L1072</f>
        <v>Legacy Spend File</v>
      </c>
      <c r="M1072" s="8">
        <f>Procurement_Raw!M1072</f>
        <v>506.75200000000001</v>
      </c>
      <c r="N1072" s="7">
        <f>Procurement_Raw!N1072</f>
        <v>2533.7600000000002</v>
      </c>
      <c r="O1072" s="7">
        <f t="shared" si="32"/>
        <v>2533.7600000000002</v>
      </c>
      <c r="P1072" t="str">
        <f>IFERROR(INDEX(Supplier_Lookup!$B$2:$B$200,MATCH(E1072,Supplier_Lookup!$A$2:$A$200,0)),"Unmapped")</f>
        <v>Food &amp; Catering</v>
      </c>
      <c r="Q1072" s="10">
        <f>IFERROR(INDEX(Category_Targets!$B$2:$B$9,MATCH(F1072,Category_Targets!$A$2:$A$9,0)),0)</f>
        <v>0.04</v>
      </c>
      <c r="R1072" s="7">
        <f t="shared" si="33"/>
        <v>101.35040000000001</v>
      </c>
    </row>
    <row r="1073" spans="1:18" x14ac:dyDescent="0.25">
      <c r="A1073" s="5">
        <f>Procurement_Raw!A1073</f>
        <v>45831</v>
      </c>
      <c r="B1073" t="str">
        <f>Procurement_Raw!B1073</f>
        <v>S010</v>
      </c>
      <c r="C1073" t="str">
        <f>Procurement_Raw!C1073</f>
        <v>Coventry Care &amp; Education Centre</v>
      </c>
      <c r="D1073" t="str">
        <f>Procurement_Raw!D1073</f>
        <v>Midlands</v>
      </c>
      <c r="E1073" t="str">
        <f>Procurement_Raw!E1073</f>
        <v>MediSure</v>
      </c>
      <c r="F1073" t="str">
        <f>Procurement_Raw!F1073</f>
        <v>Medical Supplies</v>
      </c>
      <c r="G1073" t="str">
        <f>Procurement_Raw!G1073</f>
        <v>INV-2025-01072</v>
      </c>
      <c r="H1073" s="6">
        <f>Procurement_Raw!H1073</f>
        <v>8</v>
      </c>
      <c r="I1073" s="7">
        <f>Procurement_Raw!I1073</f>
        <v>156</v>
      </c>
      <c r="J1073" s="7">
        <f>Procurement_Raw!J1073</f>
        <v>1248.01</v>
      </c>
      <c r="K1073" s="6">
        <f>Procurement_Raw!K1073</f>
        <v>45</v>
      </c>
      <c r="L1073" t="str">
        <f>Procurement_Raw!L1073</f>
        <v>Legacy Spend File</v>
      </c>
      <c r="M1073" s="8">
        <f>Procurement_Raw!M1073</f>
        <v>249.602</v>
      </c>
      <c r="N1073" s="7">
        <f>Procurement_Raw!N1073</f>
        <v>1248.01</v>
      </c>
      <c r="O1073" s="7">
        <f t="shared" si="32"/>
        <v>1248.01</v>
      </c>
      <c r="P1073" t="str">
        <f>IFERROR(INDEX(Supplier_Lookup!$B$2:$B$200,MATCH(E1073,Supplier_Lookup!$A$2:$A$200,0)),"Unmapped")</f>
        <v>Medical Supplies</v>
      </c>
      <c r="Q1073" s="10">
        <f>IFERROR(INDEX(Category_Targets!$B$2:$B$9,MATCH(F1073,Category_Targets!$A$2:$A$9,0)),0)</f>
        <v>0.06</v>
      </c>
      <c r="R1073" s="7">
        <f t="shared" si="33"/>
        <v>74.880600000000001</v>
      </c>
    </row>
    <row r="1074" spans="1:18" x14ac:dyDescent="0.25">
      <c r="A1074" s="5">
        <f>Procurement_Raw!A1074</f>
        <v>45766</v>
      </c>
      <c r="B1074" t="str">
        <f>Procurement_Raw!B1074</f>
        <v>S001</v>
      </c>
      <c r="C1074" t="str">
        <f>Procurement_Raw!C1074</f>
        <v>Preston Care &amp; Education Centre</v>
      </c>
      <c r="D1074" t="str">
        <f>Procurement_Raw!D1074</f>
        <v>North</v>
      </c>
      <c r="E1074" t="str">
        <f>Procurement_Raw!E1074</f>
        <v>HealthStaffing</v>
      </c>
      <c r="F1074" t="str">
        <f>Procurement_Raw!F1074</f>
        <v>Agency Labour</v>
      </c>
      <c r="G1074" t="str">
        <f>Procurement_Raw!G1074</f>
        <v>INV-2025-01073</v>
      </c>
      <c r="H1074" s="6">
        <f>Procurement_Raw!H1074</f>
        <v>67</v>
      </c>
      <c r="I1074" s="7">
        <f>Procurement_Raw!I1074</f>
        <v>312.95</v>
      </c>
      <c r="J1074" s="7">
        <f>Procurement_Raw!J1074</f>
        <v>20967.46</v>
      </c>
      <c r="K1074" s="6">
        <f>Procurement_Raw!K1074</f>
        <v>45</v>
      </c>
      <c r="L1074" t="str">
        <f>Procurement_Raw!L1074</f>
        <v>Legacy Spend File</v>
      </c>
      <c r="M1074" s="8">
        <f>Procurement_Raw!M1074</f>
        <v>4193.4920000000002</v>
      </c>
      <c r="N1074" s="7">
        <f>Procurement_Raw!N1074</f>
        <v>20967.46</v>
      </c>
      <c r="O1074" s="7">
        <f t="shared" si="32"/>
        <v>20967.46</v>
      </c>
      <c r="P1074" t="str">
        <f>IFERROR(INDEX(Supplier_Lookup!$B$2:$B$200,MATCH(E1074,Supplier_Lookup!$A$2:$A$200,0)),"Unmapped")</f>
        <v>Agency Labour</v>
      </c>
      <c r="Q1074" s="10">
        <f>IFERROR(INDEX(Category_Targets!$B$2:$B$9,MATCH(F1074,Category_Targets!$A$2:$A$9,0)),0)</f>
        <v>7.0000000000000007E-2</v>
      </c>
      <c r="R1074" s="7">
        <f t="shared" si="33"/>
        <v>1467.7222000000002</v>
      </c>
    </row>
    <row r="1075" spans="1:18" x14ac:dyDescent="0.25">
      <c r="A1075" s="5">
        <f>Procurement_Raw!A1075</f>
        <v>45954</v>
      </c>
      <c r="B1075" t="str">
        <f>Procurement_Raw!B1075</f>
        <v>S002</v>
      </c>
      <c r="C1075" t="str">
        <f>Procurement_Raw!C1075</f>
        <v>Manchester Care &amp; Education Centre</v>
      </c>
      <c r="D1075" t="str">
        <f>Procurement_Raw!D1075</f>
        <v>North</v>
      </c>
      <c r="E1075" t="str">
        <f>Procurement_Raw!E1075</f>
        <v>BuildCare</v>
      </c>
      <c r="F1075" t="str">
        <f>Procurement_Raw!F1075</f>
        <v>Facilities</v>
      </c>
      <c r="G1075" t="str">
        <f>Procurement_Raw!G1075</f>
        <v>INV-2025-01074</v>
      </c>
      <c r="H1075" s="6">
        <f>Procurement_Raw!H1075</f>
        <v>30</v>
      </c>
      <c r="I1075" s="7">
        <f>Procurement_Raw!I1075</f>
        <v>88.88</v>
      </c>
      <c r="J1075" s="7">
        <f>Procurement_Raw!J1075</f>
        <v>2666.46</v>
      </c>
      <c r="K1075" s="6">
        <f>Procurement_Raw!K1075</f>
        <v>30</v>
      </c>
      <c r="L1075" t="str">
        <f>Procurement_Raw!L1075</f>
        <v>ERP</v>
      </c>
      <c r="M1075" s="8">
        <f>Procurement_Raw!M1075</f>
        <v>533.29200000000003</v>
      </c>
      <c r="N1075" s="7">
        <f>Procurement_Raw!N1075</f>
        <v>2666.46</v>
      </c>
      <c r="O1075" s="7">
        <f t="shared" si="32"/>
        <v>2666.46</v>
      </c>
      <c r="P1075" t="str">
        <f>IFERROR(INDEX(Supplier_Lookup!$B$2:$B$200,MATCH(E1075,Supplier_Lookup!$A$2:$A$200,0)),"Unmapped")</f>
        <v>Facilities</v>
      </c>
      <c r="Q1075" s="10">
        <f>IFERROR(INDEX(Category_Targets!$B$2:$B$9,MATCH(F1075,Category_Targets!$A$2:$A$9,0)),0)</f>
        <v>0.05</v>
      </c>
      <c r="R1075" s="7">
        <f t="shared" si="33"/>
        <v>133.32300000000001</v>
      </c>
    </row>
    <row r="1076" spans="1:18" x14ac:dyDescent="0.25">
      <c r="A1076" s="5">
        <f>Procurement_Raw!A1076</f>
        <v>45992</v>
      </c>
      <c r="B1076" t="str">
        <f>Procurement_Raw!B1076</f>
        <v>S001</v>
      </c>
      <c r="C1076" t="str">
        <f>Procurement_Raw!C1076</f>
        <v>Preston Care &amp; Education Centre</v>
      </c>
      <c r="D1076" t="str">
        <f>Procurement_Raw!D1076</f>
        <v>North</v>
      </c>
      <c r="E1076" t="str">
        <f>Procurement_Raw!E1076</f>
        <v>SafeGuard FM</v>
      </c>
      <c r="F1076" t="str">
        <f>Procurement_Raw!F1076</f>
        <v>Facilities</v>
      </c>
      <c r="G1076" t="str">
        <f>Procurement_Raw!G1076</f>
        <v>INV-2025-01075</v>
      </c>
      <c r="H1076" s="6">
        <f>Procurement_Raw!H1076</f>
        <v>3</v>
      </c>
      <c r="I1076" s="7">
        <f>Procurement_Raw!I1076</f>
        <v>311.35000000000002</v>
      </c>
      <c r="J1076" s="7">
        <f>Procurement_Raw!J1076</f>
        <v>934.04</v>
      </c>
      <c r="K1076" s="6">
        <f>Procurement_Raw!K1076</f>
        <v>45</v>
      </c>
      <c r="L1076" t="str">
        <f>Procurement_Raw!L1076</f>
        <v>Legacy Spend File</v>
      </c>
      <c r="M1076" s="8">
        <f>Procurement_Raw!M1076</f>
        <v>186.80799999999999</v>
      </c>
      <c r="N1076" s="7">
        <f>Procurement_Raw!N1076</f>
        <v>934.04</v>
      </c>
      <c r="O1076" s="7">
        <f t="shared" si="32"/>
        <v>934.04</v>
      </c>
      <c r="P1076" t="str">
        <f>IFERROR(INDEX(Supplier_Lookup!$B$2:$B$200,MATCH(E1076,Supplier_Lookup!$A$2:$A$200,0)),"Unmapped")</f>
        <v>Facilities</v>
      </c>
      <c r="Q1076" s="10">
        <f>IFERROR(INDEX(Category_Targets!$B$2:$B$9,MATCH(F1076,Category_Targets!$A$2:$A$9,0)),0)</f>
        <v>0.05</v>
      </c>
      <c r="R1076" s="7">
        <f t="shared" si="33"/>
        <v>46.701999999999998</v>
      </c>
    </row>
    <row r="1077" spans="1:18" x14ac:dyDescent="0.25">
      <c r="A1077" s="5">
        <f>Procurement_Raw!A1077</f>
        <v>45990</v>
      </c>
      <c r="B1077" t="str">
        <f>Procurement_Raw!B1077</f>
        <v>S009</v>
      </c>
      <c r="C1077" t="str">
        <f>Procurement_Raw!C1077</f>
        <v>Derby Care &amp; Education Centre</v>
      </c>
      <c r="D1077" t="str">
        <f>Procurement_Raw!D1077</f>
        <v>Midlands</v>
      </c>
      <c r="E1077" t="str">
        <f>Procurement_Raw!E1077</f>
        <v>PowerDirect</v>
      </c>
      <c r="F1077" t="str">
        <f>Procurement_Raw!F1077</f>
        <v>Utilities</v>
      </c>
      <c r="G1077" t="str">
        <f>Procurement_Raw!G1077</f>
        <v>INV-2025-01076</v>
      </c>
      <c r="H1077" s="6">
        <f>Procurement_Raw!H1077</f>
        <v>17</v>
      </c>
      <c r="I1077" s="7">
        <f>Procurement_Raw!I1077</f>
        <v>190.55</v>
      </c>
      <c r="J1077" s="7">
        <f>Procurement_Raw!J1077</f>
        <v>3239.29</v>
      </c>
      <c r="K1077" s="6">
        <f>Procurement_Raw!K1077</f>
        <v>30</v>
      </c>
      <c r="L1077" t="str">
        <f>Procurement_Raw!L1077</f>
        <v>ERP</v>
      </c>
      <c r="M1077" s="8">
        <f>Procurement_Raw!M1077</f>
        <v>647.85799999999995</v>
      </c>
      <c r="N1077" s="7">
        <f>Procurement_Raw!N1077</f>
        <v>3239.29</v>
      </c>
      <c r="O1077" s="7">
        <f t="shared" si="32"/>
        <v>3239.29</v>
      </c>
      <c r="P1077" t="str">
        <f>IFERROR(INDEX(Supplier_Lookup!$B$2:$B$200,MATCH(E1077,Supplier_Lookup!$A$2:$A$200,0)),"Unmapped")</f>
        <v>Utilities</v>
      </c>
      <c r="Q1077" s="10">
        <f>IFERROR(INDEX(Category_Targets!$B$2:$B$9,MATCH(F1077,Category_Targets!$A$2:$A$9,0)),0)</f>
        <v>0.03</v>
      </c>
      <c r="R1077" s="7">
        <f t="shared" si="33"/>
        <v>97.178699999999992</v>
      </c>
    </row>
    <row r="1078" spans="1:18" x14ac:dyDescent="0.25">
      <c r="A1078" s="5">
        <f>Procurement_Raw!A1078</f>
        <v>45707</v>
      </c>
      <c r="B1078" t="str">
        <f>Procurement_Raw!B1078</f>
        <v>S003</v>
      </c>
      <c r="C1078" t="str">
        <f>Procurement_Raw!C1078</f>
        <v>Leeds Care &amp; Education Centre</v>
      </c>
      <c r="D1078" t="str">
        <f>Procurement_Raw!D1078</f>
        <v>North</v>
      </c>
      <c r="E1078" t="str">
        <f>Procurement_Raw!E1078</f>
        <v>CareMed</v>
      </c>
      <c r="F1078" t="str">
        <f>Procurement_Raw!F1078</f>
        <v>Medical Supplies</v>
      </c>
      <c r="G1078" t="str">
        <f>Procurement_Raw!G1078</f>
        <v>INV-2025-01077</v>
      </c>
      <c r="H1078" s="6">
        <f>Procurement_Raw!H1078</f>
        <v>59</v>
      </c>
      <c r="I1078" s="7">
        <f>Procurement_Raw!I1078</f>
        <v>50.98</v>
      </c>
      <c r="J1078" s="7">
        <f>Procurement_Raw!J1078</f>
        <v>3007.63</v>
      </c>
      <c r="K1078" s="6">
        <f>Procurement_Raw!K1078</f>
        <v>60</v>
      </c>
      <c r="L1078" t="str">
        <f>Procurement_Raw!L1078</f>
        <v>ERP</v>
      </c>
      <c r="M1078" s="8">
        <f>Procurement_Raw!M1078</f>
        <v>601.52599999999995</v>
      </c>
      <c r="N1078" s="7">
        <f>Procurement_Raw!N1078</f>
        <v>3007.63</v>
      </c>
      <c r="O1078" s="7">
        <f t="shared" si="32"/>
        <v>3007.63</v>
      </c>
      <c r="P1078" t="str">
        <f>IFERROR(INDEX(Supplier_Lookup!$B$2:$B$200,MATCH(E1078,Supplier_Lookup!$A$2:$A$200,0)),"Unmapped")</f>
        <v>Medical Supplies</v>
      </c>
      <c r="Q1078" s="10">
        <f>IFERROR(INDEX(Category_Targets!$B$2:$B$9,MATCH(F1078,Category_Targets!$A$2:$A$9,0)),0)</f>
        <v>0.06</v>
      </c>
      <c r="R1078" s="7">
        <f t="shared" si="33"/>
        <v>180.45779999999999</v>
      </c>
    </row>
    <row r="1079" spans="1:18" x14ac:dyDescent="0.25">
      <c r="A1079" s="5">
        <f>Procurement_Raw!A1079</f>
        <v>45716</v>
      </c>
      <c r="B1079" t="str">
        <f>Procurement_Raw!B1079</f>
        <v>S016</v>
      </c>
      <c r="C1079" t="str">
        <f>Procurement_Raw!C1079</f>
        <v>Cardiff Care &amp; Education Centre</v>
      </c>
      <c r="D1079" t="str">
        <f>Procurement_Raw!D1079</f>
        <v>Wales</v>
      </c>
      <c r="E1079" t="str">
        <f>Procurement_Raw!E1079</f>
        <v>FreshServe</v>
      </c>
      <c r="F1079" t="str">
        <f>Procurement_Raw!F1079</f>
        <v>Food &amp; Catering</v>
      </c>
      <c r="G1079" t="str">
        <f>Procurement_Raw!G1079</f>
        <v>INV-2025-01078</v>
      </c>
      <c r="H1079" s="6">
        <f>Procurement_Raw!H1079</f>
        <v>64</v>
      </c>
      <c r="I1079" s="7">
        <f>Procurement_Raw!I1079</f>
        <v>51.36</v>
      </c>
      <c r="J1079" s="7">
        <f>Procurement_Raw!J1079</f>
        <v>3287.25</v>
      </c>
      <c r="K1079" s="6">
        <f>Procurement_Raw!K1079</f>
        <v>60</v>
      </c>
      <c r="L1079" t="str">
        <f>Procurement_Raw!L1079</f>
        <v>Legacy Spend File</v>
      </c>
      <c r="M1079" s="8">
        <f>Procurement_Raw!M1079</f>
        <v>657.45</v>
      </c>
      <c r="N1079" s="7">
        <f>Procurement_Raw!N1079</f>
        <v>3287.25</v>
      </c>
      <c r="O1079" s="7">
        <f t="shared" si="32"/>
        <v>3287.25</v>
      </c>
      <c r="P1079" t="str">
        <f>IFERROR(INDEX(Supplier_Lookup!$B$2:$B$200,MATCH(E1079,Supplier_Lookup!$A$2:$A$200,0)),"Unmapped")</f>
        <v>Food &amp; Catering</v>
      </c>
      <c r="Q1079" s="10">
        <f>IFERROR(INDEX(Category_Targets!$B$2:$B$9,MATCH(F1079,Category_Targets!$A$2:$A$9,0)),0)</f>
        <v>0.04</v>
      </c>
      <c r="R1079" s="7">
        <f t="shared" si="33"/>
        <v>131.49</v>
      </c>
    </row>
    <row r="1080" spans="1:18" x14ac:dyDescent="0.25">
      <c r="A1080" s="5">
        <f>Procurement_Raw!A1080</f>
        <v>45876</v>
      </c>
      <c r="B1080" t="str">
        <f>Procurement_Raw!B1080</f>
        <v>S007</v>
      </c>
      <c r="C1080" t="str">
        <f>Procurement_Raw!C1080</f>
        <v>Nottingham Care &amp; Education Centre</v>
      </c>
      <c r="D1080" t="str">
        <f>Procurement_Raw!D1080</f>
        <v>Midlands</v>
      </c>
      <c r="E1080" t="str">
        <f>Procurement_Raw!E1080</f>
        <v>FreshServe</v>
      </c>
      <c r="F1080" t="str">
        <f>Procurement_Raw!F1080</f>
        <v>Food &amp; Catering</v>
      </c>
      <c r="G1080" t="str">
        <f>Procurement_Raw!G1080</f>
        <v>INV-2025-01079</v>
      </c>
      <c r="H1080" s="6">
        <f>Procurement_Raw!H1080</f>
        <v>44</v>
      </c>
      <c r="I1080" s="7">
        <f>Procurement_Raw!I1080</f>
        <v>148.38</v>
      </c>
      <c r="J1080" s="7">
        <f>Procurement_Raw!J1080</f>
        <v>6528.91</v>
      </c>
      <c r="K1080" s="6">
        <f>Procurement_Raw!K1080</f>
        <v>60</v>
      </c>
      <c r="L1080" t="str">
        <f>Procurement_Raw!L1080</f>
        <v>Legacy Spend File</v>
      </c>
      <c r="M1080" s="8">
        <f>Procurement_Raw!M1080</f>
        <v>1305.7819999999999</v>
      </c>
      <c r="N1080" s="7">
        <f>Procurement_Raw!N1080</f>
        <v>6528.91</v>
      </c>
      <c r="O1080" s="7">
        <f t="shared" si="32"/>
        <v>6528.91</v>
      </c>
      <c r="P1080" t="str">
        <f>IFERROR(INDEX(Supplier_Lookup!$B$2:$B$200,MATCH(E1080,Supplier_Lookup!$A$2:$A$200,0)),"Unmapped")</f>
        <v>Food &amp; Catering</v>
      </c>
      <c r="Q1080" s="10">
        <f>IFERROR(INDEX(Category_Targets!$B$2:$B$9,MATCH(F1080,Category_Targets!$A$2:$A$9,0)),0)</f>
        <v>0.04</v>
      </c>
      <c r="R1080" s="7">
        <f t="shared" si="33"/>
        <v>261.15640000000002</v>
      </c>
    </row>
    <row r="1081" spans="1:18" x14ac:dyDescent="0.25">
      <c r="A1081" s="5">
        <f>Procurement_Raw!A1081</f>
        <v>46008</v>
      </c>
      <c r="B1081" t="str">
        <f>Procurement_Raw!B1081</f>
        <v>S019</v>
      </c>
      <c r="C1081" t="str">
        <f>Procurement_Raw!C1081</f>
        <v>Wrexham Care &amp; Education Centre</v>
      </c>
      <c r="D1081" t="str">
        <f>Procurement_Raw!D1081</f>
        <v>Wales</v>
      </c>
      <c r="E1081" t="str">
        <f>Procurement_Raw!E1081</f>
        <v>FleetFuel</v>
      </c>
      <c r="F1081" t="str">
        <f>Procurement_Raw!F1081</f>
        <v>Vehicle &amp; Fuel</v>
      </c>
      <c r="G1081" t="str">
        <f>Procurement_Raw!G1081</f>
        <v>INV-2025-01080</v>
      </c>
      <c r="H1081" s="6">
        <f>Procurement_Raw!H1081</f>
        <v>74</v>
      </c>
      <c r="I1081" s="7">
        <f>Procurement_Raw!I1081</f>
        <v>151.63999999999999</v>
      </c>
      <c r="J1081" s="7">
        <f>Procurement_Raw!J1081</f>
        <v>11221.24</v>
      </c>
      <c r="K1081" s="6">
        <f>Procurement_Raw!K1081</f>
        <v>60</v>
      </c>
      <c r="L1081" t="str">
        <f>Procurement_Raw!L1081</f>
        <v>ERP</v>
      </c>
      <c r="M1081" s="8">
        <f>Procurement_Raw!M1081</f>
        <v>2244.248</v>
      </c>
      <c r="N1081" s="7">
        <f>Procurement_Raw!N1081</f>
        <v>11221.24</v>
      </c>
      <c r="O1081" s="7">
        <f t="shared" si="32"/>
        <v>11221.24</v>
      </c>
      <c r="P1081" t="str">
        <f>IFERROR(INDEX(Supplier_Lookup!$B$2:$B$200,MATCH(E1081,Supplier_Lookup!$A$2:$A$200,0)),"Unmapped")</f>
        <v>Vehicle &amp; Fuel</v>
      </c>
      <c r="Q1081" s="10">
        <f>IFERROR(INDEX(Category_Targets!$B$2:$B$9,MATCH(F1081,Category_Targets!$A$2:$A$9,0)),0)</f>
        <v>0.05</v>
      </c>
      <c r="R1081" s="7">
        <f t="shared" si="33"/>
        <v>561.06200000000001</v>
      </c>
    </row>
    <row r="1082" spans="1:18" x14ac:dyDescent="0.25">
      <c r="A1082" s="5">
        <f>Procurement_Raw!A1082</f>
        <v>45961</v>
      </c>
      <c r="B1082" t="str">
        <f>Procurement_Raw!B1082</f>
        <v>S009</v>
      </c>
      <c r="C1082" t="str">
        <f>Procurement_Raw!C1082</f>
        <v>Derby Care &amp; Education Centre</v>
      </c>
      <c r="D1082" t="str">
        <f>Procurement_Raw!D1082</f>
        <v>Midlands</v>
      </c>
      <c r="E1082" t="str">
        <f>Procurement_Raw!E1082</f>
        <v>UK Energy Partners</v>
      </c>
      <c r="F1082" t="str">
        <f>Procurement_Raw!F1082</f>
        <v>Utilities</v>
      </c>
      <c r="G1082" t="str">
        <f>Procurement_Raw!G1082</f>
        <v>INV-2025-01081</v>
      </c>
      <c r="H1082" s="6">
        <f>Procurement_Raw!H1082</f>
        <v>23</v>
      </c>
      <c r="I1082" s="7">
        <f>Procurement_Raw!I1082</f>
        <v>206.38</v>
      </c>
      <c r="J1082" s="7">
        <f>Procurement_Raw!J1082</f>
        <v>4746.66</v>
      </c>
      <c r="K1082" s="6">
        <f>Procurement_Raw!K1082</f>
        <v>45</v>
      </c>
      <c r="L1082" t="str">
        <f>Procurement_Raw!L1082</f>
        <v>ERP</v>
      </c>
      <c r="M1082" s="8">
        <f>Procurement_Raw!M1082</f>
        <v>949.33199999999999</v>
      </c>
      <c r="N1082" s="7">
        <f>Procurement_Raw!N1082</f>
        <v>4746.66</v>
      </c>
      <c r="O1082" s="7">
        <f t="shared" si="32"/>
        <v>4746.66</v>
      </c>
      <c r="P1082" t="str">
        <f>IFERROR(INDEX(Supplier_Lookup!$B$2:$B$200,MATCH(E1082,Supplier_Lookup!$A$2:$A$200,0)),"Unmapped")</f>
        <v>Utilities</v>
      </c>
      <c r="Q1082" s="10">
        <f>IFERROR(INDEX(Category_Targets!$B$2:$B$9,MATCH(F1082,Category_Targets!$A$2:$A$9,0)),0)</f>
        <v>0.03</v>
      </c>
      <c r="R1082" s="7">
        <f t="shared" si="33"/>
        <v>142.3998</v>
      </c>
    </row>
    <row r="1083" spans="1:18" x14ac:dyDescent="0.25">
      <c r="A1083" s="5">
        <f>Procurement_Raw!A1083</f>
        <v>45870</v>
      </c>
      <c r="B1083" t="str">
        <f>Procurement_Raw!B1083</f>
        <v>S006</v>
      </c>
      <c r="C1083" t="str">
        <f>Procurement_Raw!C1083</f>
        <v>Birmingham Care &amp; Education Centre</v>
      </c>
      <c r="D1083" t="str">
        <f>Procurement_Raw!D1083</f>
        <v>Midlands</v>
      </c>
      <c r="E1083" t="str">
        <f>Procurement_Raw!E1083</f>
        <v>CloudLink</v>
      </c>
      <c r="F1083" t="str">
        <f>Procurement_Raw!F1083</f>
        <v>IT &amp; Telecoms</v>
      </c>
      <c r="G1083" t="str">
        <f>Procurement_Raw!G1083</f>
        <v>INV-2025-01082</v>
      </c>
      <c r="H1083" s="6">
        <f>Procurement_Raw!H1083</f>
        <v>22</v>
      </c>
      <c r="I1083" s="7">
        <f>Procurement_Raw!I1083</f>
        <v>181.55</v>
      </c>
      <c r="J1083" s="7">
        <f>Procurement_Raw!J1083</f>
        <v>3994.12</v>
      </c>
      <c r="K1083" s="6">
        <f>Procurement_Raw!K1083</f>
        <v>60</v>
      </c>
      <c r="L1083" t="str">
        <f>Procurement_Raw!L1083</f>
        <v>Procurement Portal</v>
      </c>
      <c r="M1083" s="8">
        <f>Procurement_Raw!M1083</f>
        <v>798.82399999999996</v>
      </c>
      <c r="N1083" s="7">
        <f>Procurement_Raw!N1083</f>
        <v>3994.12</v>
      </c>
      <c r="O1083" s="7">
        <f t="shared" si="32"/>
        <v>3994.12</v>
      </c>
      <c r="P1083" t="str">
        <f>IFERROR(INDEX(Supplier_Lookup!$B$2:$B$200,MATCH(E1083,Supplier_Lookup!$A$2:$A$200,0)),"Unmapped")</f>
        <v>medical supplies</v>
      </c>
      <c r="Q1083" s="10">
        <f>IFERROR(INDEX(Category_Targets!$B$2:$B$9,MATCH(F1083,Category_Targets!$A$2:$A$9,0)),0)</f>
        <v>0.08</v>
      </c>
      <c r="R1083" s="7">
        <f t="shared" si="33"/>
        <v>319.52960000000002</v>
      </c>
    </row>
    <row r="1084" spans="1:18" x14ac:dyDescent="0.25">
      <c r="A1084" s="5">
        <f>Procurement_Raw!A1084</f>
        <v>45782</v>
      </c>
      <c r="B1084" t="str">
        <f>Procurement_Raw!B1084</f>
        <v>S002</v>
      </c>
      <c r="C1084" t="str">
        <f>Procurement_Raw!C1084</f>
        <v>Manchester Care &amp; Education Centre</v>
      </c>
      <c r="D1084" t="str">
        <f>Procurement_Raw!D1084</f>
        <v>North</v>
      </c>
      <c r="E1084" t="str">
        <f>Procurement_Raw!E1084</f>
        <v>SafeGuard FM</v>
      </c>
      <c r="F1084" t="str">
        <f>Procurement_Raw!F1084</f>
        <v>Facilities</v>
      </c>
      <c r="G1084" t="str">
        <f>Procurement_Raw!G1084</f>
        <v>INV-2025-01083</v>
      </c>
      <c r="H1084" s="6">
        <f>Procurement_Raw!H1084</f>
        <v>75</v>
      </c>
      <c r="I1084" s="7">
        <f>Procurement_Raw!I1084</f>
        <v>150.82</v>
      </c>
      <c r="J1084" s="7">
        <f>Procurement_Raw!J1084</f>
        <v>11311.17</v>
      </c>
      <c r="K1084" s="6">
        <f>Procurement_Raw!K1084</f>
        <v>30</v>
      </c>
      <c r="L1084" t="str">
        <f>Procurement_Raw!L1084</f>
        <v>ERP</v>
      </c>
      <c r="M1084" s="8">
        <f>Procurement_Raw!M1084</f>
        <v>2262.2339999999999</v>
      </c>
      <c r="N1084" s="7">
        <f>Procurement_Raw!N1084</f>
        <v>11311.17</v>
      </c>
      <c r="O1084" s="7">
        <f t="shared" si="32"/>
        <v>11311.17</v>
      </c>
      <c r="P1084" t="str">
        <f>IFERROR(INDEX(Supplier_Lookup!$B$2:$B$200,MATCH(E1084,Supplier_Lookup!$A$2:$A$200,0)),"Unmapped")</f>
        <v>Facilities</v>
      </c>
      <c r="Q1084" s="10">
        <f>IFERROR(INDEX(Category_Targets!$B$2:$B$9,MATCH(F1084,Category_Targets!$A$2:$A$9,0)),0)</f>
        <v>0.05</v>
      </c>
      <c r="R1084" s="7">
        <f t="shared" si="33"/>
        <v>565.55849999999998</v>
      </c>
    </row>
    <row r="1085" spans="1:18" x14ac:dyDescent="0.25">
      <c r="A1085" s="5">
        <f>Procurement_Raw!A1085</f>
        <v>45666</v>
      </c>
      <c r="B1085" t="str">
        <f>Procurement_Raw!B1085</f>
        <v>S005</v>
      </c>
      <c r="C1085" t="str">
        <f>Procurement_Raw!C1085</f>
        <v>Sheffield Care &amp; Education Centre</v>
      </c>
      <c r="D1085" t="str">
        <f>Procurement_Raw!D1085</f>
        <v>North</v>
      </c>
      <c r="E1085" t="str">
        <f>Procurement_Raw!E1085</f>
        <v>HealthStaffing</v>
      </c>
      <c r="F1085" t="str">
        <f>Procurement_Raw!F1085</f>
        <v>Agency Labour</v>
      </c>
      <c r="G1085" t="str">
        <f>Procurement_Raw!G1085</f>
        <v>INV-2025-01084</v>
      </c>
      <c r="H1085" s="6">
        <f>Procurement_Raw!H1085</f>
        <v>63</v>
      </c>
      <c r="I1085" s="7">
        <f>Procurement_Raw!I1085</f>
        <v>940.11</v>
      </c>
      <c r="J1085" s="7">
        <f>Procurement_Raw!J1085</f>
        <v>59226.75</v>
      </c>
      <c r="K1085" s="6">
        <f>Procurement_Raw!K1085</f>
        <v>30</v>
      </c>
      <c r="L1085" t="str">
        <f>Procurement_Raw!L1085</f>
        <v>ERP</v>
      </c>
      <c r="M1085" s="8">
        <f>Procurement_Raw!M1085</f>
        <v>11845.35</v>
      </c>
      <c r="N1085" s="7">
        <f>Procurement_Raw!N1085</f>
        <v>59226.75</v>
      </c>
      <c r="O1085" s="7">
        <f t="shared" si="32"/>
        <v>59226.75</v>
      </c>
      <c r="P1085" t="str">
        <f>IFERROR(INDEX(Supplier_Lookup!$B$2:$B$200,MATCH(E1085,Supplier_Lookup!$A$2:$A$200,0)),"Unmapped")</f>
        <v>Agency Labour</v>
      </c>
      <c r="Q1085" s="10">
        <f>IFERROR(INDEX(Category_Targets!$B$2:$B$9,MATCH(F1085,Category_Targets!$A$2:$A$9,0)),0)</f>
        <v>7.0000000000000007E-2</v>
      </c>
      <c r="R1085" s="7">
        <f t="shared" si="33"/>
        <v>4145.8725000000004</v>
      </c>
    </row>
    <row r="1086" spans="1:18" x14ac:dyDescent="0.25">
      <c r="A1086" s="5">
        <f>Procurement_Raw!A1086</f>
        <v>46019</v>
      </c>
      <c r="B1086" t="str">
        <f>Procurement_Raw!B1086</f>
        <v>S006</v>
      </c>
      <c r="C1086" t="str">
        <f>Procurement_Raw!C1086</f>
        <v>Birmingham Care &amp; Education Centre</v>
      </c>
      <c r="D1086" t="str">
        <f>Procurement_Raw!D1086</f>
        <v>Midlands</v>
      </c>
      <c r="E1086" t="str">
        <f>Procurement_Raw!E1086</f>
        <v>CleanWorks</v>
      </c>
      <c r="F1086" t="str">
        <f>Procurement_Raw!F1086</f>
        <v>Facilities</v>
      </c>
      <c r="G1086" t="str">
        <f>Procurement_Raw!G1086</f>
        <v>INV-2025-01085</v>
      </c>
      <c r="H1086" s="6">
        <f>Procurement_Raw!H1086</f>
        <v>76</v>
      </c>
      <c r="I1086" s="7">
        <f>Procurement_Raw!I1086</f>
        <v>222.08</v>
      </c>
      <c r="J1086" s="7">
        <f>Procurement_Raw!J1086</f>
        <v>16877.8</v>
      </c>
      <c r="K1086" s="6">
        <f>Procurement_Raw!K1086</f>
        <v>45</v>
      </c>
      <c r="L1086" t="str">
        <f>Procurement_Raw!L1086</f>
        <v>Procurement Portal</v>
      </c>
      <c r="M1086" s="8">
        <f>Procurement_Raw!M1086</f>
        <v>3375.56</v>
      </c>
      <c r="N1086" s="7">
        <f>Procurement_Raw!N1086</f>
        <v>16877.8</v>
      </c>
      <c r="O1086" s="7">
        <f t="shared" si="32"/>
        <v>16877.8</v>
      </c>
      <c r="P1086" t="str">
        <f>IFERROR(INDEX(Supplier_Lookup!$B$2:$B$200,MATCH(E1086,Supplier_Lookup!$A$2:$A$200,0)),"Unmapped")</f>
        <v>Facilities</v>
      </c>
      <c r="Q1086" s="10">
        <f>IFERROR(INDEX(Category_Targets!$B$2:$B$9,MATCH(F1086,Category_Targets!$A$2:$A$9,0)),0)</f>
        <v>0.05</v>
      </c>
      <c r="R1086" s="7">
        <f t="shared" si="33"/>
        <v>843.89</v>
      </c>
    </row>
    <row r="1087" spans="1:18" x14ac:dyDescent="0.25">
      <c r="A1087" s="5">
        <f>Procurement_Raw!A1087</f>
        <v>45722</v>
      </c>
      <c r="B1087" t="str">
        <f>Procurement_Raw!B1087</f>
        <v>S015</v>
      </c>
      <c r="C1087" t="str">
        <f>Procurement_Raw!C1087</f>
        <v>Brighton Care &amp; Education Centre</v>
      </c>
      <c r="D1087" t="str">
        <f>Procurement_Raw!D1087</f>
        <v>South</v>
      </c>
      <c r="E1087" t="str">
        <f>Procurement_Raw!E1087</f>
        <v>PrintCo</v>
      </c>
      <c r="F1087" t="str">
        <f>Procurement_Raw!F1087</f>
        <v>Office &amp; Training</v>
      </c>
      <c r="G1087" t="str">
        <f>Procurement_Raw!G1087</f>
        <v>INV-2025-01086</v>
      </c>
      <c r="H1087" s="6">
        <f>Procurement_Raw!H1087</f>
        <v>27</v>
      </c>
      <c r="I1087" s="7">
        <f>Procurement_Raw!I1087</f>
        <v>95.01</v>
      </c>
      <c r="J1087" s="7">
        <f>Procurement_Raw!J1087</f>
        <v>2565.34</v>
      </c>
      <c r="K1087" s="6">
        <f>Procurement_Raw!K1087</f>
        <v>30</v>
      </c>
      <c r="L1087" t="str">
        <f>Procurement_Raw!L1087</f>
        <v>Legacy Spend File</v>
      </c>
      <c r="M1087" s="8">
        <f>Procurement_Raw!M1087</f>
        <v>513.06799999999998</v>
      </c>
      <c r="N1087" s="7">
        <f>Procurement_Raw!N1087</f>
        <v>2565.34</v>
      </c>
      <c r="O1087" s="7">
        <f t="shared" si="32"/>
        <v>2565.34</v>
      </c>
      <c r="P1087" t="str">
        <f>IFERROR(INDEX(Supplier_Lookup!$B$2:$B$200,MATCH(E1087,Supplier_Lookup!$A$2:$A$200,0)),"Unmapped")</f>
        <v>Office &amp; Training</v>
      </c>
      <c r="Q1087" s="10">
        <f>IFERROR(INDEX(Category_Targets!$B$2:$B$9,MATCH(F1087,Category_Targets!$A$2:$A$9,0)),0)</f>
        <v>0.04</v>
      </c>
      <c r="R1087" s="7">
        <f t="shared" si="33"/>
        <v>102.61360000000001</v>
      </c>
    </row>
    <row r="1088" spans="1:18" x14ac:dyDescent="0.25">
      <c r="A1088" s="5">
        <f>Procurement_Raw!A1088</f>
        <v>45780</v>
      </c>
      <c r="B1088" t="str">
        <f>Procurement_Raw!B1088</f>
        <v>S018</v>
      </c>
      <c r="C1088" t="str">
        <f>Procurement_Raw!C1088</f>
        <v>Newport Care &amp; Education Centre</v>
      </c>
      <c r="D1088" t="str">
        <f>Procurement_Raw!D1088</f>
        <v>Wales</v>
      </c>
      <c r="E1088" t="str">
        <f>Procurement_Raw!E1088</f>
        <v>LearnWell</v>
      </c>
      <c r="F1088" t="str">
        <f>Procurement_Raw!F1088</f>
        <v>Office &amp; Training</v>
      </c>
      <c r="G1088" t="str">
        <f>Procurement_Raw!G1088</f>
        <v>INV-2025-01087</v>
      </c>
      <c r="H1088" s="6">
        <f>Procurement_Raw!H1088</f>
        <v>23</v>
      </c>
      <c r="I1088" s="7">
        <f>Procurement_Raw!I1088</f>
        <v>132.18</v>
      </c>
      <c r="J1088" s="7">
        <f>Procurement_Raw!J1088</f>
        <v>3040.08</v>
      </c>
      <c r="K1088" s="6">
        <f>Procurement_Raw!K1088</f>
        <v>60</v>
      </c>
      <c r="L1088" t="str">
        <f>Procurement_Raw!L1088</f>
        <v>Legacy Spend File</v>
      </c>
      <c r="M1088" s="8">
        <f>Procurement_Raw!M1088</f>
        <v>608.01599999999996</v>
      </c>
      <c r="N1088" s="7">
        <f>Procurement_Raw!N1088</f>
        <v>3040.08</v>
      </c>
      <c r="O1088" s="7">
        <f t="shared" si="32"/>
        <v>3040.08</v>
      </c>
      <c r="P1088" t="str">
        <f>IFERROR(INDEX(Supplier_Lookup!$B$2:$B$200,MATCH(E1088,Supplier_Lookup!$A$2:$A$200,0)),"Unmapped")</f>
        <v>Office &amp; Training</v>
      </c>
      <c r="Q1088" s="10">
        <f>IFERROR(INDEX(Category_Targets!$B$2:$B$9,MATCH(F1088,Category_Targets!$A$2:$A$9,0)),0)</f>
        <v>0.04</v>
      </c>
      <c r="R1088" s="7">
        <f t="shared" si="33"/>
        <v>121.6032</v>
      </c>
    </row>
    <row r="1089" spans="1:18" x14ac:dyDescent="0.25">
      <c r="A1089" s="5">
        <f>Procurement_Raw!A1089</f>
        <v>45913</v>
      </c>
      <c r="B1089" t="str">
        <f>Procurement_Raw!B1089</f>
        <v>S004</v>
      </c>
      <c r="C1089" t="str">
        <f>Procurement_Raw!C1089</f>
        <v>Newcastle Care &amp; Education Centre</v>
      </c>
      <c r="D1089" t="str">
        <f>Procurement_Raw!D1089</f>
        <v>North</v>
      </c>
      <c r="E1089" t="str">
        <f>Procurement_Raw!E1089</f>
        <v>BuildCare</v>
      </c>
      <c r="F1089" t="str">
        <f>Procurement_Raw!F1089</f>
        <v>Facilities</v>
      </c>
      <c r="G1089" t="str">
        <f>Procurement_Raw!G1089</f>
        <v>INV-2025-01088</v>
      </c>
      <c r="H1089" s="6">
        <f>Procurement_Raw!H1089</f>
        <v>79</v>
      </c>
      <c r="I1089" s="7">
        <f>Procurement_Raw!I1089</f>
        <v>205.26</v>
      </c>
      <c r="J1089" s="7">
        <f>Procurement_Raw!J1089</f>
        <v>16215.76</v>
      </c>
      <c r="K1089" s="6">
        <f>Procurement_Raw!K1089</f>
        <v>30</v>
      </c>
      <c r="L1089" t="str">
        <f>Procurement_Raw!L1089</f>
        <v>Legacy Spend File</v>
      </c>
      <c r="M1089" s="8">
        <f>Procurement_Raw!M1089</f>
        <v>3243.152</v>
      </c>
      <c r="N1089" s="7">
        <f>Procurement_Raw!N1089</f>
        <v>16215.76</v>
      </c>
      <c r="O1089" s="7">
        <f t="shared" si="32"/>
        <v>16215.76</v>
      </c>
      <c r="P1089" t="str">
        <f>IFERROR(INDEX(Supplier_Lookup!$B$2:$B$200,MATCH(E1089,Supplier_Lookup!$A$2:$A$200,0)),"Unmapped")</f>
        <v>Facilities</v>
      </c>
      <c r="Q1089" s="10">
        <f>IFERROR(INDEX(Category_Targets!$B$2:$B$9,MATCH(F1089,Category_Targets!$A$2:$A$9,0)),0)</f>
        <v>0.05</v>
      </c>
      <c r="R1089" s="7">
        <f t="shared" si="33"/>
        <v>810.78800000000001</v>
      </c>
    </row>
    <row r="1090" spans="1:18" x14ac:dyDescent="0.25">
      <c r="A1090" s="5">
        <f>Procurement_Raw!A1090</f>
        <v>45660</v>
      </c>
      <c r="B1090" t="str">
        <f>Procurement_Raw!B1090</f>
        <v>S020</v>
      </c>
      <c r="C1090" t="str">
        <f>Procurement_Raw!C1090</f>
        <v>Bangor Care &amp; Education Centre</v>
      </c>
      <c r="D1090" t="str">
        <f>Procurement_Raw!D1090</f>
        <v>Wales</v>
      </c>
      <c r="E1090" t="str">
        <f>Procurement_Raw!E1090</f>
        <v>RoadReady</v>
      </c>
      <c r="F1090" t="str">
        <f>Procurement_Raw!F1090</f>
        <v>Vehicle &amp; Fuel</v>
      </c>
      <c r="G1090" t="str">
        <f>Procurement_Raw!G1090</f>
        <v>INV-2025-01089</v>
      </c>
      <c r="H1090" s="6">
        <f>Procurement_Raw!H1090</f>
        <v>72</v>
      </c>
      <c r="I1090" s="7">
        <f>Procurement_Raw!I1090</f>
        <v>82.39</v>
      </c>
      <c r="J1090" s="7">
        <f>Procurement_Raw!J1090</f>
        <v>5931.72</v>
      </c>
      <c r="K1090" s="6">
        <f>Procurement_Raw!K1090</f>
        <v>30</v>
      </c>
      <c r="L1090" t="str">
        <f>Procurement_Raw!L1090</f>
        <v>ERP</v>
      </c>
      <c r="M1090" s="8">
        <f>Procurement_Raw!M1090</f>
        <v>1186.3440000000001</v>
      </c>
      <c r="N1090" s="7">
        <f>Procurement_Raw!N1090</f>
        <v>5931.72</v>
      </c>
      <c r="O1090" s="7">
        <f t="shared" ref="O1090:O1153" si="34">IFERROR(IF(J1090="","",J1090),0)</f>
        <v>5931.72</v>
      </c>
      <c r="P1090" t="str">
        <f>IFERROR(INDEX(Supplier_Lookup!$B$2:$B$200,MATCH(E1090,Supplier_Lookup!$A$2:$A$200,0)),"Unmapped")</f>
        <v>Vehicle &amp; Fuel</v>
      </c>
      <c r="Q1090" s="10">
        <f>IFERROR(INDEX(Category_Targets!$B$2:$B$9,MATCH(F1090,Category_Targets!$A$2:$A$9,0)),0)</f>
        <v>0.05</v>
      </c>
      <c r="R1090" s="7">
        <f t="shared" ref="R1090:R1153" si="35">O1090*Q1090</f>
        <v>296.58600000000001</v>
      </c>
    </row>
    <row r="1091" spans="1:18" x14ac:dyDescent="0.25">
      <c r="A1091" s="5">
        <f>Procurement_Raw!A1091</f>
        <v>45843</v>
      </c>
      <c r="B1091" t="str">
        <f>Procurement_Raw!B1091</f>
        <v>S007</v>
      </c>
      <c r="C1091" t="str">
        <f>Procurement_Raw!C1091</f>
        <v>Nottingham Care &amp; Education Centre</v>
      </c>
      <c r="D1091" t="str">
        <f>Procurement_Raw!D1091</f>
        <v>Midlands</v>
      </c>
      <c r="E1091" t="str">
        <f>Procurement_Raw!E1091</f>
        <v>KitchenPro</v>
      </c>
      <c r="F1091" t="str">
        <f>Procurement_Raw!F1091</f>
        <v>Food &amp; Catering</v>
      </c>
      <c r="G1091" t="str">
        <f>Procurement_Raw!G1091</f>
        <v>INV-2025-01090</v>
      </c>
      <c r="H1091" s="6">
        <f>Procurement_Raw!H1091</f>
        <v>70</v>
      </c>
      <c r="I1091" s="7">
        <f>Procurement_Raw!I1091</f>
        <v>58.35</v>
      </c>
      <c r="J1091" s="7">
        <f>Procurement_Raw!J1091</f>
        <v>4084.24</v>
      </c>
      <c r="K1091" s="6">
        <f>Procurement_Raw!K1091</f>
        <v>60</v>
      </c>
      <c r="L1091" t="str">
        <f>Procurement_Raw!L1091</f>
        <v>ERP</v>
      </c>
      <c r="M1091" s="8">
        <f>Procurement_Raw!M1091</f>
        <v>816.84799999999996</v>
      </c>
      <c r="N1091" s="7">
        <f>Procurement_Raw!N1091</f>
        <v>4084.24</v>
      </c>
      <c r="O1091" s="7">
        <f t="shared" si="34"/>
        <v>4084.24</v>
      </c>
      <c r="P1091" t="str">
        <f>IFERROR(INDEX(Supplier_Lookup!$B$2:$B$200,MATCH(E1091,Supplier_Lookup!$A$2:$A$200,0)),"Unmapped")</f>
        <v>Food &amp; Catering</v>
      </c>
      <c r="Q1091" s="10">
        <f>IFERROR(INDEX(Category_Targets!$B$2:$B$9,MATCH(F1091,Category_Targets!$A$2:$A$9,0)),0)</f>
        <v>0.04</v>
      </c>
      <c r="R1091" s="7">
        <f t="shared" si="35"/>
        <v>163.36959999999999</v>
      </c>
    </row>
    <row r="1092" spans="1:18" x14ac:dyDescent="0.25">
      <c r="A1092" s="5">
        <f>Procurement_Raw!A1092</f>
        <v>45685</v>
      </c>
      <c r="B1092" t="str">
        <f>Procurement_Raw!B1092</f>
        <v>S001</v>
      </c>
      <c r="C1092" t="str">
        <f>Procurement_Raw!C1092</f>
        <v>Preston Care &amp; Education Centre</v>
      </c>
      <c r="D1092" t="str">
        <f>Procurement_Raw!D1092</f>
        <v>North</v>
      </c>
      <c r="E1092" t="str">
        <f>Procurement_Raw!E1092</f>
        <v>WaterGrid</v>
      </c>
      <c r="F1092" t="str">
        <f>Procurement_Raw!F1092</f>
        <v>Utilities</v>
      </c>
      <c r="G1092" t="str">
        <f>Procurement_Raw!G1092</f>
        <v>INV-2025-01091</v>
      </c>
      <c r="H1092" s="6">
        <f>Procurement_Raw!H1092</f>
        <v>25</v>
      </c>
      <c r="I1092" s="7">
        <f>Procurement_Raw!I1092</f>
        <v>240.35</v>
      </c>
      <c r="J1092" s="7">
        <f>Procurement_Raw!J1092</f>
        <v>6008.65</v>
      </c>
      <c r="K1092" s="6">
        <f>Procurement_Raw!K1092</f>
        <v>30</v>
      </c>
      <c r="L1092" t="str">
        <f>Procurement_Raw!L1092</f>
        <v>ERP</v>
      </c>
      <c r="M1092" s="8">
        <f>Procurement_Raw!M1092</f>
        <v>1201.73</v>
      </c>
      <c r="N1092" s="7">
        <f>Procurement_Raw!N1092</f>
        <v>6008.65</v>
      </c>
      <c r="O1092" s="7">
        <f t="shared" si="34"/>
        <v>6008.65</v>
      </c>
      <c r="P1092" t="str">
        <f>IFERROR(INDEX(Supplier_Lookup!$B$2:$B$200,MATCH(E1092,Supplier_Lookup!$A$2:$A$200,0)),"Unmapped")</f>
        <v>Utilities</v>
      </c>
      <c r="Q1092" s="10">
        <f>IFERROR(INDEX(Category_Targets!$B$2:$B$9,MATCH(F1092,Category_Targets!$A$2:$A$9,0)),0)</f>
        <v>0.03</v>
      </c>
      <c r="R1092" s="7">
        <f t="shared" si="35"/>
        <v>180.25949999999997</v>
      </c>
    </row>
    <row r="1093" spans="1:18" x14ac:dyDescent="0.25">
      <c r="A1093" s="5">
        <f>Procurement_Raw!A1093</f>
        <v>45748</v>
      </c>
      <c r="B1093" t="str">
        <f>Procurement_Raw!B1093</f>
        <v>S008</v>
      </c>
      <c r="C1093" t="str">
        <f>Procurement_Raw!C1093</f>
        <v>Leicester Care &amp; Education Centre</v>
      </c>
      <c r="D1093" t="str">
        <f>Procurement_Raw!D1093</f>
        <v>Midlands</v>
      </c>
      <c r="E1093" t="str">
        <f>Procurement_Raw!E1093</f>
        <v>LearnWell</v>
      </c>
      <c r="F1093" t="str">
        <f>Procurement_Raw!F1093</f>
        <v>Office &amp; Training</v>
      </c>
      <c r="G1093" t="str">
        <f>Procurement_Raw!G1093</f>
        <v>INV-2025-01092</v>
      </c>
      <c r="H1093" s="6">
        <f>Procurement_Raw!H1093</f>
        <v>21</v>
      </c>
      <c r="I1093" s="7">
        <f>Procurement_Raw!I1093</f>
        <v>73.48</v>
      </c>
      <c r="J1093" s="7">
        <f>Procurement_Raw!J1093</f>
        <v>1543.08</v>
      </c>
      <c r="K1093" s="6">
        <f>Procurement_Raw!K1093</f>
        <v>60</v>
      </c>
      <c r="L1093" t="str">
        <f>Procurement_Raw!L1093</f>
        <v>ERP</v>
      </c>
      <c r="M1093" s="8">
        <f>Procurement_Raw!M1093</f>
        <v>308.61599999999999</v>
      </c>
      <c r="N1093" s="7">
        <f>Procurement_Raw!N1093</f>
        <v>1543.08</v>
      </c>
      <c r="O1093" s="7">
        <f t="shared" si="34"/>
        <v>1543.08</v>
      </c>
      <c r="P1093" t="str">
        <f>IFERROR(INDEX(Supplier_Lookup!$B$2:$B$200,MATCH(E1093,Supplier_Lookup!$A$2:$A$200,0)),"Unmapped")</f>
        <v>Office &amp; Training</v>
      </c>
      <c r="Q1093" s="10">
        <f>IFERROR(INDEX(Category_Targets!$B$2:$B$9,MATCH(F1093,Category_Targets!$A$2:$A$9,0)),0)</f>
        <v>0.04</v>
      </c>
      <c r="R1093" s="7">
        <f t="shared" si="35"/>
        <v>61.723199999999999</v>
      </c>
    </row>
    <row r="1094" spans="1:18" x14ac:dyDescent="0.25">
      <c r="A1094" s="5">
        <f>Procurement_Raw!A1094</f>
        <v>45765</v>
      </c>
      <c r="B1094" t="str">
        <f>Procurement_Raw!B1094</f>
        <v>S007</v>
      </c>
      <c r="C1094" t="str">
        <f>Procurement_Raw!C1094</f>
        <v>Nottingham Care &amp; Education Centre</v>
      </c>
      <c r="D1094" t="str">
        <f>Procurement_Raw!D1094</f>
        <v>Midlands</v>
      </c>
      <c r="E1094" t="str">
        <f>Procurement_Raw!E1094</f>
        <v>RoadReady</v>
      </c>
      <c r="F1094" t="str">
        <f>Procurement_Raw!F1094</f>
        <v>Vehicle &amp; Fuel</v>
      </c>
      <c r="G1094" t="str">
        <f>Procurement_Raw!G1094</f>
        <v>INV-2025-01093</v>
      </c>
      <c r="H1094" s="6">
        <f>Procurement_Raw!H1094</f>
        <v>56</v>
      </c>
      <c r="I1094" s="7">
        <f>Procurement_Raw!I1094</f>
        <v>141.75</v>
      </c>
      <c r="J1094" s="7">
        <f>Procurement_Raw!J1094</f>
        <v>7938.07</v>
      </c>
      <c r="K1094" s="6">
        <f>Procurement_Raw!K1094</f>
        <v>45</v>
      </c>
      <c r="L1094" t="str">
        <f>Procurement_Raw!L1094</f>
        <v>Procurement Portal</v>
      </c>
      <c r="M1094" s="8">
        <f>Procurement_Raw!M1094</f>
        <v>1587.614</v>
      </c>
      <c r="N1094" s="7">
        <f>Procurement_Raw!N1094</f>
        <v>7938.07</v>
      </c>
      <c r="O1094" s="7">
        <f t="shared" si="34"/>
        <v>7938.07</v>
      </c>
      <c r="P1094" t="str">
        <f>IFERROR(INDEX(Supplier_Lookup!$B$2:$B$200,MATCH(E1094,Supplier_Lookup!$A$2:$A$200,0)),"Unmapped")</f>
        <v>Vehicle &amp; Fuel</v>
      </c>
      <c r="Q1094" s="10">
        <f>IFERROR(INDEX(Category_Targets!$B$2:$B$9,MATCH(F1094,Category_Targets!$A$2:$A$9,0)),0)</f>
        <v>0.05</v>
      </c>
      <c r="R1094" s="7">
        <f t="shared" si="35"/>
        <v>396.90350000000001</v>
      </c>
    </row>
    <row r="1095" spans="1:18" x14ac:dyDescent="0.25">
      <c r="A1095" s="5">
        <f>Procurement_Raw!A1095</f>
        <v>45711</v>
      </c>
      <c r="B1095" t="str">
        <f>Procurement_Raw!B1095</f>
        <v>S011</v>
      </c>
      <c r="C1095" t="str">
        <f>Procurement_Raw!C1095</f>
        <v>London Care &amp; Education Centre</v>
      </c>
      <c r="D1095" t="str">
        <f>Procurement_Raw!D1095</f>
        <v>South</v>
      </c>
      <c r="E1095" t="str">
        <f>Procurement_Raw!E1095</f>
        <v>OfficePlus</v>
      </c>
      <c r="F1095" t="str">
        <f>Procurement_Raw!F1095</f>
        <v>Office &amp; Training</v>
      </c>
      <c r="G1095" t="str">
        <f>Procurement_Raw!G1095</f>
        <v>INV-2025-01094</v>
      </c>
      <c r="H1095" s="6">
        <f>Procurement_Raw!H1095</f>
        <v>7</v>
      </c>
      <c r="I1095" s="7">
        <f>Procurement_Raw!I1095</f>
        <v>77.17</v>
      </c>
      <c r="J1095" s="7">
        <f>Procurement_Raw!J1095</f>
        <v>540.22</v>
      </c>
      <c r="K1095" s="6">
        <f>Procurement_Raw!K1095</f>
        <v>60</v>
      </c>
      <c r="L1095" t="str">
        <f>Procurement_Raw!L1095</f>
        <v>ERP</v>
      </c>
      <c r="M1095" s="8">
        <f>Procurement_Raw!M1095</f>
        <v>108.044</v>
      </c>
      <c r="N1095" s="7">
        <f>Procurement_Raw!N1095</f>
        <v>540.22</v>
      </c>
      <c r="O1095" s="7">
        <f t="shared" si="34"/>
        <v>540.22</v>
      </c>
      <c r="P1095" t="str">
        <f>IFERROR(INDEX(Supplier_Lookup!$B$2:$B$200,MATCH(E1095,Supplier_Lookup!$A$2:$A$200,0)),"Unmapped")</f>
        <v>Office &amp; Training</v>
      </c>
      <c r="Q1095" s="10">
        <f>IFERROR(INDEX(Category_Targets!$B$2:$B$9,MATCH(F1095,Category_Targets!$A$2:$A$9,0)),0)</f>
        <v>0.04</v>
      </c>
      <c r="R1095" s="7">
        <f t="shared" si="35"/>
        <v>21.608800000000002</v>
      </c>
    </row>
    <row r="1096" spans="1:18" x14ac:dyDescent="0.25">
      <c r="A1096" s="5">
        <f>Procurement_Raw!A1096</f>
        <v>45921</v>
      </c>
      <c r="B1096" t="str">
        <f>Procurement_Raw!B1096</f>
        <v>S013</v>
      </c>
      <c r="C1096" t="str">
        <f>Procurement_Raw!C1096</f>
        <v>Reading Care &amp; Education Centre</v>
      </c>
      <c r="D1096" t="str">
        <f>Procurement_Raw!D1096</f>
        <v>South</v>
      </c>
      <c r="E1096" t="str">
        <f>Procurement_Raw!E1096</f>
        <v>CareMed</v>
      </c>
      <c r="F1096" t="str">
        <f>Procurement_Raw!F1096</f>
        <v>Medical Supplies</v>
      </c>
      <c r="G1096" t="str">
        <f>Procurement_Raw!G1096</f>
        <v>INV-2025-01095</v>
      </c>
      <c r="H1096" s="6">
        <f>Procurement_Raw!H1096</f>
        <v>15</v>
      </c>
      <c r="I1096" s="7">
        <f>Procurement_Raw!I1096</f>
        <v>179.55</v>
      </c>
      <c r="J1096" s="7">
        <f>Procurement_Raw!J1096</f>
        <v>2693.22</v>
      </c>
      <c r="K1096" s="6">
        <f>Procurement_Raw!K1096</f>
        <v>30</v>
      </c>
      <c r="L1096" t="str">
        <f>Procurement_Raw!L1096</f>
        <v>ERP</v>
      </c>
      <c r="M1096" s="8">
        <f>Procurement_Raw!M1096</f>
        <v>538.64400000000001</v>
      </c>
      <c r="N1096" s="7">
        <f>Procurement_Raw!N1096</f>
        <v>2693.22</v>
      </c>
      <c r="O1096" s="7">
        <f t="shared" si="34"/>
        <v>2693.22</v>
      </c>
      <c r="P1096" t="str">
        <f>IFERROR(INDEX(Supplier_Lookup!$B$2:$B$200,MATCH(E1096,Supplier_Lookup!$A$2:$A$200,0)),"Unmapped")</f>
        <v>Medical Supplies</v>
      </c>
      <c r="Q1096" s="10">
        <f>IFERROR(INDEX(Category_Targets!$B$2:$B$9,MATCH(F1096,Category_Targets!$A$2:$A$9,0)),0)</f>
        <v>0.06</v>
      </c>
      <c r="R1096" s="7">
        <f t="shared" si="35"/>
        <v>161.5932</v>
      </c>
    </row>
    <row r="1097" spans="1:18" x14ac:dyDescent="0.25">
      <c r="A1097" s="5">
        <f>Procurement_Raw!A1097</f>
        <v>45954</v>
      </c>
      <c r="B1097" t="str">
        <f>Procurement_Raw!B1097</f>
        <v>S011</v>
      </c>
      <c r="C1097" t="str">
        <f>Procurement_Raw!C1097</f>
        <v>London Care &amp; Education Centre</v>
      </c>
      <c r="D1097" t="str">
        <f>Procurement_Raw!D1097</f>
        <v>South</v>
      </c>
      <c r="E1097" t="str">
        <f>Procurement_Raw!E1097</f>
        <v>PrintCo</v>
      </c>
      <c r="F1097" t="str">
        <f>Procurement_Raw!F1097</f>
        <v>Office &amp; Training</v>
      </c>
      <c r="G1097" t="str">
        <f>Procurement_Raw!G1097</f>
        <v>INV-2025-01096</v>
      </c>
      <c r="H1097" s="6">
        <f>Procurement_Raw!H1097</f>
        <v>42</v>
      </c>
      <c r="I1097" s="7">
        <f>Procurement_Raw!I1097</f>
        <v>71.739999999999995</v>
      </c>
      <c r="J1097" s="7">
        <f>Procurement_Raw!J1097</f>
        <v>3013.22</v>
      </c>
      <c r="K1097" s="6">
        <f>Procurement_Raw!K1097</f>
        <v>45</v>
      </c>
      <c r="L1097" t="str">
        <f>Procurement_Raw!L1097</f>
        <v>ERP</v>
      </c>
      <c r="M1097" s="8">
        <f>Procurement_Raw!M1097</f>
        <v>602.64400000000001</v>
      </c>
      <c r="N1097" s="7">
        <f>Procurement_Raw!N1097</f>
        <v>3013.22</v>
      </c>
      <c r="O1097" s="7">
        <f t="shared" si="34"/>
        <v>3013.22</v>
      </c>
      <c r="P1097" t="str">
        <f>IFERROR(INDEX(Supplier_Lookup!$B$2:$B$200,MATCH(E1097,Supplier_Lookup!$A$2:$A$200,0)),"Unmapped")</f>
        <v>Office &amp; Training</v>
      </c>
      <c r="Q1097" s="10">
        <f>IFERROR(INDEX(Category_Targets!$B$2:$B$9,MATCH(F1097,Category_Targets!$A$2:$A$9,0)),0)</f>
        <v>0.04</v>
      </c>
      <c r="R1097" s="7">
        <f t="shared" si="35"/>
        <v>120.52879999999999</v>
      </c>
    </row>
    <row r="1098" spans="1:18" x14ac:dyDescent="0.25">
      <c r="A1098" s="5">
        <f>Procurement_Raw!A1098</f>
        <v>45714</v>
      </c>
      <c r="B1098" t="str">
        <f>Procurement_Raw!B1098</f>
        <v>S002</v>
      </c>
      <c r="C1098" t="str">
        <f>Procurement_Raw!C1098</f>
        <v>Manchester Care &amp; Education Centre</v>
      </c>
      <c r="D1098" t="str">
        <f>Procurement_Raw!D1098</f>
        <v>North</v>
      </c>
      <c r="E1098" t="str">
        <f>Procurement_Raw!E1098</f>
        <v>fleetfuel</v>
      </c>
      <c r="F1098" t="str">
        <f>Procurement_Raw!F1098</f>
        <v>Vehicle &amp; Fuel</v>
      </c>
      <c r="G1098" t="str">
        <f>Procurement_Raw!G1098</f>
        <v>INV-2025-01097</v>
      </c>
      <c r="H1098" s="6">
        <f>Procurement_Raw!H1098</f>
        <v>42</v>
      </c>
      <c r="I1098" s="7">
        <f>Procurement_Raw!I1098</f>
        <v>99.2</v>
      </c>
      <c r="J1098" s="7">
        <f>Procurement_Raw!J1098</f>
        <v>4166.3500000000004</v>
      </c>
      <c r="K1098" s="6">
        <f>Procurement_Raw!K1098</f>
        <v>30</v>
      </c>
      <c r="L1098" t="str">
        <f>Procurement_Raw!L1098</f>
        <v>ERP</v>
      </c>
      <c r="M1098" s="8">
        <f>Procurement_Raw!M1098</f>
        <v>833.27</v>
      </c>
      <c r="N1098" s="7">
        <f>Procurement_Raw!N1098</f>
        <v>4166.3500000000004</v>
      </c>
      <c r="O1098" s="7">
        <f t="shared" si="34"/>
        <v>4166.3500000000004</v>
      </c>
      <c r="P1098" t="str">
        <f>IFERROR(INDEX(Supplier_Lookup!$B$2:$B$200,MATCH(E1098,Supplier_Lookup!$A$2:$A$200,0)),"Unmapped")</f>
        <v>Vehicle &amp; Fuel</v>
      </c>
      <c r="Q1098" s="10">
        <f>IFERROR(INDEX(Category_Targets!$B$2:$B$9,MATCH(F1098,Category_Targets!$A$2:$A$9,0)),0)</f>
        <v>0.05</v>
      </c>
      <c r="R1098" s="7">
        <f t="shared" si="35"/>
        <v>208.31750000000002</v>
      </c>
    </row>
    <row r="1099" spans="1:18" x14ac:dyDescent="0.25">
      <c r="A1099" s="5">
        <f>Procurement_Raw!A1099</f>
        <v>45850</v>
      </c>
      <c r="B1099" t="str">
        <f>Procurement_Raw!B1099</f>
        <v>S015</v>
      </c>
      <c r="C1099" t="str">
        <f>Procurement_Raw!C1099</f>
        <v>Brighton Care &amp; Education Centre</v>
      </c>
      <c r="D1099" t="str">
        <f>Procurement_Raw!D1099</f>
        <v>South</v>
      </c>
      <c r="E1099" t="str">
        <f>Procurement_Raw!E1099</f>
        <v>HealthStaffing</v>
      </c>
      <c r="F1099" t="str">
        <f>Procurement_Raw!F1099</f>
        <v>Agency Labour</v>
      </c>
      <c r="G1099" t="str">
        <f>Procurement_Raw!G1099</f>
        <v>INV-2025-01098</v>
      </c>
      <c r="H1099" s="6">
        <f>Procurement_Raw!H1099</f>
        <v>29</v>
      </c>
      <c r="I1099" s="7">
        <f>Procurement_Raw!I1099</f>
        <v>99.96</v>
      </c>
      <c r="J1099" s="7">
        <f>Procurement_Raw!J1099</f>
        <v>2898.85</v>
      </c>
      <c r="K1099" s="6">
        <f>Procurement_Raw!K1099</f>
        <v>30</v>
      </c>
      <c r="L1099" t="str">
        <f>Procurement_Raw!L1099</f>
        <v>Procurement Portal</v>
      </c>
      <c r="M1099" s="8">
        <f>Procurement_Raw!M1099</f>
        <v>579.77</v>
      </c>
      <c r="N1099" s="7">
        <f>Procurement_Raw!N1099</f>
        <v>2898.85</v>
      </c>
      <c r="O1099" s="7">
        <f t="shared" si="34"/>
        <v>2898.85</v>
      </c>
      <c r="P1099" t="str">
        <f>IFERROR(INDEX(Supplier_Lookup!$B$2:$B$200,MATCH(E1099,Supplier_Lookup!$A$2:$A$200,0)),"Unmapped")</f>
        <v>Agency Labour</v>
      </c>
      <c r="Q1099" s="10">
        <f>IFERROR(INDEX(Category_Targets!$B$2:$B$9,MATCH(F1099,Category_Targets!$A$2:$A$9,0)),0)</f>
        <v>7.0000000000000007E-2</v>
      </c>
      <c r="R1099" s="7">
        <f t="shared" si="35"/>
        <v>202.9195</v>
      </c>
    </row>
    <row r="1100" spans="1:18" x14ac:dyDescent="0.25">
      <c r="A1100" s="5">
        <f>Procurement_Raw!A1100</f>
        <v>45881</v>
      </c>
      <c r="B1100" t="str">
        <f>Procurement_Raw!B1100</f>
        <v>S018</v>
      </c>
      <c r="C1100" t="str">
        <f>Procurement_Raw!C1100</f>
        <v>Newport Care &amp; Education Centre</v>
      </c>
      <c r="D1100" t="str">
        <f>Procurement_Raw!D1100</f>
        <v>Wales</v>
      </c>
      <c r="E1100" t="str">
        <f>Procurement_Raw!E1100</f>
        <v>OfficePlus</v>
      </c>
      <c r="F1100" t="str">
        <f>Procurement_Raw!F1100</f>
        <v>Office &amp; Training</v>
      </c>
      <c r="G1100" t="str">
        <f>Procurement_Raw!G1100</f>
        <v>INV-2025-01099</v>
      </c>
      <c r="H1100" s="6">
        <f>Procurement_Raw!H1100</f>
        <v>19</v>
      </c>
      <c r="I1100" s="7">
        <f>Procurement_Raw!I1100</f>
        <v>124.15</v>
      </c>
      <c r="J1100" s="7">
        <f>Procurement_Raw!J1100</f>
        <v>2358.8000000000002</v>
      </c>
      <c r="K1100" s="6">
        <f>Procurement_Raw!K1100</f>
        <v>30</v>
      </c>
      <c r="L1100" t="str">
        <f>Procurement_Raw!L1100</f>
        <v>Legacy Spend File</v>
      </c>
      <c r="M1100" s="8">
        <f>Procurement_Raw!M1100</f>
        <v>471.76</v>
      </c>
      <c r="N1100" s="7">
        <f>Procurement_Raw!N1100</f>
        <v>2358.8000000000002</v>
      </c>
      <c r="O1100" s="7">
        <f t="shared" si="34"/>
        <v>2358.8000000000002</v>
      </c>
      <c r="P1100" t="str">
        <f>IFERROR(INDEX(Supplier_Lookup!$B$2:$B$200,MATCH(E1100,Supplier_Lookup!$A$2:$A$200,0)),"Unmapped")</f>
        <v>Office &amp; Training</v>
      </c>
      <c r="Q1100" s="10">
        <f>IFERROR(INDEX(Category_Targets!$B$2:$B$9,MATCH(F1100,Category_Targets!$A$2:$A$9,0)),0)</f>
        <v>0.04</v>
      </c>
      <c r="R1100" s="7">
        <f t="shared" si="35"/>
        <v>94.352000000000004</v>
      </c>
    </row>
    <row r="1101" spans="1:18" x14ac:dyDescent="0.25">
      <c r="A1101" s="5">
        <f>Procurement_Raw!A1101</f>
        <v>45849</v>
      </c>
      <c r="B1101" t="str">
        <f>Procurement_Raw!B1101</f>
        <v>S001</v>
      </c>
      <c r="C1101" t="str">
        <f>Procurement_Raw!C1101</f>
        <v>Preston Care &amp; Education Centre</v>
      </c>
      <c r="D1101" t="str">
        <f>Procurement_Raw!D1101</f>
        <v>North</v>
      </c>
      <c r="E1101" t="str">
        <f>Procurement_Raw!E1101</f>
        <v>SafeGuard FM</v>
      </c>
      <c r="F1101" t="str">
        <f>Procurement_Raw!F1101</f>
        <v>Facilities</v>
      </c>
      <c r="G1101" t="str">
        <f>Procurement_Raw!G1101</f>
        <v>INV-2025-01100</v>
      </c>
      <c r="H1101" s="6">
        <f>Procurement_Raw!H1101</f>
        <v>18</v>
      </c>
      <c r="I1101" s="7">
        <f>Procurement_Raw!I1101</f>
        <v>217.79</v>
      </c>
      <c r="J1101" s="7">
        <f>Procurement_Raw!J1101</f>
        <v>3920.2</v>
      </c>
      <c r="K1101" s="6">
        <f>Procurement_Raw!K1101</f>
        <v>45</v>
      </c>
      <c r="L1101" t="str">
        <f>Procurement_Raw!L1101</f>
        <v>Legacy Spend File</v>
      </c>
      <c r="M1101" s="8">
        <f>Procurement_Raw!M1101</f>
        <v>784.04</v>
      </c>
      <c r="N1101" s="7">
        <f>Procurement_Raw!N1101</f>
        <v>3920.2</v>
      </c>
      <c r="O1101" s="7">
        <f t="shared" si="34"/>
        <v>3920.2</v>
      </c>
      <c r="P1101" t="str">
        <f>IFERROR(INDEX(Supplier_Lookup!$B$2:$B$200,MATCH(E1101,Supplier_Lookup!$A$2:$A$200,0)),"Unmapped")</f>
        <v>Facilities</v>
      </c>
      <c r="Q1101" s="10">
        <f>IFERROR(INDEX(Category_Targets!$B$2:$B$9,MATCH(F1101,Category_Targets!$A$2:$A$9,0)),0)</f>
        <v>0.05</v>
      </c>
      <c r="R1101" s="7">
        <f t="shared" si="35"/>
        <v>196.01</v>
      </c>
    </row>
    <row r="1102" spans="1:18" x14ac:dyDescent="0.25">
      <c r="A1102" s="5">
        <f>Procurement_Raw!A1102</f>
        <v>45761</v>
      </c>
      <c r="B1102" t="str">
        <f>Procurement_Raw!B1102</f>
        <v>S020</v>
      </c>
      <c r="C1102" t="str">
        <f>Procurement_Raw!C1102</f>
        <v>Bangor Care &amp; Education Centre</v>
      </c>
      <c r="D1102" t="str">
        <f>Procurement_Raw!D1102</f>
        <v>Wales</v>
      </c>
      <c r="E1102" t="str">
        <f>Procurement_Raw!E1102</f>
        <v>RoadReady</v>
      </c>
      <c r="F1102" t="str">
        <f>Procurement_Raw!F1102</f>
        <v>Vehicle &amp; Fuel</v>
      </c>
      <c r="G1102" t="str">
        <f>Procurement_Raw!G1102</f>
        <v>INV-2025-01101</v>
      </c>
      <c r="H1102" s="6">
        <f>Procurement_Raw!H1102</f>
        <v>43</v>
      </c>
      <c r="I1102" s="7">
        <f>Procurement_Raw!I1102</f>
        <v>164.48</v>
      </c>
      <c r="J1102">
        <f>Procurement_Raw!J1102</f>
        <v>0</v>
      </c>
      <c r="K1102" s="6">
        <f>Procurement_Raw!K1102</f>
        <v>30</v>
      </c>
      <c r="L1102" t="str">
        <f>Procurement_Raw!L1102</f>
        <v>ERP</v>
      </c>
      <c r="M1102" s="8">
        <f>Procurement_Raw!M1102</f>
        <v>0</v>
      </c>
      <c r="N1102" s="7">
        <f>Procurement_Raw!N1102</f>
        <v>0</v>
      </c>
      <c r="O1102" s="7">
        <f t="shared" si="34"/>
        <v>0</v>
      </c>
      <c r="P1102" t="str">
        <f>IFERROR(INDEX(Supplier_Lookup!$B$2:$B$200,MATCH(E1102,Supplier_Lookup!$A$2:$A$200,0)),"Unmapped")</f>
        <v>Vehicle &amp; Fuel</v>
      </c>
      <c r="Q1102" s="10">
        <f>IFERROR(INDEX(Category_Targets!$B$2:$B$9,MATCH(F1102,Category_Targets!$A$2:$A$9,0)),0)</f>
        <v>0.05</v>
      </c>
      <c r="R1102" s="7">
        <f t="shared" si="35"/>
        <v>0</v>
      </c>
    </row>
    <row r="1103" spans="1:18" x14ac:dyDescent="0.25">
      <c r="A1103" s="5">
        <f>Procurement_Raw!A1103</f>
        <v>45727</v>
      </c>
      <c r="B1103" t="str">
        <f>Procurement_Raw!B1103</f>
        <v>S006</v>
      </c>
      <c r="C1103" t="str">
        <f>Procurement_Raw!C1103</f>
        <v>Birmingham Care &amp; Education Centre</v>
      </c>
      <c r="D1103" t="str">
        <f>Procurement_Raw!D1103</f>
        <v>Midlands</v>
      </c>
      <c r="E1103" t="str">
        <f>Procurement_Raw!E1103</f>
        <v>CareMed</v>
      </c>
      <c r="F1103" t="str">
        <f>Procurement_Raw!F1103</f>
        <v>Medical Supplies</v>
      </c>
      <c r="G1103" t="str">
        <f>Procurement_Raw!G1103</f>
        <v>INV-2025-01102</v>
      </c>
      <c r="H1103" s="6">
        <f>Procurement_Raw!H1103</f>
        <v>15</v>
      </c>
      <c r="I1103" s="7">
        <f>Procurement_Raw!I1103</f>
        <v>24.4</v>
      </c>
      <c r="J1103" s="7">
        <f>Procurement_Raw!J1103</f>
        <v>365.99</v>
      </c>
      <c r="K1103" s="6">
        <f>Procurement_Raw!K1103</f>
        <v>45</v>
      </c>
      <c r="L1103" t="str">
        <f>Procurement_Raw!L1103</f>
        <v>Procurement Portal</v>
      </c>
      <c r="M1103" s="8">
        <f>Procurement_Raw!M1103</f>
        <v>73.197999999999993</v>
      </c>
      <c r="N1103" s="7">
        <f>Procurement_Raw!N1103</f>
        <v>365.99</v>
      </c>
      <c r="O1103" s="7">
        <f t="shared" si="34"/>
        <v>365.99</v>
      </c>
      <c r="P1103" t="str">
        <f>IFERROR(INDEX(Supplier_Lookup!$B$2:$B$200,MATCH(E1103,Supplier_Lookup!$A$2:$A$200,0)),"Unmapped")</f>
        <v>Medical Supplies</v>
      </c>
      <c r="Q1103" s="10">
        <f>IFERROR(INDEX(Category_Targets!$B$2:$B$9,MATCH(F1103,Category_Targets!$A$2:$A$9,0)),0)</f>
        <v>0.06</v>
      </c>
      <c r="R1103" s="7">
        <f t="shared" si="35"/>
        <v>21.959399999999999</v>
      </c>
    </row>
    <row r="1104" spans="1:18" x14ac:dyDescent="0.25">
      <c r="A1104" s="5">
        <f>Procurement_Raw!A1104</f>
        <v>45770</v>
      </c>
      <c r="B1104" t="str">
        <f>Procurement_Raw!B1104</f>
        <v>S016</v>
      </c>
      <c r="C1104" t="str">
        <f>Procurement_Raw!C1104</f>
        <v>Cardiff Care &amp; Education Centre</v>
      </c>
      <c r="D1104" t="str">
        <f>Procurement_Raw!D1104</f>
        <v>Wales</v>
      </c>
      <c r="E1104" t="str">
        <f>Procurement_Raw!E1104</f>
        <v>SafeGuard FM</v>
      </c>
      <c r="F1104" t="str">
        <f>Procurement_Raw!F1104</f>
        <v>Facilities</v>
      </c>
      <c r="G1104" t="str">
        <f>Procurement_Raw!G1104</f>
        <v>INV-2025-01103</v>
      </c>
      <c r="H1104" s="6">
        <f>Procurement_Raw!H1104</f>
        <v>38</v>
      </c>
      <c r="I1104" s="7">
        <f>Procurement_Raw!I1104</f>
        <v>567.67999999999995</v>
      </c>
      <c r="J1104" s="7">
        <f>Procurement_Raw!J1104</f>
        <v>21571.95</v>
      </c>
      <c r="K1104" s="6">
        <f>Procurement_Raw!K1104</f>
        <v>60</v>
      </c>
      <c r="L1104" t="str">
        <f>Procurement_Raw!L1104</f>
        <v>ERP</v>
      </c>
      <c r="M1104" s="8">
        <f>Procurement_Raw!M1104</f>
        <v>4314.3900000000003</v>
      </c>
      <c r="N1104" s="7">
        <f>Procurement_Raw!N1104</f>
        <v>21571.95</v>
      </c>
      <c r="O1104" s="7">
        <f t="shared" si="34"/>
        <v>21571.95</v>
      </c>
      <c r="P1104" t="str">
        <f>IFERROR(INDEX(Supplier_Lookup!$B$2:$B$200,MATCH(E1104,Supplier_Lookup!$A$2:$A$200,0)),"Unmapped")</f>
        <v>Facilities</v>
      </c>
      <c r="Q1104" s="10">
        <f>IFERROR(INDEX(Category_Targets!$B$2:$B$9,MATCH(F1104,Category_Targets!$A$2:$A$9,0)),0)</f>
        <v>0.05</v>
      </c>
      <c r="R1104" s="7">
        <f t="shared" si="35"/>
        <v>1078.5975000000001</v>
      </c>
    </row>
    <row r="1105" spans="1:18" x14ac:dyDescent="0.25">
      <c r="A1105" s="5">
        <f>Procurement_Raw!A1105</f>
        <v>45941</v>
      </c>
      <c r="B1105" t="str">
        <f>Procurement_Raw!B1105</f>
        <v>S012</v>
      </c>
      <c r="C1105" t="str">
        <f>Procurement_Raw!C1105</f>
        <v>Bristol Care &amp; Education Centre</v>
      </c>
      <c r="D1105" t="str">
        <f>Procurement_Raw!D1105</f>
        <v>South</v>
      </c>
      <c r="E1105" t="str">
        <f>Procurement_Raw!E1105</f>
        <v>BuildCare</v>
      </c>
      <c r="F1105" t="str">
        <f>Procurement_Raw!F1105</f>
        <v>Facilities</v>
      </c>
      <c r="G1105" t="str">
        <f>Procurement_Raw!G1105</f>
        <v>INV-2025-01104</v>
      </c>
      <c r="H1105" s="6">
        <f>Procurement_Raw!H1105</f>
        <v>30</v>
      </c>
      <c r="I1105" s="7">
        <f>Procurement_Raw!I1105</f>
        <v>166.7</v>
      </c>
      <c r="J1105" s="7">
        <f>Procurement_Raw!J1105</f>
        <v>5000.93</v>
      </c>
      <c r="K1105" s="6">
        <f>Procurement_Raw!K1105</f>
        <v>30</v>
      </c>
      <c r="L1105" t="str">
        <f>Procurement_Raw!L1105</f>
        <v>Procurement Portal</v>
      </c>
      <c r="M1105" s="8">
        <f>Procurement_Raw!M1105</f>
        <v>1000.186</v>
      </c>
      <c r="N1105" s="7">
        <f>Procurement_Raw!N1105</f>
        <v>5000.93</v>
      </c>
      <c r="O1105" s="7">
        <f t="shared" si="34"/>
        <v>5000.93</v>
      </c>
      <c r="P1105" t="str">
        <f>IFERROR(INDEX(Supplier_Lookup!$B$2:$B$200,MATCH(E1105,Supplier_Lookup!$A$2:$A$200,0)),"Unmapped")</f>
        <v>Facilities</v>
      </c>
      <c r="Q1105" s="10">
        <f>IFERROR(INDEX(Category_Targets!$B$2:$B$9,MATCH(F1105,Category_Targets!$A$2:$A$9,0)),0)</f>
        <v>0.05</v>
      </c>
      <c r="R1105" s="7">
        <f t="shared" si="35"/>
        <v>250.04650000000004</v>
      </c>
    </row>
    <row r="1106" spans="1:18" x14ac:dyDescent="0.25">
      <c r="A1106" s="5">
        <f>Procurement_Raw!A1106</f>
        <v>45960</v>
      </c>
      <c r="B1106" t="str">
        <f>Procurement_Raw!B1106</f>
        <v>S015</v>
      </c>
      <c r="C1106" t="str">
        <f>Procurement_Raw!C1106</f>
        <v>Brighton Care &amp; Education Centre</v>
      </c>
      <c r="D1106" t="str">
        <f>Procurement_Raw!D1106</f>
        <v>South</v>
      </c>
      <c r="E1106" t="str">
        <f>Procurement_Raw!E1106</f>
        <v>OfficePlus</v>
      </c>
      <c r="F1106" t="str">
        <f>Procurement_Raw!F1106</f>
        <v>Office &amp; Training</v>
      </c>
      <c r="G1106" t="str">
        <f>Procurement_Raw!G1106</f>
        <v>INV-2025-01105</v>
      </c>
      <c r="H1106" s="6">
        <f>Procurement_Raw!H1106</f>
        <v>61</v>
      </c>
      <c r="I1106" s="7">
        <f>Procurement_Raw!I1106</f>
        <v>137.96</v>
      </c>
      <c r="J1106" s="7">
        <f>Procurement_Raw!J1106</f>
        <v>8415.77</v>
      </c>
      <c r="K1106" s="6">
        <f>Procurement_Raw!K1106</f>
        <v>45</v>
      </c>
      <c r="L1106" t="str">
        <f>Procurement_Raw!L1106</f>
        <v>Procurement Portal</v>
      </c>
      <c r="M1106" s="8">
        <f>Procurement_Raw!M1106</f>
        <v>1683.154</v>
      </c>
      <c r="N1106" s="7">
        <f>Procurement_Raw!N1106</f>
        <v>8415.77</v>
      </c>
      <c r="O1106" s="7">
        <f t="shared" si="34"/>
        <v>8415.77</v>
      </c>
      <c r="P1106" t="str">
        <f>IFERROR(INDEX(Supplier_Lookup!$B$2:$B$200,MATCH(E1106,Supplier_Lookup!$A$2:$A$200,0)),"Unmapped")</f>
        <v>Office &amp; Training</v>
      </c>
      <c r="Q1106" s="10">
        <f>IFERROR(INDEX(Category_Targets!$B$2:$B$9,MATCH(F1106,Category_Targets!$A$2:$A$9,0)),0)</f>
        <v>0.04</v>
      </c>
      <c r="R1106" s="7">
        <f t="shared" si="35"/>
        <v>336.63080000000002</v>
      </c>
    </row>
    <row r="1107" spans="1:18" x14ac:dyDescent="0.25">
      <c r="A1107" s="5">
        <f>Procurement_Raw!A1107</f>
        <v>45784</v>
      </c>
      <c r="B1107" t="str">
        <f>Procurement_Raw!B1107</f>
        <v>S004</v>
      </c>
      <c r="C1107" t="str">
        <f>Procurement_Raw!C1107</f>
        <v>Newcastle Care &amp; Education Centre</v>
      </c>
      <c r="D1107" t="str">
        <f>Procurement_Raw!D1107</f>
        <v>North</v>
      </c>
      <c r="E1107" t="str">
        <f>Procurement_Raw!E1107</f>
        <v>NurseLink</v>
      </c>
      <c r="F1107" t="str">
        <f>Procurement_Raw!F1107</f>
        <v>Agency Labour</v>
      </c>
      <c r="G1107" t="str">
        <f>Procurement_Raw!G1107</f>
        <v>INV-2025-01106</v>
      </c>
      <c r="H1107" s="6">
        <f>Procurement_Raw!H1107</f>
        <v>32</v>
      </c>
      <c r="I1107" s="7">
        <f>Procurement_Raw!I1107</f>
        <v>169.33</v>
      </c>
      <c r="J1107" s="7">
        <f>Procurement_Raw!J1107</f>
        <v>5418.48</v>
      </c>
      <c r="K1107" s="6">
        <f>Procurement_Raw!K1107</f>
        <v>45</v>
      </c>
      <c r="L1107" t="str">
        <f>Procurement_Raw!L1107</f>
        <v>Procurement Portal</v>
      </c>
      <c r="M1107" s="8">
        <f>Procurement_Raw!M1107</f>
        <v>1083.6959999999999</v>
      </c>
      <c r="N1107" s="7">
        <f>Procurement_Raw!N1107</f>
        <v>5418.48</v>
      </c>
      <c r="O1107" s="7">
        <f t="shared" si="34"/>
        <v>5418.48</v>
      </c>
      <c r="P1107" t="str">
        <f>IFERROR(INDEX(Supplier_Lookup!$B$2:$B$200,MATCH(E1107,Supplier_Lookup!$A$2:$A$200,0)),"Unmapped")</f>
        <v>Agency Labour</v>
      </c>
      <c r="Q1107" s="10">
        <f>IFERROR(INDEX(Category_Targets!$B$2:$B$9,MATCH(F1107,Category_Targets!$A$2:$A$9,0)),0)</f>
        <v>7.0000000000000007E-2</v>
      </c>
      <c r="R1107" s="7">
        <f t="shared" si="35"/>
        <v>379.29360000000003</v>
      </c>
    </row>
    <row r="1108" spans="1:18" x14ac:dyDescent="0.25">
      <c r="A1108" s="5">
        <f>Procurement_Raw!A1108</f>
        <v>45734</v>
      </c>
      <c r="B1108" t="str">
        <f>Procurement_Raw!B1108</f>
        <v>S003</v>
      </c>
      <c r="C1108" t="str">
        <f>Procurement_Raw!C1108</f>
        <v>Leeds Care &amp; Education Centre</v>
      </c>
      <c r="D1108" t="str">
        <f>Procurement_Raw!D1108</f>
        <v>North</v>
      </c>
      <c r="E1108" t="str">
        <f>Procurement_Raw!E1108</f>
        <v>PowerDirect</v>
      </c>
      <c r="F1108" t="str">
        <f>Procurement_Raw!F1108</f>
        <v>Utilities</v>
      </c>
      <c r="G1108" t="str">
        <f>Procurement_Raw!G1108</f>
        <v>INV-2025-01107</v>
      </c>
      <c r="H1108" s="6">
        <f>Procurement_Raw!H1108</f>
        <v>74</v>
      </c>
      <c r="I1108" s="7">
        <f>Procurement_Raw!I1108</f>
        <v>350.19</v>
      </c>
      <c r="J1108" s="7">
        <f>Procurement_Raw!J1108</f>
        <v>25914.34</v>
      </c>
      <c r="K1108" s="6">
        <f>Procurement_Raw!K1108</f>
        <v>30</v>
      </c>
      <c r="L1108" t="str">
        <f>Procurement_Raw!L1108</f>
        <v>Procurement Portal</v>
      </c>
      <c r="M1108" s="8">
        <f>Procurement_Raw!M1108</f>
        <v>5182.8680000000004</v>
      </c>
      <c r="N1108" s="7">
        <f>Procurement_Raw!N1108</f>
        <v>25914.34</v>
      </c>
      <c r="O1108" s="7">
        <f t="shared" si="34"/>
        <v>25914.34</v>
      </c>
      <c r="P1108" t="str">
        <f>IFERROR(INDEX(Supplier_Lookup!$B$2:$B$200,MATCH(E1108,Supplier_Lookup!$A$2:$A$200,0)),"Unmapped")</f>
        <v>Utilities</v>
      </c>
      <c r="Q1108" s="10">
        <f>IFERROR(INDEX(Category_Targets!$B$2:$B$9,MATCH(F1108,Category_Targets!$A$2:$A$9,0)),0)</f>
        <v>0.03</v>
      </c>
      <c r="R1108" s="7">
        <f t="shared" si="35"/>
        <v>777.43020000000001</v>
      </c>
    </row>
    <row r="1109" spans="1:18" x14ac:dyDescent="0.25">
      <c r="A1109" s="5">
        <f>Procurement_Raw!A1109</f>
        <v>45916</v>
      </c>
      <c r="B1109" t="str">
        <f>Procurement_Raw!B1109</f>
        <v>S009</v>
      </c>
      <c r="C1109" t="str">
        <f>Procurement_Raw!C1109</f>
        <v>Derby Care &amp; Education Centre</v>
      </c>
      <c r="D1109" t="str">
        <f>Procurement_Raw!D1109</f>
        <v>Midlands</v>
      </c>
      <c r="E1109" t="str">
        <f>Procurement_Raw!E1109</f>
        <v>CareMed</v>
      </c>
      <c r="F1109" t="str">
        <f>Procurement_Raw!F1109</f>
        <v>Medical Supplies</v>
      </c>
      <c r="G1109" t="str">
        <f>Procurement_Raw!G1109</f>
        <v>INV-2025-01108</v>
      </c>
      <c r="H1109" s="6">
        <f>Procurement_Raw!H1109</f>
        <v>5</v>
      </c>
      <c r="I1109" s="7">
        <f>Procurement_Raw!I1109</f>
        <v>67.23</v>
      </c>
      <c r="J1109" s="7">
        <f>Procurement_Raw!J1109</f>
        <v>336.15</v>
      </c>
      <c r="K1109" s="6">
        <f>Procurement_Raw!K1109</f>
        <v>45</v>
      </c>
      <c r="L1109" t="str">
        <f>Procurement_Raw!L1109</f>
        <v>Legacy Spend File</v>
      </c>
      <c r="M1109" s="8">
        <f>Procurement_Raw!M1109</f>
        <v>67.23</v>
      </c>
      <c r="N1109" s="7">
        <f>Procurement_Raw!N1109</f>
        <v>336.15</v>
      </c>
      <c r="O1109" s="7">
        <f t="shared" si="34"/>
        <v>336.15</v>
      </c>
      <c r="P1109" t="str">
        <f>IFERROR(INDEX(Supplier_Lookup!$B$2:$B$200,MATCH(E1109,Supplier_Lookup!$A$2:$A$200,0)),"Unmapped")</f>
        <v>Medical Supplies</v>
      </c>
      <c r="Q1109" s="10">
        <f>IFERROR(INDEX(Category_Targets!$B$2:$B$9,MATCH(F1109,Category_Targets!$A$2:$A$9,0)),0)</f>
        <v>0.06</v>
      </c>
      <c r="R1109" s="7">
        <f t="shared" si="35"/>
        <v>20.168999999999997</v>
      </c>
    </row>
    <row r="1110" spans="1:18" x14ac:dyDescent="0.25">
      <c r="A1110" s="5">
        <f>Procurement_Raw!A1110</f>
        <v>45708</v>
      </c>
      <c r="B1110" t="str">
        <f>Procurement_Raw!B1110</f>
        <v>S001</v>
      </c>
      <c r="C1110" t="str">
        <f>Procurement_Raw!C1110</f>
        <v>Preston Care &amp; Education Centre</v>
      </c>
      <c r="D1110" t="str">
        <f>Procurement_Raw!D1110</f>
        <v>North</v>
      </c>
      <c r="E1110" t="str">
        <f>Procurement_Raw!E1110</f>
        <v>PrintCo</v>
      </c>
      <c r="F1110" t="str">
        <f>Procurement_Raw!F1110</f>
        <v>Office &amp; Training</v>
      </c>
      <c r="G1110" t="str">
        <f>Procurement_Raw!G1110</f>
        <v>INV-2025-01109</v>
      </c>
      <c r="H1110" s="6">
        <f>Procurement_Raw!H1110</f>
        <v>58</v>
      </c>
      <c r="I1110" s="7">
        <f>Procurement_Raw!I1110</f>
        <v>53.22</v>
      </c>
      <c r="J1110" s="7">
        <f>Procurement_Raw!J1110</f>
        <v>3086.7</v>
      </c>
      <c r="K1110" s="6">
        <f>Procurement_Raw!K1110</f>
        <v>45</v>
      </c>
      <c r="L1110" t="str">
        <f>Procurement_Raw!L1110</f>
        <v>ERP</v>
      </c>
      <c r="M1110" s="8">
        <f>Procurement_Raw!M1110</f>
        <v>617.34</v>
      </c>
      <c r="N1110" s="7">
        <f>Procurement_Raw!N1110</f>
        <v>3086.7</v>
      </c>
      <c r="O1110" s="7">
        <f t="shared" si="34"/>
        <v>3086.7</v>
      </c>
      <c r="P1110" t="str">
        <f>IFERROR(INDEX(Supplier_Lookup!$B$2:$B$200,MATCH(E1110,Supplier_Lookup!$A$2:$A$200,0)),"Unmapped")</f>
        <v>Office &amp; Training</v>
      </c>
      <c r="Q1110" s="10">
        <f>IFERROR(INDEX(Category_Targets!$B$2:$B$9,MATCH(F1110,Category_Targets!$A$2:$A$9,0)),0)</f>
        <v>0.04</v>
      </c>
      <c r="R1110" s="7">
        <f t="shared" si="35"/>
        <v>123.46799999999999</v>
      </c>
    </row>
    <row r="1111" spans="1:18" x14ac:dyDescent="0.25">
      <c r="A1111" s="5">
        <f>Procurement_Raw!A1111</f>
        <v>45866</v>
      </c>
      <c r="B1111" t="str">
        <f>Procurement_Raw!B1111</f>
        <v>S007</v>
      </c>
      <c r="C1111" t="str">
        <f>Procurement_Raw!C1111</f>
        <v>Nottingham Care &amp; Education Centre</v>
      </c>
      <c r="D1111" t="str">
        <f>Procurement_Raw!D1111</f>
        <v>Midlands</v>
      </c>
      <c r="E1111" t="str">
        <f>Procurement_Raw!E1111</f>
        <v>ClinEquip</v>
      </c>
      <c r="F1111" t="str">
        <f>Procurement_Raw!F1111</f>
        <v>Medical Supplies</v>
      </c>
      <c r="G1111" t="str">
        <f>Procurement_Raw!G1111</f>
        <v>INV-2025-01110</v>
      </c>
      <c r="H1111" s="6">
        <f>Procurement_Raw!H1111</f>
        <v>28</v>
      </c>
      <c r="I1111" s="7">
        <f>Procurement_Raw!I1111</f>
        <v>343.85</v>
      </c>
      <c r="J1111" s="7">
        <f>Procurement_Raw!J1111</f>
        <v>9627.83</v>
      </c>
      <c r="K1111" s="6">
        <f>Procurement_Raw!K1111</f>
        <v>30</v>
      </c>
      <c r="L1111" t="str">
        <f>Procurement_Raw!L1111</f>
        <v>Procurement Portal</v>
      </c>
      <c r="M1111" s="8">
        <f>Procurement_Raw!M1111</f>
        <v>1925.566</v>
      </c>
      <c r="N1111" s="7">
        <f>Procurement_Raw!N1111</f>
        <v>9627.83</v>
      </c>
      <c r="O1111" s="7">
        <f t="shared" si="34"/>
        <v>9627.83</v>
      </c>
      <c r="P1111" t="str">
        <f>IFERROR(INDEX(Supplier_Lookup!$B$2:$B$200,MATCH(E1111,Supplier_Lookup!$A$2:$A$200,0)),"Unmapped")</f>
        <v>Medical Supplies</v>
      </c>
      <c r="Q1111" s="10">
        <f>IFERROR(INDEX(Category_Targets!$B$2:$B$9,MATCH(F1111,Category_Targets!$A$2:$A$9,0)),0)</f>
        <v>0.06</v>
      </c>
      <c r="R1111" s="7">
        <f t="shared" si="35"/>
        <v>577.66980000000001</v>
      </c>
    </row>
    <row r="1112" spans="1:18" x14ac:dyDescent="0.25">
      <c r="A1112" s="5">
        <f>Procurement_Raw!A1112</f>
        <v>45704</v>
      </c>
      <c r="B1112" t="str">
        <f>Procurement_Raw!B1112</f>
        <v>S002</v>
      </c>
      <c r="C1112" t="str">
        <f>Procurement_Raw!C1112</f>
        <v>Manchester Care &amp; Education Centre</v>
      </c>
      <c r="D1112" t="str">
        <f>Procurement_Raw!D1112</f>
        <v>North</v>
      </c>
      <c r="E1112" t="str">
        <f>Procurement_Raw!E1112</f>
        <v>PowerDirect</v>
      </c>
      <c r="F1112" t="str">
        <f>Procurement_Raw!F1112</f>
        <v>Utilities</v>
      </c>
      <c r="G1112" t="str">
        <f>Procurement_Raw!G1112</f>
        <v>INV-2025-01111</v>
      </c>
      <c r="H1112" s="6">
        <f>Procurement_Raw!H1112</f>
        <v>3</v>
      </c>
      <c r="I1112" s="7">
        <f>Procurement_Raw!I1112</f>
        <v>225.11</v>
      </c>
      <c r="J1112" s="7">
        <f>Procurement_Raw!J1112</f>
        <v>675.33</v>
      </c>
      <c r="K1112" s="6">
        <f>Procurement_Raw!K1112</f>
        <v>45</v>
      </c>
      <c r="L1112" t="str">
        <f>Procurement_Raw!L1112</f>
        <v>Legacy Spend File</v>
      </c>
      <c r="M1112" s="8">
        <f>Procurement_Raw!M1112</f>
        <v>135.066</v>
      </c>
      <c r="N1112" s="7">
        <f>Procurement_Raw!N1112</f>
        <v>675.33</v>
      </c>
      <c r="O1112" s="7">
        <f t="shared" si="34"/>
        <v>675.33</v>
      </c>
      <c r="P1112" t="str">
        <f>IFERROR(INDEX(Supplier_Lookup!$B$2:$B$200,MATCH(E1112,Supplier_Lookup!$A$2:$A$200,0)),"Unmapped")</f>
        <v>Utilities</v>
      </c>
      <c r="Q1112" s="10">
        <f>IFERROR(INDEX(Category_Targets!$B$2:$B$9,MATCH(F1112,Category_Targets!$A$2:$A$9,0)),0)</f>
        <v>0.03</v>
      </c>
      <c r="R1112" s="7">
        <f t="shared" si="35"/>
        <v>20.259900000000002</v>
      </c>
    </row>
    <row r="1113" spans="1:18" x14ac:dyDescent="0.25">
      <c r="A1113" s="5">
        <f>Procurement_Raw!A1113</f>
        <v>45893</v>
      </c>
      <c r="B1113" t="str">
        <f>Procurement_Raw!B1113</f>
        <v>S003</v>
      </c>
      <c r="C1113" t="str">
        <f>Procurement_Raw!C1113</f>
        <v>Leeds Care &amp; Education Centre</v>
      </c>
      <c r="D1113" t="str">
        <f>Procurement_Raw!D1113</f>
        <v>North</v>
      </c>
      <c r="E1113" t="str">
        <f>Procurement_Raw!E1113</f>
        <v>BuildCare</v>
      </c>
      <c r="F1113" t="str">
        <f>Procurement_Raw!F1113</f>
        <v>Facilities</v>
      </c>
      <c r="G1113" t="str">
        <f>Procurement_Raw!G1113</f>
        <v>INV-2025-01112</v>
      </c>
      <c r="H1113" s="6">
        <f>Procurement_Raw!H1113</f>
        <v>74</v>
      </c>
      <c r="I1113" s="7">
        <f>Procurement_Raw!I1113</f>
        <v>202.87</v>
      </c>
      <c r="J1113" s="7">
        <f>Procurement_Raw!J1113</f>
        <v>15012.07</v>
      </c>
      <c r="K1113" s="6">
        <f>Procurement_Raw!K1113</f>
        <v>60</v>
      </c>
      <c r="L1113" t="str">
        <f>Procurement_Raw!L1113</f>
        <v>Legacy Spend File</v>
      </c>
      <c r="M1113" s="8">
        <f>Procurement_Raw!M1113</f>
        <v>3002.4140000000002</v>
      </c>
      <c r="N1113" s="7">
        <f>Procurement_Raw!N1113</f>
        <v>15012.07</v>
      </c>
      <c r="O1113" s="7">
        <f t="shared" si="34"/>
        <v>15012.07</v>
      </c>
      <c r="P1113" t="str">
        <f>IFERROR(INDEX(Supplier_Lookup!$B$2:$B$200,MATCH(E1113,Supplier_Lookup!$A$2:$A$200,0)),"Unmapped")</f>
        <v>Facilities</v>
      </c>
      <c r="Q1113" s="10">
        <f>IFERROR(INDEX(Category_Targets!$B$2:$B$9,MATCH(F1113,Category_Targets!$A$2:$A$9,0)),0)</f>
        <v>0.05</v>
      </c>
      <c r="R1113" s="7">
        <f t="shared" si="35"/>
        <v>750.60350000000005</v>
      </c>
    </row>
    <row r="1114" spans="1:18" x14ac:dyDescent="0.25">
      <c r="A1114" s="5">
        <f>Procurement_Raw!A1114</f>
        <v>45728</v>
      </c>
      <c r="B1114" t="str">
        <f>Procurement_Raw!B1114</f>
        <v>S003</v>
      </c>
      <c r="C1114" t="str">
        <f>Procurement_Raw!C1114</f>
        <v>Leeds Care &amp; Education Centre</v>
      </c>
      <c r="D1114" t="str">
        <f>Procurement_Raw!D1114</f>
        <v>North</v>
      </c>
      <c r="E1114" t="str">
        <f>Procurement_Raw!E1114</f>
        <v>LearnWell</v>
      </c>
      <c r="F1114" t="str">
        <f>Procurement_Raw!F1114</f>
        <v>Office &amp; Training</v>
      </c>
      <c r="G1114" t="str">
        <f>Procurement_Raw!G1114</f>
        <v>INV-2025-01113</v>
      </c>
      <c r="H1114" s="6">
        <f>Procurement_Raw!H1114</f>
        <v>52</v>
      </c>
      <c r="I1114" s="7">
        <f>Procurement_Raw!I1114</f>
        <v>121.03</v>
      </c>
      <c r="J1114" s="7">
        <f>Procurement_Raw!J1114</f>
        <v>6293.48</v>
      </c>
      <c r="K1114" s="6">
        <f>Procurement_Raw!K1114</f>
        <v>30</v>
      </c>
      <c r="L1114" t="str">
        <f>Procurement_Raw!L1114</f>
        <v>Procurement Portal</v>
      </c>
      <c r="M1114" s="8">
        <f>Procurement_Raw!M1114</f>
        <v>1258.6959999999999</v>
      </c>
      <c r="N1114" s="7">
        <f>Procurement_Raw!N1114</f>
        <v>6293.48</v>
      </c>
      <c r="O1114" s="7">
        <f t="shared" si="34"/>
        <v>6293.48</v>
      </c>
      <c r="P1114" t="str">
        <f>IFERROR(INDEX(Supplier_Lookup!$B$2:$B$200,MATCH(E1114,Supplier_Lookup!$A$2:$A$200,0)),"Unmapped")</f>
        <v>Office &amp; Training</v>
      </c>
      <c r="Q1114" s="10">
        <f>IFERROR(INDEX(Category_Targets!$B$2:$B$9,MATCH(F1114,Category_Targets!$A$2:$A$9,0)),0)</f>
        <v>0.04</v>
      </c>
      <c r="R1114" s="7">
        <f t="shared" si="35"/>
        <v>251.73919999999998</v>
      </c>
    </row>
    <row r="1115" spans="1:18" x14ac:dyDescent="0.25">
      <c r="A1115" s="5">
        <f>Procurement_Raw!A1115</f>
        <v>45982</v>
      </c>
      <c r="B1115" t="str">
        <f>Procurement_Raw!B1115</f>
        <v>S001</v>
      </c>
      <c r="C1115" t="str">
        <f>Procurement_Raw!C1115</f>
        <v>Preston Care &amp; Education Centre</v>
      </c>
      <c r="D1115" t="str">
        <f>Procurement_Raw!D1115</f>
        <v>North</v>
      </c>
      <c r="E1115" t="str">
        <f>Procurement_Raw!E1115</f>
        <v>PrintCo</v>
      </c>
      <c r="F1115" t="str">
        <f>Procurement_Raw!F1115</f>
        <v>Office &amp; Training</v>
      </c>
      <c r="G1115" t="str">
        <f>Procurement_Raw!G1115</f>
        <v>INV-2025-01114</v>
      </c>
      <c r="H1115" s="6">
        <f>Procurement_Raw!H1115</f>
        <v>1</v>
      </c>
      <c r="I1115" s="7">
        <f>Procurement_Raw!I1115</f>
        <v>98.51</v>
      </c>
      <c r="J1115" s="7">
        <f>Procurement_Raw!J1115</f>
        <v>98.51</v>
      </c>
      <c r="K1115" s="6">
        <f>Procurement_Raw!K1115</f>
        <v>60</v>
      </c>
      <c r="L1115" t="str">
        <f>Procurement_Raw!L1115</f>
        <v>ERP</v>
      </c>
      <c r="M1115" s="8">
        <f>Procurement_Raw!M1115</f>
        <v>19.702000000000002</v>
      </c>
      <c r="N1115" s="7">
        <f>Procurement_Raw!N1115</f>
        <v>98.51</v>
      </c>
      <c r="O1115" s="7">
        <f t="shared" si="34"/>
        <v>98.51</v>
      </c>
      <c r="P1115" t="str">
        <f>IFERROR(INDEX(Supplier_Lookup!$B$2:$B$200,MATCH(E1115,Supplier_Lookup!$A$2:$A$200,0)),"Unmapped")</f>
        <v>Office &amp; Training</v>
      </c>
      <c r="Q1115" s="10">
        <f>IFERROR(INDEX(Category_Targets!$B$2:$B$9,MATCH(F1115,Category_Targets!$A$2:$A$9,0)),0)</f>
        <v>0.04</v>
      </c>
      <c r="R1115" s="7">
        <f t="shared" si="35"/>
        <v>3.9404000000000003</v>
      </c>
    </row>
    <row r="1116" spans="1:18" x14ac:dyDescent="0.25">
      <c r="A1116" s="5">
        <f>Procurement_Raw!A1116</f>
        <v>45674</v>
      </c>
      <c r="B1116" t="str">
        <f>Procurement_Raw!B1116</f>
        <v>S018</v>
      </c>
      <c r="C1116" t="str">
        <f>Procurement_Raw!C1116</f>
        <v>Newport Care &amp; Education Centre</v>
      </c>
      <c r="D1116" t="str">
        <f>Procurement_Raw!D1116</f>
        <v>Wales</v>
      </c>
      <c r="E1116" t="str">
        <f>Procurement_Raw!E1116</f>
        <v>AutoCare</v>
      </c>
      <c r="F1116" t="str">
        <f>Procurement_Raw!F1116</f>
        <v>Vehicle &amp; Fuel</v>
      </c>
      <c r="G1116" t="str">
        <f>Procurement_Raw!G1116</f>
        <v>INV-2025-01115</v>
      </c>
      <c r="H1116" s="6">
        <f>Procurement_Raw!H1116</f>
        <v>38</v>
      </c>
      <c r="I1116" s="7">
        <f>Procurement_Raw!I1116</f>
        <v>103.19</v>
      </c>
      <c r="J1116" s="7">
        <f>Procurement_Raw!J1116</f>
        <v>3921.36</v>
      </c>
      <c r="K1116" s="6">
        <f>Procurement_Raw!K1116</f>
        <v>45</v>
      </c>
      <c r="L1116" t="str">
        <f>Procurement_Raw!L1116</f>
        <v>Procurement Portal</v>
      </c>
      <c r="M1116" s="8">
        <f>Procurement_Raw!M1116</f>
        <v>784.27200000000005</v>
      </c>
      <c r="N1116" s="7">
        <f>Procurement_Raw!N1116</f>
        <v>3921.36</v>
      </c>
      <c r="O1116" s="7">
        <f t="shared" si="34"/>
        <v>3921.36</v>
      </c>
      <c r="P1116" t="str">
        <f>IFERROR(INDEX(Supplier_Lookup!$B$2:$B$200,MATCH(E1116,Supplier_Lookup!$A$2:$A$200,0)),"Unmapped")</f>
        <v>Vehicle &amp; Fuel</v>
      </c>
      <c r="Q1116" s="10">
        <f>IFERROR(INDEX(Category_Targets!$B$2:$B$9,MATCH(F1116,Category_Targets!$A$2:$A$9,0)),0)</f>
        <v>0.05</v>
      </c>
      <c r="R1116" s="7">
        <f t="shared" si="35"/>
        <v>196.06800000000001</v>
      </c>
    </row>
    <row r="1117" spans="1:18" x14ac:dyDescent="0.25">
      <c r="A1117" s="5">
        <f>Procurement_Raw!A1117</f>
        <v>45699</v>
      </c>
      <c r="B1117" t="str">
        <f>Procurement_Raw!B1117</f>
        <v>S014</v>
      </c>
      <c r="C1117" t="str">
        <f>Procurement_Raw!C1117</f>
        <v>Southampton Care &amp; Education Centre</v>
      </c>
      <c r="D1117" t="str">
        <f>Procurement_Raw!D1117</f>
        <v>South</v>
      </c>
      <c r="E1117" t="str">
        <f>Procurement_Raw!E1117</f>
        <v>PowerDirect</v>
      </c>
      <c r="F1117" t="str">
        <f>Procurement_Raw!F1117</f>
        <v>Utilities</v>
      </c>
      <c r="G1117" t="str">
        <f>Procurement_Raw!G1117</f>
        <v>INV-2025-01116</v>
      </c>
      <c r="H1117" s="6">
        <f>Procurement_Raw!H1117</f>
        <v>80</v>
      </c>
      <c r="I1117" s="7">
        <f>Procurement_Raw!I1117</f>
        <v>305.57</v>
      </c>
      <c r="J1117" s="7">
        <f>Procurement_Raw!J1117</f>
        <v>24445.86</v>
      </c>
      <c r="K1117" s="6">
        <f>Procurement_Raw!K1117</f>
        <v>45</v>
      </c>
      <c r="L1117" t="str">
        <f>Procurement_Raw!L1117</f>
        <v>Legacy Spend File</v>
      </c>
      <c r="M1117" s="8">
        <f>Procurement_Raw!M1117</f>
        <v>4889.1719999999996</v>
      </c>
      <c r="N1117" s="7">
        <f>Procurement_Raw!N1117</f>
        <v>24445.86</v>
      </c>
      <c r="O1117" s="7">
        <f t="shared" si="34"/>
        <v>24445.86</v>
      </c>
      <c r="P1117" t="str">
        <f>IFERROR(INDEX(Supplier_Lookup!$B$2:$B$200,MATCH(E1117,Supplier_Lookup!$A$2:$A$200,0)),"Unmapped")</f>
        <v>Utilities</v>
      </c>
      <c r="Q1117" s="10">
        <f>IFERROR(INDEX(Category_Targets!$B$2:$B$9,MATCH(F1117,Category_Targets!$A$2:$A$9,0)),0)</f>
        <v>0.03</v>
      </c>
      <c r="R1117" s="7">
        <f t="shared" si="35"/>
        <v>733.37580000000003</v>
      </c>
    </row>
    <row r="1118" spans="1:18" x14ac:dyDescent="0.25">
      <c r="A1118" s="5">
        <f>Procurement_Raw!A1118</f>
        <v>45714</v>
      </c>
      <c r="B1118" t="str">
        <f>Procurement_Raw!B1118</f>
        <v>S007</v>
      </c>
      <c r="C1118" t="str">
        <f>Procurement_Raw!C1118</f>
        <v>Nottingham Care &amp; Education Centre</v>
      </c>
      <c r="D1118" t="str">
        <f>Procurement_Raw!D1118</f>
        <v>Midlands</v>
      </c>
      <c r="E1118" t="str">
        <f>Procurement_Raw!E1118</f>
        <v>FleetFuel</v>
      </c>
      <c r="F1118" t="str">
        <f>Procurement_Raw!F1118</f>
        <v>Vehicle &amp; Fuel</v>
      </c>
      <c r="G1118" t="str">
        <f>Procurement_Raw!G1118</f>
        <v>INV-2025-01117</v>
      </c>
      <c r="H1118" s="6">
        <f>Procurement_Raw!H1118</f>
        <v>50</v>
      </c>
      <c r="I1118" s="7">
        <f>Procurement_Raw!I1118</f>
        <v>356.29</v>
      </c>
      <c r="J1118" s="7">
        <f>Procurement_Raw!J1118</f>
        <v>17814.689999999999</v>
      </c>
      <c r="K1118" s="6">
        <f>Procurement_Raw!K1118</f>
        <v>45</v>
      </c>
      <c r="L1118" t="str">
        <f>Procurement_Raw!L1118</f>
        <v>Procurement Portal</v>
      </c>
      <c r="M1118" s="8">
        <f>Procurement_Raw!M1118</f>
        <v>3562.9380000000001</v>
      </c>
      <c r="N1118" s="7">
        <f>Procurement_Raw!N1118</f>
        <v>17814.689999999999</v>
      </c>
      <c r="O1118" s="7">
        <f t="shared" si="34"/>
        <v>17814.689999999999</v>
      </c>
      <c r="P1118" t="str">
        <f>IFERROR(INDEX(Supplier_Lookup!$B$2:$B$200,MATCH(E1118,Supplier_Lookup!$A$2:$A$200,0)),"Unmapped")</f>
        <v>Vehicle &amp; Fuel</v>
      </c>
      <c r="Q1118" s="10">
        <f>IFERROR(INDEX(Category_Targets!$B$2:$B$9,MATCH(F1118,Category_Targets!$A$2:$A$9,0)),0)</f>
        <v>0.05</v>
      </c>
      <c r="R1118" s="7">
        <f t="shared" si="35"/>
        <v>890.73450000000003</v>
      </c>
    </row>
    <row r="1119" spans="1:18" x14ac:dyDescent="0.25">
      <c r="A1119" s="5">
        <f>Procurement_Raw!A1119</f>
        <v>45845</v>
      </c>
      <c r="B1119" t="str">
        <f>Procurement_Raw!B1119</f>
        <v>S016</v>
      </c>
      <c r="C1119" t="str">
        <f>Procurement_Raw!C1119</f>
        <v>Cardiff Care &amp; Education Centre</v>
      </c>
      <c r="D1119" t="str">
        <f>Procurement_Raw!D1119</f>
        <v>Wales</v>
      </c>
      <c r="E1119" t="str">
        <f>Procurement_Raw!E1119</f>
        <v>CareMed</v>
      </c>
      <c r="F1119" t="str">
        <f>Procurement_Raw!F1119</f>
        <v>Medical Supplies</v>
      </c>
      <c r="G1119" t="str">
        <f>Procurement_Raw!G1119</f>
        <v>INV-2025-01118</v>
      </c>
      <c r="H1119" s="6">
        <f>Procurement_Raw!H1119</f>
        <v>23</v>
      </c>
      <c r="I1119" s="7">
        <f>Procurement_Raw!I1119</f>
        <v>116.26</v>
      </c>
      <c r="J1119" s="7">
        <f>Procurement_Raw!J1119</f>
        <v>2673.91</v>
      </c>
      <c r="K1119" s="6">
        <f>Procurement_Raw!K1119</f>
        <v>60</v>
      </c>
      <c r="L1119" t="str">
        <f>Procurement_Raw!L1119</f>
        <v>Legacy Spend File</v>
      </c>
      <c r="M1119" s="8">
        <f>Procurement_Raw!M1119</f>
        <v>534.78200000000004</v>
      </c>
      <c r="N1119" s="7">
        <f>Procurement_Raw!N1119</f>
        <v>2673.91</v>
      </c>
      <c r="O1119" s="7">
        <f t="shared" si="34"/>
        <v>2673.91</v>
      </c>
      <c r="P1119" t="str">
        <f>IFERROR(INDEX(Supplier_Lookup!$B$2:$B$200,MATCH(E1119,Supplier_Lookup!$A$2:$A$200,0)),"Unmapped")</f>
        <v>Medical Supplies</v>
      </c>
      <c r="Q1119" s="10">
        <f>IFERROR(INDEX(Category_Targets!$B$2:$B$9,MATCH(F1119,Category_Targets!$A$2:$A$9,0)),0)</f>
        <v>0.06</v>
      </c>
      <c r="R1119" s="7">
        <f t="shared" si="35"/>
        <v>160.43459999999999</v>
      </c>
    </row>
    <row r="1120" spans="1:18" x14ac:dyDescent="0.25">
      <c r="A1120" s="5">
        <f>Procurement_Raw!A1120</f>
        <v>46021</v>
      </c>
      <c r="B1120" t="str">
        <f>Procurement_Raw!B1120</f>
        <v>S006</v>
      </c>
      <c r="C1120" t="str">
        <f>Procurement_Raw!C1120</f>
        <v>Birmingham Care &amp; Education Centre</v>
      </c>
      <c r="D1120" t="str">
        <f>Procurement_Raw!D1120</f>
        <v>Midlands</v>
      </c>
      <c r="E1120" t="str">
        <f>Procurement_Raw!E1120</f>
        <v>KitchenPro</v>
      </c>
      <c r="F1120" t="str">
        <f>Procurement_Raw!F1120</f>
        <v>Food &amp; Catering</v>
      </c>
      <c r="G1120" t="str">
        <f>Procurement_Raw!G1120</f>
        <v>INV-2025-01119</v>
      </c>
      <c r="H1120" s="6">
        <f>Procurement_Raw!H1120</f>
        <v>27</v>
      </c>
      <c r="I1120" s="7">
        <f>Procurement_Raw!I1120</f>
        <v>72.599999999999994</v>
      </c>
      <c r="J1120" s="7">
        <f>Procurement_Raw!J1120</f>
        <v>1960.25</v>
      </c>
      <c r="K1120" s="6">
        <f>Procurement_Raw!K1120</f>
        <v>30</v>
      </c>
      <c r="L1120" t="str">
        <f>Procurement_Raw!L1120</f>
        <v>Procurement Portal</v>
      </c>
      <c r="M1120" s="8">
        <f>Procurement_Raw!M1120</f>
        <v>392.05</v>
      </c>
      <c r="N1120" s="7">
        <f>Procurement_Raw!N1120</f>
        <v>1960.25</v>
      </c>
      <c r="O1120" s="7">
        <f t="shared" si="34"/>
        <v>1960.25</v>
      </c>
      <c r="P1120" t="str">
        <f>IFERROR(INDEX(Supplier_Lookup!$B$2:$B$200,MATCH(E1120,Supplier_Lookup!$A$2:$A$200,0)),"Unmapped")</f>
        <v>Food &amp; Catering</v>
      </c>
      <c r="Q1120" s="10">
        <f>IFERROR(INDEX(Category_Targets!$B$2:$B$9,MATCH(F1120,Category_Targets!$A$2:$A$9,0)),0)</f>
        <v>0.04</v>
      </c>
      <c r="R1120" s="7">
        <f t="shared" si="35"/>
        <v>78.41</v>
      </c>
    </row>
    <row r="1121" spans="1:18" x14ac:dyDescent="0.25">
      <c r="A1121" s="5">
        <f>Procurement_Raw!A1121</f>
        <v>45902</v>
      </c>
      <c r="B1121" t="str">
        <f>Procurement_Raw!B1121</f>
        <v>S010</v>
      </c>
      <c r="C1121" t="str">
        <f>Procurement_Raw!C1121</f>
        <v>Coventry Care &amp; Education Centre</v>
      </c>
      <c r="D1121" t="str">
        <f>Procurement_Raw!D1121</f>
        <v>Midlands</v>
      </c>
      <c r="E1121" t="str">
        <f>Procurement_Raw!E1121</f>
        <v>KitchenPro</v>
      </c>
      <c r="F1121" t="str">
        <f>Procurement_Raw!F1121</f>
        <v>Food &amp; Catering</v>
      </c>
      <c r="G1121" t="str">
        <f>Procurement_Raw!G1121</f>
        <v>INV-2025-01120</v>
      </c>
      <c r="H1121" s="6">
        <f>Procurement_Raw!H1121</f>
        <v>75</v>
      </c>
      <c r="I1121" s="7">
        <f>Procurement_Raw!I1121</f>
        <v>115.84</v>
      </c>
      <c r="J1121" s="7">
        <f>Procurement_Raw!J1121</f>
        <v>8688.32</v>
      </c>
      <c r="K1121" s="6">
        <f>Procurement_Raw!K1121</f>
        <v>60</v>
      </c>
      <c r="L1121" t="str">
        <f>Procurement_Raw!L1121</f>
        <v>ERP</v>
      </c>
      <c r="M1121" s="8">
        <f>Procurement_Raw!M1121</f>
        <v>1737.664</v>
      </c>
      <c r="N1121" s="7">
        <f>Procurement_Raw!N1121</f>
        <v>8688.32</v>
      </c>
      <c r="O1121" s="7">
        <f t="shared" si="34"/>
        <v>8688.32</v>
      </c>
      <c r="P1121" t="str">
        <f>IFERROR(INDEX(Supplier_Lookup!$B$2:$B$200,MATCH(E1121,Supplier_Lookup!$A$2:$A$200,0)),"Unmapped")</f>
        <v>Food &amp; Catering</v>
      </c>
      <c r="Q1121" s="10">
        <f>IFERROR(INDEX(Category_Targets!$B$2:$B$9,MATCH(F1121,Category_Targets!$A$2:$A$9,0)),0)</f>
        <v>0.04</v>
      </c>
      <c r="R1121" s="7">
        <f t="shared" si="35"/>
        <v>347.53280000000001</v>
      </c>
    </row>
    <row r="1122" spans="1:18" x14ac:dyDescent="0.25">
      <c r="A1122" s="5">
        <f>Procurement_Raw!A1122</f>
        <v>45838</v>
      </c>
      <c r="B1122" t="str">
        <f>Procurement_Raw!B1122</f>
        <v>S002</v>
      </c>
      <c r="C1122" t="str">
        <f>Procurement_Raw!C1122</f>
        <v>Manchester Care &amp; Education Centre</v>
      </c>
      <c r="D1122" t="str">
        <f>Procurement_Raw!D1122</f>
        <v>North</v>
      </c>
      <c r="E1122" t="str">
        <f>Procurement_Raw!E1122</f>
        <v>WaterGrid</v>
      </c>
      <c r="F1122" t="str">
        <f>Procurement_Raw!F1122</f>
        <v>Utilities</v>
      </c>
      <c r="G1122" t="str">
        <f>Procurement_Raw!G1122</f>
        <v>INV-2025-01121</v>
      </c>
      <c r="H1122" s="6">
        <f>Procurement_Raw!H1122</f>
        <v>35</v>
      </c>
      <c r="I1122" s="7">
        <f>Procurement_Raw!I1122</f>
        <v>459.21</v>
      </c>
      <c r="J1122" s="7">
        <f>Procurement_Raw!J1122</f>
        <v>16072.23</v>
      </c>
      <c r="K1122" s="6">
        <f>Procurement_Raw!K1122</f>
        <v>60</v>
      </c>
      <c r="L1122" t="str">
        <f>Procurement_Raw!L1122</f>
        <v>Legacy Spend File</v>
      </c>
      <c r="M1122" s="8">
        <f>Procurement_Raw!M1122</f>
        <v>3214.4459999999999</v>
      </c>
      <c r="N1122" s="7">
        <f>Procurement_Raw!N1122</f>
        <v>16072.23</v>
      </c>
      <c r="O1122" s="7">
        <f t="shared" si="34"/>
        <v>16072.23</v>
      </c>
      <c r="P1122" t="str">
        <f>IFERROR(INDEX(Supplier_Lookup!$B$2:$B$200,MATCH(E1122,Supplier_Lookup!$A$2:$A$200,0)),"Unmapped")</f>
        <v>Utilities</v>
      </c>
      <c r="Q1122" s="10">
        <f>IFERROR(INDEX(Category_Targets!$B$2:$B$9,MATCH(F1122,Category_Targets!$A$2:$A$9,0)),0)</f>
        <v>0.03</v>
      </c>
      <c r="R1122" s="7">
        <f t="shared" si="35"/>
        <v>482.16689999999994</v>
      </c>
    </row>
    <row r="1123" spans="1:18" x14ac:dyDescent="0.25">
      <c r="A1123" s="5">
        <f>Procurement_Raw!A1123</f>
        <v>45690</v>
      </c>
      <c r="B1123" t="str">
        <f>Procurement_Raw!B1123</f>
        <v>S003</v>
      </c>
      <c r="C1123" t="str">
        <f>Procurement_Raw!C1123</f>
        <v>Leeds Care &amp; Education Centre</v>
      </c>
      <c r="D1123" t="str">
        <f>Procurement_Raw!D1123</f>
        <v>North</v>
      </c>
      <c r="E1123" t="str">
        <f>Procurement_Raw!E1123</f>
        <v>CloudLink</v>
      </c>
      <c r="F1123" t="str">
        <f>Procurement_Raw!F1123</f>
        <v>IT &amp; Telecoms</v>
      </c>
      <c r="G1123" t="str">
        <f>Procurement_Raw!G1123</f>
        <v>INV-2025-01122</v>
      </c>
      <c r="H1123" s="6">
        <f>Procurement_Raw!H1123</f>
        <v>48</v>
      </c>
      <c r="I1123" s="7">
        <f>Procurement_Raw!I1123</f>
        <v>422.63</v>
      </c>
      <c r="J1123" s="7">
        <f>Procurement_Raw!J1123</f>
        <v>20286.18</v>
      </c>
      <c r="K1123" s="6">
        <f>Procurement_Raw!K1123</f>
        <v>45</v>
      </c>
      <c r="L1123" t="str">
        <f>Procurement_Raw!L1123</f>
        <v>Procurement Portal</v>
      </c>
      <c r="M1123" s="8">
        <f>Procurement_Raw!M1123</f>
        <v>4057.2359999999999</v>
      </c>
      <c r="N1123" s="7">
        <f>Procurement_Raw!N1123</f>
        <v>20286.18</v>
      </c>
      <c r="O1123" s="7">
        <f t="shared" si="34"/>
        <v>20286.18</v>
      </c>
      <c r="P1123" t="str">
        <f>IFERROR(INDEX(Supplier_Lookup!$B$2:$B$200,MATCH(E1123,Supplier_Lookup!$A$2:$A$200,0)),"Unmapped")</f>
        <v>medical supplies</v>
      </c>
      <c r="Q1123" s="10">
        <f>IFERROR(INDEX(Category_Targets!$B$2:$B$9,MATCH(F1123,Category_Targets!$A$2:$A$9,0)),0)</f>
        <v>0.08</v>
      </c>
      <c r="R1123" s="7">
        <f t="shared" si="35"/>
        <v>1622.8944000000001</v>
      </c>
    </row>
    <row r="1124" spans="1:18" x14ac:dyDescent="0.25">
      <c r="A1124" s="5">
        <f>Procurement_Raw!A1124</f>
        <v>46021</v>
      </c>
      <c r="B1124" t="str">
        <f>Procurement_Raw!B1124</f>
        <v>S013</v>
      </c>
      <c r="C1124" t="str">
        <f>Procurement_Raw!C1124</f>
        <v>Reading Care &amp; Education Centre</v>
      </c>
      <c r="D1124" t="str">
        <f>Procurement_Raw!D1124</f>
        <v>South</v>
      </c>
      <c r="E1124" t="str">
        <f>Procurement_Raw!E1124</f>
        <v>NourishCo</v>
      </c>
      <c r="F1124" t="str">
        <f>Procurement_Raw!F1124</f>
        <v>Food &amp; Catering</v>
      </c>
      <c r="G1124" t="str">
        <f>Procurement_Raw!G1124</f>
        <v>INV-2025-01123</v>
      </c>
      <c r="H1124" s="6">
        <f>Procurement_Raw!H1124</f>
        <v>69</v>
      </c>
      <c r="I1124" s="7">
        <f>Procurement_Raw!I1124</f>
        <v>92.36</v>
      </c>
      <c r="J1124" s="7">
        <f>Procurement_Raw!J1124</f>
        <v>6372.81</v>
      </c>
      <c r="K1124" s="6">
        <f>Procurement_Raw!K1124</f>
        <v>60</v>
      </c>
      <c r="L1124" t="str">
        <f>Procurement_Raw!L1124</f>
        <v>Legacy Spend File</v>
      </c>
      <c r="M1124" s="8">
        <f>Procurement_Raw!M1124</f>
        <v>1274.5619999999999</v>
      </c>
      <c r="N1124" s="7">
        <f>Procurement_Raw!N1124</f>
        <v>6372.81</v>
      </c>
      <c r="O1124" s="7">
        <f t="shared" si="34"/>
        <v>6372.81</v>
      </c>
      <c r="P1124" t="str">
        <f>IFERROR(INDEX(Supplier_Lookup!$B$2:$B$200,MATCH(E1124,Supplier_Lookup!$A$2:$A$200,0)),"Unmapped")</f>
        <v>Food &amp; Catering</v>
      </c>
      <c r="Q1124" s="10">
        <f>IFERROR(INDEX(Category_Targets!$B$2:$B$9,MATCH(F1124,Category_Targets!$A$2:$A$9,0)),0)</f>
        <v>0.04</v>
      </c>
      <c r="R1124" s="7">
        <f t="shared" si="35"/>
        <v>254.91240000000002</v>
      </c>
    </row>
    <row r="1125" spans="1:18" x14ac:dyDescent="0.25">
      <c r="A1125" s="5">
        <f>Procurement_Raw!A1125</f>
        <v>45846</v>
      </c>
      <c r="B1125" t="str">
        <f>Procurement_Raw!B1125</f>
        <v>S010</v>
      </c>
      <c r="C1125" t="str">
        <f>Procurement_Raw!C1125</f>
        <v>Coventry Care &amp; Education Centre</v>
      </c>
      <c r="D1125" t="str">
        <f>Procurement_Raw!D1125</f>
        <v>Midlands</v>
      </c>
      <c r="E1125" t="str">
        <f>Procurement_Raw!E1125</f>
        <v>PrintCo</v>
      </c>
      <c r="F1125" t="str">
        <f>Procurement_Raw!F1125</f>
        <v>Office &amp; Training</v>
      </c>
      <c r="G1125" t="str">
        <f>Procurement_Raw!G1125</f>
        <v>INV-2025-01124</v>
      </c>
      <c r="H1125" s="6">
        <f>Procurement_Raw!H1125</f>
        <v>9</v>
      </c>
      <c r="I1125" s="7">
        <f>Procurement_Raw!I1125</f>
        <v>40</v>
      </c>
      <c r="J1125" s="7">
        <f>Procurement_Raw!J1125</f>
        <v>359.98</v>
      </c>
      <c r="K1125" s="6">
        <f>Procurement_Raw!K1125</f>
        <v>30</v>
      </c>
      <c r="L1125" t="str">
        <f>Procurement_Raw!L1125</f>
        <v>Procurement Portal</v>
      </c>
      <c r="M1125" s="8">
        <f>Procurement_Raw!M1125</f>
        <v>71.995999999999995</v>
      </c>
      <c r="N1125" s="7">
        <f>Procurement_Raw!N1125</f>
        <v>359.98</v>
      </c>
      <c r="O1125" s="7">
        <f t="shared" si="34"/>
        <v>359.98</v>
      </c>
      <c r="P1125" t="str">
        <f>IFERROR(INDEX(Supplier_Lookup!$B$2:$B$200,MATCH(E1125,Supplier_Lookup!$A$2:$A$200,0)),"Unmapped")</f>
        <v>Office &amp; Training</v>
      </c>
      <c r="Q1125" s="10">
        <f>IFERROR(INDEX(Category_Targets!$B$2:$B$9,MATCH(F1125,Category_Targets!$A$2:$A$9,0)),0)</f>
        <v>0.04</v>
      </c>
      <c r="R1125" s="7">
        <f t="shared" si="35"/>
        <v>14.3992</v>
      </c>
    </row>
    <row r="1126" spans="1:18" x14ac:dyDescent="0.25">
      <c r="A1126" s="5">
        <f>Procurement_Raw!A1126</f>
        <v>45749</v>
      </c>
      <c r="B1126" t="str">
        <f>Procurement_Raw!B1126</f>
        <v>S006</v>
      </c>
      <c r="C1126" t="str">
        <f>Procurement_Raw!C1126</f>
        <v>Birmingham Care &amp; Education Centre</v>
      </c>
      <c r="D1126" t="str">
        <f>Procurement_Raw!D1126</f>
        <v>Midlands</v>
      </c>
      <c r="E1126" t="str">
        <f>Procurement_Raw!E1126</f>
        <v>NourishCo</v>
      </c>
      <c r="F1126" t="str">
        <f>Procurement_Raw!F1126</f>
        <v>Food &amp; Catering</v>
      </c>
      <c r="G1126" t="str">
        <f>Procurement_Raw!G1126</f>
        <v>INV-2025-01125</v>
      </c>
      <c r="H1126" s="6">
        <f>Procurement_Raw!H1126</f>
        <v>37</v>
      </c>
      <c r="I1126" s="7">
        <f>Procurement_Raw!I1126</f>
        <v>159.62</v>
      </c>
      <c r="J1126" s="7">
        <f>Procurement_Raw!J1126</f>
        <v>5905.81</v>
      </c>
      <c r="K1126" s="6">
        <f>Procurement_Raw!K1126</f>
        <v>30</v>
      </c>
      <c r="L1126" t="str">
        <f>Procurement_Raw!L1126</f>
        <v>ERP</v>
      </c>
      <c r="M1126" s="8">
        <f>Procurement_Raw!M1126</f>
        <v>1181.162</v>
      </c>
      <c r="N1126" s="7">
        <f>Procurement_Raw!N1126</f>
        <v>5905.81</v>
      </c>
      <c r="O1126" s="7">
        <f t="shared" si="34"/>
        <v>5905.81</v>
      </c>
      <c r="P1126" t="str">
        <f>IFERROR(INDEX(Supplier_Lookup!$B$2:$B$200,MATCH(E1126,Supplier_Lookup!$A$2:$A$200,0)),"Unmapped")</f>
        <v>Food &amp; Catering</v>
      </c>
      <c r="Q1126" s="10">
        <f>IFERROR(INDEX(Category_Targets!$B$2:$B$9,MATCH(F1126,Category_Targets!$A$2:$A$9,0)),0)</f>
        <v>0.04</v>
      </c>
      <c r="R1126" s="7">
        <f t="shared" si="35"/>
        <v>236.23240000000001</v>
      </c>
    </row>
    <row r="1127" spans="1:18" x14ac:dyDescent="0.25">
      <c r="A1127" s="5">
        <f>Procurement_Raw!A1127</f>
        <v>46014</v>
      </c>
      <c r="B1127" t="str">
        <f>Procurement_Raw!B1127</f>
        <v>S007</v>
      </c>
      <c r="C1127" t="str">
        <f>Procurement_Raw!C1127</f>
        <v>Nottingham Care &amp; Education Centre</v>
      </c>
      <c r="D1127" t="str">
        <f>Procurement_Raw!D1127</f>
        <v>Midlands</v>
      </c>
      <c r="E1127" t="str">
        <f>Procurement_Raw!E1127</f>
        <v>CloudLink</v>
      </c>
      <c r="F1127" t="str">
        <f>Procurement_Raw!F1127</f>
        <v>IT &amp; Telecoms</v>
      </c>
      <c r="G1127" t="str">
        <f>Procurement_Raw!G1127</f>
        <v>INV-2025-01126</v>
      </c>
      <c r="H1127" s="6">
        <f>Procurement_Raw!H1127</f>
        <v>19</v>
      </c>
      <c r="I1127" s="7">
        <f>Procurement_Raw!I1127</f>
        <v>117.11</v>
      </c>
      <c r="J1127" s="7">
        <f>Procurement_Raw!J1127</f>
        <v>2225.14</v>
      </c>
      <c r="K1127" s="6">
        <f>Procurement_Raw!K1127</f>
        <v>45</v>
      </c>
      <c r="L1127" t="str">
        <f>Procurement_Raw!L1127</f>
        <v>ERP</v>
      </c>
      <c r="M1127" s="8">
        <f>Procurement_Raw!M1127</f>
        <v>445.02800000000002</v>
      </c>
      <c r="N1127" s="7">
        <f>Procurement_Raw!N1127</f>
        <v>2225.14</v>
      </c>
      <c r="O1127" s="7">
        <f t="shared" si="34"/>
        <v>2225.14</v>
      </c>
      <c r="P1127" t="str">
        <f>IFERROR(INDEX(Supplier_Lookup!$B$2:$B$200,MATCH(E1127,Supplier_Lookup!$A$2:$A$200,0)),"Unmapped")</f>
        <v>medical supplies</v>
      </c>
      <c r="Q1127" s="10">
        <f>IFERROR(INDEX(Category_Targets!$B$2:$B$9,MATCH(F1127,Category_Targets!$A$2:$A$9,0)),0)</f>
        <v>0.08</v>
      </c>
      <c r="R1127" s="7">
        <f t="shared" si="35"/>
        <v>178.0112</v>
      </c>
    </row>
    <row r="1128" spans="1:18" x14ac:dyDescent="0.25">
      <c r="A1128" s="5">
        <f>Procurement_Raw!A1128</f>
        <v>45871</v>
      </c>
      <c r="B1128" t="str">
        <f>Procurement_Raw!B1128</f>
        <v>S010</v>
      </c>
      <c r="C1128" t="str">
        <f>Procurement_Raw!C1128</f>
        <v>Coventry Care &amp; Education Centre</v>
      </c>
      <c r="D1128" t="str">
        <f>Procurement_Raw!D1128</f>
        <v>Midlands</v>
      </c>
      <c r="E1128" t="str">
        <f>Procurement_Raw!E1128</f>
        <v>CareMed</v>
      </c>
      <c r="F1128" t="str">
        <f>Procurement_Raw!F1128</f>
        <v>Medical Supplies</v>
      </c>
      <c r="G1128" t="str">
        <f>Procurement_Raw!G1128</f>
        <v>INV-2025-01127</v>
      </c>
      <c r="H1128" s="6">
        <f>Procurement_Raw!H1128</f>
        <v>70</v>
      </c>
      <c r="I1128" s="7">
        <f>Procurement_Raw!I1128</f>
        <v>141.72999999999999</v>
      </c>
      <c r="J1128" s="7">
        <f>Procurement_Raw!J1128</f>
        <v>9921.27</v>
      </c>
      <c r="K1128" s="6">
        <f>Procurement_Raw!K1128</f>
        <v>30</v>
      </c>
      <c r="L1128" t="str">
        <f>Procurement_Raw!L1128</f>
        <v>Procurement Portal</v>
      </c>
      <c r="M1128" s="8">
        <f>Procurement_Raw!M1128</f>
        <v>1984.2539999999999</v>
      </c>
      <c r="N1128" s="7">
        <f>Procurement_Raw!N1128</f>
        <v>9921.27</v>
      </c>
      <c r="O1128" s="7">
        <f t="shared" si="34"/>
        <v>9921.27</v>
      </c>
      <c r="P1128" t="str">
        <f>IFERROR(INDEX(Supplier_Lookup!$B$2:$B$200,MATCH(E1128,Supplier_Lookup!$A$2:$A$200,0)),"Unmapped")</f>
        <v>Medical Supplies</v>
      </c>
      <c r="Q1128" s="10">
        <f>IFERROR(INDEX(Category_Targets!$B$2:$B$9,MATCH(F1128,Category_Targets!$A$2:$A$9,0)),0)</f>
        <v>0.06</v>
      </c>
      <c r="R1128" s="7">
        <f t="shared" si="35"/>
        <v>595.27620000000002</v>
      </c>
    </row>
    <row r="1129" spans="1:18" x14ac:dyDescent="0.25">
      <c r="A1129" s="5">
        <f>Procurement_Raw!A1129</f>
        <v>45988</v>
      </c>
      <c r="B1129" t="str">
        <f>Procurement_Raw!B1129</f>
        <v>S008</v>
      </c>
      <c r="C1129" t="str">
        <f>Procurement_Raw!C1129</f>
        <v>Leicester Care &amp; Education Centre</v>
      </c>
      <c r="D1129" t="str">
        <f>Procurement_Raw!D1129</f>
        <v>Midlands</v>
      </c>
      <c r="E1129" t="str">
        <f>Procurement_Raw!E1129</f>
        <v>CareTemps</v>
      </c>
      <c r="F1129" t="str">
        <f>Procurement_Raw!F1129</f>
        <v>Agency Labour</v>
      </c>
      <c r="G1129" t="str">
        <f>Procurement_Raw!G1129</f>
        <v>INV-2025-01128</v>
      </c>
      <c r="H1129" s="6">
        <f>Procurement_Raw!H1129</f>
        <v>3</v>
      </c>
      <c r="I1129" s="7">
        <f>Procurement_Raw!I1129</f>
        <v>198.13</v>
      </c>
      <c r="J1129" s="7">
        <f>Procurement_Raw!J1129</f>
        <v>594.39</v>
      </c>
      <c r="K1129" s="6">
        <f>Procurement_Raw!K1129</f>
        <v>45</v>
      </c>
      <c r="L1129" t="str">
        <f>Procurement_Raw!L1129</f>
        <v>ERP</v>
      </c>
      <c r="M1129" s="8">
        <f>Procurement_Raw!M1129</f>
        <v>118.878</v>
      </c>
      <c r="N1129" s="7">
        <f>Procurement_Raw!N1129</f>
        <v>594.39</v>
      </c>
      <c r="O1129" s="7">
        <f t="shared" si="34"/>
        <v>594.39</v>
      </c>
      <c r="P1129" t="str">
        <f>IFERROR(INDEX(Supplier_Lookup!$B$2:$B$200,MATCH(E1129,Supplier_Lookup!$A$2:$A$200,0)),"Unmapped")</f>
        <v>Agency Labour</v>
      </c>
      <c r="Q1129" s="10">
        <f>IFERROR(INDEX(Category_Targets!$B$2:$B$9,MATCH(F1129,Category_Targets!$A$2:$A$9,0)),0)</f>
        <v>7.0000000000000007E-2</v>
      </c>
      <c r="R1129" s="7">
        <f t="shared" si="35"/>
        <v>41.607300000000002</v>
      </c>
    </row>
    <row r="1130" spans="1:18" x14ac:dyDescent="0.25">
      <c r="A1130" s="5">
        <f>Procurement_Raw!A1130</f>
        <v>45924</v>
      </c>
      <c r="B1130" t="str">
        <f>Procurement_Raw!B1130</f>
        <v>S015</v>
      </c>
      <c r="C1130" t="str">
        <f>Procurement_Raw!C1130</f>
        <v>Brighton Care &amp; Education Centre</v>
      </c>
      <c r="D1130" t="str">
        <f>Procurement_Raw!D1130</f>
        <v>South</v>
      </c>
      <c r="E1130" t="str">
        <f>Procurement_Raw!E1130</f>
        <v>MediSure</v>
      </c>
      <c r="F1130" t="str">
        <f>Procurement_Raw!F1130</f>
        <v>Medical Supplies</v>
      </c>
      <c r="G1130" t="str">
        <f>Procurement_Raw!G1130</f>
        <v>INV-2025-01129</v>
      </c>
      <c r="H1130" s="6">
        <f>Procurement_Raw!H1130</f>
        <v>43</v>
      </c>
      <c r="I1130" s="7">
        <f>Procurement_Raw!I1130</f>
        <v>115.84</v>
      </c>
      <c r="J1130" s="7">
        <f>Procurement_Raw!J1130</f>
        <v>4981.1499999999996</v>
      </c>
      <c r="K1130" s="6">
        <f>Procurement_Raw!K1130</f>
        <v>45</v>
      </c>
      <c r="L1130" t="str">
        <f>Procurement_Raw!L1130</f>
        <v>Legacy Spend File</v>
      </c>
      <c r="M1130" s="8">
        <f>Procurement_Raw!M1130</f>
        <v>996.23</v>
      </c>
      <c r="N1130" s="7">
        <f>Procurement_Raw!N1130</f>
        <v>4981.1499999999996</v>
      </c>
      <c r="O1130" s="7">
        <f t="shared" si="34"/>
        <v>4981.1499999999996</v>
      </c>
      <c r="P1130" t="str">
        <f>IFERROR(INDEX(Supplier_Lookup!$B$2:$B$200,MATCH(E1130,Supplier_Lookup!$A$2:$A$200,0)),"Unmapped")</f>
        <v>Medical Supplies</v>
      </c>
      <c r="Q1130" s="10">
        <f>IFERROR(INDEX(Category_Targets!$B$2:$B$9,MATCH(F1130,Category_Targets!$A$2:$A$9,0)),0)</f>
        <v>0.06</v>
      </c>
      <c r="R1130" s="7">
        <f t="shared" si="35"/>
        <v>298.86899999999997</v>
      </c>
    </row>
    <row r="1131" spans="1:18" x14ac:dyDescent="0.25">
      <c r="A1131" s="5">
        <f>Procurement_Raw!A1131</f>
        <v>45961</v>
      </c>
      <c r="B1131" t="str">
        <f>Procurement_Raw!B1131</f>
        <v>S013</v>
      </c>
      <c r="C1131" t="str">
        <f>Procurement_Raw!C1131</f>
        <v>Reading Care &amp; Education Centre</v>
      </c>
      <c r="D1131" t="str">
        <f>Procurement_Raw!D1131</f>
        <v>South</v>
      </c>
      <c r="E1131" t="str">
        <f>Procurement_Raw!E1131</f>
        <v>RoadReady</v>
      </c>
      <c r="F1131" t="str">
        <f>Procurement_Raw!F1131</f>
        <v>Vehicle &amp; Fuel</v>
      </c>
      <c r="G1131" t="str">
        <f>Procurement_Raw!G1131</f>
        <v>INV-2025-01130</v>
      </c>
      <c r="H1131" s="6">
        <f>Procurement_Raw!H1131</f>
        <v>68</v>
      </c>
      <c r="I1131" s="7">
        <f>Procurement_Raw!I1131</f>
        <v>113.83</v>
      </c>
      <c r="J1131" s="7">
        <f>Procurement_Raw!J1131</f>
        <v>7740.36</v>
      </c>
      <c r="K1131" s="6">
        <f>Procurement_Raw!K1131</f>
        <v>60</v>
      </c>
      <c r="L1131" t="str">
        <f>Procurement_Raw!L1131</f>
        <v>Procurement Portal</v>
      </c>
      <c r="M1131" s="8">
        <f>Procurement_Raw!M1131</f>
        <v>1548.0719999999999</v>
      </c>
      <c r="N1131" s="7">
        <f>Procurement_Raw!N1131</f>
        <v>7740.36</v>
      </c>
      <c r="O1131" s="7">
        <f t="shared" si="34"/>
        <v>7740.36</v>
      </c>
      <c r="P1131" t="str">
        <f>IFERROR(INDEX(Supplier_Lookup!$B$2:$B$200,MATCH(E1131,Supplier_Lookup!$A$2:$A$200,0)),"Unmapped")</f>
        <v>Vehicle &amp; Fuel</v>
      </c>
      <c r="Q1131" s="10">
        <f>IFERROR(INDEX(Category_Targets!$B$2:$B$9,MATCH(F1131,Category_Targets!$A$2:$A$9,0)),0)</f>
        <v>0.05</v>
      </c>
      <c r="R1131" s="7">
        <f t="shared" si="35"/>
        <v>387.01800000000003</v>
      </c>
    </row>
    <row r="1132" spans="1:18" x14ac:dyDescent="0.25">
      <c r="A1132" s="5">
        <f>Procurement_Raw!A1132</f>
        <v>45725</v>
      </c>
      <c r="B1132" t="str">
        <f>Procurement_Raw!B1132</f>
        <v>S018</v>
      </c>
      <c r="C1132" t="str">
        <f>Procurement_Raw!C1132</f>
        <v>Newport Care &amp; Education Centre</v>
      </c>
      <c r="D1132" t="str">
        <f>Procurement_Raw!D1132</f>
        <v>Wales</v>
      </c>
      <c r="E1132" t="str">
        <f>Procurement_Raw!E1132</f>
        <v>NetServe</v>
      </c>
      <c r="F1132" t="str">
        <f>Procurement_Raw!F1132</f>
        <v>IT &amp; Telecoms</v>
      </c>
      <c r="G1132" t="str">
        <f>Procurement_Raw!G1132</f>
        <v>INV-2025-01131</v>
      </c>
      <c r="H1132" s="6">
        <f>Procurement_Raw!H1132</f>
        <v>40</v>
      </c>
      <c r="I1132" s="7">
        <f>Procurement_Raw!I1132</f>
        <v>262.52999999999997</v>
      </c>
      <c r="J1132" s="7">
        <f>Procurement_Raw!J1132</f>
        <v>10501.29</v>
      </c>
      <c r="K1132" s="6">
        <f>Procurement_Raw!K1132</f>
        <v>30</v>
      </c>
      <c r="L1132" t="str">
        <f>Procurement_Raw!L1132</f>
        <v>Procurement Portal</v>
      </c>
      <c r="M1132" s="8">
        <f>Procurement_Raw!M1132</f>
        <v>2100.2579999999998</v>
      </c>
      <c r="N1132" s="7">
        <f>Procurement_Raw!N1132</f>
        <v>10501.29</v>
      </c>
      <c r="O1132" s="7">
        <f t="shared" si="34"/>
        <v>10501.29</v>
      </c>
      <c r="P1132" t="str">
        <f>IFERROR(INDEX(Supplier_Lookup!$B$2:$B$200,MATCH(E1132,Supplier_Lookup!$A$2:$A$200,0)),"Unmapped")</f>
        <v>IT &amp; Telecoms</v>
      </c>
      <c r="Q1132" s="10">
        <f>IFERROR(INDEX(Category_Targets!$B$2:$B$9,MATCH(F1132,Category_Targets!$A$2:$A$9,0)),0)</f>
        <v>0.08</v>
      </c>
      <c r="R1132" s="7">
        <f t="shared" si="35"/>
        <v>840.10320000000013</v>
      </c>
    </row>
    <row r="1133" spans="1:18" x14ac:dyDescent="0.25">
      <c r="A1133" s="5">
        <f>Procurement_Raw!A1133</f>
        <v>45805</v>
      </c>
      <c r="B1133" t="str">
        <f>Procurement_Raw!B1133</f>
        <v>S002</v>
      </c>
      <c r="C1133" t="str">
        <f>Procurement_Raw!C1133</f>
        <v>Manchester Care &amp; Education Centre</v>
      </c>
      <c r="D1133" t="str">
        <f>Procurement_Raw!D1133</f>
        <v>North</v>
      </c>
      <c r="E1133" t="str">
        <f>Procurement_Raw!E1133</f>
        <v>LearnWell</v>
      </c>
      <c r="F1133" t="str">
        <f>Procurement_Raw!F1133</f>
        <v>Office &amp; Training</v>
      </c>
      <c r="G1133" t="str">
        <f>Procurement_Raw!G1133</f>
        <v>INV-2025-01132</v>
      </c>
      <c r="H1133" s="6">
        <f>Procurement_Raw!H1133</f>
        <v>7</v>
      </c>
      <c r="I1133" s="7">
        <f>Procurement_Raw!I1133</f>
        <v>94.59</v>
      </c>
      <c r="J1133" s="7">
        <f>Procurement_Raw!J1133</f>
        <v>662.13</v>
      </c>
      <c r="K1133" s="6">
        <f>Procurement_Raw!K1133</f>
        <v>30</v>
      </c>
      <c r="L1133" t="str">
        <f>Procurement_Raw!L1133</f>
        <v>Procurement Portal</v>
      </c>
      <c r="M1133" s="8">
        <f>Procurement_Raw!M1133</f>
        <v>132.42599999999999</v>
      </c>
      <c r="N1133" s="7">
        <f>Procurement_Raw!N1133</f>
        <v>662.13</v>
      </c>
      <c r="O1133" s="7">
        <f t="shared" si="34"/>
        <v>662.13</v>
      </c>
      <c r="P1133" t="str">
        <f>IFERROR(INDEX(Supplier_Lookup!$B$2:$B$200,MATCH(E1133,Supplier_Lookup!$A$2:$A$200,0)),"Unmapped")</f>
        <v>Office &amp; Training</v>
      </c>
      <c r="Q1133" s="10">
        <f>IFERROR(INDEX(Category_Targets!$B$2:$B$9,MATCH(F1133,Category_Targets!$A$2:$A$9,0)),0)</f>
        <v>0.04</v>
      </c>
      <c r="R1133" s="7">
        <f t="shared" si="35"/>
        <v>26.485199999999999</v>
      </c>
    </row>
    <row r="1134" spans="1:18" x14ac:dyDescent="0.25">
      <c r="A1134" s="5">
        <f>Procurement_Raw!A1134</f>
        <v>45974</v>
      </c>
      <c r="B1134" t="str">
        <f>Procurement_Raw!B1134</f>
        <v>S011</v>
      </c>
      <c r="C1134" t="str">
        <f>Procurement_Raw!C1134</f>
        <v>London Care &amp; Education Centre</v>
      </c>
      <c r="D1134" t="str">
        <f>Procurement_Raw!D1134</f>
        <v>South</v>
      </c>
      <c r="E1134" t="str">
        <f>Procurement_Raw!E1134</f>
        <v>OfficePlus</v>
      </c>
      <c r="F1134" t="str">
        <f>Procurement_Raw!F1134</f>
        <v>Office &amp; Training</v>
      </c>
      <c r="G1134" t="str">
        <f>Procurement_Raw!G1134</f>
        <v>INV-2025-01133</v>
      </c>
      <c r="H1134" s="6">
        <f>Procurement_Raw!H1134</f>
        <v>21</v>
      </c>
      <c r="I1134" s="7">
        <f>Procurement_Raw!I1134</f>
        <v>182.19</v>
      </c>
      <c r="J1134" s="7">
        <f>Procurement_Raw!J1134</f>
        <v>3825.91</v>
      </c>
      <c r="K1134" s="6">
        <f>Procurement_Raw!K1134</f>
        <v>60</v>
      </c>
      <c r="L1134" t="str">
        <f>Procurement_Raw!L1134</f>
        <v>Legacy Spend File</v>
      </c>
      <c r="M1134" s="8">
        <f>Procurement_Raw!M1134</f>
        <v>765.18200000000002</v>
      </c>
      <c r="N1134" s="7">
        <f>Procurement_Raw!N1134</f>
        <v>3825.91</v>
      </c>
      <c r="O1134" s="7">
        <f t="shared" si="34"/>
        <v>3825.91</v>
      </c>
      <c r="P1134" t="str">
        <f>IFERROR(INDEX(Supplier_Lookup!$B$2:$B$200,MATCH(E1134,Supplier_Lookup!$A$2:$A$200,0)),"Unmapped")</f>
        <v>Office &amp; Training</v>
      </c>
      <c r="Q1134" s="10">
        <f>IFERROR(INDEX(Category_Targets!$B$2:$B$9,MATCH(F1134,Category_Targets!$A$2:$A$9,0)),0)</f>
        <v>0.04</v>
      </c>
      <c r="R1134" s="7">
        <f t="shared" si="35"/>
        <v>153.03639999999999</v>
      </c>
    </row>
    <row r="1135" spans="1:18" x14ac:dyDescent="0.25">
      <c r="A1135" s="5">
        <f>Procurement_Raw!A1135</f>
        <v>46020</v>
      </c>
      <c r="B1135" t="str">
        <f>Procurement_Raw!B1135</f>
        <v>S006</v>
      </c>
      <c r="C1135" t="str">
        <f>Procurement_Raw!C1135</f>
        <v>Birmingham Care &amp; Education Centre</v>
      </c>
      <c r="D1135" t="str">
        <f>Procurement_Raw!D1135</f>
        <v>Midlands</v>
      </c>
      <c r="E1135" t="str">
        <f>Procurement_Raw!E1135</f>
        <v>CleanWorks</v>
      </c>
      <c r="F1135" t="str">
        <f>Procurement_Raw!F1135</f>
        <v>Facilities</v>
      </c>
      <c r="G1135" t="str">
        <f>Procurement_Raw!G1135</f>
        <v>INV-2025-01134</v>
      </c>
      <c r="H1135" s="6">
        <f>Procurement_Raw!H1135</f>
        <v>20</v>
      </c>
      <c r="I1135" s="7">
        <f>Procurement_Raw!I1135</f>
        <v>231</v>
      </c>
      <c r="J1135" s="7">
        <f>Procurement_Raw!J1135</f>
        <v>4619.92</v>
      </c>
      <c r="K1135" s="6">
        <f>Procurement_Raw!K1135</f>
        <v>30</v>
      </c>
      <c r="L1135" t="str">
        <f>Procurement_Raw!L1135</f>
        <v>ERP</v>
      </c>
      <c r="M1135" s="8">
        <f>Procurement_Raw!M1135</f>
        <v>923.98400000000004</v>
      </c>
      <c r="N1135" s="7">
        <f>Procurement_Raw!N1135</f>
        <v>4619.92</v>
      </c>
      <c r="O1135" s="7">
        <f t="shared" si="34"/>
        <v>4619.92</v>
      </c>
      <c r="P1135" t="str">
        <f>IFERROR(INDEX(Supplier_Lookup!$B$2:$B$200,MATCH(E1135,Supplier_Lookup!$A$2:$A$200,0)),"Unmapped")</f>
        <v>Facilities</v>
      </c>
      <c r="Q1135" s="10">
        <f>IFERROR(INDEX(Category_Targets!$B$2:$B$9,MATCH(F1135,Category_Targets!$A$2:$A$9,0)),0)</f>
        <v>0.05</v>
      </c>
      <c r="R1135" s="7">
        <f t="shared" si="35"/>
        <v>230.99600000000001</v>
      </c>
    </row>
    <row r="1136" spans="1:18" x14ac:dyDescent="0.25">
      <c r="A1136" s="5">
        <f>Procurement_Raw!A1136</f>
        <v>45952</v>
      </c>
      <c r="B1136" t="str">
        <f>Procurement_Raw!B1136</f>
        <v>S004</v>
      </c>
      <c r="C1136" t="str">
        <f>Procurement_Raw!C1136</f>
        <v>Newcastle Care &amp; Education Centre</v>
      </c>
      <c r="D1136" t="str">
        <f>Procurement_Raw!D1136</f>
        <v>North</v>
      </c>
      <c r="E1136" t="str">
        <f>Procurement_Raw!E1136</f>
        <v>CareMed</v>
      </c>
      <c r="F1136" t="str">
        <f>Procurement_Raw!F1136</f>
        <v>Medical Supplies</v>
      </c>
      <c r="G1136" t="str">
        <f>Procurement_Raw!G1136</f>
        <v>INV-2025-01135</v>
      </c>
      <c r="H1136" s="6">
        <f>Procurement_Raw!H1136</f>
        <v>17</v>
      </c>
      <c r="I1136" s="7">
        <f>Procurement_Raw!I1136</f>
        <v>104.92</v>
      </c>
      <c r="J1136" s="7">
        <f>Procurement_Raw!J1136</f>
        <v>1783.65</v>
      </c>
      <c r="K1136" s="6">
        <f>Procurement_Raw!K1136</f>
        <v>45</v>
      </c>
      <c r="L1136" t="str">
        <f>Procurement_Raw!L1136</f>
        <v>Procurement Portal</v>
      </c>
      <c r="M1136" s="8">
        <f>Procurement_Raw!M1136</f>
        <v>356.73</v>
      </c>
      <c r="N1136" s="7">
        <f>Procurement_Raw!N1136</f>
        <v>1783.65</v>
      </c>
      <c r="O1136" s="7">
        <f t="shared" si="34"/>
        <v>1783.65</v>
      </c>
      <c r="P1136" t="str">
        <f>IFERROR(INDEX(Supplier_Lookup!$B$2:$B$200,MATCH(E1136,Supplier_Lookup!$A$2:$A$200,0)),"Unmapped")</f>
        <v>Medical Supplies</v>
      </c>
      <c r="Q1136" s="10">
        <f>IFERROR(INDEX(Category_Targets!$B$2:$B$9,MATCH(F1136,Category_Targets!$A$2:$A$9,0)),0)</f>
        <v>0.06</v>
      </c>
      <c r="R1136" s="7">
        <f t="shared" si="35"/>
        <v>107.01900000000001</v>
      </c>
    </row>
    <row r="1137" spans="1:18" x14ac:dyDescent="0.25">
      <c r="A1137" s="5">
        <f>Procurement_Raw!A1137</f>
        <v>45945</v>
      </c>
      <c r="B1137" t="str">
        <f>Procurement_Raw!B1137</f>
        <v>S007</v>
      </c>
      <c r="C1137" t="str">
        <f>Procurement_Raw!C1137</f>
        <v>Nottingham Care &amp; Education Centre</v>
      </c>
      <c r="D1137" t="str">
        <f>Procurement_Raw!D1137</f>
        <v>Midlands</v>
      </c>
      <c r="E1137" t="str">
        <f>Procurement_Raw!E1137</f>
        <v>CleanWorks</v>
      </c>
      <c r="F1137" t="str">
        <f>Procurement_Raw!F1137</f>
        <v>Facilities</v>
      </c>
      <c r="G1137" t="str">
        <f>Procurement_Raw!G1137</f>
        <v>INV-2025-01136</v>
      </c>
      <c r="H1137" s="6">
        <f>Procurement_Raw!H1137</f>
        <v>5</v>
      </c>
      <c r="I1137" s="7">
        <f>Procurement_Raw!I1137</f>
        <v>305.88</v>
      </c>
      <c r="J1137" s="7">
        <f>Procurement_Raw!J1137</f>
        <v>1529.42</v>
      </c>
      <c r="K1137" s="6">
        <f>Procurement_Raw!K1137</f>
        <v>60</v>
      </c>
      <c r="L1137" t="str">
        <f>Procurement_Raw!L1137</f>
        <v>Procurement Portal</v>
      </c>
      <c r="M1137" s="8">
        <f>Procurement_Raw!M1137</f>
        <v>305.88400000000001</v>
      </c>
      <c r="N1137" s="7">
        <f>Procurement_Raw!N1137</f>
        <v>1529.42</v>
      </c>
      <c r="O1137" s="7">
        <f t="shared" si="34"/>
        <v>1529.42</v>
      </c>
      <c r="P1137" t="str">
        <f>IFERROR(INDEX(Supplier_Lookup!$B$2:$B$200,MATCH(E1137,Supplier_Lookup!$A$2:$A$200,0)),"Unmapped")</f>
        <v>Facilities</v>
      </c>
      <c r="Q1137" s="10">
        <f>IFERROR(INDEX(Category_Targets!$B$2:$B$9,MATCH(F1137,Category_Targets!$A$2:$A$9,0)),0)</f>
        <v>0.05</v>
      </c>
      <c r="R1137" s="7">
        <f t="shared" si="35"/>
        <v>76.471000000000004</v>
      </c>
    </row>
    <row r="1138" spans="1:18" x14ac:dyDescent="0.25">
      <c r="A1138" s="5">
        <f>Procurement_Raw!A1138</f>
        <v>45887</v>
      </c>
      <c r="B1138" t="str">
        <f>Procurement_Raw!B1138</f>
        <v>S009</v>
      </c>
      <c r="C1138" t="str">
        <f>Procurement_Raw!C1138</f>
        <v>Derby Care &amp; Education Centre</v>
      </c>
      <c r="D1138" t="str">
        <f>Procurement_Raw!D1138</f>
        <v>Midlands</v>
      </c>
      <c r="E1138" t="str">
        <f>Procurement_Raw!E1138</f>
        <v>SafeGuard FM</v>
      </c>
      <c r="F1138" t="str">
        <f>Procurement_Raw!F1138</f>
        <v>Facilities</v>
      </c>
      <c r="G1138" t="str">
        <f>Procurement_Raw!G1138</f>
        <v>INV-2025-01137</v>
      </c>
      <c r="H1138" s="6">
        <f>Procurement_Raw!H1138</f>
        <v>70</v>
      </c>
      <c r="I1138" s="7">
        <f>Procurement_Raw!I1138</f>
        <v>346.25</v>
      </c>
      <c r="J1138" s="7">
        <f>Procurement_Raw!J1138</f>
        <v>24237.61</v>
      </c>
      <c r="K1138" s="6">
        <f>Procurement_Raw!K1138</f>
        <v>30</v>
      </c>
      <c r="L1138" t="str">
        <f>Procurement_Raw!L1138</f>
        <v>Legacy Spend File</v>
      </c>
      <c r="M1138" s="8">
        <f>Procurement_Raw!M1138</f>
        <v>4847.5219999999999</v>
      </c>
      <c r="N1138" s="7">
        <f>Procurement_Raw!N1138</f>
        <v>24237.61</v>
      </c>
      <c r="O1138" s="7">
        <f t="shared" si="34"/>
        <v>24237.61</v>
      </c>
      <c r="P1138" t="str">
        <f>IFERROR(INDEX(Supplier_Lookup!$B$2:$B$200,MATCH(E1138,Supplier_Lookup!$A$2:$A$200,0)),"Unmapped")</f>
        <v>Facilities</v>
      </c>
      <c r="Q1138" s="10">
        <f>IFERROR(INDEX(Category_Targets!$B$2:$B$9,MATCH(F1138,Category_Targets!$A$2:$A$9,0)),0)</f>
        <v>0.05</v>
      </c>
      <c r="R1138" s="7">
        <f t="shared" si="35"/>
        <v>1211.8805</v>
      </c>
    </row>
    <row r="1139" spans="1:18" x14ac:dyDescent="0.25">
      <c r="A1139" s="5">
        <f>Procurement_Raw!A1139</f>
        <v>45865</v>
      </c>
      <c r="B1139" t="str">
        <f>Procurement_Raw!B1139</f>
        <v>S017</v>
      </c>
      <c r="C1139" t="str">
        <f>Procurement_Raw!C1139</f>
        <v>Swansea Care &amp; Education Centre</v>
      </c>
      <c r="D1139" t="str">
        <f>Procurement_Raw!D1139</f>
        <v>Wales</v>
      </c>
      <c r="E1139" t="str">
        <f>Procurement_Raw!E1139</f>
        <v>FreshServe</v>
      </c>
      <c r="F1139" t="str">
        <f>Procurement_Raw!F1139</f>
        <v>Food &amp; Catering</v>
      </c>
      <c r="G1139" t="str">
        <f>Procurement_Raw!G1139</f>
        <v>INV-2025-01138</v>
      </c>
      <c r="H1139" s="6">
        <f>Procurement_Raw!H1139</f>
        <v>64</v>
      </c>
      <c r="I1139" s="7">
        <f>Procurement_Raw!I1139</f>
        <v>33.090000000000003</v>
      </c>
      <c r="J1139" s="7">
        <f>Procurement_Raw!J1139</f>
        <v>2117.6999999999998</v>
      </c>
      <c r="K1139" s="6">
        <f>Procurement_Raw!K1139</f>
        <v>30</v>
      </c>
      <c r="L1139" t="str">
        <f>Procurement_Raw!L1139</f>
        <v>Procurement Portal</v>
      </c>
      <c r="M1139" s="8">
        <f>Procurement_Raw!M1139</f>
        <v>423.54</v>
      </c>
      <c r="N1139" s="7">
        <f>Procurement_Raw!N1139</f>
        <v>2117.6999999999998</v>
      </c>
      <c r="O1139" s="7">
        <f t="shared" si="34"/>
        <v>2117.6999999999998</v>
      </c>
      <c r="P1139" t="str">
        <f>IFERROR(INDEX(Supplier_Lookup!$B$2:$B$200,MATCH(E1139,Supplier_Lookup!$A$2:$A$200,0)),"Unmapped")</f>
        <v>Food &amp; Catering</v>
      </c>
      <c r="Q1139" s="10">
        <f>IFERROR(INDEX(Category_Targets!$B$2:$B$9,MATCH(F1139,Category_Targets!$A$2:$A$9,0)),0)</f>
        <v>0.04</v>
      </c>
      <c r="R1139" s="7">
        <f t="shared" si="35"/>
        <v>84.707999999999998</v>
      </c>
    </row>
    <row r="1140" spans="1:18" x14ac:dyDescent="0.25">
      <c r="A1140" s="5">
        <f>Procurement_Raw!A1140</f>
        <v>45937</v>
      </c>
      <c r="B1140" t="str">
        <f>Procurement_Raw!B1140</f>
        <v>S013</v>
      </c>
      <c r="C1140" t="str">
        <f>Procurement_Raw!C1140</f>
        <v>Reading Care &amp; Education Centre</v>
      </c>
      <c r="D1140" t="str">
        <f>Procurement_Raw!D1140</f>
        <v>South</v>
      </c>
      <c r="E1140" t="str">
        <f>Procurement_Raw!E1140</f>
        <v>CleanWorks</v>
      </c>
      <c r="F1140" t="str">
        <f>Procurement_Raw!F1140</f>
        <v>Facilities</v>
      </c>
      <c r="G1140" t="str">
        <f>Procurement_Raw!G1140</f>
        <v>INV-2025-01139</v>
      </c>
      <c r="H1140" s="6">
        <f>Procurement_Raw!H1140</f>
        <v>65</v>
      </c>
      <c r="I1140" s="7">
        <f>Procurement_Raw!I1140</f>
        <v>250.02</v>
      </c>
      <c r="J1140" s="7">
        <f>Procurement_Raw!J1140</f>
        <v>16251.07</v>
      </c>
      <c r="K1140" s="6">
        <f>Procurement_Raw!K1140</f>
        <v>45</v>
      </c>
      <c r="L1140" t="str">
        <f>Procurement_Raw!L1140</f>
        <v>Legacy Spend File</v>
      </c>
      <c r="M1140" s="8">
        <f>Procurement_Raw!M1140</f>
        <v>3250.2139999999999</v>
      </c>
      <c r="N1140" s="7">
        <f>Procurement_Raw!N1140</f>
        <v>16251.07</v>
      </c>
      <c r="O1140" s="7">
        <f t="shared" si="34"/>
        <v>16251.07</v>
      </c>
      <c r="P1140" t="str">
        <f>IFERROR(INDEX(Supplier_Lookup!$B$2:$B$200,MATCH(E1140,Supplier_Lookup!$A$2:$A$200,0)),"Unmapped")</f>
        <v>Facilities</v>
      </c>
      <c r="Q1140" s="10">
        <f>IFERROR(INDEX(Category_Targets!$B$2:$B$9,MATCH(F1140,Category_Targets!$A$2:$A$9,0)),0)</f>
        <v>0.05</v>
      </c>
      <c r="R1140" s="7">
        <f t="shared" si="35"/>
        <v>812.55349999999999</v>
      </c>
    </row>
    <row r="1141" spans="1:18" x14ac:dyDescent="0.25">
      <c r="A1141" s="5">
        <f>Procurement_Raw!A1141</f>
        <v>45806</v>
      </c>
      <c r="B1141" t="str">
        <f>Procurement_Raw!B1141</f>
        <v>S008</v>
      </c>
      <c r="C1141" t="str">
        <f>Procurement_Raw!C1141</f>
        <v>Leicester Care &amp; Education Centre</v>
      </c>
      <c r="D1141" t="str">
        <f>Procurement_Raw!D1141</f>
        <v>Midlands</v>
      </c>
      <c r="E1141" t="str">
        <f>Procurement_Raw!E1141</f>
        <v>TeleCare IT</v>
      </c>
      <c r="F1141" t="str">
        <f>Procurement_Raw!F1141</f>
        <v>IT &amp; Telecoms</v>
      </c>
      <c r="G1141" t="str">
        <f>Procurement_Raw!G1141</f>
        <v>INV-2025-01140</v>
      </c>
      <c r="H1141" s="6">
        <f>Procurement_Raw!H1141</f>
        <v>74</v>
      </c>
      <c r="I1141" s="7">
        <f>Procurement_Raw!I1141</f>
        <v>323.52</v>
      </c>
      <c r="J1141" s="7">
        <f>Procurement_Raw!J1141</f>
        <v>23940.76</v>
      </c>
      <c r="K1141" s="6">
        <f>Procurement_Raw!K1141</f>
        <v>60</v>
      </c>
      <c r="L1141" t="str">
        <f>Procurement_Raw!L1141</f>
        <v>ERP</v>
      </c>
      <c r="M1141" s="8">
        <f>Procurement_Raw!M1141</f>
        <v>4788.152</v>
      </c>
      <c r="N1141" s="7">
        <f>Procurement_Raw!N1141</f>
        <v>23940.76</v>
      </c>
      <c r="O1141" s="7">
        <f t="shared" si="34"/>
        <v>23940.76</v>
      </c>
      <c r="P1141" t="str">
        <f>IFERROR(INDEX(Supplier_Lookup!$B$2:$B$200,MATCH(E1141,Supplier_Lookup!$A$2:$A$200,0)),"Unmapped")</f>
        <v>IT &amp; Telecoms</v>
      </c>
      <c r="Q1141" s="10">
        <f>IFERROR(INDEX(Category_Targets!$B$2:$B$9,MATCH(F1141,Category_Targets!$A$2:$A$9,0)),0)</f>
        <v>0.08</v>
      </c>
      <c r="R1141" s="7">
        <f t="shared" si="35"/>
        <v>1915.2608</v>
      </c>
    </row>
    <row r="1142" spans="1:18" x14ac:dyDescent="0.25">
      <c r="A1142" s="5">
        <f>Procurement_Raw!A1142</f>
        <v>46010</v>
      </c>
      <c r="B1142" t="str">
        <f>Procurement_Raw!B1142</f>
        <v>S005</v>
      </c>
      <c r="C1142" t="str">
        <f>Procurement_Raw!C1142</f>
        <v>Sheffield Care &amp; Education Centre</v>
      </c>
      <c r="D1142" t="str">
        <f>Procurement_Raw!D1142</f>
        <v>North</v>
      </c>
      <c r="E1142" t="str">
        <f>Procurement_Raw!E1142</f>
        <v>LearnWell</v>
      </c>
      <c r="F1142" t="str">
        <f>Procurement_Raw!F1142</f>
        <v>Office &amp; Training</v>
      </c>
      <c r="G1142" t="str">
        <f>Procurement_Raw!G1142</f>
        <v>INV-2025-01141</v>
      </c>
      <c r="H1142" s="6">
        <f>Procurement_Raw!H1142</f>
        <v>15</v>
      </c>
      <c r="I1142" s="7">
        <f>Procurement_Raw!I1142</f>
        <v>63.68</v>
      </c>
      <c r="J1142" s="7">
        <f>Procurement_Raw!J1142</f>
        <v>955.16</v>
      </c>
      <c r="K1142" s="6">
        <f>Procurement_Raw!K1142</f>
        <v>60</v>
      </c>
      <c r="L1142" t="str">
        <f>Procurement_Raw!L1142</f>
        <v>Procurement Portal</v>
      </c>
      <c r="M1142" s="8">
        <f>Procurement_Raw!M1142</f>
        <v>191.03200000000001</v>
      </c>
      <c r="N1142" s="7">
        <f>Procurement_Raw!N1142</f>
        <v>955.16</v>
      </c>
      <c r="O1142" s="7">
        <f t="shared" si="34"/>
        <v>955.16</v>
      </c>
      <c r="P1142" t="str">
        <f>IFERROR(INDEX(Supplier_Lookup!$B$2:$B$200,MATCH(E1142,Supplier_Lookup!$A$2:$A$200,0)),"Unmapped")</f>
        <v>Office &amp; Training</v>
      </c>
      <c r="Q1142" s="10">
        <f>IFERROR(INDEX(Category_Targets!$B$2:$B$9,MATCH(F1142,Category_Targets!$A$2:$A$9,0)),0)</f>
        <v>0.04</v>
      </c>
      <c r="R1142" s="7">
        <f t="shared" si="35"/>
        <v>38.206400000000002</v>
      </c>
    </row>
    <row r="1143" spans="1:18" x14ac:dyDescent="0.25">
      <c r="A1143" s="5">
        <f>Procurement_Raw!A1143</f>
        <v>45940</v>
      </c>
      <c r="B1143" t="str">
        <f>Procurement_Raw!B1143</f>
        <v>S006</v>
      </c>
      <c r="C1143" t="str">
        <f>Procurement_Raw!C1143</f>
        <v>Birmingham Care &amp; Education Centre</v>
      </c>
      <c r="D1143" t="str">
        <f>Procurement_Raw!D1143</f>
        <v>Midlands</v>
      </c>
      <c r="E1143" t="str">
        <f>Procurement_Raw!E1143</f>
        <v>BuildCare</v>
      </c>
      <c r="F1143" t="str">
        <f>Procurement_Raw!F1143</f>
        <v>Facilities</v>
      </c>
      <c r="G1143" t="str">
        <f>Procurement_Raw!G1143</f>
        <v>INV-2025-01142</v>
      </c>
      <c r="H1143" s="6">
        <f>Procurement_Raw!H1143</f>
        <v>15</v>
      </c>
      <c r="I1143" s="7">
        <f>Procurement_Raw!I1143</f>
        <v>383.6</v>
      </c>
      <c r="J1143" s="7">
        <f>Procurement_Raw!J1143</f>
        <v>5753.97</v>
      </c>
      <c r="K1143" s="6">
        <f>Procurement_Raw!K1143</f>
        <v>45</v>
      </c>
      <c r="L1143" t="str">
        <f>Procurement_Raw!L1143</f>
        <v>ERP</v>
      </c>
      <c r="M1143" s="8">
        <f>Procurement_Raw!M1143</f>
        <v>1150.7940000000001</v>
      </c>
      <c r="N1143" s="7">
        <f>Procurement_Raw!N1143</f>
        <v>5753.97</v>
      </c>
      <c r="O1143" s="7">
        <f t="shared" si="34"/>
        <v>5753.97</v>
      </c>
      <c r="P1143" t="str">
        <f>IFERROR(INDEX(Supplier_Lookup!$B$2:$B$200,MATCH(E1143,Supplier_Lookup!$A$2:$A$200,0)),"Unmapped")</f>
        <v>Facilities</v>
      </c>
      <c r="Q1143" s="10">
        <f>IFERROR(INDEX(Category_Targets!$B$2:$B$9,MATCH(F1143,Category_Targets!$A$2:$A$9,0)),0)</f>
        <v>0.05</v>
      </c>
      <c r="R1143" s="7">
        <f t="shared" si="35"/>
        <v>287.69850000000002</v>
      </c>
    </row>
    <row r="1144" spans="1:18" x14ac:dyDescent="0.25">
      <c r="A1144" s="5">
        <f>Procurement_Raw!A1144</f>
        <v>45840</v>
      </c>
      <c r="B1144" t="str">
        <f>Procurement_Raw!B1144</f>
        <v>S016</v>
      </c>
      <c r="C1144" t="str">
        <f>Procurement_Raw!C1144</f>
        <v>Cardiff Care &amp; Education Centre</v>
      </c>
      <c r="D1144" t="str">
        <f>Procurement_Raw!D1144</f>
        <v>Wales</v>
      </c>
      <c r="E1144" t="str">
        <f>Procurement_Raw!E1144</f>
        <v>WaterGrid</v>
      </c>
      <c r="F1144" t="str">
        <f>Procurement_Raw!F1144</f>
        <v>Utilities</v>
      </c>
      <c r="G1144" t="str">
        <f>Procurement_Raw!G1144</f>
        <v>INV-2025-01143</v>
      </c>
      <c r="H1144" s="6">
        <f>Procurement_Raw!H1144</f>
        <v>12</v>
      </c>
      <c r="I1144" s="7">
        <f>Procurement_Raw!I1144</f>
        <v>230.2</v>
      </c>
      <c r="J1144" s="7">
        <f>Procurement_Raw!J1144</f>
        <v>2762.35</v>
      </c>
      <c r="K1144" s="6">
        <f>Procurement_Raw!K1144</f>
        <v>45</v>
      </c>
      <c r="L1144" t="str">
        <f>Procurement_Raw!L1144</f>
        <v>ERP</v>
      </c>
      <c r="M1144" s="8">
        <f>Procurement_Raw!M1144</f>
        <v>552.47</v>
      </c>
      <c r="N1144" s="7">
        <f>Procurement_Raw!N1144</f>
        <v>2762.35</v>
      </c>
      <c r="O1144" s="7">
        <f t="shared" si="34"/>
        <v>2762.35</v>
      </c>
      <c r="P1144" t="str">
        <f>IFERROR(INDEX(Supplier_Lookup!$B$2:$B$200,MATCH(E1144,Supplier_Lookup!$A$2:$A$200,0)),"Unmapped")</f>
        <v>Utilities</v>
      </c>
      <c r="Q1144" s="10">
        <f>IFERROR(INDEX(Category_Targets!$B$2:$B$9,MATCH(F1144,Category_Targets!$A$2:$A$9,0)),0)</f>
        <v>0.03</v>
      </c>
      <c r="R1144" s="7">
        <f t="shared" si="35"/>
        <v>82.870499999999993</v>
      </c>
    </row>
    <row r="1145" spans="1:18" x14ac:dyDescent="0.25">
      <c r="A1145" s="5">
        <f>Procurement_Raw!A1145</f>
        <v>45927</v>
      </c>
      <c r="B1145" t="str">
        <f>Procurement_Raw!B1145</f>
        <v>S018</v>
      </c>
      <c r="C1145" t="str">
        <f>Procurement_Raw!C1145</f>
        <v>Newport Care &amp; Education Centre</v>
      </c>
      <c r="D1145" t="str">
        <f>Procurement_Raw!D1145</f>
        <v>Wales</v>
      </c>
      <c r="E1145" t="str">
        <f>Procurement_Raw!E1145</f>
        <v>PowerDirect</v>
      </c>
      <c r="F1145" t="str">
        <f>Procurement_Raw!F1145</f>
        <v>Utilities</v>
      </c>
      <c r="G1145" t="str">
        <f>Procurement_Raw!G1145</f>
        <v>INV-2025-01144</v>
      </c>
      <c r="H1145" s="6">
        <f>Procurement_Raw!H1145</f>
        <v>29</v>
      </c>
      <c r="I1145" s="7">
        <f>Procurement_Raw!I1145</f>
        <v>267.88</v>
      </c>
      <c r="J1145" s="7">
        <f>Procurement_Raw!J1145</f>
        <v>7768.43</v>
      </c>
      <c r="K1145" s="6">
        <f>Procurement_Raw!K1145</f>
        <v>45</v>
      </c>
      <c r="L1145" t="str">
        <f>Procurement_Raw!L1145</f>
        <v>ERP</v>
      </c>
      <c r="M1145" s="8">
        <f>Procurement_Raw!M1145</f>
        <v>1553.6859999999999</v>
      </c>
      <c r="N1145" s="7">
        <f>Procurement_Raw!N1145</f>
        <v>7768.43</v>
      </c>
      <c r="O1145" s="7">
        <f t="shared" si="34"/>
        <v>7768.43</v>
      </c>
      <c r="P1145" t="str">
        <f>IFERROR(INDEX(Supplier_Lookup!$B$2:$B$200,MATCH(E1145,Supplier_Lookup!$A$2:$A$200,0)),"Unmapped")</f>
        <v>Utilities</v>
      </c>
      <c r="Q1145" s="10">
        <f>IFERROR(INDEX(Category_Targets!$B$2:$B$9,MATCH(F1145,Category_Targets!$A$2:$A$9,0)),0)</f>
        <v>0.03</v>
      </c>
      <c r="R1145" s="7">
        <f t="shared" si="35"/>
        <v>233.05289999999999</v>
      </c>
    </row>
    <row r="1146" spans="1:18" x14ac:dyDescent="0.25">
      <c r="A1146" s="5">
        <f>Procurement_Raw!A1146</f>
        <v>45886</v>
      </c>
      <c r="B1146" t="str">
        <f>Procurement_Raw!B1146</f>
        <v>S002</v>
      </c>
      <c r="C1146" t="str">
        <f>Procurement_Raw!C1146</f>
        <v>Manchester Care &amp; Education Centre</v>
      </c>
      <c r="D1146" t="str">
        <f>Procurement_Raw!D1146</f>
        <v>North</v>
      </c>
      <c r="E1146" t="str">
        <f>Procurement_Raw!E1146</f>
        <v>KitchenPro</v>
      </c>
      <c r="F1146" t="str">
        <f>Procurement_Raw!F1146</f>
        <v>Food &amp; Catering</v>
      </c>
      <c r="G1146" t="str">
        <f>Procurement_Raw!G1146</f>
        <v>INV-2025-01145</v>
      </c>
      <c r="H1146" s="6">
        <f>Procurement_Raw!H1146</f>
        <v>12</v>
      </c>
      <c r="I1146" s="7">
        <f>Procurement_Raw!I1146</f>
        <v>59.1</v>
      </c>
      <c r="J1146" s="7">
        <f>Procurement_Raw!J1146</f>
        <v>709.18</v>
      </c>
      <c r="K1146" s="6">
        <f>Procurement_Raw!K1146</f>
        <v>60</v>
      </c>
      <c r="L1146" t="str">
        <f>Procurement_Raw!L1146</f>
        <v>Procurement Portal</v>
      </c>
      <c r="M1146" s="8">
        <f>Procurement_Raw!M1146</f>
        <v>141.83600000000001</v>
      </c>
      <c r="N1146" s="7">
        <f>Procurement_Raw!N1146</f>
        <v>709.18</v>
      </c>
      <c r="O1146" s="7">
        <f t="shared" si="34"/>
        <v>709.18</v>
      </c>
      <c r="P1146" t="str">
        <f>IFERROR(INDEX(Supplier_Lookup!$B$2:$B$200,MATCH(E1146,Supplier_Lookup!$A$2:$A$200,0)),"Unmapped")</f>
        <v>Food &amp; Catering</v>
      </c>
      <c r="Q1146" s="10">
        <f>IFERROR(INDEX(Category_Targets!$B$2:$B$9,MATCH(F1146,Category_Targets!$A$2:$A$9,0)),0)</f>
        <v>0.04</v>
      </c>
      <c r="R1146" s="7">
        <f t="shared" si="35"/>
        <v>28.367199999999997</v>
      </c>
    </row>
    <row r="1147" spans="1:18" x14ac:dyDescent="0.25">
      <c r="A1147" s="5">
        <f>Procurement_Raw!A1147</f>
        <v>45966</v>
      </c>
      <c r="B1147" t="str">
        <f>Procurement_Raw!B1147</f>
        <v>S003</v>
      </c>
      <c r="C1147" t="str">
        <f>Procurement_Raw!C1147</f>
        <v>Leeds Care &amp; Education Centre</v>
      </c>
      <c r="D1147" t="str">
        <f>Procurement_Raw!D1147</f>
        <v>North</v>
      </c>
      <c r="E1147" t="str">
        <f>Procurement_Raw!E1147</f>
        <v>LearnWell</v>
      </c>
      <c r="F1147" t="str">
        <f>Procurement_Raw!F1147</f>
        <v>Office &amp; Training</v>
      </c>
      <c r="G1147" t="str">
        <f>Procurement_Raw!G1147</f>
        <v>INV-2025-01146</v>
      </c>
      <c r="H1147" s="6">
        <f>Procurement_Raw!H1147</f>
        <v>78</v>
      </c>
      <c r="I1147" s="7">
        <f>Procurement_Raw!I1147</f>
        <v>75.650000000000006</v>
      </c>
      <c r="J1147" s="7">
        <f>Procurement_Raw!J1147</f>
        <v>5900.34</v>
      </c>
      <c r="K1147" s="6">
        <f>Procurement_Raw!K1147</f>
        <v>60</v>
      </c>
      <c r="L1147" t="str">
        <f>Procurement_Raw!L1147</f>
        <v>ERP</v>
      </c>
      <c r="M1147" s="8">
        <f>Procurement_Raw!M1147</f>
        <v>1180.068</v>
      </c>
      <c r="N1147" s="7">
        <f>Procurement_Raw!N1147</f>
        <v>5900.34</v>
      </c>
      <c r="O1147" s="7">
        <f t="shared" si="34"/>
        <v>5900.34</v>
      </c>
      <c r="P1147" t="str">
        <f>IFERROR(INDEX(Supplier_Lookup!$B$2:$B$200,MATCH(E1147,Supplier_Lookup!$A$2:$A$200,0)),"Unmapped")</f>
        <v>Office &amp; Training</v>
      </c>
      <c r="Q1147" s="10">
        <f>IFERROR(INDEX(Category_Targets!$B$2:$B$9,MATCH(F1147,Category_Targets!$A$2:$A$9,0)),0)</f>
        <v>0.04</v>
      </c>
      <c r="R1147" s="7">
        <f t="shared" si="35"/>
        <v>236.0136</v>
      </c>
    </row>
    <row r="1148" spans="1:18" x14ac:dyDescent="0.25">
      <c r="A1148" s="5">
        <f>Procurement_Raw!A1148</f>
        <v>45733</v>
      </c>
      <c r="B1148" t="str">
        <f>Procurement_Raw!B1148</f>
        <v>S006</v>
      </c>
      <c r="C1148" t="str">
        <f>Procurement_Raw!C1148</f>
        <v>Birmingham Care &amp; Education Centre</v>
      </c>
      <c r="D1148" t="str">
        <f>Procurement_Raw!D1148</f>
        <v>Midlands</v>
      </c>
      <c r="E1148" t="str">
        <f>Procurement_Raw!E1148</f>
        <v>RoadReady</v>
      </c>
      <c r="F1148" t="str">
        <f>Procurement_Raw!F1148</f>
        <v>Vehicle &amp; Fuel</v>
      </c>
      <c r="G1148" t="str">
        <f>Procurement_Raw!G1148</f>
        <v>INV-2025-01147</v>
      </c>
      <c r="H1148" s="6">
        <f>Procurement_Raw!H1148</f>
        <v>55</v>
      </c>
      <c r="I1148" s="7">
        <f>Procurement_Raw!I1148</f>
        <v>51.98</v>
      </c>
      <c r="J1148" s="7">
        <f>Procurement_Raw!J1148</f>
        <v>2859.09</v>
      </c>
      <c r="K1148" s="6">
        <f>Procurement_Raw!K1148</f>
        <v>45</v>
      </c>
      <c r="L1148" t="str">
        <f>Procurement_Raw!L1148</f>
        <v>Procurement Portal</v>
      </c>
      <c r="M1148" s="8">
        <f>Procurement_Raw!M1148</f>
        <v>571.81799999999998</v>
      </c>
      <c r="N1148" s="7">
        <f>Procurement_Raw!N1148</f>
        <v>2859.09</v>
      </c>
      <c r="O1148" s="7">
        <f t="shared" si="34"/>
        <v>2859.09</v>
      </c>
      <c r="P1148" t="str">
        <f>IFERROR(INDEX(Supplier_Lookup!$B$2:$B$200,MATCH(E1148,Supplier_Lookup!$A$2:$A$200,0)),"Unmapped")</f>
        <v>Vehicle &amp; Fuel</v>
      </c>
      <c r="Q1148" s="10">
        <f>IFERROR(INDEX(Category_Targets!$B$2:$B$9,MATCH(F1148,Category_Targets!$A$2:$A$9,0)),0)</f>
        <v>0.05</v>
      </c>
      <c r="R1148" s="7">
        <f t="shared" si="35"/>
        <v>142.95450000000002</v>
      </c>
    </row>
    <row r="1149" spans="1:18" x14ac:dyDescent="0.25">
      <c r="A1149" s="5">
        <f>Procurement_Raw!A1149</f>
        <v>45834</v>
      </c>
      <c r="B1149" t="str">
        <f>Procurement_Raw!B1149</f>
        <v>S020</v>
      </c>
      <c r="C1149" t="str">
        <f>Procurement_Raw!C1149</f>
        <v>Bangor Care &amp; Education Centre</v>
      </c>
      <c r="D1149" t="str">
        <f>Procurement_Raw!D1149</f>
        <v>Wales</v>
      </c>
      <c r="E1149" t="str">
        <f>Procurement_Raw!E1149</f>
        <v>CareMed</v>
      </c>
      <c r="F1149" t="str">
        <f>Procurement_Raw!F1149</f>
        <v>Medical Supplies</v>
      </c>
      <c r="G1149" t="str">
        <f>Procurement_Raw!G1149</f>
        <v>INV-2025-01148</v>
      </c>
      <c r="H1149" s="6">
        <f>Procurement_Raw!H1149</f>
        <v>45</v>
      </c>
      <c r="I1149" s="7">
        <f>Procurement_Raw!I1149</f>
        <v>54.35</v>
      </c>
      <c r="J1149" s="7">
        <f>Procurement_Raw!J1149</f>
        <v>2445.8000000000002</v>
      </c>
      <c r="K1149" s="6">
        <f>Procurement_Raw!K1149</f>
        <v>45</v>
      </c>
      <c r="L1149" t="str">
        <f>Procurement_Raw!L1149</f>
        <v>Procurement Portal</v>
      </c>
      <c r="M1149" s="8">
        <f>Procurement_Raw!M1149</f>
        <v>489.16</v>
      </c>
      <c r="N1149" s="7">
        <f>Procurement_Raw!N1149</f>
        <v>2445.8000000000002</v>
      </c>
      <c r="O1149" s="7">
        <f t="shared" si="34"/>
        <v>2445.8000000000002</v>
      </c>
      <c r="P1149" t="str">
        <f>IFERROR(INDEX(Supplier_Lookup!$B$2:$B$200,MATCH(E1149,Supplier_Lookup!$A$2:$A$200,0)),"Unmapped")</f>
        <v>Medical Supplies</v>
      </c>
      <c r="Q1149" s="10">
        <f>IFERROR(INDEX(Category_Targets!$B$2:$B$9,MATCH(F1149,Category_Targets!$A$2:$A$9,0)),0)</f>
        <v>0.06</v>
      </c>
      <c r="R1149" s="7">
        <f t="shared" si="35"/>
        <v>146.74800000000002</v>
      </c>
    </row>
    <row r="1150" spans="1:18" x14ac:dyDescent="0.25">
      <c r="A1150" s="5">
        <f>Procurement_Raw!A1150</f>
        <v>45885</v>
      </c>
      <c r="B1150" t="str">
        <f>Procurement_Raw!B1150</f>
        <v>S017</v>
      </c>
      <c r="C1150" t="str">
        <f>Procurement_Raw!C1150</f>
        <v>Swansea Care &amp; Education Centre</v>
      </c>
      <c r="D1150" t="str">
        <f>Procurement_Raw!D1150</f>
        <v>Wales</v>
      </c>
      <c r="E1150" t="str">
        <f>Procurement_Raw!E1150</f>
        <v>FreshServe</v>
      </c>
      <c r="F1150" t="str">
        <f>Procurement_Raw!F1150</f>
        <v>Food &amp; Catering</v>
      </c>
      <c r="G1150" t="str">
        <f>Procurement_Raw!G1150</f>
        <v>INV-2025-01149</v>
      </c>
      <c r="H1150" s="6">
        <f>Procurement_Raw!H1150</f>
        <v>54</v>
      </c>
      <c r="I1150" s="7">
        <f>Procurement_Raw!I1150</f>
        <v>156.24</v>
      </c>
      <c r="J1150" s="7">
        <f>Procurement_Raw!J1150</f>
        <v>8436.7199999999993</v>
      </c>
      <c r="K1150" s="6">
        <f>Procurement_Raw!K1150</f>
        <v>45</v>
      </c>
      <c r="L1150" t="str">
        <f>Procurement_Raw!L1150</f>
        <v>Procurement Portal</v>
      </c>
      <c r="M1150" s="8">
        <f>Procurement_Raw!M1150</f>
        <v>1687.3440000000001</v>
      </c>
      <c r="N1150" s="7">
        <f>Procurement_Raw!N1150</f>
        <v>8436.7199999999993</v>
      </c>
      <c r="O1150" s="7">
        <f t="shared" si="34"/>
        <v>8436.7199999999993</v>
      </c>
      <c r="P1150" t="str">
        <f>IFERROR(INDEX(Supplier_Lookup!$B$2:$B$200,MATCH(E1150,Supplier_Lookup!$A$2:$A$200,0)),"Unmapped")</f>
        <v>Food &amp; Catering</v>
      </c>
      <c r="Q1150" s="10">
        <f>IFERROR(INDEX(Category_Targets!$B$2:$B$9,MATCH(F1150,Category_Targets!$A$2:$A$9,0)),0)</f>
        <v>0.04</v>
      </c>
      <c r="R1150" s="7">
        <f t="shared" si="35"/>
        <v>337.46879999999999</v>
      </c>
    </row>
    <row r="1151" spans="1:18" x14ac:dyDescent="0.25">
      <c r="A1151" s="5">
        <f>Procurement_Raw!A1151</f>
        <v>45870</v>
      </c>
      <c r="B1151" t="str">
        <f>Procurement_Raw!B1151</f>
        <v>S019</v>
      </c>
      <c r="C1151" t="str">
        <f>Procurement_Raw!C1151</f>
        <v>Wrexham Care &amp; Education Centre</v>
      </c>
      <c r="D1151" t="str">
        <f>Procurement_Raw!D1151</f>
        <v>Wales</v>
      </c>
      <c r="E1151" t="str">
        <f>Procurement_Raw!E1151</f>
        <v>NurseLink</v>
      </c>
      <c r="F1151" t="str">
        <f>Procurement_Raw!F1151</f>
        <v>Agency Labour</v>
      </c>
      <c r="G1151" t="str">
        <f>Procurement_Raw!G1151</f>
        <v>INV-2025-01150</v>
      </c>
      <c r="H1151" s="6">
        <f>Procurement_Raw!H1151</f>
        <v>18</v>
      </c>
      <c r="I1151" s="7">
        <f>Procurement_Raw!I1151</f>
        <v>188.28</v>
      </c>
      <c r="J1151" s="7">
        <f>Procurement_Raw!J1151</f>
        <v>3389.12</v>
      </c>
      <c r="K1151" s="6">
        <f>Procurement_Raw!K1151</f>
        <v>60</v>
      </c>
      <c r="L1151" t="str">
        <f>Procurement_Raw!L1151</f>
        <v>Legacy Spend File</v>
      </c>
      <c r="M1151" s="8">
        <f>Procurement_Raw!M1151</f>
        <v>677.82399999999996</v>
      </c>
      <c r="N1151" s="7">
        <f>Procurement_Raw!N1151</f>
        <v>3389.12</v>
      </c>
      <c r="O1151" s="7">
        <f t="shared" si="34"/>
        <v>3389.12</v>
      </c>
      <c r="P1151" t="str">
        <f>IFERROR(INDEX(Supplier_Lookup!$B$2:$B$200,MATCH(E1151,Supplier_Lookup!$A$2:$A$200,0)),"Unmapped")</f>
        <v>Agency Labour</v>
      </c>
      <c r="Q1151" s="10">
        <f>IFERROR(INDEX(Category_Targets!$B$2:$B$9,MATCH(F1151,Category_Targets!$A$2:$A$9,0)),0)</f>
        <v>7.0000000000000007E-2</v>
      </c>
      <c r="R1151" s="7">
        <f t="shared" si="35"/>
        <v>237.23840000000001</v>
      </c>
    </row>
    <row r="1152" spans="1:18" x14ac:dyDescent="0.25">
      <c r="A1152" s="5">
        <f>Procurement_Raw!A1152</f>
        <v>45813</v>
      </c>
      <c r="B1152" t="str">
        <f>Procurement_Raw!B1152</f>
        <v>S001</v>
      </c>
      <c r="C1152" t="str">
        <f>Procurement_Raw!C1152</f>
        <v>Preston Care &amp; Education Centre</v>
      </c>
      <c r="D1152" t="str">
        <f>Procurement_Raw!D1152</f>
        <v>North</v>
      </c>
      <c r="E1152" t="str">
        <f>Procurement_Raw!E1152</f>
        <v>CleanWorks</v>
      </c>
      <c r="F1152" t="str">
        <f>Procurement_Raw!F1152</f>
        <v>Facilities</v>
      </c>
      <c r="G1152" t="str">
        <f>Procurement_Raw!G1152</f>
        <v>INV-2025-01151</v>
      </c>
      <c r="H1152" s="6">
        <f>Procurement_Raw!H1152</f>
        <v>61</v>
      </c>
      <c r="I1152" s="7">
        <f>Procurement_Raw!I1152</f>
        <v>104.34</v>
      </c>
      <c r="J1152" s="7">
        <f>Procurement_Raw!J1152</f>
        <v>6364.97</v>
      </c>
      <c r="K1152" s="6">
        <f>Procurement_Raw!K1152</f>
        <v>60</v>
      </c>
      <c r="L1152" t="str">
        <f>Procurement_Raw!L1152</f>
        <v>Procurement Portal</v>
      </c>
      <c r="M1152" s="8">
        <f>Procurement_Raw!M1152</f>
        <v>1272.9939999999999</v>
      </c>
      <c r="N1152" s="7">
        <f>Procurement_Raw!N1152</f>
        <v>6364.97</v>
      </c>
      <c r="O1152" s="7">
        <f t="shared" si="34"/>
        <v>6364.97</v>
      </c>
      <c r="P1152" t="str">
        <f>IFERROR(INDEX(Supplier_Lookup!$B$2:$B$200,MATCH(E1152,Supplier_Lookup!$A$2:$A$200,0)),"Unmapped")</f>
        <v>Facilities</v>
      </c>
      <c r="Q1152" s="10">
        <f>IFERROR(INDEX(Category_Targets!$B$2:$B$9,MATCH(F1152,Category_Targets!$A$2:$A$9,0)),0)</f>
        <v>0.05</v>
      </c>
      <c r="R1152" s="7">
        <f t="shared" si="35"/>
        <v>318.24850000000004</v>
      </c>
    </row>
    <row r="1153" spans="1:18" x14ac:dyDescent="0.25">
      <c r="A1153" s="5">
        <f>Procurement_Raw!A1153</f>
        <v>45661</v>
      </c>
      <c r="B1153" t="str">
        <f>Procurement_Raw!B1153</f>
        <v>S019</v>
      </c>
      <c r="C1153" t="str">
        <f>Procurement_Raw!C1153</f>
        <v>Wrexham Care &amp; Education Centre</v>
      </c>
      <c r="D1153" t="str">
        <f>Procurement_Raw!D1153</f>
        <v>Wales</v>
      </c>
      <c r="E1153" t="str">
        <f>Procurement_Raw!E1153</f>
        <v>HealthStaffing</v>
      </c>
      <c r="F1153" t="str">
        <f>Procurement_Raw!F1153</f>
        <v>Agency Labour</v>
      </c>
      <c r="G1153" t="str">
        <f>Procurement_Raw!G1153</f>
        <v>INV-2025-01152</v>
      </c>
      <c r="H1153" s="6">
        <f>Procurement_Raw!H1153</f>
        <v>53</v>
      </c>
      <c r="I1153" s="7">
        <f>Procurement_Raw!I1153</f>
        <v>91.78</v>
      </c>
      <c r="J1153" s="7">
        <f>Procurement_Raw!J1153</f>
        <v>4864.45</v>
      </c>
      <c r="K1153" s="6">
        <f>Procurement_Raw!K1153</f>
        <v>60</v>
      </c>
      <c r="L1153" t="str">
        <f>Procurement_Raw!L1153</f>
        <v>Procurement Portal</v>
      </c>
      <c r="M1153" s="8">
        <f>Procurement_Raw!M1153</f>
        <v>972.89</v>
      </c>
      <c r="N1153" s="7">
        <f>Procurement_Raw!N1153</f>
        <v>4864.45</v>
      </c>
      <c r="O1153" s="7">
        <f t="shared" si="34"/>
        <v>4864.45</v>
      </c>
      <c r="P1153" t="str">
        <f>IFERROR(INDEX(Supplier_Lookup!$B$2:$B$200,MATCH(E1153,Supplier_Lookup!$A$2:$A$200,0)),"Unmapped")</f>
        <v>Agency Labour</v>
      </c>
      <c r="Q1153" s="10">
        <f>IFERROR(INDEX(Category_Targets!$B$2:$B$9,MATCH(F1153,Category_Targets!$A$2:$A$9,0)),0)</f>
        <v>7.0000000000000007E-2</v>
      </c>
      <c r="R1153" s="7">
        <f t="shared" si="35"/>
        <v>340.51150000000001</v>
      </c>
    </row>
    <row r="1154" spans="1:18" x14ac:dyDescent="0.25">
      <c r="A1154" s="5">
        <f>Procurement_Raw!A1154</f>
        <v>45894</v>
      </c>
      <c r="B1154" t="str">
        <f>Procurement_Raw!B1154</f>
        <v>S013</v>
      </c>
      <c r="C1154" t="str">
        <f>Procurement_Raw!C1154</f>
        <v>Reading Care &amp; Education Centre</v>
      </c>
      <c r="D1154" t="str">
        <f>Procurement_Raw!D1154</f>
        <v>South</v>
      </c>
      <c r="E1154" t="str">
        <f>Procurement_Raw!E1154</f>
        <v>BuildCare</v>
      </c>
      <c r="F1154" t="str">
        <f>Procurement_Raw!F1154</f>
        <v>Facilities</v>
      </c>
      <c r="G1154" t="str">
        <f>Procurement_Raw!G1154</f>
        <v>INV-2025-01153</v>
      </c>
      <c r="H1154" s="6">
        <f>Procurement_Raw!H1154</f>
        <v>73</v>
      </c>
      <c r="I1154" s="7">
        <f>Procurement_Raw!I1154</f>
        <v>126.66</v>
      </c>
      <c r="J1154" s="7">
        <f>Procurement_Raw!J1154</f>
        <v>9246.3799999999992</v>
      </c>
      <c r="K1154" s="6">
        <f>Procurement_Raw!K1154</f>
        <v>30</v>
      </c>
      <c r="L1154" t="str">
        <f>Procurement_Raw!L1154</f>
        <v>ERP</v>
      </c>
      <c r="M1154" s="8">
        <f>Procurement_Raw!M1154</f>
        <v>1849.2760000000001</v>
      </c>
      <c r="N1154" s="7">
        <f>Procurement_Raw!N1154</f>
        <v>9246.3799999999992</v>
      </c>
      <c r="O1154" s="7">
        <f t="shared" ref="O1154:O1217" si="36">IFERROR(IF(J1154="","",J1154),0)</f>
        <v>9246.3799999999992</v>
      </c>
      <c r="P1154" t="str">
        <f>IFERROR(INDEX(Supplier_Lookup!$B$2:$B$200,MATCH(E1154,Supplier_Lookup!$A$2:$A$200,0)),"Unmapped")</f>
        <v>Facilities</v>
      </c>
      <c r="Q1154" s="10">
        <f>IFERROR(INDEX(Category_Targets!$B$2:$B$9,MATCH(F1154,Category_Targets!$A$2:$A$9,0)),0)</f>
        <v>0.05</v>
      </c>
      <c r="R1154" s="7">
        <f t="shared" ref="R1154:R1217" si="37">O1154*Q1154</f>
        <v>462.31899999999996</v>
      </c>
    </row>
    <row r="1155" spans="1:18" x14ac:dyDescent="0.25">
      <c r="A1155" s="5">
        <f>Procurement_Raw!A1155</f>
        <v>45941</v>
      </c>
      <c r="B1155" t="str">
        <f>Procurement_Raw!B1155</f>
        <v>S018</v>
      </c>
      <c r="C1155" t="str">
        <f>Procurement_Raw!C1155</f>
        <v>Newport Care &amp; Education Centre</v>
      </c>
      <c r="D1155" t="str">
        <f>Procurement_Raw!D1155</f>
        <v>Wales</v>
      </c>
      <c r="E1155" t="str">
        <f>Procurement_Raw!E1155</f>
        <v>CareTemps</v>
      </c>
      <c r="F1155" t="str">
        <f>Procurement_Raw!F1155</f>
        <v>Agency Labour</v>
      </c>
      <c r="G1155" t="str">
        <f>Procurement_Raw!G1155</f>
        <v>INV-2025-01154</v>
      </c>
      <c r="H1155" s="6">
        <f>Procurement_Raw!H1155</f>
        <v>63</v>
      </c>
      <c r="I1155" s="7">
        <f>Procurement_Raw!I1155</f>
        <v>144.91</v>
      </c>
      <c r="J1155" s="7">
        <f>Procurement_Raw!J1155</f>
        <v>9129.06</v>
      </c>
      <c r="K1155" s="6">
        <f>Procurement_Raw!K1155</f>
        <v>30</v>
      </c>
      <c r="L1155" t="str">
        <f>Procurement_Raw!L1155</f>
        <v>Procurement Portal</v>
      </c>
      <c r="M1155" s="8">
        <f>Procurement_Raw!M1155</f>
        <v>1825.8119999999999</v>
      </c>
      <c r="N1155" s="7">
        <f>Procurement_Raw!N1155</f>
        <v>9129.06</v>
      </c>
      <c r="O1155" s="7">
        <f t="shared" si="36"/>
        <v>9129.06</v>
      </c>
      <c r="P1155" t="str">
        <f>IFERROR(INDEX(Supplier_Lookup!$B$2:$B$200,MATCH(E1155,Supplier_Lookup!$A$2:$A$200,0)),"Unmapped")</f>
        <v>Agency Labour</v>
      </c>
      <c r="Q1155" s="10">
        <f>IFERROR(INDEX(Category_Targets!$B$2:$B$9,MATCH(F1155,Category_Targets!$A$2:$A$9,0)),0)</f>
        <v>7.0000000000000007E-2</v>
      </c>
      <c r="R1155" s="7">
        <f t="shared" si="37"/>
        <v>639.03420000000006</v>
      </c>
    </row>
    <row r="1156" spans="1:18" x14ac:dyDescent="0.25">
      <c r="A1156" s="5">
        <f>Procurement_Raw!A1156</f>
        <v>45944</v>
      </c>
      <c r="B1156" t="str">
        <f>Procurement_Raw!B1156</f>
        <v>S014</v>
      </c>
      <c r="C1156" t="str">
        <f>Procurement_Raw!C1156</f>
        <v>Southampton Care &amp; Education Centre</v>
      </c>
      <c r="D1156" t="str">
        <f>Procurement_Raw!D1156</f>
        <v>South</v>
      </c>
      <c r="E1156" t="str">
        <f>Procurement_Raw!E1156</f>
        <v>TeleCare IT</v>
      </c>
      <c r="F1156" t="str">
        <f>Procurement_Raw!F1156</f>
        <v>IT &amp; Telecoms</v>
      </c>
      <c r="G1156" t="str">
        <f>Procurement_Raw!G1156</f>
        <v>INV-2025-01155</v>
      </c>
      <c r="H1156" s="6">
        <f>Procurement_Raw!H1156</f>
        <v>60</v>
      </c>
      <c r="I1156" s="7">
        <f>Procurement_Raw!I1156</f>
        <v>542.79999999999995</v>
      </c>
      <c r="J1156" s="7">
        <f>Procurement_Raw!J1156</f>
        <v>32567.84</v>
      </c>
      <c r="K1156" s="6">
        <f>Procurement_Raw!K1156</f>
        <v>30</v>
      </c>
      <c r="L1156" t="str">
        <f>Procurement_Raw!L1156</f>
        <v>ERP</v>
      </c>
      <c r="M1156" s="8">
        <f>Procurement_Raw!M1156</f>
        <v>6513.5680000000002</v>
      </c>
      <c r="N1156" s="7">
        <f>Procurement_Raw!N1156</f>
        <v>32567.84</v>
      </c>
      <c r="O1156" s="7">
        <f t="shared" si="36"/>
        <v>32567.84</v>
      </c>
      <c r="P1156" t="str">
        <f>IFERROR(INDEX(Supplier_Lookup!$B$2:$B$200,MATCH(E1156,Supplier_Lookup!$A$2:$A$200,0)),"Unmapped")</f>
        <v>IT &amp; Telecoms</v>
      </c>
      <c r="Q1156" s="10">
        <f>IFERROR(INDEX(Category_Targets!$B$2:$B$9,MATCH(F1156,Category_Targets!$A$2:$A$9,0)),0)</f>
        <v>0.08</v>
      </c>
      <c r="R1156" s="7">
        <f t="shared" si="37"/>
        <v>2605.4272000000001</v>
      </c>
    </row>
    <row r="1157" spans="1:18" x14ac:dyDescent="0.25">
      <c r="A1157" s="5">
        <f>Procurement_Raw!A1157</f>
        <v>45811</v>
      </c>
      <c r="B1157" t="str">
        <f>Procurement_Raw!B1157</f>
        <v>S001</v>
      </c>
      <c r="C1157" t="str">
        <f>Procurement_Raw!C1157</f>
        <v>Preston Care &amp; Education Centre</v>
      </c>
      <c r="D1157" t="str">
        <f>Procurement_Raw!D1157</f>
        <v>North</v>
      </c>
      <c r="E1157" t="str">
        <f>Procurement_Raw!E1157</f>
        <v>SafeGuard FM</v>
      </c>
      <c r="F1157" t="str">
        <f>Procurement_Raw!F1157</f>
        <v>Facilities</v>
      </c>
      <c r="G1157" t="str">
        <f>Procurement_Raw!G1157</f>
        <v>INV-2025-01156</v>
      </c>
      <c r="H1157" s="6">
        <f>Procurement_Raw!H1157</f>
        <v>61</v>
      </c>
      <c r="I1157" s="7">
        <f>Procurement_Raw!I1157</f>
        <v>313.67</v>
      </c>
      <c r="J1157" s="7">
        <f>Procurement_Raw!J1157</f>
        <v>19134.150000000001</v>
      </c>
      <c r="K1157" s="6">
        <f>Procurement_Raw!K1157</f>
        <v>30</v>
      </c>
      <c r="L1157" t="str">
        <f>Procurement_Raw!L1157</f>
        <v>Legacy Spend File</v>
      </c>
      <c r="M1157" s="8">
        <f>Procurement_Raw!M1157</f>
        <v>3826.83</v>
      </c>
      <c r="N1157" s="7">
        <f>Procurement_Raw!N1157</f>
        <v>19134.150000000001</v>
      </c>
      <c r="O1157" s="7">
        <f t="shared" si="36"/>
        <v>19134.150000000001</v>
      </c>
      <c r="P1157" t="str">
        <f>IFERROR(INDEX(Supplier_Lookup!$B$2:$B$200,MATCH(E1157,Supplier_Lookup!$A$2:$A$200,0)),"Unmapped")</f>
        <v>Facilities</v>
      </c>
      <c r="Q1157" s="10">
        <f>IFERROR(INDEX(Category_Targets!$B$2:$B$9,MATCH(F1157,Category_Targets!$A$2:$A$9,0)),0)</f>
        <v>0.05</v>
      </c>
      <c r="R1157" s="7">
        <f t="shared" si="37"/>
        <v>956.7075000000001</v>
      </c>
    </row>
    <row r="1158" spans="1:18" x14ac:dyDescent="0.25">
      <c r="A1158" s="5">
        <f>Procurement_Raw!A1158</f>
        <v>45749</v>
      </c>
      <c r="B1158" t="str">
        <f>Procurement_Raw!B1158</f>
        <v>S006</v>
      </c>
      <c r="C1158" t="str">
        <f>Procurement_Raw!C1158</f>
        <v>Birmingham Care &amp; Education Centre</v>
      </c>
      <c r="D1158" t="str">
        <f>Procurement_Raw!D1158</f>
        <v>Midlands</v>
      </c>
      <c r="E1158" t="str">
        <f>Procurement_Raw!E1158</f>
        <v>TeleCare IT</v>
      </c>
      <c r="F1158" t="str">
        <f>Procurement_Raw!F1158</f>
        <v>IT &amp; Telecoms</v>
      </c>
      <c r="G1158" t="str">
        <f>Procurement_Raw!G1158</f>
        <v>INV-2025-01157</v>
      </c>
      <c r="H1158" s="6">
        <f>Procurement_Raw!H1158</f>
        <v>63</v>
      </c>
      <c r="I1158" s="7">
        <f>Procurement_Raw!I1158</f>
        <v>150.68</v>
      </c>
      <c r="J1158" s="7">
        <f>Procurement_Raw!J1158</f>
        <v>9492.7099999999991</v>
      </c>
      <c r="K1158" s="6">
        <f>Procurement_Raw!K1158</f>
        <v>60</v>
      </c>
      <c r="L1158" t="str">
        <f>Procurement_Raw!L1158</f>
        <v>Legacy Spend File</v>
      </c>
      <c r="M1158" s="8">
        <f>Procurement_Raw!M1158</f>
        <v>1898.5419999999999</v>
      </c>
      <c r="N1158" s="7">
        <f>Procurement_Raw!N1158</f>
        <v>9492.7099999999991</v>
      </c>
      <c r="O1158" s="7">
        <f t="shared" si="36"/>
        <v>9492.7099999999991</v>
      </c>
      <c r="P1158" t="str">
        <f>IFERROR(INDEX(Supplier_Lookup!$B$2:$B$200,MATCH(E1158,Supplier_Lookup!$A$2:$A$200,0)),"Unmapped")</f>
        <v>IT &amp; Telecoms</v>
      </c>
      <c r="Q1158" s="10">
        <f>IFERROR(INDEX(Category_Targets!$B$2:$B$9,MATCH(F1158,Category_Targets!$A$2:$A$9,0)),0)</f>
        <v>0.08</v>
      </c>
      <c r="R1158" s="7">
        <f t="shared" si="37"/>
        <v>759.41679999999997</v>
      </c>
    </row>
    <row r="1159" spans="1:18" x14ac:dyDescent="0.25">
      <c r="A1159" s="5">
        <f>Procurement_Raw!A1159</f>
        <v>45799</v>
      </c>
      <c r="B1159" t="str">
        <f>Procurement_Raw!B1159</f>
        <v>S008</v>
      </c>
      <c r="C1159" t="str">
        <f>Procurement_Raw!C1159</f>
        <v>Leicester Care &amp; Education Centre</v>
      </c>
      <c r="D1159" t="str">
        <f>Procurement_Raw!D1159</f>
        <v>Midlands</v>
      </c>
      <c r="E1159" t="str">
        <f>Procurement_Raw!E1159</f>
        <v>MediSure</v>
      </c>
      <c r="F1159" t="str">
        <f>Procurement_Raw!F1159</f>
        <v>Medical Supplies</v>
      </c>
      <c r="G1159" t="str">
        <f>Procurement_Raw!G1159</f>
        <v>INV-2025-01158</v>
      </c>
      <c r="H1159" s="6">
        <f>Procurement_Raw!H1159</f>
        <v>64</v>
      </c>
      <c r="I1159" s="7">
        <f>Procurement_Raw!I1159</f>
        <v>414.19</v>
      </c>
      <c r="J1159" s="7">
        <f>Procurement_Raw!J1159</f>
        <v>26508.34</v>
      </c>
      <c r="K1159" s="6">
        <f>Procurement_Raw!K1159</f>
        <v>30</v>
      </c>
      <c r="L1159" t="str">
        <f>Procurement_Raw!L1159</f>
        <v>Legacy Spend File</v>
      </c>
      <c r="M1159" s="8">
        <f>Procurement_Raw!M1159</f>
        <v>5301.6679999999997</v>
      </c>
      <c r="N1159" s="7">
        <f>Procurement_Raw!N1159</f>
        <v>26508.34</v>
      </c>
      <c r="O1159" s="7">
        <f t="shared" si="36"/>
        <v>26508.34</v>
      </c>
      <c r="P1159" t="str">
        <f>IFERROR(INDEX(Supplier_Lookup!$B$2:$B$200,MATCH(E1159,Supplier_Lookup!$A$2:$A$200,0)),"Unmapped")</f>
        <v>Medical Supplies</v>
      </c>
      <c r="Q1159" s="10">
        <f>IFERROR(INDEX(Category_Targets!$B$2:$B$9,MATCH(F1159,Category_Targets!$A$2:$A$9,0)),0)</f>
        <v>0.06</v>
      </c>
      <c r="R1159" s="7">
        <f t="shared" si="37"/>
        <v>1590.5003999999999</v>
      </c>
    </row>
    <row r="1160" spans="1:18" x14ac:dyDescent="0.25">
      <c r="A1160" s="5">
        <f>Procurement_Raw!A1160</f>
        <v>45904</v>
      </c>
      <c r="B1160" t="str">
        <f>Procurement_Raw!B1160</f>
        <v>S016</v>
      </c>
      <c r="C1160" t="str">
        <f>Procurement_Raw!C1160</f>
        <v>Cardiff Care &amp; Education Centre</v>
      </c>
      <c r="D1160" t="str">
        <f>Procurement_Raw!D1160</f>
        <v>Wales</v>
      </c>
      <c r="E1160" t="str">
        <f>Procurement_Raw!E1160</f>
        <v>AutoCare</v>
      </c>
      <c r="F1160" t="str">
        <f>Procurement_Raw!F1160</f>
        <v>Vehicle &amp; Fuel</v>
      </c>
      <c r="G1160" t="str">
        <f>Procurement_Raw!G1160</f>
        <v>INV-2025-01159</v>
      </c>
      <c r="H1160" s="6">
        <f>Procurement_Raw!H1160</f>
        <v>73</v>
      </c>
      <c r="I1160" s="7">
        <f>Procurement_Raw!I1160</f>
        <v>163.02000000000001</v>
      </c>
      <c r="J1160" s="7">
        <f>Procurement_Raw!J1160</f>
        <v>11900.16</v>
      </c>
      <c r="K1160" s="6">
        <f>Procurement_Raw!K1160</f>
        <v>45</v>
      </c>
      <c r="L1160" t="str">
        <f>Procurement_Raw!L1160</f>
        <v>Procurement Portal</v>
      </c>
      <c r="M1160" s="8">
        <f>Procurement_Raw!M1160</f>
        <v>2380.0320000000002</v>
      </c>
      <c r="N1160" s="7">
        <f>Procurement_Raw!N1160</f>
        <v>11900.16</v>
      </c>
      <c r="O1160" s="7">
        <f t="shared" si="36"/>
        <v>11900.16</v>
      </c>
      <c r="P1160" t="str">
        <f>IFERROR(INDEX(Supplier_Lookup!$B$2:$B$200,MATCH(E1160,Supplier_Lookup!$A$2:$A$200,0)),"Unmapped")</f>
        <v>Vehicle &amp; Fuel</v>
      </c>
      <c r="Q1160" s="10">
        <f>IFERROR(INDEX(Category_Targets!$B$2:$B$9,MATCH(F1160,Category_Targets!$A$2:$A$9,0)),0)</f>
        <v>0.05</v>
      </c>
      <c r="R1160" s="7">
        <f t="shared" si="37"/>
        <v>595.00800000000004</v>
      </c>
    </row>
    <row r="1161" spans="1:18" x14ac:dyDescent="0.25">
      <c r="A1161" s="5">
        <f>Procurement_Raw!A1161</f>
        <v>45719</v>
      </c>
      <c r="B1161" t="str">
        <f>Procurement_Raw!B1161</f>
        <v>S009</v>
      </c>
      <c r="C1161" t="str">
        <f>Procurement_Raw!C1161</f>
        <v>Derby Care &amp; Education Centre</v>
      </c>
      <c r="D1161" t="str">
        <f>Procurement_Raw!D1161</f>
        <v>Midlands</v>
      </c>
      <c r="E1161" t="str">
        <f>Procurement_Raw!E1161</f>
        <v>PrintCo</v>
      </c>
      <c r="F1161" t="str">
        <f>Procurement_Raw!F1161</f>
        <v>Office &amp; Training</v>
      </c>
      <c r="G1161" t="str">
        <f>Procurement_Raw!G1161</f>
        <v>INV-2025-01160</v>
      </c>
      <c r="H1161" s="6">
        <f>Procurement_Raw!H1161</f>
        <v>48</v>
      </c>
      <c r="I1161" s="7">
        <f>Procurement_Raw!I1161</f>
        <v>62.73</v>
      </c>
      <c r="J1161" s="7">
        <f>Procurement_Raw!J1161</f>
        <v>3011.01</v>
      </c>
      <c r="K1161" s="6">
        <f>Procurement_Raw!K1161</f>
        <v>60</v>
      </c>
      <c r="L1161" t="str">
        <f>Procurement_Raw!L1161</f>
        <v>Legacy Spend File</v>
      </c>
      <c r="M1161" s="8">
        <f>Procurement_Raw!M1161</f>
        <v>602.202</v>
      </c>
      <c r="N1161" s="7">
        <f>Procurement_Raw!N1161</f>
        <v>3011.01</v>
      </c>
      <c r="O1161" s="7">
        <f t="shared" si="36"/>
        <v>3011.01</v>
      </c>
      <c r="P1161" t="str">
        <f>IFERROR(INDEX(Supplier_Lookup!$B$2:$B$200,MATCH(E1161,Supplier_Lookup!$A$2:$A$200,0)),"Unmapped")</f>
        <v>Office &amp; Training</v>
      </c>
      <c r="Q1161" s="10">
        <f>IFERROR(INDEX(Category_Targets!$B$2:$B$9,MATCH(F1161,Category_Targets!$A$2:$A$9,0)),0)</f>
        <v>0.04</v>
      </c>
      <c r="R1161" s="7">
        <f t="shared" si="37"/>
        <v>120.44040000000001</v>
      </c>
    </row>
    <row r="1162" spans="1:18" x14ac:dyDescent="0.25">
      <c r="A1162" s="5">
        <f>Procurement_Raw!A1162</f>
        <v>45741</v>
      </c>
      <c r="B1162" t="str">
        <f>Procurement_Raw!B1162</f>
        <v>S015</v>
      </c>
      <c r="C1162" t="str">
        <f>Procurement_Raw!C1162</f>
        <v>Brighton Care &amp; Education Centre</v>
      </c>
      <c r="D1162" t="str">
        <f>Procurement_Raw!D1162</f>
        <v>South</v>
      </c>
      <c r="E1162" t="str">
        <f>Procurement_Raw!E1162</f>
        <v>CareMed</v>
      </c>
      <c r="F1162" t="str">
        <f>Procurement_Raw!F1162</f>
        <v>Medical Supplies</v>
      </c>
      <c r="G1162" t="str">
        <f>Procurement_Raw!G1162</f>
        <v>INV-2025-01161</v>
      </c>
      <c r="H1162" s="6">
        <f>Procurement_Raw!H1162</f>
        <v>75</v>
      </c>
      <c r="I1162" s="7">
        <f>Procurement_Raw!I1162</f>
        <v>30.35</v>
      </c>
      <c r="J1162" s="7">
        <f>Procurement_Raw!J1162</f>
        <v>2276.3000000000002</v>
      </c>
      <c r="K1162" s="6">
        <f>Procurement_Raw!K1162</f>
        <v>30</v>
      </c>
      <c r="L1162" t="str">
        <f>Procurement_Raw!L1162</f>
        <v>ERP</v>
      </c>
      <c r="M1162" s="8">
        <f>Procurement_Raw!M1162</f>
        <v>455.26</v>
      </c>
      <c r="N1162" s="7">
        <f>Procurement_Raw!N1162</f>
        <v>2276.3000000000002</v>
      </c>
      <c r="O1162" s="7">
        <f t="shared" si="36"/>
        <v>2276.3000000000002</v>
      </c>
      <c r="P1162" t="str">
        <f>IFERROR(INDEX(Supplier_Lookup!$B$2:$B$200,MATCH(E1162,Supplier_Lookup!$A$2:$A$200,0)),"Unmapped")</f>
        <v>Medical Supplies</v>
      </c>
      <c r="Q1162" s="10">
        <f>IFERROR(INDEX(Category_Targets!$B$2:$B$9,MATCH(F1162,Category_Targets!$A$2:$A$9,0)),0)</f>
        <v>0.06</v>
      </c>
      <c r="R1162" s="7">
        <f t="shared" si="37"/>
        <v>136.578</v>
      </c>
    </row>
    <row r="1163" spans="1:18" x14ac:dyDescent="0.25">
      <c r="A1163" s="5">
        <f>Procurement_Raw!A1163</f>
        <v>45727</v>
      </c>
      <c r="B1163" t="str">
        <f>Procurement_Raw!B1163</f>
        <v>S006</v>
      </c>
      <c r="C1163" t="str">
        <f>Procurement_Raw!C1163</f>
        <v>Birmingham Care &amp; Education Centre</v>
      </c>
      <c r="D1163" t="str">
        <f>Procurement_Raw!D1163</f>
        <v>Midlands</v>
      </c>
      <c r="E1163" t="str">
        <f>Procurement_Raw!E1163</f>
        <v>PrintCo</v>
      </c>
      <c r="F1163" t="str">
        <f>Procurement_Raw!F1163</f>
        <v>Office &amp; Training</v>
      </c>
      <c r="G1163" t="str">
        <f>Procurement_Raw!G1163</f>
        <v>INV-2025-01162</v>
      </c>
      <c r="H1163" s="6">
        <f>Procurement_Raw!H1163</f>
        <v>46</v>
      </c>
      <c r="I1163" s="7">
        <f>Procurement_Raw!I1163</f>
        <v>264.41000000000003</v>
      </c>
      <c r="J1163" s="7">
        <f>Procurement_Raw!J1163</f>
        <v>12162.93</v>
      </c>
      <c r="K1163" s="6">
        <f>Procurement_Raw!K1163</f>
        <v>30</v>
      </c>
      <c r="L1163" t="str">
        <f>Procurement_Raw!L1163</f>
        <v>ERP</v>
      </c>
      <c r="M1163" s="8">
        <f>Procurement_Raw!M1163</f>
        <v>2432.5859999999998</v>
      </c>
      <c r="N1163" s="7">
        <f>Procurement_Raw!N1163</f>
        <v>12162.93</v>
      </c>
      <c r="O1163" s="7">
        <f t="shared" si="36"/>
        <v>12162.93</v>
      </c>
      <c r="P1163" t="str">
        <f>IFERROR(INDEX(Supplier_Lookup!$B$2:$B$200,MATCH(E1163,Supplier_Lookup!$A$2:$A$200,0)),"Unmapped")</f>
        <v>Office &amp; Training</v>
      </c>
      <c r="Q1163" s="10">
        <f>IFERROR(INDEX(Category_Targets!$B$2:$B$9,MATCH(F1163,Category_Targets!$A$2:$A$9,0)),0)</f>
        <v>0.04</v>
      </c>
      <c r="R1163" s="7">
        <f t="shared" si="37"/>
        <v>486.5172</v>
      </c>
    </row>
    <row r="1164" spans="1:18" x14ac:dyDescent="0.25">
      <c r="A1164" s="5">
        <f>Procurement_Raw!A1164</f>
        <v>45983</v>
      </c>
      <c r="B1164" t="str">
        <f>Procurement_Raw!B1164</f>
        <v>S001</v>
      </c>
      <c r="C1164" t="str">
        <f>Procurement_Raw!C1164</f>
        <v>Preston Care &amp; Education Centre</v>
      </c>
      <c r="D1164" t="str">
        <f>Procurement_Raw!D1164</f>
        <v>North</v>
      </c>
      <c r="E1164" t="str">
        <f>Procurement_Raw!E1164</f>
        <v>RoadReady</v>
      </c>
      <c r="F1164" t="str">
        <f>Procurement_Raw!F1164</f>
        <v>Vehicle &amp; Fuel</v>
      </c>
      <c r="G1164" t="str">
        <f>Procurement_Raw!G1164</f>
        <v>INV-2025-01163</v>
      </c>
      <c r="H1164" s="6">
        <f>Procurement_Raw!H1164</f>
        <v>46</v>
      </c>
      <c r="I1164" s="7">
        <f>Procurement_Raw!I1164</f>
        <v>44.24</v>
      </c>
      <c r="J1164" s="7">
        <f>Procurement_Raw!J1164</f>
        <v>2035</v>
      </c>
      <c r="K1164" s="6">
        <f>Procurement_Raw!K1164</f>
        <v>30</v>
      </c>
      <c r="L1164" t="str">
        <f>Procurement_Raw!L1164</f>
        <v>Procurement Portal</v>
      </c>
      <c r="M1164" s="8">
        <f>Procurement_Raw!M1164</f>
        <v>407</v>
      </c>
      <c r="N1164" s="7">
        <f>Procurement_Raw!N1164</f>
        <v>2035</v>
      </c>
      <c r="O1164" s="7">
        <f t="shared" si="36"/>
        <v>2035</v>
      </c>
      <c r="P1164" t="str">
        <f>IFERROR(INDEX(Supplier_Lookup!$B$2:$B$200,MATCH(E1164,Supplier_Lookup!$A$2:$A$200,0)),"Unmapped")</f>
        <v>Vehicle &amp; Fuel</v>
      </c>
      <c r="Q1164" s="10">
        <f>IFERROR(INDEX(Category_Targets!$B$2:$B$9,MATCH(F1164,Category_Targets!$A$2:$A$9,0)),0)</f>
        <v>0.05</v>
      </c>
      <c r="R1164" s="7">
        <f t="shared" si="37"/>
        <v>101.75</v>
      </c>
    </row>
    <row r="1165" spans="1:18" x14ac:dyDescent="0.25">
      <c r="A1165" s="5">
        <f>Procurement_Raw!A1165</f>
        <v>45757</v>
      </c>
      <c r="B1165" t="str">
        <f>Procurement_Raw!B1165</f>
        <v>S014</v>
      </c>
      <c r="C1165" t="str">
        <f>Procurement_Raw!C1165</f>
        <v>Southampton Care &amp; Education Centre</v>
      </c>
      <c r="D1165" t="str">
        <f>Procurement_Raw!D1165</f>
        <v>South</v>
      </c>
      <c r="E1165" t="str">
        <f>Procurement_Raw!E1165</f>
        <v>KitchenPro</v>
      </c>
      <c r="F1165" t="str">
        <f>Procurement_Raw!F1165</f>
        <v>Food &amp; Catering</v>
      </c>
      <c r="G1165" t="str">
        <f>Procurement_Raw!G1165</f>
        <v>INV-2025-01164</v>
      </c>
      <c r="H1165" s="6">
        <f>Procurement_Raw!H1165</f>
        <v>24</v>
      </c>
      <c r="I1165" s="7">
        <f>Procurement_Raw!I1165</f>
        <v>26.3</v>
      </c>
      <c r="J1165" s="7">
        <f>Procurement_Raw!J1165</f>
        <v>631.1</v>
      </c>
      <c r="K1165" s="6">
        <f>Procurement_Raw!K1165</f>
        <v>30</v>
      </c>
      <c r="L1165" t="str">
        <f>Procurement_Raw!L1165</f>
        <v>Legacy Spend File</v>
      </c>
      <c r="M1165" s="8">
        <f>Procurement_Raw!M1165</f>
        <v>126.22</v>
      </c>
      <c r="N1165" s="7">
        <f>Procurement_Raw!N1165</f>
        <v>631.1</v>
      </c>
      <c r="O1165" s="7">
        <f t="shared" si="36"/>
        <v>631.1</v>
      </c>
      <c r="P1165" t="str">
        <f>IFERROR(INDEX(Supplier_Lookup!$B$2:$B$200,MATCH(E1165,Supplier_Lookup!$A$2:$A$200,0)),"Unmapped")</f>
        <v>Food &amp; Catering</v>
      </c>
      <c r="Q1165" s="10">
        <f>IFERROR(INDEX(Category_Targets!$B$2:$B$9,MATCH(F1165,Category_Targets!$A$2:$A$9,0)),0)</f>
        <v>0.04</v>
      </c>
      <c r="R1165" s="7">
        <f t="shared" si="37"/>
        <v>25.244</v>
      </c>
    </row>
    <row r="1166" spans="1:18" x14ac:dyDescent="0.25">
      <c r="A1166" s="5">
        <f>Procurement_Raw!A1166</f>
        <v>45823</v>
      </c>
      <c r="B1166" t="str">
        <f>Procurement_Raw!B1166</f>
        <v>S016</v>
      </c>
      <c r="C1166" t="str">
        <f>Procurement_Raw!C1166</f>
        <v>Cardiff Care &amp; Education Centre</v>
      </c>
      <c r="D1166" t="str">
        <f>Procurement_Raw!D1166</f>
        <v>Wales</v>
      </c>
      <c r="E1166" t="str">
        <f>Procurement_Raw!E1166</f>
        <v>BuildCare</v>
      </c>
      <c r="F1166" t="str">
        <f>Procurement_Raw!F1166</f>
        <v>Facilities</v>
      </c>
      <c r="G1166" t="str">
        <f>Procurement_Raw!G1166</f>
        <v>INV-2025-01165</v>
      </c>
      <c r="H1166" s="6">
        <f>Procurement_Raw!H1166</f>
        <v>41</v>
      </c>
      <c r="I1166" s="7">
        <f>Procurement_Raw!I1166</f>
        <v>315.88</v>
      </c>
      <c r="J1166" s="7">
        <f>Procurement_Raw!J1166</f>
        <v>12951.19</v>
      </c>
      <c r="K1166" s="6">
        <f>Procurement_Raw!K1166</f>
        <v>60</v>
      </c>
      <c r="L1166" t="str">
        <f>Procurement_Raw!L1166</f>
        <v>Procurement Portal</v>
      </c>
      <c r="M1166" s="8">
        <f>Procurement_Raw!M1166</f>
        <v>2590.2379999999998</v>
      </c>
      <c r="N1166" s="7">
        <f>Procurement_Raw!N1166</f>
        <v>12951.19</v>
      </c>
      <c r="O1166" s="7">
        <f t="shared" si="36"/>
        <v>12951.19</v>
      </c>
      <c r="P1166" t="str">
        <f>IFERROR(INDEX(Supplier_Lookup!$B$2:$B$200,MATCH(E1166,Supplier_Lookup!$A$2:$A$200,0)),"Unmapped")</f>
        <v>Facilities</v>
      </c>
      <c r="Q1166" s="10">
        <f>IFERROR(INDEX(Category_Targets!$B$2:$B$9,MATCH(F1166,Category_Targets!$A$2:$A$9,0)),0)</f>
        <v>0.05</v>
      </c>
      <c r="R1166" s="7">
        <f t="shared" si="37"/>
        <v>647.55950000000007</v>
      </c>
    </row>
    <row r="1167" spans="1:18" x14ac:dyDescent="0.25">
      <c r="A1167" s="5">
        <f>Procurement_Raw!A1167</f>
        <v>45931</v>
      </c>
      <c r="B1167" t="str">
        <f>Procurement_Raw!B1167</f>
        <v>S019</v>
      </c>
      <c r="C1167" t="str">
        <f>Procurement_Raw!C1167</f>
        <v>Wrexham Care &amp; Education Centre</v>
      </c>
      <c r="D1167" t="str">
        <f>Procurement_Raw!D1167</f>
        <v>Wales</v>
      </c>
      <c r="E1167" t="str">
        <f>Procurement_Raw!E1167</f>
        <v>FleetFuel</v>
      </c>
      <c r="F1167" t="str">
        <f>Procurement_Raw!F1167</f>
        <v>Vehicle &amp; Fuel</v>
      </c>
      <c r="G1167" t="str">
        <f>Procurement_Raw!G1167</f>
        <v>INV-2025-01166</v>
      </c>
      <c r="H1167" s="6">
        <f>Procurement_Raw!H1167</f>
        <v>75</v>
      </c>
      <c r="I1167" s="7">
        <f>Procurement_Raw!I1167</f>
        <v>363.49</v>
      </c>
      <c r="J1167" s="7">
        <f>Procurement_Raw!J1167</f>
        <v>27261.45</v>
      </c>
      <c r="K1167" s="6">
        <f>Procurement_Raw!K1167</f>
        <v>45</v>
      </c>
      <c r="L1167" t="str">
        <f>Procurement_Raw!L1167</f>
        <v>ERP</v>
      </c>
      <c r="M1167" s="8">
        <f>Procurement_Raw!M1167</f>
        <v>5452.29</v>
      </c>
      <c r="N1167" s="7">
        <f>Procurement_Raw!N1167</f>
        <v>27261.45</v>
      </c>
      <c r="O1167" s="7">
        <f t="shared" si="36"/>
        <v>27261.45</v>
      </c>
      <c r="P1167" t="str">
        <f>IFERROR(INDEX(Supplier_Lookup!$B$2:$B$200,MATCH(E1167,Supplier_Lookup!$A$2:$A$200,0)),"Unmapped")</f>
        <v>Vehicle &amp; Fuel</v>
      </c>
      <c r="Q1167" s="10">
        <f>IFERROR(INDEX(Category_Targets!$B$2:$B$9,MATCH(F1167,Category_Targets!$A$2:$A$9,0)),0)</f>
        <v>0.05</v>
      </c>
      <c r="R1167" s="7">
        <f t="shared" si="37"/>
        <v>1363.0725000000002</v>
      </c>
    </row>
    <row r="1168" spans="1:18" x14ac:dyDescent="0.25">
      <c r="A1168" s="5">
        <f>Procurement_Raw!A1168</f>
        <v>45802</v>
      </c>
      <c r="B1168" t="str">
        <f>Procurement_Raw!B1168</f>
        <v>S012</v>
      </c>
      <c r="C1168" t="str">
        <f>Procurement_Raw!C1168</f>
        <v>Bristol Care &amp; Education Centre</v>
      </c>
      <c r="D1168" t="str">
        <f>Procurement_Raw!D1168</f>
        <v>South</v>
      </c>
      <c r="E1168" t="str">
        <f>Procurement_Raw!E1168</f>
        <v>BuildCare</v>
      </c>
      <c r="F1168" t="str">
        <f>Procurement_Raw!F1168</f>
        <v>Facilities</v>
      </c>
      <c r="G1168" t="str">
        <f>Procurement_Raw!G1168</f>
        <v>INV-2025-01167</v>
      </c>
      <c r="H1168" s="6">
        <f>Procurement_Raw!H1168</f>
        <v>48</v>
      </c>
      <c r="I1168" s="7">
        <f>Procurement_Raw!I1168</f>
        <v>385.41</v>
      </c>
      <c r="J1168" s="7">
        <f>Procurement_Raw!J1168</f>
        <v>18499.669999999998</v>
      </c>
      <c r="K1168" s="6">
        <f>Procurement_Raw!K1168</f>
        <v>45</v>
      </c>
      <c r="L1168" t="str">
        <f>Procurement_Raw!L1168</f>
        <v>Procurement Portal</v>
      </c>
      <c r="M1168" s="8">
        <f>Procurement_Raw!M1168</f>
        <v>3699.9340000000002</v>
      </c>
      <c r="N1168" s="7">
        <f>Procurement_Raw!N1168</f>
        <v>18499.669999999998</v>
      </c>
      <c r="O1168" s="7">
        <f t="shared" si="36"/>
        <v>18499.669999999998</v>
      </c>
      <c r="P1168" t="str">
        <f>IFERROR(INDEX(Supplier_Lookup!$B$2:$B$200,MATCH(E1168,Supplier_Lookup!$A$2:$A$200,0)),"Unmapped")</f>
        <v>Facilities</v>
      </c>
      <c r="Q1168" s="10">
        <f>IFERROR(INDEX(Category_Targets!$B$2:$B$9,MATCH(F1168,Category_Targets!$A$2:$A$9,0)),0)</f>
        <v>0.05</v>
      </c>
      <c r="R1168" s="7">
        <f t="shared" si="37"/>
        <v>924.98349999999994</v>
      </c>
    </row>
    <row r="1169" spans="1:18" x14ac:dyDescent="0.25">
      <c r="A1169" s="5">
        <f>Procurement_Raw!A1169</f>
        <v>45769</v>
      </c>
      <c r="B1169" t="str">
        <f>Procurement_Raw!B1169</f>
        <v>S007</v>
      </c>
      <c r="C1169" t="str">
        <f>Procurement_Raw!C1169</f>
        <v>Nottingham Care &amp; Education Centre</v>
      </c>
      <c r="D1169" t="str">
        <f>Procurement_Raw!D1169</f>
        <v>Midlands</v>
      </c>
      <c r="E1169" t="str">
        <f>Procurement_Raw!E1169</f>
        <v>CleanWorks</v>
      </c>
      <c r="F1169" t="str">
        <f>Procurement_Raw!F1169</f>
        <v>Facilities</v>
      </c>
      <c r="G1169" t="str">
        <f>Procurement_Raw!G1169</f>
        <v>INV-2025-01168</v>
      </c>
      <c r="H1169" s="6">
        <f>Procurement_Raw!H1169</f>
        <v>20</v>
      </c>
      <c r="I1169" s="7">
        <f>Procurement_Raw!I1169</f>
        <v>245.45</v>
      </c>
      <c r="J1169" s="7">
        <f>Procurement_Raw!J1169</f>
        <v>4909.07</v>
      </c>
      <c r="K1169" s="6">
        <f>Procurement_Raw!K1169</f>
        <v>60</v>
      </c>
      <c r="L1169" t="str">
        <f>Procurement_Raw!L1169</f>
        <v>ERP</v>
      </c>
      <c r="M1169" s="8">
        <f>Procurement_Raw!M1169</f>
        <v>981.81399999999996</v>
      </c>
      <c r="N1169" s="7">
        <f>Procurement_Raw!N1169</f>
        <v>4909.07</v>
      </c>
      <c r="O1169" s="7">
        <f t="shared" si="36"/>
        <v>4909.07</v>
      </c>
      <c r="P1169" t="str">
        <f>IFERROR(INDEX(Supplier_Lookup!$B$2:$B$200,MATCH(E1169,Supplier_Lookup!$A$2:$A$200,0)),"Unmapped")</f>
        <v>Facilities</v>
      </c>
      <c r="Q1169" s="10">
        <f>IFERROR(INDEX(Category_Targets!$B$2:$B$9,MATCH(F1169,Category_Targets!$A$2:$A$9,0)),0)</f>
        <v>0.05</v>
      </c>
      <c r="R1169" s="7">
        <f t="shared" si="37"/>
        <v>245.45349999999999</v>
      </c>
    </row>
    <row r="1170" spans="1:18" x14ac:dyDescent="0.25">
      <c r="A1170" s="5">
        <f>Procurement_Raw!A1170</f>
        <v>45893</v>
      </c>
      <c r="B1170" t="str">
        <f>Procurement_Raw!B1170</f>
        <v>S005</v>
      </c>
      <c r="C1170" t="str">
        <f>Procurement_Raw!C1170</f>
        <v>Sheffield Care &amp; Education Centre</v>
      </c>
      <c r="D1170" t="str">
        <f>Procurement_Raw!D1170</f>
        <v>North</v>
      </c>
      <c r="E1170" t="str">
        <f>Procurement_Raw!E1170</f>
        <v>NourishCo</v>
      </c>
      <c r="F1170" t="str">
        <f>Procurement_Raw!F1170</f>
        <v>Food &amp; Catering</v>
      </c>
      <c r="G1170" t="str">
        <f>Procurement_Raw!G1170</f>
        <v>INV-2025-01169</v>
      </c>
      <c r="H1170" s="6">
        <f>Procurement_Raw!H1170</f>
        <v>10</v>
      </c>
      <c r="I1170" s="7">
        <f>Procurement_Raw!I1170</f>
        <v>90.15</v>
      </c>
      <c r="J1170" s="7">
        <f>Procurement_Raw!J1170</f>
        <v>901.52</v>
      </c>
      <c r="K1170" s="6">
        <f>Procurement_Raw!K1170</f>
        <v>30</v>
      </c>
      <c r="L1170" t="str">
        <f>Procurement_Raw!L1170</f>
        <v>ERP</v>
      </c>
      <c r="M1170" s="8">
        <f>Procurement_Raw!M1170</f>
        <v>180.304</v>
      </c>
      <c r="N1170" s="7">
        <f>Procurement_Raw!N1170</f>
        <v>901.52</v>
      </c>
      <c r="O1170" s="7">
        <f t="shared" si="36"/>
        <v>901.52</v>
      </c>
      <c r="P1170" t="str">
        <f>IFERROR(INDEX(Supplier_Lookup!$B$2:$B$200,MATCH(E1170,Supplier_Lookup!$A$2:$A$200,0)),"Unmapped")</f>
        <v>Food &amp; Catering</v>
      </c>
      <c r="Q1170" s="10">
        <f>IFERROR(INDEX(Category_Targets!$B$2:$B$9,MATCH(F1170,Category_Targets!$A$2:$A$9,0)),0)</f>
        <v>0.04</v>
      </c>
      <c r="R1170" s="7">
        <f t="shared" si="37"/>
        <v>36.0608</v>
      </c>
    </row>
    <row r="1171" spans="1:18" x14ac:dyDescent="0.25">
      <c r="A1171" s="5">
        <f>Procurement_Raw!A1171</f>
        <v>45817</v>
      </c>
      <c r="B1171" t="str">
        <f>Procurement_Raw!B1171</f>
        <v>S006</v>
      </c>
      <c r="C1171" t="str">
        <f>Procurement_Raw!C1171</f>
        <v>Birmingham Care &amp; Education Centre</v>
      </c>
      <c r="D1171" t="str">
        <f>Procurement_Raw!D1171</f>
        <v>Midlands</v>
      </c>
      <c r="E1171" t="str">
        <f>Procurement_Raw!E1171</f>
        <v>LearnWell</v>
      </c>
      <c r="F1171" t="str">
        <f>Procurement_Raw!F1171</f>
        <v>Office &amp; Training</v>
      </c>
      <c r="G1171" t="str">
        <f>Procurement_Raw!G1171</f>
        <v>INV-2025-01170</v>
      </c>
      <c r="H1171" s="6">
        <f>Procurement_Raw!H1171</f>
        <v>47</v>
      </c>
      <c r="I1171" s="7">
        <f>Procurement_Raw!I1171</f>
        <v>119.93</v>
      </c>
      <c r="J1171" s="7">
        <f>Procurement_Raw!J1171</f>
        <v>5636.48</v>
      </c>
      <c r="K1171" s="6">
        <f>Procurement_Raw!K1171</f>
        <v>30</v>
      </c>
      <c r="L1171" t="str">
        <f>Procurement_Raw!L1171</f>
        <v>Procurement Portal</v>
      </c>
      <c r="M1171" s="8">
        <f>Procurement_Raw!M1171</f>
        <v>1127.296</v>
      </c>
      <c r="N1171" s="7">
        <f>Procurement_Raw!N1171</f>
        <v>5636.48</v>
      </c>
      <c r="O1171" s="7">
        <f t="shared" si="36"/>
        <v>5636.48</v>
      </c>
      <c r="P1171" t="str">
        <f>IFERROR(INDEX(Supplier_Lookup!$B$2:$B$200,MATCH(E1171,Supplier_Lookup!$A$2:$A$200,0)),"Unmapped")</f>
        <v>Office &amp; Training</v>
      </c>
      <c r="Q1171" s="10">
        <f>IFERROR(INDEX(Category_Targets!$B$2:$B$9,MATCH(F1171,Category_Targets!$A$2:$A$9,0)),0)</f>
        <v>0.04</v>
      </c>
      <c r="R1171" s="7">
        <f t="shared" si="37"/>
        <v>225.45919999999998</v>
      </c>
    </row>
    <row r="1172" spans="1:18" x14ac:dyDescent="0.25">
      <c r="A1172" s="5">
        <f>Procurement_Raw!A1172</f>
        <v>46021</v>
      </c>
      <c r="B1172" t="str">
        <f>Procurement_Raw!B1172</f>
        <v>S014</v>
      </c>
      <c r="C1172" t="str">
        <f>Procurement_Raw!C1172</f>
        <v>Southampton Care &amp; Education Centre</v>
      </c>
      <c r="D1172" t="str">
        <f>Procurement_Raw!D1172</f>
        <v>South</v>
      </c>
      <c r="E1172" t="str">
        <f>Procurement_Raw!E1172</f>
        <v>FleetFuel</v>
      </c>
      <c r="F1172" t="str">
        <f>Procurement_Raw!F1172</f>
        <v>Vehicle &amp; Fuel</v>
      </c>
      <c r="G1172" t="str">
        <f>Procurement_Raw!G1172</f>
        <v>INV-2025-01171</v>
      </c>
      <c r="H1172" s="6">
        <f>Procurement_Raw!H1172</f>
        <v>39</v>
      </c>
      <c r="I1172" s="7">
        <f>Procurement_Raw!I1172</f>
        <v>144.21</v>
      </c>
      <c r="J1172" s="7">
        <f>Procurement_Raw!J1172</f>
        <v>5624.29</v>
      </c>
      <c r="K1172" s="6">
        <f>Procurement_Raw!K1172</f>
        <v>30</v>
      </c>
      <c r="L1172" t="str">
        <f>Procurement_Raw!L1172</f>
        <v>Legacy Spend File</v>
      </c>
      <c r="M1172" s="8">
        <f>Procurement_Raw!M1172</f>
        <v>1124.8579999999999</v>
      </c>
      <c r="N1172" s="7">
        <f>Procurement_Raw!N1172</f>
        <v>5624.29</v>
      </c>
      <c r="O1172" s="7">
        <f t="shared" si="36"/>
        <v>5624.29</v>
      </c>
      <c r="P1172" t="str">
        <f>IFERROR(INDEX(Supplier_Lookup!$B$2:$B$200,MATCH(E1172,Supplier_Lookup!$A$2:$A$200,0)),"Unmapped")</f>
        <v>Vehicle &amp; Fuel</v>
      </c>
      <c r="Q1172" s="10">
        <f>IFERROR(INDEX(Category_Targets!$B$2:$B$9,MATCH(F1172,Category_Targets!$A$2:$A$9,0)),0)</f>
        <v>0.05</v>
      </c>
      <c r="R1172" s="7">
        <f t="shared" si="37"/>
        <v>281.21449999999999</v>
      </c>
    </row>
    <row r="1173" spans="1:18" x14ac:dyDescent="0.25">
      <c r="A1173" s="5">
        <f>Procurement_Raw!A1173</f>
        <v>46013</v>
      </c>
      <c r="B1173" t="str">
        <f>Procurement_Raw!B1173</f>
        <v>S003</v>
      </c>
      <c r="C1173" t="str">
        <f>Procurement_Raw!C1173</f>
        <v>Leeds Care &amp; Education Centre</v>
      </c>
      <c r="D1173" t="str">
        <f>Procurement_Raw!D1173</f>
        <v>North</v>
      </c>
      <c r="E1173" t="str">
        <f>Procurement_Raw!E1173</f>
        <v>UK Energy Partners</v>
      </c>
      <c r="F1173" t="str">
        <f>Procurement_Raw!F1173</f>
        <v>Utilities</v>
      </c>
      <c r="G1173" t="str">
        <f>Procurement_Raw!G1173</f>
        <v>INV-2025-01172</v>
      </c>
      <c r="H1173" s="6">
        <f>Procurement_Raw!H1173</f>
        <v>19</v>
      </c>
      <c r="I1173" s="7">
        <f>Procurement_Raw!I1173</f>
        <v>291.81</v>
      </c>
      <c r="J1173" s="7">
        <f>Procurement_Raw!J1173</f>
        <v>5544.46</v>
      </c>
      <c r="K1173" s="6">
        <f>Procurement_Raw!K1173</f>
        <v>60</v>
      </c>
      <c r="L1173" t="str">
        <f>Procurement_Raw!L1173</f>
        <v>ERP</v>
      </c>
      <c r="M1173" s="8">
        <f>Procurement_Raw!M1173</f>
        <v>1108.8920000000001</v>
      </c>
      <c r="N1173" s="7">
        <f>Procurement_Raw!N1173</f>
        <v>5544.46</v>
      </c>
      <c r="O1173" s="7">
        <f t="shared" si="36"/>
        <v>5544.46</v>
      </c>
      <c r="P1173" t="str">
        <f>IFERROR(INDEX(Supplier_Lookup!$B$2:$B$200,MATCH(E1173,Supplier_Lookup!$A$2:$A$200,0)),"Unmapped")</f>
        <v>Utilities</v>
      </c>
      <c r="Q1173" s="10">
        <f>IFERROR(INDEX(Category_Targets!$B$2:$B$9,MATCH(F1173,Category_Targets!$A$2:$A$9,0)),0)</f>
        <v>0.03</v>
      </c>
      <c r="R1173" s="7">
        <f t="shared" si="37"/>
        <v>166.3338</v>
      </c>
    </row>
    <row r="1174" spans="1:18" x14ac:dyDescent="0.25">
      <c r="A1174" s="5">
        <f>Procurement_Raw!A1174</f>
        <v>45724</v>
      </c>
      <c r="B1174" t="str">
        <f>Procurement_Raw!B1174</f>
        <v>S017</v>
      </c>
      <c r="C1174" t="str">
        <f>Procurement_Raw!C1174</f>
        <v>Swansea Care &amp; Education Centre</v>
      </c>
      <c r="D1174" t="str">
        <f>Procurement_Raw!D1174</f>
        <v>Wales</v>
      </c>
      <c r="E1174" t="str">
        <f>Procurement_Raw!E1174</f>
        <v>CleanWorks</v>
      </c>
      <c r="F1174" t="str">
        <f>Procurement_Raw!F1174</f>
        <v>Facilities</v>
      </c>
      <c r="G1174" t="str">
        <f>Procurement_Raw!G1174</f>
        <v>INV-2025-01173</v>
      </c>
      <c r="H1174" s="6">
        <f>Procurement_Raw!H1174</f>
        <v>11</v>
      </c>
      <c r="I1174" s="7">
        <f>Procurement_Raw!I1174</f>
        <v>190.62</v>
      </c>
      <c r="J1174" s="7">
        <f>Procurement_Raw!J1174</f>
        <v>2096.79</v>
      </c>
      <c r="K1174" s="6">
        <f>Procurement_Raw!K1174</f>
        <v>45</v>
      </c>
      <c r="L1174" t="str">
        <f>Procurement_Raw!L1174</f>
        <v>Legacy Spend File</v>
      </c>
      <c r="M1174" s="8">
        <f>Procurement_Raw!M1174</f>
        <v>419.358</v>
      </c>
      <c r="N1174" s="7">
        <f>Procurement_Raw!N1174</f>
        <v>2096.79</v>
      </c>
      <c r="O1174" s="7">
        <f t="shared" si="36"/>
        <v>2096.79</v>
      </c>
      <c r="P1174" t="str">
        <f>IFERROR(INDEX(Supplier_Lookup!$B$2:$B$200,MATCH(E1174,Supplier_Lookup!$A$2:$A$200,0)),"Unmapped")</f>
        <v>Facilities</v>
      </c>
      <c r="Q1174" s="10">
        <f>IFERROR(INDEX(Category_Targets!$B$2:$B$9,MATCH(F1174,Category_Targets!$A$2:$A$9,0)),0)</f>
        <v>0.05</v>
      </c>
      <c r="R1174" s="7">
        <f t="shared" si="37"/>
        <v>104.8395</v>
      </c>
    </row>
    <row r="1175" spans="1:18" x14ac:dyDescent="0.25">
      <c r="A1175" s="5">
        <f>Procurement_Raw!A1175</f>
        <v>45905</v>
      </c>
      <c r="B1175" t="str">
        <f>Procurement_Raw!B1175</f>
        <v>S013</v>
      </c>
      <c r="C1175" t="str">
        <f>Procurement_Raw!C1175</f>
        <v>Reading Care &amp; Education Centre</v>
      </c>
      <c r="D1175" t="str">
        <f>Procurement_Raw!D1175</f>
        <v>South</v>
      </c>
      <c r="E1175" t="str">
        <f>Procurement_Raw!E1175</f>
        <v>FreshServe</v>
      </c>
      <c r="F1175" t="str">
        <f>Procurement_Raw!F1175</f>
        <v>Food &amp; Catering</v>
      </c>
      <c r="G1175" t="str">
        <f>Procurement_Raw!G1175</f>
        <v>INV-2025-01174</v>
      </c>
      <c r="H1175" s="6">
        <f>Procurement_Raw!H1175</f>
        <v>56</v>
      </c>
      <c r="I1175" s="7">
        <f>Procurement_Raw!I1175</f>
        <v>62.8</v>
      </c>
      <c r="J1175" s="7">
        <f>Procurement_Raw!J1175</f>
        <v>3516.82</v>
      </c>
      <c r="K1175" s="6">
        <f>Procurement_Raw!K1175</f>
        <v>30</v>
      </c>
      <c r="L1175" t="str">
        <f>Procurement_Raw!L1175</f>
        <v>ERP</v>
      </c>
      <c r="M1175" s="8">
        <f>Procurement_Raw!M1175</f>
        <v>703.36400000000003</v>
      </c>
      <c r="N1175" s="7">
        <f>Procurement_Raw!N1175</f>
        <v>3516.82</v>
      </c>
      <c r="O1175" s="7">
        <f t="shared" si="36"/>
        <v>3516.82</v>
      </c>
      <c r="P1175" t="str">
        <f>IFERROR(INDEX(Supplier_Lookup!$B$2:$B$200,MATCH(E1175,Supplier_Lookup!$A$2:$A$200,0)),"Unmapped")</f>
        <v>Food &amp; Catering</v>
      </c>
      <c r="Q1175" s="10">
        <f>IFERROR(INDEX(Category_Targets!$B$2:$B$9,MATCH(F1175,Category_Targets!$A$2:$A$9,0)),0)</f>
        <v>0.04</v>
      </c>
      <c r="R1175" s="7">
        <f t="shared" si="37"/>
        <v>140.67280000000002</v>
      </c>
    </row>
    <row r="1176" spans="1:18" x14ac:dyDescent="0.25">
      <c r="A1176" s="5">
        <f>Procurement_Raw!A1176</f>
        <v>45920</v>
      </c>
      <c r="B1176" t="str">
        <f>Procurement_Raw!B1176</f>
        <v>S003</v>
      </c>
      <c r="C1176" t="str">
        <f>Procurement_Raw!C1176</f>
        <v>Leeds Care &amp; Education Centre</v>
      </c>
      <c r="D1176" t="str">
        <f>Procurement_Raw!D1176</f>
        <v>North</v>
      </c>
      <c r="E1176" t="str">
        <f>Procurement_Raw!E1176</f>
        <v>ClinEquip</v>
      </c>
      <c r="F1176" t="str">
        <f>Procurement_Raw!F1176</f>
        <v>Medical Supplies</v>
      </c>
      <c r="G1176" t="str">
        <f>Procurement_Raw!G1176</f>
        <v>INV-2025-01175</v>
      </c>
      <c r="H1176" s="6">
        <f>Procurement_Raw!H1176</f>
        <v>76</v>
      </c>
      <c r="I1176" s="7">
        <f>Procurement_Raw!I1176</f>
        <v>79.27</v>
      </c>
      <c r="J1176" s="7">
        <f>Procurement_Raw!J1176</f>
        <v>6024.23</v>
      </c>
      <c r="K1176" s="6">
        <f>Procurement_Raw!K1176</f>
        <v>30</v>
      </c>
      <c r="L1176" t="str">
        <f>Procurement_Raw!L1176</f>
        <v>Procurement Portal</v>
      </c>
      <c r="M1176" s="8">
        <f>Procurement_Raw!M1176</f>
        <v>1204.846</v>
      </c>
      <c r="N1176" s="7">
        <f>Procurement_Raw!N1176</f>
        <v>6024.23</v>
      </c>
      <c r="O1176" s="7">
        <f t="shared" si="36"/>
        <v>6024.23</v>
      </c>
      <c r="P1176" t="str">
        <f>IFERROR(INDEX(Supplier_Lookup!$B$2:$B$200,MATCH(E1176,Supplier_Lookup!$A$2:$A$200,0)),"Unmapped")</f>
        <v>Medical Supplies</v>
      </c>
      <c r="Q1176" s="10">
        <f>IFERROR(INDEX(Category_Targets!$B$2:$B$9,MATCH(F1176,Category_Targets!$A$2:$A$9,0)),0)</f>
        <v>0.06</v>
      </c>
      <c r="R1176" s="7">
        <f t="shared" si="37"/>
        <v>361.45379999999994</v>
      </c>
    </row>
    <row r="1177" spans="1:18" x14ac:dyDescent="0.25">
      <c r="A1177" s="5">
        <f>Procurement_Raw!A1177</f>
        <v>45691</v>
      </c>
      <c r="B1177" t="str">
        <f>Procurement_Raw!B1177</f>
        <v>S007</v>
      </c>
      <c r="C1177" t="str">
        <f>Procurement_Raw!C1177</f>
        <v>Nottingham Care &amp; Education Centre</v>
      </c>
      <c r="D1177" t="str">
        <f>Procurement_Raw!D1177</f>
        <v>Midlands</v>
      </c>
      <c r="E1177" t="str">
        <f>Procurement_Raw!E1177</f>
        <v>CloudLink</v>
      </c>
      <c r="F1177" t="str">
        <f>Procurement_Raw!F1177</f>
        <v>IT &amp; Telecoms</v>
      </c>
      <c r="G1177" t="str">
        <f>Procurement_Raw!G1177</f>
        <v>INV-2025-01176</v>
      </c>
      <c r="H1177" s="6">
        <f>Procurement_Raw!H1177</f>
        <v>39</v>
      </c>
      <c r="I1177" s="7">
        <f>Procurement_Raw!I1177</f>
        <v>188.53</v>
      </c>
      <c r="J1177" s="7">
        <f>Procurement_Raw!J1177</f>
        <v>7352.66</v>
      </c>
      <c r="K1177" s="6">
        <f>Procurement_Raw!K1177</f>
        <v>60</v>
      </c>
      <c r="L1177" t="str">
        <f>Procurement_Raw!L1177</f>
        <v>ERP</v>
      </c>
      <c r="M1177" s="8">
        <f>Procurement_Raw!M1177</f>
        <v>1470.5319999999999</v>
      </c>
      <c r="N1177" s="7">
        <f>Procurement_Raw!N1177</f>
        <v>7352.66</v>
      </c>
      <c r="O1177" s="7">
        <f t="shared" si="36"/>
        <v>7352.66</v>
      </c>
      <c r="P1177" t="str">
        <f>IFERROR(INDEX(Supplier_Lookup!$B$2:$B$200,MATCH(E1177,Supplier_Lookup!$A$2:$A$200,0)),"Unmapped")</f>
        <v>medical supplies</v>
      </c>
      <c r="Q1177" s="10">
        <f>IFERROR(INDEX(Category_Targets!$B$2:$B$9,MATCH(F1177,Category_Targets!$A$2:$A$9,0)),0)</f>
        <v>0.08</v>
      </c>
      <c r="R1177" s="7">
        <f t="shared" si="37"/>
        <v>588.21280000000002</v>
      </c>
    </row>
    <row r="1178" spans="1:18" x14ac:dyDescent="0.25">
      <c r="A1178" s="5">
        <f>Procurement_Raw!A1178</f>
        <v>45966</v>
      </c>
      <c r="B1178" t="str">
        <f>Procurement_Raw!B1178</f>
        <v>S007</v>
      </c>
      <c r="C1178" t="str">
        <f>Procurement_Raw!C1178</f>
        <v>Nottingham Care &amp; Education Centre</v>
      </c>
      <c r="D1178" t="str">
        <f>Procurement_Raw!D1178</f>
        <v>Midlands</v>
      </c>
      <c r="E1178" t="str">
        <f>Procurement_Raw!E1178</f>
        <v>FreshServe</v>
      </c>
      <c r="F1178" t="str">
        <f>Procurement_Raw!F1178</f>
        <v>Food &amp; Catering</v>
      </c>
      <c r="G1178" t="str">
        <f>Procurement_Raw!G1178</f>
        <v>INV-2025-01177</v>
      </c>
      <c r="H1178" s="6">
        <f>Procurement_Raw!H1178</f>
        <v>27</v>
      </c>
      <c r="I1178" s="7">
        <f>Procurement_Raw!I1178</f>
        <v>25.62</v>
      </c>
      <c r="J1178" s="7">
        <f>Procurement_Raw!J1178</f>
        <v>691.66</v>
      </c>
      <c r="K1178" s="6">
        <f>Procurement_Raw!K1178</f>
        <v>60</v>
      </c>
      <c r="L1178" t="str">
        <f>Procurement_Raw!L1178</f>
        <v>ERP</v>
      </c>
      <c r="M1178" s="8">
        <f>Procurement_Raw!M1178</f>
        <v>138.33199999999999</v>
      </c>
      <c r="N1178" s="7">
        <f>Procurement_Raw!N1178</f>
        <v>691.66</v>
      </c>
      <c r="O1178" s="7">
        <f t="shared" si="36"/>
        <v>691.66</v>
      </c>
      <c r="P1178" t="str">
        <f>IFERROR(INDEX(Supplier_Lookup!$B$2:$B$200,MATCH(E1178,Supplier_Lookup!$A$2:$A$200,0)),"Unmapped")</f>
        <v>Food &amp; Catering</v>
      </c>
      <c r="Q1178" s="10">
        <f>IFERROR(INDEX(Category_Targets!$B$2:$B$9,MATCH(F1178,Category_Targets!$A$2:$A$9,0)),0)</f>
        <v>0.04</v>
      </c>
      <c r="R1178" s="7">
        <f t="shared" si="37"/>
        <v>27.666399999999999</v>
      </c>
    </row>
    <row r="1179" spans="1:18" x14ac:dyDescent="0.25">
      <c r="A1179" s="5">
        <f>Procurement_Raw!A1179</f>
        <v>45704</v>
      </c>
      <c r="B1179" t="str">
        <f>Procurement_Raw!B1179</f>
        <v>S006</v>
      </c>
      <c r="C1179" t="str">
        <f>Procurement_Raw!C1179</f>
        <v>Birmingham Care &amp; Education Centre</v>
      </c>
      <c r="D1179" t="str">
        <f>Procurement_Raw!D1179</f>
        <v>Midlands</v>
      </c>
      <c r="E1179" t="str">
        <f>Procurement_Raw!E1179</f>
        <v>FleetFuel</v>
      </c>
      <c r="F1179" t="str">
        <f>Procurement_Raw!F1179</f>
        <v>Vehicle &amp; Fuel</v>
      </c>
      <c r="G1179" t="str">
        <f>Procurement_Raw!G1179</f>
        <v>INV-2025-01178</v>
      </c>
      <c r="H1179" s="6">
        <f>Procurement_Raw!H1179</f>
        <v>19</v>
      </c>
      <c r="I1179" s="7">
        <f>Procurement_Raw!I1179</f>
        <v>90</v>
      </c>
      <c r="J1179" s="7">
        <f>Procurement_Raw!J1179</f>
        <v>1709.97</v>
      </c>
      <c r="K1179" s="6">
        <f>Procurement_Raw!K1179</f>
        <v>60</v>
      </c>
      <c r="L1179" t="str">
        <f>Procurement_Raw!L1179</f>
        <v>Procurement Portal</v>
      </c>
      <c r="M1179" s="8">
        <f>Procurement_Raw!M1179</f>
        <v>341.99400000000003</v>
      </c>
      <c r="N1179" s="7">
        <f>Procurement_Raw!N1179</f>
        <v>1709.97</v>
      </c>
      <c r="O1179" s="7">
        <f t="shared" si="36"/>
        <v>1709.97</v>
      </c>
      <c r="P1179" t="str">
        <f>IFERROR(INDEX(Supplier_Lookup!$B$2:$B$200,MATCH(E1179,Supplier_Lookup!$A$2:$A$200,0)),"Unmapped")</f>
        <v>Vehicle &amp; Fuel</v>
      </c>
      <c r="Q1179" s="10">
        <f>IFERROR(INDEX(Category_Targets!$B$2:$B$9,MATCH(F1179,Category_Targets!$A$2:$A$9,0)),0)</f>
        <v>0.05</v>
      </c>
      <c r="R1179" s="7">
        <f t="shared" si="37"/>
        <v>85.498500000000007</v>
      </c>
    </row>
    <row r="1180" spans="1:18" x14ac:dyDescent="0.25">
      <c r="A1180" s="5">
        <f>Procurement_Raw!A1180</f>
        <v>45740</v>
      </c>
      <c r="B1180" t="str">
        <f>Procurement_Raw!B1180</f>
        <v>S020</v>
      </c>
      <c r="C1180" t="str">
        <f>Procurement_Raw!C1180</f>
        <v>Bangor Care &amp; Education Centre</v>
      </c>
      <c r="D1180" t="str">
        <f>Procurement_Raw!D1180</f>
        <v>Wales</v>
      </c>
      <c r="E1180" t="str">
        <f>Procurement_Raw!E1180</f>
        <v>RoadReady</v>
      </c>
      <c r="F1180" t="str">
        <f>Procurement_Raw!F1180</f>
        <v>Vehicle &amp; Fuel</v>
      </c>
      <c r="G1180" t="str">
        <f>Procurement_Raw!G1180</f>
        <v>INV-2025-01179</v>
      </c>
      <c r="H1180" s="6">
        <f>Procurement_Raw!H1180</f>
        <v>65</v>
      </c>
      <c r="I1180" s="7">
        <f>Procurement_Raw!I1180</f>
        <v>55.16</v>
      </c>
      <c r="J1180" s="7">
        <f>Procurement_Raw!J1180</f>
        <v>3585.09</v>
      </c>
      <c r="K1180" s="6">
        <f>Procurement_Raw!K1180</f>
        <v>60</v>
      </c>
      <c r="L1180" t="str">
        <f>Procurement_Raw!L1180</f>
        <v>Legacy Spend File</v>
      </c>
      <c r="M1180" s="8">
        <f>Procurement_Raw!M1180</f>
        <v>717.01800000000003</v>
      </c>
      <c r="N1180" s="7">
        <f>Procurement_Raw!N1180</f>
        <v>3585.09</v>
      </c>
      <c r="O1180" s="7">
        <f t="shared" si="36"/>
        <v>3585.09</v>
      </c>
      <c r="P1180" t="str">
        <f>IFERROR(INDEX(Supplier_Lookup!$B$2:$B$200,MATCH(E1180,Supplier_Lookup!$A$2:$A$200,0)),"Unmapped")</f>
        <v>Vehicle &amp; Fuel</v>
      </c>
      <c r="Q1180" s="10">
        <f>IFERROR(INDEX(Category_Targets!$B$2:$B$9,MATCH(F1180,Category_Targets!$A$2:$A$9,0)),0)</f>
        <v>0.05</v>
      </c>
      <c r="R1180" s="7">
        <f t="shared" si="37"/>
        <v>179.25450000000001</v>
      </c>
    </row>
    <row r="1181" spans="1:18" x14ac:dyDescent="0.25">
      <c r="A1181" s="5">
        <f>Procurement_Raw!A1181</f>
        <v>45954</v>
      </c>
      <c r="B1181" t="str">
        <f>Procurement_Raw!B1181</f>
        <v>S006</v>
      </c>
      <c r="C1181" t="str">
        <f>Procurement_Raw!C1181</f>
        <v>Birmingham Care &amp; Education Centre</v>
      </c>
      <c r="D1181" t="str">
        <f>Procurement_Raw!D1181</f>
        <v>Midlands</v>
      </c>
      <c r="E1181" t="str">
        <f>Procurement_Raw!E1181</f>
        <v>FreshServe</v>
      </c>
      <c r="F1181" t="str">
        <f>Procurement_Raw!F1181</f>
        <v>Food &amp; Catering</v>
      </c>
      <c r="G1181" t="str">
        <f>Procurement_Raw!G1181</f>
        <v>INV-2025-01180</v>
      </c>
      <c r="H1181" s="6">
        <f>Procurement_Raw!H1181</f>
        <v>2</v>
      </c>
      <c r="I1181" s="7">
        <f>Procurement_Raw!I1181</f>
        <v>35.42</v>
      </c>
      <c r="J1181" s="7">
        <f>Procurement_Raw!J1181</f>
        <v>70.849999999999994</v>
      </c>
      <c r="K1181" s="6">
        <f>Procurement_Raw!K1181</f>
        <v>60</v>
      </c>
      <c r="L1181" t="str">
        <f>Procurement_Raw!L1181</f>
        <v>ERP</v>
      </c>
      <c r="M1181" s="8">
        <f>Procurement_Raw!M1181</f>
        <v>14.17</v>
      </c>
      <c r="N1181" s="7">
        <f>Procurement_Raw!N1181</f>
        <v>70.849999999999994</v>
      </c>
      <c r="O1181" s="7">
        <f t="shared" si="36"/>
        <v>70.849999999999994</v>
      </c>
      <c r="P1181" t="str">
        <f>IFERROR(INDEX(Supplier_Lookup!$B$2:$B$200,MATCH(E1181,Supplier_Lookup!$A$2:$A$200,0)),"Unmapped")</f>
        <v>Food &amp; Catering</v>
      </c>
      <c r="Q1181" s="10">
        <f>IFERROR(INDEX(Category_Targets!$B$2:$B$9,MATCH(F1181,Category_Targets!$A$2:$A$9,0)),0)</f>
        <v>0.04</v>
      </c>
      <c r="R1181" s="7">
        <f t="shared" si="37"/>
        <v>2.8339999999999996</v>
      </c>
    </row>
    <row r="1182" spans="1:18" x14ac:dyDescent="0.25">
      <c r="A1182" s="5">
        <f>Procurement_Raw!A1182</f>
        <v>45745</v>
      </c>
      <c r="B1182" t="str">
        <f>Procurement_Raw!B1182</f>
        <v>S011</v>
      </c>
      <c r="C1182" t="str">
        <f>Procurement_Raw!C1182</f>
        <v>London Care &amp; Education Centre</v>
      </c>
      <c r="D1182" t="str">
        <f>Procurement_Raw!D1182</f>
        <v>South</v>
      </c>
      <c r="E1182" t="str">
        <f>Procurement_Raw!E1182</f>
        <v>WaterGrid</v>
      </c>
      <c r="F1182" t="str">
        <f>Procurement_Raw!F1182</f>
        <v>Utilities</v>
      </c>
      <c r="G1182" t="str">
        <f>Procurement_Raw!G1182</f>
        <v>INV-2025-01181</v>
      </c>
      <c r="H1182" s="6">
        <f>Procurement_Raw!H1182</f>
        <v>69</v>
      </c>
      <c r="I1182" s="7">
        <f>Procurement_Raw!I1182</f>
        <v>276</v>
      </c>
      <c r="J1182" s="7">
        <f>Procurement_Raw!J1182</f>
        <v>19044.03</v>
      </c>
      <c r="K1182" s="6">
        <f>Procurement_Raw!K1182</f>
        <v>30</v>
      </c>
      <c r="L1182" t="str">
        <f>Procurement_Raw!L1182</f>
        <v>Legacy Spend File</v>
      </c>
      <c r="M1182" s="8">
        <f>Procurement_Raw!M1182</f>
        <v>3808.806</v>
      </c>
      <c r="N1182" s="7">
        <f>Procurement_Raw!N1182</f>
        <v>19044.03</v>
      </c>
      <c r="O1182" s="7">
        <f t="shared" si="36"/>
        <v>19044.03</v>
      </c>
      <c r="P1182" t="str">
        <f>IFERROR(INDEX(Supplier_Lookup!$B$2:$B$200,MATCH(E1182,Supplier_Lookup!$A$2:$A$200,0)),"Unmapped")</f>
        <v>Utilities</v>
      </c>
      <c r="Q1182" s="10">
        <f>IFERROR(INDEX(Category_Targets!$B$2:$B$9,MATCH(F1182,Category_Targets!$A$2:$A$9,0)),0)</f>
        <v>0.03</v>
      </c>
      <c r="R1182" s="7">
        <f t="shared" si="37"/>
        <v>571.32089999999994</v>
      </c>
    </row>
    <row r="1183" spans="1:18" x14ac:dyDescent="0.25">
      <c r="A1183" s="5">
        <f>Procurement_Raw!A1183</f>
        <v>46020</v>
      </c>
      <c r="B1183" t="str">
        <f>Procurement_Raw!B1183</f>
        <v>S017</v>
      </c>
      <c r="C1183" t="str">
        <f>Procurement_Raw!C1183</f>
        <v>Swansea Care &amp; Education Centre</v>
      </c>
      <c r="D1183" t="str">
        <f>Procurement_Raw!D1183</f>
        <v>Wales</v>
      </c>
      <c r="E1183" t="str">
        <f>Procurement_Raw!E1183</f>
        <v>PowerDirect</v>
      </c>
      <c r="F1183" t="str">
        <f>Procurement_Raw!F1183</f>
        <v>Utilities</v>
      </c>
      <c r="G1183" t="str">
        <f>Procurement_Raw!G1183</f>
        <v>INV-2025-01182</v>
      </c>
      <c r="H1183" s="6">
        <f>Procurement_Raw!H1183</f>
        <v>61</v>
      </c>
      <c r="I1183" s="7">
        <f>Procurement_Raw!I1183</f>
        <v>537.57000000000005</v>
      </c>
      <c r="J1183" s="7">
        <f>Procurement_Raw!J1183</f>
        <v>32791.870000000003</v>
      </c>
      <c r="K1183" s="6">
        <f>Procurement_Raw!K1183</f>
        <v>45</v>
      </c>
      <c r="L1183" t="str">
        <f>Procurement_Raw!L1183</f>
        <v>Legacy Spend File</v>
      </c>
      <c r="M1183" s="8">
        <f>Procurement_Raw!M1183</f>
        <v>6558.3739999999998</v>
      </c>
      <c r="N1183" s="7">
        <f>Procurement_Raw!N1183</f>
        <v>32791.870000000003</v>
      </c>
      <c r="O1183" s="7">
        <f t="shared" si="36"/>
        <v>32791.870000000003</v>
      </c>
      <c r="P1183" t="str">
        <f>IFERROR(INDEX(Supplier_Lookup!$B$2:$B$200,MATCH(E1183,Supplier_Lookup!$A$2:$A$200,0)),"Unmapped")</f>
        <v>Utilities</v>
      </c>
      <c r="Q1183" s="10">
        <f>IFERROR(INDEX(Category_Targets!$B$2:$B$9,MATCH(F1183,Category_Targets!$A$2:$A$9,0)),0)</f>
        <v>0.03</v>
      </c>
      <c r="R1183" s="7">
        <f t="shared" si="37"/>
        <v>983.75610000000006</v>
      </c>
    </row>
    <row r="1184" spans="1:18" x14ac:dyDescent="0.25">
      <c r="A1184" s="5">
        <f>Procurement_Raw!A1184</f>
        <v>46002</v>
      </c>
      <c r="B1184" t="str">
        <f>Procurement_Raw!B1184</f>
        <v>S018</v>
      </c>
      <c r="C1184" t="str">
        <f>Procurement_Raw!C1184</f>
        <v>Newport Care &amp; Education Centre</v>
      </c>
      <c r="D1184" t="str">
        <f>Procurement_Raw!D1184</f>
        <v>Wales</v>
      </c>
      <c r="E1184" t="str">
        <f>Procurement_Raw!E1184</f>
        <v>SafeGuard FM</v>
      </c>
      <c r="F1184" t="str">
        <f>Procurement_Raw!F1184</f>
        <v>Facilities</v>
      </c>
      <c r="G1184" t="str">
        <f>Procurement_Raw!G1184</f>
        <v>INV-2025-01183</v>
      </c>
      <c r="H1184" s="6">
        <f>Procurement_Raw!H1184</f>
        <v>14</v>
      </c>
      <c r="I1184" s="7">
        <f>Procurement_Raw!I1184</f>
        <v>298.27999999999997</v>
      </c>
      <c r="J1184" s="7">
        <f>Procurement_Raw!J1184</f>
        <v>4175.91</v>
      </c>
      <c r="K1184" s="6">
        <f>Procurement_Raw!K1184</f>
        <v>30</v>
      </c>
      <c r="L1184" t="str">
        <f>Procurement_Raw!L1184</f>
        <v>Procurement Portal</v>
      </c>
      <c r="M1184" s="8">
        <f>Procurement_Raw!M1184</f>
        <v>835.18200000000002</v>
      </c>
      <c r="N1184" s="7">
        <f>Procurement_Raw!N1184</f>
        <v>4175.91</v>
      </c>
      <c r="O1184" s="7">
        <f t="shared" si="36"/>
        <v>4175.91</v>
      </c>
      <c r="P1184" t="str">
        <f>IFERROR(INDEX(Supplier_Lookup!$B$2:$B$200,MATCH(E1184,Supplier_Lookup!$A$2:$A$200,0)),"Unmapped")</f>
        <v>Facilities</v>
      </c>
      <c r="Q1184" s="10">
        <f>IFERROR(INDEX(Category_Targets!$B$2:$B$9,MATCH(F1184,Category_Targets!$A$2:$A$9,0)),0)</f>
        <v>0.05</v>
      </c>
      <c r="R1184" s="7">
        <f t="shared" si="37"/>
        <v>208.7955</v>
      </c>
    </row>
    <row r="1185" spans="1:18" x14ac:dyDescent="0.25">
      <c r="A1185" s="5">
        <f>Procurement_Raw!A1185</f>
        <v>45921</v>
      </c>
      <c r="B1185" t="str">
        <f>Procurement_Raw!B1185</f>
        <v>S006</v>
      </c>
      <c r="C1185" t="str">
        <f>Procurement_Raw!C1185</f>
        <v>Birmingham Care &amp; Education Centre</v>
      </c>
      <c r="D1185" t="str">
        <f>Procurement_Raw!D1185</f>
        <v>Midlands</v>
      </c>
      <c r="E1185" t="str">
        <f>Procurement_Raw!E1185</f>
        <v>HealthStaffing</v>
      </c>
      <c r="F1185" t="str">
        <f>Procurement_Raw!F1185</f>
        <v>Agency Labour</v>
      </c>
      <c r="G1185" t="str">
        <f>Procurement_Raw!G1185</f>
        <v>INV-2025-01184</v>
      </c>
      <c r="H1185" s="6">
        <f>Procurement_Raw!H1185</f>
        <v>30</v>
      </c>
      <c r="I1185" s="7">
        <f>Procurement_Raw!I1185</f>
        <v>126.47</v>
      </c>
      <c r="J1185" s="7">
        <f>Procurement_Raw!J1185</f>
        <v>3794.11</v>
      </c>
      <c r="K1185" s="6">
        <f>Procurement_Raw!K1185</f>
        <v>45</v>
      </c>
      <c r="L1185" t="str">
        <f>Procurement_Raw!L1185</f>
        <v>ERP</v>
      </c>
      <c r="M1185" s="8">
        <f>Procurement_Raw!M1185</f>
        <v>758.822</v>
      </c>
      <c r="N1185" s="7">
        <f>Procurement_Raw!N1185</f>
        <v>3794.11</v>
      </c>
      <c r="O1185" s="7">
        <f t="shared" si="36"/>
        <v>3794.11</v>
      </c>
      <c r="P1185" t="str">
        <f>IFERROR(INDEX(Supplier_Lookup!$B$2:$B$200,MATCH(E1185,Supplier_Lookup!$A$2:$A$200,0)),"Unmapped")</f>
        <v>Agency Labour</v>
      </c>
      <c r="Q1185" s="10">
        <f>IFERROR(INDEX(Category_Targets!$B$2:$B$9,MATCH(F1185,Category_Targets!$A$2:$A$9,0)),0)</f>
        <v>7.0000000000000007E-2</v>
      </c>
      <c r="R1185" s="7">
        <f t="shared" si="37"/>
        <v>265.58770000000004</v>
      </c>
    </row>
    <row r="1186" spans="1:18" x14ac:dyDescent="0.25">
      <c r="A1186" s="5">
        <f>Procurement_Raw!A1186</f>
        <v>45896</v>
      </c>
      <c r="B1186" t="str">
        <f>Procurement_Raw!B1186</f>
        <v>S008</v>
      </c>
      <c r="C1186" t="str">
        <f>Procurement_Raw!C1186</f>
        <v>Leicester Care &amp; Education Centre</v>
      </c>
      <c r="D1186" t="str">
        <f>Procurement_Raw!D1186</f>
        <v>Midlands</v>
      </c>
      <c r="E1186" t="str">
        <f>Procurement_Raw!E1186</f>
        <v>FleetFuel</v>
      </c>
      <c r="F1186" t="str">
        <f>Procurement_Raw!F1186</f>
        <v>Vehicle &amp; Fuel</v>
      </c>
      <c r="G1186" t="str">
        <f>Procurement_Raw!G1186</f>
        <v>INV-2025-01185</v>
      </c>
      <c r="H1186" s="6">
        <f>Procurement_Raw!H1186</f>
        <v>15</v>
      </c>
      <c r="I1186" s="7">
        <f>Procurement_Raw!I1186</f>
        <v>55.12</v>
      </c>
      <c r="J1186" s="7">
        <f>Procurement_Raw!J1186</f>
        <v>826.86</v>
      </c>
      <c r="K1186" s="6">
        <f>Procurement_Raw!K1186</f>
        <v>60</v>
      </c>
      <c r="L1186" t="str">
        <f>Procurement_Raw!L1186</f>
        <v>ERP</v>
      </c>
      <c r="M1186" s="8">
        <f>Procurement_Raw!M1186</f>
        <v>165.37200000000001</v>
      </c>
      <c r="N1186" s="7">
        <f>Procurement_Raw!N1186</f>
        <v>826.86</v>
      </c>
      <c r="O1186" s="7">
        <f t="shared" si="36"/>
        <v>826.86</v>
      </c>
      <c r="P1186" t="str">
        <f>IFERROR(INDEX(Supplier_Lookup!$B$2:$B$200,MATCH(E1186,Supplier_Lookup!$A$2:$A$200,0)),"Unmapped")</f>
        <v>Vehicle &amp; Fuel</v>
      </c>
      <c r="Q1186" s="10">
        <f>IFERROR(INDEX(Category_Targets!$B$2:$B$9,MATCH(F1186,Category_Targets!$A$2:$A$9,0)),0)</f>
        <v>0.05</v>
      </c>
      <c r="R1186" s="7">
        <f t="shared" si="37"/>
        <v>41.343000000000004</v>
      </c>
    </row>
    <row r="1187" spans="1:18" x14ac:dyDescent="0.25">
      <c r="A1187" s="5">
        <f>Procurement_Raw!A1187</f>
        <v>45805</v>
      </c>
      <c r="B1187" t="str">
        <f>Procurement_Raw!B1187</f>
        <v>S002</v>
      </c>
      <c r="C1187" t="str">
        <f>Procurement_Raw!C1187</f>
        <v>Manchester Care &amp; Education Centre</v>
      </c>
      <c r="D1187" t="str">
        <f>Procurement_Raw!D1187</f>
        <v>North</v>
      </c>
      <c r="E1187" t="str">
        <f>Procurement_Raw!E1187</f>
        <v>AutoCare</v>
      </c>
      <c r="F1187" t="str">
        <f>Procurement_Raw!F1187</f>
        <v>Vehicle &amp; Fuel</v>
      </c>
      <c r="G1187" t="str">
        <f>Procurement_Raw!G1187</f>
        <v>INV-2025-01186</v>
      </c>
      <c r="H1187" s="6">
        <f>Procurement_Raw!H1187</f>
        <v>72</v>
      </c>
      <c r="I1187" s="7">
        <f>Procurement_Raw!I1187</f>
        <v>159.38</v>
      </c>
      <c r="J1187" s="7">
        <f>Procurement_Raw!J1187</f>
        <v>11475.47</v>
      </c>
      <c r="K1187" s="6">
        <f>Procurement_Raw!K1187</f>
        <v>60</v>
      </c>
      <c r="L1187" t="str">
        <f>Procurement_Raw!L1187</f>
        <v>ERP</v>
      </c>
      <c r="M1187" s="8">
        <f>Procurement_Raw!M1187</f>
        <v>2295.0940000000001</v>
      </c>
      <c r="N1187" s="7">
        <f>Procurement_Raw!N1187</f>
        <v>11475.47</v>
      </c>
      <c r="O1187" s="7">
        <f t="shared" si="36"/>
        <v>11475.47</v>
      </c>
      <c r="P1187" t="str">
        <f>IFERROR(INDEX(Supplier_Lookup!$B$2:$B$200,MATCH(E1187,Supplier_Lookup!$A$2:$A$200,0)),"Unmapped")</f>
        <v>Vehicle &amp; Fuel</v>
      </c>
      <c r="Q1187" s="10">
        <f>IFERROR(INDEX(Category_Targets!$B$2:$B$9,MATCH(F1187,Category_Targets!$A$2:$A$9,0)),0)</f>
        <v>0.05</v>
      </c>
      <c r="R1187" s="7">
        <f t="shared" si="37"/>
        <v>573.77350000000001</v>
      </c>
    </row>
    <row r="1188" spans="1:18" x14ac:dyDescent="0.25">
      <c r="A1188" s="5">
        <f>Procurement_Raw!A1188</f>
        <v>45717</v>
      </c>
      <c r="B1188" t="str">
        <f>Procurement_Raw!B1188</f>
        <v>S016</v>
      </c>
      <c r="C1188" t="str">
        <f>Procurement_Raw!C1188</f>
        <v>Cardiff Care &amp; Education Centre</v>
      </c>
      <c r="D1188" t="str">
        <f>Procurement_Raw!D1188</f>
        <v>Wales</v>
      </c>
      <c r="E1188" t="str">
        <f>Procurement_Raw!E1188</f>
        <v>RoadReady</v>
      </c>
      <c r="F1188" t="str">
        <f>Procurement_Raw!F1188</f>
        <v>Vehicle &amp; Fuel</v>
      </c>
      <c r="G1188" t="str">
        <f>Procurement_Raw!G1188</f>
        <v>INV-2025-01187</v>
      </c>
      <c r="H1188" s="6">
        <f>Procurement_Raw!H1188</f>
        <v>50</v>
      </c>
      <c r="I1188" s="7">
        <f>Procurement_Raw!I1188</f>
        <v>55.34</v>
      </c>
      <c r="J1188" s="7">
        <f>Procurement_Raw!J1188</f>
        <v>2767.04</v>
      </c>
      <c r="K1188" s="6">
        <f>Procurement_Raw!K1188</f>
        <v>45</v>
      </c>
      <c r="L1188" t="str">
        <f>Procurement_Raw!L1188</f>
        <v>Procurement Portal</v>
      </c>
      <c r="M1188" s="8">
        <f>Procurement_Raw!M1188</f>
        <v>553.40800000000002</v>
      </c>
      <c r="N1188" s="7">
        <f>Procurement_Raw!N1188</f>
        <v>2767.04</v>
      </c>
      <c r="O1188" s="7">
        <f t="shared" si="36"/>
        <v>2767.04</v>
      </c>
      <c r="P1188" t="str">
        <f>IFERROR(INDEX(Supplier_Lookup!$B$2:$B$200,MATCH(E1188,Supplier_Lookup!$A$2:$A$200,0)),"Unmapped")</f>
        <v>Vehicle &amp; Fuel</v>
      </c>
      <c r="Q1188" s="10">
        <f>IFERROR(INDEX(Category_Targets!$B$2:$B$9,MATCH(F1188,Category_Targets!$A$2:$A$9,0)),0)</f>
        <v>0.05</v>
      </c>
      <c r="R1188" s="7">
        <f t="shared" si="37"/>
        <v>138.352</v>
      </c>
    </row>
    <row r="1189" spans="1:18" x14ac:dyDescent="0.25">
      <c r="A1189" s="5">
        <f>Procurement_Raw!A1189</f>
        <v>45885</v>
      </c>
      <c r="B1189" t="str">
        <f>Procurement_Raw!B1189</f>
        <v>S014</v>
      </c>
      <c r="C1189" t="str">
        <f>Procurement_Raw!C1189</f>
        <v>Southampton Care &amp; Education Centre</v>
      </c>
      <c r="D1189" t="str">
        <f>Procurement_Raw!D1189</f>
        <v>South</v>
      </c>
      <c r="E1189" t="str">
        <f>Procurement_Raw!E1189</f>
        <v>NetServe</v>
      </c>
      <c r="F1189" t="str">
        <f>Procurement_Raw!F1189</f>
        <v>IT &amp; Telecoms</v>
      </c>
      <c r="G1189" t="str">
        <f>Procurement_Raw!G1189</f>
        <v>INV-2025-01188</v>
      </c>
      <c r="H1189" s="6">
        <f>Procurement_Raw!H1189</f>
        <v>29</v>
      </c>
      <c r="I1189" s="7">
        <f>Procurement_Raw!I1189</f>
        <v>194.43</v>
      </c>
      <c r="J1189" s="7">
        <f>Procurement_Raw!J1189</f>
        <v>5638.51</v>
      </c>
      <c r="K1189" s="6">
        <f>Procurement_Raw!K1189</f>
        <v>60</v>
      </c>
      <c r="L1189" t="str">
        <f>Procurement_Raw!L1189</f>
        <v>Procurement Portal</v>
      </c>
      <c r="M1189" s="8">
        <f>Procurement_Raw!M1189</f>
        <v>1127.702</v>
      </c>
      <c r="N1189" s="7">
        <f>Procurement_Raw!N1189</f>
        <v>5638.51</v>
      </c>
      <c r="O1189" s="7">
        <f t="shared" si="36"/>
        <v>5638.51</v>
      </c>
      <c r="P1189" t="str">
        <f>IFERROR(INDEX(Supplier_Lookup!$B$2:$B$200,MATCH(E1189,Supplier_Lookup!$A$2:$A$200,0)),"Unmapped")</f>
        <v>IT &amp; Telecoms</v>
      </c>
      <c r="Q1189" s="10">
        <f>IFERROR(INDEX(Category_Targets!$B$2:$B$9,MATCH(F1189,Category_Targets!$A$2:$A$9,0)),0)</f>
        <v>0.08</v>
      </c>
      <c r="R1189" s="7">
        <f t="shared" si="37"/>
        <v>451.08080000000001</v>
      </c>
    </row>
    <row r="1190" spans="1:18" x14ac:dyDescent="0.25">
      <c r="A1190" s="5">
        <f>Procurement_Raw!A1190</f>
        <v>45693</v>
      </c>
      <c r="B1190" t="str">
        <f>Procurement_Raw!B1190</f>
        <v>S010</v>
      </c>
      <c r="C1190" t="str">
        <f>Procurement_Raw!C1190</f>
        <v>Coventry Care &amp; Education Centre</v>
      </c>
      <c r="D1190" t="str">
        <f>Procurement_Raw!D1190</f>
        <v>Midlands</v>
      </c>
      <c r="E1190" t="str">
        <f>Procurement_Raw!E1190</f>
        <v>HealthStaffing</v>
      </c>
      <c r="F1190" t="str">
        <f>Procurement_Raw!F1190</f>
        <v>Agency Labour</v>
      </c>
      <c r="G1190" t="str">
        <f>Procurement_Raw!G1190</f>
        <v>INV-2025-01189</v>
      </c>
      <c r="H1190" s="6">
        <f>Procurement_Raw!H1190</f>
        <v>61</v>
      </c>
      <c r="I1190" s="7">
        <f>Procurement_Raw!I1190</f>
        <v>405.98</v>
      </c>
      <c r="J1190" s="7">
        <f>Procurement_Raw!J1190</f>
        <v>24764.959999999999</v>
      </c>
      <c r="K1190" s="6">
        <f>Procurement_Raw!K1190</f>
        <v>60</v>
      </c>
      <c r="L1190" t="str">
        <f>Procurement_Raw!L1190</f>
        <v>Procurement Portal</v>
      </c>
      <c r="M1190" s="8">
        <f>Procurement_Raw!M1190</f>
        <v>4952.9920000000002</v>
      </c>
      <c r="N1190" s="7">
        <f>Procurement_Raw!N1190</f>
        <v>24764.959999999999</v>
      </c>
      <c r="O1190" s="7">
        <f t="shared" si="36"/>
        <v>24764.959999999999</v>
      </c>
      <c r="P1190" t="str">
        <f>IFERROR(INDEX(Supplier_Lookup!$B$2:$B$200,MATCH(E1190,Supplier_Lookup!$A$2:$A$200,0)),"Unmapped")</f>
        <v>Agency Labour</v>
      </c>
      <c r="Q1190" s="10">
        <f>IFERROR(INDEX(Category_Targets!$B$2:$B$9,MATCH(F1190,Category_Targets!$A$2:$A$9,0)),0)</f>
        <v>7.0000000000000007E-2</v>
      </c>
      <c r="R1190" s="7">
        <f t="shared" si="37"/>
        <v>1733.5472000000002</v>
      </c>
    </row>
    <row r="1191" spans="1:18" x14ac:dyDescent="0.25">
      <c r="A1191" s="5">
        <f>Procurement_Raw!A1191</f>
        <v>45909</v>
      </c>
      <c r="B1191" t="str">
        <f>Procurement_Raw!B1191</f>
        <v>S019</v>
      </c>
      <c r="C1191" t="str">
        <f>Procurement_Raw!C1191</f>
        <v>Wrexham Care &amp; Education Centre</v>
      </c>
      <c r="D1191" t="str">
        <f>Procurement_Raw!D1191</f>
        <v>Wales</v>
      </c>
      <c r="E1191" t="str">
        <f>Procurement_Raw!E1191</f>
        <v>ClinEquip</v>
      </c>
      <c r="F1191" t="str">
        <f>Procurement_Raw!F1191</f>
        <v>Medical Supplies</v>
      </c>
      <c r="G1191" t="str">
        <f>Procurement_Raw!G1191</f>
        <v>INV-2025-01190</v>
      </c>
      <c r="H1191" s="6">
        <f>Procurement_Raw!H1191</f>
        <v>14</v>
      </c>
      <c r="I1191" s="7">
        <f>Procurement_Raw!I1191</f>
        <v>70.45</v>
      </c>
      <c r="J1191" s="7">
        <f>Procurement_Raw!J1191</f>
        <v>986.3</v>
      </c>
      <c r="K1191" s="6">
        <f>Procurement_Raw!K1191</f>
        <v>45</v>
      </c>
      <c r="L1191" t="str">
        <f>Procurement_Raw!L1191</f>
        <v>Procurement Portal</v>
      </c>
      <c r="M1191" s="8">
        <f>Procurement_Raw!M1191</f>
        <v>197.26</v>
      </c>
      <c r="N1191" s="7">
        <f>Procurement_Raw!N1191</f>
        <v>986.3</v>
      </c>
      <c r="O1191" s="7">
        <f t="shared" si="36"/>
        <v>986.3</v>
      </c>
      <c r="P1191" t="str">
        <f>IFERROR(INDEX(Supplier_Lookup!$B$2:$B$200,MATCH(E1191,Supplier_Lookup!$A$2:$A$200,0)),"Unmapped")</f>
        <v>Medical Supplies</v>
      </c>
      <c r="Q1191" s="10">
        <f>IFERROR(INDEX(Category_Targets!$B$2:$B$9,MATCH(F1191,Category_Targets!$A$2:$A$9,0)),0)</f>
        <v>0.06</v>
      </c>
      <c r="R1191" s="7">
        <f t="shared" si="37"/>
        <v>59.177999999999997</v>
      </c>
    </row>
    <row r="1192" spans="1:18" x14ac:dyDescent="0.25">
      <c r="A1192" s="5">
        <f>Procurement_Raw!A1192</f>
        <v>45731</v>
      </c>
      <c r="B1192" t="str">
        <f>Procurement_Raw!B1192</f>
        <v>S017</v>
      </c>
      <c r="C1192" t="str">
        <f>Procurement_Raw!C1192</f>
        <v>Swansea Care &amp; Education Centre</v>
      </c>
      <c r="D1192" t="str">
        <f>Procurement_Raw!D1192</f>
        <v>Wales</v>
      </c>
      <c r="E1192" t="str">
        <f>Procurement_Raw!E1192</f>
        <v>FreshServe</v>
      </c>
      <c r="F1192" t="str">
        <f>Procurement_Raw!F1192</f>
        <v>Food &amp; Catering</v>
      </c>
      <c r="G1192" t="str">
        <f>Procurement_Raw!G1192</f>
        <v>INV-2025-01191</v>
      </c>
      <c r="H1192" s="6">
        <f>Procurement_Raw!H1192</f>
        <v>51</v>
      </c>
      <c r="I1192" s="7">
        <f>Procurement_Raw!I1192</f>
        <v>68.88</v>
      </c>
      <c r="J1192" s="7">
        <f>Procurement_Raw!J1192</f>
        <v>3512.8</v>
      </c>
      <c r="K1192" s="6">
        <f>Procurement_Raw!K1192</f>
        <v>45</v>
      </c>
      <c r="L1192" t="str">
        <f>Procurement_Raw!L1192</f>
        <v>Legacy Spend File</v>
      </c>
      <c r="M1192" s="8">
        <f>Procurement_Raw!M1192</f>
        <v>702.56</v>
      </c>
      <c r="N1192" s="7">
        <f>Procurement_Raw!N1192</f>
        <v>3512.8</v>
      </c>
      <c r="O1192" s="7">
        <f t="shared" si="36"/>
        <v>3512.8</v>
      </c>
      <c r="P1192" t="str">
        <f>IFERROR(INDEX(Supplier_Lookup!$B$2:$B$200,MATCH(E1192,Supplier_Lookup!$A$2:$A$200,0)),"Unmapped")</f>
        <v>Food &amp; Catering</v>
      </c>
      <c r="Q1192" s="10">
        <f>IFERROR(INDEX(Category_Targets!$B$2:$B$9,MATCH(F1192,Category_Targets!$A$2:$A$9,0)),0)</f>
        <v>0.04</v>
      </c>
      <c r="R1192" s="7">
        <f t="shared" si="37"/>
        <v>140.512</v>
      </c>
    </row>
    <row r="1193" spans="1:18" x14ac:dyDescent="0.25">
      <c r="A1193" s="5">
        <f>Procurement_Raw!A1193</f>
        <v>45744</v>
      </c>
      <c r="B1193" t="str">
        <f>Procurement_Raw!B1193</f>
        <v>S019</v>
      </c>
      <c r="C1193" t="str">
        <f>Procurement_Raw!C1193</f>
        <v>Wrexham Care &amp; Education Centre</v>
      </c>
      <c r="D1193" t="str">
        <f>Procurement_Raw!D1193</f>
        <v>Wales</v>
      </c>
      <c r="E1193" t="str">
        <f>Procurement_Raw!E1193</f>
        <v>KitchenPro</v>
      </c>
      <c r="F1193" t="str">
        <f>Procurement_Raw!F1193</f>
        <v>Food &amp; Catering</v>
      </c>
      <c r="G1193" t="str">
        <f>Procurement_Raw!G1193</f>
        <v>INV-2025-01192</v>
      </c>
      <c r="H1193" s="6">
        <f>Procurement_Raw!H1193</f>
        <v>9</v>
      </c>
      <c r="I1193" s="7">
        <f>Procurement_Raw!I1193</f>
        <v>31.21</v>
      </c>
      <c r="J1193" s="7">
        <f>Procurement_Raw!J1193</f>
        <v>280.87</v>
      </c>
      <c r="K1193" s="6">
        <f>Procurement_Raw!K1193</f>
        <v>45</v>
      </c>
      <c r="L1193" t="str">
        <f>Procurement_Raw!L1193</f>
        <v>ERP</v>
      </c>
      <c r="M1193" s="8">
        <f>Procurement_Raw!M1193</f>
        <v>56.173999999999999</v>
      </c>
      <c r="N1193" s="7">
        <f>Procurement_Raw!N1193</f>
        <v>280.87</v>
      </c>
      <c r="O1193" s="7">
        <f t="shared" si="36"/>
        <v>280.87</v>
      </c>
      <c r="P1193" t="str">
        <f>IFERROR(INDEX(Supplier_Lookup!$B$2:$B$200,MATCH(E1193,Supplier_Lookup!$A$2:$A$200,0)),"Unmapped")</f>
        <v>Food &amp; Catering</v>
      </c>
      <c r="Q1193" s="10">
        <f>IFERROR(INDEX(Category_Targets!$B$2:$B$9,MATCH(F1193,Category_Targets!$A$2:$A$9,0)),0)</f>
        <v>0.04</v>
      </c>
      <c r="R1193" s="7">
        <f t="shared" si="37"/>
        <v>11.2348</v>
      </c>
    </row>
    <row r="1194" spans="1:18" x14ac:dyDescent="0.25">
      <c r="A1194" s="5">
        <f>Procurement_Raw!A1194</f>
        <v>45864</v>
      </c>
      <c r="B1194" t="str">
        <f>Procurement_Raw!B1194</f>
        <v>S011</v>
      </c>
      <c r="C1194" t="str">
        <f>Procurement_Raw!C1194</f>
        <v>London Care &amp; Education Centre</v>
      </c>
      <c r="D1194" t="str">
        <f>Procurement_Raw!D1194</f>
        <v>South</v>
      </c>
      <c r="E1194" t="str">
        <f>Procurement_Raw!E1194</f>
        <v>PowerDirect</v>
      </c>
      <c r="F1194" t="str">
        <f>Procurement_Raw!F1194</f>
        <v>Utilities</v>
      </c>
      <c r="G1194" t="str">
        <f>Procurement_Raw!G1194</f>
        <v>INV-2025-01193</v>
      </c>
      <c r="H1194" s="6">
        <f>Procurement_Raw!H1194</f>
        <v>16</v>
      </c>
      <c r="I1194" s="7">
        <f>Procurement_Raw!I1194</f>
        <v>179.6</v>
      </c>
      <c r="J1194" s="7">
        <f>Procurement_Raw!J1194</f>
        <v>2873.53</v>
      </c>
      <c r="K1194" s="6">
        <f>Procurement_Raw!K1194</f>
        <v>30</v>
      </c>
      <c r="L1194" t="str">
        <f>Procurement_Raw!L1194</f>
        <v>Procurement Portal</v>
      </c>
      <c r="M1194" s="8">
        <f>Procurement_Raw!M1194</f>
        <v>574.70600000000002</v>
      </c>
      <c r="N1194" s="7">
        <f>Procurement_Raw!N1194</f>
        <v>2873.53</v>
      </c>
      <c r="O1194" s="7">
        <f t="shared" si="36"/>
        <v>2873.53</v>
      </c>
      <c r="P1194" t="str">
        <f>IFERROR(INDEX(Supplier_Lookup!$B$2:$B$200,MATCH(E1194,Supplier_Lookup!$A$2:$A$200,0)),"Unmapped")</f>
        <v>Utilities</v>
      </c>
      <c r="Q1194" s="10">
        <f>IFERROR(INDEX(Category_Targets!$B$2:$B$9,MATCH(F1194,Category_Targets!$A$2:$A$9,0)),0)</f>
        <v>0.03</v>
      </c>
      <c r="R1194" s="7">
        <f t="shared" si="37"/>
        <v>86.2059</v>
      </c>
    </row>
    <row r="1195" spans="1:18" x14ac:dyDescent="0.25">
      <c r="A1195" s="5">
        <f>Procurement_Raw!A1195</f>
        <v>45955</v>
      </c>
      <c r="B1195" t="str">
        <f>Procurement_Raw!B1195</f>
        <v>S016</v>
      </c>
      <c r="C1195" t="str">
        <f>Procurement_Raw!C1195</f>
        <v>Cardiff Care &amp; Education Centre</v>
      </c>
      <c r="D1195" t="str">
        <f>Procurement_Raw!D1195</f>
        <v>Wales</v>
      </c>
      <c r="E1195" t="str">
        <f>Procurement_Raw!E1195</f>
        <v>LearnWell</v>
      </c>
      <c r="F1195" t="str">
        <f>Procurement_Raw!F1195</f>
        <v>Office &amp; Training</v>
      </c>
      <c r="G1195" t="str">
        <f>Procurement_Raw!G1195</f>
        <v>INV-2025-01194</v>
      </c>
      <c r="H1195" s="6">
        <f>Procurement_Raw!H1195</f>
        <v>76</v>
      </c>
      <c r="I1195" s="7">
        <f>Procurement_Raw!I1195</f>
        <v>89.42</v>
      </c>
      <c r="J1195" s="7">
        <f>Procurement_Raw!J1195</f>
        <v>6796.08</v>
      </c>
      <c r="K1195" s="6">
        <f>Procurement_Raw!K1195</f>
        <v>45</v>
      </c>
      <c r="L1195" t="str">
        <f>Procurement_Raw!L1195</f>
        <v>Legacy Spend File</v>
      </c>
      <c r="M1195" s="8">
        <f>Procurement_Raw!M1195</f>
        <v>1359.2159999999999</v>
      </c>
      <c r="N1195" s="7">
        <f>Procurement_Raw!N1195</f>
        <v>6796.08</v>
      </c>
      <c r="O1195" s="7">
        <f t="shared" si="36"/>
        <v>6796.08</v>
      </c>
      <c r="P1195" t="str">
        <f>IFERROR(INDEX(Supplier_Lookup!$B$2:$B$200,MATCH(E1195,Supplier_Lookup!$A$2:$A$200,0)),"Unmapped")</f>
        <v>Office &amp; Training</v>
      </c>
      <c r="Q1195" s="10">
        <f>IFERROR(INDEX(Category_Targets!$B$2:$B$9,MATCH(F1195,Category_Targets!$A$2:$A$9,0)),0)</f>
        <v>0.04</v>
      </c>
      <c r="R1195" s="7">
        <f t="shared" si="37"/>
        <v>271.84320000000002</v>
      </c>
    </row>
    <row r="1196" spans="1:18" x14ac:dyDescent="0.25">
      <c r="A1196" s="5">
        <f>Procurement_Raw!A1196</f>
        <v>45999</v>
      </c>
      <c r="B1196" t="str">
        <f>Procurement_Raw!B1196</f>
        <v>S008</v>
      </c>
      <c r="C1196" t="str">
        <f>Procurement_Raw!C1196</f>
        <v>Leicester Care &amp; Education Centre</v>
      </c>
      <c r="D1196" t="str">
        <f>Procurement_Raw!D1196</f>
        <v>Midlands</v>
      </c>
      <c r="E1196" t="str">
        <f>Procurement_Raw!E1196</f>
        <v>RoadReady</v>
      </c>
      <c r="F1196" t="str">
        <f>Procurement_Raw!F1196</f>
        <v>Vehicle &amp; Fuel</v>
      </c>
      <c r="G1196" t="str">
        <f>Procurement_Raw!G1196</f>
        <v>INV-2025-01195</v>
      </c>
      <c r="H1196" s="6">
        <f>Procurement_Raw!H1196</f>
        <v>78</v>
      </c>
      <c r="I1196" s="7">
        <f>Procurement_Raw!I1196</f>
        <v>39.56</v>
      </c>
      <c r="J1196" s="7">
        <f>Procurement_Raw!J1196</f>
        <v>3085.41</v>
      </c>
      <c r="K1196" s="6">
        <f>Procurement_Raw!K1196</f>
        <v>45</v>
      </c>
      <c r="L1196" t="str">
        <f>Procurement_Raw!L1196</f>
        <v>Procurement Portal</v>
      </c>
      <c r="M1196" s="8">
        <f>Procurement_Raw!M1196</f>
        <v>617.08199999999999</v>
      </c>
      <c r="N1196" s="7">
        <f>Procurement_Raw!N1196</f>
        <v>3085.41</v>
      </c>
      <c r="O1196" s="7">
        <f t="shared" si="36"/>
        <v>3085.41</v>
      </c>
      <c r="P1196" t="str">
        <f>IFERROR(INDEX(Supplier_Lookup!$B$2:$B$200,MATCH(E1196,Supplier_Lookup!$A$2:$A$200,0)),"Unmapped")</f>
        <v>Vehicle &amp; Fuel</v>
      </c>
      <c r="Q1196" s="10">
        <f>IFERROR(INDEX(Category_Targets!$B$2:$B$9,MATCH(F1196,Category_Targets!$A$2:$A$9,0)),0)</f>
        <v>0.05</v>
      </c>
      <c r="R1196" s="7">
        <f t="shared" si="37"/>
        <v>154.2705</v>
      </c>
    </row>
    <row r="1197" spans="1:18" x14ac:dyDescent="0.25">
      <c r="A1197" s="5">
        <f>Procurement_Raw!A1197</f>
        <v>45890</v>
      </c>
      <c r="B1197" t="str">
        <f>Procurement_Raw!B1197</f>
        <v>S001</v>
      </c>
      <c r="C1197" t="str">
        <f>Procurement_Raw!C1197</f>
        <v>Preston Care &amp; Education Centre</v>
      </c>
      <c r="D1197" t="str">
        <f>Procurement_Raw!D1197</f>
        <v>North</v>
      </c>
      <c r="E1197" t="str">
        <f>Procurement_Raw!E1197</f>
        <v>CloudLink</v>
      </c>
      <c r="F1197" t="str">
        <f>Procurement_Raw!F1197</f>
        <v>IT &amp; Telecoms</v>
      </c>
      <c r="G1197" t="str">
        <f>Procurement_Raw!G1197</f>
        <v>INV-2025-01196</v>
      </c>
      <c r="H1197" s="6">
        <f>Procurement_Raw!H1197</f>
        <v>14</v>
      </c>
      <c r="I1197" s="7">
        <f>Procurement_Raw!I1197</f>
        <v>280.31</v>
      </c>
      <c r="J1197" s="7">
        <f>Procurement_Raw!J1197</f>
        <v>3924.31</v>
      </c>
      <c r="K1197" s="6">
        <f>Procurement_Raw!K1197</f>
        <v>30</v>
      </c>
      <c r="L1197" t="str">
        <f>Procurement_Raw!L1197</f>
        <v>Procurement Portal</v>
      </c>
      <c r="M1197" s="8">
        <f>Procurement_Raw!M1197</f>
        <v>784.86199999999997</v>
      </c>
      <c r="N1197" s="7">
        <f>Procurement_Raw!N1197</f>
        <v>3924.31</v>
      </c>
      <c r="O1197" s="7">
        <f t="shared" si="36"/>
        <v>3924.31</v>
      </c>
      <c r="P1197" t="str">
        <f>IFERROR(INDEX(Supplier_Lookup!$B$2:$B$200,MATCH(E1197,Supplier_Lookup!$A$2:$A$200,0)),"Unmapped")</f>
        <v>medical supplies</v>
      </c>
      <c r="Q1197" s="10">
        <f>IFERROR(INDEX(Category_Targets!$B$2:$B$9,MATCH(F1197,Category_Targets!$A$2:$A$9,0)),0)</f>
        <v>0.08</v>
      </c>
      <c r="R1197" s="7">
        <f t="shared" si="37"/>
        <v>313.94479999999999</v>
      </c>
    </row>
    <row r="1198" spans="1:18" x14ac:dyDescent="0.25">
      <c r="A1198" s="5">
        <f>Procurement_Raw!A1198</f>
        <v>45979</v>
      </c>
      <c r="B1198" t="str">
        <f>Procurement_Raw!B1198</f>
        <v>S017</v>
      </c>
      <c r="C1198" t="str">
        <f>Procurement_Raw!C1198</f>
        <v>Swansea Care &amp; Education Centre</v>
      </c>
      <c r="D1198" t="str">
        <f>Procurement_Raw!D1198</f>
        <v>Wales</v>
      </c>
      <c r="E1198" t="str">
        <f>Procurement_Raw!E1198</f>
        <v>OfficePlus</v>
      </c>
      <c r="F1198" t="str">
        <f>Procurement_Raw!F1198</f>
        <v>Office &amp; Training</v>
      </c>
      <c r="G1198" t="str">
        <f>Procurement_Raw!G1198</f>
        <v>INV-2025-01197</v>
      </c>
      <c r="H1198" s="6">
        <f>Procurement_Raw!H1198</f>
        <v>18</v>
      </c>
      <c r="I1198" s="7">
        <f>Procurement_Raw!I1198</f>
        <v>74.19</v>
      </c>
      <c r="J1198" s="7">
        <f>Procurement_Raw!J1198</f>
        <v>1335.5</v>
      </c>
      <c r="K1198" s="6">
        <f>Procurement_Raw!K1198</f>
        <v>30</v>
      </c>
      <c r="L1198" t="str">
        <f>Procurement_Raw!L1198</f>
        <v>ERP</v>
      </c>
      <c r="M1198" s="8">
        <f>Procurement_Raw!M1198</f>
        <v>267.10000000000002</v>
      </c>
      <c r="N1198" s="7">
        <f>Procurement_Raw!N1198</f>
        <v>1335.5</v>
      </c>
      <c r="O1198" s="7">
        <f t="shared" si="36"/>
        <v>1335.5</v>
      </c>
      <c r="P1198" t="str">
        <f>IFERROR(INDEX(Supplier_Lookup!$B$2:$B$200,MATCH(E1198,Supplier_Lookup!$A$2:$A$200,0)),"Unmapped")</f>
        <v>Office &amp; Training</v>
      </c>
      <c r="Q1198" s="10">
        <f>IFERROR(INDEX(Category_Targets!$B$2:$B$9,MATCH(F1198,Category_Targets!$A$2:$A$9,0)),0)</f>
        <v>0.04</v>
      </c>
      <c r="R1198" s="7">
        <f t="shared" si="37"/>
        <v>53.42</v>
      </c>
    </row>
    <row r="1199" spans="1:18" x14ac:dyDescent="0.25">
      <c r="A1199" s="5">
        <f>Procurement_Raw!A1199</f>
        <v>45913</v>
      </c>
      <c r="B1199" t="str">
        <f>Procurement_Raw!B1199</f>
        <v>S003</v>
      </c>
      <c r="C1199" t="str">
        <f>Procurement_Raw!C1199</f>
        <v>Leeds Care &amp; Education Centre</v>
      </c>
      <c r="D1199" t="str">
        <f>Procurement_Raw!D1199</f>
        <v>North</v>
      </c>
      <c r="E1199" t="str">
        <f>Procurement_Raw!E1199</f>
        <v>MediSure</v>
      </c>
      <c r="F1199" t="str">
        <f>Procurement_Raw!F1199</f>
        <v>Medical Supplies</v>
      </c>
      <c r="G1199" t="str">
        <f>Procurement_Raw!G1199</f>
        <v>INV-2025-01198</v>
      </c>
      <c r="H1199" s="6">
        <f>Procurement_Raw!H1199</f>
        <v>4</v>
      </c>
      <c r="I1199" s="7">
        <f>Procurement_Raw!I1199</f>
        <v>162.61000000000001</v>
      </c>
      <c r="J1199" s="7">
        <f>Procurement_Raw!J1199</f>
        <v>650.44000000000005</v>
      </c>
      <c r="K1199" s="6">
        <f>Procurement_Raw!K1199</f>
        <v>30</v>
      </c>
      <c r="L1199" t="str">
        <f>Procurement_Raw!L1199</f>
        <v>Procurement Portal</v>
      </c>
      <c r="M1199" s="8">
        <f>Procurement_Raw!M1199</f>
        <v>130.08799999999999</v>
      </c>
      <c r="N1199" s="7">
        <f>Procurement_Raw!N1199</f>
        <v>650.44000000000005</v>
      </c>
      <c r="O1199" s="7">
        <f t="shared" si="36"/>
        <v>650.44000000000005</v>
      </c>
      <c r="P1199" t="str">
        <f>IFERROR(INDEX(Supplier_Lookup!$B$2:$B$200,MATCH(E1199,Supplier_Lookup!$A$2:$A$200,0)),"Unmapped")</f>
        <v>Medical Supplies</v>
      </c>
      <c r="Q1199" s="10">
        <f>IFERROR(INDEX(Category_Targets!$B$2:$B$9,MATCH(F1199,Category_Targets!$A$2:$A$9,0)),0)</f>
        <v>0.06</v>
      </c>
      <c r="R1199" s="7">
        <f t="shared" si="37"/>
        <v>39.026400000000002</v>
      </c>
    </row>
    <row r="1200" spans="1:18" x14ac:dyDescent="0.25">
      <c r="A1200" s="5">
        <f>Procurement_Raw!A1200</f>
        <v>45813</v>
      </c>
      <c r="B1200" t="str">
        <f>Procurement_Raw!B1200</f>
        <v>S019</v>
      </c>
      <c r="C1200" t="str">
        <f>Procurement_Raw!C1200</f>
        <v>Wrexham Care &amp; Education Centre</v>
      </c>
      <c r="D1200" t="str">
        <f>Procurement_Raw!D1200</f>
        <v>Wales</v>
      </c>
      <c r="E1200" t="str">
        <f>Procurement_Raw!E1200</f>
        <v>FleetFuel</v>
      </c>
      <c r="F1200" t="str">
        <f>Procurement_Raw!F1200</f>
        <v>Vehicle &amp; Fuel</v>
      </c>
      <c r="G1200" t="str">
        <f>Procurement_Raw!G1200</f>
        <v>INV-2025-01199</v>
      </c>
      <c r="H1200" s="6">
        <f>Procurement_Raw!H1200</f>
        <v>80</v>
      </c>
      <c r="I1200" s="7">
        <f>Procurement_Raw!I1200</f>
        <v>107.45</v>
      </c>
      <c r="J1200" s="7">
        <f>Procurement_Raw!J1200</f>
        <v>8596.0300000000007</v>
      </c>
      <c r="K1200" s="6">
        <f>Procurement_Raw!K1200</f>
        <v>60</v>
      </c>
      <c r="L1200" t="str">
        <f>Procurement_Raw!L1200</f>
        <v>ERP</v>
      </c>
      <c r="M1200" s="8">
        <f>Procurement_Raw!M1200</f>
        <v>1719.2059999999999</v>
      </c>
      <c r="N1200" s="7">
        <f>Procurement_Raw!N1200</f>
        <v>8596.0300000000007</v>
      </c>
      <c r="O1200" s="7">
        <f t="shared" si="36"/>
        <v>8596.0300000000007</v>
      </c>
      <c r="P1200" t="str">
        <f>IFERROR(INDEX(Supplier_Lookup!$B$2:$B$200,MATCH(E1200,Supplier_Lookup!$A$2:$A$200,0)),"Unmapped")</f>
        <v>Vehicle &amp; Fuel</v>
      </c>
      <c r="Q1200" s="10">
        <f>IFERROR(INDEX(Category_Targets!$B$2:$B$9,MATCH(F1200,Category_Targets!$A$2:$A$9,0)),0)</f>
        <v>0.05</v>
      </c>
      <c r="R1200" s="7">
        <f t="shared" si="37"/>
        <v>429.80150000000003</v>
      </c>
    </row>
    <row r="1201" spans="1:18" x14ac:dyDescent="0.25">
      <c r="A1201" s="5">
        <f>Procurement_Raw!A1201</f>
        <v>45924</v>
      </c>
      <c r="B1201" t="str">
        <f>Procurement_Raw!B1201</f>
        <v>S020</v>
      </c>
      <c r="C1201" t="str">
        <f>Procurement_Raw!C1201</f>
        <v>Bangor Care &amp; Education Centre</v>
      </c>
      <c r="D1201" t="str">
        <f>Procurement_Raw!D1201</f>
        <v>Wales</v>
      </c>
      <c r="E1201" t="str">
        <f>Procurement_Raw!E1201</f>
        <v>KitchenPro</v>
      </c>
      <c r="F1201" t="str">
        <f>Procurement_Raw!F1201</f>
        <v>Food &amp; Catering</v>
      </c>
      <c r="G1201" t="str">
        <f>Procurement_Raw!G1201</f>
        <v>INV-2025-01200</v>
      </c>
      <c r="H1201" s="6">
        <f>Procurement_Raw!H1201</f>
        <v>64</v>
      </c>
      <c r="I1201" s="7">
        <f>Procurement_Raw!I1201</f>
        <v>137.63999999999999</v>
      </c>
      <c r="J1201" s="7">
        <f>Procurement_Raw!J1201</f>
        <v>8809.16</v>
      </c>
      <c r="K1201" s="6">
        <f>Procurement_Raw!K1201</f>
        <v>45</v>
      </c>
      <c r="L1201" t="str">
        <f>Procurement_Raw!L1201</f>
        <v>ERP</v>
      </c>
      <c r="M1201" s="8">
        <f>Procurement_Raw!M1201</f>
        <v>1761.8320000000001</v>
      </c>
      <c r="N1201" s="7">
        <f>Procurement_Raw!N1201</f>
        <v>8809.16</v>
      </c>
      <c r="O1201" s="7">
        <f t="shared" si="36"/>
        <v>8809.16</v>
      </c>
      <c r="P1201" t="str">
        <f>IFERROR(INDEX(Supplier_Lookup!$B$2:$B$200,MATCH(E1201,Supplier_Lookup!$A$2:$A$200,0)),"Unmapped")</f>
        <v>Food &amp; Catering</v>
      </c>
      <c r="Q1201" s="10">
        <f>IFERROR(INDEX(Category_Targets!$B$2:$B$9,MATCH(F1201,Category_Targets!$A$2:$A$9,0)),0)</f>
        <v>0.04</v>
      </c>
      <c r="R1201" s="7">
        <f t="shared" si="37"/>
        <v>352.3664</v>
      </c>
    </row>
    <row r="1202" spans="1:18" x14ac:dyDescent="0.25">
      <c r="A1202" s="5">
        <f>Procurement_Raw!A1202</f>
        <v>45916</v>
      </c>
      <c r="B1202" t="str">
        <f>Procurement_Raw!B1202</f>
        <v>S005</v>
      </c>
      <c r="C1202" t="str">
        <f>Procurement_Raw!C1202</f>
        <v>Sheffield Care &amp; Education Centre</v>
      </c>
      <c r="D1202" t="str">
        <f>Procurement_Raw!D1202</f>
        <v>North</v>
      </c>
      <c r="E1202" t="str">
        <f>Procurement_Raw!E1202</f>
        <v>LearnWell</v>
      </c>
      <c r="F1202" t="str">
        <f>Procurement_Raw!F1202</f>
        <v>Office &amp; Training</v>
      </c>
      <c r="G1202" t="str">
        <f>Procurement_Raw!G1202</f>
        <v>INV-2025-01201</v>
      </c>
      <c r="H1202" s="6">
        <f>Procurement_Raw!H1202</f>
        <v>34</v>
      </c>
      <c r="I1202" s="7">
        <f>Procurement_Raw!I1202</f>
        <v>80.349999999999994</v>
      </c>
      <c r="J1202" s="7">
        <f>Procurement_Raw!J1202</f>
        <v>2731.82</v>
      </c>
      <c r="K1202" s="6">
        <f>Procurement_Raw!K1202</f>
        <v>60</v>
      </c>
      <c r="L1202" t="str">
        <f>Procurement_Raw!L1202</f>
        <v>Procurement Portal</v>
      </c>
      <c r="M1202" s="8">
        <f>Procurement_Raw!M1202</f>
        <v>546.36400000000003</v>
      </c>
      <c r="N1202" s="7">
        <f>Procurement_Raw!N1202</f>
        <v>2731.82</v>
      </c>
      <c r="O1202" s="7">
        <f t="shared" si="36"/>
        <v>2731.82</v>
      </c>
      <c r="P1202" t="str">
        <f>IFERROR(INDEX(Supplier_Lookup!$B$2:$B$200,MATCH(E1202,Supplier_Lookup!$A$2:$A$200,0)),"Unmapped")</f>
        <v>Office &amp; Training</v>
      </c>
      <c r="Q1202" s="10">
        <f>IFERROR(INDEX(Category_Targets!$B$2:$B$9,MATCH(F1202,Category_Targets!$A$2:$A$9,0)),0)</f>
        <v>0.04</v>
      </c>
      <c r="R1202" s="7">
        <f t="shared" si="37"/>
        <v>109.2728</v>
      </c>
    </row>
    <row r="1203" spans="1:18" x14ac:dyDescent="0.25">
      <c r="A1203" s="5">
        <f>Procurement_Raw!A1203</f>
        <v>45878</v>
      </c>
      <c r="B1203" t="str">
        <f>Procurement_Raw!B1203</f>
        <v>S007</v>
      </c>
      <c r="C1203" t="str">
        <f>Procurement_Raw!C1203</f>
        <v>Nottingham Care &amp; Education Centre</v>
      </c>
      <c r="D1203" t="str">
        <f>Procurement_Raw!D1203</f>
        <v>Midlands</v>
      </c>
      <c r="E1203" t="str">
        <f>Procurement_Raw!E1203</f>
        <v>MediSure</v>
      </c>
      <c r="F1203" t="str">
        <f>Procurement_Raw!F1203</f>
        <v>Medical Supplies</v>
      </c>
      <c r="G1203" t="str">
        <f>Procurement_Raw!G1203</f>
        <v>INV-2025-01202</v>
      </c>
      <c r="H1203" s="6">
        <f>Procurement_Raw!H1203</f>
        <v>16</v>
      </c>
      <c r="I1203" s="7">
        <f>Procurement_Raw!I1203</f>
        <v>94.76</v>
      </c>
      <c r="J1203" s="7">
        <f>Procurement_Raw!J1203</f>
        <v>1516.12</v>
      </c>
      <c r="K1203" s="6">
        <f>Procurement_Raw!K1203</f>
        <v>45</v>
      </c>
      <c r="L1203" t="str">
        <f>Procurement_Raw!L1203</f>
        <v>Procurement Portal</v>
      </c>
      <c r="M1203" s="8">
        <f>Procurement_Raw!M1203</f>
        <v>303.22399999999999</v>
      </c>
      <c r="N1203" s="7">
        <f>Procurement_Raw!N1203</f>
        <v>1516.12</v>
      </c>
      <c r="O1203" s="7">
        <f t="shared" si="36"/>
        <v>1516.12</v>
      </c>
      <c r="P1203" t="str">
        <f>IFERROR(INDEX(Supplier_Lookup!$B$2:$B$200,MATCH(E1203,Supplier_Lookup!$A$2:$A$200,0)),"Unmapped")</f>
        <v>Medical Supplies</v>
      </c>
      <c r="Q1203" s="10">
        <f>IFERROR(INDEX(Category_Targets!$B$2:$B$9,MATCH(F1203,Category_Targets!$A$2:$A$9,0)),0)</f>
        <v>0.06</v>
      </c>
      <c r="R1203" s="7">
        <f t="shared" si="37"/>
        <v>90.967199999999991</v>
      </c>
    </row>
    <row r="1204" spans="1:18" x14ac:dyDescent="0.25">
      <c r="A1204" s="5">
        <f>Procurement_Raw!A1204</f>
        <v>45893</v>
      </c>
      <c r="B1204" t="str">
        <f>Procurement_Raw!B1204</f>
        <v>S017</v>
      </c>
      <c r="C1204" t="str">
        <f>Procurement_Raw!C1204</f>
        <v>Swansea Care &amp; Education Centre</v>
      </c>
      <c r="D1204" t="str">
        <f>Procurement_Raw!D1204</f>
        <v>Wales</v>
      </c>
      <c r="E1204" t="str">
        <f>Procurement_Raw!E1204</f>
        <v>CareTemps</v>
      </c>
      <c r="F1204" t="str">
        <f>Procurement_Raw!F1204</f>
        <v>Agency Labour</v>
      </c>
      <c r="G1204" t="str">
        <f>Procurement_Raw!G1204</f>
        <v>INV-2025-01203</v>
      </c>
      <c r="H1204" s="6">
        <f>Procurement_Raw!H1204</f>
        <v>5</v>
      </c>
      <c r="I1204" s="7">
        <f>Procurement_Raw!I1204</f>
        <v>320.87</v>
      </c>
      <c r="J1204" s="7">
        <f>Procurement_Raw!J1204</f>
        <v>1604.37</v>
      </c>
      <c r="K1204" s="6">
        <f>Procurement_Raw!K1204</f>
        <v>30</v>
      </c>
      <c r="L1204" t="str">
        <f>Procurement_Raw!L1204</f>
        <v>ERP</v>
      </c>
      <c r="M1204" s="8">
        <f>Procurement_Raw!M1204</f>
        <v>320.87400000000002</v>
      </c>
      <c r="N1204" s="7">
        <f>Procurement_Raw!N1204</f>
        <v>1604.37</v>
      </c>
      <c r="O1204" s="7">
        <f t="shared" si="36"/>
        <v>1604.37</v>
      </c>
      <c r="P1204" t="str">
        <f>IFERROR(INDEX(Supplier_Lookup!$B$2:$B$200,MATCH(E1204,Supplier_Lookup!$A$2:$A$200,0)),"Unmapped")</f>
        <v>Agency Labour</v>
      </c>
      <c r="Q1204" s="10">
        <f>IFERROR(INDEX(Category_Targets!$B$2:$B$9,MATCH(F1204,Category_Targets!$A$2:$A$9,0)),0)</f>
        <v>7.0000000000000007E-2</v>
      </c>
      <c r="R1204" s="7">
        <f t="shared" si="37"/>
        <v>112.30590000000001</v>
      </c>
    </row>
    <row r="1205" spans="1:18" x14ac:dyDescent="0.25">
      <c r="A1205" s="5">
        <f>Procurement_Raw!A1205</f>
        <v>45742</v>
      </c>
      <c r="B1205" t="str">
        <f>Procurement_Raw!B1205</f>
        <v>S005</v>
      </c>
      <c r="C1205" t="str">
        <f>Procurement_Raw!C1205</f>
        <v>Sheffield Care &amp; Education Centre</v>
      </c>
      <c r="D1205" t="str">
        <f>Procurement_Raw!D1205</f>
        <v>North</v>
      </c>
      <c r="E1205" t="str">
        <f>Procurement_Raw!E1205</f>
        <v>NetServe</v>
      </c>
      <c r="F1205" t="str">
        <f>Procurement_Raw!F1205</f>
        <v>IT &amp; Telecoms</v>
      </c>
      <c r="G1205" t="str">
        <f>Procurement_Raw!G1205</f>
        <v>INV-2025-01204</v>
      </c>
      <c r="H1205" s="6">
        <f>Procurement_Raw!H1205</f>
        <v>63</v>
      </c>
      <c r="I1205" s="7">
        <f>Procurement_Raw!I1205</f>
        <v>296.62</v>
      </c>
      <c r="J1205" s="7">
        <f>Procurement_Raw!J1205</f>
        <v>18686.87</v>
      </c>
      <c r="K1205" s="6">
        <f>Procurement_Raw!K1205</f>
        <v>45</v>
      </c>
      <c r="L1205" t="str">
        <f>Procurement_Raw!L1205</f>
        <v>ERP</v>
      </c>
      <c r="M1205" s="8">
        <f>Procurement_Raw!M1205</f>
        <v>3737.3739999999998</v>
      </c>
      <c r="N1205" s="7">
        <f>Procurement_Raw!N1205</f>
        <v>18686.87</v>
      </c>
      <c r="O1205" s="7">
        <f t="shared" si="36"/>
        <v>18686.87</v>
      </c>
      <c r="P1205" t="str">
        <f>IFERROR(INDEX(Supplier_Lookup!$B$2:$B$200,MATCH(E1205,Supplier_Lookup!$A$2:$A$200,0)),"Unmapped")</f>
        <v>IT &amp; Telecoms</v>
      </c>
      <c r="Q1205" s="10">
        <f>IFERROR(INDEX(Category_Targets!$B$2:$B$9,MATCH(F1205,Category_Targets!$A$2:$A$9,0)),0)</f>
        <v>0.08</v>
      </c>
      <c r="R1205" s="7">
        <f t="shared" si="37"/>
        <v>1494.9495999999999</v>
      </c>
    </row>
    <row r="1206" spans="1:18" x14ac:dyDescent="0.25">
      <c r="A1206" s="5">
        <f>Procurement_Raw!A1206</f>
        <v>45714</v>
      </c>
      <c r="B1206" t="str">
        <f>Procurement_Raw!B1206</f>
        <v>S002</v>
      </c>
      <c r="C1206" t="str">
        <f>Procurement_Raw!C1206</f>
        <v>Manchester Care &amp; Education Centre</v>
      </c>
      <c r="D1206" t="str">
        <f>Procurement_Raw!D1206</f>
        <v>North</v>
      </c>
      <c r="E1206" t="str">
        <f>Procurement_Raw!E1206</f>
        <v>CareTemps</v>
      </c>
      <c r="F1206" t="str">
        <f>Procurement_Raw!F1206</f>
        <v>Agency Labour</v>
      </c>
      <c r="G1206" t="str">
        <f>Procurement_Raw!G1206</f>
        <v>INV-2025-01205</v>
      </c>
      <c r="H1206" s="6">
        <f>Procurement_Raw!H1206</f>
        <v>73</v>
      </c>
      <c r="I1206" s="7">
        <f>Procurement_Raw!I1206</f>
        <v>308.17</v>
      </c>
      <c r="J1206" s="7">
        <f>Procurement_Raw!J1206</f>
        <v>22496.5</v>
      </c>
      <c r="K1206" s="6">
        <f>Procurement_Raw!K1206</f>
        <v>60</v>
      </c>
      <c r="L1206" t="str">
        <f>Procurement_Raw!L1206</f>
        <v>Procurement Portal</v>
      </c>
      <c r="M1206" s="8">
        <f>Procurement_Raw!M1206</f>
        <v>4499.3</v>
      </c>
      <c r="N1206" s="7">
        <f>Procurement_Raw!N1206</f>
        <v>22496.5</v>
      </c>
      <c r="O1206" s="7">
        <f t="shared" si="36"/>
        <v>22496.5</v>
      </c>
      <c r="P1206" t="str">
        <f>IFERROR(INDEX(Supplier_Lookup!$B$2:$B$200,MATCH(E1206,Supplier_Lookup!$A$2:$A$200,0)),"Unmapped")</f>
        <v>Agency Labour</v>
      </c>
      <c r="Q1206" s="10">
        <f>IFERROR(INDEX(Category_Targets!$B$2:$B$9,MATCH(F1206,Category_Targets!$A$2:$A$9,0)),0)</f>
        <v>7.0000000000000007E-2</v>
      </c>
      <c r="R1206" s="7">
        <f t="shared" si="37"/>
        <v>1574.7550000000001</v>
      </c>
    </row>
    <row r="1207" spans="1:18" x14ac:dyDescent="0.25">
      <c r="A1207" s="5">
        <f>Procurement_Raw!A1207</f>
        <v>45945</v>
      </c>
      <c r="B1207" t="str">
        <f>Procurement_Raw!B1207</f>
        <v>S003</v>
      </c>
      <c r="C1207" t="str">
        <f>Procurement_Raw!C1207</f>
        <v>Leeds Care &amp; Education Centre</v>
      </c>
      <c r="D1207" t="str">
        <f>Procurement_Raw!D1207</f>
        <v>North</v>
      </c>
      <c r="E1207" t="str">
        <f>Procurement_Raw!E1207</f>
        <v>LearnWell</v>
      </c>
      <c r="F1207" t="str">
        <f>Procurement_Raw!F1207</f>
        <v>Office &amp; Training</v>
      </c>
      <c r="G1207" t="str">
        <f>Procurement_Raw!G1207</f>
        <v>INV-2025-01206</v>
      </c>
      <c r="H1207" s="6">
        <f>Procurement_Raw!H1207</f>
        <v>21</v>
      </c>
      <c r="I1207" s="7">
        <f>Procurement_Raw!I1207</f>
        <v>76.69</v>
      </c>
      <c r="J1207" s="7">
        <f>Procurement_Raw!J1207</f>
        <v>1610.56</v>
      </c>
      <c r="K1207" s="6">
        <f>Procurement_Raw!K1207</f>
        <v>60</v>
      </c>
      <c r="L1207" t="str">
        <f>Procurement_Raw!L1207</f>
        <v>ERP</v>
      </c>
      <c r="M1207" s="8">
        <f>Procurement_Raw!M1207</f>
        <v>322.11200000000002</v>
      </c>
      <c r="N1207" s="7">
        <f>Procurement_Raw!N1207</f>
        <v>1610.56</v>
      </c>
      <c r="O1207" s="7">
        <f t="shared" si="36"/>
        <v>1610.56</v>
      </c>
      <c r="P1207" t="str">
        <f>IFERROR(INDEX(Supplier_Lookup!$B$2:$B$200,MATCH(E1207,Supplier_Lookup!$A$2:$A$200,0)),"Unmapped")</f>
        <v>Office &amp; Training</v>
      </c>
      <c r="Q1207" s="10">
        <f>IFERROR(INDEX(Category_Targets!$B$2:$B$9,MATCH(F1207,Category_Targets!$A$2:$A$9,0)),0)</f>
        <v>0.04</v>
      </c>
      <c r="R1207" s="7">
        <f t="shared" si="37"/>
        <v>64.422399999999996</v>
      </c>
    </row>
    <row r="1208" spans="1:18" x14ac:dyDescent="0.25">
      <c r="A1208" s="5">
        <f>Procurement_Raw!A1208</f>
        <v>45960</v>
      </c>
      <c r="B1208" t="str">
        <f>Procurement_Raw!B1208</f>
        <v>S005</v>
      </c>
      <c r="C1208" t="str">
        <f>Procurement_Raw!C1208</f>
        <v>Sheffield Care &amp; Education Centre</v>
      </c>
      <c r="D1208" t="str">
        <f>Procurement_Raw!D1208</f>
        <v>North</v>
      </c>
      <c r="E1208" t="str">
        <f>Procurement_Raw!E1208</f>
        <v>TeleCare IT</v>
      </c>
      <c r="F1208" t="str">
        <f>Procurement_Raw!F1208</f>
        <v>IT &amp; Telecoms</v>
      </c>
      <c r="G1208" t="str">
        <f>Procurement_Raw!G1208</f>
        <v>INV-2025-01207</v>
      </c>
      <c r="H1208" s="6">
        <f>Procurement_Raw!H1208</f>
        <v>49</v>
      </c>
      <c r="I1208" s="7">
        <f>Procurement_Raw!I1208</f>
        <v>149.54</v>
      </c>
      <c r="J1208" s="7">
        <f>Procurement_Raw!J1208</f>
        <v>7327.23</v>
      </c>
      <c r="K1208" s="6">
        <f>Procurement_Raw!K1208</f>
        <v>60</v>
      </c>
      <c r="L1208" t="str">
        <f>Procurement_Raw!L1208</f>
        <v>Legacy Spend File</v>
      </c>
      <c r="M1208" s="8">
        <f>Procurement_Raw!M1208</f>
        <v>1465.4459999999999</v>
      </c>
      <c r="N1208" s="7">
        <f>Procurement_Raw!N1208</f>
        <v>7327.23</v>
      </c>
      <c r="O1208" s="7">
        <f t="shared" si="36"/>
        <v>7327.23</v>
      </c>
      <c r="P1208" t="str">
        <f>IFERROR(INDEX(Supplier_Lookup!$B$2:$B$200,MATCH(E1208,Supplier_Lookup!$A$2:$A$200,0)),"Unmapped")</f>
        <v>IT &amp; Telecoms</v>
      </c>
      <c r="Q1208" s="10">
        <f>IFERROR(INDEX(Category_Targets!$B$2:$B$9,MATCH(F1208,Category_Targets!$A$2:$A$9,0)),0)</f>
        <v>0.08</v>
      </c>
      <c r="R1208" s="7">
        <f t="shared" si="37"/>
        <v>586.17840000000001</v>
      </c>
    </row>
    <row r="1209" spans="1:18" x14ac:dyDescent="0.25">
      <c r="A1209" s="5">
        <f>Procurement_Raw!A1209</f>
        <v>45689</v>
      </c>
      <c r="B1209" t="str">
        <f>Procurement_Raw!B1209</f>
        <v>S006</v>
      </c>
      <c r="C1209" t="str">
        <f>Procurement_Raw!C1209</f>
        <v>Birmingham Care &amp; Education Centre</v>
      </c>
      <c r="D1209" t="str">
        <f>Procurement_Raw!D1209</f>
        <v>Midlands</v>
      </c>
      <c r="E1209" t="str">
        <f>Procurement_Raw!E1209</f>
        <v>TeleCare IT</v>
      </c>
      <c r="F1209" t="str">
        <f>Procurement_Raw!F1209</f>
        <v>IT &amp; Telecoms</v>
      </c>
      <c r="G1209" t="str">
        <f>Procurement_Raw!G1209</f>
        <v>INV-2025-01208</v>
      </c>
      <c r="H1209" s="6">
        <f>Procurement_Raw!H1209</f>
        <v>4</v>
      </c>
      <c r="I1209" s="7">
        <f>Procurement_Raw!I1209</f>
        <v>152.79</v>
      </c>
      <c r="J1209" s="7">
        <f>Procurement_Raw!J1209</f>
        <v>611.14</v>
      </c>
      <c r="K1209" s="6">
        <f>Procurement_Raw!K1209</f>
        <v>60</v>
      </c>
      <c r="L1209" t="str">
        <f>Procurement_Raw!L1209</f>
        <v>ERP</v>
      </c>
      <c r="M1209" s="8">
        <f>Procurement_Raw!M1209</f>
        <v>122.22799999999999</v>
      </c>
      <c r="N1209" s="7">
        <f>Procurement_Raw!N1209</f>
        <v>611.14</v>
      </c>
      <c r="O1209" s="7">
        <f t="shared" si="36"/>
        <v>611.14</v>
      </c>
      <c r="P1209" t="str">
        <f>IFERROR(INDEX(Supplier_Lookup!$B$2:$B$200,MATCH(E1209,Supplier_Lookup!$A$2:$A$200,0)),"Unmapped")</f>
        <v>IT &amp; Telecoms</v>
      </c>
      <c r="Q1209" s="10">
        <f>IFERROR(INDEX(Category_Targets!$B$2:$B$9,MATCH(F1209,Category_Targets!$A$2:$A$9,0)),0)</f>
        <v>0.08</v>
      </c>
      <c r="R1209" s="7">
        <f t="shared" si="37"/>
        <v>48.891199999999998</v>
      </c>
    </row>
    <row r="1210" spans="1:18" x14ac:dyDescent="0.25">
      <c r="A1210" s="5">
        <f>Procurement_Raw!A1210</f>
        <v>45956</v>
      </c>
      <c r="B1210" t="str">
        <f>Procurement_Raw!B1210</f>
        <v>S019</v>
      </c>
      <c r="C1210" t="str">
        <f>Procurement_Raw!C1210</f>
        <v>Wrexham Care &amp; Education Centre</v>
      </c>
      <c r="D1210" t="str">
        <f>Procurement_Raw!D1210</f>
        <v>Wales</v>
      </c>
      <c r="E1210" t="str">
        <f>Procurement_Raw!E1210</f>
        <v>RoadReady</v>
      </c>
      <c r="F1210" t="str">
        <f>Procurement_Raw!F1210</f>
        <v>Vehicle &amp; Fuel</v>
      </c>
      <c r="G1210" t="str">
        <f>Procurement_Raw!G1210</f>
        <v>INV-2025-01209</v>
      </c>
      <c r="H1210" s="6">
        <f>Procurement_Raw!H1210</f>
        <v>4</v>
      </c>
      <c r="I1210" s="7">
        <f>Procurement_Raw!I1210</f>
        <v>43.92</v>
      </c>
      <c r="J1210" s="7">
        <f>Procurement_Raw!J1210</f>
        <v>175.69</v>
      </c>
      <c r="K1210" s="6">
        <f>Procurement_Raw!K1210</f>
        <v>60</v>
      </c>
      <c r="L1210" t="str">
        <f>Procurement_Raw!L1210</f>
        <v>Procurement Portal</v>
      </c>
      <c r="M1210" s="8">
        <f>Procurement_Raw!M1210</f>
        <v>35.137999999999998</v>
      </c>
      <c r="N1210" s="7">
        <f>Procurement_Raw!N1210</f>
        <v>175.69</v>
      </c>
      <c r="O1210" s="7">
        <f t="shared" si="36"/>
        <v>175.69</v>
      </c>
      <c r="P1210" t="str">
        <f>IFERROR(INDEX(Supplier_Lookup!$B$2:$B$200,MATCH(E1210,Supplier_Lookup!$A$2:$A$200,0)),"Unmapped")</f>
        <v>Vehicle &amp; Fuel</v>
      </c>
      <c r="Q1210" s="10">
        <f>IFERROR(INDEX(Category_Targets!$B$2:$B$9,MATCH(F1210,Category_Targets!$A$2:$A$9,0)),0)</f>
        <v>0.05</v>
      </c>
      <c r="R1210" s="7">
        <f t="shared" si="37"/>
        <v>8.7844999999999995</v>
      </c>
    </row>
    <row r="1211" spans="1:18" x14ac:dyDescent="0.25">
      <c r="A1211" s="5">
        <f>Procurement_Raw!A1211</f>
        <v>45834</v>
      </c>
      <c r="B1211" t="str">
        <f>Procurement_Raw!B1211</f>
        <v>S001</v>
      </c>
      <c r="C1211" t="str">
        <f>Procurement_Raw!C1211</f>
        <v>Preston Care &amp; Education Centre</v>
      </c>
      <c r="D1211" t="str">
        <f>Procurement_Raw!D1211</f>
        <v>North</v>
      </c>
      <c r="E1211" t="str">
        <f>Procurement_Raw!E1211</f>
        <v>NourishCo</v>
      </c>
      <c r="F1211" t="str">
        <f>Procurement_Raw!F1211</f>
        <v>Food &amp; Catering</v>
      </c>
      <c r="G1211" t="str">
        <f>Procurement_Raw!G1211</f>
        <v>INV-2025-01210</v>
      </c>
      <c r="H1211" s="6">
        <f>Procurement_Raw!H1211</f>
        <v>46</v>
      </c>
      <c r="I1211" s="7">
        <f>Procurement_Raw!I1211</f>
        <v>170.15</v>
      </c>
      <c r="J1211" s="7">
        <f>Procurement_Raw!J1211</f>
        <v>7826.7</v>
      </c>
      <c r="K1211" s="6">
        <f>Procurement_Raw!K1211</f>
        <v>45</v>
      </c>
      <c r="L1211" t="str">
        <f>Procurement_Raw!L1211</f>
        <v>Procurement Portal</v>
      </c>
      <c r="M1211" s="8">
        <f>Procurement_Raw!M1211</f>
        <v>1565.34</v>
      </c>
      <c r="N1211" s="7">
        <f>Procurement_Raw!N1211</f>
        <v>7826.7</v>
      </c>
      <c r="O1211" s="7">
        <f t="shared" si="36"/>
        <v>7826.7</v>
      </c>
      <c r="P1211" t="str">
        <f>IFERROR(INDEX(Supplier_Lookup!$B$2:$B$200,MATCH(E1211,Supplier_Lookup!$A$2:$A$200,0)),"Unmapped")</f>
        <v>Food &amp; Catering</v>
      </c>
      <c r="Q1211" s="10">
        <f>IFERROR(INDEX(Category_Targets!$B$2:$B$9,MATCH(F1211,Category_Targets!$A$2:$A$9,0)),0)</f>
        <v>0.04</v>
      </c>
      <c r="R1211" s="7">
        <f t="shared" si="37"/>
        <v>313.06799999999998</v>
      </c>
    </row>
    <row r="1212" spans="1:18" x14ac:dyDescent="0.25">
      <c r="A1212" s="5">
        <f>Procurement_Raw!A1212</f>
        <v>45778</v>
      </c>
      <c r="B1212" t="str">
        <f>Procurement_Raw!B1212</f>
        <v>S014</v>
      </c>
      <c r="C1212" t="str">
        <f>Procurement_Raw!C1212</f>
        <v>Southampton Care &amp; Education Centre</v>
      </c>
      <c r="D1212" t="str">
        <f>Procurement_Raw!D1212</f>
        <v>South</v>
      </c>
      <c r="E1212" t="str">
        <f>Procurement_Raw!E1212</f>
        <v>UK Energy Partners</v>
      </c>
      <c r="F1212" t="str">
        <f>Procurement_Raw!F1212</f>
        <v>Utilities</v>
      </c>
      <c r="G1212" t="str">
        <f>Procurement_Raw!G1212</f>
        <v>INV-2025-01211</v>
      </c>
      <c r="H1212" s="6">
        <f>Procurement_Raw!H1212</f>
        <v>40</v>
      </c>
      <c r="I1212" s="7">
        <f>Procurement_Raw!I1212</f>
        <v>126.13</v>
      </c>
      <c r="J1212" s="7">
        <f>Procurement_Raw!J1212</f>
        <v>5045.32</v>
      </c>
      <c r="K1212" s="6">
        <f>Procurement_Raw!K1212</f>
        <v>60</v>
      </c>
      <c r="L1212" t="str">
        <f>Procurement_Raw!L1212</f>
        <v>ERP</v>
      </c>
      <c r="M1212" s="8">
        <f>Procurement_Raw!M1212</f>
        <v>1009.064</v>
      </c>
      <c r="N1212" s="7">
        <f>Procurement_Raw!N1212</f>
        <v>5045.32</v>
      </c>
      <c r="O1212" s="7">
        <f t="shared" si="36"/>
        <v>5045.32</v>
      </c>
      <c r="P1212" t="str">
        <f>IFERROR(INDEX(Supplier_Lookup!$B$2:$B$200,MATCH(E1212,Supplier_Lookup!$A$2:$A$200,0)),"Unmapped")</f>
        <v>Utilities</v>
      </c>
      <c r="Q1212" s="10">
        <f>IFERROR(INDEX(Category_Targets!$B$2:$B$9,MATCH(F1212,Category_Targets!$A$2:$A$9,0)),0)</f>
        <v>0.03</v>
      </c>
      <c r="R1212" s="7">
        <f t="shared" si="37"/>
        <v>151.35959999999997</v>
      </c>
    </row>
    <row r="1213" spans="1:18" x14ac:dyDescent="0.25">
      <c r="A1213" s="5">
        <f>Procurement_Raw!A1213</f>
        <v>45716</v>
      </c>
      <c r="B1213" t="str">
        <f>Procurement_Raw!B1213</f>
        <v>S016</v>
      </c>
      <c r="C1213" t="str">
        <f>Procurement_Raw!C1213</f>
        <v>Cardiff Care &amp; Education Centre</v>
      </c>
      <c r="D1213" t="str">
        <f>Procurement_Raw!D1213</f>
        <v>Wales</v>
      </c>
      <c r="E1213" t="str">
        <f>Procurement_Raw!E1213</f>
        <v>NourishCo</v>
      </c>
      <c r="F1213" t="str">
        <f>Procurement_Raw!F1213</f>
        <v>Food &amp; Catering</v>
      </c>
      <c r="G1213" t="str">
        <f>Procurement_Raw!G1213</f>
        <v>INV-2025-01212</v>
      </c>
      <c r="H1213" s="6">
        <f>Procurement_Raw!H1213</f>
        <v>44</v>
      </c>
      <c r="I1213" s="7">
        <f>Procurement_Raw!I1213</f>
        <v>44.4</v>
      </c>
      <c r="J1213" s="7">
        <f>Procurement_Raw!J1213</f>
        <v>1953.7</v>
      </c>
      <c r="K1213" s="6">
        <f>Procurement_Raw!K1213</f>
        <v>30</v>
      </c>
      <c r="L1213" t="str">
        <f>Procurement_Raw!L1213</f>
        <v>ERP</v>
      </c>
      <c r="M1213" s="8">
        <f>Procurement_Raw!M1213</f>
        <v>390.74</v>
      </c>
      <c r="N1213" s="7">
        <f>Procurement_Raw!N1213</f>
        <v>1953.7</v>
      </c>
      <c r="O1213" s="7">
        <f t="shared" si="36"/>
        <v>1953.7</v>
      </c>
      <c r="P1213" t="str">
        <f>IFERROR(INDEX(Supplier_Lookup!$B$2:$B$200,MATCH(E1213,Supplier_Lookup!$A$2:$A$200,0)),"Unmapped")</f>
        <v>Food &amp; Catering</v>
      </c>
      <c r="Q1213" s="10">
        <f>IFERROR(INDEX(Category_Targets!$B$2:$B$9,MATCH(F1213,Category_Targets!$A$2:$A$9,0)),0)</f>
        <v>0.04</v>
      </c>
      <c r="R1213" s="7">
        <f t="shared" si="37"/>
        <v>78.14800000000001</v>
      </c>
    </row>
    <row r="1214" spans="1:18" x14ac:dyDescent="0.25">
      <c r="A1214" s="5">
        <f>Procurement_Raw!A1214</f>
        <v>45893</v>
      </c>
      <c r="B1214" t="str">
        <f>Procurement_Raw!B1214</f>
        <v>S016</v>
      </c>
      <c r="C1214" t="str">
        <f>Procurement_Raw!C1214</f>
        <v>Cardiff Care &amp; Education Centre</v>
      </c>
      <c r="D1214" t="str">
        <f>Procurement_Raw!D1214</f>
        <v>Wales</v>
      </c>
      <c r="E1214" t="str">
        <f>Procurement_Raw!E1214</f>
        <v>FleetFuel</v>
      </c>
      <c r="F1214" t="str">
        <f>Procurement_Raw!F1214</f>
        <v>Vehicle &amp; Fuel</v>
      </c>
      <c r="G1214" t="str">
        <f>Procurement_Raw!G1214</f>
        <v>INV-2025-01213</v>
      </c>
      <c r="H1214" s="6">
        <f>Procurement_Raw!H1214</f>
        <v>55</v>
      </c>
      <c r="I1214" s="7">
        <f>Procurement_Raw!I1214</f>
        <v>63.99</v>
      </c>
      <c r="J1214" s="7">
        <f>Procurement_Raw!J1214</f>
        <v>3519.54</v>
      </c>
      <c r="K1214" s="6">
        <f>Procurement_Raw!K1214</f>
        <v>60</v>
      </c>
      <c r="L1214" t="str">
        <f>Procurement_Raw!L1214</f>
        <v>Legacy Spend File</v>
      </c>
      <c r="M1214" s="8">
        <f>Procurement_Raw!M1214</f>
        <v>703.90800000000002</v>
      </c>
      <c r="N1214" s="7">
        <f>Procurement_Raw!N1214</f>
        <v>3519.54</v>
      </c>
      <c r="O1214" s="7">
        <f t="shared" si="36"/>
        <v>3519.54</v>
      </c>
      <c r="P1214" t="str">
        <f>IFERROR(INDEX(Supplier_Lookup!$B$2:$B$200,MATCH(E1214,Supplier_Lookup!$A$2:$A$200,0)),"Unmapped")</f>
        <v>Vehicle &amp; Fuel</v>
      </c>
      <c r="Q1214" s="10">
        <f>IFERROR(INDEX(Category_Targets!$B$2:$B$9,MATCH(F1214,Category_Targets!$A$2:$A$9,0)),0)</f>
        <v>0.05</v>
      </c>
      <c r="R1214" s="7">
        <f t="shared" si="37"/>
        <v>175.977</v>
      </c>
    </row>
    <row r="1215" spans="1:18" x14ac:dyDescent="0.25">
      <c r="A1215" s="5">
        <f>Procurement_Raw!A1215</f>
        <v>46014</v>
      </c>
      <c r="B1215" t="str">
        <f>Procurement_Raw!B1215</f>
        <v>S017</v>
      </c>
      <c r="C1215" t="str">
        <f>Procurement_Raw!C1215</f>
        <v>Swansea Care &amp; Education Centre</v>
      </c>
      <c r="D1215" t="str">
        <f>Procurement_Raw!D1215</f>
        <v>Wales</v>
      </c>
      <c r="E1215" t="str">
        <f>Procurement_Raw!E1215</f>
        <v>CloudLink</v>
      </c>
      <c r="F1215" t="str">
        <f>Procurement_Raw!F1215</f>
        <v>IT &amp; Telecoms</v>
      </c>
      <c r="G1215" t="str">
        <f>Procurement_Raw!G1215</f>
        <v>INV-2025-01214</v>
      </c>
      <c r="H1215" s="6">
        <f>Procurement_Raw!H1215</f>
        <v>61</v>
      </c>
      <c r="I1215" s="7">
        <f>Procurement_Raw!I1215</f>
        <v>359.9</v>
      </c>
      <c r="J1215" s="7">
        <f>Procurement_Raw!J1215</f>
        <v>21954.11</v>
      </c>
      <c r="K1215" s="6">
        <f>Procurement_Raw!K1215</f>
        <v>60</v>
      </c>
      <c r="L1215" t="str">
        <f>Procurement_Raw!L1215</f>
        <v>ERP</v>
      </c>
      <c r="M1215" s="8">
        <f>Procurement_Raw!M1215</f>
        <v>4390.8220000000001</v>
      </c>
      <c r="N1215" s="7">
        <f>Procurement_Raw!N1215</f>
        <v>21954.11</v>
      </c>
      <c r="O1215" s="7">
        <f t="shared" si="36"/>
        <v>21954.11</v>
      </c>
      <c r="P1215" t="str">
        <f>IFERROR(INDEX(Supplier_Lookup!$B$2:$B$200,MATCH(E1215,Supplier_Lookup!$A$2:$A$200,0)),"Unmapped")</f>
        <v>medical supplies</v>
      </c>
      <c r="Q1215" s="10">
        <f>IFERROR(INDEX(Category_Targets!$B$2:$B$9,MATCH(F1215,Category_Targets!$A$2:$A$9,0)),0)</f>
        <v>0.08</v>
      </c>
      <c r="R1215" s="7">
        <f t="shared" si="37"/>
        <v>1756.3288</v>
      </c>
    </row>
    <row r="1216" spans="1:18" x14ac:dyDescent="0.25">
      <c r="A1216" s="5">
        <f>Procurement_Raw!A1216</f>
        <v>45857</v>
      </c>
      <c r="B1216" t="str">
        <f>Procurement_Raw!B1216</f>
        <v>S014</v>
      </c>
      <c r="C1216" t="str">
        <f>Procurement_Raw!C1216</f>
        <v>Southampton Care &amp; Education Centre</v>
      </c>
      <c r="D1216" t="str">
        <f>Procurement_Raw!D1216</f>
        <v>South</v>
      </c>
      <c r="E1216" t="str">
        <f>Procurement_Raw!E1216</f>
        <v>NurseLink</v>
      </c>
      <c r="F1216" t="str">
        <f>Procurement_Raw!F1216</f>
        <v>Agency Labour</v>
      </c>
      <c r="G1216" t="str">
        <f>Procurement_Raw!G1216</f>
        <v>INV-2025-01215</v>
      </c>
      <c r="H1216" s="6">
        <f>Procurement_Raw!H1216</f>
        <v>42</v>
      </c>
      <c r="I1216" s="7">
        <f>Procurement_Raw!I1216</f>
        <v>255.08</v>
      </c>
      <c r="J1216" s="7">
        <f>Procurement_Raw!J1216</f>
        <v>10713.18</v>
      </c>
      <c r="K1216" s="6">
        <f>Procurement_Raw!K1216</f>
        <v>60</v>
      </c>
      <c r="L1216" t="str">
        <f>Procurement_Raw!L1216</f>
        <v>ERP</v>
      </c>
      <c r="M1216" s="8">
        <f>Procurement_Raw!M1216</f>
        <v>2142.636</v>
      </c>
      <c r="N1216" s="7">
        <f>Procurement_Raw!N1216</f>
        <v>10713.18</v>
      </c>
      <c r="O1216" s="7">
        <f t="shared" si="36"/>
        <v>10713.18</v>
      </c>
      <c r="P1216" t="str">
        <f>IFERROR(INDEX(Supplier_Lookup!$B$2:$B$200,MATCH(E1216,Supplier_Lookup!$A$2:$A$200,0)),"Unmapped")</f>
        <v>Agency Labour</v>
      </c>
      <c r="Q1216" s="10">
        <f>IFERROR(INDEX(Category_Targets!$B$2:$B$9,MATCH(F1216,Category_Targets!$A$2:$A$9,0)),0)</f>
        <v>7.0000000000000007E-2</v>
      </c>
      <c r="R1216" s="7">
        <f t="shared" si="37"/>
        <v>749.9226000000001</v>
      </c>
    </row>
    <row r="1217" spans="1:18" x14ac:dyDescent="0.25">
      <c r="A1217" s="5">
        <f>Procurement_Raw!A1217</f>
        <v>46003</v>
      </c>
      <c r="B1217" t="str">
        <f>Procurement_Raw!B1217</f>
        <v>S004</v>
      </c>
      <c r="C1217" t="str">
        <f>Procurement_Raw!C1217</f>
        <v>Newcastle Care &amp; Education Centre</v>
      </c>
      <c r="D1217" t="str">
        <f>Procurement_Raw!D1217</f>
        <v>North</v>
      </c>
      <c r="E1217" t="str">
        <f>Procurement_Raw!E1217</f>
        <v>KitchenPro</v>
      </c>
      <c r="F1217" t="str">
        <f>Procurement_Raw!F1217</f>
        <v>Food &amp; Catering</v>
      </c>
      <c r="G1217" t="str">
        <f>Procurement_Raw!G1217</f>
        <v>INV-2025-01216</v>
      </c>
      <c r="H1217" s="6">
        <f>Procurement_Raw!H1217</f>
        <v>27</v>
      </c>
      <c r="I1217" s="7">
        <f>Procurement_Raw!I1217</f>
        <v>129.11000000000001</v>
      </c>
      <c r="J1217" s="7">
        <f>Procurement_Raw!J1217</f>
        <v>3485.9</v>
      </c>
      <c r="K1217" s="6">
        <f>Procurement_Raw!K1217</f>
        <v>45</v>
      </c>
      <c r="L1217" t="str">
        <f>Procurement_Raw!L1217</f>
        <v>Procurement Portal</v>
      </c>
      <c r="M1217" s="8">
        <f>Procurement_Raw!M1217</f>
        <v>697.18</v>
      </c>
      <c r="N1217" s="7">
        <f>Procurement_Raw!N1217</f>
        <v>3485.9</v>
      </c>
      <c r="O1217" s="7">
        <f t="shared" si="36"/>
        <v>3485.9</v>
      </c>
      <c r="P1217" t="str">
        <f>IFERROR(INDEX(Supplier_Lookup!$B$2:$B$200,MATCH(E1217,Supplier_Lookup!$A$2:$A$200,0)),"Unmapped")</f>
        <v>Food &amp; Catering</v>
      </c>
      <c r="Q1217" s="10">
        <f>IFERROR(INDEX(Category_Targets!$B$2:$B$9,MATCH(F1217,Category_Targets!$A$2:$A$9,0)),0)</f>
        <v>0.04</v>
      </c>
      <c r="R1217" s="7">
        <f t="shared" si="37"/>
        <v>139.43600000000001</v>
      </c>
    </row>
    <row r="1218" spans="1:18" x14ac:dyDescent="0.25">
      <c r="A1218" s="5">
        <f>Procurement_Raw!A1218</f>
        <v>45972</v>
      </c>
      <c r="B1218" t="str">
        <f>Procurement_Raw!B1218</f>
        <v>S010</v>
      </c>
      <c r="C1218" t="str">
        <f>Procurement_Raw!C1218</f>
        <v>Coventry Care &amp; Education Centre</v>
      </c>
      <c r="D1218" t="str">
        <f>Procurement_Raw!D1218</f>
        <v>Midlands</v>
      </c>
      <c r="E1218" t="str">
        <f>Procurement_Raw!E1218</f>
        <v>FleetFuel</v>
      </c>
      <c r="F1218" t="str">
        <f>Procurement_Raw!F1218</f>
        <v>Vehicle &amp; Fuel</v>
      </c>
      <c r="G1218" t="str">
        <f>Procurement_Raw!G1218</f>
        <v>INV-2025-01217</v>
      </c>
      <c r="H1218" s="6">
        <f>Procurement_Raw!H1218</f>
        <v>39</v>
      </c>
      <c r="I1218" s="7">
        <f>Procurement_Raw!I1218</f>
        <v>65.59</v>
      </c>
      <c r="J1218" s="7">
        <f>Procurement_Raw!J1218</f>
        <v>2558.1</v>
      </c>
      <c r="K1218" s="6">
        <f>Procurement_Raw!K1218</f>
        <v>45</v>
      </c>
      <c r="L1218" t="str">
        <f>Procurement_Raw!L1218</f>
        <v>Procurement Portal</v>
      </c>
      <c r="M1218" s="8">
        <f>Procurement_Raw!M1218</f>
        <v>511.62</v>
      </c>
      <c r="N1218" s="7">
        <f>Procurement_Raw!N1218</f>
        <v>2558.1</v>
      </c>
      <c r="O1218" s="7">
        <f t="shared" ref="O1218:O1281" si="38">IFERROR(IF(J1218="","",J1218),0)</f>
        <v>2558.1</v>
      </c>
      <c r="P1218" t="str">
        <f>IFERROR(INDEX(Supplier_Lookup!$B$2:$B$200,MATCH(E1218,Supplier_Lookup!$A$2:$A$200,0)),"Unmapped")</f>
        <v>Vehicle &amp; Fuel</v>
      </c>
      <c r="Q1218" s="10">
        <f>IFERROR(INDEX(Category_Targets!$B$2:$B$9,MATCH(F1218,Category_Targets!$A$2:$A$9,0)),0)</f>
        <v>0.05</v>
      </c>
      <c r="R1218" s="7">
        <f t="shared" ref="R1218:R1281" si="39">O1218*Q1218</f>
        <v>127.905</v>
      </c>
    </row>
    <row r="1219" spans="1:18" x14ac:dyDescent="0.25">
      <c r="A1219" s="5">
        <f>Procurement_Raw!A1219</f>
        <v>45696</v>
      </c>
      <c r="B1219" t="str">
        <f>Procurement_Raw!B1219</f>
        <v>S020</v>
      </c>
      <c r="C1219" t="str">
        <f>Procurement_Raw!C1219</f>
        <v>Bangor Care &amp; Education Centre</v>
      </c>
      <c r="D1219" t="str">
        <f>Procurement_Raw!D1219</f>
        <v>Wales</v>
      </c>
      <c r="E1219" t="str">
        <f>Procurement_Raw!E1219</f>
        <v>PrintCo</v>
      </c>
      <c r="F1219" t="str">
        <f>Procurement_Raw!F1219</f>
        <v>Office &amp; Training</v>
      </c>
      <c r="G1219" t="str">
        <f>Procurement_Raw!G1219</f>
        <v>INV-2025-01218</v>
      </c>
      <c r="H1219" s="6">
        <f>Procurement_Raw!H1219</f>
        <v>69</v>
      </c>
      <c r="I1219" s="7">
        <f>Procurement_Raw!I1219</f>
        <v>87.44</v>
      </c>
      <c r="J1219" s="7">
        <f>Procurement_Raw!J1219</f>
        <v>6033.25</v>
      </c>
      <c r="K1219" s="6">
        <f>Procurement_Raw!K1219</f>
        <v>30</v>
      </c>
      <c r="L1219" t="str">
        <f>Procurement_Raw!L1219</f>
        <v>Procurement Portal</v>
      </c>
      <c r="M1219" s="8">
        <f>Procurement_Raw!M1219</f>
        <v>1206.6500000000001</v>
      </c>
      <c r="N1219" s="7">
        <f>Procurement_Raw!N1219</f>
        <v>6033.25</v>
      </c>
      <c r="O1219" s="7">
        <f t="shared" si="38"/>
        <v>6033.25</v>
      </c>
      <c r="P1219" t="str">
        <f>IFERROR(INDEX(Supplier_Lookup!$B$2:$B$200,MATCH(E1219,Supplier_Lookup!$A$2:$A$200,0)),"Unmapped")</f>
        <v>Office &amp; Training</v>
      </c>
      <c r="Q1219" s="10">
        <f>IFERROR(INDEX(Category_Targets!$B$2:$B$9,MATCH(F1219,Category_Targets!$A$2:$A$9,0)),0)</f>
        <v>0.04</v>
      </c>
      <c r="R1219" s="7">
        <f t="shared" si="39"/>
        <v>241.33</v>
      </c>
    </row>
    <row r="1220" spans="1:18" x14ac:dyDescent="0.25">
      <c r="A1220" s="5">
        <f>Procurement_Raw!A1220</f>
        <v>45951</v>
      </c>
      <c r="B1220" t="str">
        <f>Procurement_Raw!B1220</f>
        <v>S013</v>
      </c>
      <c r="C1220" t="str">
        <f>Procurement_Raw!C1220</f>
        <v>Reading Care &amp; Education Centre</v>
      </c>
      <c r="D1220" t="str">
        <f>Procurement_Raw!D1220</f>
        <v>South</v>
      </c>
      <c r="E1220" t="str">
        <f>Procurement_Raw!E1220</f>
        <v>CareMed</v>
      </c>
      <c r="F1220" t="str">
        <f>Procurement_Raw!F1220</f>
        <v>Medical Supplies</v>
      </c>
      <c r="G1220" t="str">
        <f>Procurement_Raw!G1220</f>
        <v>INV-2025-01219</v>
      </c>
      <c r="H1220" s="6">
        <f>Procurement_Raw!H1220</f>
        <v>52</v>
      </c>
      <c r="I1220" s="7">
        <f>Procurement_Raw!I1220</f>
        <v>75.8</v>
      </c>
      <c r="J1220" s="7">
        <f>Procurement_Raw!J1220</f>
        <v>3941.41</v>
      </c>
      <c r="K1220" s="6">
        <f>Procurement_Raw!K1220</f>
        <v>30</v>
      </c>
      <c r="L1220" t="str">
        <f>Procurement_Raw!L1220</f>
        <v>Legacy Spend File</v>
      </c>
      <c r="M1220" s="8">
        <f>Procurement_Raw!M1220</f>
        <v>788.28200000000004</v>
      </c>
      <c r="N1220" s="7">
        <f>Procurement_Raw!N1220</f>
        <v>3941.41</v>
      </c>
      <c r="O1220" s="7">
        <f t="shared" si="38"/>
        <v>3941.41</v>
      </c>
      <c r="P1220" t="str">
        <f>IFERROR(INDEX(Supplier_Lookup!$B$2:$B$200,MATCH(E1220,Supplier_Lookup!$A$2:$A$200,0)),"Unmapped")</f>
        <v>Medical Supplies</v>
      </c>
      <c r="Q1220" s="10">
        <f>IFERROR(INDEX(Category_Targets!$B$2:$B$9,MATCH(F1220,Category_Targets!$A$2:$A$9,0)),0)</f>
        <v>0.06</v>
      </c>
      <c r="R1220" s="7">
        <f t="shared" si="39"/>
        <v>236.48459999999997</v>
      </c>
    </row>
    <row r="1221" spans="1:18" x14ac:dyDescent="0.25">
      <c r="A1221" s="5">
        <f>Procurement_Raw!A1221</f>
        <v>45954</v>
      </c>
      <c r="B1221" t="str">
        <f>Procurement_Raw!B1221</f>
        <v>S008</v>
      </c>
      <c r="C1221" t="str">
        <f>Procurement_Raw!C1221</f>
        <v>Leicester Care &amp; Education Centre</v>
      </c>
      <c r="D1221" t="str">
        <f>Procurement_Raw!D1221</f>
        <v>Midlands</v>
      </c>
      <c r="E1221" t="str">
        <f>Procurement_Raw!E1221</f>
        <v>KitchenPro</v>
      </c>
      <c r="F1221" t="str">
        <f>Procurement_Raw!F1221</f>
        <v>Food &amp; Catering</v>
      </c>
      <c r="G1221" t="str">
        <f>Procurement_Raw!G1221</f>
        <v>INV-2025-01220</v>
      </c>
      <c r="H1221" s="6">
        <f>Procurement_Raw!H1221</f>
        <v>13</v>
      </c>
      <c r="I1221" s="7">
        <f>Procurement_Raw!I1221</f>
        <v>211.5</v>
      </c>
      <c r="J1221" s="7">
        <f>Procurement_Raw!J1221</f>
        <v>2749.48</v>
      </c>
      <c r="K1221" s="6">
        <f>Procurement_Raw!K1221</f>
        <v>60</v>
      </c>
      <c r="L1221" t="str">
        <f>Procurement_Raw!L1221</f>
        <v>Procurement Portal</v>
      </c>
      <c r="M1221" s="8">
        <f>Procurement_Raw!M1221</f>
        <v>549.89599999999996</v>
      </c>
      <c r="N1221" s="7">
        <f>Procurement_Raw!N1221</f>
        <v>2749.48</v>
      </c>
      <c r="O1221" s="7">
        <f t="shared" si="38"/>
        <v>2749.48</v>
      </c>
      <c r="P1221" t="str">
        <f>IFERROR(INDEX(Supplier_Lookup!$B$2:$B$200,MATCH(E1221,Supplier_Lookup!$A$2:$A$200,0)),"Unmapped")</f>
        <v>Food &amp; Catering</v>
      </c>
      <c r="Q1221" s="10">
        <f>IFERROR(INDEX(Category_Targets!$B$2:$B$9,MATCH(F1221,Category_Targets!$A$2:$A$9,0)),0)</f>
        <v>0.04</v>
      </c>
      <c r="R1221" s="7">
        <f t="shared" si="39"/>
        <v>109.97920000000001</v>
      </c>
    </row>
    <row r="1222" spans="1:18" x14ac:dyDescent="0.25">
      <c r="A1222" s="5">
        <f>Procurement_Raw!A1222</f>
        <v>45929</v>
      </c>
      <c r="B1222" t="str">
        <f>Procurement_Raw!B1222</f>
        <v>S007</v>
      </c>
      <c r="C1222" t="str">
        <f>Procurement_Raw!C1222</f>
        <v>Nottingham Care &amp; Education Centre</v>
      </c>
      <c r="D1222" t="str">
        <f>Procurement_Raw!D1222</f>
        <v>Midlands</v>
      </c>
      <c r="E1222" t="str">
        <f>Procurement_Raw!E1222</f>
        <v>KitchenPro</v>
      </c>
      <c r="F1222" t="str">
        <f>Procurement_Raw!F1222</f>
        <v>Food &amp; Catering</v>
      </c>
      <c r="G1222" t="str">
        <f>Procurement_Raw!G1222</f>
        <v>INV-2025-01221</v>
      </c>
      <c r="H1222" s="6">
        <f>Procurement_Raw!H1222</f>
        <v>61</v>
      </c>
      <c r="I1222" s="7">
        <f>Procurement_Raw!I1222</f>
        <v>33.83</v>
      </c>
      <c r="J1222" s="7">
        <f>Procurement_Raw!J1222</f>
        <v>2063.34</v>
      </c>
      <c r="K1222" s="6">
        <f>Procurement_Raw!K1222</f>
        <v>45</v>
      </c>
      <c r="L1222" t="str">
        <f>Procurement_Raw!L1222</f>
        <v>ERP</v>
      </c>
      <c r="M1222" s="8">
        <f>Procurement_Raw!M1222</f>
        <v>412.66800000000001</v>
      </c>
      <c r="N1222" s="7">
        <f>Procurement_Raw!N1222</f>
        <v>2063.34</v>
      </c>
      <c r="O1222" s="7">
        <f t="shared" si="38"/>
        <v>2063.34</v>
      </c>
      <c r="P1222" t="str">
        <f>IFERROR(INDEX(Supplier_Lookup!$B$2:$B$200,MATCH(E1222,Supplier_Lookup!$A$2:$A$200,0)),"Unmapped")</f>
        <v>Food &amp; Catering</v>
      </c>
      <c r="Q1222" s="10">
        <f>IFERROR(INDEX(Category_Targets!$B$2:$B$9,MATCH(F1222,Category_Targets!$A$2:$A$9,0)),0)</f>
        <v>0.04</v>
      </c>
      <c r="R1222" s="7">
        <f t="shared" si="39"/>
        <v>82.533600000000007</v>
      </c>
    </row>
    <row r="1223" spans="1:18" x14ac:dyDescent="0.25">
      <c r="A1223" s="5">
        <f>Procurement_Raw!A1223</f>
        <v>45812</v>
      </c>
      <c r="B1223" t="str">
        <f>Procurement_Raw!B1223</f>
        <v>S004</v>
      </c>
      <c r="C1223" t="str">
        <f>Procurement_Raw!C1223</f>
        <v>Newcastle Care &amp; Education Centre</v>
      </c>
      <c r="D1223" t="str">
        <f>Procurement_Raw!D1223</f>
        <v>North</v>
      </c>
      <c r="E1223" t="str">
        <f>Procurement_Raw!E1223</f>
        <v>KitchenPro</v>
      </c>
      <c r="F1223" t="str">
        <f>Procurement_Raw!F1223</f>
        <v>Food &amp; Catering</v>
      </c>
      <c r="G1223" t="str">
        <f>Procurement_Raw!G1223</f>
        <v>INV-2025-01222</v>
      </c>
      <c r="H1223" s="6">
        <f>Procurement_Raw!H1223</f>
        <v>65</v>
      </c>
      <c r="I1223" s="7">
        <f>Procurement_Raw!I1223</f>
        <v>77.08</v>
      </c>
      <c r="J1223" s="7">
        <f>Procurement_Raw!J1223</f>
        <v>5009.92</v>
      </c>
      <c r="K1223" s="6">
        <f>Procurement_Raw!K1223</f>
        <v>45</v>
      </c>
      <c r="L1223" t="str">
        <f>Procurement_Raw!L1223</f>
        <v>Procurement Portal</v>
      </c>
      <c r="M1223" s="8">
        <f>Procurement_Raw!M1223</f>
        <v>1001.984</v>
      </c>
      <c r="N1223" s="7">
        <f>Procurement_Raw!N1223</f>
        <v>5009.92</v>
      </c>
      <c r="O1223" s="7">
        <f t="shared" si="38"/>
        <v>5009.92</v>
      </c>
      <c r="P1223" t="str">
        <f>IFERROR(INDEX(Supplier_Lookup!$B$2:$B$200,MATCH(E1223,Supplier_Lookup!$A$2:$A$200,0)),"Unmapped")</f>
        <v>Food &amp; Catering</v>
      </c>
      <c r="Q1223" s="10">
        <f>IFERROR(INDEX(Category_Targets!$B$2:$B$9,MATCH(F1223,Category_Targets!$A$2:$A$9,0)),0)</f>
        <v>0.04</v>
      </c>
      <c r="R1223" s="7">
        <f t="shared" si="39"/>
        <v>200.39680000000001</v>
      </c>
    </row>
    <row r="1224" spans="1:18" x14ac:dyDescent="0.25">
      <c r="A1224" s="5">
        <f>Procurement_Raw!A1224</f>
        <v>45870</v>
      </c>
      <c r="B1224" t="str">
        <f>Procurement_Raw!B1224</f>
        <v>S001</v>
      </c>
      <c r="C1224" t="str">
        <f>Procurement_Raw!C1224</f>
        <v>Preston Care &amp; Education Centre</v>
      </c>
      <c r="D1224" t="str">
        <f>Procurement_Raw!D1224</f>
        <v>North</v>
      </c>
      <c r="E1224" t="str">
        <f>Procurement_Raw!E1224</f>
        <v>FleetFuel</v>
      </c>
      <c r="F1224" t="str">
        <f>Procurement_Raw!F1224</f>
        <v>Vehicle &amp; Fuel</v>
      </c>
      <c r="G1224" t="str">
        <f>Procurement_Raw!G1224</f>
        <v>INV-2025-01223</v>
      </c>
      <c r="H1224" s="6">
        <f>Procurement_Raw!H1224</f>
        <v>52</v>
      </c>
      <c r="I1224" s="7">
        <f>Procurement_Raw!I1224</f>
        <v>134.62</v>
      </c>
      <c r="J1224" s="7">
        <f>Procurement_Raw!J1224</f>
        <v>7000.23</v>
      </c>
      <c r="K1224" s="6">
        <f>Procurement_Raw!K1224</f>
        <v>45</v>
      </c>
      <c r="L1224" t="str">
        <f>Procurement_Raw!L1224</f>
        <v>Legacy Spend File</v>
      </c>
      <c r="M1224" s="8">
        <f>Procurement_Raw!M1224</f>
        <v>1400.046</v>
      </c>
      <c r="N1224" s="7">
        <f>Procurement_Raw!N1224</f>
        <v>7000.23</v>
      </c>
      <c r="O1224" s="7">
        <f t="shared" si="38"/>
        <v>7000.23</v>
      </c>
      <c r="P1224" t="str">
        <f>IFERROR(INDEX(Supplier_Lookup!$B$2:$B$200,MATCH(E1224,Supplier_Lookup!$A$2:$A$200,0)),"Unmapped")</f>
        <v>Vehicle &amp; Fuel</v>
      </c>
      <c r="Q1224" s="10">
        <f>IFERROR(INDEX(Category_Targets!$B$2:$B$9,MATCH(F1224,Category_Targets!$A$2:$A$9,0)),0)</f>
        <v>0.05</v>
      </c>
      <c r="R1224" s="7">
        <f t="shared" si="39"/>
        <v>350.01150000000001</v>
      </c>
    </row>
    <row r="1225" spans="1:18" x14ac:dyDescent="0.25">
      <c r="A1225" s="5">
        <f>Procurement_Raw!A1225</f>
        <v>45938</v>
      </c>
      <c r="B1225" t="str">
        <f>Procurement_Raw!B1225</f>
        <v>S006</v>
      </c>
      <c r="C1225" t="str">
        <f>Procurement_Raw!C1225</f>
        <v>Birmingham Care &amp; Education Centre</v>
      </c>
      <c r="D1225" t="str">
        <f>Procurement_Raw!D1225</f>
        <v>Midlands</v>
      </c>
      <c r="E1225" t="str">
        <f>Procurement_Raw!E1225</f>
        <v>PrintCo</v>
      </c>
      <c r="F1225" t="str">
        <f>Procurement_Raw!F1225</f>
        <v>Office &amp; Training</v>
      </c>
      <c r="G1225" t="str">
        <f>Procurement_Raw!G1225</f>
        <v>INV-2025-01224</v>
      </c>
      <c r="H1225" s="6">
        <f>Procurement_Raw!H1225</f>
        <v>24</v>
      </c>
      <c r="I1225" s="7">
        <f>Procurement_Raw!I1225</f>
        <v>94.17</v>
      </c>
      <c r="J1225" s="7">
        <f>Procurement_Raw!J1225</f>
        <v>2260.0300000000002</v>
      </c>
      <c r="K1225" s="6">
        <f>Procurement_Raw!K1225</f>
        <v>30</v>
      </c>
      <c r="L1225" t="str">
        <f>Procurement_Raw!L1225</f>
        <v>Legacy Spend File</v>
      </c>
      <c r="M1225" s="8">
        <f>Procurement_Raw!M1225</f>
        <v>452.00599999999997</v>
      </c>
      <c r="N1225" s="7">
        <f>Procurement_Raw!N1225</f>
        <v>2260.0300000000002</v>
      </c>
      <c r="O1225" s="7">
        <f t="shared" si="38"/>
        <v>2260.0300000000002</v>
      </c>
      <c r="P1225" t="str">
        <f>IFERROR(INDEX(Supplier_Lookup!$B$2:$B$200,MATCH(E1225,Supplier_Lookup!$A$2:$A$200,0)),"Unmapped")</f>
        <v>Office &amp; Training</v>
      </c>
      <c r="Q1225" s="10">
        <f>IFERROR(INDEX(Category_Targets!$B$2:$B$9,MATCH(F1225,Category_Targets!$A$2:$A$9,0)),0)</f>
        <v>0.04</v>
      </c>
      <c r="R1225" s="7">
        <f t="shared" si="39"/>
        <v>90.401200000000003</v>
      </c>
    </row>
    <row r="1226" spans="1:18" x14ac:dyDescent="0.25">
      <c r="A1226" s="5">
        <f>Procurement_Raw!A1226</f>
        <v>45913</v>
      </c>
      <c r="B1226" t="str">
        <f>Procurement_Raw!B1226</f>
        <v>S007</v>
      </c>
      <c r="C1226" t="str">
        <f>Procurement_Raw!C1226</f>
        <v>Nottingham Care &amp; Education Centre</v>
      </c>
      <c r="D1226" t="str">
        <f>Procurement_Raw!D1226</f>
        <v>Midlands</v>
      </c>
      <c r="E1226" t="str">
        <f>Procurement_Raw!E1226</f>
        <v>BuildCare</v>
      </c>
      <c r="F1226" t="str">
        <f>Procurement_Raw!F1226</f>
        <v>Facilities</v>
      </c>
      <c r="G1226" t="str">
        <f>Procurement_Raw!G1226</f>
        <v>INV-2025-01225</v>
      </c>
      <c r="H1226" s="6">
        <f>Procurement_Raw!H1226</f>
        <v>28</v>
      </c>
      <c r="I1226" s="7">
        <f>Procurement_Raw!I1226</f>
        <v>162.56</v>
      </c>
      <c r="J1226" s="7">
        <f>Procurement_Raw!J1226</f>
        <v>4551.6899999999996</v>
      </c>
      <c r="K1226" s="6">
        <f>Procurement_Raw!K1226</f>
        <v>60</v>
      </c>
      <c r="L1226" t="str">
        <f>Procurement_Raw!L1226</f>
        <v>Legacy Spend File</v>
      </c>
      <c r="M1226" s="8">
        <f>Procurement_Raw!M1226</f>
        <v>910.33799999999997</v>
      </c>
      <c r="N1226" s="7">
        <f>Procurement_Raw!N1226</f>
        <v>4551.6899999999996</v>
      </c>
      <c r="O1226" s="7">
        <f t="shared" si="38"/>
        <v>4551.6899999999996</v>
      </c>
      <c r="P1226" t="str">
        <f>IFERROR(INDEX(Supplier_Lookup!$B$2:$B$200,MATCH(E1226,Supplier_Lookup!$A$2:$A$200,0)),"Unmapped")</f>
        <v>Facilities</v>
      </c>
      <c r="Q1226" s="10">
        <f>IFERROR(INDEX(Category_Targets!$B$2:$B$9,MATCH(F1226,Category_Targets!$A$2:$A$9,0)),0)</f>
        <v>0.05</v>
      </c>
      <c r="R1226" s="7">
        <f t="shared" si="39"/>
        <v>227.58449999999999</v>
      </c>
    </row>
    <row r="1227" spans="1:18" x14ac:dyDescent="0.25">
      <c r="A1227" s="5">
        <f>Procurement_Raw!A1227</f>
        <v>45930</v>
      </c>
      <c r="B1227" t="str">
        <f>Procurement_Raw!B1227</f>
        <v>S019</v>
      </c>
      <c r="C1227" t="str">
        <f>Procurement_Raw!C1227</f>
        <v>Wrexham Care &amp; Education Centre</v>
      </c>
      <c r="D1227" t="str">
        <f>Procurement_Raw!D1227</f>
        <v>Wales</v>
      </c>
      <c r="E1227" t="str">
        <f>Procurement_Raw!E1227</f>
        <v>NetServe</v>
      </c>
      <c r="F1227" t="str">
        <f>Procurement_Raw!F1227</f>
        <v>IT &amp; Telecoms</v>
      </c>
      <c r="G1227" t="str">
        <f>Procurement_Raw!G1227</f>
        <v>INV-2025-01226</v>
      </c>
      <c r="H1227" s="6">
        <f>Procurement_Raw!H1227</f>
        <v>79</v>
      </c>
      <c r="I1227" s="7">
        <f>Procurement_Raw!I1227</f>
        <v>204.84</v>
      </c>
      <c r="J1227" s="7">
        <f>Procurement_Raw!J1227</f>
        <v>16182.31</v>
      </c>
      <c r="K1227" s="6">
        <f>Procurement_Raw!K1227</f>
        <v>45</v>
      </c>
      <c r="L1227" t="str">
        <f>Procurement_Raw!L1227</f>
        <v>Legacy Spend File</v>
      </c>
      <c r="M1227" s="8">
        <f>Procurement_Raw!M1227</f>
        <v>3236.462</v>
      </c>
      <c r="N1227" s="7">
        <f>Procurement_Raw!N1227</f>
        <v>16182.31</v>
      </c>
      <c r="O1227" s="7">
        <f t="shared" si="38"/>
        <v>16182.31</v>
      </c>
      <c r="P1227" t="str">
        <f>IFERROR(INDEX(Supplier_Lookup!$B$2:$B$200,MATCH(E1227,Supplier_Lookup!$A$2:$A$200,0)),"Unmapped")</f>
        <v>IT &amp; Telecoms</v>
      </c>
      <c r="Q1227" s="10">
        <f>IFERROR(INDEX(Category_Targets!$B$2:$B$9,MATCH(F1227,Category_Targets!$A$2:$A$9,0)),0)</f>
        <v>0.08</v>
      </c>
      <c r="R1227" s="7">
        <f t="shared" si="39"/>
        <v>1294.5848000000001</v>
      </c>
    </row>
    <row r="1228" spans="1:18" x14ac:dyDescent="0.25">
      <c r="A1228" s="5">
        <f>Procurement_Raw!A1228</f>
        <v>45760</v>
      </c>
      <c r="B1228" t="str">
        <f>Procurement_Raw!B1228</f>
        <v>S002</v>
      </c>
      <c r="C1228" t="str">
        <f>Procurement_Raw!C1228</f>
        <v>Manchester Care &amp; Education Centre</v>
      </c>
      <c r="D1228" t="str">
        <f>Procurement_Raw!D1228</f>
        <v>North</v>
      </c>
      <c r="E1228" t="str">
        <f>Procurement_Raw!E1228</f>
        <v>ClinEquip</v>
      </c>
      <c r="F1228" t="str">
        <f>Procurement_Raw!F1228</f>
        <v>Medical Supplies</v>
      </c>
      <c r="G1228" t="str">
        <f>Procurement_Raw!G1228</f>
        <v>INV-2025-01227</v>
      </c>
      <c r="H1228" s="6">
        <f>Procurement_Raw!H1228</f>
        <v>47</v>
      </c>
      <c r="I1228" s="7">
        <f>Procurement_Raw!I1228</f>
        <v>122.93</v>
      </c>
      <c r="J1228" s="7">
        <f>Procurement_Raw!J1228</f>
        <v>5777.55</v>
      </c>
      <c r="K1228" s="6">
        <f>Procurement_Raw!K1228</f>
        <v>45</v>
      </c>
      <c r="L1228" t="str">
        <f>Procurement_Raw!L1228</f>
        <v>ERP</v>
      </c>
      <c r="M1228" s="8">
        <f>Procurement_Raw!M1228</f>
        <v>1155.51</v>
      </c>
      <c r="N1228" s="7">
        <f>Procurement_Raw!N1228</f>
        <v>5777.55</v>
      </c>
      <c r="O1228" s="7">
        <f t="shared" si="38"/>
        <v>5777.55</v>
      </c>
      <c r="P1228" t="str">
        <f>IFERROR(INDEX(Supplier_Lookup!$B$2:$B$200,MATCH(E1228,Supplier_Lookup!$A$2:$A$200,0)),"Unmapped")</f>
        <v>Medical Supplies</v>
      </c>
      <c r="Q1228" s="10">
        <f>IFERROR(INDEX(Category_Targets!$B$2:$B$9,MATCH(F1228,Category_Targets!$A$2:$A$9,0)),0)</f>
        <v>0.06</v>
      </c>
      <c r="R1228" s="7">
        <f t="shared" si="39"/>
        <v>346.65300000000002</v>
      </c>
    </row>
    <row r="1229" spans="1:18" x14ac:dyDescent="0.25">
      <c r="A1229" s="5">
        <f>Procurement_Raw!A1229</f>
        <v>46008</v>
      </c>
      <c r="B1229" t="str">
        <f>Procurement_Raw!B1229</f>
        <v>S006</v>
      </c>
      <c r="C1229" t="str">
        <f>Procurement_Raw!C1229</f>
        <v>Birmingham Care &amp; Education Centre</v>
      </c>
      <c r="D1229" t="str">
        <f>Procurement_Raw!D1229</f>
        <v>Midlands</v>
      </c>
      <c r="E1229" t="str">
        <f>Procurement_Raw!E1229</f>
        <v>BuildCare</v>
      </c>
      <c r="F1229" t="str">
        <f>Procurement_Raw!F1229</f>
        <v>Facilities</v>
      </c>
      <c r="G1229" t="str">
        <f>Procurement_Raw!G1229</f>
        <v>INV-2025-01228</v>
      </c>
      <c r="H1229" s="6">
        <f>Procurement_Raw!H1229</f>
        <v>39</v>
      </c>
      <c r="I1229" s="7">
        <f>Procurement_Raw!I1229</f>
        <v>166.02</v>
      </c>
      <c r="J1229" s="7">
        <f>Procurement_Raw!J1229</f>
        <v>6474.76</v>
      </c>
      <c r="K1229" s="6">
        <f>Procurement_Raw!K1229</f>
        <v>45</v>
      </c>
      <c r="L1229" t="str">
        <f>Procurement_Raw!L1229</f>
        <v>Procurement Portal</v>
      </c>
      <c r="M1229" s="8">
        <f>Procurement_Raw!M1229</f>
        <v>1294.952</v>
      </c>
      <c r="N1229" s="7">
        <f>Procurement_Raw!N1229</f>
        <v>6474.76</v>
      </c>
      <c r="O1229" s="7">
        <f t="shared" si="38"/>
        <v>6474.76</v>
      </c>
      <c r="P1229" t="str">
        <f>IFERROR(INDEX(Supplier_Lookup!$B$2:$B$200,MATCH(E1229,Supplier_Lookup!$A$2:$A$200,0)),"Unmapped")</f>
        <v>Facilities</v>
      </c>
      <c r="Q1229" s="10">
        <f>IFERROR(INDEX(Category_Targets!$B$2:$B$9,MATCH(F1229,Category_Targets!$A$2:$A$9,0)),0)</f>
        <v>0.05</v>
      </c>
      <c r="R1229" s="7">
        <f t="shared" si="39"/>
        <v>323.73800000000006</v>
      </c>
    </row>
    <row r="1230" spans="1:18" x14ac:dyDescent="0.25">
      <c r="A1230" s="5">
        <f>Procurement_Raw!A1230</f>
        <v>45762</v>
      </c>
      <c r="B1230" t="str">
        <f>Procurement_Raw!B1230</f>
        <v>S012</v>
      </c>
      <c r="C1230" t="str">
        <f>Procurement_Raw!C1230</f>
        <v>Bristol Care &amp; Education Centre</v>
      </c>
      <c r="D1230" t="str">
        <f>Procurement_Raw!D1230</f>
        <v>South</v>
      </c>
      <c r="E1230" t="str">
        <f>Procurement_Raw!E1230</f>
        <v>KitchenPro</v>
      </c>
      <c r="F1230" t="str">
        <f>Procurement_Raw!F1230</f>
        <v>Food &amp; Catering</v>
      </c>
      <c r="G1230" t="str">
        <f>Procurement_Raw!G1230</f>
        <v>INV-2025-01229</v>
      </c>
      <c r="H1230" s="6">
        <f>Procurement_Raw!H1230</f>
        <v>53</v>
      </c>
      <c r="I1230" s="7">
        <f>Procurement_Raw!I1230</f>
        <v>110.45</v>
      </c>
      <c r="J1230" s="7">
        <f>Procurement_Raw!J1230</f>
        <v>5853.6</v>
      </c>
      <c r="K1230" s="6">
        <f>Procurement_Raw!K1230</f>
        <v>45</v>
      </c>
      <c r="L1230" t="str">
        <f>Procurement_Raw!L1230</f>
        <v>Procurement Portal</v>
      </c>
      <c r="M1230" s="8">
        <f>Procurement_Raw!M1230</f>
        <v>1170.72</v>
      </c>
      <c r="N1230" s="7">
        <f>Procurement_Raw!N1230</f>
        <v>5853.6</v>
      </c>
      <c r="O1230" s="7">
        <f t="shared" si="38"/>
        <v>5853.6</v>
      </c>
      <c r="P1230" t="str">
        <f>IFERROR(INDEX(Supplier_Lookup!$B$2:$B$200,MATCH(E1230,Supplier_Lookup!$A$2:$A$200,0)),"Unmapped")</f>
        <v>Food &amp; Catering</v>
      </c>
      <c r="Q1230" s="10">
        <f>IFERROR(INDEX(Category_Targets!$B$2:$B$9,MATCH(F1230,Category_Targets!$A$2:$A$9,0)),0)</f>
        <v>0.04</v>
      </c>
      <c r="R1230" s="7">
        <f t="shared" si="39"/>
        <v>234.14400000000001</v>
      </c>
    </row>
    <row r="1231" spans="1:18" x14ac:dyDescent="0.25">
      <c r="A1231" s="5">
        <f>Procurement_Raw!A1231</f>
        <v>46009</v>
      </c>
      <c r="B1231" t="str">
        <f>Procurement_Raw!B1231</f>
        <v>S001</v>
      </c>
      <c r="C1231" t="str">
        <f>Procurement_Raw!C1231</f>
        <v>Preston Care &amp; Education Centre</v>
      </c>
      <c r="D1231" t="str">
        <f>Procurement_Raw!D1231</f>
        <v>North</v>
      </c>
      <c r="E1231" t="str">
        <f>Procurement_Raw!E1231</f>
        <v>SafeGuard FM</v>
      </c>
      <c r="F1231" t="str">
        <f>Procurement_Raw!F1231</f>
        <v>Facilities</v>
      </c>
      <c r="G1231" t="str">
        <f>Procurement_Raw!G1231</f>
        <v>INV-2025-01230</v>
      </c>
      <c r="H1231" s="6">
        <f>Procurement_Raw!H1231</f>
        <v>77</v>
      </c>
      <c r="I1231" s="7">
        <f>Procurement_Raw!I1231</f>
        <v>607.13</v>
      </c>
      <c r="J1231" s="7">
        <f>Procurement_Raw!J1231</f>
        <v>46749.08</v>
      </c>
      <c r="K1231" s="6">
        <f>Procurement_Raw!K1231</f>
        <v>30</v>
      </c>
      <c r="L1231" t="str">
        <f>Procurement_Raw!L1231</f>
        <v>Procurement Portal</v>
      </c>
      <c r="M1231" s="8">
        <f>Procurement_Raw!M1231</f>
        <v>9349.8160000000007</v>
      </c>
      <c r="N1231" s="7">
        <f>Procurement_Raw!N1231</f>
        <v>46749.08</v>
      </c>
      <c r="O1231" s="7">
        <f t="shared" si="38"/>
        <v>46749.08</v>
      </c>
      <c r="P1231" t="str">
        <f>IFERROR(INDEX(Supplier_Lookup!$B$2:$B$200,MATCH(E1231,Supplier_Lookup!$A$2:$A$200,0)),"Unmapped")</f>
        <v>Facilities</v>
      </c>
      <c r="Q1231" s="10">
        <f>IFERROR(INDEX(Category_Targets!$B$2:$B$9,MATCH(F1231,Category_Targets!$A$2:$A$9,0)),0)</f>
        <v>0.05</v>
      </c>
      <c r="R1231" s="7">
        <f t="shared" si="39"/>
        <v>2337.4540000000002</v>
      </c>
    </row>
    <row r="1232" spans="1:18" x14ac:dyDescent="0.25">
      <c r="A1232" s="5">
        <f>Procurement_Raw!A1232</f>
        <v>45756</v>
      </c>
      <c r="B1232" t="str">
        <f>Procurement_Raw!B1232</f>
        <v>S012</v>
      </c>
      <c r="C1232" t="str">
        <f>Procurement_Raw!C1232</f>
        <v>Bristol Care &amp; Education Centre</v>
      </c>
      <c r="D1232" t="str">
        <f>Procurement_Raw!D1232</f>
        <v>South</v>
      </c>
      <c r="E1232" t="str">
        <f>Procurement_Raw!E1232</f>
        <v>FreshServe</v>
      </c>
      <c r="F1232" t="str">
        <f>Procurement_Raw!F1232</f>
        <v>Food &amp; Catering</v>
      </c>
      <c r="G1232" t="str">
        <f>Procurement_Raw!G1232</f>
        <v>INV-2025-01231</v>
      </c>
      <c r="H1232" s="6">
        <f>Procurement_Raw!H1232</f>
        <v>4</v>
      </c>
      <c r="I1232" s="7">
        <f>Procurement_Raw!I1232</f>
        <v>47.84</v>
      </c>
      <c r="J1232" s="7">
        <f>Procurement_Raw!J1232</f>
        <v>191.34</v>
      </c>
      <c r="K1232" s="6">
        <f>Procurement_Raw!K1232</f>
        <v>30</v>
      </c>
      <c r="L1232" t="str">
        <f>Procurement_Raw!L1232</f>
        <v>Procurement Portal</v>
      </c>
      <c r="M1232" s="8">
        <f>Procurement_Raw!M1232</f>
        <v>38.268000000000001</v>
      </c>
      <c r="N1232" s="7">
        <f>Procurement_Raw!N1232</f>
        <v>191.34</v>
      </c>
      <c r="O1232" s="7">
        <f t="shared" si="38"/>
        <v>191.34</v>
      </c>
      <c r="P1232" t="str">
        <f>IFERROR(INDEX(Supplier_Lookup!$B$2:$B$200,MATCH(E1232,Supplier_Lookup!$A$2:$A$200,0)),"Unmapped")</f>
        <v>Food &amp; Catering</v>
      </c>
      <c r="Q1232" s="10">
        <f>IFERROR(INDEX(Category_Targets!$B$2:$B$9,MATCH(F1232,Category_Targets!$A$2:$A$9,0)),0)</f>
        <v>0.04</v>
      </c>
      <c r="R1232" s="7">
        <f t="shared" si="39"/>
        <v>7.6536</v>
      </c>
    </row>
    <row r="1233" spans="1:18" x14ac:dyDescent="0.25">
      <c r="A1233" s="5">
        <f>Procurement_Raw!A1233</f>
        <v>45881</v>
      </c>
      <c r="B1233" t="str">
        <f>Procurement_Raw!B1233</f>
        <v>S015</v>
      </c>
      <c r="C1233" t="str">
        <f>Procurement_Raw!C1233</f>
        <v>Brighton Care &amp; Education Centre</v>
      </c>
      <c r="D1233" t="str">
        <f>Procurement_Raw!D1233</f>
        <v>South</v>
      </c>
      <c r="E1233" t="str">
        <f>Procurement_Raw!E1233</f>
        <v>PrintCo</v>
      </c>
      <c r="F1233" t="str">
        <f>Procurement_Raw!F1233</f>
        <v>Office &amp; Training</v>
      </c>
      <c r="G1233" t="str">
        <f>Procurement_Raw!G1233</f>
        <v>INV-2025-01232</v>
      </c>
      <c r="H1233" s="6">
        <f>Procurement_Raw!H1233</f>
        <v>55</v>
      </c>
      <c r="I1233" s="7">
        <f>Procurement_Raw!I1233</f>
        <v>35.31</v>
      </c>
      <c r="J1233" s="7">
        <f>Procurement_Raw!J1233</f>
        <v>1941.91</v>
      </c>
      <c r="K1233" s="6">
        <f>Procurement_Raw!K1233</f>
        <v>60</v>
      </c>
      <c r="L1233" t="str">
        <f>Procurement_Raw!L1233</f>
        <v>ERP</v>
      </c>
      <c r="M1233" s="8">
        <f>Procurement_Raw!M1233</f>
        <v>388.38200000000001</v>
      </c>
      <c r="N1233" s="7">
        <f>Procurement_Raw!N1233</f>
        <v>1941.91</v>
      </c>
      <c r="O1233" s="7">
        <f t="shared" si="38"/>
        <v>1941.91</v>
      </c>
      <c r="P1233" t="str">
        <f>IFERROR(INDEX(Supplier_Lookup!$B$2:$B$200,MATCH(E1233,Supplier_Lookup!$A$2:$A$200,0)),"Unmapped")</f>
        <v>Office &amp; Training</v>
      </c>
      <c r="Q1233" s="10">
        <f>IFERROR(INDEX(Category_Targets!$B$2:$B$9,MATCH(F1233,Category_Targets!$A$2:$A$9,0)),0)</f>
        <v>0.04</v>
      </c>
      <c r="R1233" s="7">
        <f t="shared" si="39"/>
        <v>77.676400000000001</v>
      </c>
    </row>
    <row r="1234" spans="1:18" x14ac:dyDescent="0.25">
      <c r="A1234" s="5">
        <f>Procurement_Raw!A1234</f>
        <v>45727</v>
      </c>
      <c r="B1234" t="str">
        <f>Procurement_Raw!B1234</f>
        <v>S013</v>
      </c>
      <c r="C1234" t="str">
        <f>Procurement_Raw!C1234</f>
        <v>Reading Care &amp; Education Centre</v>
      </c>
      <c r="D1234" t="str">
        <f>Procurement_Raw!D1234</f>
        <v>South</v>
      </c>
      <c r="E1234" t="str">
        <f>Procurement_Raw!E1234</f>
        <v>SafeGuard FM</v>
      </c>
      <c r="F1234" t="str">
        <f>Procurement_Raw!F1234</f>
        <v>Facilities</v>
      </c>
      <c r="G1234" t="str">
        <f>Procurement_Raw!G1234</f>
        <v>INV-2025-01233</v>
      </c>
      <c r="H1234" s="6">
        <f>Procurement_Raw!H1234</f>
        <v>4</v>
      </c>
      <c r="I1234" s="7">
        <f>Procurement_Raw!I1234</f>
        <v>171.47</v>
      </c>
      <c r="J1234" s="7">
        <f>Procurement_Raw!J1234</f>
        <v>685.88</v>
      </c>
      <c r="K1234" s="6">
        <f>Procurement_Raw!K1234</f>
        <v>45</v>
      </c>
      <c r="L1234" t="str">
        <f>Procurement_Raw!L1234</f>
        <v>Procurement Portal</v>
      </c>
      <c r="M1234" s="8">
        <f>Procurement_Raw!M1234</f>
        <v>137.17599999999999</v>
      </c>
      <c r="N1234" s="7">
        <f>Procurement_Raw!N1234</f>
        <v>685.88</v>
      </c>
      <c r="O1234" s="7">
        <f t="shared" si="38"/>
        <v>685.88</v>
      </c>
      <c r="P1234" t="str">
        <f>IFERROR(INDEX(Supplier_Lookup!$B$2:$B$200,MATCH(E1234,Supplier_Lookup!$A$2:$A$200,0)),"Unmapped")</f>
        <v>Facilities</v>
      </c>
      <c r="Q1234" s="10">
        <f>IFERROR(INDEX(Category_Targets!$B$2:$B$9,MATCH(F1234,Category_Targets!$A$2:$A$9,0)),0)</f>
        <v>0.05</v>
      </c>
      <c r="R1234" s="7">
        <f t="shared" si="39"/>
        <v>34.294000000000004</v>
      </c>
    </row>
    <row r="1235" spans="1:18" x14ac:dyDescent="0.25">
      <c r="A1235" s="5">
        <f>Procurement_Raw!A1235</f>
        <v>45679</v>
      </c>
      <c r="B1235" t="str">
        <f>Procurement_Raw!B1235</f>
        <v>S019</v>
      </c>
      <c r="C1235" t="str">
        <f>Procurement_Raw!C1235</f>
        <v>Wrexham Care &amp; Education Centre</v>
      </c>
      <c r="D1235" t="str">
        <f>Procurement_Raw!D1235</f>
        <v>Wales</v>
      </c>
      <c r="E1235" t="str">
        <f>Procurement_Raw!E1235</f>
        <v>buildcare</v>
      </c>
      <c r="F1235" t="str">
        <f>Procurement_Raw!F1235</f>
        <v>Facilities</v>
      </c>
      <c r="G1235" t="str">
        <f>Procurement_Raw!G1235</f>
        <v>INV-2025-01234</v>
      </c>
      <c r="H1235" s="6">
        <f>Procurement_Raw!H1235</f>
        <v>63</v>
      </c>
      <c r="I1235" s="7">
        <f>Procurement_Raw!I1235</f>
        <v>743.82</v>
      </c>
      <c r="J1235" s="7">
        <f>Procurement_Raw!J1235</f>
        <v>46860.56</v>
      </c>
      <c r="K1235" s="6">
        <f>Procurement_Raw!K1235</f>
        <v>30</v>
      </c>
      <c r="L1235" t="str">
        <f>Procurement_Raw!L1235</f>
        <v>ERP</v>
      </c>
      <c r="M1235" s="8">
        <f>Procurement_Raw!M1235</f>
        <v>9372.1119999999992</v>
      </c>
      <c r="N1235" s="7">
        <f>Procurement_Raw!N1235</f>
        <v>46860.56</v>
      </c>
      <c r="O1235" s="7">
        <f t="shared" si="38"/>
        <v>46860.56</v>
      </c>
      <c r="P1235" t="str">
        <f>IFERROR(INDEX(Supplier_Lookup!$B$2:$B$200,MATCH(E1235,Supplier_Lookup!$A$2:$A$200,0)),"Unmapped")</f>
        <v>Facilities</v>
      </c>
      <c r="Q1235" s="10">
        <f>IFERROR(INDEX(Category_Targets!$B$2:$B$9,MATCH(F1235,Category_Targets!$A$2:$A$9,0)),0)</f>
        <v>0.05</v>
      </c>
      <c r="R1235" s="7">
        <f t="shared" si="39"/>
        <v>2343.0279999999998</v>
      </c>
    </row>
    <row r="1236" spans="1:18" x14ac:dyDescent="0.25">
      <c r="A1236" s="5">
        <f>Procurement_Raw!A1236</f>
        <v>45810</v>
      </c>
      <c r="B1236" t="str">
        <f>Procurement_Raw!B1236</f>
        <v>S008</v>
      </c>
      <c r="C1236" t="str">
        <f>Procurement_Raw!C1236</f>
        <v>Leicester Care &amp; Education Centre</v>
      </c>
      <c r="D1236" t="str">
        <f>Procurement_Raw!D1236</f>
        <v>Midlands</v>
      </c>
      <c r="E1236" t="str">
        <f>Procurement_Raw!E1236</f>
        <v>AutoCare</v>
      </c>
      <c r="F1236" t="str">
        <f>Procurement_Raw!F1236</f>
        <v>Vehicle &amp; Fuel</v>
      </c>
      <c r="G1236" t="str">
        <f>Procurement_Raw!G1236</f>
        <v>INV-2025-01235</v>
      </c>
      <c r="H1236" s="6">
        <f>Procurement_Raw!H1236</f>
        <v>9</v>
      </c>
      <c r="I1236" s="7">
        <f>Procurement_Raw!I1236</f>
        <v>61.06</v>
      </c>
      <c r="J1236" s="7">
        <f>Procurement_Raw!J1236</f>
        <v>549.54</v>
      </c>
      <c r="K1236" s="6">
        <f>Procurement_Raw!K1236</f>
        <v>45</v>
      </c>
      <c r="L1236" t="str">
        <f>Procurement_Raw!L1236</f>
        <v>Procurement Portal</v>
      </c>
      <c r="M1236" s="8">
        <f>Procurement_Raw!M1236</f>
        <v>109.908</v>
      </c>
      <c r="N1236" s="7">
        <f>Procurement_Raw!N1236</f>
        <v>549.54</v>
      </c>
      <c r="O1236" s="7">
        <f t="shared" si="38"/>
        <v>549.54</v>
      </c>
      <c r="P1236" t="str">
        <f>IFERROR(INDEX(Supplier_Lookup!$B$2:$B$200,MATCH(E1236,Supplier_Lookup!$A$2:$A$200,0)),"Unmapped")</f>
        <v>Vehicle &amp; Fuel</v>
      </c>
      <c r="Q1236" s="10">
        <f>IFERROR(INDEX(Category_Targets!$B$2:$B$9,MATCH(F1236,Category_Targets!$A$2:$A$9,0)),0)</f>
        <v>0.05</v>
      </c>
      <c r="R1236" s="7">
        <f t="shared" si="39"/>
        <v>27.477</v>
      </c>
    </row>
    <row r="1237" spans="1:18" x14ac:dyDescent="0.25">
      <c r="A1237" s="5">
        <f>Procurement_Raw!A1237</f>
        <v>45729</v>
      </c>
      <c r="B1237" t="str">
        <f>Procurement_Raw!B1237</f>
        <v>S014</v>
      </c>
      <c r="C1237" t="str">
        <f>Procurement_Raw!C1237</f>
        <v>Southampton Care &amp; Education Centre</v>
      </c>
      <c r="D1237" t="str">
        <f>Procurement_Raw!D1237</f>
        <v>South</v>
      </c>
      <c r="E1237" t="str">
        <f>Procurement_Raw!E1237</f>
        <v>NourishCo</v>
      </c>
      <c r="F1237" t="str">
        <f>Procurement_Raw!F1237</f>
        <v>Food &amp; Catering</v>
      </c>
      <c r="G1237" t="str">
        <f>Procurement_Raw!G1237</f>
        <v>INV-2025-01236</v>
      </c>
      <c r="H1237" s="6">
        <f>Procurement_Raw!H1237</f>
        <v>31</v>
      </c>
      <c r="I1237" s="7">
        <f>Procurement_Raw!I1237</f>
        <v>160.12</v>
      </c>
      <c r="J1237" s="7">
        <f>Procurement_Raw!J1237</f>
        <v>4963.6099999999997</v>
      </c>
      <c r="K1237" s="6">
        <f>Procurement_Raw!K1237</f>
        <v>30</v>
      </c>
      <c r="L1237" t="str">
        <f>Procurement_Raw!L1237</f>
        <v>Legacy Spend File</v>
      </c>
      <c r="M1237" s="8">
        <f>Procurement_Raw!M1237</f>
        <v>992.72199999999998</v>
      </c>
      <c r="N1237" s="7">
        <f>Procurement_Raw!N1237</f>
        <v>4963.6099999999997</v>
      </c>
      <c r="O1237" s="7">
        <f t="shared" si="38"/>
        <v>4963.6099999999997</v>
      </c>
      <c r="P1237" t="str">
        <f>IFERROR(INDEX(Supplier_Lookup!$B$2:$B$200,MATCH(E1237,Supplier_Lookup!$A$2:$A$200,0)),"Unmapped")</f>
        <v>Food &amp; Catering</v>
      </c>
      <c r="Q1237" s="10">
        <f>IFERROR(INDEX(Category_Targets!$B$2:$B$9,MATCH(F1237,Category_Targets!$A$2:$A$9,0)),0)</f>
        <v>0.04</v>
      </c>
      <c r="R1237" s="7">
        <f t="shared" si="39"/>
        <v>198.5444</v>
      </c>
    </row>
    <row r="1238" spans="1:18" x14ac:dyDescent="0.25">
      <c r="A1238" s="5">
        <f>Procurement_Raw!A1238</f>
        <v>45998</v>
      </c>
      <c r="B1238" t="str">
        <f>Procurement_Raw!B1238</f>
        <v>S002</v>
      </c>
      <c r="C1238" t="str">
        <f>Procurement_Raw!C1238</f>
        <v>Manchester Care &amp; Education Centre</v>
      </c>
      <c r="D1238" t="str">
        <f>Procurement_Raw!D1238</f>
        <v>North</v>
      </c>
      <c r="E1238" t="str">
        <f>Procurement_Raw!E1238</f>
        <v>KitchenPro</v>
      </c>
      <c r="F1238" t="str">
        <f>Procurement_Raw!F1238</f>
        <v>Food &amp; Catering</v>
      </c>
      <c r="G1238" t="str">
        <f>Procurement_Raw!G1238</f>
        <v>INV-2025-01237</v>
      </c>
      <c r="H1238" s="6">
        <f>Procurement_Raw!H1238</f>
        <v>75</v>
      </c>
      <c r="I1238" s="7">
        <f>Procurement_Raw!I1238</f>
        <v>163.55000000000001</v>
      </c>
      <c r="J1238" s="7">
        <f>Procurement_Raw!J1238</f>
        <v>12266.3</v>
      </c>
      <c r="K1238" s="6">
        <f>Procurement_Raw!K1238</f>
        <v>60</v>
      </c>
      <c r="L1238" t="str">
        <f>Procurement_Raw!L1238</f>
        <v>Procurement Portal</v>
      </c>
      <c r="M1238" s="8">
        <f>Procurement_Raw!M1238</f>
        <v>2453.2600000000002</v>
      </c>
      <c r="N1238" s="7">
        <f>Procurement_Raw!N1238</f>
        <v>12266.3</v>
      </c>
      <c r="O1238" s="7">
        <f t="shared" si="38"/>
        <v>12266.3</v>
      </c>
      <c r="P1238" t="str">
        <f>IFERROR(INDEX(Supplier_Lookup!$B$2:$B$200,MATCH(E1238,Supplier_Lookup!$A$2:$A$200,0)),"Unmapped")</f>
        <v>Food &amp; Catering</v>
      </c>
      <c r="Q1238" s="10">
        <f>IFERROR(INDEX(Category_Targets!$B$2:$B$9,MATCH(F1238,Category_Targets!$A$2:$A$9,0)),0)</f>
        <v>0.04</v>
      </c>
      <c r="R1238" s="7">
        <f t="shared" si="39"/>
        <v>490.65199999999999</v>
      </c>
    </row>
    <row r="1239" spans="1:18" x14ac:dyDescent="0.25">
      <c r="A1239" s="5">
        <f>Procurement_Raw!A1239</f>
        <v>45965</v>
      </c>
      <c r="B1239" t="str">
        <f>Procurement_Raw!B1239</f>
        <v>S015</v>
      </c>
      <c r="C1239" t="str">
        <f>Procurement_Raw!C1239</f>
        <v>Brighton Care &amp; Education Centre</v>
      </c>
      <c r="D1239" t="str">
        <f>Procurement_Raw!D1239</f>
        <v>South</v>
      </c>
      <c r="E1239" t="str">
        <f>Procurement_Raw!E1239</f>
        <v>FreshServe</v>
      </c>
      <c r="F1239" t="str">
        <f>Procurement_Raw!F1239</f>
        <v>Food &amp; Catering</v>
      </c>
      <c r="G1239" t="str">
        <f>Procurement_Raw!G1239</f>
        <v>INV-2025-01238</v>
      </c>
      <c r="H1239" s="6">
        <f>Procurement_Raw!H1239</f>
        <v>16</v>
      </c>
      <c r="I1239" s="7">
        <f>Procurement_Raw!I1239</f>
        <v>47.94</v>
      </c>
      <c r="J1239" s="7">
        <f>Procurement_Raw!J1239</f>
        <v>767.01</v>
      </c>
      <c r="K1239" s="6">
        <f>Procurement_Raw!K1239</f>
        <v>45</v>
      </c>
      <c r="L1239" t="str">
        <f>Procurement_Raw!L1239</f>
        <v>Procurement Portal</v>
      </c>
      <c r="M1239" s="8">
        <f>Procurement_Raw!M1239</f>
        <v>153.40199999999999</v>
      </c>
      <c r="N1239" s="7">
        <f>Procurement_Raw!N1239</f>
        <v>767.01</v>
      </c>
      <c r="O1239" s="7">
        <f t="shared" si="38"/>
        <v>767.01</v>
      </c>
      <c r="P1239" t="str">
        <f>IFERROR(INDEX(Supplier_Lookup!$B$2:$B$200,MATCH(E1239,Supplier_Lookup!$A$2:$A$200,0)),"Unmapped")</f>
        <v>Food &amp; Catering</v>
      </c>
      <c r="Q1239" s="10">
        <f>IFERROR(INDEX(Category_Targets!$B$2:$B$9,MATCH(F1239,Category_Targets!$A$2:$A$9,0)),0)</f>
        <v>0.04</v>
      </c>
      <c r="R1239" s="7">
        <f t="shared" si="39"/>
        <v>30.680399999999999</v>
      </c>
    </row>
    <row r="1240" spans="1:18" x14ac:dyDescent="0.25">
      <c r="A1240" s="5">
        <f>Procurement_Raw!A1240</f>
        <v>45778</v>
      </c>
      <c r="B1240" t="str">
        <f>Procurement_Raw!B1240</f>
        <v>S005</v>
      </c>
      <c r="C1240" t="str">
        <f>Procurement_Raw!C1240</f>
        <v>Sheffield Care &amp; Education Centre</v>
      </c>
      <c r="D1240" t="str">
        <f>Procurement_Raw!D1240</f>
        <v>North</v>
      </c>
      <c r="E1240" t="str">
        <f>Procurement_Raw!E1240</f>
        <v>NurseLink</v>
      </c>
      <c r="F1240" t="str">
        <f>Procurement_Raw!F1240</f>
        <v>Agency Labour</v>
      </c>
      <c r="G1240" t="str">
        <f>Procurement_Raw!G1240</f>
        <v>INV-2025-01239</v>
      </c>
      <c r="H1240" s="6">
        <f>Procurement_Raw!H1240</f>
        <v>55</v>
      </c>
      <c r="I1240" s="7">
        <f>Procurement_Raw!I1240</f>
        <v>410.23</v>
      </c>
      <c r="J1240" s="7">
        <f>Procurement_Raw!J1240</f>
        <v>22562.77</v>
      </c>
      <c r="K1240" s="6">
        <f>Procurement_Raw!K1240</f>
        <v>30</v>
      </c>
      <c r="L1240" t="str">
        <f>Procurement_Raw!L1240</f>
        <v>ERP</v>
      </c>
      <c r="M1240" s="8">
        <f>Procurement_Raw!M1240</f>
        <v>4512.5540000000001</v>
      </c>
      <c r="N1240" s="7">
        <f>Procurement_Raw!N1240</f>
        <v>22562.77</v>
      </c>
      <c r="O1240" s="7">
        <f t="shared" si="38"/>
        <v>22562.77</v>
      </c>
      <c r="P1240" t="str">
        <f>IFERROR(INDEX(Supplier_Lookup!$B$2:$B$200,MATCH(E1240,Supplier_Lookup!$A$2:$A$200,0)),"Unmapped")</f>
        <v>Agency Labour</v>
      </c>
      <c r="Q1240" s="10">
        <f>IFERROR(INDEX(Category_Targets!$B$2:$B$9,MATCH(F1240,Category_Targets!$A$2:$A$9,0)),0)</f>
        <v>7.0000000000000007E-2</v>
      </c>
      <c r="R1240" s="7">
        <f t="shared" si="39"/>
        <v>1579.3939000000003</v>
      </c>
    </row>
    <row r="1241" spans="1:18" x14ac:dyDescent="0.25">
      <c r="A1241" s="5">
        <f>Procurement_Raw!A1241</f>
        <v>45798</v>
      </c>
      <c r="B1241" t="str">
        <f>Procurement_Raw!B1241</f>
        <v>S004</v>
      </c>
      <c r="C1241" t="str">
        <f>Procurement_Raw!C1241</f>
        <v>Newcastle Care &amp; Education Centre</v>
      </c>
      <c r="D1241" t="str">
        <f>Procurement_Raw!D1241</f>
        <v>North</v>
      </c>
      <c r="E1241" t="str">
        <f>Procurement_Raw!E1241</f>
        <v>CleanWorks</v>
      </c>
      <c r="F1241" t="str">
        <f>Procurement_Raw!F1241</f>
        <v>Facilities</v>
      </c>
      <c r="G1241" t="str">
        <f>Procurement_Raw!G1241</f>
        <v>INV-2025-01240</v>
      </c>
      <c r="H1241" s="6">
        <f>Procurement_Raw!H1241</f>
        <v>57</v>
      </c>
      <c r="I1241" s="7">
        <f>Procurement_Raw!I1241</f>
        <v>440.79</v>
      </c>
      <c r="J1241" s="7">
        <f>Procurement_Raw!J1241</f>
        <v>25125.19</v>
      </c>
      <c r="K1241" s="6">
        <f>Procurement_Raw!K1241</f>
        <v>45</v>
      </c>
      <c r="L1241" t="str">
        <f>Procurement_Raw!L1241</f>
        <v>Procurement Portal</v>
      </c>
      <c r="M1241" s="8">
        <f>Procurement_Raw!M1241</f>
        <v>5025.0379999999996</v>
      </c>
      <c r="N1241" s="7">
        <f>Procurement_Raw!N1241</f>
        <v>25125.19</v>
      </c>
      <c r="O1241" s="7">
        <f t="shared" si="38"/>
        <v>25125.19</v>
      </c>
      <c r="P1241" t="str">
        <f>IFERROR(INDEX(Supplier_Lookup!$B$2:$B$200,MATCH(E1241,Supplier_Lookup!$A$2:$A$200,0)),"Unmapped")</f>
        <v>Facilities</v>
      </c>
      <c r="Q1241" s="10">
        <f>IFERROR(INDEX(Category_Targets!$B$2:$B$9,MATCH(F1241,Category_Targets!$A$2:$A$9,0)),0)</f>
        <v>0.05</v>
      </c>
      <c r="R1241" s="7">
        <f t="shared" si="39"/>
        <v>1256.2595000000001</v>
      </c>
    </row>
    <row r="1242" spans="1:18" x14ac:dyDescent="0.25">
      <c r="A1242" s="5">
        <f>Procurement_Raw!A1242</f>
        <v>45931</v>
      </c>
      <c r="B1242" t="str">
        <f>Procurement_Raw!B1242</f>
        <v>S002</v>
      </c>
      <c r="C1242" t="str">
        <f>Procurement_Raw!C1242</f>
        <v>Manchester Care &amp; Education Centre</v>
      </c>
      <c r="D1242" t="str">
        <f>Procurement_Raw!D1242</f>
        <v>North</v>
      </c>
      <c r="E1242" t="str">
        <f>Procurement_Raw!E1242</f>
        <v>CareMed</v>
      </c>
      <c r="F1242" t="str">
        <f>Procurement_Raw!F1242</f>
        <v>Medical Supplies</v>
      </c>
      <c r="G1242" t="str">
        <f>Procurement_Raw!G1242</f>
        <v>INV-2025-01241</v>
      </c>
      <c r="H1242" s="6">
        <f>Procurement_Raw!H1242</f>
        <v>48</v>
      </c>
      <c r="I1242" s="7">
        <f>Procurement_Raw!I1242</f>
        <v>97.41</v>
      </c>
      <c r="J1242" s="7">
        <f>Procurement_Raw!J1242</f>
        <v>4675.88</v>
      </c>
      <c r="K1242" s="6">
        <f>Procurement_Raw!K1242</f>
        <v>60</v>
      </c>
      <c r="L1242" t="str">
        <f>Procurement_Raw!L1242</f>
        <v>ERP</v>
      </c>
      <c r="M1242" s="8">
        <f>Procurement_Raw!M1242</f>
        <v>935.17600000000004</v>
      </c>
      <c r="N1242" s="7">
        <f>Procurement_Raw!N1242</f>
        <v>4675.88</v>
      </c>
      <c r="O1242" s="7">
        <f t="shared" si="38"/>
        <v>4675.88</v>
      </c>
      <c r="P1242" t="str">
        <f>IFERROR(INDEX(Supplier_Lookup!$B$2:$B$200,MATCH(E1242,Supplier_Lookup!$A$2:$A$200,0)),"Unmapped")</f>
        <v>Medical Supplies</v>
      </c>
      <c r="Q1242" s="10">
        <f>IFERROR(INDEX(Category_Targets!$B$2:$B$9,MATCH(F1242,Category_Targets!$A$2:$A$9,0)),0)</f>
        <v>0.06</v>
      </c>
      <c r="R1242" s="7">
        <f t="shared" si="39"/>
        <v>280.55279999999999</v>
      </c>
    </row>
    <row r="1243" spans="1:18" x14ac:dyDescent="0.25">
      <c r="A1243" s="5">
        <f>Procurement_Raw!A1243</f>
        <v>46007</v>
      </c>
      <c r="B1243" t="str">
        <f>Procurement_Raw!B1243</f>
        <v>S009</v>
      </c>
      <c r="C1243" t="str">
        <f>Procurement_Raw!C1243</f>
        <v>Derby Care &amp; Education Centre</v>
      </c>
      <c r="D1243" t="str">
        <f>Procurement_Raw!D1243</f>
        <v>Midlands</v>
      </c>
      <c r="E1243" t="str">
        <f>Procurement_Raw!E1243</f>
        <v>CareTemps</v>
      </c>
      <c r="F1243" t="str">
        <f>Procurement_Raw!F1243</f>
        <v>Agency Labour</v>
      </c>
      <c r="G1243" t="str">
        <f>Procurement_Raw!G1243</f>
        <v>INV-2025-01242</v>
      </c>
      <c r="H1243" s="6">
        <f>Procurement_Raw!H1243</f>
        <v>32</v>
      </c>
      <c r="I1243" s="7">
        <f>Procurement_Raw!I1243</f>
        <v>268.22000000000003</v>
      </c>
      <c r="J1243" s="7">
        <f>Procurement_Raw!J1243</f>
        <v>8583.09</v>
      </c>
      <c r="K1243" s="6">
        <f>Procurement_Raw!K1243</f>
        <v>45</v>
      </c>
      <c r="L1243" t="str">
        <f>Procurement_Raw!L1243</f>
        <v>ERP</v>
      </c>
      <c r="M1243" s="8">
        <f>Procurement_Raw!M1243</f>
        <v>1716.6179999999999</v>
      </c>
      <c r="N1243" s="7">
        <f>Procurement_Raw!N1243</f>
        <v>8583.09</v>
      </c>
      <c r="O1243" s="7">
        <f t="shared" si="38"/>
        <v>8583.09</v>
      </c>
      <c r="P1243" t="str">
        <f>IFERROR(INDEX(Supplier_Lookup!$B$2:$B$200,MATCH(E1243,Supplier_Lookup!$A$2:$A$200,0)),"Unmapped")</f>
        <v>Agency Labour</v>
      </c>
      <c r="Q1243" s="10">
        <f>IFERROR(INDEX(Category_Targets!$B$2:$B$9,MATCH(F1243,Category_Targets!$A$2:$A$9,0)),0)</f>
        <v>7.0000000000000007E-2</v>
      </c>
      <c r="R1243" s="7">
        <f t="shared" si="39"/>
        <v>600.81630000000007</v>
      </c>
    </row>
    <row r="1244" spans="1:18" x14ac:dyDescent="0.25">
      <c r="A1244" s="5">
        <f>Procurement_Raw!A1244</f>
        <v>45846</v>
      </c>
      <c r="B1244" t="str">
        <f>Procurement_Raw!B1244</f>
        <v>S003</v>
      </c>
      <c r="C1244" t="str">
        <f>Procurement_Raw!C1244</f>
        <v>Leeds Care &amp; Education Centre</v>
      </c>
      <c r="D1244" t="str">
        <f>Procurement_Raw!D1244</f>
        <v>North</v>
      </c>
      <c r="E1244" t="str">
        <f>Procurement_Raw!E1244</f>
        <v>PrintCo</v>
      </c>
      <c r="F1244" t="str">
        <f>Procurement_Raw!F1244</f>
        <v>Office &amp; Training</v>
      </c>
      <c r="G1244" t="str">
        <f>Procurement_Raw!G1244</f>
        <v>INV-2025-01243</v>
      </c>
      <c r="H1244" s="6">
        <f>Procurement_Raw!H1244</f>
        <v>40</v>
      </c>
      <c r="I1244" s="7">
        <f>Procurement_Raw!I1244</f>
        <v>54.47</v>
      </c>
      <c r="J1244" s="7">
        <f>Procurement_Raw!J1244</f>
        <v>2178.61</v>
      </c>
      <c r="K1244" s="6">
        <f>Procurement_Raw!K1244</f>
        <v>30</v>
      </c>
      <c r="L1244" t="str">
        <f>Procurement_Raw!L1244</f>
        <v>Legacy Spend File</v>
      </c>
      <c r="M1244" s="8">
        <f>Procurement_Raw!M1244</f>
        <v>435.72199999999998</v>
      </c>
      <c r="N1244" s="7">
        <f>Procurement_Raw!N1244</f>
        <v>2178.61</v>
      </c>
      <c r="O1244" s="7">
        <f t="shared" si="38"/>
        <v>2178.61</v>
      </c>
      <c r="P1244" t="str">
        <f>IFERROR(INDEX(Supplier_Lookup!$B$2:$B$200,MATCH(E1244,Supplier_Lookup!$A$2:$A$200,0)),"Unmapped")</f>
        <v>Office &amp; Training</v>
      </c>
      <c r="Q1244" s="10">
        <f>IFERROR(INDEX(Category_Targets!$B$2:$B$9,MATCH(F1244,Category_Targets!$A$2:$A$9,0)),0)</f>
        <v>0.04</v>
      </c>
      <c r="R1244" s="7">
        <f t="shared" si="39"/>
        <v>87.144400000000005</v>
      </c>
    </row>
    <row r="1245" spans="1:18" x14ac:dyDescent="0.25">
      <c r="A1245" s="5">
        <f>Procurement_Raw!A1245</f>
        <v>45997</v>
      </c>
      <c r="B1245" t="str">
        <f>Procurement_Raw!B1245</f>
        <v>S014</v>
      </c>
      <c r="C1245" t="str">
        <f>Procurement_Raw!C1245</f>
        <v>Southampton Care &amp; Education Centre</v>
      </c>
      <c r="D1245" t="str">
        <f>Procurement_Raw!D1245</f>
        <v>South</v>
      </c>
      <c r="E1245" t="str">
        <f>Procurement_Raw!E1245</f>
        <v>ClinEquip</v>
      </c>
      <c r="F1245" t="str">
        <f>Procurement_Raw!F1245</f>
        <v>Medical Supplies</v>
      </c>
      <c r="G1245" t="str">
        <f>Procurement_Raw!G1245</f>
        <v>INV-2025-01244</v>
      </c>
      <c r="H1245" s="6">
        <f>Procurement_Raw!H1245</f>
        <v>7</v>
      </c>
      <c r="I1245" s="7">
        <f>Procurement_Raw!I1245</f>
        <v>68.67</v>
      </c>
      <c r="J1245" s="7">
        <f>Procurement_Raw!J1245</f>
        <v>480.72</v>
      </c>
      <c r="K1245" s="6">
        <f>Procurement_Raw!K1245</f>
        <v>60</v>
      </c>
      <c r="L1245" t="str">
        <f>Procurement_Raw!L1245</f>
        <v>Legacy Spend File</v>
      </c>
      <c r="M1245" s="8">
        <f>Procurement_Raw!M1245</f>
        <v>96.144000000000005</v>
      </c>
      <c r="N1245" s="7">
        <f>Procurement_Raw!N1245</f>
        <v>480.72</v>
      </c>
      <c r="O1245" s="7">
        <f t="shared" si="38"/>
        <v>480.72</v>
      </c>
      <c r="P1245" t="str">
        <f>IFERROR(INDEX(Supplier_Lookup!$B$2:$B$200,MATCH(E1245,Supplier_Lookup!$A$2:$A$200,0)),"Unmapped")</f>
        <v>Medical Supplies</v>
      </c>
      <c r="Q1245" s="10">
        <f>IFERROR(INDEX(Category_Targets!$B$2:$B$9,MATCH(F1245,Category_Targets!$A$2:$A$9,0)),0)</f>
        <v>0.06</v>
      </c>
      <c r="R1245" s="7">
        <f t="shared" si="39"/>
        <v>28.8432</v>
      </c>
    </row>
    <row r="1246" spans="1:18" x14ac:dyDescent="0.25">
      <c r="A1246" s="5">
        <f>Procurement_Raw!A1246</f>
        <v>45854</v>
      </c>
      <c r="B1246" t="str">
        <f>Procurement_Raw!B1246</f>
        <v>S011</v>
      </c>
      <c r="C1246" t="str">
        <f>Procurement_Raw!C1246</f>
        <v>London Care &amp; Education Centre</v>
      </c>
      <c r="D1246" t="str">
        <f>Procurement_Raw!D1246</f>
        <v>South</v>
      </c>
      <c r="E1246" t="str">
        <f>Procurement_Raw!E1246</f>
        <v>NetServe</v>
      </c>
      <c r="F1246" t="str">
        <f>Procurement_Raw!F1246</f>
        <v>IT &amp; Telecoms</v>
      </c>
      <c r="G1246" t="str">
        <f>Procurement_Raw!G1246</f>
        <v>INV-2025-01245</v>
      </c>
      <c r="H1246" s="6">
        <f>Procurement_Raw!H1246</f>
        <v>40</v>
      </c>
      <c r="I1246" s="7">
        <f>Procurement_Raw!I1246</f>
        <v>153.93</v>
      </c>
      <c r="J1246" s="7">
        <f>Procurement_Raw!J1246</f>
        <v>6157.37</v>
      </c>
      <c r="K1246" s="6">
        <f>Procurement_Raw!K1246</f>
        <v>60</v>
      </c>
      <c r="L1246" t="str">
        <f>Procurement_Raw!L1246</f>
        <v>Legacy Spend File</v>
      </c>
      <c r="M1246" s="8">
        <f>Procurement_Raw!M1246</f>
        <v>1231.4739999999999</v>
      </c>
      <c r="N1246" s="7">
        <f>Procurement_Raw!N1246</f>
        <v>6157.37</v>
      </c>
      <c r="O1246" s="7">
        <f t="shared" si="38"/>
        <v>6157.37</v>
      </c>
      <c r="P1246" t="str">
        <f>IFERROR(INDEX(Supplier_Lookup!$B$2:$B$200,MATCH(E1246,Supplier_Lookup!$A$2:$A$200,0)),"Unmapped")</f>
        <v>IT &amp; Telecoms</v>
      </c>
      <c r="Q1246" s="10">
        <f>IFERROR(INDEX(Category_Targets!$B$2:$B$9,MATCH(F1246,Category_Targets!$A$2:$A$9,0)),0)</f>
        <v>0.08</v>
      </c>
      <c r="R1246" s="7">
        <f t="shared" si="39"/>
        <v>492.58960000000002</v>
      </c>
    </row>
    <row r="1247" spans="1:18" x14ac:dyDescent="0.25">
      <c r="A1247" s="5">
        <f>Procurement_Raw!A1247</f>
        <v>45779</v>
      </c>
      <c r="B1247" t="str">
        <f>Procurement_Raw!B1247</f>
        <v>S017</v>
      </c>
      <c r="C1247" t="str">
        <f>Procurement_Raw!C1247</f>
        <v>Swansea Care &amp; Education Centre</v>
      </c>
      <c r="D1247" t="str">
        <f>Procurement_Raw!D1247</f>
        <v>Wales</v>
      </c>
      <c r="E1247" t="str">
        <f>Procurement_Raw!E1247</f>
        <v>KitchenPro</v>
      </c>
      <c r="F1247" t="str">
        <f>Procurement_Raw!F1247</f>
        <v>Food &amp; Catering</v>
      </c>
      <c r="G1247" t="str">
        <f>Procurement_Raw!G1247</f>
        <v>INV-2025-01246</v>
      </c>
      <c r="H1247" s="6">
        <f>Procurement_Raw!H1247</f>
        <v>57</v>
      </c>
      <c r="I1247" s="7">
        <f>Procurement_Raw!I1247</f>
        <v>33.159999999999997</v>
      </c>
      <c r="J1247" s="7">
        <f>Procurement_Raw!J1247</f>
        <v>1889.89</v>
      </c>
      <c r="K1247" s="6">
        <f>Procurement_Raw!K1247</f>
        <v>45</v>
      </c>
      <c r="L1247" t="str">
        <f>Procurement_Raw!L1247</f>
        <v>ERP</v>
      </c>
      <c r="M1247" s="8">
        <f>Procurement_Raw!M1247</f>
        <v>377.97800000000001</v>
      </c>
      <c r="N1247" s="7">
        <f>Procurement_Raw!N1247</f>
        <v>1889.89</v>
      </c>
      <c r="O1247" s="7">
        <f t="shared" si="38"/>
        <v>1889.89</v>
      </c>
      <c r="P1247" t="str">
        <f>IFERROR(INDEX(Supplier_Lookup!$B$2:$B$200,MATCH(E1247,Supplier_Lookup!$A$2:$A$200,0)),"Unmapped")</f>
        <v>Food &amp; Catering</v>
      </c>
      <c r="Q1247" s="10">
        <f>IFERROR(INDEX(Category_Targets!$B$2:$B$9,MATCH(F1247,Category_Targets!$A$2:$A$9,0)),0)</f>
        <v>0.04</v>
      </c>
      <c r="R1247" s="7">
        <f t="shared" si="39"/>
        <v>75.595600000000005</v>
      </c>
    </row>
    <row r="1248" spans="1:18" x14ac:dyDescent="0.25">
      <c r="A1248" s="5">
        <f>Procurement_Raw!A1248</f>
        <v>45704</v>
      </c>
      <c r="B1248" t="str">
        <f>Procurement_Raw!B1248</f>
        <v>S002</v>
      </c>
      <c r="C1248" t="str">
        <f>Procurement_Raw!C1248</f>
        <v>Manchester Care &amp; Education Centre</v>
      </c>
      <c r="D1248" t="str">
        <f>Procurement_Raw!D1248</f>
        <v>North</v>
      </c>
      <c r="E1248" t="str">
        <f>Procurement_Raw!E1248</f>
        <v>TeleCare IT</v>
      </c>
      <c r="F1248" t="str">
        <f>Procurement_Raw!F1248</f>
        <v>IT &amp; Telecoms</v>
      </c>
      <c r="G1248" t="str">
        <f>Procurement_Raw!G1248</f>
        <v>INV-2025-01247</v>
      </c>
      <c r="H1248" s="6">
        <f>Procurement_Raw!H1248</f>
        <v>31</v>
      </c>
      <c r="I1248" s="7">
        <f>Procurement_Raw!I1248</f>
        <v>224.16</v>
      </c>
      <c r="J1248" s="7">
        <f>Procurement_Raw!J1248</f>
        <v>6949.05</v>
      </c>
      <c r="K1248" s="6">
        <f>Procurement_Raw!K1248</f>
        <v>45</v>
      </c>
      <c r="L1248" t="str">
        <f>Procurement_Raw!L1248</f>
        <v>ERP</v>
      </c>
      <c r="M1248" s="8">
        <f>Procurement_Raw!M1248</f>
        <v>1389.81</v>
      </c>
      <c r="N1248" s="7">
        <f>Procurement_Raw!N1248</f>
        <v>6949.05</v>
      </c>
      <c r="O1248" s="7">
        <f t="shared" si="38"/>
        <v>6949.05</v>
      </c>
      <c r="P1248" t="str">
        <f>IFERROR(INDEX(Supplier_Lookup!$B$2:$B$200,MATCH(E1248,Supplier_Lookup!$A$2:$A$200,0)),"Unmapped")</f>
        <v>IT &amp; Telecoms</v>
      </c>
      <c r="Q1248" s="10">
        <f>IFERROR(INDEX(Category_Targets!$B$2:$B$9,MATCH(F1248,Category_Targets!$A$2:$A$9,0)),0)</f>
        <v>0.08</v>
      </c>
      <c r="R1248" s="7">
        <f t="shared" si="39"/>
        <v>555.92399999999998</v>
      </c>
    </row>
    <row r="1249" spans="1:18" x14ac:dyDescent="0.25">
      <c r="A1249" s="5">
        <f>Procurement_Raw!A1249</f>
        <v>45820</v>
      </c>
      <c r="B1249" t="str">
        <f>Procurement_Raw!B1249</f>
        <v>S015</v>
      </c>
      <c r="C1249" t="str">
        <f>Procurement_Raw!C1249</f>
        <v>Brighton Care &amp; Education Centre</v>
      </c>
      <c r="D1249" t="str">
        <f>Procurement_Raw!D1249</f>
        <v>South</v>
      </c>
      <c r="E1249" t="str">
        <f>Procurement_Raw!E1249</f>
        <v>PrintCo</v>
      </c>
      <c r="F1249" t="str">
        <f>Procurement_Raw!F1249</f>
        <v>Office &amp; Training</v>
      </c>
      <c r="G1249" t="str">
        <f>Procurement_Raw!G1249</f>
        <v>INV-2025-01248</v>
      </c>
      <c r="H1249" s="6">
        <f>Procurement_Raw!H1249</f>
        <v>53</v>
      </c>
      <c r="I1249" s="7">
        <f>Procurement_Raw!I1249</f>
        <v>49.11</v>
      </c>
      <c r="J1249" s="7">
        <f>Procurement_Raw!J1249</f>
        <v>2602.67</v>
      </c>
      <c r="K1249" s="6">
        <f>Procurement_Raw!K1249</f>
        <v>30</v>
      </c>
      <c r="L1249" t="str">
        <f>Procurement_Raw!L1249</f>
        <v>Procurement Portal</v>
      </c>
      <c r="M1249" s="8">
        <f>Procurement_Raw!M1249</f>
        <v>520.53399999999999</v>
      </c>
      <c r="N1249" s="7">
        <f>Procurement_Raw!N1249</f>
        <v>2602.67</v>
      </c>
      <c r="O1249" s="7">
        <f t="shared" si="38"/>
        <v>2602.67</v>
      </c>
      <c r="P1249" t="str">
        <f>IFERROR(INDEX(Supplier_Lookup!$B$2:$B$200,MATCH(E1249,Supplier_Lookup!$A$2:$A$200,0)),"Unmapped")</f>
        <v>Office &amp; Training</v>
      </c>
      <c r="Q1249" s="10">
        <f>IFERROR(INDEX(Category_Targets!$B$2:$B$9,MATCH(F1249,Category_Targets!$A$2:$A$9,0)),0)</f>
        <v>0.04</v>
      </c>
      <c r="R1249" s="7">
        <f t="shared" si="39"/>
        <v>104.10680000000001</v>
      </c>
    </row>
    <row r="1250" spans="1:18" x14ac:dyDescent="0.25">
      <c r="A1250" s="5">
        <f>Procurement_Raw!A1250</f>
        <v>45869</v>
      </c>
      <c r="B1250" t="str">
        <f>Procurement_Raw!B1250</f>
        <v>S018</v>
      </c>
      <c r="C1250" t="str">
        <f>Procurement_Raw!C1250</f>
        <v>Newport Care &amp; Education Centre</v>
      </c>
      <c r="D1250" t="str">
        <f>Procurement_Raw!D1250</f>
        <v>Wales</v>
      </c>
      <c r="E1250" t="str">
        <f>Procurement_Raw!E1250</f>
        <v>LearnWell</v>
      </c>
      <c r="F1250" t="str">
        <f>Procurement_Raw!F1250</f>
        <v>Office &amp; Training</v>
      </c>
      <c r="G1250" t="str">
        <f>Procurement_Raw!G1250</f>
        <v>INV-2025-01249</v>
      </c>
      <c r="H1250" s="6">
        <f>Procurement_Raw!H1250</f>
        <v>43</v>
      </c>
      <c r="I1250" s="7">
        <f>Procurement_Raw!I1250</f>
        <v>85.29</v>
      </c>
      <c r="J1250" s="7">
        <f>Procurement_Raw!J1250</f>
        <v>3667.52</v>
      </c>
      <c r="K1250" s="6">
        <f>Procurement_Raw!K1250</f>
        <v>60</v>
      </c>
      <c r="L1250" t="str">
        <f>Procurement_Raw!L1250</f>
        <v>Procurement Portal</v>
      </c>
      <c r="M1250" s="8">
        <f>Procurement_Raw!M1250</f>
        <v>733.50400000000002</v>
      </c>
      <c r="N1250" s="7">
        <f>Procurement_Raw!N1250</f>
        <v>3667.52</v>
      </c>
      <c r="O1250" s="7">
        <f t="shared" si="38"/>
        <v>3667.52</v>
      </c>
      <c r="P1250" t="str">
        <f>IFERROR(INDEX(Supplier_Lookup!$B$2:$B$200,MATCH(E1250,Supplier_Lookup!$A$2:$A$200,0)),"Unmapped")</f>
        <v>Office &amp; Training</v>
      </c>
      <c r="Q1250" s="10">
        <f>IFERROR(INDEX(Category_Targets!$B$2:$B$9,MATCH(F1250,Category_Targets!$A$2:$A$9,0)),0)</f>
        <v>0.04</v>
      </c>
      <c r="R1250" s="7">
        <f t="shared" si="39"/>
        <v>146.70080000000002</v>
      </c>
    </row>
    <row r="1251" spans="1:18" x14ac:dyDescent="0.25">
      <c r="A1251" s="5">
        <f>Procurement_Raw!A1251</f>
        <v>45791</v>
      </c>
      <c r="B1251" t="str">
        <f>Procurement_Raw!B1251</f>
        <v>S020</v>
      </c>
      <c r="C1251" t="str">
        <f>Procurement_Raw!C1251</f>
        <v>Bangor Care &amp; Education Centre</v>
      </c>
      <c r="D1251" t="str">
        <f>Procurement_Raw!D1251</f>
        <v>Wales</v>
      </c>
      <c r="E1251" t="str">
        <f>Procurement_Raw!E1251</f>
        <v>BuildCare</v>
      </c>
      <c r="F1251" t="str">
        <f>Procurement_Raw!F1251</f>
        <v>Facilities</v>
      </c>
      <c r="G1251" t="str">
        <f>Procurement_Raw!G1251</f>
        <v>INV-2025-01250</v>
      </c>
      <c r="H1251" s="6">
        <f>Procurement_Raw!H1251</f>
        <v>65</v>
      </c>
      <c r="I1251" s="7">
        <f>Procurement_Raw!I1251</f>
        <v>76.489999999999995</v>
      </c>
      <c r="J1251" s="7">
        <f>Procurement_Raw!J1251</f>
        <v>4972.12</v>
      </c>
      <c r="K1251" s="6">
        <f>Procurement_Raw!K1251</f>
        <v>30</v>
      </c>
      <c r="L1251" t="str">
        <f>Procurement_Raw!L1251</f>
        <v>Procurement Portal</v>
      </c>
      <c r="M1251" s="8">
        <f>Procurement_Raw!M1251</f>
        <v>994.42399999999998</v>
      </c>
      <c r="N1251" s="7">
        <f>Procurement_Raw!N1251</f>
        <v>4972.12</v>
      </c>
      <c r="O1251" s="7">
        <f t="shared" si="38"/>
        <v>4972.12</v>
      </c>
      <c r="P1251" t="str">
        <f>IFERROR(INDEX(Supplier_Lookup!$B$2:$B$200,MATCH(E1251,Supplier_Lookup!$A$2:$A$200,0)),"Unmapped")</f>
        <v>Facilities</v>
      </c>
      <c r="Q1251" s="10">
        <f>IFERROR(INDEX(Category_Targets!$B$2:$B$9,MATCH(F1251,Category_Targets!$A$2:$A$9,0)),0)</f>
        <v>0.05</v>
      </c>
      <c r="R1251" s="7">
        <f t="shared" si="39"/>
        <v>248.60599999999999</v>
      </c>
    </row>
    <row r="1252" spans="1:18" x14ac:dyDescent="0.25">
      <c r="A1252" s="5">
        <f>Procurement_Raw!A1252</f>
        <v>46013</v>
      </c>
      <c r="B1252" t="str">
        <f>Procurement_Raw!B1252</f>
        <v>S010</v>
      </c>
      <c r="C1252" t="str">
        <f>Procurement_Raw!C1252</f>
        <v>Coventry Care &amp; Education Centre</v>
      </c>
      <c r="D1252" t="str">
        <f>Procurement_Raw!D1252</f>
        <v>Midlands</v>
      </c>
      <c r="E1252" t="str">
        <f>Procurement_Raw!E1252</f>
        <v>RoadReady</v>
      </c>
      <c r="F1252" t="str">
        <f>Procurement_Raw!F1252</f>
        <v>Vehicle &amp; Fuel</v>
      </c>
      <c r="G1252" t="str">
        <f>Procurement_Raw!G1252</f>
        <v>INV-2025-01251</v>
      </c>
      <c r="H1252" s="6">
        <f>Procurement_Raw!H1252</f>
        <v>4</v>
      </c>
      <c r="I1252" s="7">
        <f>Procurement_Raw!I1252</f>
        <v>113.96</v>
      </c>
      <c r="J1252" s="7">
        <f>Procurement_Raw!J1252</f>
        <v>455.85</v>
      </c>
      <c r="K1252" s="6">
        <f>Procurement_Raw!K1252</f>
        <v>30</v>
      </c>
      <c r="L1252" t="str">
        <f>Procurement_Raw!L1252</f>
        <v>Legacy Spend File</v>
      </c>
      <c r="M1252" s="8">
        <f>Procurement_Raw!M1252</f>
        <v>91.17</v>
      </c>
      <c r="N1252" s="7">
        <f>Procurement_Raw!N1252</f>
        <v>455.85</v>
      </c>
      <c r="O1252" s="7">
        <f t="shared" si="38"/>
        <v>455.85</v>
      </c>
      <c r="P1252" t="str">
        <f>IFERROR(INDEX(Supplier_Lookup!$B$2:$B$200,MATCH(E1252,Supplier_Lookup!$A$2:$A$200,0)),"Unmapped")</f>
        <v>Vehicle &amp; Fuel</v>
      </c>
      <c r="Q1252" s="10">
        <f>IFERROR(INDEX(Category_Targets!$B$2:$B$9,MATCH(F1252,Category_Targets!$A$2:$A$9,0)),0)</f>
        <v>0.05</v>
      </c>
      <c r="R1252" s="7">
        <f t="shared" si="39"/>
        <v>22.792500000000004</v>
      </c>
    </row>
    <row r="1253" spans="1:18" x14ac:dyDescent="0.25">
      <c r="A1253" s="5">
        <f>Procurement_Raw!A1253</f>
        <v>45885</v>
      </c>
      <c r="B1253" t="str">
        <f>Procurement_Raw!B1253</f>
        <v>S005</v>
      </c>
      <c r="C1253" t="str">
        <f>Procurement_Raw!C1253</f>
        <v>Sheffield Care &amp; Education Centre</v>
      </c>
      <c r="D1253" t="str">
        <f>Procurement_Raw!D1253</f>
        <v>North</v>
      </c>
      <c r="E1253" t="str">
        <f>Procurement_Raw!E1253</f>
        <v>BuildCare</v>
      </c>
      <c r="F1253" t="str">
        <f>Procurement_Raw!F1253</f>
        <v>Facilities</v>
      </c>
      <c r="G1253" t="str">
        <f>Procurement_Raw!G1253</f>
        <v>INV-2025-01252</v>
      </c>
      <c r="H1253" s="6">
        <f>Procurement_Raw!H1253</f>
        <v>18</v>
      </c>
      <c r="I1253" s="7">
        <f>Procurement_Raw!I1253</f>
        <v>284.69</v>
      </c>
      <c r="J1253" s="7">
        <f>Procurement_Raw!J1253</f>
        <v>5124.3999999999996</v>
      </c>
      <c r="K1253" s="6">
        <f>Procurement_Raw!K1253</f>
        <v>30</v>
      </c>
      <c r="L1253" t="str">
        <f>Procurement_Raw!L1253</f>
        <v>Procurement Portal</v>
      </c>
      <c r="M1253" s="8">
        <f>Procurement_Raw!M1253</f>
        <v>1024.8800000000001</v>
      </c>
      <c r="N1253" s="7">
        <f>Procurement_Raw!N1253</f>
        <v>5124.3999999999996</v>
      </c>
      <c r="O1253" s="7">
        <f t="shared" si="38"/>
        <v>5124.3999999999996</v>
      </c>
      <c r="P1253" t="str">
        <f>IFERROR(INDEX(Supplier_Lookup!$B$2:$B$200,MATCH(E1253,Supplier_Lookup!$A$2:$A$200,0)),"Unmapped")</f>
        <v>Facilities</v>
      </c>
      <c r="Q1253" s="10">
        <f>IFERROR(INDEX(Category_Targets!$B$2:$B$9,MATCH(F1253,Category_Targets!$A$2:$A$9,0)),0)</f>
        <v>0.05</v>
      </c>
      <c r="R1253" s="7">
        <f t="shared" si="39"/>
        <v>256.21999999999997</v>
      </c>
    </row>
    <row r="1254" spans="1:18" x14ac:dyDescent="0.25">
      <c r="A1254" s="5">
        <f>Procurement_Raw!A1254</f>
        <v>45952</v>
      </c>
      <c r="B1254" t="str">
        <f>Procurement_Raw!B1254</f>
        <v>S017</v>
      </c>
      <c r="C1254" t="str">
        <f>Procurement_Raw!C1254</f>
        <v>Swansea Care &amp; Education Centre</v>
      </c>
      <c r="D1254" t="str">
        <f>Procurement_Raw!D1254</f>
        <v>Wales</v>
      </c>
      <c r="E1254" t="str">
        <f>Procurement_Raw!E1254</f>
        <v>TeleCare IT</v>
      </c>
      <c r="F1254" t="str">
        <f>Procurement_Raw!F1254</f>
        <v>IT &amp; Telecoms</v>
      </c>
      <c r="G1254" t="str">
        <f>Procurement_Raw!G1254</f>
        <v>INV-2025-01253</v>
      </c>
      <c r="H1254" s="6">
        <f>Procurement_Raw!H1254</f>
        <v>11</v>
      </c>
      <c r="I1254" s="7">
        <f>Procurement_Raw!I1254</f>
        <v>73.48</v>
      </c>
      <c r="J1254" s="7">
        <f>Procurement_Raw!J1254</f>
        <v>808.33</v>
      </c>
      <c r="K1254" s="6">
        <f>Procurement_Raw!K1254</f>
        <v>30</v>
      </c>
      <c r="L1254" t="str">
        <f>Procurement_Raw!L1254</f>
        <v>ERP</v>
      </c>
      <c r="M1254" s="8">
        <f>Procurement_Raw!M1254</f>
        <v>161.666</v>
      </c>
      <c r="N1254" s="7">
        <f>Procurement_Raw!N1254</f>
        <v>808.33</v>
      </c>
      <c r="O1254" s="7">
        <f t="shared" si="38"/>
        <v>808.33</v>
      </c>
      <c r="P1254" t="str">
        <f>IFERROR(INDEX(Supplier_Lookup!$B$2:$B$200,MATCH(E1254,Supplier_Lookup!$A$2:$A$200,0)),"Unmapped")</f>
        <v>IT &amp; Telecoms</v>
      </c>
      <c r="Q1254" s="10">
        <f>IFERROR(INDEX(Category_Targets!$B$2:$B$9,MATCH(F1254,Category_Targets!$A$2:$A$9,0)),0)</f>
        <v>0.08</v>
      </c>
      <c r="R1254" s="7">
        <f t="shared" si="39"/>
        <v>64.66640000000001</v>
      </c>
    </row>
    <row r="1255" spans="1:18" x14ac:dyDescent="0.25">
      <c r="A1255" s="5">
        <f>Procurement_Raw!A1255</f>
        <v>46009</v>
      </c>
      <c r="B1255" t="str">
        <f>Procurement_Raw!B1255</f>
        <v>S014</v>
      </c>
      <c r="C1255" t="str">
        <f>Procurement_Raw!C1255</f>
        <v>Southampton Care &amp; Education Centre</v>
      </c>
      <c r="D1255" t="str">
        <f>Procurement_Raw!D1255</f>
        <v>South</v>
      </c>
      <c r="E1255" t="str">
        <f>Procurement_Raw!E1255</f>
        <v>BuildCare</v>
      </c>
      <c r="F1255" t="str">
        <f>Procurement_Raw!F1255</f>
        <v>Facilities</v>
      </c>
      <c r="G1255" t="str">
        <f>Procurement_Raw!G1255</f>
        <v>INV-2025-01254</v>
      </c>
      <c r="H1255" s="6">
        <f>Procurement_Raw!H1255</f>
        <v>53</v>
      </c>
      <c r="I1255" s="7">
        <f>Procurement_Raw!I1255</f>
        <v>221.12</v>
      </c>
      <c r="J1255" s="7">
        <f>Procurement_Raw!J1255</f>
        <v>11719.15</v>
      </c>
      <c r="K1255" s="6">
        <f>Procurement_Raw!K1255</f>
        <v>45</v>
      </c>
      <c r="L1255" t="str">
        <f>Procurement_Raw!L1255</f>
        <v>Procurement Portal</v>
      </c>
      <c r="M1255" s="8">
        <f>Procurement_Raw!M1255</f>
        <v>2343.83</v>
      </c>
      <c r="N1255" s="7">
        <f>Procurement_Raw!N1255</f>
        <v>11719.15</v>
      </c>
      <c r="O1255" s="7">
        <f t="shared" si="38"/>
        <v>11719.15</v>
      </c>
      <c r="P1255" t="str">
        <f>IFERROR(INDEX(Supplier_Lookup!$B$2:$B$200,MATCH(E1255,Supplier_Lookup!$A$2:$A$200,0)),"Unmapped")</f>
        <v>Facilities</v>
      </c>
      <c r="Q1255" s="10">
        <f>IFERROR(INDEX(Category_Targets!$B$2:$B$9,MATCH(F1255,Category_Targets!$A$2:$A$9,0)),0)</f>
        <v>0.05</v>
      </c>
      <c r="R1255" s="7">
        <f t="shared" si="39"/>
        <v>585.95749999999998</v>
      </c>
    </row>
    <row r="1256" spans="1:18" x14ac:dyDescent="0.25">
      <c r="A1256" s="5">
        <f>Procurement_Raw!A1256</f>
        <v>45746</v>
      </c>
      <c r="B1256" t="str">
        <f>Procurement_Raw!B1256</f>
        <v>S019</v>
      </c>
      <c r="C1256" t="str">
        <f>Procurement_Raw!C1256</f>
        <v>Wrexham Care &amp; Education Centre</v>
      </c>
      <c r="D1256" t="str">
        <f>Procurement_Raw!D1256</f>
        <v>Wales</v>
      </c>
      <c r="E1256" t="str">
        <f>Procurement_Raw!E1256</f>
        <v>SafeGuard FM</v>
      </c>
      <c r="F1256" t="str">
        <f>Procurement_Raw!F1256</f>
        <v>Facilities</v>
      </c>
      <c r="G1256" t="str">
        <f>Procurement_Raw!G1256</f>
        <v>INV-2025-01255</v>
      </c>
      <c r="H1256" s="6">
        <f>Procurement_Raw!H1256</f>
        <v>76</v>
      </c>
      <c r="I1256" s="7">
        <f>Procurement_Raw!I1256</f>
        <v>353.6</v>
      </c>
      <c r="J1256" s="7">
        <f>Procurement_Raw!J1256</f>
        <v>26873.83</v>
      </c>
      <c r="K1256" s="6">
        <f>Procurement_Raw!K1256</f>
        <v>45</v>
      </c>
      <c r="L1256" t="str">
        <f>Procurement_Raw!L1256</f>
        <v>Procurement Portal</v>
      </c>
      <c r="M1256" s="8">
        <f>Procurement_Raw!M1256</f>
        <v>5374.7659999999996</v>
      </c>
      <c r="N1256" s="7">
        <f>Procurement_Raw!N1256</f>
        <v>26873.83</v>
      </c>
      <c r="O1256" s="7">
        <f t="shared" si="38"/>
        <v>26873.83</v>
      </c>
      <c r="P1256" t="str">
        <f>IFERROR(INDEX(Supplier_Lookup!$B$2:$B$200,MATCH(E1256,Supplier_Lookup!$A$2:$A$200,0)),"Unmapped")</f>
        <v>Facilities</v>
      </c>
      <c r="Q1256" s="10">
        <f>IFERROR(INDEX(Category_Targets!$B$2:$B$9,MATCH(F1256,Category_Targets!$A$2:$A$9,0)),0)</f>
        <v>0.05</v>
      </c>
      <c r="R1256" s="7">
        <f t="shared" si="39"/>
        <v>1343.6915000000001</v>
      </c>
    </row>
    <row r="1257" spans="1:18" x14ac:dyDescent="0.25">
      <c r="A1257" s="5">
        <f>Procurement_Raw!A1257</f>
        <v>45846</v>
      </c>
      <c r="B1257" t="str">
        <f>Procurement_Raw!B1257</f>
        <v>S019</v>
      </c>
      <c r="C1257" t="str">
        <f>Procurement_Raw!C1257</f>
        <v>Wrexham Care &amp; Education Centre</v>
      </c>
      <c r="D1257" t="str">
        <f>Procurement_Raw!D1257</f>
        <v>Wales</v>
      </c>
      <c r="E1257" t="str">
        <f>Procurement_Raw!E1257</f>
        <v>NourishCo</v>
      </c>
      <c r="F1257" t="str">
        <f>Procurement_Raw!F1257</f>
        <v>Food &amp; Catering</v>
      </c>
      <c r="G1257" t="str">
        <f>Procurement_Raw!G1257</f>
        <v>INV-2025-01256</v>
      </c>
      <c r="H1257" s="6">
        <f>Procurement_Raw!H1257</f>
        <v>24</v>
      </c>
      <c r="I1257" s="7">
        <f>Procurement_Raw!I1257</f>
        <v>33.42</v>
      </c>
      <c r="J1257" s="7">
        <f>Procurement_Raw!J1257</f>
        <v>802.02</v>
      </c>
      <c r="K1257" s="6">
        <f>Procurement_Raw!K1257</f>
        <v>45</v>
      </c>
      <c r="L1257" t="str">
        <f>Procurement_Raw!L1257</f>
        <v>Procurement Portal</v>
      </c>
      <c r="M1257" s="8">
        <f>Procurement_Raw!M1257</f>
        <v>160.404</v>
      </c>
      <c r="N1257" s="7">
        <f>Procurement_Raw!N1257</f>
        <v>802.02</v>
      </c>
      <c r="O1257" s="7">
        <f t="shared" si="38"/>
        <v>802.02</v>
      </c>
      <c r="P1257" t="str">
        <f>IFERROR(INDEX(Supplier_Lookup!$B$2:$B$200,MATCH(E1257,Supplier_Lookup!$A$2:$A$200,0)),"Unmapped")</f>
        <v>Food &amp; Catering</v>
      </c>
      <c r="Q1257" s="10">
        <f>IFERROR(INDEX(Category_Targets!$B$2:$B$9,MATCH(F1257,Category_Targets!$A$2:$A$9,0)),0)</f>
        <v>0.04</v>
      </c>
      <c r="R1257" s="7">
        <f t="shared" si="39"/>
        <v>32.080799999999996</v>
      </c>
    </row>
    <row r="1258" spans="1:18" x14ac:dyDescent="0.25">
      <c r="A1258" s="5">
        <f>Procurement_Raw!A1258</f>
        <v>45669</v>
      </c>
      <c r="B1258" t="str">
        <f>Procurement_Raw!B1258</f>
        <v>S016</v>
      </c>
      <c r="C1258" t="str">
        <f>Procurement_Raw!C1258</f>
        <v>Cardiff Care &amp; Education Centre</v>
      </c>
      <c r="D1258" t="str">
        <f>Procurement_Raw!D1258</f>
        <v>Wales</v>
      </c>
      <c r="E1258" t="str">
        <f>Procurement_Raw!E1258</f>
        <v>UK Energy Partners</v>
      </c>
      <c r="F1258" t="str">
        <f>Procurement_Raw!F1258</f>
        <v>Utilities</v>
      </c>
      <c r="G1258" t="str">
        <f>Procurement_Raw!G1258</f>
        <v>INV-2025-01257</v>
      </c>
      <c r="H1258" s="6">
        <f>Procurement_Raw!H1258</f>
        <v>72</v>
      </c>
      <c r="I1258" s="7">
        <f>Procurement_Raw!I1258</f>
        <v>627.27</v>
      </c>
      <c r="J1258" s="7">
        <f>Procurement_Raw!J1258</f>
        <v>45163.38</v>
      </c>
      <c r="K1258" s="6">
        <f>Procurement_Raw!K1258</f>
        <v>60</v>
      </c>
      <c r="L1258" t="str">
        <f>Procurement_Raw!L1258</f>
        <v>Legacy Spend File</v>
      </c>
      <c r="M1258" s="8">
        <f>Procurement_Raw!M1258</f>
        <v>9032.6759999999995</v>
      </c>
      <c r="N1258" s="7">
        <f>Procurement_Raw!N1258</f>
        <v>45163.38</v>
      </c>
      <c r="O1258" s="7">
        <f t="shared" si="38"/>
        <v>45163.38</v>
      </c>
      <c r="P1258" t="str">
        <f>IFERROR(INDEX(Supplier_Lookup!$B$2:$B$200,MATCH(E1258,Supplier_Lookup!$A$2:$A$200,0)),"Unmapped")</f>
        <v>Utilities</v>
      </c>
      <c r="Q1258" s="10">
        <f>IFERROR(INDEX(Category_Targets!$B$2:$B$9,MATCH(F1258,Category_Targets!$A$2:$A$9,0)),0)</f>
        <v>0.03</v>
      </c>
      <c r="R1258" s="7">
        <f t="shared" si="39"/>
        <v>1354.9014</v>
      </c>
    </row>
    <row r="1259" spans="1:18" x14ac:dyDescent="0.25">
      <c r="A1259" s="5">
        <f>Procurement_Raw!A1259</f>
        <v>45894</v>
      </c>
      <c r="B1259" t="str">
        <f>Procurement_Raw!B1259</f>
        <v>S011</v>
      </c>
      <c r="C1259" t="str">
        <f>Procurement_Raw!C1259</f>
        <v>London Care &amp; Education Centre</v>
      </c>
      <c r="D1259" t="str">
        <f>Procurement_Raw!D1259</f>
        <v>South</v>
      </c>
      <c r="E1259" t="str">
        <f>Procurement_Raw!E1259</f>
        <v>UK Energy Partners</v>
      </c>
      <c r="F1259" t="str">
        <f>Procurement_Raw!F1259</f>
        <v>Utilities</v>
      </c>
      <c r="G1259" t="str">
        <f>Procurement_Raw!G1259</f>
        <v>INV-2025-01258</v>
      </c>
      <c r="H1259" s="6">
        <f>Procurement_Raw!H1259</f>
        <v>26</v>
      </c>
      <c r="I1259" s="7">
        <f>Procurement_Raw!I1259</f>
        <v>314.79000000000002</v>
      </c>
      <c r="J1259" s="7">
        <f>Procurement_Raw!J1259</f>
        <v>8184.67</v>
      </c>
      <c r="K1259" s="6">
        <f>Procurement_Raw!K1259</f>
        <v>45</v>
      </c>
      <c r="L1259" t="str">
        <f>Procurement_Raw!L1259</f>
        <v>Legacy Spend File</v>
      </c>
      <c r="M1259" s="8">
        <f>Procurement_Raw!M1259</f>
        <v>1636.934</v>
      </c>
      <c r="N1259" s="7">
        <f>Procurement_Raw!N1259</f>
        <v>8184.67</v>
      </c>
      <c r="O1259" s="7">
        <f t="shared" si="38"/>
        <v>8184.67</v>
      </c>
      <c r="P1259" t="str">
        <f>IFERROR(INDEX(Supplier_Lookup!$B$2:$B$200,MATCH(E1259,Supplier_Lookup!$A$2:$A$200,0)),"Unmapped")</f>
        <v>Utilities</v>
      </c>
      <c r="Q1259" s="10">
        <f>IFERROR(INDEX(Category_Targets!$B$2:$B$9,MATCH(F1259,Category_Targets!$A$2:$A$9,0)),0)</f>
        <v>0.03</v>
      </c>
      <c r="R1259" s="7">
        <f t="shared" si="39"/>
        <v>245.5401</v>
      </c>
    </row>
    <row r="1260" spans="1:18" x14ac:dyDescent="0.25">
      <c r="A1260" s="5">
        <f>Procurement_Raw!A1260</f>
        <v>45974</v>
      </c>
      <c r="B1260" t="str">
        <f>Procurement_Raw!B1260</f>
        <v>S010</v>
      </c>
      <c r="C1260" t="str">
        <f>Procurement_Raw!C1260</f>
        <v>Coventry Care &amp; Education Centre</v>
      </c>
      <c r="D1260" t="str">
        <f>Procurement_Raw!D1260</f>
        <v>Midlands</v>
      </c>
      <c r="E1260" t="str">
        <f>Procurement_Raw!E1260</f>
        <v>CareMed</v>
      </c>
      <c r="F1260" t="str">
        <f>Procurement_Raw!F1260</f>
        <v>Medical Supplies</v>
      </c>
      <c r="G1260" t="str">
        <f>Procurement_Raw!G1260</f>
        <v>INV-2025-01259</v>
      </c>
      <c r="H1260" s="6">
        <f>Procurement_Raw!H1260</f>
        <v>55</v>
      </c>
      <c r="I1260" s="7">
        <f>Procurement_Raw!I1260</f>
        <v>81.430000000000007</v>
      </c>
      <c r="J1260" s="7">
        <f>Procurement_Raw!J1260</f>
        <v>4478.6099999999997</v>
      </c>
      <c r="K1260" s="6">
        <f>Procurement_Raw!K1260</f>
        <v>60</v>
      </c>
      <c r="L1260" t="str">
        <f>Procurement_Raw!L1260</f>
        <v>Procurement Portal</v>
      </c>
      <c r="M1260" s="8">
        <f>Procurement_Raw!M1260</f>
        <v>895.72199999999998</v>
      </c>
      <c r="N1260" s="7">
        <f>Procurement_Raw!N1260</f>
        <v>4478.6099999999997</v>
      </c>
      <c r="O1260" s="7">
        <f t="shared" si="38"/>
        <v>4478.6099999999997</v>
      </c>
      <c r="P1260" t="str">
        <f>IFERROR(INDEX(Supplier_Lookup!$B$2:$B$200,MATCH(E1260,Supplier_Lookup!$A$2:$A$200,0)),"Unmapped")</f>
        <v>Medical Supplies</v>
      </c>
      <c r="Q1260" s="10">
        <f>IFERROR(INDEX(Category_Targets!$B$2:$B$9,MATCH(F1260,Category_Targets!$A$2:$A$9,0)),0)</f>
        <v>0.06</v>
      </c>
      <c r="R1260" s="7">
        <f t="shared" si="39"/>
        <v>268.71659999999997</v>
      </c>
    </row>
    <row r="1261" spans="1:18" x14ac:dyDescent="0.25">
      <c r="A1261" s="5">
        <f>Procurement_Raw!A1261</f>
        <v>45745</v>
      </c>
      <c r="B1261" t="str">
        <f>Procurement_Raw!B1261</f>
        <v>S008</v>
      </c>
      <c r="C1261" t="str">
        <f>Procurement_Raw!C1261</f>
        <v>Leicester Care &amp; Education Centre</v>
      </c>
      <c r="D1261" t="str">
        <f>Procurement_Raw!D1261</f>
        <v>Midlands</v>
      </c>
      <c r="E1261" t="str">
        <f>Procurement_Raw!E1261</f>
        <v>NourishCo</v>
      </c>
      <c r="F1261" t="str">
        <f>Procurement_Raw!F1261</f>
        <v>Food &amp; Catering</v>
      </c>
      <c r="G1261" t="str">
        <f>Procurement_Raw!G1261</f>
        <v>INV-2025-01260</v>
      </c>
      <c r="H1261" s="6">
        <f>Procurement_Raw!H1261</f>
        <v>73</v>
      </c>
      <c r="I1261" s="7">
        <f>Procurement_Raw!I1261</f>
        <v>63.04</v>
      </c>
      <c r="J1261" s="7">
        <f>Procurement_Raw!J1261</f>
        <v>4601.67</v>
      </c>
      <c r="K1261" s="6">
        <f>Procurement_Raw!K1261</f>
        <v>30</v>
      </c>
      <c r="L1261" t="str">
        <f>Procurement_Raw!L1261</f>
        <v>ERP</v>
      </c>
      <c r="M1261" s="8">
        <f>Procurement_Raw!M1261</f>
        <v>920.33399999999995</v>
      </c>
      <c r="N1261" s="7">
        <f>Procurement_Raw!N1261</f>
        <v>4601.67</v>
      </c>
      <c r="O1261" s="7">
        <f t="shared" si="38"/>
        <v>4601.67</v>
      </c>
      <c r="P1261" t="str">
        <f>IFERROR(INDEX(Supplier_Lookup!$B$2:$B$200,MATCH(E1261,Supplier_Lookup!$A$2:$A$200,0)),"Unmapped")</f>
        <v>Food &amp; Catering</v>
      </c>
      <c r="Q1261" s="10">
        <f>IFERROR(INDEX(Category_Targets!$B$2:$B$9,MATCH(F1261,Category_Targets!$A$2:$A$9,0)),0)</f>
        <v>0.04</v>
      </c>
      <c r="R1261" s="7">
        <f t="shared" si="39"/>
        <v>184.0668</v>
      </c>
    </row>
    <row r="1262" spans="1:18" x14ac:dyDescent="0.25">
      <c r="A1262" s="5">
        <f>Procurement_Raw!A1262</f>
        <v>46002</v>
      </c>
      <c r="B1262" t="str">
        <f>Procurement_Raw!B1262</f>
        <v>S013</v>
      </c>
      <c r="C1262" t="str">
        <f>Procurement_Raw!C1262</f>
        <v>Reading Care &amp; Education Centre</v>
      </c>
      <c r="D1262" t="str">
        <f>Procurement_Raw!D1262</f>
        <v>South</v>
      </c>
      <c r="E1262" t="str">
        <f>Procurement_Raw!E1262</f>
        <v>CareTemps</v>
      </c>
      <c r="F1262" t="str">
        <f>Procurement_Raw!F1262</f>
        <v>Agency Labour</v>
      </c>
      <c r="G1262" t="str">
        <f>Procurement_Raw!G1262</f>
        <v>INV-2025-01261</v>
      </c>
      <c r="H1262" s="6">
        <f>Procurement_Raw!H1262</f>
        <v>64</v>
      </c>
      <c r="I1262" s="7">
        <f>Procurement_Raw!I1262</f>
        <v>407.83</v>
      </c>
      <c r="J1262" s="7">
        <f>Procurement_Raw!J1262</f>
        <v>26101.43</v>
      </c>
      <c r="K1262" s="6">
        <f>Procurement_Raw!K1262</f>
        <v>30</v>
      </c>
      <c r="L1262" t="str">
        <f>Procurement_Raw!L1262</f>
        <v>ERP</v>
      </c>
      <c r="M1262" s="8">
        <f>Procurement_Raw!M1262</f>
        <v>5220.2860000000001</v>
      </c>
      <c r="N1262" s="7">
        <f>Procurement_Raw!N1262</f>
        <v>26101.43</v>
      </c>
      <c r="O1262" s="7">
        <f t="shared" si="38"/>
        <v>26101.43</v>
      </c>
      <c r="P1262" t="str">
        <f>IFERROR(INDEX(Supplier_Lookup!$B$2:$B$200,MATCH(E1262,Supplier_Lookup!$A$2:$A$200,0)),"Unmapped")</f>
        <v>Agency Labour</v>
      </c>
      <c r="Q1262" s="10">
        <f>IFERROR(INDEX(Category_Targets!$B$2:$B$9,MATCH(F1262,Category_Targets!$A$2:$A$9,0)),0)</f>
        <v>7.0000000000000007E-2</v>
      </c>
      <c r="R1262" s="7">
        <f t="shared" si="39"/>
        <v>1827.1001000000001</v>
      </c>
    </row>
    <row r="1263" spans="1:18" x14ac:dyDescent="0.25">
      <c r="A1263" s="5">
        <f>Procurement_Raw!A1263</f>
        <v>45794</v>
      </c>
      <c r="B1263" t="str">
        <f>Procurement_Raw!B1263</f>
        <v>S004</v>
      </c>
      <c r="C1263" t="str">
        <f>Procurement_Raw!C1263</f>
        <v>Newcastle Care &amp; Education Centre</v>
      </c>
      <c r="D1263" t="str">
        <f>Procurement_Raw!D1263</f>
        <v>North</v>
      </c>
      <c r="E1263" t="str">
        <f>Procurement_Raw!E1263</f>
        <v>UK Energy Partners</v>
      </c>
      <c r="F1263" t="str">
        <f>Procurement_Raw!F1263</f>
        <v>Utilities</v>
      </c>
      <c r="G1263" t="str">
        <f>Procurement_Raw!G1263</f>
        <v>INV-2025-01262</v>
      </c>
      <c r="H1263" s="6">
        <f>Procurement_Raw!H1263</f>
        <v>37</v>
      </c>
      <c r="I1263" s="7">
        <f>Procurement_Raw!I1263</f>
        <v>260.67</v>
      </c>
      <c r="J1263" s="7">
        <f>Procurement_Raw!J1263</f>
        <v>9644.8700000000008</v>
      </c>
      <c r="K1263" s="6">
        <f>Procurement_Raw!K1263</f>
        <v>60</v>
      </c>
      <c r="L1263" t="str">
        <f>Procurement_Raw!L1263</f>
        <v>Procurement Portal</v>
      </c>
      <c r="M1263" s="8">
        <f>Procurement_Raw!M1263</f>
        <v>1928.9739999999999</v>
      </c>
      <c r="N1263" s="7">
        <f>Procurement_Raw!N1263</f>
        <v>9644.8700000000008</v>
      </c>
      <c r="O1263" s="7">
        <f t="shared" si="38"/>
        <v>9644.8700000000008</v>
      </c>
      <c r="P1263" t="str">
        <f>IFERROR(INDEX(Supplier_Lookup!$B$2:$B$200,MATCH(E1263,Supplier_Lookup!$A$2:$A$200,0)),"Unmapped")</f>
        <v>Utilities</v>
      </c>
      <c r="Q1263" s="10">
        <f>IFERROR(INDEX(Category_Targets!$B$2:$B$9,MATCH(F1263,Category_Targets!$A$2:$A$9,0)),0)</f>
        <v>0.03</v>
      </c>
      <c r="R1263" s="7">
        <f t="shared" si="39"/>
        <v>289.34610000000004</v>
      </c>
    </row>
    <row r="1264" spans="1:18" x14ac:dyDescent="0.25">
      <c r="A1264" s="5">
        <f>Procurement_Raw!A1264</f>
        <v>45763</v>
      </c>
      <c r="B1264" t="str">
        <f>Procurement_Raw!B1264</f>
        <v>S012</v>
      </c>
      <c r="C1264" t="str">
        <f>Procurement_Raw!C1264</f>
        <v>Bristol Care &amp; Education Centre</v>
      </c>
      <c r="D1264" t="str">
        <f>Procurement_Raw!D1264</f>
        <v>South</v>
      </c>
      <c r="E1264" t="str">
        <f>Procurement_Raw!E1264</f>
        <v>SafeGuard FM</v>
      </c>
      <c r="F1264" t="str">
        <f>Procurement_Raw!F1264</f>
        <v>Facilities</v>
      </c>
      <c r="G1264" t="str">
        <f>Procurement_Raw!G1264</f>
        <v>INV-2025-01263</v>
      </c>
      <c r="H1264" s="6">
        <f>Procurement_Raw!H1264</f>
        <v>77</v>
      </c>
      <c r="I1264" s="7">
        <f>Procurement_Raw!I1264</f>
        <v>242.08</v>
      </c>
      <c r="J1264" s="7">
        <f>Procurement_Raw!J1264</f>
        <v>18640.240000000002</v>
      </c>
      <c r="K1264" s="6">
        <f>Procurement_Raw!K1264</f>
        <v>30</v>
      </c>
      <c r="L1264" t="str">
        <f>Procurement_Raw!L1264</f>
        <v>Procurement Portal</v>
      </c>
      <c r="M1264" s="8">
        <f>Procurement_Raw!M1264</f>
        <v>3728.0479999999998</v>
      </c>
      <c r="N1264" s="7">
        <f>Procurement_Raw!N1264</f>
        <v>18640.240000000002</v>
      </c>
      <c r="O1264" s="7">
        <f t="shared" si="38"/>
        <v>18640.240000000002</v>
      </c>
      <c r="P1264" t="str">
        <f>IFERROR(INDEX(Supplier_Lookup!$B$2:$B$200,MATCH(E1264,Supplier_Lookup!$A$2:$A$200,0)),"Unmapped")</f>
        <v>Facilities</v>
      </c>
      <c r="Q1264" s="10">
        <f>IFERROR(INDEX(Category_Targets!$B$2:$B$9,MATCH(F1264,Category_Targets!$A$2:$A$9,0)),0)</f>
        <v>0.05</v>
      </c>
      <c r="R1264" s="7">
        <f t="shared" si="39"/>
        <v>932.01200000000017</v>
      </c>
    </row>
    <row r="1265" spans="1:18" x14ac:dyDescent="0.25">
      <c r="A1265" s="5">
        <f>Procurement_Raw!A1265</f>
        <v>45750</v>
      </c>
      <c r="B1265" t="str">
        <f>Procurement_Raw!B1265</f>
        <v>S017</v>
      </c>
      <c r="C1265" t="str">
        <f>Procurement_Raw!C1265</f>
        <v>Swansea Care &amp; Education Centre</v>
      </c>
      <c r="D1265" t="str">
        <f>Procurement_Raw!D1265</f>
        <v>Wales</v>
      </c>
      <c r="E1265" t="str">
        <f>Procurement_Raw!E1265</f>
        <v>WaterGrid</v>
      </c>
      <c r="F1265" t="str">
        <f>Procurement_Raw!F1265</f>
        <v>Utilities</v>
      </c>
      <c r="G1265" t="str">
        <f>Procurement_Raw!G1265</f>
        <v>INV-2025-01264</v>
      </c>
      <c r="H1265" s="6">
        <f>Procurement_Raw!H1265</f>
        <v>53</v>
      </c>
      <c r="I1265" s="7">
        <f>Procurement_Raw!I1265</f>
        <v>150.66999999999999</v>
      </c>
      <c r="J1265" s="7">
        <f>Procurement_Raw!J1265</f>
        <v>7985.5</v>
      </c>
      <c r="K1265" s="6">
        <f>Procurement_Raw!K1265</f>
        <v>30</v>
      </c>
      <c r="L1265" t="str">
        <f>Procurement_Raw!L1265</f>
        <v>ERP</v>
      </c>
      <c r="M1265" s="8">
        <f>Procurement_Raw!M1265</f>
        <v>1597.1</v>
      </c>
      <c r="N1265" s="7">
        <f>Procurement_Raw!N1265</f>
        <v>7985.5</v>
      </c>
      <c r="O1265" s="7">
        <f t="shared" si="38"/>
        <v>7985.5</v>
      </c>
      <c r="P1265" t="str">
        <f>IFERROR(INDEX(Supplier_Lookup!$B$2:$B$200,MATCH(E1265,Supplier_Lookup!$A$2:$A$200,0)),"Unmapped")</f>
        <v>Utilities</v>
      </c>
      <c r="Q1265" s="10">
        <f>IFERROR(INDEX(Category_Targets!$B$2:$B$9,MATCH(F1265,Category_Targets!$A$2:$A$9,0)),0)</f>
        <v>0.03</v>
      </c>
      <c r="R1265" s="7">
        <f t="shared" si="39"/>
        <v>239.565</v>
      </c>
    </row>
    <row r="1266" spans="1:18" x14ac:dyDescent="0.25">
      <c r="A1266" s="5">
        <f>Procurement_Raw!A1266</f>
        <v>45974</v>
      </c>
      <c r="B1266" t="str">
        <f>Procurement_Raw!B1266</f>
        <v>S003</v>
      </c>
      <c r="C1266" t="str">
        <f>Procurement_Raw!C1266</f>
        <v>Leeds Care &amp; Education Centre</v>
      </c>
      <c r="D1266" t="str">
        <f>Procurement_Raw!D1266</f>
        <v>North</v>
      </c>
      <c r="E1266" t="str">
        <f>Procurement_Raw!E1266</f>
        <v>CloudLink</v>
      </c>
      <c r="F1266" t="str">
        <f>Procurement_Raw!F1266</f>
        <v>IT &amp; Telecoms</v>
      </c>
      <c r="G1266" t="str">
        <f>Procurement_Raw!G1266</f>
        <v>INV-2025-01265</v>
      </c>
      <c r="H1266" s="6">
        <f>Procurement_Raw!H1266</f>
        <v>58</v>
      </c>
      <c r="I1266" s="7">
        <f>Procurement_Raw!I1266</f>
        <v>241.48</v>
      </c>
      <c r="J1266" s="7">
        <f>Procurement_Raw!J1266</f>
        <v>14005.69</v>
      </c>
      <c r="K1266" s="6">
        <f>Procurement_Raw!K1266</f>
        <v>30</v>
      </c>
      <c r="L1266" t="str">
        <f>Procurement_Raw!L1266</f>
        <v>Procurement Portal</v>
      </c>
      <c r="M1266" s="8">
        <f>Procurement_Raw!M1266</f>
        <v>2801.1379999999999</v>
      </c>
      <c r="N1266" s="7">
        <f>Procurement_Raw!N1266</f>
        <v>14005.69</v>
      </c>
      <c r="O1266" s="7">
        <f t="shared" si="38"/>
        <v>14005.69</v>
      </c>
      <c r="P1266" t="str">
        <f>IFERROR(INDEX(Supplier_Lookup!$B$2:$B$200,MATCH(E1266,Supplier_Lookup!$A$2:$A$200,0)),"Unmapped")</f>
        <v>medical supplies</v>
      </c>
      <c r="Q1266" s="10">
        <f>IFERROR(INDEX(Category_Targets!$B$2:$B$9,MATCH(F1266,Category_Targets!$A$2:$A$9,0)),0)</f>
        <v>0.08</v>
      </c>
      <c r="R1266" s="7">
        <f t="shared" si="39"/>
        <v>1120.4552000000001</v>
      </c>
    </row>
    <row r="1267" spans="1:18" x14ac:dyDescent="0.25">
      <c r="A1267" s="5">
        <f>Procurement_Raw!A1267</f>
        <v>45663</v>
      </c>
      <c r="B1267" t="str">
        <f>Procurement_Raw!B1267</f>
        <v>S009</v>
      </c>
      <c r="C1267" t="str">
        <f>Procurement_Raw!C1267</f>
        <v>Derby Care &amp; Education Centre</v>
      </c>
      <c r="D1267" t="str">
        <f>Procurement_Raw!D1267</f>
        <v>Midlands</v>
      </c>
      <c r="E1267" t="str">
        <f>Procurement_Raw!E1267</f>
        <v>OfficePlus</v>
      </c>
      <c r="F1267" t="str">
        <f>Procurement_Raw!F1267</f>
        <v>Office &amp; Training</v>
      </c>
      <c r="G1267" t="str">
        <f>Procurement_Raw!G1267</f>
        <v>INV-2025-01266</v>
      </c>
      <c r="H1267" s="6">
        <f>Procurement_Raw!H1267</f>
        <v>61</v>
      </c>
      <c r="I1267" s="7">
        <f>Procurement_Raw!I1267</f>
        <v>34.47</v>
      </c>
      <c r="J1267" s="7">
        <f>Procurement_Raw!J1267</f>
        <v>2102.37</v>
      </c>
      <c r="K1267" s="6">
        <f>Procurement_Raw!K1267</f>
        <v>30</v>
      </c>
      <c r="L1267" t="str">
        <f>Procurement_Raw!L1267</f>
        <v>Procurement Portal</v>
      </c>
      <c r="M1267" s="8">
        <f>Procurement_Raw!M1267</f>
        <v>420.47399999999999</v>
      </c>
      <c r="N1267" s="7">
        <f>Procurement_Raw!N1267</f>
        <v>2102.37</v>
      </c>
      <c r="O1267" s="7">
        <f t="shared" si="38"/>
        <v>2102.37</v>
      </c>
      <c r="P1267" t="str">
        <f>IFERROR(INDEX(Supplier_Lookup!$B$2:$B$200,MATCH(E1267,Supplier_Lookup!$A$2:$A$200,0)),"Unmapped")</f>
        <v>Office &amp; Training</v>
      </c>
      <c r="Q1267" s="10">
        <f>IFERROR(INDEX(Category_Targets!$B$2:$B$9,MATCH(F1267,Category_Targets!$A$2:$A$9,0)),0)</f>
        <v>0.04</v>
      </c>
      <c r="R1267" s="7">
        <f t="shared" si="39"/>
        <v>84.094799999999992</v>
      </c>
    </row>
    <row r="1268" spans="1:18" x14ac:dyDescent="0.25">
      <c r="A1268" s="5">
        <f>Procurement_Raw!A1268</f>
        <v>45766</v>
      </c>
      <c r="B1268" t="str">
        <f>Procurement_Raw!B1268</f>
        <v>S001</v>
      </c>
      <c r="C1268" t="str">
        <f>Procurement_Raw!C1268</f>
        <v>Preston Care &amp; Education Centre</v>
      </c>
      <c r="D1268" t="str">
        <f>Procurement_Raw!D1268</f>
        <v>North</v>
      </c>
      <c r="E1268" t="str">
        <f>Procurement_Raw!E1268</f>
        <v>NurseLink</v>
      </c>
      <c r="F1268" t="str">
        <f>Procurement_Raw!F1268</f>
        <v>Agency Labour</v>
      </c>
      <c r="G1268" t="str">
        <f>Procurement_Raw!G1268</f>
        <v>INV-2025-01267</v>
      </c>
      <c r="H1268" s="6">
        <f>Procurement_Raw!H1268</f>
        <v>50</v>
      </c>
      <c r="I1268" s="7">
        <f>Procurement_Raw!I1268</f>
        <v>282.2</v>
      </c>
      <c r="J1268" s="7">
        <f>Procurement_Raw!J1268</f>
        <v>14109.89</v>
      </c>
      <c r="K1268" s="6">
        <f>Procurement_Raw!K1268</f>
        <v>60</v>
      </c>
      <c r="L1268" t="str">
        <f>Procurement_Raw!L1268</f>
        <v>Procurement Portal</v>
      </c>
      <c r="M1268" s="8">
        <f>Procurement_Raw!M1268</f>
        <v>2821.9780000000001</v>
      </c>
      <c r="N1268" s="7">
        <f>Procurement_Raw!N1268</f>
        <v>14109.89</v>
      </c>
      <c r="O1268" s="7">
        <f t="shared" si="38"/>
        <v>14109.89</v>
      </c>
      <c r="P1268" t="str">
        <f>IFERROR(INDEX(Supplier_Lookup!$B$2:$B$200,MATCH(E1268,Supplier_Lookup!$A$2:$A$200,0)),"Unmapped")</f>
        <v>Agency Labour</v>
      </c>
      <c r="Q1268" s="10">
        <f>IFERROR(INDEX(Category_Targets!$B$2:$B$9,MATCH(F1268,Category_Targets!$A$2:$A$9,0)),0)</f>
        <v>7.0000000000000007E-2</v>
      </c>
      <c r="R1268" s="7">
        <f t="shared" si="39"/>
        <v>987.69230000000005</v>
      </c>
    </row>
    <row r="1269" spans="1:18" x14ac:dyDescent="0.25">
      <c r="A1269" s="5">
        <f>Procurement_Raw!A1269</f>
        <v>45706</v>
      </c>
      <c r="B1269" t="str">
        <f>Procurement_Raw!B1269</f>
        <v>S015</v>
      </c>
      <c r="C1269" t="str">
        <f>Procurement_Raw!C1269</f>
        <v>Brighton Care &amp; Education Centre</v>
      </c>
      <c r="D1269" t="str">
        <f>Procurement_Raw!D1269</f>
        <v>South</v>
      </c>
      <c r="E1269" t="str">
        <f>Procurement_Raw!E1269</f>
        <v>CloudLink</v>
      </c>
      <c r="F1269" t="str">
        <f>Procurement_Raw!F1269</f>
        <v>IT &amp; Telecoms</v>
      </c>
      <c r="G1269" t="str">
        <f>Procurement_Raw!G1269</f>
        <v>INV-2025-01268</v>
      </c>
      <c r="H1269" s="6">
        <f>Procurement_Raw!H1269</f>
        <v>72</v>
      </c>
      <c r="I1269" s="7">
        <f>Procurement_Raw!I1269</f>
        <v>133.82</v>
      </c>
      <c r="J1269" s="7">
        <f>Procurement_Raw!J1269</f>
        <v>9634.8700000000008</v>
      </c>
      <c r="K1269" s="6">
        <f>Procurement_Raw!K1269</f>
        <v>30</v>
      </c>
      <c r="L1269" t="str">
        <f>Procurement_Raw!L1269</f>
        <v>ERP</v>
      </c>
      <c r="M1269" s="8">
        <f>Procurement_Raw!M1269</f>
        <v>1926.9739999999999</v>
      </c>
      <c r="N1269" s="7">
        <f>Procurement_Raw!N1269</f>
        <v>9634.8700000000008</v>
      </c>
      <c r="O1269" s="7">
        <f t="shared" si="38"/>
        <v>9634.8700000000008</v>
      </c>
      <c r="P1269" t="str">
        <f>IFERROR(INDEX(Supplier_Lookup!$B$2:$B$200,MATCH(E1269,Supplier_Lookup!$A$2:$A$200,0)),"Unmapped")</f>
        <v>medical supplies</v>
      </c>
      <c r="Q1269" s="10">
        <f>IFERROR(INDEX(Category_Targets!$B$2:$B$9,MATCH(F1269,Category_Targets!$A$2:$A$9,0)),0)</f>
        <v>0.08</v>
      </c>
      <c r="R1269" s="7">
        <f t="shared" si="39"/>
        <v>770.78960000000006</v>
      </c>
    </row>
    <row r="1270" spans="1:18" x14ac:dyDescent="0.25">
      <c r="A1270" s="5">
        <f>Procurement_Raw!A1270</f>
        <v>45839</v>
      </c>
      <c r="B1270" t="str">
        <f>Procurement_Raw!B1270</f>
        <v>S014</v>
      </c>
      <c r="C1270" t="str">
        <f>Procurement_Raw!C1270</f>
        <v>Southampton Care &amp; Education Centre</v>
      </c>
      <c r="D1270" t="str">
        <f>Procurement_Raw!D1270</f>
        <v>South</v>
      </c>
      <c r="E1270" t="str">
        <f>Procurement_Raw!E1270</f>
        <v>WaterGrid</v>
      </c>
      <c r="F1270" t="str">
        <f>Procurement_Raw!F1270</f>
        <v>Utilities</v>
      </c>
      <c r="G1270" t="str">
        <f>Procurement_Raw!G1270</f>
        <v>INV-2025-01269</v>
      </c>
      <c r="H1270" s="6">
        <f>Procurement_Raw!H1270</f>
        <v>78</v>
      </c>
      <c r="I1270" s="7">
        <f>Procurement_Raw!I1270</f>
        <v>166.82</v>
      </c>
      <c r="J1270" s="7">
        <f>Procurement_Raw!J1270</f>
        <v>13012.01</v>
      </c>
      <c r="K1270" s="6">
        <f>Procurement_Raw!K1270</f>
        <v>60</v>
      </c>
      <c r="L1270" t="str">
        <f>Procurement_Raw!L1270</f>
        <v>Legacy Spend File</v>
      </c>
      <c r="M1270" s="8">
        <f>Procurement_Raw!M1270</f>
        <v>2602.402</v>
      </c>
      <c r="N1270" s="7">
        <f>Procurement_Raw!N1270</f>
        <v>13012.01</v>
      </c>
      <c r="O1270" s="7">
        <f t="shared" si="38"/>
        <v>13012.01</v>
      </c>
      <c r="P1270" t="str">
        <f>IFERROR(INDEX(Supplier_Lookup!$B$2:$B$200,MATCH(E1270,Supplier_Lookup!$A$2:$A$200,0)),"Unmapped")</f>
        <v>Utilities</v>
      </c>
      <c r="Q1270" s="10">
        <f>IFERROR(INDEX(Category_Targets!$B$2:$B$9,MATCH(F1270,Category_Targets!$A$2:$A$9,0)),0)</f>
        <v>0.03</v>
      </c>
      <c r="R1270" s="7">
        <f t="shared" si="39"/>
        <v>390.3603</v>
      </c>
    </row>
    <row r="1271" spans="1:18" x14ac:dyDescent="0.25">
      <c r="A1271" s="5">
        <f>Procurement_Raw!A1271</f>
        <v>45787</v>
      </c>
      <c r="B1271" t="str">
        <f>Procurement_Raw!B1271</f>
        <v>S020</v>
      </c>
      <c r="C1271" t="str">
        <f>Procurement_Raw!C1271</f>
        <v>Bangor Care &amp; Education Centre</v>
      </c>
      <c r="D1271" t="str">
        <f>Procurement_Raw!D1271</f>
        <v>Wales</v>
      </c>
      <c r="E1271" t="str">
        <f>Procurement_Raw!E1271</f>
        <v>MediSure</v>
      </c>
      <c r="F1271" t="str">
        <f>Procurement_Raw!F1271</f>
        <v>Medical Supplies</v>
      </c>
      <c r="G1271" t="str">
        <f>Procurement_Raw!G1271</f>
        <v>INV-2025-01270</v>
      </c>
      <c r="H1271" s="6">
        <f>Procurement_Raw!H1271</f>
        <v>65</v>
      </c>
      <c r="I1271" s="7">
        <f>Procurement_Raw!I1271</f>
        <v>236.83</v>
      </c>
      <c r="J1271" s="7">
        <f>Procurement_Raw!J1271</f>
        <v>15393.96</v>
      </c>
      <c r="K1271" s="6">
        <f>Procurement_Raw!K1271</f>
        <v>60</v>
      </c>
      <c r="L1271" t="str">
        <f>Procurement_Raw!L1271</f>
        <v>Procurement Portal</v>
      </c>
      <c r="M1271" s="8">
        <f>Procurement_Raw!M1271</f>
        <v>3078.7919999999999</v>
      </c>
      <c r="N1271" s="7">
        <f>Procurement_Raw!N1271</f>
        <v>15393.96</v>
      </c>
      <c r="O1271" s="7">
        <f t="shared" si="38"/>
        <v>15393.96</v>
      </c>
      <c r="P1271" t="str">
        <f>IFERROR(INDEX(Supplier_Lookup!$B$2:$B$200,MATCH(E1271,Supplier_Lookup!$A$2:$A$200,0)),"Unmapped")</f>
        <v>Medical Supplies</v>
      </c>
      <c r="Q1271" s="10">
        <f>IFERROR(INDEX(Category_Targets!$B$2:$B$9,MATCH(F1271,Category_Targets!$A$2:$A$9,0)),0)</f>
        <v>0.06</v>
      </c>
      <c r="R1271" s="7">
        <f t="shared" si="39"/>
        <v>923.63759999999991</v>
      </c>
    </row>
    <row r="1272" spans="1:18" x14ac:dyDescent="0.25">
      <c r="A1272" s="5">
        <f>Procurement_Raw!A1272</f>
        <v>45847</v>
      </c>
      <c r="B1272" t="str">
        <f>Procurement_Raw!B1272</f>
        <v>S018</v>
      </c>
      <c r="C1272" t="str">
        <f>Procurement_Raw!C1272</f>
        <v>Newport Care &amp; Education Centre</v>
      </c>
      <c r="D1272" t="str">
        <f>Procurement_Raw!D1272</f>
        <v>Wales</v>
      </c>
      <c r="E1272" t="str">
        <f>Procurement_Raw!E1272</f>
        <v>NurseLink</v>
      </c>
      <c r="F1272" t="str">
        <f>Procurement_Raw!F1272</f>
        <v>Agency Labour</v>
      </c>
      <c r="G1272" t="str">
        <f>Procurement_Raw!G1272</f>
        <v>INV-2025-01271</v>
      </c>
      <c r="H1272" s="6">
        <f>Procurement_Raw!H1272</f>
        <v>17</v>
      </c>
      <c r="I1272" s="7">
        <f>Procurement_Raw!I1272</f>
        <v>546.76</v>
      </c>
      <c r="J1272" s="7">
        <f>Procurement_Raw!J1272</f>
        <v>9294.86</v>
      </c>
      <c r="K1272" s="6">
        <f>Procurement_Raw!K1272</f>
        <v>60</v>
      </c>
      <c r="L1272" t="str">
        <f>Procurement_Raw!L1272</f>
        <v>ERP</v>
      </c>
      <c r="M1272" s="8">
        <f>Procurement_Raw!M1272</f>
        <v>1858.972</v>
      </c>
      <c r="N1272" s="7">
        <f>Procurement_Raw!N1272</f>
        <v>9294.86</v>
      </c>
      <c r="O1272" s="7">
        <f t="shared" si="38"/>
        <v>9294.86</v>
      </c>
      <c r="P1272" t="str">
        <f>IFERROR(INDEX(Supplier_Lookup!$B$2:$B$200,MATCH(E1272,Supplier_Lookup!$A$2:$A$200,0)),"Unmapped")</f>
        <v>Agency Labour</v>
      </c>
      <c r="Q1272" s="10">
        <f>IFERROR(INDEX(Category_Targets!$B$2:$B$9,MATCH(F1272,Category_Targets!$A$2:$A$9,0)),0)</f>
        <v>7.0000000000000007E-2</v>
      </c>
      <c r="R1272" s="7">
        <f t="shared" si="39"/>
        <v>650.64020000000005</v>
      </c>
    </row>
    <row r="1273" spans="1:18" x14ac:dyDescent="0.25">
      <c r="A1273" s="5">
        <f>Procurement_Raw!A1273</f>
        <v>45744</v>
      </c>
      <c r="B1273" t="str">
        <f>Procurement_Raw!B1273</f>
        <v>S020</v>
      </c>
      <c r="C1273" t="str">
        <f>Procurement_Raw!C1273</f>
        <v>Bangor Care &amp; Education Centre</v>
      </c>
      <c r="D1273" t="str">
        <f>Procurement_Raw!D1273</f>
        <v>Wales</v>
      </c>
      <c r="E1273" t="str">
        <f>Procurement_Raw!E1273</f>
        <v>SafeGuard FM</v>
      </c>
      <c r="F1273" t="str">
        <f>Procurement_Raw!F1273</f>
        <v>Facilities</v>
      </c>
      <c r="G1273" t="str">
        <f>Procurement_Raw!G1273</f>
        <v>INV-2025-01272</v>
      </c>
      <c r="H1273" s="6">
        <f>Procurement_Raw!H1273</f>
        <v>65</v>
      </c>
      <c r="I1273" s="7">
        <f>Procurement_Raw!I1273</f>
        <v>251.64</v>
      </c>
      <c r="J1273" s="7">
        <f>Procurement_Raw!J1273</f>
        <v>16356.33</v>
      </c>
      <c r="K1273" s="6">
        <f>Procurement_Raw!K1273</f>
        <v>45</v>
      </c>
      <c r="L1273" t="str">
        <f>Procurement_Raw!L1273</f>
        <v>Procurement Portal</v>
      </c>
      <c r="M1273" s="8">
        <f>Procurement_Raw!M1273</f>
        <v>3271.2660000000001</v>
      </c>
      <c r="N1273" s="7">
        <f>Procurement_Raw!N1273</f>
        <v>16356.33</v>
      </c>
      <c r="O1273" s="7">
        <f t="shared" si="38"/>
        <v>16356.33</v>
      </c>
      <c r="P1273" t="str">
        <f>IFERROR(INDEX(Supplier_Lookup!$B$2:$B$200,MATCH(E1273,Supplier_Lookup!$A$2:$A$200,0)),"Unmapped")</f>
        <v>Facilities</v>
      </c>
      <c r="Q1273" s="10">
        <f>IFERROR(INDEX(Category_Targets!$B$2:$B$9,MATCH(F1273,Category_Targets!$A$2:$A$9,0)),0)</f>
        <v>0.05</v>
      </c>
      <c r="R1273" s="7">
        <f t="shared" si="39"/>
        <v>817.81650000000002</v>
      </c>
    </row>
    <row r="1274" spans="1:18" x14ac:dyDescent="0.25">
      <c r="A1274" s="5">
        <f>Procurement_Raw!A1274</f>
        <v>45820</v>
      </c>
      <c r="B1274" t="str">
        <f>Procurement_Raw!B1274</f>
        <v>S016</v>
      </c>
      <c r="C1274" t="str">
        <f>Procurement_Raw!C1274</f>
        <v>Cardiff Care &amp; Education Centre</v>
      </c>
      <c r="D1274" t="str">
        <f>Procurement_Raw!D1274</f>
        <v>Wales</v>
      </c>
      <c r="E1274" t="str">
        <f>Procurement_Raw!E1274</f>
        <v>CleanWorks</v>
      </c>
      <c r="F1274" t="str">
        <f>Procurement_Raw!F1274</f>
        <v>Facilities</v>
      </c>
      <c r="G1274" t="str">
        <f>Procurement_Raw!G1274</f>
        <v>INV-2025-01273</v>
      </c>
      <c r="H1274" s="6">
        <f>Procurement_Raw!H1274</f>
        <v>68</v>
      </c>
      <c r="I1274" s="7">
        <f>Procurement_Raw!I1274</f>
        <v>98.71</v>
      </c>
      <c r="J1274" s="7">
        <f>Procurement_Raw!J1274</f>
        <v>6712.27</v>
      </c>
      <c r="K1274" s="6">
        <f>Procurement_Raw!K1274</f>
        <v>45</v>
      </c>
      <c r="L1274" t="str">
        <f>Procurement_Raw!L1274</f>
        <v>ERP</v>
      </c>
      <c r="M1274" s="8">
        <f>Procurement_Raw!M1274</f>
        <v>1342.454</v>
      </c>
      <c r="N1274" s="7">
        <f>Procurement_Raw!N1274</f>
        <v>6712.27</v>
      </c>
      <c r="O1274" s="7">
        <f t="shared" si="38"/>
        <v>6712.27</v>
      </c>
      <c r="P1274" t="str">
        <f>IFERROR(INDEX(Supplier_Lookup!$B$2:$B$200,MATCH(E1274,Supplier_Lookup!$A$2:$A$200,0)),"Unmapped")</f>
        <v>Facilities</v>
      </c>
      <c r="Q1274" s="10">
        <f>IFERROR(INDEX(Category_Targets!$B$2:$B$9,MATCH(F1274,Category_Targets!$A$2:$A$9,0)),0)</f>
        <v>0.05</v>
      </c>
      <c r="R1274" s="7">
        <f t="shared" si="39"/>
        <v>335.61350000000004</v>
      </c>
    </row>
    <row r="1275" spans="1:18" x14ac:dyDescent="0.25">
      <c r="A1275" s="5">
        <f>Procurement_Raw!A1275</f>
        <v>45680</v>
      </c>
      <c r="B1275" t="str">
        <f>Procurement_Raw!B1275</f>
        <v>S008</v>
      </c>
      <c r="C1275" t="str">
        <f>Procurement_Raw!C1275</f>
        <v>Leicester Care &amp; Education Centre</v>
      </c>
      <c r="D1275" t="str">
        <f>Procurement_Raw!D1275</f>
        <v>Midlands</v>
      </c>
      <c r="E1275" t="str">
        <f>Procurement_Raw!E1275</f>
        <v>NourishCo</v>
      </c>
      <c r="F1275" t="str">
        <f>Procurement_Raw!F1275</f>
        <v>Food &amp; Catering</v>
      </c>
      <c r="G1275" t="str">
        <f>Procurement_Raw!G1275</f>
        <v>INV-2025-01274</v>
      </c>
      <c r="H1275" s="6">
        <f>Procurement_Raw!H1275</f>
        <v>17</v>
      </c>
      <c r="I1275" s="7">
        <f>Procurement_Raw!I1275</f>
        <v>54.62</v>
      </c>
      <c r="J1275" s="7">
        <f>Procurement_Raw!J1275</f>
        <v>928.51</v>
      </c>
      <c r="K1275" s="6">
        <f>Procurement_Raw!K1275</f>
        <v>45</v>
      </c>
      <c r="L1275" t="str">
        <f>Procurement_Raw!L1275</f>
        <v>Procurement Portal</v>
      </c>
      <c r="M1275" s="8">
        <f>Procurement_Raw!M1275</f>
        <v>185.702</v>
      </c>
      <c r="N1275" s="7">
        <f>Procurement_Raw!N1275</f>
        <v>928.51</v>
      </c>
      <c r="O1275" s="7">
        <f t="shared" si="38"/>
        <v>928.51</v>
      </c>
      <c r="P1275" t="str">
        <f>IFERROR(INDEX(Supplier_Lookup!$B$2:$B$200,MATCH(E1275,Supplier_Lookup!$A$2:$A$200,0)),"Unmapped")</f>
        <v>Food &amp; Catering</v>
      </c>
      <c r="Q1275" s="10">
        <f>IFERROR(INDEX(Category_Targets!$B$2:$B$9,MATCH(F1275,Category_Targets!$A$2:$A$9,0)),0)</f>
        <v>0.04</v>
      </c>
      <c r="R1275" s="7">
        <f t="shared" si="39"/>
        <v>37.1404</v>
      </c>
    </row>
    <row r="1276" spans="1:18" x14ac:dyDescent="0.25">
      <c r="A1276" s="5">
        <f>Procurement_Raw!A1276</f>
        <v>45802</v>
      </c>
      <c r="B1276" t="str">
        <f>Procurement_Raw!B1276</f>
        <v>S004</v>
      </c>
      <c r="C1276" t="str">
        <f>Procurement_Raw!C1276</f>
        <v>Newcastle Care &amp; Education Centre</v>
      </c>
      <c r="D1276" t="str">
        <f>Procurement_Raw!D1276</f>
        <v>North</v>
      </c>
      <c r="E1276" t="str">
        <f>Procurement_Raw!E1276</f>
        <v>RoadReady</v>
      </c>
      <c r="F1276" t="str">
        <f>Procurement_Raw!F1276</f>
        <v>Vehicle &amp; Fuel</v>
      </c>
      <c r="G1276" t="str">
        <f>Procurement_Raw!G1276</f>
        <v>INV-2025-01275</v>
      </c>
      <c r="H1276" s="6">
        <f>Procurement_Raw!H1276</f>
        <v>34</v>
      </c>
      <c r="I1276" s="7">
        <f>Procurement_Raw!I1276</f>
        <v>185.13</v>
      </c>
      <c r="J1276" s="7">
        <f>Procurement_Raw!J1276</f>
        <v>6294.56</v>
      </c>
      <c r="K1276" s="6">
        <f>Procurement_Raw!K1276</f>
        <v>60</v>
      </c>
      <c r="L1276" t="str">
        <f>Procurement_Raw!L1276</f>
        <v>Procurement Portal</v>
      </c>
      <c r="M1276" s="8">
        <f>Procurement_Raw!M1276</f>
        <v>1258.912</v>
      </c>
      <c r="N1276" s="7">
        <f>Procurement_Raw!N1276</f>
        <v>6294.56</v>
      </c>
      <c r="O1276" s="7">
        <f t="shared" si="38"/>
        <v>6294.56</v>
      </c>
      <c r="P1276" t="str">
        <f>IFERROR(INDEX(Supplier_Lookup!$B$2:$B$200,MATCH(E1276,Supplier_Lookup!$A$2:$A$200,0)),"Unmapped")</f>
        <v>Vehicle &amp; Fuel</v>
      </c>
      <c r="Q1276" s="10">
        <f>IFERROR(INDEX(Category_Targets!$B$2:$B$9,MATCH(F1276,Category_Targets!$A$2:$A$9,0)),0)</f>
        <v>0.05</v>
      </c>
      <c r="R1276" s="7">
        <f t="shared" si="39"/>
        <v>314.72800000000007</v>
      </c>
    </row>
    <row r="1277" spans="1:18" x14ac:dyDescent="0.25">
      <c r="A1277" s="5">
        <f>Procurement_Raw!A1277</f>
        <v>45742</v>
      </c>
      <c r="B1277" t="str">
        <f>Procurement_Raw!B1277</f>
        <v>S016</v>
      </c>
      <c r="C1277" t="str">
        <f>Procurement_Raw!C1277</f>
        <v>Cardiff Care &amp; Education Centre</v>
      </c>
      <c r="D1277" t="str">
        <f>Procurement_Raw!D1277</f>
        <v>Wales</v>
      </c>
      <c r="E1277" t="str">
        <f>Procurement_Raw!E1277</f>
        <v>RoadReady</v>
      </c>
      <c r="F1277" t="str">
        <f>Procurement_Raw!F1277</f>
        <v>Vehicle &amp; Fuel</v>
      </c>
      <c r="G1277" t="str">
        <f>Procurement_Raw!G1277</f>
        <v>INV-2025-01276</v>
      </c>
      <c r="H1277" s="6">
        <f>Procurement_Raw!H1277</f>
        <v>41</v>
      </c>
      <c r="I1277" s="7">
        <f>Procurement_Raw!I1277</f>
        <v>102.7</v>
      </c>
      <c r="J1277" s="7">
        <f>Procurement_Raw!J1277</f>
        <v>4210.74</v>
      </c>
      <c r="K1277" s="6">
        <f>Procurement_Raw!K1277</f>
        <v>60</v>
      </c>
      <c r="L1277" t="str">
        <f>Procurement_Raw!L1277</f>
        <v>Procurement Portal</v>
      </c>
      <c r="M1277" s="8">
        <f>Procurement_Raw!M1277</f>
        <v>842.14800000000002</v>
      </c>
      <c r="N1277" s="7">
        <f>Procurement_Raw!N1277</f>
        <v>4210.74</v>
      </c>
      <c r="O1277" s="7">
        <f t="shared" si="38"/>
        <v>4210.74</v>
      </c>
      <c r="P1277" t="str">
        <f>IFERROR(INDEX(Supplier_Lookup!$B$2:$B$200,MATCH(E1277,Supplier_Lookup!$A$2:$A$200,0)),"Unmapped")</f>
        <v>Vehicle &amp; Fuel</v>
      </c>
      <c r="Q1277" s="10">
        <f>IFERROR(INDEX(Category_Targets!$B$2:$B$9,MATCH(F1277,Category_Targets!$A$2:$A$9,0)),0)</f>
        <v>0.05</v>
      </c>
      <c r="R1277" s="7">
        <f t="shared" si="39"/>
        <v>210.53700000000001</v>
      </c>
    </row>
    <row r="1278" spans="1:18" x14ac:dyDescent="0.25">
      <c r="A1278" s="5">
        <f>Procurement_Raw!A1278</f>
        <v>45754</v>
      </c>
      <c r="B1278" t="str">
        <f>Procurement_Raw!B1278</f>
        <v>S005</v>
      </c>
      <c r="C1278" t="str">
        <f>Procurement_Raw!C1278</f>
        <v>Sheffield Care &amp; Education Centre</v>
      </c>
      <c r="D1278" t="str">
        <f>Procurement_Raw!D1278</f>
        <v>North</v>
      </c>
      <c r="E1278" t="str">
        <f>Procurement_Raw!E1278</f>
        <v>OfficePlus</v>
      </c>
      <c r="F1278" t="str">
        <f>Procurement_Raw!F1278</f>
        <v>Office &amp; Training</v>
      </c>
      <c r="G1278" t="str">
        <f>Procurement_Raw!G1278</f>
        <v>INV-2025-01277</v>
      </c>
      <c r="H1278" s="6">
        <f>Procurement_Raw!H1278</f>
        <v>20</v>
      </c>
      <c r="I1278" s="7">
        <f>Procurement_Raw!I1278</f>
        <v>268.57</v>
      </c>
      <c r="J1278" s="7">
        <f>Procurement_Raw!J1278</f>
        <v>5371.44</v>
      </c>
      <c r="K1278" s="6">
        <f>Procurement_Raw!K1278</f>
        <v>30</v>
      </c>
      <c r="L1278" t="str">
        <f>Procurement_Raw!L1278</f>
        <v>ERP</v>
      </c>
      <c r="M1278" s="8">
        <f>Procurement_Raw!M1278</f>
        <v>1074.288</v>
      </c>
      <c r="N1278" s="7">
        <f>Procurement_Raw!N1278</f>
        <v>5371.44</v>
      </c>
      <c r="O1278" s="7">
        <f t="shared" si="38"/>
        <v>5371.44</v>
      </c>
      <c r="P1278" t="str">
        <f>IFERROR(INDEX(Supplier_Lookup!$B$2:$B$200,MATCH(E1278,Supplier_Lookup!$A$2:$A$200,0)),"Unmapped")</f>
        <v>Office &amp; Training</v>
      </c>
      <c r="Q1278" s="10">
        <f>IFERROR(INDEX(Category_Targets!$B$2:$B$9,MATCH(F1278,Category_Targets!$A$2:$A$9,0)),0)</f>
        <v>0.04</v>
      </c>
      <c r="R1278" s="7">
        <f t="shared" si="39"/>
        <v>214.85759999999999</v>
      </c>
    </row>
    <row r="1279" spans="1:18" x14ac:dyDescent="0.25">
      <c r="A1279" s="5">
        <f>Procurement_Raw!A1279</f>
        <v>45791</v>
      </c>
      <c r="B1279" t="str">
        <f>Procurement_Raw!B1279</f>
        <v>S008</v>
      </c>
      <c r="C1279" t="str">
        <f>Procurement_Raw!C1279</f>
        <v>Leicester Care &amp; Education Centre</v>
      </c>
      <c r="D1279" t="str">
        <f>Procurement_Raw!D1279</f>
        <v>Midlands</v>
      </c>
      <c r="E1279" t="str">
        <f>Procurement_Raw!E1279</f>
        <v>CareMed</v>
      </c>
      <c r="F1279" t="str">
        <f>Procurement_Raw!F1279</f>
        <v>Medical Supplies</v>
      </c>
      <c r="G1279" t="str">
        <f>Procurement_Raw!G1279</f>
        <v>INV-2025-01278</v>
      </c>
      <c r="H1279" s="6">
        <f>Procurement_Raw!H1279</f>
        <v>21</v>
      </c>
      <c r="I1279" s="7">
        <f>Procurement_Raw!I1279</f>
        <v>148.97999999999999</v>
      </c>
      <c r="J1279" s="7">
        <f>Procurement_Raw!J1279</f>
        <v>3128.59</v>
      </c>
      <c r="K1279" s="6">
        <f>Procurement_Raw!K1279</f>
        <v>60</v>
      </c>
      <c r="L1279" t="str">
        <f>Procurement_Raw!L1279</f>
        <v>Procurement Portal</v>
      </c>
      <c r="M1279" s="8">
        <f>Procurement_Raw!M1279</f>
        <v>625.71799999999996</v>
      </c>
      <c r="N1279" s="7">
        <f>Procurement_Raw!N1279</f>
        <v>3128.59</v>
      </c>
      <c r="O1279" s="7">
        <f t="shared" si="38"/>
        <v>3128.59</v>
      </c>
      <c r="P1279" t="str">
        <f>IFERROR(INDEX(Supplier_Lookup!$B$2:$B$200,MATCH(E1279,Supplier_Lookup!$A$2:$A$200,0)),"Unmapped")</f>
        <v>Medical Supplies</v>
      </c>
      <c r="Q1279" s="10">
        <f>IFERROR(INDEX(Category_Targets!$B$2:$B$9,MATCH(F1279,Category_Targets!$A$2:$A$9,0)),0)</f>
        <v>0.06</v>
      </c>
      <c r="R1279" s="7">
        <f t="shared" si="39"/>
        <v>187.71539999999999</v>
      </c>
    </row>
    <row r="1280" spans="1:18" x14ac:dyDescent="0.25">
      <c r="A1280" s="5">
        <f>Procurement_Raw!A1280</f>
        <v>45678</v>
      </c>
      <c r="B1280" t="str">
        <f>Procurement_Raw!B1280</f>
        <v>S018</v>
      </c>
      <c r="C1280" t="str">
        <f>Procurement_Raw!C1280</f>
        <v>Newport Care &amp; Education Centre</v>
      </c>
      <c r="D1280" t="str">
        <f>Procurement_Raw!D1280</f>
        <v>Wales</v>
      </c>
      <c r="E1280" t="str">
        <f>Procurement_Raw!E1280</f>
        <v>NourishCo</v>
      </c>
      <c r="F1280" t="str">
        <f>Procurement_Raw!F1280</f>
        <v>Food &amp; Catering</v>
      </c>
      <c r="G1280" t="str">
        <f>Procurement_Raw!G1280</f>
        <v>INV-2025-01279</v>
      </c>
      <c r="H1280" s="6">
        <f>Procurement_Raw!H1280</f>
        <v>57</v>
      </c>
      <c r="I1280" s="7">
        <f>Procurement_Raw!I1280</f>
        <v>72.239999999999995</v>
      </c>
      <c r="J1280" s="7">
        <f>Procurement_Raw!J1280</f>
        <v>4117.76</v>
      </c>
      <c r="K1280" s="6">
        <f>Procurement_Raw!K1280</f>
        <v>45</v>
      </c>
      <c r="L1280" t="str">
        <f>Procurement_Raw!L1280</f>
        <v>Legacy Spend File</v>
      </c>
      <c r="M1280" s="8">
        <f>Procurement_Raw!M1280</f>
        <v>823.55200000000002</v>
      </c>
      <c r="N1280" s="7">
        <f>Procurement_Raw!N1280</f>
        <v>4117.76</v>
      </c>
      <c r="O1280" s="7">
        <f t="shared" si="38"/>
        <v>4117.76</v>
      </c>
      <c r="P1280" t="str">
        <f>IFERROR(INDEX(Supplier_Lookup!$B$2:$B$200,MATCH(E1280,Supplier_Lookup!$A$2:$A$200,0)),"Unmapped")</f>
        <v>Food &amp; Catering</v>
      </c>
      <c r="Q1280" s="10">
        <f>IFERROR(INDEX(Category_Targets!$B$2:$B$9,MATCH(F1280,Category_Targets!$A$2:$A$9,0)),0)</f>
        <v>0.04</v>
      </c>
      <c r="R1280" s="7">
        <f t="shared" si="39"/>
        <v>164.71040000000002</v>
      </c>
    </row>
    <row r="1281" spans="1:18" x14ac:dyDescent="0.25">
      <c r="A1281" s="5">
        <f>Procurement_Raw!A1281</f>
        <v>45910</v>
      </c>
      <c r="B1281" t="str">
        <f>Procurement_Raw!B1281</f>
        <v>S005</v>
      </c>
      <c r="C1281" t="str">
        <f>Procurement_Raw!C1281</f>
        <v>Sheffield Care &amp; Education Centre</v>
      </c>
      <c r="D1281" t="str">
        <f>Procurement_Raw!D1281</f>
        <v>North</v>
      </c>
      <c r="E1281" t="str">
        <f>Procurement_Raw!E1281</f>
        <v>LearnWell</v>
      </c>
      <c r="F1281" t="str">
        <f>Procurement_Raw!F1281</f>
        <v>Office &amp; Training</v>
      </c>
      <c r="G1281" t="str">
        <f>Procurement_Raw!G1281</f>
        <v>INV-2025-01280</v>
      </c>
      <c r="H1281" s="6">
        <f>Procurement_Raw!H1281</f>
        <v>15</v>
      </c>
      <c r="I1281" s="7">
        <f>Procurement_Raw!I1281</f>
        <v>63.27</v>
      </c>
      <c r="J1281" s="7">
        <f>Procurement_Raw!J1281</f>
        <v>949.11</v>
      </c>
      <c r="K1281" s="6">
        <f>Procurement_Raw!K1281</f>
        <v>60</v>
      </c>
      <c r="L1281" t="str">
        <f>Procurement_Raw!L1281</f>
        <v>ERP</v>
      </c>
      <c r="M1281" s="8">
        <f>Procurement_Raw!M1281</f>
        <v>189.822</v>
      </c>
      <c r="N1281" s="7">
        <f>Procurement_Raw!N1281</f>
        <v>949.11</v>
      </c>
      <c r="O1281" s="7">
        <f t="shared" si="38"/>
        <v>949.11</v>
      </c>
      <c r="P1281" t="str">
        <f>IFERROR(INDEX(Supplier_Lookup!$B$2:$B$200,MATCH(E1281,Supplier_Lookup!$A$2:$A$200,0)),"Unmapped")</f>
        <v>Office &amp; Training</v>
      </c>
      <c r="Q1281" s="10">
        <f>IFERROR(INDEX(Category_Targets!$B$2:$B$9,MATCH(F1281,Category_Targets!$A$2:$A$9,0)),0)</f>
        <v>0.04</v>
      </c>
      <c r="R1281" s="7">
        <f t="shared" si="39"/>
        <v>37.964400000000005</v>
      </c>
    </row>
    <row r="1282" spans="1:18" x14ac:dyDescent="0.25">
      <c r="A1282" s="5">
        <f>Procurement_Raw!A1282</f>
        <v>45762</v>
      </c>
      <c r="B1282" t="str">
        <f>Procurement_Raw!B1282</f>
        <v>S002</v>
      </c>
      <c r="C1282" t="str">
        <f>Procurement_Raw!C1282</f>
        <v>Manchester Care &amp; Education Centre</v>
      </c>
      <c r="D1282" t="str">
        <f>Procurement_Raw!D1282</f>
        <v>North</v>
      </c>
      <c r="E1282" t="str">
        <f>Procurement_Raw!E1282</f>
        <v>FleetFuel</v>
      </c>
      <c r="F1282" t="str">
        <f>Procurement_Raw!F1282</f>
        <v>Vehicle &amp; Fuel</v>
      </c>
      <c r="G1282" t="str">
        <f>Procurement_Raw!G1282</f>
        <v>INV-2025-01281</v>
      </c>
      <c r="H1282" s="6">
        <f>Procurement_Raw!H1282</f>
        <v>37</v>
      </c>
      <c r="I1282" s="7">
        <f>Procurement_Raw!I1282</f>
        <v>102.24</v>
      </c>
      <c r="J1282" s="7">
        <f>Procurement_Raw!J1282</f>
        <v>3782.89</v>
      </c>
      <c r="K1282" s="6">
        <f>Procurement_Raw!K1282</f>
        <v>30</v>
      </c>
      <c r="L1282" t="str">
        <f>Procurement_Raw!L1282</f>
        <v>ERP</v>
      </c>
      <c r="M1282" s="8">
        <f>Procurement_Raw!M1282</f>
        <v>756.57799999999997</v>
      </c>
      <c r="N1282" s="7">
        <f>Procurement_Raw!N1282</f>
        <v>3782.89</v>
      </c>
      <c r="O1282" s="7">
        <f t="shared" ref="O1282:O1345" si="40">IFERROR(IF(J1282="","",J1282),0)</f>
        <v>3782.89</v>
      </c>
      <c r="P1282" t="str">
        <f>IFERROR(INDEX(Supplier_Lookup!$B$2:$B$200,MATCH(E1282,Supplier_Lookup!$A$2:$A$200,0)),"Unmapped")</f>
        <v>Vehicle &amp; Fuel</v>
      </c>
      <c r="Q1282" s="10">
        <f>IFERROR(INDEX(Category_Targets!$B$2:$B$9,MATCH(F1282,Category_Targets!$A$2:$A$9,0)),0)</f>
        <v>0.05</v>
      </c>
      <c r="R1282" s="7">
        <f t="shared" ref="R1282:R1345" si="41">O1282*Q1282</f>
        <v>189.14449999999999</v>
      </c>
    </row>
    <row r="1283" spans="1:18" x14ac:dyDescent="0.25">
      <c r="A1283" s="5">
        <f>Procurement_Raw!A1283</f>
        <v>45997</v>
      </c>
      <c r="B1283" t="str">
        <f>Procurement_Raw!B1283</f>
        <v>S018</v>
      </c>
      <c r="C1283" t="str">
        <f>Procurement_Raw!C1283</f>
        <v>Newport Care &amp; Education Centre</v>
      </c>
      <c r="D1283" t="str">
        <f>Procurement_Raw!D1283</f>
        <v>Wales</v>
      </c>
      <c r="E1283" t="str">
        <f>Procurement_Raw!E1283</f>
        <v>NetServe</v>
      </c>
      <c r="F1283" t="str">
        <f>Procurement_Raw!F1283</f>
        <v>IT &amp; Telecoms</v>
      </c>
      <c r="G1283" t="str">
        <f>Procurement_Raw!G1283</f>
        <v>INV-2025-01282</v>
      </c>
      <c r="H1283" s="6">
        <f>Procurement_Raw!H1283</f>
        <v>75</v>
      </c>
      <c r="I1283" s="7">
        <f>Procurement_Raw!I1283</f>
        <v>202.3</v>
      </c>
      <c r="J1283" s="7">
        <f>Procurement_Raw!J1283</f>
        <v>15172.76</v>
      </c>
      <c r="K1283" s="6">
        <f>Procurement_Raw!K1283</f>
        <v>30</v>
      </c>
      <c r="L1283" t="str">
        <f>Procurement_Raw!L1283</f>
        <v>Legacy Spend File</v>
      </c>
      <c r="M1283" s="8">
        <f>Procurement_Raw!M1283</f>
        <v>3034.5520000000001</v>
      </c>
      <c r="N1283" s="7">
        <f>Procurement_Raw!N1283</f>
        <v>15172.76</v>
      </c>
      <c r="O1283" s="7">
        <f t="shared" si="40"/>
        <v>15172.76</v>
      </c>
      <c r="P1283" t="str">
        <f>IFERROR(INDEX(Supplier_Lookup!$B$2:$B$200,MATCH(E1283,Supplier_Lookup!$A$2:$A$200,0)),"Unmapped")</f>
        <v>IT &amp; Telecoms</v>
      </c>
      <c r="Q1283" s="10">
        <f>IFERROR(INDEX(Category_Targets!$B$2:$B$9,MATCH(F1283,Category_Targets!$A$2:$A$9,0)),0)</f>
        <v>0.08</v>
      </c>
      <c r="R1283" s="7">
        <f t="shared" si="41"/>
        <v>1213.8208</v>
      </c>
    </row>
    <row r="1284" spans="1:18" x14ac:dyDescent="0.25">
      <c r="A1284" s="5">
        <f>Procurement_Raw!A1284</f>
        <v>45697</v>
      </c>
      <c r="B1284" t="str">
        <f>Procurement_Raw!B1284</f>
        <v>S012</v>
      </c>
      <c r="C1284" t="str">
        <f>Procurement_Raw!C1284</f>
        <v>Bristol Care &amp; Education Centre</v>
      </c>
      <c r="D1284" t="str">
        <f>Procurement_Raw!D1284</f>
        <v>South</v>
      </c>
      <c r="E1284" t="str">
        <f>Procurement_Raw!E1284</f>
        <v>SafeGuard FM</v>
      </c>
      <c r="F1284" t="str">
        <f>Procurement_Raw!F1284</f>
        <v>Facilities</v>
      </c>
      <c r="G1284" t="str">
        <f>Procurement_Raw!G1284</f>
        <v>INV-2025-01283</v>
      </c>
      <c r="H1284" s="6">
        <f>Procurement_Raw!H1284</f>
        <v>32</v>
      </c>
      <c r="I1284" s="7">
        <f>Procurement_Raw!I1284</f>
        <v>265.70999999999998</v>
      </c>
      <c r="J1284" s="7">
        <f>Procurement_Raw!J1284</f>
        <v>8502.81</v>
      </c>
      <c r="K1284" s="6">
        <f>Procurement_Raw!K1284</f>
        <v>45</v>
      </c>
      <c r="L1284" t="str">
        <f>Procurement_Raw!L1284</f>
        <v>Legacy Spend File</v>
      </c>
      <c r="M1284" s="8">
        <f>Procurement_Raw!M1284</f>
        <v>1700.5619999999999</v>
      </c>
      <c r="N1284" s="7">
        <f>Procurement_Raw!N1284</f>
        <v>8502.81</v>
      </c>
      <c r="O1284" s="7">
        <f t="shared" si="40"/>
        <v>8502.81</v>
      </c>
      <c r="P1284" t="str">
        <f>IFERROR(INDEX(Supplier_Lookup!$B$2:$B$200,MATCH(E1284,Supplier_Lookup!$A$2:$A$200,0)),"Unmapped")</f>
        <v>Facilities</v>
      </c>
      <c r="Q1284" s="10">
        <f>IFERROR(INDEX(Category_Targets!$B$2:$B$9,MATCH(F1284,Category_Targets!$A$2:$A$9,0)),0)</f>
        <v>0.05</v>
      </c>
      <c r="R1284" s="7">
        <f t="shared" si="41"/>
        <v>425.14049999999997</v>
      </c>
    </row>
    <row r="1285" spans="1:18" x14ac:dyDescent="0.25">
      <c r="A1285" s="5">
        <f>Procurement_Raw!A1285</f>
        <v>45803</v>
      </c>
      <c r="B1285" t="str">
        <f>Procurement_Raw!B1285</f>
        <v>S011</v>
      </c>
      <c r="C1285" t="str">
        <f>Procurement_Raw!C1285</f>
        <v>London Care &amp; Education Centre</v>
      </c>
      <c r="D1285" t="str">
        <f>Procurement_Raw!D1285</f>
        <v>South</v>
      </c>
      <c r="E1285" t="str">
        <f>Procurement_Raw!E1285</f>
        <v>FleetFuel</v>
      </c>
      <c r="F1285" t="str">
        <f>Procurement_Raw!F1285</f>
        <v>Vehicle &amp; Fuel</v>
      </c>
      <c r="G1285" t="str">
        <f>Procurement_Raw!G1285</f>
        <v>INV-2025-01284</v>
      </c>
      <c r="H1285" s="6">
        <f>Procurement_Raw!H1285</f>
        <v>16</v>
      </c>
      <c r="I1285" s="7">
        <f>Procurement_Raw!I1285</f>
        <v>160.78</v>
      </c>
      <c r="J1285" s="7">
        <f>Procurement_Raw!J1285</f>
        <v>2572.5500000000002</v>
      </c>
      <c r="K1285" s="6">
        <f>Procurement_Raw!K1285</f>
        <v>45</v>
      </c>
      <c r="L1285" t="str">
        <f>Procurement_Raw!L1285</f>
        <v>Procurement Portal</v>
      </c>
      <c r="M1285" s="8">
        <f>Procurement_Raw!M1285</f>
        <v>514.51</v>
      </c>
      <c r="N1285" s="7">
        <f>Procurement_Raw!N1285</f>
        <v>2572.5500000000002</v>
      </c>
      <c r="O1285" s="7">
        <f t="shared" si="40"/>
        <v>2572.5500000000002</v>
      </c>
      <c r="P1285" t="str">
        <f>IFERROR(INDEX(Supplier_Lookup!$B$2:$B$200,MATCH(E1285,Supplier_Lookup!$A$2:$A$200,0)),"Unmapped")</f>
        <v>Vehicle &amp; Fuel</v>
      </c>
      <c r="Q1285" s="10">
        <f>IFERROR(INDEX(Category_Targets!$B$2:$B$9,MATCH(F1285,Category_Targets!$A$2:$A$9,0)),0)</f>
        <v>0.05</v>
      </c>
      <c r="R1285" s="7">
        <f t="shared" si="41"/>
        <v>128.62750000000003</v>
      </c>
    </row>
    <row r="1286" spans="1:18" x14ac:dyDescent="0.25">
      <c r="A1286" s="5">
        <f>Procurement_Raw!A1286</f>
        <v>45736</v>
      </c>
      <c r="B1286" t="str">
        <f>Procurement_Raw!B1286</f>
        <v>S013</v>
      </c>
      <c r="C1286" t="str">
        <f>Procurement_Raw!C1286</f>
        <v>Reading Care &amp; Education Centre</v>
      </c>
      <c r="D1286" t="str">
        <f>Procurement_Raw!D1286</f>
        <v>South</v>
      </c>
      <c r="E1286" t="str">
        <f>Procurement_Raw!E1286</f>
        <v>NourishCo</v>
      </c>
      <c r="F1286" t="str">
        <f>Procurement_Raw!F1286</f>
        <v>Food &amp; Catering</v>
      </c>
      <c r="G1286" t="str">
        <f>Procurement_Raw!G1286</f>
        <v>INV-2025-01285</v>
      </c>
      <c r="H1286" s="6">
        <f>Procurement_Raw!H1286</f>
        <v>4</v>
      </c>
      <c r="I1286" s="7">
        <f>Procurement_Raw!I1286</f>
        <v>42.19</v>
      </c>
      <c r="J1286" s="7">
        <f>Procurement_Raw!J1286</f>
        <v>168.74</v>
      </c>
      <c r="K1286" s="6">
        <f>Procurement_Raw!K1286</f>
        <v>30</v>
      </c>
      <c r="L1286" t="str">
        <f>Procurement_Raw!L1286</f>
        <v>Procurement Portal</v>
      </c>
      <c r="M1286" s="8">
        <f>Procurement_Raw!M1286</f>
        <v>33.747999999999998</v>
      </c>
      <c r="N1286" s="7">
        <f>Procurement_Raw!N1286</f>
        <v>168.74</v>
      </c>
      <c r="O1286" s="7">
        <f t="shared" si="40"/>
        <v>168.74</v>
      </c>
      <c r="P1286" t="str">
        <f>IFERROR(INDEX(Supplier_Lookup!$B$2:$B$200,MATCH(E1286,Supplier_Lookup!$A$2:$A$200,0)),"Unmapped")</f>
        <v>Food &amp; Catering</v>
      </c>
      <c r="Q1286" s="10">
        <f>IFERROR(INDEX(Category_Targets!$B$2:$B$9,MATCH(F1286,Category_Targets!$A$2:$A$9,0)),0)</f>
        <v>0.04</v>
      </c>
      <c r="R1286" s="7">
        <f t="shared" si="41"/>
        <v>6.7496000000000009</v>
      </c>
    </row>
    <row r="1287" spans="1:18" x14ac:dyDescent="0.25">
      <c r="A1287" s="5">
        <f>Procurement_Raw!A1287</f>
        <v>45979</v>
      </c>
      <c r="B1287" t="str">
        <f>Procurement_Raw!B1287</f>
        <v>S008</v>
      </c>
      <c r="C1287" t="str">
        <f>Procurement_Raw!C1287</f>
        <v>Leicester Care &amp; Education Centre</v>
      </c>
      <c r="D1287" t="str">
        <f>Procurement_Raw!D1287</f>
        <v>Midlands</v>
      </c>
      <c r="E1287" t="str">
        <f>Procurement_Raw!E1287</f>
        <v>LearnWell</v>
      </c>
      <c r="F1287" t="str">
        <f>Procurement_Raw!F1287</f>
        <v>Office &amp; Training</v>
      </c>
      <c r="G1287" t="str">
        <f>Procurement_Raw!G1287</f>
        <v>INV-2025-01286</v>
      </c>
      <c r="H1287" s="6">
        <f>Procurement_Raw!H1287</f>
        <v>35</v>
      </c>
      <c r="I1287" s="7">
        <f>Procurement_Raw!I1287</f>
        <v>36.06</v>
      </c>
      <c r="J1287" s="7">
        <f>Procurement_Raw!J1287</f>
        <v>1262.26</v>
      </c>
      <c r="K1287" s="6">
        <f>Procurement_Raw!K1287</f>
        <v>60</v>
      </c>
      <c r="L1287" t="str">
        <f>Procurement_Raw!L1287</f>
        <v>Legacy Spend File</v>
      </c>
      <c r="M1287" s="8">
        <f>Procurement_Raw!M1287</f>
        <v>252.452</v>
      </c>
      <c r="N1287" s="7">
        <f>Procurement_Raw!N1287</f>
        <v>1262.26</v>
      </c>
      <c r="O1287" s="7">
        <f t="shared" si="40"/>
        <v>1262.26</v>
      </c>
      <c r="P1287" t="str">
        <f>IFERROR(INDEX(Supplier_Lookup!$B$2:$B$200,MATCH(E1287,Supplier_Lookup!$A$2:$A$200,0)),"Unmapped")</f>
        <v>Office &amp; Training</v>
      </c>
      <c r="Q1287" s="10">
        <f>IFERROR(INDEX(Category_Targets!$B$2:$B$9,MATCH(F1287,Category_Targets!$A$2:$A$9,0)),0)</f>
        <v>0.04</v>
      </c>
      <c r="R1287" s="7">
        <f t="shared" si="41"/>
        <v>50.490400000000001</v>
      </c>
    </row>
    <row r="1288" spans="1:18" x14ac:dyDescent="0.25">
      <c r="A1288" s="5">
        <f>Procurement_Raw!A1288</f>
        <v>45993</v>
      </c>
      <c r="B1288" t="str">
        <f>Procurement_Raw!B1288</f>
        <v>S009</v>
      </c>
      <c r="C1288" t="str">
        <f>Procurement_Raw!C1288</f>
        <v>Derby Care &amp; Education Centre</v>
      </c>
      <c r="D1288" t="str">
        <f>Procurement_Raw!D1288</f>
        <v>Midlands</v>
      </c>
      <c r="E1288" t="str">
        <f>Procurement_Raw!E1288</f>
        <v>FleetFuel</v>
      </c>
      <c r="F1288" t="str">
        <f>Procurement_Raw!F1288</f>
        <v>Vehicle &amp; Fuel</v>
      </c>
      <c r="G1288" t="str">
        <f>Procurement_Raw!G1288</f>
        <v>INV-2025-01287</v>
      </c>
      <c r="H1288" s="6">
        <f>Procurement_Raw!H1288</f>
        <v>80</v>
      </c>
      <c r="I1288" s="7">
        <f>Procurement_Raw!I1288</f>
        <v>34.6</v>
      </c>
      <c r="J1288" s="7">
        <f>Procurement_Raw!J1288</f>
        <v>2768.31</v>
      </c>
      <c r="K1288" s="6">
        <f>Procurement_Raw!K1288</f>
        <v>45</v>
      </c>
      <c r="L1288" t="str">
        <f>Procurement_Raw!L1288</f>
        <v>Procurement Portal</v>
      </c>
      <c r="M1288" s="8">
        <f>Procurement_Raw!M1288</f>
        <v>553.66200000000003</v>
      </c>
      <c r="N1288" s="7">
        <f>Procurement_Raw!N1288</f>
        <v>2768.31</v>
      </c>
      <c r="O1288" s="7">
        <f t="shared" si="40"/>
        <v>2768.31</v>
      </c>
      <c r="P1288" t="str">
        <f>IFERROR(INDEX(Supplier_Lookup!$B$2:$B$200,MATCH(E1288,Supplier_Lookup!$A$2:$A$200,0)),"Unmapped")</f>
        <v>Vehicle &amp; Fuel</v>
      </c>
      <c r="Q1288" s="10">
        <f>IFERROR(INDEX(Category_Targets!$B$2:$B$9,MATCH(F1288,Category_Targets!$A$2:$A$9,0)),0)</f>
        <v>0.05</v>
      </c>
      <c r="R1288" s="7">
        <f t="shared" si="41"/>
        <v>138.41550000000001</v>
      </c>
    </row>
    <row r="1289" spans="1:18" x14ac:dyDescent="0.25">
      <c r="A1289" s="5">
        <f>Procurement_Raw!A1289</f>
        <v>45682</v>
      </c>
      <c r="B1289" t="str">
        <f>Procurement_Raw!B1289</f>
        <v>S019</v>
      </c>
      <c r="C1289" t="str">
        <f>Procurement_Raw!C1289</f>
        <v>Wrexham Care &amp; Education Centre</v>
      </c>
      <c r="D1289" t="str">
        <f>Procurement_Raw!D1289</f>
        <v>Wales</v>
      </c>
      <c r="E1289" t="str">
        <f>Procurement_Raw!E1289</f>
        <v>CleanWorks</v>
      </c>
      <c r="F1289" t="str">
        <f>Procurement_Raw!F1289</f>
        <v>Facilities</v>
      </c>
      <c r="G1289" t="str">
        <f>Procurement_Raw!G1289</f>
        <v>INV-2025-01288</v>
      </c>
      <c r="H1289" s="6">
        <f>Procurement_Raw!H1289</f>
        <v>37</v>
      </c>
      <c r="I1289" s="7">
        <f>Procurement_Raw!I1289</f>
        <v>238.02</v>
      </c>
      <c r="J1289" s="7">
        <f>Procurement_Raw!J1289</f>
        <v>8806.7199999999993</v>
      </c>
      <c r="K1289" s="6">
        <f>Procurement_Raw!K1289</f>
        <v>45</v>
      </c>
      <c r="L1289" t="str">
        <f>Procurement_Raw!L1289</f>
        <v>ERP</v>
      </c>
      <c r="M1289" s="8">
        <f>Procurement_Raw!M1289</f>
        <v>1761.3440000000001</v>
      </c>
      <c r="N1289" s="7">
        <f>Procurement_Raw!N1289</f>
        <v>8806.7199999999993</v>
      </c>
      <c r="O1289" s="7">
        <f t="shared" si="40"/>
        <v>8806.7199999999993</v>
      </c>
      <c r="P1289" t="str">
        <f>IFERROR(INDEX(Supplier_Lookup!$B$2:$B$200,MATCH(E1289,Supplier_Lookup!$A$2:$A$200,0)),"Unmapped")</f>
        <v>Facilities</v>
      </c>
      <c r="Q1289" s="10">
        <f>IFERROR(INDEX(Category_Targets!$B$2:$B$9,MATCH(F1289,Category_Targets!$A$2:$A$9,0)),0)</f>
        <v>0.05</v>
      </c>
      <c r="R1289" s="7">
        <f t="shared" si="41"/>
        <v>440.33600000000001</v>
      </c>
    </row>
    <row r="1290" spans="1:18" x14ac:dyDescent="0.25">
      <c r="A1290" s="5">
        <f>Procurement_Raw!A1290</f>
        <v>45966</v>
      </c>
      <c r="B1290" t="str">
        <f>Procurement_Raw!B1290</f>
        <v>S002</v>
      </c>
      <c r="C1290" t="str">
        <f>Procurement_Raw!C1290</f>
        <v>Manchester Care &amp; Education Centre</v>
      </c>
      <c r="D1290" t="str">
        <f>Procurement_Raw!D1290</f>
        <v>North</v>
      </c>
      <c r="E1290" t="str">
        <f>Procurement_Raw!E1290</f>
        <v>KitchenPro</v>
      </c>
      <c r="F1290" t="str">
        <f>Procurement_Raw!F1290</f>
        <v>Food &amp; Catering</v>
      </c>
      <c r="G1290" t="str">
        <f>Procurement_Raw!G1290</f>
        <v>INV-2025-01289</v>
      </c>
      <c r="H1290" s="6">
        <f>Procurement_Raw!H1290</f>
        <v>49</v>
      </c>
      <c r="I1290" s="7">
        <f>Procurement_Raw!I1290</f>
        <v>35.43</v>
      </c>
      <c r="J1290" s="7">
        <f>Procurement_Raw!J1290</f>
        <v>1736.03</v>
      </c>
      <c r="K1290" s="6">
        <f>Procurement_Raw!K1290</f>
        <v>30</v>
      </c>
      <c r="L1290" t="str">
        <f>Procurement_Raw!L1290</f>
        <v>Procurement Portal</v>
      </c>
      <c r="M1290" s="8">
        <f>Procurement_Raw!M1290</f>
        <v>347.20600000000002</v>
      </c>
      <c r="N1290" s="7">
        <f>Procurement_Raw!N1290</f>
        <v>1736.03</v>
      </c>
      <c r="O1290" s="7">
        <f t="shared" si="40"/>
        <v>1736.03</v>
      </c>
      <c r="P1290" t="str">
        <f>IFERROR(INDEX(Supplier_Lookup!$B$2:$B$200,MATCH(E1290,Supplier_Lookup!$A$2:$A$200,0)),"Unmapped")</f>
        <v>Food &amp; Catering</v>
      </c>
      <c r="Q1290" s="10">
        <f>IFERROR(INDEX(Category_Targets!$B$2:$B$9,MATCH(F1290,Category_Targets!$A$2:$A$9,0)),0)</f>
        <v>0.04</v>
      </c>
      <c r="R1290" s="7">
        <f t="shared" si="41"/>
        <v>69.441199999999995</v>
      </c>
    </row>
    <row r="1291" spans="1:18" x14ac:dyDescent="0.25">
      <c r="A1291" s="5">
        <f>Procurement_Raw!A1291</f>
        <v>45862</v>
      </c>
      <c r="B1291" t="str">
        <f>Procurement_Raw!B1291</f>
        <v>S003</v>
      </c>
      <c r="C1291" t="str">
        <f>Procurement_Raw!C1291</f>
        <v>Leeds Care &amp; Education Centre</v>
      </c>
      <c r="D1291" t="str">
        <f>Procurement_Raw!D1291</f>
        <v>North</v>
      </c>
      <c r="E1291" t="str">
        <f>Procurement_Raw!E1291</f>
        <v>CleanWorks</v>
      </c>
      <c r="F1291" t="str">
        <f>Procurement_Raw!F1291</f>
        <v>Facilities</v>
      </c>
      <c r="G1291" t="str">
        <f>Procurement_Raw!G1291</f>
        <v>INV-2025-01290</v>
      </c>
      <c r="H1291" s="6">
        <f>Procurement_Raw!H1291</f>
        <v>12</v>
      </c>
      <c r="I1291" s="7">
        <f>Procurement_Raw!I1291</f>
        <v>55.08</v>
      </c>
      <c r="J1291" s="7">
        <f>Procurement_Raw!J1291</f>
        <v>661.01</v>
      </c>
      <c r="K1291" s="6">
        <f>Procurement_Raw!K1291</f>
        <v>30</v>
      </c>
      <c r="L1291" t="str">
        <f>Procurement_Raw!L1291</f>
        <v>ERP</v>
      </c>
      <c r="M1291" s="8">
        <f>Procurement_Raw!M1291</f>
        <v>132.202</v>
      </c>
      <c r="N1291" s="7">
        <f>Procurement_Raw!N1291</f>
        <v>661.01</v>
      </c>
      <c r="O1291" s="7">
        <f t="shared" si="40"/>
        <v>661.01</v>
      </c>
      <c r="P1291" t="str">
        <f>IFERROR(INDEX(Supplier_Lookup!$B$2:$B$200,MATCH(E1291,Supplier_Lookup!$A$2:$A$200,0)),"Unmapped")</f>
        <v>Facilities</v>
      </c>
      <c r="Q1291" s="10">
        <f>IFERROR(INDEX(Category_Targets!$B$2:$B$9,MATCH(F1291,Category_Targets!$A$2:$A$9,0)),0)</f>
        <v>0.05</v>
      </c>
      <c r="R1291" s="7">
        <f t="shared" si="41"/>
        <v>33.0505</v>
      </c>
    </row>
    <row r="1292" spans="1:18" x14ac:dyDescent="0.25">
      <c r="A1292" s="5">
        <f>Procurement_Raw!A1292</f>
        <v>45803</v>
      </c>
      <c r="B1292" t="str">
        <f>Procurement_Raw!B1292</f>
        <v>S008</v>
      </c>
      <c r="C1292" t="str">
        <f>Procurement_Raw!C1292</f>
        <v>Leicester Care &amp; Education Centre</v>
      </c>
      <c r="D1292" t="str">
        <f>Procurement_Raw!D1292</f>
        <v>Midlands</v>
      </c>
      <c r="E1292" t="str">
        <f>Procurement_Raw!E1292</f>
        <v>CareTemps</v>
      </c>
      <c r="F1292" t="str">
        <f>Procurement_Raw!F1292</f>
        <v>Agency Labour</v>
      </c>
      <c r="G1292" t="str">
        <f>Procurement_Raw!G1292</f>
        <v>INV-2025-01291</v>
      </c>
      <c r="H1292" s="6">
        <f>Procurement_Raw!H1292</f>
        <v>20</v>
      </c>
      <c r="I1292" s="7">
        <f>Procurement_Raw!I1292</f>
        <v>371.48</v>
      </c>
      <c r="J1292" s="7">
        <f>Procurement_Raw!J1292</f>
        <v>7429.64</v>
      </c>
      <c r="K1292" s="6">
        <f>Procurement_Raw!K1292</f>
        <v>30</v>
      </c>
      <c r="L1292" t="str">
        <f>Procurement_Raw!L1292</f>
        <v>Procurement Portal</v>
      </c>
      <c r="M1292" s="8">
        <f>Procurement_Raw!M1292</f>
        <v>1485.9280000000001</v>
      </c>
      <c r="N1292" s="7">
        <f>Procurement_Raw!N1292</f>
        <v>7429.64</v>
      </c>
      <c r="O1292" s="7">
        <f t="shared" si="40"/>
        <v>7429.64</v>
      </c>
      <c r="P1292" t="str">
        <f>IFERROR(INDEX(Supplier_Lookup!$B$2:$B$200,MATCH(E1292,Supplier_Lookup!$A$2:$A$200,0)),"Unmapped")</f>
        <v>Agency Labour</v>
      </c>
      <c r="Q1292" s="10">
        <f>IFERROR(INDEX(Category_Targets!$B$2:$B$9,MATCH(F1292,Category_Targets!$A$2:$A$9,0)),0)</f>
        <v>7.0000000000000007E-2</v>
      </c>
      <c r="R1292" s="7">
        <f t="shared" si="41"/>
        <v>520.0748000000001</v>
      </c>
    </row>
    <row r="1293" spans="1:18" x14ac:dyDescent="0.25">
      <c r="A1293" s="5">
        <f>Procurement_Raw!A1293</f>
        <v>45816</v>
      </c>
      <c r="B1293" t="str">
        <f>Procurement_Raw!B1293</f>
        <v>S001</v>
      </c>
      <c r="C1293" t="str">
        <f>Procurement_Raw!C1293</f>
        <v>Preston Care &amp; Education Centre</v>
      </c>
      <c r="D1293" t="str">
        <f>Procurement_Raw!D1293</f>
        <v>North</v>
      </c>
      <c r="E1293" t="str">
        <f>Procurement_Raw!E1293</f>
        <v>NurseLink</v>
      </c>
      <c r="F1293" t="str">
        <f>Procurement_Raw!F1293</f>
        <v>Agency Labour</v>
      </c>
      <c r="G1293" t="str">
        <f>Procurement_Raw!G1293</f>
        <v>INV-2025-01292</v>
      </c>
      <c r="H1293" s="6">
        <f>Procurement_Raw!H1293</f>
        <v>78</v>
      </c>
      <c r="I1293" s="7">
        <f>Procurement_Raw!I1293</f>
        <v>1181.96</v>
      </c>
      <c r="J1293" s="7">
        <f>Procurement_Raw!J1293</f>
        <v>92193.14</v>
      </c>
      <c r="K1293" s="6">
        <f>Procurement_Raw!K1293</f>
        <v>30</v>
      </c>
      <c r="L1293" t="str">
        <f>Procurement_Raw!L1293</f>
        <v>Procurement Portal</v>
      </c>
      <c r="M1293" s="8">
        <f>Procurement_Raw!M1293</f>
        <v>18438.628000000001</v>
      </c>
      <c r="N1293" s="7">
        <f>Procurement_Raw!N1293</f>
        <v>92193.14</v>
      </c>
      <c r="O1293" s="7">
        <f t="shared" si="40"/>
        <v>92193.14</v>
      </c>
      <c r="P1293" t="str">
        <f>IFERROR(INDEX(Supplier_Lookup!$B$2:$B$200,MATCH(E1293,Supplier_Lookup!$A$2:$A$200,0)),"Unmapped")</f>
        <v>Agency Labour</v>
      </c>
      <c r="Q1293" s="10">
        <f>IFERROR(INDEX(Category_Targets!$B$2:$B$9,MATCH(F1293,Category_Targets!$A$2:$A$9,0)),0)</f>
        <v>7.0000000000000007E-2</v>
      </c>
      <c r="R1293" s="7">
        <f t="shared" si="41"/>
        <v>6453.5198000000009</v>
      </c>
    </row>
    <row r="1294" spans="1:18" x14ac:dyDescent="0.25">
      <c r="A1294" s="5">
        <f>Procurement_Raw!A1294</f>
        <v>45920</v>
      </c>
      <c r="B1294" t="str">
        <f>Procurement_Raw!B1294</f>
        <v>S012</v>
      </c>
      <c r="C1294" t="str">
        <f>Procurement_Raw!C1294</f>
        <v>Bristol Care &amp; Education Centre</v>
      </c>
      <c r="D1294" t="str">
        <f>Procurement_Raw!D1294</f>
        <v>South</v>
      </c>
      <c r="E1294" t="str">
        <f>Procurement_Raw!E1294</f>
        <v>NourishCo</v>
      </c>
      <c r="F1294" t="str">
        <f>Procurement_Raw!F1294</f>
        <v>Food &amp; Catering</v>
      </c>
      <c r="G1294" t="str">
        <f>Procurement_Raw!G1294</f>
        <v>INV-2025-01293</v>
      </c>
      <c r="H1294" s="6">
        <f>Procurement_Raw!H1294</f>
        <v>26</v>
      </c>
      <c r="I1294" s="7">
        <f>Procurement_Raw!I1294</f>
        <v>64.78</v>
      </c>
      <c r="J1294" s="7">
        <f>Procurement_Raw!J1294</f>
        <v>1684.37</v>
      </c>
      <c r="K1294" s="6">
        <f>Procurement_Raw!K1294</f>
        <v>45</v>
      </c>
      <c r="L1294" t="str">
        <f>Procurement_Raw!L1294</f>
        <v>Procurement Portal</v>
      </c>
      <c r="M1294" s="8">
        <f>Procurement_Raw!M1294</f>
        <v>336.87400000000002</v>
      </c>
      <c r="N1294" s="7">
        <f>Procurement_Raw!N1294</f>
        <v>1684.37</v>
      </c>
      <c r="O1294" s="7">
        <f t="shared" si="40"/>
        <v>1684.37</v>
      </c>
      <c r="P1294" t="str">
        <f>IFERROR(INDEX(Supplier_Lookup!$B$2:$B$200,MATCH(E1294,Supplier_Lookup!$A$2:$A$200,0)),"Unmapped")</f>
        <v>Food &amp; Catering</v>
      </c>
      <c r="Q1294" s="10">
        <f>IFERROR(INDEX(Category_Targets!$B$2:$B$9,MATCH(F1294,Category_Targets!$A$2:$A$9,0)),0)</f>
        <v>0.04</v>
      </c>
      <c r="R1294" s="7">
        <f t="shared" si="41"/>
        <v>67.374799999999993</v>
      </c>
    </row>
    <row r="1295" spans="1:18" x14ac:dyDescent="0.25">
      <c r="A1295" s="5">
        <f>Procurement_Raw!A1295</f>
        <v>45946</v>
      </c>
      <c r="B1295" t="str">
        <f>Procurement_Raw!B1295</f>
        <v>S010</v>
      </c>
      <c r="C1295" t="str">
        <f>Procurement_Raw!C1295</f>
        <v>Coventry Care &amp; Education Centre</v>
      </c>
      <c r="D1295" t="str">
        <f>Procurement_Raw!D1295</f>
        <v>Midlands</v>
      </c>
      <c r="E1295" t="str">
        <f>Procurement_Raw!E1295</f>
        <v>LearnWell</v>
      </c>
      <c r="F1295" t="str">
        <f>Procurement_Raw!F1295</f>
        <v>Office &amp; Training</v>
      </c>
      <c r="G1295" t="str">
        <f>Procurement_Raw!G1295</f>
        <v>INV-2025-01294</v>
      </c>
      <c r="H1295" s="6">
        <f>Procurement_Raw!H1295</f>
        <v>77</v>
      </c>
      <c r="I1295" s="7">
        <f>Procurement_Raw!I1295</f>
        <v>118.94</v>
      </c>
      <c r="J1295" s="7">
        <f>Procurement_Raw!J1295</f>
        <v>9158.74</v>
      </c>
      <c r="K1295" s="6">
        <f>Procurement_Raw!K1295</f>
        <v>45</v>
      </c>
      <c r="L1295" t="str">
        <f>Procurement_Raw!L1295</f>
        <v>ERP</v>
      </c>
      <c r="M1295" s="8">
        <f>Procurement_Raw!M1295</f>
        <v>1831.748</v>
      </c>
      <c r="N1295" s="7">
        <f>Procurement_Raw!N1295</f>
        <v>9158.74</v>
      </c>
      <c r="O1295" s="7">
        <f t="shared" si="40"/>
        <v>9158.74</v>
      </c>
      <c r="P1295" t="str">
        <f>IFERROR(INDEX(Supplier_Lookup!$B$2:$B$200,MATCH(E1295,Supplier_Lookup!$A$2:$A$200,0)),"Unmapped")</f>
        <v>Office &amp; Training</v>
      </c>
      <c r="Q1295" s="10">
        <f>IFERROR(INDEX(Category_Targets!$B$2:$B$9,MATCH(F1295,Category_Targets!$A$2:$A$9,0)),0)</f>
        <v>0.04</v>
      </c>
      <c r="R1295" s="7">
        <f t="shared" si="41"/>
        <v>366.34960000000001</v>
      </c>
    </row>
    <row r="1296" spans="1:18" x14ac:dyDescent="0.25">
      <c r="A1296" s="5">
        <f>Procurement_Raw!A1296</f>
        <v>45972</v>
      </c>
      <c r="B1296" t="str">
        <f>Procurement_Raw!B1296</f>
        <v>S011</v>
      </c>
      <c r="C1296" t="str">
        <f>Procurement_Raw!C1296</f>
        <v>London Care &amp; Education Centre</v>
      </c>
      <c r="D1296" t="str">
        <f>Procurement_Raw!D1296</f>
        <v>South</v>
      </c>
      <c r="E1296" t="str">
        <f>Procurement_Raw!E1296</f>
        <v>CareTemps</v>
      </c>
      <c r="F1296" t="str">
        <f>Procurement_Raw!F1296</f>
        <v>Agency Labour</v>
      </c>
      <c r="G1296" t="str">
        <f>Procurement_Raw!G1296</f>
        <v>INV-2025-01295</v>
      </c>
      <c r="H1296" s="6">
        <f>Procurement_Raw!H1296</f>
        <v>24</v>
      </c>
      <c r="I1296" s="7">
        <f>Procurement_Raw!I1296</f>
        <v>313.81</v>
      </c>
      <c r="J1296" s="7">
        <f>Procurement_Raw!J1296</f>
        <v>7531.45</v>
      </c>
      <c r="K1296" s="6">
        <f>Procurement_Raw!K1296</f>
        <v>45</v>
      </c>
      <c r="L1296" t="str">
        <f>Procurement_Raw!L1296</f>
        <v>Legacy Spend File</v>
      </c>
      <c r="M1296" s="8">
        <f>Procurement_Raw!M1296</f>
        <v>1506.29</v>
      </c>
      <c r="N1296" s="7">
        <f>Procurement_Raw!N1296</f>
        <v>7531.45</v>
      </c>
      <c r="O1296" s="7">
        <f t="shared" si="40"/>
        <v>7531.45</v>
      </c>
      <c r="P1296" t="str">
        <f>IFERROR(INDEX(Supplier_Lookup!$B$2:$B$200,MATCH(E1296,Supplier_Lookup!$A$2:$A$200,0)),"Unmapped")</f>
        <v>Agency Labour</v>
      </c>
      <c r="Q1296" s="10">
        <f>IFERROR(INDEX(Category_Targets!$B$2:$B$9,MATCH(F1296,Category_Targets!$A$2:$A$9,0)),0)</f>
        <v>7.0000000000000007E-2</v>
      </c>
      <c r="R1296" s="7">
        <f t="shared" si="41"/>
        <v>527.20150000000001</v>
      </c>
    </row>
    <row r="1297" spans="1:18" x14ac:dyDescent="0.25">
      <c r="A1297" s="5">
        <f>Procurement_Raw!A1297</f>
        <v>45920</v>
      </c>
      <c r="B1297" t="str">
        <f>Procurement_Raw!B1297</f>
        <v>S014</v>
      </c>
      <c r="C1297" t="str">
        <f>Procurement_Raw!C1297</f>
        <v>Southampton Care &amp; Education Centre</v>
      </c>
      <c r="D1297" t="str">
        <f>Procurement_Raw!D1297</f>
        <v>South</v>
      </c>
      <c r="E1297" t="str">
        <f>Procurement_Raw!E1297</f>
        <v>FreshServe</v>
      </c>
      <c r="F1297" t="str">
        <f>Procurement_Raw!F1297</f>
        <v>Food &amp; Catering</v>
      </c>
      <c r="G1297" t="str">
        <f>Procurement_Raw!G1297</f>
        <v>INV-2025-01296</v>
      </c>
      <c r="H1297" s="6">
        <f>Procurement_Raw!H1297</f>
        <v>44</v>
      </c>
      <c r="I1297" s="7">
        <f>Procurement_Raw!I1297</f>
        <v>61.56</v>
      </c>
      <c r="J1297" s="7">
        <f>Procurement_Raw!J1297</f>
        <v>2708.6</v>
      </c>
      <c r="K1297" s="6">
        <f>Procurement_Raw!K1297</f>
        <v>45</v>
      </c>
      <c r="L1297" t="str">
        <f>Procurement_Raw!L1297</f>
        <v>Legacy Spend File</v>
      </c>
      <c r="M1297" s="8">
        <f>Procurement_Raw!M1297</f>
        <v>541.72</v>
      </c>
      <c r="N1297" s="7">
        <f>Procurement_Raw!N1297</f>
        <v>2708.6</v>
      </c>
      <c r="O1297" s="7">
        <f t="shared" si="40"/>
        <v>2708.6</v>
      </c>
      <c r="P1297" t="str">
        <f>IFERROR(INDEX(Supplier_Lookup!$B$2:$B$200,MATCH(E1297,Supplier_Lookup!$A$2:$A$200,0)),"Unmapped")</f>
        <v>Food &amp; Catering</v>
      </c>
      <c r="Q1297" s="10">
        <f>IFERROR(INDEX(Category_Targets!$B$2:$B$9,MATCH(F1297,Category_Targets!$A$2:$A$9,0)),0)</f>
        <v>0.04</v>
      </c>
      <c r="R1297" s="7">
        <f t="shared" si="41"/>
        <v>108.34399999999999</v>
      </c>
    </row>
    <row r="1298" spans="1:18" x14ac:dyDescent="0.25">
      <c r="A1298" s="5">
        <f>Procurement_Raw!A1298</f>
        <v>45927</v>
      </c>
      <c r="B1298" t="str">
        <f>Procurement_Raw!B1298</f>
        <v>S003</v>
      </c>
      <c r="C1298" t="str">
        <f>Procurement_Raw!C1298</f>
        <v>Leeds Care &amp; Education Centre</v>
      </c>
      <c r="D1298" t="str">
        <f>Procurement_Raw!D1298</f>
        <v>North</v>
      </c>
      <c r="E1298" t="str">
        <f>Procurement_Raw!E1298</f>
        <v>SafeGuard FM</v>
      </c>
      <c r="F1298" t="str">
        <f>Procurement_Raw!F1298</f>
        <v>Facilities</v>
      </c>
      <c r="G1298" t="str">
        <f>Procurement_Raw!G1298</f>
        <v>INV-2025-01297</v>
      </c>
      <c r="H1298" s="6">
        <f>Procurement_Raw!H1298</f>
        <v>68</v>
      </c>
      <c r="I1298" s="7">
        <f>Procurement_Raw!I1298</f>
        <v>298.39999999999998</v>
      </c>
      <c r="J1298" s="7">
        <f>Procurement_Raw!J1298</f>
        <v>20291.490000000002</v>
      </c>
      <c r="K1298" s="6">
        <f>Procurement_Raw!K1298</f>
        <v>30</v>
      </c>
      <c r="L1298" t="str">
        <f>Procurement_Raw!L1298</f>
        <v>Procurement Portal</v>
      </c>
      <c r="M1298" s="8">
        <f>Procurement_Raw!M1298</f>
        <v>4058.2979999999998</v>
      </c>
      <c r="N1298" s="7">
        <f>Procurement_Raw!N1298</f>
        <v>20291.490000000002</v>
      </c>
      <c r="O1298" s="7">
        <f t="shared" si="40"/>
        <v>20291.490000000002</v>
      </c>
      <c r="P1298" t="str">
        <f>IFERROR(INDEX(Supplier_Lookup!$B$2:$B$200,MATCH(E1298,Supplier_Lookup!$A$2:$A$200,0)),"Unmapped")</f>
        <v>Facilities</v>
      </c>
      <c r="Q1298" s="10">
        <f>IFERROR(INDEX(Category_Targets!$B$2:$B$9,MATCH(F1298,Category_Targets!$A$2:$A$9,0)),0)</f>
        <v>0.05</v>
      </c>
      <c r="R1298" s="7">
        <f t="shared" si="41"/>
        <v>1014.5745000000002</v>
      </c>
    </row>
    <row r="1299" spans="1:18" x14ac:dyDescent="0.25">
      <c r="A1299" s="5">
        <f>Procurement_Raw!A1299</f>
        <v>45902</v>
      </c>
      <c r="B1299" t="str">
        <f>Procurement_Raw!B1299</f>
        <v>S014</v>
      </c>
      <c r="C1299" t="str">
        <f>Procurement_Raw!C1299</f>
        <v>Southampton Care &amp; Education Centre</v>
      </c>
      <c r="D1299" t="str">
        <f>Procurement_Raw!D1299</f>
        <v>South</v>
      </c>
      <c r="E1299" t="str">
        <f>Procurement_Raw!E1299</f>
        <v>HealthStaffing</v>
      </c>
      <c r="F1299" t="str">
        <f>Procurement_Raw!F1299</f>
        <v>Agency Labour</v>
      </c>
      <c r="G1299" t="str">
        <f>Procurement_Raw!G1299</f>
        <v>INV-2025-01298</v>
      </c>
      <c r="H1299" s="6">
        <f>Procurement_Raw!H1299</f>
        <v>39</v>
      </c>
      <c r="I1299" s="7">
        <f>Procurement_Raw!I1299</f>
        <v>255.73</v>
      </c>
      <c r="J1299" s="7">
        <f>Procurement_Raw!J1299</f>
        <v>9973.56</v>
      </c>
      <c r="K1299" s="6">
        <f>Procurement_Raw!K1299</f>
        <v>30</v>
      </c>
      <c r="L1299" t="str">
        <f>Procurement_Raw!L1299</f>
        <v>ERP</v>
      </c>
      <c r="M1299" s="8">
        <f>Procurement_Raw!M1299</f>
        <v>1994.712</v>
      </c>
      <c r="N1299" s="7">
        <f>Procurement_Raw!N1299</f>
        <v>9973.56</v>
      </c>
      <c r="O1299" s="7">
        <f t="shared" si="40"/>
        <v>9973.56</v>
      </c>
      <c r="P1299" t="str">
        <f>IFERROR(INDEX(Supplier_Lookup!$B$2:$B$200,MATCH(E1299,Supplier_Lookup!$A$2:$A$200,0)),"Unmapped")</f>
        <v>Agency Labour</v>
      </c>
      <c r="Q1299" s="10">
        <f>IFERROR(INDEX(Category_Targets!$B$2:$B$9,MATCH(F1299,Category_Targets!$A$2:$A$9,0)),0)</f>
        <v>7.0000000000000007E-2</v>
      </c>
      <c r="R1299" s="7">
        <f t="shared" si="41"/>
        <v>698.14920000000006</v>
      </c>
    </row>
    <row r="1300" spans="1:18" x14ac:dyDescent="0.25">
      <c r="A1300" s="5">
        <f>Procurement_Raw!A1300</f>
        <v>45925</v>
      </c>
      <c r="B1300" t="str">
        <f>Procurement_Raw!B1300</f>
        <v>S001</v>
      </c>
      <c r="C1300" t="str">
        <f>Procurement_Raw!C1300</f>
        <v>Preston Care &amp; Education Centre</v>
      </c>
      <c r="D1300" t="str">
        <f>Procurement_Raw!D1300</f>
        <v>North</v>
      </c>
      <c r="E1300" t="str">
        <f>Procurement_Raw!E1300</f>
        <v>CloudLink</v>
      </c>
      <c r="F1300" t="str">
        <f>Procurement_Raw!F1300</f>
        <v>IT &amp; Telecoms</v>
      </c>
      <c r="G1300" t="str">
        <f>Procurement_Raw!G1300</f>
        <v>INV-2025-01299</v>
      </c>
      <c r="H1300" s="6">
        <f>Procurement_Raw!H1300</f>
        <v>55</v>
      </c>
      <c r="I1300" s="7">
        <f>Procurement_Raw!I1300</f>
        <v>254.85</v>
      </c>
      <c r="J1300" s="7">
        <f>Procurement_Raw!J1300</f>
        <v>14017</v>
      </c>
      <c r="K1300" s="6">
        <f>Procurement_Raw!K1300</f>
        <v>45</v>
      </c>
      <c r="L1300" t="str">
        <f>Procurement_Raw!L1300</f>
        <v>Legacy Spend File</v>
      </c>
      <c r="M1300" s="8">
        <f>Procurement_Raw!M1300</f>
        <v>2803.4</v>
      </c>
      <c r="N1300" s="7">
        <f>Procurement_Raw!N1300</f>
        <v>14017</v>
      </c>
      <c r="O1300" s="7">
        <f t="shared" si="40"/>
        <v>14017</v>
      </c>
      <c r="P1300" t="str">
        <f>IFERROR(INDEX(Supplier_Lookup!$B$2:$B$200,MATCH(E1300,Supplier_Lookup!$A$2:$A$200,0)),"Unmapped")</f>
        <v>medical supplies</v>
      </c>
      <c r="Q1300" s="10">
        <f>IFERROR(INDEX(Category_Targets!$B$2:$B$9,MATCH(F1300,Category_Targets!$A$2:$A$9,0)),0)</f>
        <v>0.08</v>
      </c>
      <c r="R1300" s="7">
        <f t="shared" si="41"/>
        <v>1121.3600000000001</v>
      </c>
    </row>
    <row r="1301" spans="1:18" x14ac:dyDescent="0.25">
      <c r="A1301" s="5">
        <f>Procurement_Raw!A1301</f>
        <v>45920</v>
      </c>
      <c r="B1301" t="str">
        <f>Procurement_Raw!B1301</f>
        <v>S003</v>
      </c>
      <c r="C1301" t="str">
        <f>Procurement_Raw!C1301</f>
        <v>Leeds Care &amp; Education Centre</v>
      </c>
      <c r="D1301" t="str">
        <f>Procurement_Raw!D1301</f>
        <v>North</v>
      </c>
      <c r="E1301" t="str">
        <f>Procurement_Raw!E1301</f>
        <v>FreshServe</v>
      </c>
      <c r="F1301" t="str">
        <f>Procurement_Raw!F1301</f>
        <v>Food &amp; Catering</v>
      </c>
      <c r="G1301" t="str">
        <f>Procurement_Raw!G1301</f>
        <v>INV-2025-01300</v>
      </c>
      <c r="H1301" s="6">
        <f>Procurement_Raw!H1301</f>
        <v>14</v>
      </c>
      <c r="I1301" s="7">
        <f>Procurement_Raw!I1301</f>
        <v>77.58</v>
      </c>
      <c r="J1301" s="7">
        <f>Procurement_Raw!J1301</f>
        <v>1086.1300000000001</v>
      </c>
      <c r="K1301" s="6">
        <f>Procurement_Raw!K1301</f>
        <v>60</v>
      </c>
      <c r="L1301" t="str">
        <f>Procurement_Raw!L1301</f>
        <v>Procurement Portal</v>
      </c>
      <c r="M1301" s="8">
        <f>Procurement_Raw!M1301</f>
        <v>217.226</v>
      </c>
      <c r="N1301" s="7">
        <f>Procurement_Raw!N1301</f>
        <v>1086.1300000000001</v>
      </c>
      <c r="O1301" s="7">
        <f t="shared" si="40"/>
        <v>1086.1300000000001</v>
      </c>
      <c r="P1301" t="str">
        <f>IFERROR(INDEX(Supplier_Lookup!$B$2:$B$200,MATCH(E1301,Supplier_Lookup!$A$2:$A$200,0)),"Unmapped")</f>
        <v>Food &amp; Catering</v>
      </c>
      <c r="Q1301" s="10">
        <f>IFERROR(INDEX(Category_Targets!$B$2:$B$9,MATCH(F1301,Category_Targets!$A$2:$A$9,0)),0)</f>
        <v>0.04</v>
      </c>
      <c r="R1301" s="7">
        <f t="shared" si="41"/>
        <v>43.445200000000007</v>
      </c>
    </row>
    <row r="1302" spans="1:18" x14ac:dyDescent="0.25">
      <c r="A1302" s="5">
        <f>Procurement_Raw!A1302</f>
        <v>45996</v>
      </c>
      <c r="B1302" t="str">
        <f>Procurement_Raw!B1302</f>
        <v>S013</v>
      </c>
      <c r="C1302" t="str">
        <f>Procurement_Raw!C1302</f>
        <v>Reading Care &amp; Education Centre</v>
      </c>
      <c r="D1302" t="str">
        <f>Procurement_Raw!D1302</f>
        <v>South</v>
      </c>
      <c r="E1302" t="str">
        <f>Procurement_Raw!E1302</f>
        <v>NourishCo</v>
      </c>
      <c r="F1302" t="str">
        <f>Procurement_Raw!F1302</f>
        <v>Food &amp; Catering</v>
      </c>
      <c r="G1302" t="str">
        <f>Procurement_Raw!G1302</f>
        <v>INV-2025-01301</v>
      </c>
      <c r="H1302" s="6">
        <f>Procurement_Raw!H1302</f>
        <v>73</v>
      </c>
      <c r="I1302" s="7">
        <f>Procurement_Raw!I1302</f>
        <v>45.01</v>
      </c>
      <c r="J1302" s="7">
        <f>Procurement_Raw!J1302</f>
        <v>3285.9</v>
      </c>
      <c r="K1302" s="6">
        <f>Procurement_Raw!K1302</f>
        <v>45</v>
      </c>
      <c r="L1302" t="str">
        <f>Procurement_Raw!L1302</f>
        <v>Procurement Portal</v>
      </c>
      <c r="M1302" s="8">
        <f>Procurement_Raw!M1302</f>
        <v>657.18</v>
      </c>
      <c r="N1302" s="7">
        <f>Procurement_Raw!N1302</f>
        <v>3285.9</v>
      </c>
      <c r="O1302" s="7">
        <f t="shared" si="40"/>
        <v>3285.9</v>
      </c>
      <c r="P1302" t="str">
        <f>IFERROR(INDEX(Supplier_Lookup!$B$2:$B$200,MATCH(E1302,Supplier_Lookup!$A$2:$A$200,0)),"Unmapped")</f>
        <v>Food &amp; Catering</v>
      </c>
      <c r="Q1302" s="10">
        <f>IFERROR(INDEX(Category_Targets!$B$2:$B$9,MATCH(F1302,Category_Targets!$A$2:$A$9,0)),0)</f>
        <v>0.04</v>
      </c>
      <c r="R1302" s="7">
        <f t="shared" si="41"/>
        <v>131.43600000000001</v>
      </c>
    </row>
    <row r="1303" spans="1:18" x14ac:dyDescent="0.25">
      <c r="A1303" s="5">
        <f>Procurement_Raw!A1303</f>
        <v>45666</v>
      </c>
      <c r="B1303" t="str">
        <f>Procurement_Raw!B1303</f>
        <v>S006</v>
      </c>
      <c r="C1303" t="str">
        <f>Procurement_Raw!C1303</f>
        <v>Birmingham Care &amp; Education Centre</v>
      </c>
      <c r="D1303" t="str">
        <f>Procurement_Raw!D1303</f>
        <v>Midlands</v>
      </c>
      <c r="E1303" t="str">
        <f>Procurement_Raw!E1303</f>
        <v>KitchenPro</v>
      </c>
      <c r="F1303" t="str">
        <f>Procurement_Raw!F1303</f>
        <v>Food &amp; Catering</v>
      </c>
      <c r="G1303" t="str">
        <f>Procurement_Raw!G1303</f>
        <v>INV-2025-01302</v>
      </c>
      <c r="H1303" s="6">
        <f>Procurement_Raw!H1303</f>
        <v>15</v>
      </c>
      <c r="I1303" s="7">
        <f>Procurement_Raw!I1303</f>
        <v>112.17</v>
      </c>
      <c r="J1303" s="7">
        <f>Procurement_Raw!J1303</f>
        <v>1682.54</v>
      </c>
      <c r="K1303" s="6">
        <f>Procurement_Raw!K1303</f>
        <v>60</v>
      </c>
      <c r="L1303" t="str">
        <f>Procurement_Raw!L1303</f>
        <v>Legacy Spend File</v>
      </c>
      <c r="M1303" s="8">
        <f>Procurement_Raw!M1303</f>
        <v>336.50799999999998</v>
      </c>
      <c r="N1303" s="7">
        <f>Procurement_Raw!N1303</f>
        <v>1682.54</v>
      </c>
      <c r="O1303" s="7">
        <f t="shared" si="40"/>
        <v>1682.54</v>
      </c>
      <c r="P1303" t="str">
        <f>IFERROR(INDEX(Supplier_Lookup!$B$2:$B$200,MATCH(E1303,Supplier_Lookup!$A$2:$A$200,0)),"Unmapped")</f>
        <v>Food &amp; Catering</v>
      </c>
      <c r="Q1303" s="10">
        <f>IFERROR(INDEX(Category_Targets!$B$2:$B$9,MATCH(F1303,Category_Targets!$A$2:$A$9,0)),0)</f>
        <v>0.04</v>
      </c>
      <c r="R1303" s="7">
        <f t="shared" si="41"/>
        <v>67.301599999999993</v>
      </c>
    </row>
    <row r="1304" spans="1:18" x14ac:dyDescent="0.25">
      <c r="A1304" s="5">
        <f>Procurement_Raw!A1304</f>
        <v>45859</v>
      </c>
      <c r="B1304" t="str">
        <f>Procurement_Raw!B1304</f>
        <v>S018</v>
      </c>
      <c r="C1304" t="str">
        <f>Procurement_Raw!C1304</f>
        <v>Newport Care &amp; Education Centre</v>
      </c>
      <c r="D1304" t="str">
        <f>Procurement_Raw!D1304</f>
        <v>Wales</v>
      </c>
      <c r="E1304" t="str">
        <f>Procurement_Raw!E1304</f>
        <v>CleanWorks</v>
      </c>
      <c r="F1304" t="str">
        <f>Procurement_Raw!F1304</f>
        <v>Facilities</v>
      </c>
      <c r="G1304" t="str">
        <f>Procurement_Raw!G1304</f>
        <v>INV-2025-01303</v>
      </c>
      <c r="H1304" s="6">
        <f>Procurement_Raw!H1304</f>
        <v>6</v>
      </c>
      <c r="I1304" s="7">
        <f>Procurement_Raw!I1304</f>
        <v>163.49</v>
      </c>
      <c r="J1304" s="7">
        <f>Procurement_Raw!J1304</f>
        <v>980.92</v>
      </c>
      <c r="K1304" s="6">
        <f>Procurement_Raw!K1304</f>
        <v>30</v>
      </c>
      <c r="L1304" t="str">
        <f>Procurement_Raw!L1304</f>
        <v>Procurement Portal</v>
      </c>
      <c r="M1304" s="8">
        <f>Procurement_Raw!M1304</f>
        <v>196.184</v>
      </c>
      <c r="N1304" s="7">
        <f>Procurement_Raw!N1304</f>
        <v>980.92</v>
      </c>
      <c r="O1304" s="7">
        <f t="shared" si="40"/>
        <v>980.92</v>
      </c>
      <c r="P1304" t="str">
        <f>IFERROR(INDEX(Supplier_Lookup!$B$2:$B$200,MATCH(E1304,Supplier_Lookup!$A$2:$A$200,0)),"Unmapped")</f>
        <v>Facilities</v>
      </c>
      <c r="Q1304" s="10">
        <f>IFERROR(INDEX(Category_Targets!$B$2:$B$9,MATCH(F1304,Category_Targets!$A$2:$A$9,0)),0)</f>
        <v>0.05</v>
      </c>
      <c r="R1304" s="7">
        <f t="shared" si="41"/>
        <v>49.045999999999999</v>
      </c>
    </row>
    <row r="1305" spans="1:18" x14ac:dyDescent="0.25">
      <c r="A1305" s="5">
        <f>Procurement_Raw!A1305</f>
        <v>45958</v>
      </c>
      <c r="B1305" t="str">
        <f>Procurement_Raw!B1305</f>
        <v>S010</v>
      </c>
      <c r="C1305" t="str">
        <f>Procurement_Raw!C1305</f>
        <v>Coventry Care &amp; Education Centre</v>
      </c>
      <c r="D1305" t="str">
        <f>Procurement_Raw!D1305</f>
        <v>Midlands</v>
      </c>
      <c r="E1305" t="str">
        <f>Procurement_Raw!E1305</f>
        <v>TeleCare IT</v>
      </c>
      <c r="F1305" t="str">
        <f>Procurement_Raw!F1305</f>
        <v>IT &amp; Telecoms</v>
      </c>
      <c r="G1305" t="str">
        <f>Procurement_Raw!G1305</f>
        <v>INV-2025-01304</v>
      </c>
      <c r="H1305" s="6">
        <f>Procurement_Raw!H1305</f>
        <v>59</v>
      </c>
      <c r="I1305" s="7">
        <f>Procurement_Raw!I1305</f>
        <v>145.18</v>
      </c>
      <c r="J1305" s="7">
        <f>Procurement_Raw!J1305</f>
        <v>8565.56</v>
      </c>
      <c r="K1305" s="6">
        <f>Procurement_Raw!K1305</f>
        <v>60</v>
      </c>
      <c r="L1305" t="str">
        <f>Procurement_Raw!L1305</f>
        <v>Procurement Portal</v>
      </c>
      <c r="M1305" s="8">
        <f>Procurement_Raw!M1305</f>
        <v>1713.1120000000001</v>
      </c>
      <c r="N1305" s="7">
        <f>Procurement_Raw!N1305</f>
        <v>8565.56</v>
      </c>
      <c r="O1305" s="7">
        <f t="shared" si="40"/>
        <v>8565.56</v>
      </c>
      <c r="P1305" t="str">
        <f>IFERROR(INDEX(Supplier_Lookup!$B$2:$B$200,MATCH(E1305,Supplier_Lookup!$A$2:$A$200,0)),"Unmapped")</f>
        <v>IT &amp; Telecoms</v>
      </c>
      <c r="Q1305" s="10">
        <f>IFERROR(INDEX(Category_Targets!$B$2:$B$9,MATCH(F1305,Category_Targets!$A$2:$A$9,0)),0)</f>
        <v>0.08</v>
      </c>
      <c r="R1305" s="7">
        <f t="shared" si="41"/>
        <v>685.24479999999994</v>
      </c>
    </row>
    <row r="1306" spans="1:18" x14ac:dyDescent="0.25">
      <c r="A1306" s="5">
        <f>Procurement_Raw!A1306</f>
        <v>45753</v>
      </c>
      <c r="B1306" t="str">
        <f>Procurement_Raw!B1306</f>
        <v>S001</v>
      </c>
      <c r="C1306" t="str">
        <f>Procurement_Raw!C1306</f>
        <v>Preston Care &amp; Education Centre</v>
      </c>
      <c r="D1306" t="str">
        <f>Procurement_Raw!D1306</f>
        <v>North</v>
      </c>
      <c r="E1306" t="str">
        <f>Procurement_Raw!E1306</f>
        <v>TeleCare IT</v>
      </c>
      <c r="F1306" t="str">
        <f>Procurement_Raw!F1306</f>
        <v>IT &amp; Telecoms</v>
      </c>
      <c r="G1306" t="str">
        <f>Procurement_Raw!G1306</f>
        <v>INV-2025-01305</v>
      </c>
      <c r="H1306" s="6">
        <f>Procurement_Raw!H1306</f>
        <v>28</v>
      </c>
      <c r="I1306" s="7">
        <f>Procurement_Raw!I1306</f>
        <v>295.51</v>
      </c>
      <c r="J1306" s="7">
        <f>Procurement_Raw!J1306</f>
        <v>8274.32</v>
      </c>
      <c r="K1306" s="6">
        <f>Procurement_Raw!K1306</f>
        <v>30</v>
      </c>
      <c r="L1306" t="str">
        <f>Procurement_Raw!L1306</f>
        <v>ERP</v>
      </c>
      <c r="M1306" s="8">
        <f>Procurement_Raw!M1306</f>
        <v>1654.864</v>
      </c>
      <c r="N1306" s="7">
        <f>Procurement_Raw!N1306</f>
        <v>8274.32</v>
      </c>
      <c r="O1306" s="7">
        <f t="shared" si="40"/>
        <v>8274.32</v>
      </c>
      <c r="P1306" t="str">
        <f>IFERROR(INDEX(Supplier_Lookup!$B$2:$B$200,MATCH(E1306,Supplier_Lookup!$A$2:$A$200,0)),"Unmapped")</f>
        <v>IT &amp; Telecoms</v>
      </c>
      <c r="Q1306" s="10">
        <f>IFERROR(INDEX(Category_Targets!$B$2:$B$9,MATCH(F1306,Category_Targets!$A$2:$A$9,0)),0)</f>
        <v>0.08</v>
      </c>
      <c r="R1306" s="7">
        <f t="shared" si="41"/>
        <v>661.94560000000001</v>
      </c>
    </row>
    <row r="1307" spans="1:18" x14ac:dyDescent="0.25">
      <c r="A1307" s="5">
        <f>Procurement_Raw!A1307</f>
        <v>45712</v>
      </c>
      <c r="B1307" t="str">
        <f>Procurement_Raw!B1307</f>
        <v>S020</v>
      </c>
      <c r="C1307" t="str">
        <f>Procurement_Raw!C1307</f>
        <v>Bangor Care &amp; Education Centre</v>
      </c>
      <c r="D1307" t="str">
        <f>Procurement_Raw!D1307</f>
        <v>Wales</v>
      </c>
      <c r="E1307" t="str">
        <f>Procurement_Raw!E1307</f>
        <v>NetServe</v>
      </c>
      <c r="F1307" t="str">
        <f>Procurement_Raw!F1307</f>
        <v>IT &amp; Telecoms</v>
      </c>
      <c r="G1307" t="str">
        <f>Procurement_Raw!G1307</f>
        <v>INV-2025-01306</v>
      </c>
      <c r="H1307" s="6">
        <f>Procurement_Raw!H1307</f>
        <v>56</v>
      </c>
      <c r="I1307" s="7">
        <f>Procurement_Raw!I1307</f>
        <v>134.22</v>
      </c>
      <c r="J1307" s="7">
        <f>Procurement_Raw!J1307</f>
        <v>7516.24</v>
      </c>
      <c r="K1307" s="6">
        <f>Procurement_Raw!K1307</f>
        <v>60</v>
      </c>
      <c r="L1307" t="str">
        <f>Procurement_Raw!L1307</f>
        <v>ERP</v>
      </c>
      <c r="M1307" s="8">
        <f>Procurement_Raw!M1307</f>
        <v>1503.248</v>
      </c>
      <c r="N1307" s="7">
        <f>Procurement_Raw!N1307</f>
        <v>7516.24</v>
      </c>
      <c r="O1307" s="7">
        <f t="shared" si="40"/>
        <v>7516.24</v>
      </c>
      <c r="P1307" t="str">
        <f>IFERROR(INDEX(Supplier_Lookup!$B$2:$B$200,MATCH(E1307,Supplier_Lookup!$A$2:$A$200,0)),"Unmapped")</f>
        <v>IT &amp; Telecoms</v>
      </c>
      <c r="Q1307" s="10">
        <f>IFERROR(INDEX(Category_Targets!$B$2:$B$9,MATCH(F1307,Category_Targets!$A$2:$A$9,0)),0)</f>
        <v>0.08</v>
      </c>
      <c r="R1307" s="7">
        <f t="shared" si="41"/>
        <v>601.29920000000004</v>
      </c>
    </row>
    <row r="1308" spans="1:18" x14ac:dyDescent="0.25">
      <c r="A1308" s="5">
        <f>Procurement_Raw!A1308</f>
        <v>45664</v>
      </c>
      <c r="B1308" t="str">
        <f>Procurement_Raw!B1308</f>
        <v>S012</v>
      </c>
      <c r="C1308" t="str">
        <f>Procurement_Raw!C1308</f>
        <v>Bristol Care &amp; Education Centre</v>
      </c>
      <c r="D1308" t="str">
        <f>Procurement_Raw!D1308</f>
        <v>South</v>
      </c>
      <c r="E1308" t="str">
        <f>Procurement_Raw!E1308</f>
        <v>HealthStaffing</v>
      </c>
      <c r="F1308" t="str">
        <f>Procurement_Raw!F1308</f>
        <v>Agency Labour</v>
      </c>
      <c r="G1308" t="str">
        <f>Procurement_Raw!G1308</f>
        <v>INV-2025-01307</v>
      </c>
      <c r="H1308" s="6">
        <f>Procurement_Raw!H1308</f>
        <v>22</v>
      </c>
      <c r="I1308" s="7">
        <f>Procurement_Raw!I1308</f>
        <v>304.69</v>
      </c>
      <c r="J1308" s="7">
        <f>Procurement_Raw!J1308</f>
        <v>6703.09</v>
      </c>
      <c r="K1308" s="6">
        <f>Procurement_Raw!K1308</f>
        <v>60</v>
      </c>
      <c r="L1308" t="str">
        <f>Procurement_Raw!L1308</f>
        <v>Procurement Portal</v>
      </c>
      <c r="M1308" s="8">
        <f>Procurement_Raw!M1308</f>
        <v>1340.6179999999999</v>
      </c>
      <c r="N1308" s="7">
        <f>Procurement_Raw!N1308</f>
        <v>6703.09</v>
      </c>
      <c r="O1308" s="7">
        <f t="shared" si="40"/>
        <v>6703.09</v>
      </c>
      <c r="P1308" t="str">
        <f>IFERROR(INDEX(Supplier_Lookup!$B$2:$B$200,MATCH(E1308,Supplier_Lookup!$A$2:$A$200,0)),"Unmapped")</f>
        <v>Agency Labour</v>
      </c>
      <c r="Q1308" s="10">
        <f>IFERROR(INDEX(Category_Targets!$B$2:$B$9,MATCH(F1308,Category_Targets!$A$2:$A$9,0)),0)</f>
        <v>7.0000000000000007E-2</v>
      </c>
      <c r="R1308" s="7">
        <f t="shared" si="41"/>
        <v>469.21630000000005</v>
      </c>
    </row>
    <row r="1309" spans="1:18" x14ac:dyDescent="0.25">
      <c r="A1309" s="5">
        <f>Procurement_Raw!A1309</f>
        <v>45966</v>
      </c>
      <c r="B1309" t="str">
        <f>Procurement_Raw!B1309</f>
        <v>S013</v>
      </c>
      <c r="C1309" t="str">
        <f>Procurement_Raw!C1309</f>
        <v>Reading Care &amp; Education Centre</v>
      </c>
      <c r="D1309" t="str">
        <f>Procurement_Raw!D1309</f>
        <v>South</v>
      </c>
      <c r="E1309" t="str">
        <f>Procurement_Raw!E1309</f>
        <v>NurseLink</v>
      </c>
      <c r="F1309" t="str">
        <f>Procurement_Raw!F1309</f>
        <v>Agency Labour</v>
      </c>
      <c r="G1309" t="str">
        <f>Procurement_Raw!G1309</f>
        <v>INV-2025-01308</v>
      </c>
      <c r="H1309" s="6">
        <f>Procurement_Raw!H1309</f>
        <v>63</v>
      </c>
      <c r="I1309" s="7">
        <f>Procurement_Raw!I1309</f>
        <v>298.5</v>
      </c>
      <c r="J1309" s="7">
        <f>Procurement_Raw!J1309</f>
        <v>18805.45</v>
      </c>
      <c r="K1309" s="6">
        <f>Procurement_Raw!K1309</f>
        <v>45</v>
      </c>
      <c r="L1309" t="str">
        <f>Procurement_Raw!L1309</f>
        <v>Legacy Spend File</v>
      </c>
      <c r="M1309" s="8">
        <f>Procurement_Raw!M1309</f>
        <v>3761.09</v>
      </c>
      <c r="N1309" s="7">
        <f>Procurement_Raw!N1309</f>
        <v>18805.45</v>
      </c>
      <c r="O1309" s="7">
        <f t="shared" si="40"/>
        <v>18805.45</v>
      </c>
      <c r="P1309" t="str">
        <f>IFERROR(INDEX(Supplier_Lookup!$B$2:$B$200,MATCH(E1309,Supplier_Lookup!$A$2:$A$200,0)),"Unmapped")</f>
        <v>Agency Labour</v>
      </c>
      <c r="Q1309" s="10">
        <f>IFERROR(INDEX(Category_Targets!$B$2:$B$9,MATCH(F1309,Category_Targets!$A$2:$A$9,0)),0)</f>
        <v>7.0000000000000007E-2</v>
      </c>
      <c r="R1309" s="7">
        <f t="shared" si="41"/>
        <v>1316.3815000000002</v>
      </c>
    </row>
    <row r="1310" spans="1:18" x14ac:dyDescent="0.25">
      <c r="A1310" s="5">
        <f>Procurement_Raw!A1310</f>
        <v>46002</v>
      </c>
      <c r="B1310" t="str">
        <f>Procurement_Raw!B1310</f>
        <v>S011</v>
      </c>
      <c r="C1310" t="str">
        <f>Procurement_Raw!C1310</f>
        <v>London Care &amp; Education Centre</v>
      </c>
      <c r="D1310" t="str">
        <f>Procurement_Raw!D1310</f>
        <v>South</v>
      </c>
      <c r="E1310" t="str">
        <f>Procurement_Raw!E1310</f>
        <v>AutoCare</v>
      </c>
      <c r="F1310" t="str">
        <f>Procurement_Raw!F1310</f>
        <v>Vehicle &amp; Fuel</v>
      </c>
      <c r="G1310" t="str">
        <f>Procurement_Raw!G1310</f>
        <v>INV-2025-01309</v>
      </c>
      <c r="H1310" s="6">
        <f>Procurement_Raw!H1310</f>
        <v>51</v>
      </c>
      <c r="I1310" s="7">
        <f>Procurement_Raw!I1310</f>
        <v>172.62</v>
      </c>
      <c r="J1310" s="7">
        <f>Procurement_Raw!J1310</f>
        <v>8803.86</v>
      </c>
      <c r="K1310" s="6">
        <f>Procurement_Raw!K1310</f>
        <v>45</v>
      </c>
      <c r="L1310" t="str">
        <f>Procurement_Raw!L1310</f>
        <v>ERP</v>
      </c>
      <c r="M1310" s="8">
        <f>Procurement_Raw!M1310</f>
        <v>1760.7719999999999</v>
      </c>
      <c r="N1310" s="7">
        <f>Procurement_Raw!N1310</f>
        <v>8803.86</v>
      </c>
      <c r="O1310" s="7">
        <f t="shared" si="40"/>
        <v>8803.86</v>
      </c>
      <c r="P1310" t="str">
        <f>IFERROR(INDEX(Supplier_Lookup!$B$2:$B$200,MATCH(E1310,Supplier_Lookup!$A$2:$A$200,0)),"Unmapped")</f>
        <v>Vehicle &amp; Fuel</v>
      </c>
      <c r="Q1310" s="10">
        <f>IFERROR(INDEX(Category_Targets!$B$2:$B$9,MATCH(F1310,Category_Targets!$A$2:$A$9,0)),0)</f>
        <v>0.05</v>
      </c>
      <c r="R1310" s="7">
        <f t="shared" si="41"/>
        <v>440.19300000000004</v>
      </c>
    </row>
    <row r="1311" spans="1:18" x14ac:dyDescent="0.25">
      <c r="A1311" s="5">
        <f>Procurement_Raw!A1311</f>
        <v>45755</v>
      </c>
      <c r="B1311" t="str">
        <f>Procurement_Raw!B1311</f>
        <v>S003</v>
      </c>
      <c r="C1311" t="str">
        <f>Procurement_Raw!C1311</f>
        <v>Leeds Care &amp; Education Centre</v>
      </c>
      <c r="D1311" t="str">
        <f>Procurement_Raw!D1311</f>
        <v>North</v>
      </c>
      <c r="E1311" t="str">
        <f>Procurement_Raw!E1311</f>
        <v>CleanWorks</v>
      </c>
      <c r="F1311" t="str">
        <f>Procurement_Raw!F1311</f>
        <v>Facilities</v>
      </c>
      <c r="G1311" t="str">
        <f>Procurement_Raw!G1311</f>
        <v>INV-2025-01310</v>
      </c>
      <c r="H1311" s="6">
        <f>Procurement_Raw!H1311</f>
        <v>15</v>
      </c>
      <c r="I1311" s="7">
        <f>Procurement_Raw!I1311</f>
        <v>233.7</v>
      </c>
      <c r="J1311" s="7">
        <f>Procurement_Raw!J1311</f>
        <v>3505.51</v>
      </c>
      <c r="K1311" s="6">
        <f>Procurement_Raw!K1311</f>
        <v>30</v>
      </c>
      <c r="L1311" t="str">
        <f>Procurement_Raw!L1311</f>
        <v>Legacy Spend File</v>
      </c>
      <c r="M1311" s="8">
        <f>Procurement_Raw!M1311</f>
        <v>701.10199999999998</v>
      </c>
      <c r="N1311" s="7">
        <f>Procurement_Raw!N1311</f>
        <v>3505.51</v>
      </c>
      <c r="O1311" s="7">
        <f t="shared" si="40"/>
        <v>3505.51</v>
      </c>
      <c r="P1311" t="str">
        <f>IFERROR(INDEX(Supplier_Lookup!$B$2:$B$200,MATCH(E1311,Supplier_Lookup!$A$2:$A$200,0)),"Unmapped")</f>
        <v>Facilities</v>
      </c>
      <c r="Q1311" s="10">
        <f>IFERROR(INDEX(Category_Targets!$B$2:$B$9,MATCH(F1311,Category_Targets!$A$2:$A$9,0)),0)</f>
        <v>0.05</v>
      </c>
      <c r="R1311" s="7">
        <f t="shared" si="41"/>
        <v>175.27550000000002</v>
      </c>
    </row>
    <row r="1312" spans="1:18" x14ac:dyDescent="0.25">
      <c r="A1312" s="5">
        <f>Procurement_Raw!A1312</f>
        <v>45904</v>
      </c>
      <c r="B1312" t="str">
        <f>Procurement_Raw!B1312</f>
        <v>S012</v>
      </c>
      <c r="C1312" t="str">
        <f>Procurement_Raw!C1312</f>
        <v>Bristol Care &amp; Education Centre</v>
      </c>
      <c r="D1312" t="str">
        <f>Procurement_Raw!D1312</f>
        <v>South</v>
      </c>
      <c r="E1312" t="str">
        <f>Procurement_Raw!E1312</f>
        <v>MediSure</v>
      </c>
      <c r="F1312" t="str">
        <f>Procurement_Raw!F1312</f>
        <v>Medical Supplies</v>
      </c>
      <c r="G1312" t="str">
        <f>Procurement_Raw!G1312</f>
        <v>INV-2025-01311</v>
      </c>
      <c r="H1312" s="6">
        <f>Procurement_Raw!H1312</f>
        <v>19</v>
      </c>
      <c r="I1312" s="7">
        <f>Procurement_Raw!I1312</f>
        <v>118.36</v>
      </c>
      <c r="J1312" s="7">
        <f>Procurement_Raw!J1312</f>
        <v>2248.83</v>
      </c>
      <c r="K1312" s="6">
        <f>Procurement_Raw!K1312</f>
        <v>60</v>
      </c>
      <c r="L1312" t="str">
        <f>Procurement_Raw!L1312</f>
        <v>ERP</v>
      </c>
      <c r="M1312" s="8">
        <f>Procurement_Raw!M1312</f>
        <v>449.76600000000002</v>
      </c>
      <c r="N1312" s="7">
        <f>Procurement_Raw!N1312</f>
        <v>2248.83</v>
      </c>
      <c r="O1312" s="7">
        <f t="shared" si="40"/>
        <v>2248.83</v>
      </c>
      <c r="P1312" t="str">
        <f>IFERROR(INDEX(Supplier_Lookup!$B$2:$B$200,MATCH(E1312,Supplier_Lookup!$A$2:$A$200,0)),"Unmapped")</f>
        <v>Medical Supplies</v>
      </c>
      <c r="Q1312" s="10">
        <f>IFERROR(INDEX(Category_Targets!$B$2:$B$9,MATCH(F1312,Category_Targets!$A$2:$A$9,0)),0)</f>
        <v>0.06</v>
      </c>
      <c r="R1312" s="7">
        <f t="shared" si="41"/>
        <v>134.9298</v>
      </c>
    </row>
    <row r="1313" spans="1:18" x14ac:dyDescent="0.25">
      <c r="A1313" s="5">
        <f>Procurement_Raw!A1313</f>
        <v>45812</v>
      </c>
      <c r="B1313" t="str">
        <f>Procurement_Raw!B1313</f>
        <v>S017</v>
      </c>
      <c r="C1313" t="str">
        <f>Procurement_Raw!C1313</f>
        <v>Swansea Care &amp; Education Centre</v>
      </c>
      <c r="D1313" t="str">
        <f>Procurement_Raw!D1313</f>
        <v>Wales</v>
      </c>
      <c r="E1313" t="str">
        <f>Procurement_Raw!E1313</f>
        <v>UK Energy Partners</v>
      </c>
      <c r="F1313" t="str">
        <f>Procurement_Raw!F1313</f>
        <v>Utilities</v>
      </c>
      <c r="G1313" t="str">
        <f>Procurement_Raw!G1313</f>
        <v>INV-2025-01312</v>
      </c>
      <c r="H1313" s="6">
        <f>Procurement_Raw!H1313</f>
        <v>60</v>
      </c>
      <c r="I1313" s="7">
        <f>Procurement_Raw!I1313</f>
        <v>391.99</v>
      </c>
      <c r="J1313" s="7">
        <f>Procurement_Raw!J1313</f>
        <v>23519.31</v>
      </c>
      <c r="K1313" s="6">
        <f>Procurement_Raw!K1313</f>
        <v>30</v>
      </c>
      <c r="L1313" t="str">
        <f>Procurement_Raw!L1313</f>
        <v>Procurement Portal</v>
      </c>
      <c r="M1313" s="8">
        <f>Procurement_Raw!M1313</f>
        <v>4703.8620000000001</v>
      </c>
      <c r="N1313" s="7">
        <f>Procurement_Raw!N1313</f>
        <v>23519.31</v>
      </c>
      <c r="O1313" s="7">
        <f t="shared" si="40"/>
        <v>23519.31</v>
      </c>
      <c r="P1313" t="str">
        <f>IFERROR(INDEX(Supplier_Lookup!$B$2:$B$200,MATCH(E1313,Supplier_Lookup!$A$2:$A$200,0)),"Unmapped")</f>
        <v>Utilities</v>
      </c>
      <c r="Q1313" s="10">
        <f>IFERROR(INDEX(Category_Targets!$B$2:$B$9,MATCH(F1313,Category_Targets!$A$2:$A$9,0)),0)</f>
        <v>0.03</v>
      </c>
      <c r="R1313" s="7">
        <f t="shared" si="41"/>
        <v>705.57929999999999</v>
      </c>
    </row>
    <row r="1314" spans="1:18" x14ac:dyDescent="0.25">
      <c r="A1314" s="5">
        <f>Procurement_Raw!A1314</f>
        <v>45743</v>
      </c>
      <c r="B1314" t="str">
        <f>Procurement_Raw!B1314</f>
        <v>S018</v>
      </c>
      <c r="C1314" t="str">
        <f>Procurement_Raw!C1314</f>
        <v>Newport Care &amp; Education Centre</v>
      </c>
      <c r="D1314" t="str">
        <f>Procurement_Raw!D1314</f>
        <v>Wales</v>
      </c>
      <c r="E1314" t="str">
        <f>Procurement_Raw!E1314</f>
        <v>MediSure</v>
      </c>
      <c r="F1314" t="str">
        <f>Procurement_Raw!F1314</f>
        <v>Medical Supplies</v>
      </c>
      <c r="G1314" t="str">
        <f>Procurement_Raw!G1314</f>
        <v>INV-2025-01313</v>
      </c>
      <c r="H1314" s="6">
        <f>Procurement_Raw!H1314</f>
        <v>20</v>
      </c>
      <c r="I1314" s="7">
        <f>Procurement_Raw!I1314</f>
        <v>257.77999999999997</v>
      </c>
      <c r="J1314" s="7">
        <f>Procurement_Raw!J1314</f>
        <v>5155.6000000000004</v>
      </c>
      <c r="K1314" s="6">
        <f>Procurement_Raw!K1314</f>
        <v>60</v>
      </c>
      <c r="L1314" t="str">
        <f>Procurement_Raw!L1314</f>
        <v>Legacy Spend File</v>
      </c>
      <c r="M1314" s="8">
        <f>Procurement_Raw!M1314</f>
        <v>1031.1199999999999</v>
      </c>
      <c r="N1314" s="7">
        <f>Procurement_Raw!N1314</f>
        <v>5155.6000000000004</v>
      </c>
      <c r="O1314" s="7">
        <f t="shared" si="40"/>
        <v>5155.6000000000004</v>
      </c>
      <c r="P1314" t="str">
        <f>IFERROR(INDEX(Supplier_Lookup!$B$2:$B$200,MATCH(E1314,Supplier_Lookup!$A$2:$A$200,0)),"Unmapped")</f>
        <v>Medical Supplies</v>
      </c>
      <c r="Q1314" s="10">
        <f>IFERROR(INDEX(Category_Targets!$B$2:$B$9,MATCH(F1314,Category_Targets!$A$2:$A$9,0)),0)</f>
        <v>0.06</v>
      </c>
      <c r="R1314" s="7">
        <f t="shared" si="41"/>
        <v>309.33600000000001</v>
      </c>
    </row>
    <row r="1315" spans="1:18" x14ac:dyDescent="0.25">
      <c r="A1315" s="5">
        <f>Procurement_Raw!A1315</f>
        <v>45668</v>
      </c>
      <c r="B1315" t="str">
        <f>Procurement_Raw!B1315</f>
        <v>S004</v>
      </c>
      <c r="C1315" t="str">
        <f>Procurement_Raw!C1315</f>
        <v>Newcastle Care &amp; Education Centre</v>
      </c>
      <c r="D1315" t="str">
        <f>Procurement_Raw!D1315</f>
        <v>North</v>
      </c>
      <c r="E1315" t="str">
        <f>Procurement_Raw!E1315</f>
        <v>LearnWell</v>
      </c>
      <c r="F1315" t="str">
        <f>Procurement_Raw!F1315</f>
        <v>Office &amp; Training</v>
      </c>
      <c r="G1315" t="str">
        <f>Procurement_Raw!G1315</f>
        <v>INV-2025-01314</v>
      </c>
      <c r="H1315" s="6">
        <f>Procurement_Raw!H1315</f>
        <v>58</v>
      </c>
      <c r="I1315" s="7">
        <f>Procurement_Raw!I1315</f>
        <v>101.93</v>
      </c>
      <c r="J1315" s="7">
        <f>Procurement_Raw!J1315</f>
        <v>5911.93</v>
      </c>
      <c r="K1315" s="6">
        <f>Procurement_Raw!K1315</f>
        <v>60</v>
      </c>
      <c r="L1315" t="str">
        <f>Procurement_Raw!L1315</f>
        <v>ERP</v>
      </c>
      <c r="M1315" s="8">
        <f>Procurement_Raw!M1315</f>
        <v>1182.386</v>
      </c>
      <c r="N1315" s="7">
        <f>Procurement_Raw!N1315</f>
        <v>5911.93</v>
      </c>
      <c r="O1315" s="7">
        <f t="shared" si="40"/>
        <v>5911.93</v>
      </c>
      <c r="P1315" t="str">
        <f>IFERROR(INDEX(Supplier_Lookup!$B$2:$B$200,MATCH(E1315,Supplier_Lookup!$A$2:$A$200,0)),"Unmapped")</f>
        <v>Office &amp; Training</v>
      </c>
      <c r="Q1315" s="10">
        <f>IFERROR(INDEX(Category_Targets!$B$2:$B$9,MATCH(F1315,Category_Targets!$A$2:$A$9,0)),0)</f>
        <v>0.04</v>
      </c>
      <c r="R1315" s="7">
        <f t="shared" si="41"/>
        <v>236.47720000000001</v>
      </c>
    </row>
    <row r="1316" spans="1:18" x14ac:dyDescent="0.25">
      <c r="A1316" s="5">
        <f>Procurement_Raw!A1316</f>
        <v>45858</v>
      </c>
      <c r="B1316" t="str">
        <f>Procurement_Raw!B1316</f>
        <v>S017</v>
      </c>
      <c r="C1316" t="str">
        <f>Procurement_Raw!C1316</f>
        <v>Swansea Care &amp; Education Centre</v>
      </c>
      <c r="D1316" t="str">
        <f>Procurement_Raw!D1316</f>
        <v>Wales</v>
      </c>
      <c r="E1316" t="str">
        <f>Procurement_Raw!E1316</f>
        <v>NetServe</v>
      </c>
      <c r="F1316" t="str">
        <f>Procurement_Raw!F1316</f>
        <v>IT &amp; Telecoms</v>
      </c>
      <c r="G1316" t="str">
        <f>Procurement_Raw!G1316</f>
        <v>INV-2025-01315</v>
      </c>
      <c r="H1316" s="6">
        <f>Procurement_Raw!H1316</f>
        <v>7</v>
      </c>
      <c r="I1316" s="7">
        <f>Procurement_Raw!I1316</f>
        <v>221.26</v>
      </c>
      <c r="J1316" s="7">
        <f>Procurement_Raw!J1316</f>
        <v>1548.79</v>
      </c>
      <c r="K1316" s="6">
        <f>Procurement_Raw!K1316</f>
        <v>45</v>
      </c>
      <c r="L1316" t="str">
        <f>Procurement_Raw!L1316</f>
        <v>ERP</v>
      </c>
      <c r="M1316" s="8">
        <f>Procurement_Raw!M1316</f>
        <v>309.75799999999998</v>
      </c>
      <c r="N1316" s="7">
        <f>Procurement_Raw!N1316</f>
        <v>1548.79</v>
      </c>
      <c r="O1316" s="7">
        <f t="shared" si="40"/>
        <v>1548.79</v>
      </c>
      <c r="P1316" t="str">
        <f>IFERROR(INDEX(Supplier_Lookup!$B$2:$B$200,MATCH(E1316,Supplier_Lookup!$A$2:$A$200,0)),"Unmapped")</f>
        <v>IT &amp; Telecoms</v>
      </c>
      <c r="Q1316" s="10">
        <f>IFERROR(INDEX(Category_Targets!$B$2:$B$9,MATCH(F1316,Category_Targets!$A$2:$A$9,0)),0)</f>
        <v>0.08</v>
      </c>
      <c r="R1316" s="7">
        <f t="shared" si="41"/>
        <v>123.9032</v>
      </c>
    </row>
    <row r="1317" spans="1:18" x14ac:dyDescent="0.25">
      <c r="A1317" s="5">
        <f>Procurement_Raw!A1317</f>
        <v>45911</v>
      </c>
      <c r="B1317" t="str">
        <f>Procurement_Raw!B1317</f>
        <v>S009</v>
      </c>
      <c r="C1317" t="str">
        <f>Procurement_Raw!C1317</f>
        <v>Derby Care &amp; Education Centre</v>
      </c>
      <c r="D1317" t="str">
        <f>Procurement_Raw!D1317</f>
        <v>Midlands</v>
      </c>
      <c r="E1317" t="str">
        <f>Procurement_Raw!E1317</f>
        <v>CareTemps</v>
      </c>
      <c r="F1317" t="str">
        <f>Procurement_Raw!F1317</f>
        <v>Agency Labour</v>
      </c>
      <c r="G1317" t="str">
        <f>Procurement_Raw!G1317</f>
        <v>INV-2025-01316</v>
      </c>
      <c r="H1317" s="6">
        <f>Procurement_Raw!H1317</f>
        <v>75</v>
      </c>
      <c r="I1317" s="7">
        <f>Procurement_Raw!I1317</f>
        <v>145.81</v>
      </c>
      <c r="J1317" s="7">
        <f>Procurement_Raw!J1317</f>
        <v>10935.4</v>
      </c>
      <c r="K1317" s="6">
        <f>Procurement_Raw!K1317</f>
        <v>60</v>
      </c>
      <c r="L1317" t="str">
        <f>Procurement_Raw!L1317</f>
        <v>Legacy Spend File</v>
      </c>
      <c r="M1317" s="8">
        <f>Procurement_Raw!M1317</f>
        <v>2187.08</v>
      </c>
      <c r="N1317" s="7">
        <f>Procurement_Raw!N1317</f>
        <v>10935.4</v>
      </c>
      <c r="O1317" s="7">
        <f t="shared" si="40"/>
        <v>10935.4</v>
      </c>
      <c r="P1317" t="str">
        <f>IFERROR(INDEX(Supplier_Lookup!$B$2:$B$200,MATCH(E1317,Supplier_Lookup!$A$2:$A$200,0)),"Unmapped")</f>
        <v>Agency Labour</v>
      </c>
      <c r="Q1317" s="10">
        <f>IFERROR(INDEX(Category_Targets!$B$2:$B$9,MATCH(F1317,Category_Targets!$A$2:$A$9,0)),0)</f>
        <v>7.0000000000000007E-2</v>
      </c>
      <c r="R1317" s="7">
        <f t="shared" si="41"/>
        <v>765.47800000000007</v>
      </c>
    </row>
    <row r="1318" spans="1:18" x14ac:dyDescent="0.25">
      <c r="A1318" s="5">
        <f>Procurement_Raw!A1318</f>
        <v>45907</v>
      </c>
      <c r="B1318" t="str">
        <f>Procurement_Raw!B1318</f>
        <v>S007</v>
      </c>
      <c r="C1318" t="str">
        <f>Procurement_Raw!C1318</f>
        <v>Nottingham Care &amp; Education Centre</v>
      </c>
      <c r="D1318" t="str">
        <f>Procurement_Raw!D1318</f>
        <v>Midlands</v>
      </c>
      <c r="E1318" t="str">
        <f>Procurement_Raw!E1318</f>
        <v>CloudLink</v>
      </c>
      <c r="F1318" t="str">
        <f>Procurement_Raw!F1318</f>
        <v>IT &amp; Telecoms</v>
      </c>
      <c r="G1318" t="str">
        <f>Procurement_Raw!G1318</f>
        <v>INV-2025-01317</v>
      </c>
      <c r="H1318" s="6">
        <f>Procurement_Raw!H1318</f>
        <v>52</v>
      </c>
      <c r="I1318" s="7">
        <f>Procurement_Raw!I1318</f>
        <v>122.46</v>
      </c>
      <c r="J1318" s="7">
        <f>Procurement_Raw!J1318</f>
        <v>6368.11</v>
      </c>
      <c r="K1318" s="6">
        <f>Procurement_Raw!K1318</f>
        <v>45</v>
      </c>
      <c r="L1318" t="str">
        <f>Procurement_Raw!L1318</f>
        <v>Legacy Spend File</v>
      </c>
      <c r="M1318" s="8">
        <f>Procurement_Raw!M1318</f>
        <v>1273.6220000000001</v>
      </c>
      <c r="N1318" s="7">
        <f>Procurement_Raw!N1318</f>
        <v>6368.11</v>
      </c>
      <c r="O1318" s="7">
        <f t="shared" si="40"/>
        <v>6368.11</v>
      </c>
      <c r="P1318" t="str">
        <f>IFERROR(INDEX(Supplier_Lookup!$B$2:$B$200,MATCH(E1318,Supplier_Lookup!$A$2:$A$200,0)),"Unmapped")</f>
        <v>medical supplies</v>
      </c>
      <c r="Q1318" s="10">
        <f>IFERROR(INDEX(Category_Targets!$B$2:$B$9,MATCH(F1318,Category_Targets!$A$2:$A$9,0)),0)</f>
        <v>0.08</v>
      </c>
      <c r="R1318" s="7">
        <f t="shared" si="41"/>
        <v>509.44880000000001</v>
      </c>
    </row>
    <row r="1319" spans="1:18" x14ac:dyDescent="0.25">
      <c r="A1319" s="5">
        <f>Procurement_Raw!A1319</f>
        <v>45689</v>
      </c>
      <c r="B1319" t="str">
        <f>Procurement_Raw!B1319</f>
        <v>S010</v>
      </c>
      <c r="C1319" t="str">
        <f>Procurement_Raw!C1319</f>
        <v>Coventry Care &amp; Education Centre</v>
      </c>
      <c r="D1319" t="str">
        <f>Procurement_Raw!D1319</f>
        <v>Midlands</v>
      </c>
      <c r="E1319" t="str">
        <f>Procurement_Raw!E1319</f>
        <v>OfficePlus</v>
      </c>
      <c r="F1319" t="str">
        <f>Procurement_Raw!F1319</f>
        <v>Office &amp; Training</v>
      </c>
      <c r="G1319" t="str">
        <f>Procurement_Raw!G1319</f>
        <v>INV-2025-01318</v>
      </c>
      <c r="H1319" s="6">
        <f>Procurement_Raw!H1319</f>
        <v>68</v>
      </c>
      <c r="I1319" s="7">
        <f>Procurement_Raw!I1319</f>
        <v>63.41</v>
      </c>
      <c r="J1319" s="7">
        <f>Procurement_Raw!J1319</f>
        <v>4311.8500000000004</v>
      </c>
      <c r="K1319" s="6">
        <f>Procurement_Raw!K1319</f>
        <v>30</v>
      </c>
      <c r="L1319" t="str">
        <f>Procurement_Raw!L1319</f>
        <v>Procurement Portal</v>
      </c>
      <c r="M1319" s="8">
        <f>Procurement_Raw!M1319</f>
        <v>862.37</v>
      </c>
      <c r="N1319" s="7">
        <f>Procurement_Raw!N1319</f>
        <v>4311.8500000000004</v>
      </c>
      <c r="O1319" s="7">
        <f t="shared" si="40"/>
        <v>4311.8500000000004</v>
      </c>
      <c r="P1319" t="str">
        <f>IFERROR(INDEX(Supplier_Lookup!$B$2:$B$200,MATCH(E1319,Supplier_Lookup!$A$2:$A$200,0)),"Unmapped")</f>
        <v>Office &amp; Training</v>
      </c>
      <c r="Q1319" s="10">
        <f>IFERROR(INDEX(Category_Targets!$B$2:$B$9,MATCH(F1319,Category_Targets!$A$2:$A$9,0)),0)</f>
        <v>0.04</v>
      </c>
      <c r="R1319" s="7">
        <f t="shared" si="41"/>
        <v>172.47400000000002</v>
      </c>
    </row>
    <row r="1320" spans="1:18" x14ac:dyDescent="0.25">
      <c r="A1320" s="5">
        <f>Procurement_Raw!A1320</f>
        <v>45690</v>
      </c>
      <c r="B1320" t="str">
        <f>Procurement_Raw!B1320</f>
        <v>S006</v>
      </c>
      <c r="C1320" t="str">
        <f>Procurement_Raw!C1320</f>
        <v>Birmingham Care &amp; Education Centre</v>
      </c>
      <c r="D1320" t="str">
        <f>Procurement_Raw!D1320</f>
        <v>Midlands</v>
      </c>
      <c r="E1320" t="str">
        <f>Procurement_Raw!E1320</f>
        <v>AutoCare</v>
      </c>
      <c r="F1320" t="str">
        <f>Procurement_Raw!F1320</f>
        <v>Vehicle &amp; Fuel</v>
      </c>
      <c r="G1320" t="str">
        <f>Procurement_Raw!G1320</f>
        <v>INV-2025-01319</v>
      </c>
      <c r="H1320" s="6">
        <f>Procurement_Raw!H1320</f>
        <v>35</v>
      </c>
      <c r="I1320" s="7">
        <f>Procurement_Raw!I1320</f>
        <v>67.94</v>
      </c>
      <c r="J1320" s="7">
        <f>Procurement_Raw!J1320</f>
        <v>2377.9499999999998</v>
      </c>
      <c r="K1320" s="6">
        <f>Procurement_Raw!K1320</f>
        <v>60</v>
      </c>
      <c r="L1320" t="str">
        <f>Procurement_Raw!L1320</f>
        <v>Procurement Portal</v>
      </c>
      <c r="M1320" s="8">
        <f>Procurement_Raw!M1320</f>
        <v>475.59</v>
      </c>
      <c r="N1320" s="7">
        <f>Procurement_Raw!N1320</f>
        <v>2377.9499999999998</v>
      </c>
      <c r="O1320" s="7">
        <f t="shared" si="40"/>
        <v>2377.9499999999998</v>
      </c>
      <c r="P1320" t="str">
        <f>IFERROR(INDEX(Supplier_Lookup!$B$2:$B$200,MATCH(E1320,Supplier_Lookup!$A$2:$A$200,0)),"Unmapped")</f>
        <v>Vehicle &amp; Fuel</v>
      </c>
      <c r="Q1320" s="10">
        <f>IFERROR(INDEX(Category_Targets!$B$2:$B$9,MATCH(F1320,Category_Targets!$A$2:$A$9,0)),0)</f>
        <v>0.05</v>
      </c>
      <c r="R1320" s="7">
        <f t="shared" si="41"/>
        <v>118.89749999999999</v>
      </c>
    </row>
    <row r="1321" spans="1:18" x14ac:dyDescent="0.25">
      <c r="A1321" s="5">
        <f>Procurement_Raw!A1321</f>
        <v>45976</v>
      </c>
      <c r="B1321" t="str">
        <f>Procurement_Raw!B1321</f>
        <v>S004</v>
      </c>
      <c r="C1321" t="str">
        <f>Procurement_Raw!C1321</f>
        <v>Newcastle Care &amp; Education Centre</v>
      </c>
      <c r="D1321" t="str">
        <f>Procurement_Raw!D1321</f>
        <v>North</v>
      </c>
      <c r="E1321" t="str">
        <f>Procurement_Raw!E1321</f>
        <v>NourishCo</v>
      </c>
      <c r="F1321" t="str">
        <f>Procurement_Raw!F1321</f>
        <v>Food &amp; Catering</v>
      </c>
      <c r="G1321" t="str">
        <f>Procurement_Raw!G1321</f>
        <v>INV-2025-01320</v>
      </c>
      <c r="H1321" s="6">
        <f>Procurement_Raw!H1321</f>
        <v>45</v>
      </c>
      <c r="I1321" s="7">
        <f>Procurement_Raw!I1321</f>
        <v>58.65</v>
      </c>
      <c r="J1321" s="7">
        <f>Procurement_Raw!J1321</f>
        <v>2639.16</v>
      </c>
      <c r="K1321" s="6">
        <f>Procurement_Raw!K1321</f>
        <v>45</v>
      </c>
      <c r="L1321" t="str">
        <f>Procurement_Raw!L1321</f>
        <v>Legacy Spend File</v>
      </c>
      <c r="M1321" s="8">
        <f>Procurement_Raw!M1321</f>
        <v>527.83199999999999</v>
      </c>
      <c r="N1321" s="7">
        <f>Procurement_Raw!N1321</f>
        <v>2639.16</v>
      </c>
      <c r="O1321" s="7">
        <f t="shared" si="40"/>
        <v>2639.16</v>
      </c>
      <c r="P1321" t="str">
        <f>IFERROR(INDEX(Supplier_Lookup!$B$2:$B$200,MATCH(E1321,Supplier_Lookup!$A$2:$A$200,0)),"Unmapped")</f>
        <v>Food &amp; Catering</v>
      </c>
      <c r="Q1321" s="10">
        <f>IFERROR(INDEX(Category_Targets!$B$2:$B$9,MATCH(F1321,Category_Targets!$A$2:$A$9,0)),0)</f>
        <v>0.04</v>
      </c>
      <c r="R1321" s="7">
        <f t="shared" si="41"/>
        <v>105.5664</v>
      </c>
    </row>
    <row r="1322" spans="1:18" x14ac:dyDescent="0.25">
      <c r="A1322" s="5">
        <f>Procurement_Raw!A1322</f>
        <v>45805</v>
      </c>
      <c r="B1322" t="str">
        <f>Procurement_Raw!B1322</f>
        <v>S005</v>
      </c>
      <c r="C1322" t="str">
        <f>Procurement_Raw!C1322</f>
        <v>Sheffield Care &amp; Education Centre</v>
      </c>
      <c r="D1322" t="str">
        <f>Procurement_Raw!D1322</f>
        <v>North</v>
      </c>
      <c r="E1322" t="str">
        <f>Procurement_Raw!E1322</f>
        <v>MediSure</v>
      </c>
      <c r="F1322" t="str">
        <f>Procurement_Raw!F1322</f>
        <v>Medical Supplies</v>
      </c>
      <c r="G1322" t="str">
        <f>Procurement_Raw!G1322</f>
        <v>INV-2025-01321</v>
      </c>
      <c r="H1322" s="6">
        <f>Procurement_Raw!H1322</f>
        <v>25</v>
      </c>
      <c r="I1322" s="7">
        <f>Procurement_Raw!I1322</f>
        <v>123.8</v>
      </c>
      <c r="J1322" s="7">
        <f>Procurement_Raw!J1322</f>
        <v>3094.94</v>
      </c>
      <c r="K1322" s="6">
        <f>Procurement_Raw!K1322</f>
        <v>45</v>
      </c>
      <c r="L1322" t="str">
        <f>Procurement_Raw!L1322</f>
        <v>Procurement Portal</v>
      </c>
      <c r="M1322" s="8">
        <f>Procurement_Raw!M1322</f>
        <v>618.98800000000006</v>
      </c>
      <c r="N1322" s="7">
        <f>Procurement_Raw!N1322</f>
        <v>3094.94</v>
      </c>
      <c r="O1322" s="7">
        <f t="shared" si="40"/>
        <v>3094.94</v>
      </c>
      <c r="P1322" t="str">
        <f>IFERROR(INDEX(Supplier_Lookup!$B$2:$B$200,MATCH(E1322,Supplier_Lookup!$A$2:$A$200,0)),"Unmapped")</f>
        <v>Medical Supplies</v>
      </c>
      <c r="Q1322" s="10">
        <f>IFERROR(INDEX(Category_Targets!$B$2:$B$9,MATCH(F1322,Category_Targets!$A$2:$A$9,0)),0)</f>
        <v>0.06</v>
      </c>
      <c r="R1322" s="7">
        <f t="shared" si="41"/>
        <v>185.69639999999998</v>
      </c>
    </row>
    <row r="1323" spans="1:18" x14ac:dyDescent="0.25">
      <c r="A1323" s="5">
        <f>Procurement_Raw!A1323</f>
        <v>45770</v>
      </c>
      <c r="B1323" t="str">
        <f>Procurement_Raw!B1323</f>
        <v>S018</v>
      </c>
      <c r="C1323" t="str">
        <f>Procurement_Raw!C1323</f>
        <v>Newport Care &amp; Education Centre</v>
      </c>
      <c r="D1323" t="str">
        <f>Procurement_Raw!D1323</f>
        <v>Wales</v>
      </c>
      <c r="E1323" t="str">
        <f>Procurement_Raw!E1323</f>
        <v>PowerDirect</v>
      </c>
      <c r="F1323" t="str">
        <f>Procurement_Raw!F1323</f>
        <v>Utilities</v>
      </c>
      <c r="G1323" t="str">
        <f>Procurement_Raw!G1323</f>
        <v>INV-2025-01322</v>
      </c>
      <c r="H1323" s="6">
        <f>Procurement_Raw!H1323</f>
        <v>76</v>
      </c>
      <c r="I1323" s="7">
        <f>Procurement_Raw!I1323</f>
        <v>334.55</v>
      </c>
      <c r="J1323" s="7">
        <f>Procurement_Raw!J1323</f>
        <v>25425.94</v>
      </c>
      <c r="K1323" s="6">
        <f>Procurement_Raw!K1323</f>
        <v>60</v>
      </c>
      <c r="L1323" t="str">
        <f>Procurement_Raw!L1323</f>
        <v>Procurement Portal</v>
      </c>
      <c r="M1323" s="8">
        <f>Procurement_Raw!M1323</f>
        <v>5085.1880000000001</v>
      </c>
      <c r="N1323" s="7">
        <f>Procurement_Raw!N1323</f>
        <v>25425.94</v>
      </c>
      <c r="O1323" s="7">
        <f t="shared" si="40"/>
        <v>25425.94</v>
      </c>
      <c r="P1323" t="str">
        <f>IFERROR(INDEX(Supplier_Lookup!$B$2:$B$200,MATCH(E1323,Supplier_Lookup!$A$2:$A$200,0)),"Unmapped")</f>
        <v>Utilities</v>
      </c>
      <c r="Q1323" s="10">
        <f>IFERROR(INDEX(Category_Targets!$B$2:$B$9,MATCH(F1323,Category_Targets!$A$2:$A$9,0)),0)</f>
        <v>0.03</v>
      </c>
      <c r="R1323" s="7">
        <f t="shared" si="41"/>
        <v>762.77819999999997</v>
      </c>
    </row>
    <row r="1324" spans="1:18" x14ac:dyDescent="0.25">
      <c r="A1324" s="5">
        <f>Procurement_Raw!A1324</f>
        <v>45808</v>
      </c>
      <c r="B1324" t="str">
        <f>Procurement_Raw!B1324</f>
        <v>S003</v>
      </c>
      <c r="C1324" t="str">
        <f>Procurement_Raw!C1324</f>
        <v>Leeds Care &amp; Education Centre</v>
      </c>
      <c r="D1324" t="str">
        <f>Procurement_Raw!D1324</f>
        <v>North</v>
      </c>
      <c r="E1324" t="str">
        <f>Procurement_Raw!E1324</f>
        <v>OfficePlus</v>
      </c>
      <c r="F1324" t="str">
        <f>Procurement_Raw!F1324</f>
        <v>Office &amp; Training</v>
      </c>
      <c r="G1324" t="str">
        <f>Procurement_Raw!G1324</f>
        <v>INV-2025-01323</v>
      </c>
      <c r="H1324" s="6">
        <f>Procurement_Raw!H1324</f>
        <v>50</v>
      </c>
      <c r="I1324" s="7">
        <f>Procurement_Raw!I1324</f>
        <v>72.150000000000006</v>
      </c>
      <c r="J1324" s="7">
        <f>Procurement_Raw!J1324</f>
        <v>3607.38</v>
      </c>
      <c r="K1324" s="6">
        <f>Procurement_Raw!K1324</f>
        <v>45</v>
      </c>
      <c r="L1324" t="str">
        <f>Procurement_Raw!L1324</f>
        <v>Legacy Spend File</v>
      </c>
      <c r="M1324" s="8">
        <f>Procurement_Raw!M1324</f>
        <v>721.476</v>
      </c>
      <c r="N1324" s="7">
        <f>Procurement_Raw!N1324</f>
        <v>3607.38</v>
      </c>
      <c r="O1324" s="7">
        <f t="shared" si="40"/>
        <v>3607.38</v>
      </c>
      <c r="P1324" t="str">
        <f>IFERROR(INDEX(Supplier_Lookup!$B$2:$B$200,MATCH(E1324,Supplier_Lookup!$A$2:$A$200,0)),"Unmapped")</f>
        <v>Office &amp; Training</v>
      </c>
      <c r="Q1324" s="10">
        <f>IFERROR(INDEX(Category_Targets!$B$2:$B$9,MATCH(F1324,Category_Targets!$A$2:$A$9,0)),0)</f>
        <v>0.04</v>
      </c>
      <c r="R1324" s="7">
        <f t="shared" si="41"/>
        <v>144.29519999999999</v>
      </c>
    </row>
    <row r="1325" spans="1:18" x14ac:dyDescent="0.25">
      <c r="A1325" s="5">
        <f>Procurement_Raw!A1325</f>
        <v>45740</v>
      </c>
      <c r="B1325" t="str">
        <f>Procurement_Raw!B1325</f>
        <v>S019</v>
      </c>
      <c r="C1325" t="str">
        <f>Procurement_Raw!C1325</f>
        <v>Wrexham Care &amp; Education Centre</v>
      </c>
      <c r="D1325" t="str">
        <f>Procurement_Raw!D1325</f>
        <v>Wales</v>
      </c>
      <c r="E1325" t="str">
        <f>Procurement_Raw!E1325</f>
        <v>RoadReady</v>
      </c>
      <c r="F1325" t="str">
        <f>Procurement_Raw!F1325</f>
        <v>Vehicle &amp; Fuel</v>
      </c>
      <c r="G1325" t="str">
        <f>Procurement_Raw!G1325</f>
        <v>INV-2025-01324</v>
      </c>
      <c r="H1325" s="6">
        <f>Procurement_Raw!H1325</f>
        <v>80</v>
      </c>
      <c r="I1325" s="7">
        <f>Procurement_Raw!I1325</f>
        <v>124.15</v>
      </c>
      <c r="J1325" s="7">
        <f>Procurement_Raw!J1325</f>
        <v>9931.6299999999992</v>
      </c>
      <c r="K1325" s="6">
        <f>Procurement_Raw!K1325</f>
        <v>30</v>
      </c>
      <c r="L1325" t="str">
        <f>Procurement_Raw!L1325</f>
        <v>Procurement Portal</v>
      </c>
      <c r="M1325" s="8">
        <f>Procurement_Raw!M1325</f>
        <v>1986.326</v>
      </c>
      <c r="N1325" s="7">
        <f>Procurement_Raw!N1325</f>
        <v>9931.6299999999992</v>
      </c>
      <c r="O1325" s="7">
        <f t="shared" si="40"/>
        <v>9931.6299999999992</v>
      </c>
      <c r="P1325" t="str">
        <f>IFERROR(INDEX(Supplier_Lookup!$B$2:$B$200,MATCH(E1325,Supplier_Lookup!$A$2:$A$200,0)),"Unmapped")</f>
        <v>Vehicle &amp; Fuel</v>
      </c>
      <c r="Q1325" s="10">
        <f>IFERROR(INDEX(Category_Targets!$B$2:$B$9,MATCH(F1325,Category_Targets!$A$2:$A$9,0)),0)</f>
        <v>0.05</v>
      </c>
      <c r="R1325" s="7">
        <f t="shared" si="41"/>
        <v>496.58150000000001</v>
      </c>
    </row>
    <row r="1326" spans="1:18" x14ac:dyDescent="0.25">
      <c r="A1326" s="5">
        <f>Procurement_Raw!A1326</f>
        <v>45905</v>
      </c>
      <c r="B1326" t="str">
        <f>Procurement_Raw!B1326</f>
        <v>S006</v>
      </c>
      <c r="C1326" t="str">
        <f>Procurement_Raw!C1326</f>
        <v>Birmingham Care &amp; Education Centre</v>
      </c>
      <c r="D1326" t="str">
        <f>Procurement_Raw!D1326</f>
        <v>Midlands</v>
      </c>
      <c r="E1326" t="str">
        <f>Procurement_Raw!E1326</f>
        <v>KitchenPro</v>
      </c>
      <c r="F1326" t="str">
        <f>Procurement_Raw!F1326</f>
        <v>Food &amp; Catering</v>
      </c>
      <c r="G1326" t="str">
        <f>Procurement_Raw!G1326</f>
        <v>INV-2025-01325</v>
      </c>
      <c r="H1326" s="6">
        <f>Procurement_Raw!H1326</f>
        <v>17</v>
      </c>
      <c r="I1326" s="7">
        <f>Procurement_Raw!I1326</f>
        <v>67.349999999999994</v>
      </c>
      <c r="J1326" s="7">
        <f>Procurement_Raw!J1326</f>
        <v>1144.8900000000001</v>
      </c>
      <c r="K1326" s="6">
        <f>Procurement_Raw!K1326</f>
        <v>30</v>
      </c>
      <c r="L1326" t="str">
        <f>Procurement_Raw!L1326</f>
        <v>ERP</v>
      </c>
      <c r="M1326" s="8">
        <f>Procurement_Raw!M1326</f>
        <v>228.97800000000001</v>
      </c>
      <c r="N1326" s="7">
        <f>Procurement_Raw!N1326</f>
        <v>1144.8900000000001</v>
      </c>
      <c r="O1326" s="7">
        <f t="shared" si="40"/>
        <v>1144.8900000000001</v>
      </c>
      <c r="P1326" t="str">
        <f>IFERROR(INDEX(Supplier_Lookup!$B$2:$B$200,MATCH(E1326,Supplier_Lookup!$A$2:$A$200,0)),"Unmapped")</f>
        <v>Food &amp; Catering</v>
      </c>
      <c r="Q1326" s="10">
        <f>IFERROR(INDEX(Category_Targets!$B$2:$B$9,MATCH(F1326,Category_Targets!$A$2:$A$9,0)),0)</f>
        <v>0.04</v>
      </c>
      <c r="R1326" s="7">
        <f t="shared" si="41"/>
        <v>45.795600000000007</v>
      </c>
    </row>
    <row r="1327" spans="1:18" x14ac:dyDescent="0.25">
      <c r="A1327" s="5">
        <f>Procurement_Raw!A1327</f>
        <v>45870</v>
      </c>
      <c r="B1327" t="str">
        <f>Procurement_Raw!B1327</f>
        <v>S019</v>
      </c>
      <c r="C1327" t="str">
        <f>Procurement_Raw!C1327</f>
        <v>Wrexham Care &amp; Education Centre</v>
      </c>
      <c r="D1327" t="str">
        <f>Procurement_Raw!D1327</f>
        <v>Wales</v>
      </c>
      <c r="E1327" t="str">
        <f>Procurement_Raw!E1327</f>
        <v>OfficePlus</v>
      </c>
      <c r="F1327" t="str">
        <f>Procurement_Raw!F1327</f>
        <v>Office &amp; Training</v>
      </c>
      <c r="G1327" t="str">
        <f>Procurement_Raw!G1327</f>
        <v>INV-2025-01326</v>
      </c>
      <c r="H1327" s="6">
        <f>Procurement_Raw!H1327</f>
        <v>64</v>
      </c>
      <c r="I1327" s="7">
        <f>Procurement_Raw!I1327</f>
        <v>25.3</v>
      </c>
      <c r="J1327" s="7">
        <f>Procurement_Raw!J1327</f>
        <v>1619.49</v>
      </c>
      <c r="K1327" s="6">
        <f>Procurement_Raw!K1327</f>
        <v>45</v>
      </c>
      <c r="L1327" t="str">
        <f>Procurement_Raw!L1327</f>
        <v>ERP</v>
      </c>
      <c r="M1327" s="8">
        <f>Procurement_Raw!M1327</f>
        <v>323.89800000000002</v>
      </c>
      <c r="N1327" s="7">
        <f>Procurement_Raw!N1327</f>
        <v>1619.49</v>
      </c>
      <c r="O1327" s="7">
        <f t="shared" si="40"/>
        <v>1619.49</v>
      </c>
      <c r="P1327" t="str">
        <f>IFERROR(INDEX(Supplier_Lookup!$B$2:$B$200,MATCH(E1327,Supplier_Lookup!$A$2:$A$200,0)),"Unmapped")</f>
        <v>Office &amp; Training</v>
      </c>
      <c r="Q1327" s="10">
        <f>IFERROR(INDEX(Category_Targets!$B$2:$B$9,MATCH(F1327,Category_Targets!$A$2:$A$9,0)),0)</f>
        <v>0.04</v>
      </c>
      <c r="R1327" s="7">
        <f t="shared" si="41"/>
        <v>64.779600000000002</v>
      </c>
    </row>
    <row r="1328" spans="1:18" x14ac:dyDescent="0.25">
      <c r="A1328" s="5">
        <f>Procurement_Raw!A1328</f>
        <v>45841</v>
      </c>
      <c r="B1328" t="str">
        <f>Procurement_Raw!B1328</f>
        <v>S011</v>
      </c>
      <c r="C1328" t="str">
        <f>Procurement_Raw!C1328</f>
        <v>London Care &amp; Education Centre</v>
      </c>
      <c r="D1328" t="str">
        <f>Procurement_Raw!D1328</f>
        <v>South</v>
      </c>
      <c r="E1328" t="str">
        <f>Procurement_Raw!E1328</f>
        <v>MediSure</v>
      </c>
      <c r="F1328" t="str">
        <f>Procurement_Raw!F1328</f>
        <v>Medical Supplies</v>
      </c>
      <c r="G1328" t="str">
        <f>Procurement_Raw!G1328</f>
        <v>INV-2025-01327</v>
      </c>
      <c r="H1328" s="6">
        <f>Procurement_Raw!H1328</f>
        <v>34</v>
      </c>
      <c r="I1328" s="7">
        <f>Procurement_Raw!I1328</f>
        <v>71.58</v>
      </c>
      <c r="J1328" s="7">
        <f>Procurement_Raw!J1328</f>
        <v>2433.8200000000002</v>
      </c>
      <c r="K1328" s="6">
        <f>Procurement_Raw!K1328</f>
        <v>45</v>
      </c>
      <c r="L1328" t="str">
        <f>Procurement_Raw!L1328</f>
        <v>Legacy Spend File</v>
      </c>
      <c r="M1328" s="8">
        <f>Procurement_Raw!M1328</f>
        <v>486.76400000000001</v>
      </c>
      <c r="N1328" s="7">
        <f>Procurement_Raw!N1328</f>
        <v>2433.8200000000002</v>
      </c>
      <c r="O1328" s="7">
        <f t="shared" si="40"/>
        <v>2433.8200000000002</v>
      </c>
      <c r="P1328" t="str">
        <f>IFERROR(INDEX(Supplier_Lookup!$B$2:$B$200,MATCH(E1328,Supplier_Lookup!$A$2:$A$200,0)),"Unmapped")</f>
        <v>Medical Supplies</v>
      </c>
      <c r="Q1328" s="10">
        <f>IFERROR(INDEX(Category_Targets!$B$2:$B$9,MATCH(F1328,Category_Targets!$A$2:$A$9,0)),0)</f>
        <v>0.06</v>
      </c>
      <c r="R1328" s="7">
        <f t="shared" si="41"/>
        <v>146.0292</v>
      </c>
    </row>
    <row r="1329" spans="1:18" x14ac:dyDescent="0.25">
      <c r="A1329" s="5">
        <f>Procurement_Raw!A1329</f>
        <v>45674</v>
      </c>
      <c r="B1329" t="str">
        <f>Procurement_Raw!B1329</f>
        <v>S012</v>
      </c>
      <c r="C1329" t="str">
        <f>Procurement_Raw!C1329</f>
        <v>Bristol Care &amp; Education Centre</v>
      </c>
      <c r="D1329" t="str">
        <f>Procurement_Raw!D1329</f>
        <v>South</v>
      </c>
      <c r="E1329" t="str">
        <f>Procurement_Raw!E1329</f>
        <v>BuildCare</v>
      </c>
      <c r="F1329" t="str">
        <f>Procurement_Raw!F1329</f>
        <v>Facilities</v>
      </c>
      <c r="G1329" t="str">
        <f>Procurement_Raw!G1329</f>
        <v>INV-2025-01328</v>
      </c>
      <c r="H1329" s="6">
        <f>Procurement_Raw!H1329</f>
        <v>9</v>
      </c>
      <c r="I1329" s="7">
        <f>Procurement_Raw!I1329</f>
        <v>166.29</v>
      </c>
      <c r="J1329" s="7">
        <f>Procurement_Raw!J1329</f>
        <v>1496.57</v>
      </c>
      <c r="K1329" s="6">
        <f>Procurement_Raw!K1329</f>
        <v>45</v>
      </c>
      <c r="L1329" t="str">
        <f>Procurement_Raw!L1329</f>
        <v>Procurement Portal</v>
      </c>
      <c r="M1329" s="8">
        <f>Procurement_Raw!M1329</f>
        <v>299.31400000000002</v>
      </c>
      <c r="N1329" s="7">
        <f>Procurement_Raw!N1329</f>
        <v>1496.57</v>
      </c>
      <c r="O1329" s="7">
        <f t="shared" si="40"/>
        <v>1496.57</v>
      </c>
      <c r="P1329" t="str">
        <f>IFERROR(INDEX(Supplier_Lookup!$B$2:$B$200,MATCH(E1329,Supplier_Lookup!$A$2:$A$200,0)),"Unmapped")</f>
        <v>Facilities</v>
      </c>
      <c r="Q1329" s="10">
        <f>IFERROR(INDEX(Category_Targets!$B$2:$B$9,MATCH(F1329,Category_Targets!$A$2:$A$9,0)),0)</f>
        <v>0.05</v>
      </c>
      <c r="R1329" s="7">
        <f t="shared" si="41"/>
        <v>74.828500000000005</v>
      </c>
    </row>
    <row r="1330" spans="1:18" x14ac:dyDescent="0.25">
      <c r="A1330" s="5">
        <f>Procurement_Raw!A1330</f>
        <v>45945</v>
      </c>
      <c r="B1330" t="str">
        <f>Procurement_Raw!B1330</f>
        <v>S018</v>
      </c>
      <c r="C1330" t="str">
        <f>Procurement_Raw!C1330</f>
        <v>Newport Care &amp; Education Centre</v>
      </c>
      <c r="D1330" t="str">
        <f>Procurement_Raw!D1330</f>
        <v>Wales</v>
      </c>
      <c r="E1330" t="str">
        <f>Procurement_Raw!E1330</f>
        <v>UK Energy Partners</v>
      </c>
      <c r="F1330" t="str">
        <f>Procurement_Raw!F1330</f>
        <v>Utilities</v>
      </c>
      <c r="G1330" t="str">
        <f>Procurement_Raw!G1330</f>
        <v>INV-2025-01329</v>
      </c>
      <c r="H1330" s="6">
        <f>Procurement_Raw!H1330</f>
        <v>29</v>
      </c>
      <c r="I1330" s="7">
        <f>Procurement_Raw!I1330</f>
        <v>128.53</v>
      </c>
      <c r="J1330" s="7">
        <f>Procurement_Raw!J1330</f>
        <v>3727.25</v>
      </c>
      <c r="K1330" s="6">
        <f>Procurement_Raw!K1330</f>
        <v>45</v>
      </c>
      <c r="L1330" t="str">
        <f>Procurement_Raw!L1330</f>
        <v>Procurement Portal</v>
      </c>
      <c r="M1330" s="8">
        <f>Procurement_Raw!M1330</f>
        <v>745.45</v>
      </c>
      <c r="N1330" s="7">
        <f>Procurement_Raw!N1330</f>
        <v>3727.25</v>
      </c>
      <c r="O1330" s="7">
        <f t="shared" si="40"/>
        <v>3727.25</v>
      </c>
      <c r="P1330" t="str">
        <f>IFERROR(INDEX(Supplier_Lookup!$B$2:$B$200,MATCH(E1330,Supplier_Lookup!$A$2:$A$200,0)),"Unmapped")</f>
        <v>Utilities</v>
      </c>
      <c r="Q1330" s="10">
        <f>IFERROR(INDEX(Category_Targets!$B$2:$B$9,MATCH(F1330,Category_Targets!$A$2:$A$9,0)),0)</f>
        <v>0.03</v>
      </c>
      <c r="R1330" s="7">
        <f t="shared" si="41"/>
        <v>111.8175</v>
      </c>
    </row>
    <row r="1331" spans="1:18" x14ac:dyDescent="0.25">
      <c r="A1331" s="5">
        <f>Procurement_Raw!A1331</f>
        <v>45943</v>
      </c>
      <c r="B1331" t="str">
        <f>Procurement_Raw!B1331</f>
        <v>S003</v>
      </c>
      <c r="C1331" t="str">
        <f>Procurement_Raw!C1331</f>
        <v>Leeds Care &amp; Education Centre</v>
      </c>
      <c r="D1331" t="str">
        <f>Procurement_Raw!D1331</f>
        <v>North</v>
      </c>
      <c r="E1331" t="str">
        <f>Procurement_Raw!E1331</f>
        <v>FleetFuel</v>
      </c>
      <c r="F1331" t="str">
        <f>Procurement_Raw!F1331</f>
        <v>Vehicle &amp; Fuel</v>
      </c>
      <c r="G1331" t="str">
        <f>Procurement_Raw!G1331</f>
        <v>INV-2025-01330</v>
      </c>
      <c r="H1331" s="6">
        <f>Procurement_Raw!H1331</f>
        <v>35</v>
      </c>
      <c r="I1331" s="7">
        <f>Procurement_Raw!I1331</f>
        <v>132.13999999999999</v>
      </c>
      <c r="J1331" s="7">
        <f>Procurement_Raw!J1331</f>
        <v>4624.79</v>
      </c>
      <c r="K1331" s="6">
        <f>Procurement_Raw!K1331</f>
        <v>30</v>
      </c>
      <c r="L1331" t="str">
        <f>Procurement_Raw!L1331</f>
        <v>Legacy Spend File</v>
      </c>
      <c r="M1331" s="8">
        <f>Procurement_Raw!M1331</f>
        <v>924.95799999999997</v>
      </c>
      <c r="N1331" s="7">
        <f>Procurement_Raw!N1331</f>
        <v>4624.79</v>
      </c>
      <c r="O1331" s="7">
        <f t="shared" si="40"/>
        <v>4624.79</v>
      </c>
      <c r="P1331" t="str">
        <f>IFERROR(INDEX(Supplier_Lookup!$B$2:$B$200,MATCH(E1331,Supplier_Lookup!$A$2:$A$200,0)),"Unmapped")</f>
        <v>Vehicle &amp; Fuel</v>
      </c>
      <c r="Q1331" s="10">
        <f>IFERROR(INDEX(Category_Targets!$B$2:$B$9,MATCH(F1331,Category_Targets!$A$2:$A$9,0)),0)</f>
        <v>0.05</v>
      </c>
      <c r="R1331" s="7">
        <f t="shared" si="41"/>
        <v>231.23950000000002</v>
      </c>
    </row>
    <row r="1332" spans="1:18" x14ac:dyDescent="0.25">
      <c r="A1332" s="5">
        <f>Procurement_Raw!A1332</f>
        <v>45683</v>
      </c>
      <c r="B1332" t="str">
        <f>Procurement_Raw!B1332</f>
        <v>S015</v>
      </c>
      <c r="C1332" t="str">
        <f>Procurement_Raw!C1332</f>
        <v>Brighton Care &amp; Education Centre</v>
      </c>
      <c r="D1332" t="str">
        <f>Procurement_Raw!D1332</f>
        <v>South</v>
      </c>
      <c r="E1332" t="str">
        <f>Procurement_Raw!E1332</f>
        <v>KitchenPro</v>
      </c>
      <c r="F1332" t="str">
        <f>Procurement_Raw!F1332</f>
        <v>Food &amp; Catering</v>
      </c>
      <c r="G1332" t="str">
        <f>Procurement_Raw!G1332</f>
        <v>INV-2025-01331</v>
      </c>
      <c r="H1332" s="6">
        <f>Procurement_Raw!H1332</f>
        <v>57</v>
      </c>
      <c r="I1332" s="7">
        <f>Procurement_Raw!I1332</f>
        <v>150.85</v>
      </c>
      <c r="J1332" s="7">
        <f>Procurement_Raw!J1332</f>
        <v>8598.57</v>
      </c>
      <c r="K1332" s="6">
        <f>Procurement_Raw!K1332</f>
        <v>45</v>
      </c>
      <c r="L1332" t="str">
        <f>Procurement_Raw!L1332</f>
        <v>ERP</v>
      </c>
      <c r="M1332" s="8">
        <f>Procurement_Raw!M1332</f>
        <v>1719.7139999999999</v>
      </c>
      <c r="N1332" s="7">
        <f>Procurement_Raw!N1332</f>
        <v>8598.57</v>
      </c>
      <c r="O1332" s="7">
        <f t="shared" si="40"/>
        <v>8598.57</v>
      </c>
      <c r="P1332" t="str">
        <f>IFERROR(INDEX(Supplier_Lookup!$B$2:$B$200,MATCH(E1332,Supplier_Lookup!$A$2:$A$200,0)),"Unmapped")</f>
        <v>Food &amp; Catering</v>
      </c>
      <c r="Q1332" s="10">
        <f>IFERROR(INDEX(Category_Targets!$B$2:$B$9,MATCH(F1332,Category_Targets!$A$2:$A$9,0)),0)</f>
        <v>0.04</v>
      </c>
      <c r="R1332" s="7">
        <f t="shared" si="41"/>
        <v>343.94279999999998</v>
      </c>
    </row>
    <row r="1333" spans="1:18" x14ac:dyDescent="0.25">
      <c r="A1333" s="5">
        <f>Procurement_Raw!A1333</f>
        <v>45679</v>
      </c>
      <c r="B1333" t="str">
        <f>Procurement_Raw!B1333</f>
        <v>S013</v>
      </c>
      <c r="C1333" t="str">
        <f>Procurement_Raw!C1333</f>
        <v>Reading Care &amp; Education Centre</v>
      </c>
      <c r="D1333" t="str">
        <f>Procurement_Raw!D1333</f>
        <v>South</v>
      </c>
      <c r="E1333" t="str">
        <f>Procurement_Raw!E1333</f>
        <v>KitchenPro</v>
      </c>
      <c r="F1333" t="str">
        <f>Procurement_Raw!F1333</f>
        <v>Food &amp; Catering</v>
      </c>
      <c r="G1333" t="str">
        <f>Procurement_Raw!G1333</f>
        <v>INV-2025-01332</v>
      </c>
      <c r="H1333" s="6">
        <f>Procurement_Raw!H1333</f>
        <v>65</v>
      </c>
      <c r="I1333" s="7">
        <f>Procurement_Raw!I1333</f>
        <v>127.07</v>
      </c>
      <c r="J1333" s="7">
        <f>Procurement_Raw!J1333</f>
        <v>8259.2900000000009</v>
      </c>
      <c r="K1333" s="6">
        <f>Procurement_Raw!K1333</f>
        <v>30</v>
      </c>
      <c r="L1333" t="str">
        <f>Procurement_Raw!L1333</f>
        <v>ERP</v>
      </c>
      <c r="M1333" s="8">
        <f>Procurement_Raw!M1333</f>
        <v>1651.8579999999999</v>
      </c>
      <c r="N1333" s="7">
        <f>Procurement_Raw!N1333</f>
        <v>8259.2900000000009</v>
      </c>
      <c r="O1333" s="7">
        <f t="shared" si="40"/>
        <v>8259.2900000000009</v>
      </c>
      <c r="P1333" t="str">
        <f>IFERROR(INDEX(Supplier_Lookup!$B$2:$B$200,MATCH(E1333,Supplier_Lookup!$A$2:$A$200,0)),"Unmapped")</f>
        <v>Food &amp; Catering</v>
      </c>
      <c r="Q1333" s="10">
        <f>IFERROR(INDEX(Category_Targets!$B$2:$B$9,MATCH(F1333,Category_Targets!$A$2:$A$9,0)),0)</f>
        <v>0.04</v>
      </c>
      <c r="R1333" s="7">
        <f t="shared" si="41"/>
        <v>330.37160000000006</v>
      </c>
    </row>
    <row r="1334" spans="1:18" x14ac:dyDescent="0.25">
      <c r="A1334" s="5">
        <f>Procurement_Raw!A1334</f>
        <v>45843</v>
      </c>
      <c r="B1334" t="str">
        <f>Procurement_Raw!B1334</f>
        <v>S019</v>
      </c>
      <c r="C1334" t="str">
        <f>Procurement_Raw!C1334</f>
        <v>Wrexham Care &amp; Education Centre</v>
      </c>
      <c r="D1334" t="str">
        <f>Procurement_Raw!D1334</f>
        <v>Wales</v>
      </c>
      <c r="E1334" t="str">
        <f>Procurement_Raw!E1334</f>
        <v>FreshServe</v>
      </c>
      <c r="F1334" t="str">
        <f>Procurement_Raw!F1334</f>
        <v>Food &amp; Catering</v>
      </c>
      <c r="G1334" t="str">
        <f>Procurement_Raw!G1334</f>
        <v>INV-2025-01333</v>
      </c>
      <c r="H1334" s="6">
        <f>Procurement_Raw!H1334</f>
        <v>21</v>
      </c>
      <c r="I1334" s="7">
        <f>Procurement_Raw!I1334</f>
        <v>57.8</v>
      </c>
      <c r="J1334" s="7">
        <f>Procurement_Raw!J1334</f>
        <v>1213.81</v>
      </c>
      <c r="K1334" s="6">
        <f>Procurement_Raw!K1334</f>
        <v>60</v>
      </c>
      <c r="L1334" t="str">
        <f>Procurement_Raw!L1334</f>
        <v>Procurement Portal</v>
      </c>
      <c r="M1334" s="8">
        <f>Procurement_Raw!M1334</f>
        <v>242.762</v>
      </c>
      <c r="N1334" s="7">
        <f>Procurement_Raw!N1334</f>
        <v>1213.81</v>
      </c>
      <c r="O1334" s="7">
        <f t="shared" si="40"/>
        <v>1213.81</v>
      </c>
      <c r="P1334" t="str">
        <f>IFERROR(INDEX(Supplier_Lookup!$B$2:$B$200,MATCH(E1334,Supplier_Lookup!$A$2:$A$200,0)),"Unmapped")</f>
        <v>Food &amp; Catering</v>
      </c>
      <c r="Q1334" s="10">
        <f>IFERROR(INDEX(Category_Targets!$B$2:$B$9,MATCH(F1334,Category_Targets!$A$2:$A$9,0)),0)</f>
        <v>0.04</v>
      </c>
      <c r="R1334" s="7">
        <f t="shared" si="41"/>
        <v>48.552399999999999</v>
      </c>
    </row>
    <row r="1335" spans="1:18" x14ac:dyDescent="0.25">
      <c r="A1335" s="5">
        <f>Procurement_Raw!A1335</f>
        <v>45913</v>
      </c>
      <c r="B1335" t="str">
        <f>Procurement_Raw!B1335</f>
        <v>S018</v>
      </c>
      <c r="C1335" t="str">
        <f>Procurement_Raw!C1335</f>
        <v>Newport Care &amp; Education Centre</v>
      </c>
      <c r="D1335" t="str">
        <f>Procurement_Raw!D1335</f>
        <v>Wales</v>
      </c>
      <c r="E1335" t="str">
        <f>Procurement_Raw!E1335</f>
        <v>PrintCo</v>
      </c>
      <c r="F1335" t="str">
        <f>Procurement_Raw!F1335</f>
        <v>Office &amp; Training</v>
      </c>
      <c r="G1335" t="str">
        <f>Procurement_Raw!G1335</f>
        <v>INV-2025-01334</v>
      </c>
      <c r="H1335" s="6">
        <f>Procurement_Raw!H1335</f>
        <v>13</v>
      </c>
      <c r="I1335" s="7">
        <f>Procurement_Raw!I1335</f>
        <v>170.27</v>
      </c>
      <c r="J1335" s="7">
        <f>Procurement_Raw!J1335</f>
        <v>2213.5100000000002</v>
      </c>
      <c r="K1335" s="6">
        <f>Procurement_Raw!K1335</f>
        <v>30</v>
      </c>
      <c r="L1335" t="str">
        <f>Procurement_Raw!L1335</f>
        <v>Legacy Spend File</v>
      </c>
      <c r="M1335" s="8">
        <f>Procurement_Raw!M1335</f>
        <v>442.702</v>
      </c>
      <c r="N1335" s="7">
        <f>Procurement_Raw!N1335</f>
        <v>2213.5100000000002</v>
      </c>
      <c r="O1335" s="7">
        <f t="shared" si="40"/>
        <v>2213.5100000000002</v>
      </c>
      <c r="P1335" t="str">
        <f>IFERROR(INDEX(Supplier_Lookup!$B$2:$B$200,MATCH(E1335,Supplier_Lookup!$A$2:$A$200,0)),"Unmapped")</f>
        <v>Office &amp; Training</v>
      </c>
      <c r="Q1335" s="10">
        <f>IFERROR(INDEX(Category_Targets!$B$2:$B$9,MATCH(F1335,Category_Targets!$A$2:$A$9,0)),0)</f>
        <v>0.04</v>
      </c>
      <c r="R1335" s="7">
        <f t="shared" si="41"/>
        <v>88.540400000000005</v>
      </c>
    </row>
    <row r="1336" spans="1:18" x14ac:dyDescent="0.25">
      <c r="A1336" s="5">
        <f>Procurement_Raw!A1336</f>
        <v>45720</v>
      </c>
      <c r="B1336" t="str">
        <f>Procurement_Raw!B1336</f>
        <v>S017</v>
      </c>
      <c r="C1336" t="str">
        <f>Procurement_Raw!C1336</f>
        <v>Swansea Care &amp; Education Centre</v>
      </c>
      <c r="D1336" t="str">
        <f>Procurement_Raw!D1336</f>
        <v>Wales</v>
      </c>
      <c r="E1336" t="str">
        <f>Procurement_Raw!E1336</f>
        <v>FleetFuel</v>
      </c>
      <c r="F1336" t="str">
        <f>Procurement_Raw!F1336</f>
        <v>Vehicle &amp; Fuel</v>
      </c>
      <c r="G1336" t="str">
        <f>Procurement_Raw!G1336</f>
        <v>INV-2025-01335</v>
      </c>
      <c r="H1336" s="6">
        <f>Procurement_Raw!H1336</f>
        <v>26</v>
      </c>
      <c r="I1336" s="7">
        <f>Procurement_Raw!I1336</f>
        <v>103.09</v>
      </c>
      <c r="J1336" s="7">
        <f>Procurement_Raw!J1336</f>
        <v>2680.45</v>
      </c>
      <c r="K1336" s="6">
        <f>Procurement_Raw!K1336</f>
        <v>45</v>
      </c>
      <c r="L1336" t="str">
        <f>Procurement_Raw!L1336</f>
        <v>Procurement Portal</v>
      </c>
      <c r="M1336" s="8">
        <f>Procurement_Raw!M1336</f>
        <v>536.09</v>
      </c>
      <c r="N1336" s="7">
        <f>Procurement_Raw!N1336</f>
        <v>2680.45</v>
      </c>
      <c r="O1336" s="7">
        <f t="shared" si="40"/>
        <v>2680.45</v>
      </c>
      <c r="P1336" t="str">
        <f>IFERROR(INDEX(Supplier_Lookup!$B$2:$B$200,MATCH(E1336,Supplier_Lookup!$A$2:$A$200,0)),"Unmapped")</f>
        <v>Vehicle &amp; Fuel</v>
      </c>
      <c r="Q1336" s="10">
        <f>IFERROR(INDEX(Category_Targets!$B$2:$B$9,MATCH(F1336,Category_Targets!$A$2:$A$9,0)),0)</f>
        <v>0.05</v>
      </c>
      <c r="R1336" s="7">
        <f t="shared" si="41"/>
        <v>134.02250000000001</v>
      </c>
    </row>
    <row r="1337" spans="1:18" x14ac:dyDescent="0.25">
      <c r="A1337" s="5">
        <f>Procurement_Raw!A1337</f>
        <v>45832</v>
      </c>
      <c r="B1337" t="str">
        <f>Procurement_Raw!B1337</f>
        <v>S012</v>
      </c>
      <c r="C1337" t="str">
        <f>Procurement_Raw!C1337</f>
        <v>Bristol Care &amp; Education Centre</v>
      </c>
      <c r="D1337" t="str">
        <f>Procurement_Raw!D1337</f>
        <v>South</v>
      </c>
      <c r="E1337" t="str">
        <f>Procurement_Raw!E1337</f>
        <v>WaterGrid</v>
      </c>
      <c r="F1337" t="str">
        <f>Procurement_Raw!F1337</f>
        <v>Utilities</v>
      </c>
      <c r="G1337" t="str">
        <f>Procurement_Raw!G1337</f>
        <v>INV-2025-01336</v>
      </c>
      <c r="H1337" s="6">
        <f>Procurement_Raw!H1337</f>
        <v>37</v>
      </c>
      <c r="I1337" s="7">
        <f>Procurement_Raw!I1337</f>
        <v>207.69</v>
      </c>
      <c r="J1337" s="7">
        <f>Procurement_Raw!J1337</f>
        <v>7684.66</v>
      </c>
      <c r="K1337" s="6">
        <f>Procurement_Raw!K1337</f>
        <v>60</v>
      </c>
      <c r="L1337" t="str">
        <f>Procurement_Raw!L1337</f>
        <v>ERP</v>
      </c>
      <c r="M1337" s="8">
        <f>Procurement_Raw!M1337</f>
        <v>1536.932</v>
      </c>
      <c r="N1337" s="7">
        <f>Procurement_Raw!N1337</f>
        <v>7684.66</v>
      </c>
      <c r="O1337" s="7">
        <f t="shared" si="40"/>
        <v>7684.66</v>
      </c>
      <c r="P1337" t="str">
        <f>IFERROR(INDEX(Supplier_Lookup!$B$2:$B$200,MATCH(E1337,Supplier_Lookup!$A$2:$A$200,0)),"Unmapped")</f>
        <v>Utilities</v>
      </c>
      <c r="Q1337" s="10">
        <f>IFERROR(INDEX(Category_Targets!$B$2:$B$9,MATCH(F1337,Category_Targets!$A$2:$A$9,0)),0)</f>
        <v>0.03</v>
      </c>
      <c r="R1337" s="7">
        <f t="shared" si="41"/>
        <v>230.53979999999999</v>
      </c>
    </row>
    <row r="1338" spans="1:18" x14ac:dyDescent="0.25">
      <c r="A1338" s="5">
        <f>Procurement_Raw!A1338</f>
        <v>45870</v>
      </c>
      <c r="B1338" t="str">
        <f>Procurement_Raw!B1338</f>
        <v>S007</v>
      </c>
      <c r="C1338" t="str">
        <f>Procurement_Raw!C1338</f>
        <v>Nottingham Care &amp; Education Centre</v>
      </c>
      <c r="D1338" t="str">
        <f>Procurement_Raw!D1338</f>
        <v>Midlands</v>
      </c>
      <c r="E1338" t="str">
        <f>Procurement_Raw!E1338</f>
        <v>TeleCare IT</v>
      </c>
      <c r="F1338" t="str">
        <f>Procurement_Raw!F1338</f>
        <v>IT &amp; Telecoms</v>
      </c>
      <c r="G1338" t="str">
        <f>Procurement_Raw!G1338</f>
        <v>INV-2025-01337</v>
      </c>
      <c r="H1338" s="6">
        <f>Procurement_Raw!H1338</f>
        <v>47</v>
      </c>
      <c r="I1338" s="7">
        <f>Procurement_Raw!I1338</f>
        <v>157</v>
      </c>
      <c r="J1338" s="7">
        <f>Procurement_Raw!J1338</f>
        <v>7379.08</v>
      </c>
      <c r="K1338" s="6">
        <f>Procurement_Raw!K1338</f>
        <v>60</v>
      </c>
      <c r="L1338" t="str">
        <f>Procurement_Raw!L1338</f>
        <v>Legacy Spend File</v>
      </c>
      <c r="M1338" s="8">
        <f>Procurement_Raw!M1338</f>
        <v>1475.816</v>
      </c>
      <c r="N1338" s="7">
        <f>Procurement_Raw!N1338</f>
        <v>7379.08</v>
      </c>
      <c r="O1338" s="7">
        <f t="shared" si="40"/>
        <v>7379.08</v>
      </c>
      <c r="P1338" t="str">
        <f>IFERROR(INDEX(Supplier_Lookup!$B$2:$B$200,MATCH(E1338,Supplier_Lookup!$A$2:$A$200,0)),"Unmapped")</f>
        <v>IT &amp; Telecoms</v>
      </c>
      <c r="Q1338" s="10">
        <f>IFERROR(INDEX(Category_Targets!$B$2:$B$9,MATCH(F1338,Category_Targets!$A$2:$A$9,0)),0)</f>
        <v>0.08</v>
      </c>
      <c r="R1338" s="7">
        <f t="shared" si="41"/>
        <v>590.32640000000004</v>
      </c>
    </row>
    <row r="1339" spans="1:18" x14ac:dyDescent="0.25">
      <c r="A1339" s="5">
        <f>Procurement_Raw!A1339</f>
        <v>45873</v>
      </c>
      <c r="B1339" t="str">
        <f>Procurement_Raw!B1339</f>
        <v>S005</v>
      </c>
      <c r="C1339" t="str">
        <f>Procurement_Raw!C1339</f>
        <v>Sheffield Care &amp; Education Centre</v>
      </c>
      <c r="D1339" t="str">
        <f>Procurement_Raw!D1339</f>
        <v>North</v>
      </c>
      <c r="E1339" t="str">
        <f>Procurement_Raw!E1339</f>
        <v>BuildCare</v>
      </c>
      <c r="F1339" t="str">
        <f>Procurement_Raw!F1339</f>
        <v>Facilities</v>
      </c>
      <c r="G1339" t="str">
        <f>Procurement_Raw!G1339</f>
        <v>INV-2025-01338</v>
      </c>
      <c r="H1339" s="6">
        <f>Procurement_Raw!H1339</f>
        <v>30</v>
      </c>
      <c r="I1339" s="7">
        <f>Procurement_Raw!I1339</f>
        <v>152.41</v>
      </c>
      <c r="J1339" s="7">
        <f>Procurement_Raw!J1339</f>
        <v>4572.41</v>
      </c>
      <c r="K1339" s="6">
        <f>Procurement_Raw!K1339</f>
        <v>30</v>
      </c>
      <c r="L1339" t="str">
        <f>Procurement_Raw!L1339</f>
        <v>Procurement Portal</v>
      </c>
      <c r="M1339" s="8">
        <f>Procurement_Raw!M1339</f>
        <v>914.48199999999997</v>
      </c>
      <c r="N1339" s="7">
        <f>Procurement_Raw!N1339</f>
        <v>4572.41</v>
      </c>
      <c r="O1339" s="7">
        <f t="shared" si="40"/>
        <v>4572.41</v>
      </c>
      <c r="P1339" t="str">
        <f>IFERROR(INDEX(Supplier_Lookup!$B$2:$B$200,MATCH(E1339,Supplier_Lookup!$A$2:$A$200,0)),"Unmapped")</f>
        <v>Facilities</v>
      </c>
      <c r="Q1339" s="10">
        <f>IFERROR(INDEX(Category_Targets!$B$2:$B$9,MATCH(F1339,Category_Targets!$A$2:$A$9,0)),0)</f>
        <v>0.05</v>
      </c>
      <c r="R1339" s="7">
        <f t="shared" si="41"/>
        <v>228.62049999999999</v>
      </c>
    </row>
    <row r="1340" spans="1:18" x14ac:dyDescent="0.25">
      <c r="A1340" s="5">
        <f>Procurement_Raw!A1340</f>
        <v>45922</v>
      </c>
      <c r="B1340" t="str">
        <f>Procurement_Raw!B1340</f>
        <v>S020</v>
      </c>
      <c r="C1340" t="str">
        <f>Procurement_Raw!C1340</f>
        <v>Bangor Care &amp; Education Centre</v>
      </c>
      <c r="D1340" t="str">
        <f>Procurement_Raw!D1340</f>
        <v>Wales</v>
      </c>
      <c r="E1340" t="str">
        <f>Procurement_Raw!E1340</f>
        <v>CareTemps</v>
      </c>
      <c r="F1340" t="str">
        <f>Procurement_Raw!F1340</f>
        <v>Agency Labour</v>
      </c>
      <c r="G1340" t="str">
        <f>Procurement_Raw!G1340</f>
        <v>INV-2025-01339</v>
      </c>
      <c r="H1340" s="6">
        <f>Procurement_Raw!H1340</f>
        <v>47</v>
      </c>
      <c r="I1340" s="7">
        <f>Procurement_Raw!I1340</f>
        <v>242.33</v>
      </c>
      <c r="J1340" s="7">
        <f>Procurement_Raw!J1340</f>
        <v>11389.34</v>
      </c>
      <c r="K1340" s="6">
        <f>Procurement_Raw!K1340</f>
        <v>30</v>
      </c>
      <c r="L1340" t="str">
        <f>Procurement_Raw!L1340</f>
        <v>Procurement Portal</v>
      </c>
      <c r="M1340" s="8">
        <f>Procurement_Raw!M1340</f>
        <v>2277.8679999999999</v>
      </c>
      <c r="N1340" s="7">
        <f>Procurement_Raw!N1340</f>
        <v>11389.34</v>
      </c>
      <c r="O1340" s="7">
        <f t="shared" si="40"/>
        <v>11389.34</v>
      </c>
      <c r="P1340" t="str">
        <f>IFERROR(INDEX(Supplier_Lookup!$B$2:$B$200,MATCH(E1340,Supplier_Lookup!$A$2:$A$200,0)),"Unmapped")</f>
        <v>Agency Labour</v>
      </c>
      <c r="Q1340" s="10">
        <f>IFERROR(INDEX(Category_Targets!$B$2:$B$9,MATCH(F1340,Category_Targets!$A$2:$A$9,0)),0)</f>
        <v>7.0000000000000007E-2</v>
      </c>
      <c r="R1340" s="7">
        <f t="shared" si="41"/>
        <v>797.25380000000007</v>
      </c>
    </row>
    <row r="1341" spans="1:18" x14ac:dyDescent="0.25">
      <c r="A1341" s="5">
        <f>Procurement_Raw!A1341</f>
        <v>45922</v>
      </c>
      <c r="B1341" t="str">
        <f>Procurement_Raw!B1341</f>
        <v>S008</v>
      </c>
      <c r="C1341" t="str">
        <f>Procurement_Raw!C1341</f>
        <v>Leicester Care &amp; Education Centre</v>
      </c>
      <c r="D1341" t="str">
        <f>Procurement_Raw!D1341</f>
        <v>Midlands</v>
      </c>
      <c r="E1341" t="str">
        <f>Procurement_Raw!E1341</f>
        <v>ClinEquip</v>
      </c>
      <c r="F1341" t="str">
        <f>Procurement_Raw!F1341</f>
        <v>Medical Supplies</v>
      </c>
      <c r="G1341" t="str">
        <f>Procurement_Raw!G1341</f>
        <v>INV-2025-01340</v>
      </c>
      <c r="H1341" s="6">
        <f>Procurement_Raw!H1341</f>
        <v>9</v>
      </c>
      <c r="I1341" s="7">
        <f>Procurement_Raw!I1341</f>
        <v>131.79</v>
      </c>
      <c r="J1341" s="7">
        <f>Procurement_Raw!J1341</f>
        <v>1186.1199999999999</v>
      </c>
      <c r="K1341" s="6">
        <f>Procurement_Raw!K1341</f>
        <v>30</v>
      </c>
      <c r="L1341" t="str">
        <f>Procurement_Raw!L1341</f>
        <v>Procurement Portal</v>
      </c>
      <c r="M1341" s="8">
        <f>Procurement_Raw!M1341</f>
        <v>237.22399999999999</v>
      </c>
      <c r="N1341" s="7">
        <f>Procurement_Raw!N1341</f>
        <v>1186.1199999999999</v>
      </c>
      <c r="O1341" s="7">
        <f t="shared" si="40"/>
        <v>1186.1199999999999</v>
      </c>
      <c r="P1341" t="str">
        <f>IFERROR(INDEX(Supplier_Lookup!$B$2:$B$200,MATCH(E1341,Supplier_Lookup!$A$2:$A$200,0)),"Unmapped")</f>
        <v>Medical Supplies</v>
      </c>
      <c r="Q1341" s="10">
        <f>IFERROR(INDEX(Category_Targets!$B$2:$B$9,MATCH(F1341,Category_Targets!$A$2:$A$9,0)),0)</f>
        <v>0.06</v>
      </c>
      <c r="R1341" s="7">
        <f t="shared" si="41"/>
        <v>71.167199999999994</v>
      </c>
    </row>
    <row r="1342" spans="1:18" x14ac:dyDescent="0.25">
      <c r="A1342" s="5">
        <f>Procurement_Raw!A1342</f>
        <v>45880</v>
      </c>
      <c r="B1342" t="str">
        <f>Procurement_Raw!B1342</f>
        <v>S014</v>
      </c>
      <c r="C1342" t="str">
        <f>Procurement_Raw!C1342</f>
        <v>Southampton Care &amp; Education Centre</v>
      </c>
      <c r="D1342" t="str">
        <f>Procurement_Raw!D1342</f>
        <v>South</v>
      </c>
      <c r="E1342" t="str">
        <f>Procurement_Raw!E1342</f>
        <v>HealthStaffing</v>
      </c>
      <c r="F1342" t="str">
        <f>Procurement_Raw!F1342</f>
        <v>Agency Labour</v>
      </c>
      <c r="G1342" t="str">
        <f>Procurement_Raw!G1342</f>
        <v>INV-2025-01341</v>
      </c>
      <c r="H1342" s="6">
        <f>Procurement_Raw!H1342</f>
        <v>8</v>
      </c>
      <c r="I1342" s="7">
        <f>Procurement_Raw!I1342</f>
        <v>327.7</v>
      </c>
      <c r="J1342" s="7">
        <f>Procurement_Raw!J1342</f>
        <v>2621.6</v>
      </c>
      <c r="K1342" s="6">
        <f>Procurement_Raw!K1342</f>
        <v>45</v>
      </c>
      <c r="L1342" t="str">
        <f>Procurement_Raw!L1342</f>
        <v>ERP</v>
      </c>
      <c r="M1342" s="8">
        <f>Procurement_Raw!M1342</f>
        <v>524.32000000000005</v>
      </c>
      <c r="N1342" s="7">
        <f>Procurement_Raw!N1342</f>
        <v>2621.6</v>
      </c>
      <c r="O1342" s="7">
        <f t="shared" si="40"/>
        <v>2621.6</v>
      </c>
      <c r="P1342" t="str">
        <f>IFERROR(INDEX(Supplier_Lookup!$B$2:$B$200,MATCH(E1342,Supplier_Lookup!$A$2:$A$200,0)),"Unmapped")</f>
        <v>Agency Labour</v>
      </c>
      <c r="Q1342" s="10">
        <f>IFERROR(INDEX(Category_Targets!$B$2:$B$9,MATCH(F1342,Category_Targets!$A$2:$A$9,0)),0)</f>
        <v>7.0000000000000007E-2</v>
      </c>
      <c r="R1342" s="7">
        <f t="shared" si="41"/>
        <v>183.512</v>
      </c>
    </row>
    <row r="1343" spans="1:18" x14ac:dyDescent="0.25">
      <c r="A1343" s="5">
        <f>Procurement_Raw!A1343</f>
        <v>45687</v>
      </c>
      <c r="B1343" t="str">
        <f>Procurement_Raw!B1343</f>
        <v>S002</v>
      </c>
      <c r="C1343" t="str">
        <f>Procurement_Raw!C1343</f>
        <v>Manchester Care &amp; Education Centre</v>
      </c>
      <c r="D1343" t="str">
        <f>Procurement_Raw!D1343</f>
        <v>North</v>
      </c>
      <c r="E1343" t="str">
        <f>Procurement_Raw!E1343</f>
        <v>BuildCare</v>
      </c>
      <c r="F1343" t="str">
        <f>Procurement_Raw!F1343</f>
        <v>Facilities</v>
      </c>
      <c r="G1343" t="str">
        <f>Procurement_Raw!G1343</f>
        <v>INV-2025-01342</v>
      </c>
      <c r="H1343" s="6">
        <f>Procurement_Raw!H1343</f>
        <v>67</v>
      </c>
      <c r="I1343" s="7">
        <f>Procurement_Raw!I1343</f>
        <v>180.3</v>
      </c>
      <c r="J1343" s="7">
        <f>Procurement_Raw!J1343</f>
        <v>12080.22</v>
      </c>
      <c r="K1343" s="6">
        <f>Procurement_Raw!K1343</f>
        <v>45</v>
      </c>
      <c r="L1343" t="str">
        <f>Procurement_Raw!L1343</f>
        <v>Procurement Portal</v>
      </c>
      <c r="M1343" s="8">
        <f>Procurement_Raw!M1343</f>
        <v>2416.0439999999999</v>
      </c>
      <c r="N1343" s="7">
        <f>Procurement_Raw!N1343</f>
        <v>12080.22</v>
      </c>
      <c r="O1343" s="7">
        <f t="shared" si="40"/>
        <v>12080.22</v>
      </c>
      <c r="P1343" t="str">
        <f>IFERROR(INDEX(Supplier_Lookup!$B$2:$B$200,MATCH(E1343,Supplier_Lookup!$A$2:$A$200,0)),"Unmapped")</f>
        <v>Facilities</v>
      </c>
      <c r="Q1343" s="10">
        <f>IFERROR(INDEX(Category_Targets!$B$2:$B$9,MATCH(F1343,Category_Targets!$A$2:$A$9,0)),0)</f>
        <v>0.05</v>
      </c>
      <c r="R1343" s="7">
        <f t="shared" si="41"/>
        <v>604.01099999999997</v>
      </c>
    </row>
    <row r="1344" spans="1:18" x14ac:dyDescent="0.25">
      <c r="A1344" s="5">
        <f>Procurement_Raw!A1344</f>
        <v>45818</v>
      </c>
      <c r="B1344" t="str">
        <f>Procurement_Raw!B1344</f>
        <v>S019</v>
      </c>
      <c r="C1344" t="str">
        <f>Procurement_Raw!C1344</f>
        <v>Wrexham Care &amp; Education Centre</v>
      </c>
      <c r="D1344" t="str">
        <f>Procurement_Raw!D1344</f>
        <v>Wales</v>
      </c>
      <c r="E1344" t="str">
        <f>Procurement_Raw!E1344</f>
        <v>NetServe</v>
      </c>
      <c r="F1344" t="str">
        <f>Procurement_Raw!F1344</f>
        <v>IT &amp; Telecoms</v>
      </c>
      <c r="G1344" t="str">
        <f>Procurement_Raw!G1344</f>
        <v>INV-2025-01343</v>
      </c>
      <c r="H1344" s="6">
        <f>Procurement_Raw!H1344</f>
        <v>45</v>
      </c>
      <c r="I1344" s="7">
        <f>Procurement_Raw!I1344</f>
        <v>279.76</v>
      </c>
      <c r="J1344" s="7">
        <f>Procurement_Raw!J1344</f>
        <v>12589.34</v>
      </c>
      <c r="K1344" s="6">
        <f>Procurement_Raw!K1344</f>
        <v>30</v>
      </c>
      <c r="L1344" t="str">
        <f>Procurement_Raw!L1344</f>
        <v>Procurement Portal</v>
      </c>
      <c r="M1344" s="8">
        <f>Procurement_Raw!M1344</f>
        <v>2517.8679999999999</v>
      </c>
      <c r="N1344" s="7">
        <f>Procurement_Raw!N1344</f>
        <v>12589.34</v>
      </c>
      <c r="O1344" s="7">
        <f t="shared" si="40"/>
        <v>12589.34</v>
      </c>
      <c r="P1344" t="str">
        <f>IFERROR(INDEX(Supplier_Lookup!$B$2:$B$200,MATCH(E1344,Supplier_Lookup!$A$2:$A$200,0)),"Unmapped")</f>
        <v>IT &amp; Telecoms</v>
      </c>
      <c r="Q1344" s="10">
        <f>IFERROR(INDEX(Category_Targets!$B$2:$B$9,MATCH(F1344,Category_Targets!$A$2:$A$9,0)),0)</f>
        <v>0.08</v>
      </c>
      <c r="R1344" s="7">
        <f t="shared" si="41"/>
        <v>1007.1472</v>
      </c>
    </row>
    <row r="1345" spans="1:18" x14ac:dyDescent="0.25">
      <c r="A1345" s="5">
        <f>Procurement_Raw!A1345</f>
        <v>45864</v>
      </c>
      <c r="B1345" t="str">
        <f>Procurement_Raw!B1345</f>
        <v>S015</v>
      </c>
      <c r="C1345" t="str">
        <f>Procurement_Raw!C1345</f>
        <v>Brighton Care &amp; Education Centre</v>
      </c>
      <c r="D1345" t="str">
        <f>Procurement_Raw!D1345</f>
        <v>South</v>
      </c>
      <c r="E1345" t="str">
        <f>Procurement_Raw!E1345</f>
        <v>BuildCare</v>
      </c>
      <c r="F1345" t="str">
        <f>Procurement_Raw!F1345</f>
        <v>Facilities</v>
      </c>
      <c r="G1345" t="str">
        <f>Procurement_Raw!G1345</f>
        <v>INV-2025-01344</v>
      </c>
      <c r="H1345" s="6">
        <f>Procurement_Raw!H1345</f>
        <v>58</v>
      </c>
      <c r="I1345" s="7">
        <f>Procurement_Raw!I1345</f>
        <v>346.48</v>
      </c>
      <c r="J1345" s="7">
        <f>Procurement_Raw!J1345</f>
        <v>20095.580000000002</v>
      </c>
      <c r="K1345" s="6">
        <f>Procurement_Raw!K1345</f>
        <v>60</v>
      </c>
      <c r="L1345" t="str">
        <f>Procurement_Raw!L1345</f>
        <v>ERP</v>
      </c>
      <c r="M1345" s="8">
        <f>Procurement_Raw!M1345</f>
        <v>4019.116</v>
      </c>
      <c r="N1345" s="7">
        <f>Procurement_Raw!N1345</f>
        <v>20095.580000000002</v>
      </c>
      <c r="O1345" s="7">
        <f t="shared" si="40"/>
        <v>20095.580000000002</v>
      </c>
      <c r="P1345" t="str">
        <f>IFERROR(INDEX(Supplier_Lookup!$B$2:$B$200,MATCH(E1345,Supplier_Lookup!$A$2:$A$200,0)),"Unmapped")</f>
        <v>Facilities</v>
      </c>
      <c r="Q1345" s="10">
        <f>IFERROR(INDEX(Category_Targets!$B$2:$B$9,MATCH(F1345,Category_Targets!$A$2:$A$9,0)),0)</f>
        <v>0.05</v>
      </c>
      <c r="R1345" s="7">
        <f t="shared" si="41"/>
        <v>1004.7790000000001</v>
      </c>
    </row>
    <row r="1346" spans="1:18" x14ac:dyDescent="0.25">
      <c r="A1346" s="5">
        <f>Procurement_Raw!A1346</f>
        <v>45834</v>
      </c>
      <c r="B1346" t="str">
        <f>Procurement_Raw!B1346</f>
        <v>S009</v>
      </c>
      <c r="C1346" t="str">
        <f>Procurement_Raw!C1346</f>
        <v>Derby Care &amp; Education Centre</v>
      </c>
      <c r="D1346" t="str">
        <f>Procurement_Raw!D1346</f>
        <v>Midlands</v>
      </c>
      <c r="E1346" t="str">
        <f>Procurement_Raw!E1346</f>
        <v>PrintCo</v>
      </c>
      <c r="F1346" t="str">
        <f>Procurement_Raw!F1346</f>
        <v>Office &amp; Training</v>
      </c>
      <c r="G1346" t="str">
        <f>Procurement_Raw!G1346</f>
        <v>INV-2025-01345</v>
      </c>
      <c r="H1346" s="6">
        <f>Procurement_Raw!H1346</f>
        <v>52</v>
      </c>
      <c r="I1346" s="7">
        <f>Procurement_Raw!I1346</f>
        <v>126.44</v>
      </c>
      <c r="J1346" s="7">
        <f>Procurement_Raw!J1346</f>
        <v>6574.72</v>
      </c>
      <c r="K1346" s="6">
        <f>Procurement_Raw!K1346</f>
        <v>30</v>
      </c>
      <c r="L1346" t="str">
        <f>Procurement_Raw!L1346</f>
        <v>Procurement Portal</v>
      </c>
      <c r="M1346" s="8">
        <f>Procurement_Raw!M1346</f>
        <v>1314.944</v>
      </c>
      <c r="N1346" s="7">
        <f>Procurement_Raw!N1346</f>
        <v>6574.72</v>
      </c>
      <c r="O1346" s="7">
        <f t="shared" ref="O1346:O1409" si="42">IFERROR(IF(J1346="","",J1346),0)</f>
        <v>6574.72</v>
      </c>
      <c r="P1346" t="str">
        <f>IFERROR(INDEX(Supplier_Lookup!$B$2:$B$200,MATCH(E1346,Supplier_Lookup!$A$2:$A$200,0)),"Unmapped")</f>
        <v>Office &amp; Training</v>
      </c>
      <c r="Q1346" s="10">
        <f>IFERROR(INDEX(Category_Targets!$B$2:$B$9,MATCH(F1346,Category_Targets!$A$2:$A$9,0)),0)</f>
        <v>0.04</v>
      </c>
      <c r="R1346" s="7">
        <f t="shared" ref="R1346:R1409" si="43">O1346*Q1346</f>
        <v>262.98880000000003</v>
      </c>
    </row>
    <row r="1347" spans="1:18" x14ac:dyDescent="0.25">
      <c r="A1347" s="5">
        <f>Procurement_Raw!A1347</f>
        <v>45829</v>
      </c>
      <c r="B1347" t="str">
        <f>Procurement_Raw!B1347</f>
        <v>S003</v>
      </c>
      <c r="C1347" t="str">
        <f>Procurement_Raw!C1347</f>
        <v>Leeds Care &amp; Education Centre</v>
      </c>
      <c r="D1347" t="str">
        <f>Procurement_Raw!D1347</f>
        <v>North</v>
      </c>
      <c r="E1347" t="str">
        <f>Procurement_Raw!E1347</f>
        <v>ClinEquip</v>
      </c>
      <c r="F1347" t="str">
        <f>Procurement_Raw!F1347</f>
        <v>Medical Supplies</v>
      </c>
      <c r="G1347" t="str">
        <f>Procurement_Raw!G1347</f>
        <v>INV-2025-01346</v>
      </c>
      <c r="H1347" s="6">
        <f>Procurement_Raw!H1347</f>
        <v>50</v>
      </c>
      <c r="I1347" s="7">
        <f>Procurement_Raw!I1347</f>
        <v>53.03</v>
      </c>
      <c r="J1347" s="7">
        <f>Procurement_Raw!J1347</f>
        <v>2651.34</v>
      </c>
      <c r="K1347" s="6">
        <f>Procurement_Raw!K1347</f>
        <v>60</v>
      </c>
      <c r="L1347" t="str">
        <f>Procurement_Raw!L1347</f>
        <v>Legacy Spend File</v>
      </c>
      <c r="M1347" s="8">
        <f>Procurement_Raw!M1347</f>
        <v>530.26800000000003</v>
      </c>
      <c r="N1347" s="7">
        <f>Procurement_Raw!N1347</f>
        <v>2651.34</v>
      </c>
      <c r="O1347" s="7">
        <f t="shared" si="42"/>
        <v>2651.34</v>
      </c>
      <c r="P1347" t="str">
        <f>IFERROR(INDEX(Supplier_Lookup!$B$2:$B$200,MATCH(E1347,Supplier_Lookup!$A$2:$A$200,0)),"Unmapped")</f>
        <v>Medical Supplies</v>
      </c>
      <c r="Q1347" s="10">
        <f>IFERROR(INDEX(Category_Targets!$B$2:$B$9,MATCH(F1347,Category_Targets!$A$2:$A$9,0)),0)</f>
        <v>0.06</v>
      </c>
      <c r="R1347" s="7">
        <f t="shared" si="43"/>
        <v>159.0804</v>
      </c>
    </row>
    <row r="1348" spans="1:18" x14ac:dyDescent="0.25">
      <c r="A1348" s="5">
        <f>Procurement_Raw!A1348</f>
        <v>45934</v>
      </c>
      <c r="B1348" t="str">
        <f>Procurement_Raw!B1348</f>
        <v>S020</v>
      </c>
      <c r="C1348" t="str">
        <f>Procurement_Raw!C1348</f>
        <v>Bangor Care &amp; Education Centre</v>
      </c>
      <c r="D1348" t="str">
        <f>Procurement_Raw!D1348</f>
        <v>Wales</v>
      </c>
      <c r="E1348" t="str">
        <f>Procurement_Raw!E1348</f>
        <v>BuildCare</v>
      </c>
      <c r="F1348" t="str">
        <f>Procurement_Raw!F1348</f>
        <v>Facilities</v>
      </c>
      <c r="G1348" t="str">
        <f>Procurement_Raw!G1348</f>
        <v>INV-2025-01347</v>
      </c>
      <c r="H1348" s="6">
        <f>Procurement_Raw!H1348</f>
        <v>37</v>
      </c>
      <c r="I1348" s="7">
        <f>Procurement_Raw!I1348</f>
        <v>44.18</v>
      </c>
      <c r="J1348" s="7">
        <f>Procurement_Raw!J1348</f>
        <v>1634.71</v>
      </c>
      <c r="K1348" s="6">
        <f>Procurement_Raw!K1348</f>
        <v>30</v>
      </c>
      <c r="L1348" t="str">
        <f>Procurement_Raw!L1348</f>
        <v>ERP</v>
      </c>
      <c r="M1348" s="8">
        <f>Procurement_Raw!M1348</f>
        <v>326.94200000000001</v>
      </c>
      <c r="N1348" s="7">
        <f>Procurement_Raw!N1348</f>
        <v>1634.71</v>
      </c>
      <c r="O1348" s="7">
        <f t="shared" si="42"/>
        <v>1634.71</v>
      </c>
      <c r="P1348" t="str">
        <f>IFERROR(INDEX(Supplier_Lookup!$B$2:$B$200,MATCH(E1348,Supplier_Lookup!$A$2:$A$200,0)),"Unmapped")</f>
        <v>Facilities</v>
      </c>
      <c r="Q1348" s="10">
        <f>IFERROR(INDEX(Category_Targets!$B$2:$B$9,MATCH(F1348,Category_Targets!$A$2:$A$9,0)),0)</f>
        <v>0.05</v>
      </c>
      <c r="R1348" s="7">
        <f t="shared" si="43"/>
        <v>81.735500000000002</v>
      </c>
    </row>
    <row r="1349" spans="1:18" x14ac:dyDescent="0.25">
      <c r="A1349" s="5">
        <f>Procurement_Raw!A1349</f>
        <v>45832</v>
      </c>
      <c r="B1349" t="str">
        <f>Procurement_Raw!B1349</f>
        <v>S017</v>
      </c>
      <c r="C1349" t="str">
        <f>Procurement_Raw!C1349</f>
        <v>Swansea Care &amp; Education Centre</v>
      </c>
      <c r="D1349" t="str">
        <f>Procurement_Raw!D1349</f>
        <v>Wales</v>
      </c>
      <c r="E1349" t="str">
        <f>Procurement_Raw!E1349</f>
        <v>NetServe</v>
      </c>
      <c r="F1349" t="str">
        <f>Procurement_Raw!F1349</f>
        <v>IT &amp; Telecoms</v>
      </c>
      <c r="G1349" t="str">
        <f>Procurement_Raw!G1349</f>
        <v>INV-2025-01348</v>
      </c>
      <c r="H1349" s="6">
        <f>Procurement_Raw!H1349</f>
        <v>21</v>
      </c>
      <c r="I1349" s="7">
        <f>Procurement_Raw!I1349</f>
        <v>367.79</v>
      </c>
      <c r="J1349" s="7">
        <f>Procurement_Raw!J1349</f>
        <v>7723.52</v>
      </c>
      <c r="K1349" s="6">
        <f>Procurement_Raw!K1349</f>
        <v>30</v>
      </c>
      <c r="L1349" t="str">
        <f>Procurement_Raw!L1349</f>
        <v>ERP</v>
      </c>
      <c r="M1349" s="8">
        <f>Procurement_Raw!M1349</f>
        <v>1544.704</v>
      </c>
      <c r="N1349" s="7">
        <f>Procurement_Raw!N1349</f>
        <v>7723.52</v>
      </c>
      <c r="O1349" s="7">
        <f t="shared" si="42"/>
        <v>7723.52</v>
      </c>
      <c r="P1349" t="str">
        <f>IFERROR(INDEX(Supplier_Lookup!$B$2:$B$200,MATCH(E1349,Supplier_Lookup!$A$2:$A$200,0)),"Unmapped")</f>
        <v>IT &amp; Telecoms</v>
      </c>
      <c r="Q1349" s="10">
        <f>IFERROR(INDEX(Category_Targets!$B$2:$B$9,MATCH(F1349,Category_Targets!$A$2:$A$9,0)),0)</f>
        <v>0.08</v>
      </c>
      <c r="R1349" s="7">
        <f t="shared" si="43"/>
        <v>617.88160000000005</v>
      </c>
    </row>
    <row r="1350" spans="1:18" x14ac:dyDescent="0.25">
      <c r="A1350" s="5">
        <f>Procurement_Raw!A1350</f>
        <v>45813</v>
      </c>
      <c r="B1350" t="str">
        <f>Procurement_Raw!B1350</f>
        <v>S005</v>
      </c>
      <c r="C1350" t="str">
        <f>Procurement_Raw!C1350</f>
        <v>Sheffield Care &amp; Education Centre</v>
      </c>
      <c r="D1350" t="str">
        <f>Procurement_Raw!D1350</f>
        <v>North</v>
      </c>
      <c r="E1350" t="str">
        <f>Procurement_Raw!E1350</f>
        <v>CloudLink</v>
      </c>
      <c r="F1350" t="str">
        <f>Procurement_Raw!F1350</f>
        <v>IT &amp; Telecoms</v>
      </c>
      <c r="G1350" t="str">
        <f>Procurement_Raw!G1350</f>
        <v>INV-2025-01349</v>
      </c>
      <c r="H1350" s="6">
        <f>Procurement_Raw!H1350</f>
        <v>55</v>
      </c>
      <c r="I1350" s="7">
        <f>Procurement_Raw!I1350</f>
        <v>103.74</v>
      </c>
      <c r="J1350" s="7">
        <f>Procurement_Raw!J1350</f>
        <v>5705.45</v>
      </c>
      <c r="K1350" s="6">
        <f>Procurement_Raw!K1350</f>
        <v>60</v>
      </c>
      <c r="L1350" t="str">
        <f>Procurement_Raw!L1350</f>
        <v>ERP</v>
      </c>
      <c r="M1350" s="8">
        <f>Procurement_Raw!M1350</f>
        <v>1141.0899999999999</v>
      </c>
      <c r="N1350" s="7">
        <f>Procurement_Raw!N1350</f>
        <v>5705.45</v>
      </c>
      <c r="O1350" s="7">
        <f t="shared" si="42"/>
        <v>5705.45</v>
      </c>
      <c r="P1350" t="str">
        <f>IFERROR(INDEX(Supplier_Lookup!$B$2:$B$200,MATCH(E1350,Supplier_Lookup!$A$2:$A$200,0)),"Unmapped")</f>
        <v>medical supplies</v>
      </c>
      <c r="Q1350" s="10">
        <f>IFERROR(INDEX(Category_Targets!$B$2:$B$9,MATCH(F1350,Category_Targets!$A$2:$A$9,0)),0)</f>
        <v>0.08</v>
      </c>
      <c r="R1350" s="7">
        <f t="shared" si="43"/>
        <v>456.43599999999998</v>
      </c>
    </row>
    <row r="1351" spans="1:18" x14ac:dyDescent="0.25">
      <c r="A1351" s="5">
        <f>Procurement_Raw!A1351</f>
        <v>45790</v>
      </c>
      <c r="B1351" t="str">
        <f>Procurement_Raw!B1351</f>
        <v>S005</v>
      </c>
      <c r="C1351" t="str">
        <f>Procurement_Raw!C1351</f>
        <v>Sheffield Care &amp; Education Centre</v>
      </c>
      <c r="D1351" t="str">
        <f>Procurement_Raw!D1351</f>
        <v>North</v>
      </c>
      <c r="E1351" t="str">
        <f>Procurement_Raw!E1351</f>
        <v>CareMed</v>
      </c>
      <c r="F1351" t="str">
        <f>Procurement_Raw!F1351</f>
        <v>Medical Supplies</v>
      </c>
      <c r="G1351" t="str">
        <f>Procurement_Raw!G1351</f>
        <v>INV-2025-01350</v>
      </c>
      <c r="H1351" s="6">
        <f>Procurement_Raw!H1351</f>
        <v>65</v>
      </c>
      <c r="I1351" s="7">
        <f>Procurement_Raw!I1351</f>
        <v>106.05</v>
      </c>
      <c r="J1351" s="7">
        <f>Procurement_Raw!J1351</f>
        <v>6892.97</v>
      </c>
      <c r="K1351" s="6">
        <f>Procurement_Raw!K1351</f>
        <v>45</v>
      </c>
      <c r="L1351" t="str">
        <f>Procurement_Raw!L1351</f>
        <v>ERP</v>
      </c>
      <c r="M1351" s="8">
        <f>Procurement_Raw!M1351</f>
        <v>1378.5940000000001</v>
      </c>
      <c r="N1351" s="7">
        <f>Procurement_Raw!N1351</f>
        <v>6892.97</v>
      </c>
      <c r="O1351" s="7">
        <f t="shared" si="42"/>
        <v>6892.97</v>
      </c>
      <c r="P1351" t="str">
        <f>IFERROR(INDEX(Supplier_Lookup!$B$2:$B$200,MATCH(E1351,Supplier_Lookup!$A$2:$A$200,0)),"Unmapped")</f>
        <v>Medical Supplies</v>
      </c>
      <c r="Q1351" s="10">
        <f>IFERROR(INDEX(Category_Targets!$B$2:$B$9,MATCH(F1351,Category_Targets!$A$2:$A$9,0)),0)</f>
        <v>0.06</v>
      </c>
      <c r="R1351" s="7">
        <f t="shared" si="43"/>
        <v>413.57819999999998</v>
      </c>
    </row>
    <row r="1352" spans="1:18" x14ac:dyDescent="0.25">
      <c r="A1352" s="5">
        <f>Procurement_Raw!A1352</f>
        <v>45810</v>
      </c>
      <c r="B1352" t="str">
        <f>Procurement_Raw!B1352</f>
        <v>S018</v>
      </c>
      <c r="C1352" t="str">
        <f>Procurement_Raw!C1352</f>
        <v>Newport Care &amp; Education Centre</v>
      </c>
      <c r="D1352" t="str">
        <f>Procurement_Raw!D1352</f>
        <v>Wales</v>
      </c>
      <c r="E1352" t="str">
        <f>Procurement_Raw!E1352</f>
        <v>NourishCo</v>
      </c>
      <c r="F1352" t="str">
        <f>Procurement_Raw!F1352</f>
        <v>Food &amp; Catering</v>
      </c>
      <c r="G1352" t="str">
        <f>Procurement_Raw!G1352</f>
        <v>INV-2025-01351</v>
      </c>
      <c r="H1352" s="6">
        <f>Procurement_Raw!H1352</f>
        <v>74</v>
      </c>
      <c r="I1352" s="7">
        <f>Procurement_Raw!I1352</f>
        <v>34.15</v>
      </c>
      <c r="J1352" s="7">
        <f>Procurement_Raw!J1352</f>
        <v>2527.2600000000002</v>
      </c>
      <c r="K1352" s="6">
        <f>Procurement_Raw!K1352</f>
        <v>60</v>
      </c>
      <c r="L1352" t="str">
        <f>Procurement_Raw!L1352</f>
        <v>ERP</v>
      </c>
      <c r="M1352" s="8">
        <f>Procurement_Raw!M1352</f>
        <v>505.452</v>
      </c>
      <c r="N1352" s="7">
        <f>Procurement_Raw!N1352</f>
        <v>2527.2600000000002</v>
      </c>
      <c r="O1352" s="7">
        <f t="shared" si="42"/>
        <v>2527.2600000000002</v>
      </c>
      <c r="P1352" t="str">
        <f>IFERROR(INDEX(Supplier_Lookup!$B$2:$B$200,MATCH(E1352,Supplier_Lookup!$A$2:$A$200,0)),"Unmapped")</f>
        <v>Food &amp; Catering</v>
      </c>
      <c r="Q1352" s="10">
        <f>IFERROR(INDEX(Category_Targets!$B$2:$B$9,MATCH(F1352,Category_Targets!$A$2:$A$9,0)),0)</f>
        <v>0.04</v>
      </c>
      <c r="R1352" s="7">
        <f t="shared" si="43"/>
        <v>101.09040000000002</v>
      </c>
    </row>
    <row r="1353" spans="1:18" x14ac:dyDescent="0.25">
      <c r="A1353" s="5">
        <f>Procurement_Raw!A1353</f>
        <v>45955</v>
      </c>
      <c r="B1353" t="str">
        <f>Procurement_Raw!B1353</f>
        <v>S007</v>
      </c>
      <c r="C1353" t="str">
        <f>Procurement_Raw!C1353</f>
        <v>Nottingham Care &amp; Education Centre</v>
      </c>
      <c r="D1353" t="str">
        <f>Procurement_Raw!D1353</f>
        <v>Midlands</v>
      </c>
      <c r="E1353" t="str">
        <f>Procurement_Raw!E1353</f>
        <v>FleetFuel</v>
      </c>
      <c r="F1353" t="str">
        <f>Procurement_Raw!F1353</f>
        <v>Vehicle &amp; Fuel</v>
      </c>
      <c r="G1353" t="str">
        <f>Procurement_Raw!G1353</f>
        <v>INV-2025-01352</v>
      </c>
      <c r="H1353" s="6">
        <f>Procurement_Raw!H1353</f>
        <v>73</v>
      </c>
      <c r="I1353" s="7">
        <f>Procurement_Raw!I1353</f>
        <v>35.26</v>
      </c>
      <c r="J1353" s="7">
        <f>Procurement_Raw!J1353</f>
        <v>2574.08</v>
      </c>
      <c r="K1353" s="6">
        <f>Procurement_Raw!K1353</f>
        <v>60</v>
      </c>
      <c r="L1353" t="str">
        <f>Procurement_Raw!L1353</f>
        <v>Legacy Spend File</v>
      </c>
      <c r="M1353" s="8">
        <f>Procurement_Raw!M1353</f>
        <v>514.81600000000003</v>
      </c>
      <c r="N1353" s="7">
        <f>Procurement_Raw!N1353</f>
        <v>2574.08</v>
      </c>
      <c r="O1353" s="7">
        <f t="shared" si="42"/>
        <v>2574.08</v>
      </c>
      <c r="P1353" t="str">
        <f>IFERROR(INDEX(Supplier_Lookup!$B$2:$B$200,MATCH(E1353,Supplier_Lookup!$A$2:$A$200,0)),"Unmapped")</f>
        <v>Vehicle &amp; Fuel</v>
      </c>
      <c r="Q1353" s="10">
        <f>IFERROR(INDEX(Category_Targets!$B$2:$B$9,MATCH(F1353,Category_Targets!$A$2:$A$9,0)),0)</f>
        <v>0.05</v>
      </c>
      <c r="R1353" s="7">
        <f t="shared" si="43"/>
        <v>128.70400000000001</v>
      </c>
    </row>
    <row r="1354" spans="1:18" x14ac:dyDescent="0.25">
      <c r="A1354" s="5">
        <f>Procurement_Raw!A1354</f>
        <v>45811</v>
      </c>
      <c r="B1354" t="str">
        <f>Procurement_Raw!B1354</f>
        <v>S012</v>
      </c>
      <c r="C1354" t="str">
        <f>Procurement_Raw!C1354</f>
        <v>Bristol Care &amp; Education Centre</v>
      </c>
      <c r="D1354" t="str">
        <f>Procurement_Raw!D1354</f>
        <v>South</v>
      </c>
      <c r="E1354" t="str">
        <f>Procurement_Raw!E1354</f>
        <v>WaterGrid</v>
      </c>
      <c r="F1354" t="str">
        <f>Procurement_Raw!F1354</f>
        <v>Utilities</v>
      </c>
      <c r="G1354" t="str">
        <f>Procurement_Raw!G1354</f>
        <v>INV-2025-01353</v>
      </c>
      <c r="H1354" s="6">
        <f>Procurement_Raw!H1354</f>
        <v>37</v>
      </c>
      <c r="I1354" s="7">
        <f>Procurement_Raw!I1354</f>
        <v>336.72</v>
      </c>
      <c r="J1354" s="7">
        <f>Procurement_Raw!J1354</f>
        <v>12458.81</v>
      </c>
      <c r="K1354" s="6">
        <f>Procurement_Raw!K1354</f>
        <v>60</v>
      </c>
      <c r="L1354" t="str">
        <f>Procurement_Raw!L1354</f>
        <v>Legacy Spend File</v>
      </c>
      <c r="M1354" s="8">
        <f>Procurement_Raw!M1354</f>
        <v>2491.7620000000002</v>
      </c>
      <c r="N1354" s="7">
        <f>Procurement_Raw!N1354</f>
        <v>12458.81</v>
      </c>
      <c r="O1354" s="7">
        <f t="shared" si="42"/>
        <v>12458.81</v>
      </c>
      <c r="P1354" t="str">
        <f>IFERROR(INDEX(Supplier_Lookup!$B$2:$B$200,MATCH(E1354,Supplier_Lookup!$A$2:$A$200,0)),"Unmapped")</f>
        <v>Utilities</v>
      </c>
      <c r="Q1354" s="10">
        <f>IFERROR(INDEX(Category_Targets!$B$2:$B$9,MATCH(F1354,Category_Targets!$A$2:$A$9,0)),0)</f>
        <v>0.03</v>
      </c>
      <c r="R1354" s="7">
        <f t="shared" si="43"/>
        <v>373.76429999999999</v>
      </c>
    </row>
    <row r="1355" spans="1:18" x14ac:dyDescent="0.25">
      <c r="A1355" s="5">
        <f>Procurement_Raw!A1355</f>
        <v>45851</v>
      </c>
      <c r="B1355" t="str">
        <f>Procurement_Raw!B1355</f>
        <v>S012</v>
      </c>
      <c r="C1355" t="str">
        <f>Procurement_Raw!C1355</f>
        <v>Bristol Care &amp; Education Centre</v>
      </c>
      <c r="D1355" t="str">
        <f>Procurement_Raw!D1355</f>
        <v>South</v>
      </c>
      <c r="E1355" t="str">
        <f>Procurement_Raw!E1355</f>
        <v>BuildCare</v>
      </c>
      <c r="F1355" t="str">
        <f>Procurement_Raw!F1355</f>
        <v>Facilities</v>
      </c>
      <c r="G1355" t="str">
        <f>Procurement_Raw!G1355</f>
        <v>INV-2025-01354</v>
      </c>
      <c r="H1355" s="6">
        <f>Procurement_Raw!H1355</f>
        <v>67</v>
      </c>
      <c r="I1355" s="7">
        <f>Procurement_Raw!I1355</f>
        <v>273.27999999999997</v>
      </c>
      <c r="J1355" s="7">
        <f>Procurement_Raw!J1355</f>
        <v>18309.669999999998</v>
      </c>
      <c r="K1355" s="6">
        <f>Procurement_Raw!K1355</f>
        <v>60</v>
      </c>
      <c r="L1355" t="str">
        <f>Procurement_Raw!L1355</f>
        <v>ERP</v>
      </c>
      <c r="M1355" s="8">
        <f>Procurement_Raw!M1355</f>
        <v>3661.9340000000002</v>
      </c>
      <c r="N1355" s="7">
        <f>Procurement_Raw!N1355</f>
        <v>18309.669999999998</v>
      </c>
      <c r="O1355" s="7">
        <f t="shared" si="42"/>
        <v>18309.669999999998</v>
      </c>
      <c r="P1355" t="str">
        <f>IFERROR(INDEX(Supplier_Lookup!$B$2:$B$200,MATCH(E1355,Supplier_Lookup!$A$2:$A$200,0)),"Unmapped")</f>
        <v>Facilities</v>
      </c>
      <c r="Q1355" s="10">
        <f>IFERROR(INDEX(Category_Targets!$B$2:$B$9,MATCH(F1355,Category_Targets!$A$2:$A$9,0)),0)</f>
        <v>0.05</v>
      </c>
      <c r="R1355" s="7">
        <f t="shared" si="43"/>
        <v>915.48349999999994</v>
      </c>
    </row>
    <row r="1356" spans="1:18" x14ac:dyDescent="0.25">
      <c r="A1356" s="5">
        <f>Procurement_Raw!A1356</f>
        <v>45956</v>
      </c>
      <c r="B1356" t="str">
        <f>Procurement_Raw!B1356</f>
        <v>S011</v>
      </c>
      <c r="C1356" t="str">
        <f>Procurement_Raw!C1356</f>
        <v>London Care &amp; Education Centre</v>
      </c>
      <c r="D1356" t="str">
        <f>Procurement_Raw!D1356</f>
        <v>South</v>
      </c>
      <c r="E1356" t="str">
        <f>Procurement_Raw!E1356</f>
        <v>AutoCare</v>
      </c>
      <c r="F1356" t="str">
        <f>Procurement_Raw!F1356</f>
        <v>Vehicle &amp; Fuel</v>
      </c>
      <c r="G1356" t="str">
        <f>Procurement_Raw!G1356</f>
        <v>INV-2025-01355</v>
      </c>
      <c r="H1356" s="6">
        <f>Procurement_Raw!H1356</f>
        <v>25</v>
      </c>
      <c r="I1356" s="7">
        <f>Procurement_Raw!I1356</f>
        <v>69.19</v>
      </c>
      <c r="J1356" s="7">
        <f>Procurement_Raw!J1356</f>
        <v>1729.65</v>
      </c>
      <c r="K1356" s="6">
        <f>Procurement_Raw!K1356</f>
        <v>45</v>
      </c>
      <c r="L1356" t="str">
        <f>Procurement_Raw!L1356</f>
        <v>Procurement Portal</v>
      </c>
      <c r="M1356" s="8">
        <f>Procurement_Raw!M1356</f>
        <v>345.93</v>
      </c>
      <c r="N1356" s="7">
        <f>Procurement_Raw!N1356</f>
        <v>1729.65</v>
      </c>
      <c r="O1356" s="7">
        <f t="shared" si="42"/>
        <v>1729.65</v>
      </c>
      <c r="P1356" t="str">
        <f>IFERROR(INDEX(Supplier_Lookup!$B$2:$B$200,MATCH(E1356,Supplier_Lookup!$A$2:$A$200,0)),"Unmapped")</f>
        <v>Vehicle &amp; Fuel</v>
      </c>
      <c r="Q1356" s="10">
        <f>IFERROR(INDEX(Category_Targets!$B$2:$B$9,MATCH(F1356,Category_Targets!$A$2:$A$9,0)),0)</f>
        <v>0.05</v>
      </c>
      <c r="R1356" s="7">
        <f t="shared" si="43"/>
        <v>86.482500000000016</v>
      </c>
    </row>
    <row r="1357" spans="1:18" x14ac:dyDescent="0.25">
      <c r="A1357" s="5">
        <f>Procurement_Raw!A1357</f>
        <v>45875</v>
      </c>
      <c r="B1357" t="str">
        <f>Procurement_Raw!B1357</f>
        <v>S010</v>
      </c>
      <c r="C1357" t="str">
        <f>Procurement_Raw!C1357</f>
        <v>Coventry Care &amp; Education Centre</v>
      </c>
      <c r="D1357" t="str">
        <f>Procurement_Raw!D1357</f>
        <v>Midlands</v>
      </c>
      <c r="E1357" t="str">
        <f>Procurement_Raw!E1357</f>
        <v>BuildCare</v>
      </c>
      <c r="F1357" t="str">
        <f>Procurement_Raw!F1357</f>
        <v>Facilities</v>
      </c>
      <c r="G1357" t="str">
        <f>Procurement_Raw!G1357</f>
        <v>INV-2025-01356</v>
      </c>
      <c r="H1357" s="6">
        <f>Procurement_Raw!H1357</f>
        <v>53</v>
      </c>
      <c r="I1357" s="7">
        <f>Procurement_Raw!I1357</f>
        <v>43.29</v>
      </c>
      <c r="J1357" s="7">
        <f>Procurement_Raw!J1357</f>
        <v>2294.2800000000002</v>
      </c>
      <c r="K1357" s="6">
        <f>Procurement_Raw!K1357</f>
        <v>30</v>
      </c>
      <c r="L1357" t="str">
        <f>Procurement_Raw!L1357</f>
        <v>ERP</v>
      </c>
      <c r="M1357" s="8">
        <f>Procurement_Raw!M1357</f>
        <v>458.85599999999999</v>
      </c>
      <c r="N1357" s="7">
        <f>Procurement_Raw!N1357</f>
        <v>2294.2800000000002</v>
      </c>
      <c r="O1357" s="7">
        <f t="shared" si="42"/>
        <v>2294.2800000000002</v>
      </c>
      <c r="P1357" t="str">
        <f>IFERROR(INDEX(Supplier_Lookup!$B$2:$B$200,MATCH(E1357,Supplier_Lookup!$A$2:$A$200,0)),"Unmapped")</f>
        <v>Facilities</v>
      </c>
      <c r="Q1357" s="10">
        <f>IFERROR(INDEX(Category_Targets!$B$2:$B$9,MATCH(F1357,Category_Targets!$A$2:$A$9,0)),0)</f>
        <v>0.05</v>
      </c>
      <c r="R1357" s="7">
        <f t="shared" si="43"/>
        <v>114.71400000000001</v>
      </c>
    </row>
    <row r="1358" spans="1:18" x14ac:dyDescent="0.25">
      <c r="A1358" s="5">
        <f>Procurement_Raw!A1358</f>
        <v>45901</v>
      </c>
      <c r="B1358" t="str">
        <f>Procurement_Raw!B1358</f>
        <v>S019</v>
      </c>
      <c r="C1358" t="str">
        <f>Procurement_Raw!C1358</f>
        <v>Wrexham Care &amp; Education Centre</v>
      </c>
      <c r="D1358" t="str">
        <f>Procurement_Raw!D1358</f>
        <v>Wales</v>
      </c>
      <c r="E1358" t="str">
        <f>Procurement_Raw!E1358</f>
        <v>HealthStaffing</v>
      </c>
      <c r="F1358" t="str">
        <f>Procurement_Raw!F1358</f>
        <v>Agency Labour</v>
      </c>
      <c r="G1358" t="str">
        <f>Procurement_Raw!G1358</f>
        <v>INV-2025-01357</v>
      </c>
      <c r="H1358" s="6">
        <f>Procurement_Raw!H1358</f>
        <v>28</v>
      </c>
      <c r="I1358" s="7">
        <f>Procurement_Raw!I1358</f>
        <v>222.15</v>
      </c>
      <c r="J1358" s="7">
        <f>Procurement_Raw!J1358</f>
        <v>6220.17</v>
      </c>
      <c r="K1358" s="6">
        <f>Procurement_Raw!K1358</f>
        <v>45</v>
      </c>
      <c r="L1358" t="str">
        <f>Procurement_Raw!L1358</f>
        <v>ERP</v>
      </c>
      <c r="M1358" s="8">
        <f>Procurement_Raw!M1358</f>
        <v>1244.0340000000001</v>
      </c>
      <c r="N1358" s="7">
        <f>Procurement_Raw!N1358</f>
        <v>6220.17</v>
      </c>
      <c r="O1358" s="7">
        <f t="shared" si="42"/>
        <v>6220.17</v>
      </c>
      <c r="P1358" t="str">
        <f>IFERROR(INDEX(Supplier_Lookup!$B$2:$B$200,MATCH(E1358,Supplier_Lookup!$A$2:$A$200,0)),"Unmapped")</f>
        <v>Agency Labour</v>
      </c>
      <c r="Q1358" s="10">
        <f>IFERROR(INDEX(Category_Targets!$B$2:$B$9,MATCH(F1358,Category_Targets!$A$2:$A$9,0)),0)</f>
        <v>7.0000000000000007E-2</v>
      </c>
      <c r="R1358" s="7">
        <f t="shared" si="43"/>
        <v>435.41190000000006</v>
      </c>
    </row>
    <row r="1359" spans="1:18" x14ac:dyDescent="0.25">
      <c r="A1359" s="5">
        <f>Procurement_Raw!A1359</f>
        <v>45944</v>
      </c>
      <c r="B1359" t="str">
        <f>Procurement_Raw!B1359</f>
        <v>S007</v>
      </c>
      <c r="C1359" t="str">
        <f>Procurement_Raw!C1359</f>
        <v>Nottingham Care &amp; Education Centre</v>
      </c>
      <c r="D1359" t="str">
        <f>Procurement_Raw!D1359</f>
        <v>Midlands</v>
      </c>
      <c r="E1359" t="str">
        <f>Procurement_Raw!E1359</f>
        <v>NurseLink</v>
      </c>
      <c r="F1359" t="str">
        <f>Procurement_Raw!F1359</f>
        <v>Agency Labour</v>
      </c>
      <c r="G1359" t="str">
        <f>Procurement_Raw!G1359</f>
        <v>INV-2025-01358</v>
      </c>
      <c r="H1359" s="6">
        <f>Procurement_Raw!H1359</f>
        <v>67</v>
      </c>
      <c r="I1359" s="7">
        <f>Procurement_Raw!I1359</f>
        <v>372.14</v>
      </c>
      <c r="J1359" s="7">
        <f>Procurement_Raw!J1359</f>
        <v>24933.49</v>
      </c>
      <c r="K1359" s="6">
        <f>Procurement_Raw!K1359</f>
        <v>45</v>
      </c>
      <c r="L1359" t="str">
        <f>Procurement_Raw!L1359</f>
        <v>Procurement Portal</v>
      </c>
      <c r="M1359" s="8">
        <f>Procurement_Raw!M1359</f>
        <v>4986.6980000000003</v>
      </c>
      <c r="N1359" s="7">
        <f>Procurement_Raw!N1359</f>
        <v>24933.49</v>
      </c>
      <c r="O1359" s="7">
        <f t="shared" si="42"/>
        <v>24933.49</v>
      </c>
      <c r="P1359" t="str">
        <f>IFERROR(INDEX(Supplier_Lookup!$B$2:$B$200,MATCH(E1359,Supplier_Lookup!$A$2:$A$200,0)),"Unmapped")</f>
        <v>Agency Labour</v>
      </c>
      <c r="Q1359" s="10">
        <f>IFERROR(INDEX(Category_Targets!$B$2:$B$9,MATCH(F1359,Category_Targets!$A$2:$A$9,0)),0)</f>
        <v>7.0000000000000007E-2</v>
      </c>
      <c r="R1359" s="7">
        <f t="shared" si="43"/>
        <v>1745.3443000000002</v>
      </c>
    </row>
    <row r="1360" spans="1:18" x14ac:dyDescent="0.25">
      <c r="A1360" s="5">
        <f>Procurement_Raw!A1360</f>
        <v>45874</v>
      </c>
      <c r="B1360" t="str">
        <f>Procurement_Raw!B1360</f>
        <v>S006</v>
      </c>
      <c r="C1360" t="str">
        <f>Procurement_Raw!C1360</f>
        <v>Birmingham Care &amp; Education Centre</v>
      </c>
      <c r="D1360" t="str">
        <f>Procurement_Raw!D1360</f>
        <v>Midlands</v>
      </c>
      <c r="E1360" t="str">
        <f>Procurement_Raw!E1360</f>
        <v>PrintCo</v>
      </c>
      <c r="F1360" t="str">
        <f>Procurement_Raw!F1360</f>
        <v>Office &amp; Training</v>
      </c>
      <c r="G1360" t="str">
        <f>Procurement_Raw!G1360</f>
        <v>INV-2025-01359</v>
      </c>
      <c r="H1360" s="6">
        <f>Procurement_Raw!H1360</f>
        <v>57</v>
      </c>
      <c r="I1360" s="7">
        <f>Procurement_Raw!I1360</f>
        <v>33.25</v>
      </c>
      <c r="J1360" s="7">
        <f>Procurement_Raw!J1360</f>
        <v>1895.31</v>
      </c>
      <c r="K1360" s="6">
        <f>Procurement_Raw!K1360</f>
        <v>60</v>
      </c>
      <c r="L1360" t="str">
        <f>Procurement_Raw!L1360</f>
        <v>Procurement Portal</v>
      </c>
      <c r="M1360" s="8">
        <f>Procurement_Raw!M1360</f>
        <v>379.06200000000001</v>
      </c>
      <c r="N1360" s="7">
        <f>Procurement_Raw!N1360</f>
        <v>1895.31</v>
      </c>
      <c r="O1360" s="7">
        <f t="shared" si="42"/>
        <v>1895.31</v>
      </c>
      <c r="P1360" t="str">
        <f>IFERROR(INDEX(Supplier_Lookup!$B$2:$B$200,MATCH(E1360,Supplier_Lookup!$A$2:$A$200,0)),"Unmapped")</f>
        <v>Office &amp; Training</v>
      </c>
      <c r="Q1360" s="10">
        <f>IFERROR(INDEX(Category_Targets!$B$2:$B$9,MATCH(F1360,Category_Targets!$A$2:$A$9,0)),0)</f>
        <v>0.04</v>
      </c>
      <c r="R1360" s="7">
        <f t="shared" si="43"/>
        <v>75.812399999999997</v>
      </c>
    </row>
    <row r="1361" spans="1:18" x14ac:dyDescent="0.25">
      <c r="A1361" s="5">
        <f>Procurement_Raw!A1361</f>
        <v>45731</v>
      </c>
      <c r="B1361" t="str">
        <f>Procurement_Raw!B1361</f>
        <v>S010</v>
      </c>
      <c r="C1361" t="str">
        <f>Procurement_Raw!C1361</f>
        <v>Coventry Care &amp; Education Centre</v>
      </c>
      <c r="D1361" t="str">
        <f>Procurement_Raw!D1361</f>
        <v>Midlands</v>
      </c>
      <c r="E1361" t="str">
        <f>Procurement_Raw!E1361</f>
        <v>HealthStaffing</v>
      </c>
      <c r="F1361" t="str">
        <f>Procurement_Raw!F1361</f>
        <v>Agency Labour</v>
      </c>
      <c r="G1361" t="str">
        <f>Procurement_Raw!G1361</f>
        <v>INV-2025-01360</v>
      </c>
      <c r="H1361" s="6">
        <f>Procurement_Raw!H1361</f>
        <v>65</v>
      </c>
      <c r="I1361" s="7">
        <f>Procurement_Raw!I1361</f>
        <v>331.83</v>
      </c>
      <c r="J1361" s="7">
        <f>Procurement_Raw!J1361</f>
        <v>21569.11</v>
      </c>
      <c r="K1361" s="6">
        <f>Procurement_Raw!K1361</f>
        <v>30</v>
      </c>
      <c r="L1361" t="str">
        <f>Procurement_Raw!L1361</f>
        <v>Procurement Portal</v>
      </c>
      <c r="M1361" s="8">
        <f>Procurement_Raw!M1361</f>
        <v>4313.8220000000001</v>
      </c>
      <c r="N1361" s="7">
        <f>Procurement_Raw!N1361</f>
        <v>21569.11</v>
      </c>
      <c r="O1361" s="7">
        <f t="shared" si="42"/>
        <v>21569.11</v>
      </c>
      <c r="P1361" t="str">
        <f>IFERROR(INDEX(Supplier_Lookup!$B$2:$B$200,MATCH(E1361,Supplier_Lookup!$A$2:$A$200,0)),"Unmapped")</f>
        <v>Agency Labour</v>
      </c>
      <c r="Q1361" s="10">
        <f>IFERROR(INDEX(Category_Targets!$B$2:$B$9,MATCH(F1361,Category_Targets!$A$2:$A$9,0)),0)</f>
        <v>7.0000000000000007E-2</v>
      </c>
      <c r="R1361" s="7">
        <f t="shared" si="43"/>
        <v>1509.8377000000003</v>
      </c>
    </row>
    <row r="1362" spans="1:18" x14ac:dyDescent="0.25">
      <c r="A1362" s="5">
        <f>Procurement_Raw!A1362</f>
        <v>46018</v>
      </c>
      <c r="B1362" t="str">
        <f>Procurement_Raw!B1362</f>
        <v>S008</v>
      </c>
      <c r="C1362" t="str">
        <f>Procurement_Raw!C1362</f>
        <v>Leicester Care &amp; Education Centre</v>
      </c>
      <c r="D1362" t="str">
        <f>Procurement_Raw!D1362</f>
        <v>Midlands</v>
      </c>
      <c r="E1362" t="str">
        <f>Procurement_Raw!E1362</f>
        <v>OfficePlus</v>
      </c>
      <c r="F1362" t="str">
        <f>Procurement_Raw!F1362</f>
        <v>Office &amp; Training</v>
      </c>
      <c r="G1362" t="str">
        <f>Procurement_Raw!G1362</f>
        <v>INV-2025-01361</v>
      </c>
      <c r="H1362" s="6">
        <f>Procurement_Raw!H1362</f>
        <v>66</v>
      </c>
      <c r="I1362" s="7">
        <f>Procurement_Raw!I1362</f>
        <v>74.37</v>
      </c>
      <c r="J1362" s="7">
        <f>Procurement_Raw!J1362</f>
        <v>4908.49</v>
      </c>
      <c r="K1362" s="6">
        <f>Procurement_Raw!K1362</f>
        <v>60</v>
      </c>
      <c r="L1362" t="str">
        <f>Procurement_Raw!L1362</f>
        <v>ERP</v>
      </c>
      <c r="M1362" s="8">
        <f>Procurement_Raw!M1362</f>
        <v>981.69799999999998</v>
      </c>
      <c r="N1362" s="7">
        <f>Procurement_Raw!N1362</f>
        <v>4908.49</v>
      </c>
      <c r="O1362" s="7">
        <f t="shared" si="42"/>
        <v>4908.49</v>
      </c>
      <c r="P1362" t="str">
        <f>IFERROR(INDEX(Supplier_Lookup!$B$2:$B$200,MATCH(E1362,Supplier_Lookup!$A$2:$A$200,0)),"Unmapped")</f>
        <v>Office &amp; Training</v>
      </c>
      <c r="Q1362" s="10">
        <f>IFERROR(INDEX(Category_Targets!$B$2:$B$9,MATCH(F1362,Category_Targets!$A$2:$A$9,0)),0)</f>
        <v>0.04</v>
      </c>
      <c r="R1362" s="7">
        <f t="shared" si="43"/>
        <v>196.33959999999999</v>
      </c>
    </row>
    <row r="1363" spans="1:18" x14ac:dyDescent="0.25">
      <c r="A1363" s="5">
        <f>Procurement_Raw!A1363</f>
        <v>45900</v>
      </c>
      <c r="B1363" t="str">
        <f>Procurement_Raw!B1363</f>
        <v>S012</v>
      </c>
      <c r="C1363" t="str">
        <f>Procurement_Raw!C1363</f>
        <v>Bristol Care &amp; Education Centre</v>
      </c>
      <c r="D1363" t="str">
        <f>Procurement_Raw!D1363</f>
        <v>South</v>
      </c>
      <c r="E1363" t="str">
        <f>Procurement_Raw!E1363</f>
        <v>WaterGrid</v>
      </c>
      <c r="F1363" t="str">
        <f>Procurement_Raw!F1363</f>
        <v>Utilities</v>
      </c>
      <c r="G1363" t="str">
        <f>Procurement_Raw!G1363</f>
        <v>INV-2025-01362</v>
      </c>
      <c r="H1363" s="6">
        <f>Procurement_Raw!H1363</f>
        <v>5</v>
      </c>
      <c r="I1363" s="7">
        <f>Procurement_Raw!I1363</f>
        <v>343.8</v>
      </c>
      <c r="J1363" s="7">
        <f>Procurement_Raw!J1363</f>
        <v>1719.02</v>
      </c>
      <c r="K1363" s="6">
        <f>Procurement_Raw!K1363</f>
        <v>60</v>
      </c>
      <c r="L1363" t="str">
        <f>Procurement_Raw!L1363</f>
        <v>ERP</v>
      </c>
      <c r="M1363" s="8">
        <f>Procurement_Raw!M1363</f>
        <v>343.80399999999997</v>
      </c>
      <c r="N1363" s="7">
        <f>Procurement_Raw!N1363</f>
        <v>1719.02</v>
      </c>
      <c r="O1363" s="7">
        <f t="shared" si="42"/>
        <v>1719.02</v>
      </c>
      <c r="P1363" t="str">
        <f>IFERROR(INDEX(Supplier_Lookup!$B$2:$B$200,MATCH(E1363,Supplier_Lookup!$A$2:$A$200,0)),"Unmapped")</f>
        <v>Utilities</v>
      </c>
      <c r="Q1363" s="10">
        <f>IFERROR(INDEX(Category_Targets!$B$2:$B$9,MATCH(F1363,Category_Targets!$A$2:$A$9,0)),0)</f>
        <v>0.03</v>
      </c>
      <c r="R1363" s="7">
        <f t="shared" si="43"/>
        <v>51.570599999999999</v>
      </c>
    </row>
    <row r="1364" spans="1:18" x14ac:dyDescent="0.25">
      <c r="A1364" s="5">
        <f>Procurement_Raw!A1364</f>
        <v>45966</v>
      </c>
      <c r="B1364" t="str">
        <f>Procurement_Raw!B1364</f>
        <v>S018</v>
      </c>
      <c r="C1364" t="str">
        <f>Procurement_Raw!C1364</f>
        <v>Newport Care &amp; Education Centre</v>
      </c>
      <c r="D1364" t="str">
        <f>Procurement_Raw!D1364</f>
        <v>Wales</v>
      </c>
      <c r="E1364" t="str">
        <f>Procurement_Raw!E1364</f>
        <v>FleetFuel</v>
      </c>
      <c r="F1364" t="str">
        <f>Procurement_Raw!F1364</f>
        <v>Vehicle &amp; Fuel</v>
      </c>
      <c r="G1364" t="str">
        <f>Procurement_Raw!G1364</f>
        <v>INV-2025-01363</v>
      </c>
      <c r="H1364" s="6">
        <f>Procurement_Raw!H1364</f>
        <v>53</v>
      </c>
      <c r="I1364" s="7">
        <f>Procurement_Raw!I1364</f>
        <v>101.46</v>
      </c>
      <c r="J1364" s="7">
        <f>Procurement_Raw!J1364</f>
        <v>5377.28</v>
      </c>
      <c r="K1364" s="6">
        <f>Procurement_Raw!K1364</f>
        <v>30</v>
      </c>
      <c r="L1364" t="str">
        <f>Procurement_Raw!L1364</f>
        <v>ERP</v>
      </c>
      <c r="M1364" s="8">
        <f>Procurement_Raw!M1364</f>
        <v>1075.4559999999999</v>
      </c>
      <c r="N1364" s="7">
        <f>Procurement_Raw!N1364</f>
        <v>5377.28</v>
      </c>
      <c r="O1364" s="7">
        <f t="shared" si="42"/>
        <v>5377.28</v>
      </c>
      <c r="P1364" t="str">
        <f>IFERROR(INDEX(Supplier_Lookup!$B$2:$B$200,MATCH(E1364,Supplier_Lookup!$A$2:$A$200,0)),"Unmapped")</f>
        <v>Vehicle &amp; Fuel</v>
      </c>
      <c r="Q1364" s="10">
        <f>IFERROR(INDEX(Category_Targets!$B$2:$B$9,MATCH(F1364,Category_Targets!$A$2:$A$9,0)),0)</f>
        <v>0.05</v>
      </c>
      <c r="R1364" s="7">
        <f t="shared" si="43"/>
        <v>268.86399999999998</v>
      </c>
    </row>
    <row r="1365" spans="1:18" x14ac:dyDescent="0.25">
      <c r="A1365" s="5">
        <f>Procurement_Raw!A1365</f>
        <v>45925</v>
      </c>
      <c r="B1365" t="str">
        <f>Procurement_Raw!B1365</f>
        <v>S020</v>
      </c>
      <c r="C1365" t="str">
        <f>Procurement_Raw!C1365</f>
        <v>Bangor Care &amp; Education Centre</v>
      </c>
      <c r="D1365" t="str">
        <f>Procurement_Raw!D1365</f>
        <v>Wales</v>
      </c>
      <c r="E1365" t="str">
        <f>Procurement_Raw!E1365</f>
        <v>CloudLink</v>
      </c>
      <c r="F1365" t="str">
        <f>Procurement_Raw!F1365</f>
        <v>IT &amp; Telecoms</v>
      </c>
      <c r="G1365" t="str">
        <f>Procurement_Raw!G1365</f>
        <v>INV-2025-01364</v>
      </c>
      <c r="H1365" s="6">
        <f>Procurement_Raw!H1365</f>
        <v>20</v>
      </c>
      <c r="I1365" s="7">
        <f>Procurement_Raw!I1365</f>
        <v>128.82</v>
      </c>
      <c r="J1365" s="7">
        <f>Procurement_Raw!J1365</f>
        <v>2576.46</v>
      </c>
      <c r="K1365" s="6">
        <f>Procurement_Raw!K1365</f>
        <v>30</v>
      </c>
      <c r="L1365" t="str">
        <f>Procurement_Raw!L1365</f>
        <v>Procurement Portal</v>
      </c>
      <c r="M1365" s="8">
        <f>Procurement_Raw!M1365</f>
        <v>515.29200000000003</v>
      </c>
      <c r="N1365" s="7">
        <f>Procurement_Raw!N1365</f>
        <v>2576.46</v>
      </c>
      <c r="O1365" s="7">
        <f t="shared" si="42"/>
        <v>2576.46</v>
      </c>
      <c r="P1365" t="str">
        <f>IFERROR(INDEX(Supplier_Lookup!$B$2:$B$200,MATCH(E1365,Supplier_Lookup!$A$2:$A$200,0)),"Unmapped")</f>
        <v>medical supplies</v>
      </c>
      <c r="Q1365" s="10">
        <f>IFERROR(INDEX(Category_Targets!$B$2:$B$9,MATCH(F1365,Category_Targets!$A$2:$A$9,0)),0)</f>
        <v>0.08</v>
      </c>
      <c r="R1365" s="7">
        <f t="shared" si="43"/>
        <v>206.11680000000001</v>
      </c>
    </row>
    <row r="1366" spans="1:18" x14ac:dyDescent="0.25">
      <c r="A1366" s="5">
        <f>Procurement_Raw!A1366</f>
        <v>45808</v>
      </c>
      <c r="B1366" t="str">
        <f>Procurement_Raw!B1366</f>
        <v>S003</v>
      </c>
      <c r="C1366" t="str">
        <f>Procurement_Raw!C1366</f>
        <v>Leeds Care &amp; Education Centre</v>
      </c>
      <c r="D1366" t="str">
        <f>Procurement_Raw!D1366</f>
        <v>North</v>
      </c>
      <c r="E1366" t="str">
        <f>Procurement_Raw!E1366</f>
        <v>RoadReady</v>
      </c>
      <c r="F1366" t="str">
        <f>Procurement_Raw!F1366</f>
        <v>Vehicle &amp; Fuel</v>
      </c>
      <c r="G1366" t="str">
        <f>Procurement_Raw!G1366</f>
        <v>INV-2025-01365</v>
      </c>
      <c r="H1366" s="6">
        <f>Procurement_Raw!H1366</f>
        <v>63</v>
      </c>
      <c r="I1366" s="7">
        <f>Procurement_Raw!I1366</f>
        <v>183.46</v>
      </c>
      <c r="J1366" s="7">
        <f>Procurement_Raw!J1366</f>
        <v>11557.92</v>
      </c>
      <c r="K1366" s="6">
        <f>Procurement_Raw!K1366</f>
        <v>30</v>
      </c>
      <c r="L1366" t="str">
        <f>Procurement_Raw!L1366</f>
        <v>ERP</v>
      </c>
      <c r="M1366" s="8">
        <f>Procurement_Raw!M1366</f>
        <v>2311.5839999999998</v>
      </c>
      <c r="N1366" s="7">
        <f>Procurement_Raw!N1366</f>
        <v>11557.92</v>
      </c>
      <c r="O1366" s="7">
        <f t="shared" si="42"/>
        <v>11557.92</v>
      </c>
      <c r="P1366" t="str">
        <f>IFERROR(INDEX(Supplier_Lookup!$B$2:$B$200,MATCH(E1366,Supplier_Lookup!$A$2:$A$200,0)),"Unmapped")</f>
        <v>Vehicle &amp; Fuel</v>
      </c>
      <c r="Q1366" s="10">
        <f>IFERROR(INDEX(Category_Targets!$B$2:$B$9,MATCH(F1366,Category_Targets!$A$2:$A$9,0)),0)</f>
        <v>0.05</v>
      </c>
      <c r="R1366" s="7">
        <f t="shared" si="43"/>
        <v>577.89600000000007</v>
      </c>
    </row>
    <row r="1367" spans="1:18" x14ac:dyDescent="0.25">
      <c r="A1367" s="5">
        <f>Procurement_Raw!A1367</f>
        <v>45814</v>
      </c>
      <c r="B1367" t="str">
        <f>Procurement_Raw!B1367</f>
        <v>S017</v>
      </c>
      <c r="C1367" t="str">
        <f>Procurement_Raw!C1367</f>
        <v>Swansea Care &amp; Education Centre</v>
      </c>
      <c r="D1367" t="str">
        <f>Procurement_Raw!D1367</f>
        <v>Wales</v>
      </c>
      <c r="E1367" t="str">
        <f>Procurement_Raw!E1367</f>
        <v>HealthStaffing</v>
      </c>
      <c r="F1367" t="str">
        <f>Procurement_Raw!F1367</f>
        <v>Agency Labour</v>
      </c>
      <c r="G1367" t="str">
        <f>Procurement_Raw!G1367</f>
        <v>INV-2025-01366</v>
      </c>
      <c r="H1367" s="6">
        <f>Procurement_Raw!H1367</f>
        <v>37</v>
      </c>
      <c r="I1367" s="7">
        <f>Procurement_Raw!I1367</f>
        <v>274.95</v>
      </c>
      <c r="J1367" s="7">
        <f>Procurement_Raw!J1367</f>
        <v>10173.17</v>
      </c>
      <c r="K1367" s="6">
        <f>Procurement_Raw!K1367</f>
        <v>30</v>
      </c>
      <c r="L1367" t="str">
        <f>Procurement_Raw!L1367</f>
        <v>ERP</v>
      </c>
      <c r="M1367" s="8">
        <f>Procurement_Raw!M1367</f>
        <v>2034.634</v>
      </c>
      <c r="N1367" s="7">
        <f>Procurement_Raw!N1367</f>
        <v>10173.17</v>
      </c>
      <c r="O1367" s="7">
        <f t="shared" si="42"/>
        <v>10173.17</v>
      </c>
      <c r="P1367" t="str">
        <f>IFERROR(INDEX(Supplier_Lookup!$B$2:$B$200,MATCH(E1367,Supplier_Lookup!$A$2:$A$200,0)),"Unmapped")</f>
        <v>Agency Labour</v>
      </c>
      <c r="Q1367" s="10">
        <f>IFERROR(INDEX(Category_Targets!$B$2:$B$9,MATCH(F1367,Category_Targets!$A$2:$A$9,0)),0)</f>
        <v>7.0000000000000007E-2</v>
      </c>
      <c r="R1367" s="7">
        <f t="shared" si="43"/>
        <v>712.1219000000001</v>
      </c>
    </row>
    <row r="1368" spans="1:18" x14ac:dyDescent="0.25">
      <c r="A1368" s="5">
        <f>Procurement_Raw!A1368</f>
        <v>45720</v>
      </c>
      <c r="B1368" t="str">
        <f>Procurement_Raw!B1368</f>
        <v>S008</v>
      </c>
      <c r="C1368" t="str">
        <f>Procurement_Raw!C1368</f>
        <v>Leicester Care &amp; Education Centre</v>
      </c>
      <c r="D1368" t="str">
        <f>Procurement_Raw!D1368</f>
        <v>Midlands</v>
      </c>
      <c r="E1368" t="str">
        <f>Procurement_Raw!E1368</f>
        <v>OfficePlus</v>
      </c>
      <c r="F1368" t="str">
        <f>Procurement_Raw!F1368</f>
        <v>Office &amp; Training</v>
      </c>
      <c r="G1368" t="str">
        <f>Procurement_Raw!G1368</f>
        <v>INV-2025-01367</v>
      </c>
      <c r="H1368" s="6">
        <f>Procurement_Raw!H1368</f>
        <v>71</v>
      </c>
      <c r="I1368" s="7">
        <f>Procurement_Raw!I1368</f>
        <v>73.88</v>
      </c>
      <c r="J1368" s="7">
        <f>Procurement_Raw!J1368</f>
        <v>5245.63</v>
      </c>
      <c r="K1368" s="6">
        <f>Procurement_Raw!K1368</f>
        <v>45</v>
      </c>
      <c r="L1368" t="str">
        <f>Procurement_Raw!L1368</f>
        <v>ERP</v>
      </c>
      <c r="M1368" s="8">
        <f>Procurement_Raw!M1368</f>
        <v>1049.126</v>
      </c>
      <c r="N1368" s="7">
        <f>Procurement_Raw!N1368</f>
        <v>5245.63</v>
      </c>
      <c r="O1368" s="7">
        <f t="shared" si="42"/>
        <v>5245.63</v>
      </c>
      <c r="P1368" t="str">
        <f>IFERROR(INDEX(Supplier_Lookup!$B$2:$B$200,MATCH(E1368,Supplier_Lookup!$A$2:$A$200,0)),"Unmapped")</f>
        <v>Office &amp; Training</v>
      </c>
      <c r="Q1368" s="10">
        <f>IFERROR(INDEX(Category_Targets!$B$2:$B$9,MATCH(F1368,Category_Targets!$A$2:$A$9,0)),0)</f>
        <v>0.04</v>
      </c>
      <c r="R1368" s="7">
        <f t="shared" si="43"/>
        <v>209.8252</v>
      </c>
    </row>
    <row r="1369" spans="1:18" x14ac:dyDescent="0.25">
      <c r="A1369" s="5">
        <f>Procurement_Raw!A1369</f>
        <v>45951</v>
      </c>
      <c r="B1369" t="str">
        <f>Procurement_Raw!B1369</f>
        <v>S013</v>
      </c>
      <c r="C1369" t="str">
        <f>Procurement_Raw!C1369</f>
        <v>Reading Care &amp; Education Centre</v>
      </c>
      <c r="D1369" t="str">
        <f>Procurement_Raw!D1369</f>
        <v>South</v>
      </c>
      <c r="E1369" t="str">
        <f>Procurement_Raw!E1369</f>
        <v>CareTemps</v>
      </c>
      <c r="F1369" t="str">
        <f>Procurement_Raw!F1369</f>
        <v>Agency Labour</v>
      </c>
      <c r="G1369" t="str">
        <f>Procurement_Raw!G1369</f>
        <v>INV-2025-01368</v>
      </c>
      <c r="H1369" s="6">
        <f>Procurement_Raw!H1369</f>
        <v>40</v>
      </c>
      <c r="I1369" s="7">
        <f>Procurement_Raw!I1369</f>
        <v>179.56</v>
      </c>
      <c r="J1369" s="7">
        <f>Procurement_Raw!J1369</f>
        <v>7182.23</v>
      </c>
      <c r="K1369" s="6">
        <f>Procurement_Raw!K1369</f>
        <v>60</v>
      </c>
      <c r="L1369" t="str">
        <f>Procurement_Raw!L1369</f>
        <v>Procurement Portal</v>
      </c>
      <c r="M1369" s="8">
        <f>Procurement_Raw!M1369</f>
        <v>1436.4459999999999</v>
      </c>
      <c r="N1369" s="7">
        <f>Procurement_Raw!N1369</f>
        <v>7182.23</v>
      </c>
      <c r="O1369" s="7">
        <f t="shared" si="42"/>
        <v>7182.23</v>
      </c>
      <c r="P1369" t="str">
        <f>IFERROR(INDEX(Supplier_Lookup!$B$2:$B$200,MATCH(E1369,Supplier_Lookup!$A$2:$A$200,0)),"Unmapped")</f>
        <v>Agency Labour</v>
      </c>
      <c r="Q1369" s="10">
        <f>IFERROR(INDEX(Category_Targets!$B$2:$B$9,MATCH(F1369,Category_Targets!$A$2:$A$9,0)),0)</f>
        <v>7.0000000000000007E-2</v>
      </c>
      <c r="R1369" s="7">
        <f t="shared" si="43"/>
        <v>502.7561</v>
      </c>
    </row>
    <row r="1370" spans="1:18" x14ac:dyDescent="0.25">
      <c r="A1370" s="5">
        <f>Procurement_Raw!A1370</f>
        <v>45968</v>
      </c>
      <c r="B1370" t="str">
        <f>Procurement_Raw!B1370</f>
        <v>S013</v>
      </c>
      <c r="C1370" t="str">
        <f>Procurement_Raw!C1370</f>
        <v>Reading Care &amp; Education Centre</v>
      </c>
      <c r="D1370" t="str">
        <f>Procurement_Raw!D1370</f>
        <v>South</v>
      </c>
      <c r="E1370" t="str">
        <f>Procurement_Raw!E1370</f>
        <v>CareTemps</v>
      </c>
      <c r="F1370" t="str">
        <f>Procurement_Raw!F1370</f>
        <v>Agency Labour</v>
      </c>
      <c r="G1370" t="str">
        <f>Procurement_Raw!G1370</f>
        <v>INV-2025-01369</v>
      </c>
      <c r="H1370" s="6">
        <f>Procurement_Raw!H1370</f>
        <v>17</v>
      </c>
      <c r="I1370" s="7">
        <f>Procurement_Raw!I1370</f>
        <v>235.09</v>
      </c>
      <c r="J1370" s="7">
        <f>Procurement_Raw!J1370</f>
        <v>3996.57</v>
      </c>
      <c r="K1370" s="6">
        <f>Procurement_Raw!K1370</f>
        <v>30</v>
      </c>
      <c r="L1370" t="str">
        <f>Procurement_Raw!L1370</f>
        <v>Legacy Spend File</v>
      </c>
      <c r="M1370" s="8">
        <f>Procurement_Raw!M1370</f>
        <v>799.31399999999996</v>
      </c>
      <c r="N1370" s="7">
        <f>Procurement_Raw!N1370</f>
        <v>3996.57</v>
      </c>
      <c r="O1370" s="7">
        <f t="shared" si="42"/>
        <v>3996.57</v>
      </c>
      <c r="P1370" t="str">
        <f>IFERROR(INDEX(Supplier_Lookup!$B$2:$B$200,MATCH(E1370,Supplier_Lookup!$A$2:$A$200,0)),"Unmapped")</f>
        <v>Agency Labour</v>
      </c>
      <c r="Q1370" s="10">
        <f>IFERROR(INDEX(Category_Targets!$B$2:$B$9,MATCH(F1370,Category_Targets!$A$2:$A$9,0)),0)</f>
        <v>7.0000000000000007E-2</v>
      </c>
      <c r="R1370" s="7">
        <f t="shared" si="43"/>
        <v>279.75990000000002</v>
      </c>
    </row>
    <row r="1371" spans="1:18" x14ac:dyDescent="0.25">
      <c r="A1371" s="5">
        <f>Procurement_Raw!A1371</f>
        <v>45999</v>
      </c>
      <c r="B1371" t="str">
        <f>Procurement_Raw!B1371</f>
        <v>S005</v>
      </c>
      <c r="C1371" t="str">
        <f>Procurement_Raw!C1371</f>
        <v>Sheffield Care &amp; Education Centre</v>
      </c>
      <c r="D1371" t="str">
        <f>Procurement_Raw!D1371</f>
        <v>North</v>
      </c>
      <c r="E1371" t="str">
        <f>Procurement_Raw!E1371</f>
        <v>LearnWell</v>
      </c>
      <c r="F1371" t="str">
        <f>Procurement_Raw!F1371</f>
        <v>Office &amp; Training</v>
      </c>
      <c r="G1371" t="str">
        <f>Procurement_Raw!G1371</f>
        <v>INV-2025-01370</v>
      </c>
      <c r="H1371" s="6">
        <f>Procurement_Raw!H1371</f>
        <v>58</v>
      </c>
      <c r="I1371" s="7">
        <f>Procurement_Raw!I1371</f>
        <v>46.1</v>
      </c>
      <c r="J1371" s="7">
        <f>Procurement_Raw!J1371</f>
        <v>2673.89</v>
      </c>
      <c r="K1371" s="6">
        <f>Procurement_Raw!K1371</f>
        <v>30</v>
      </c>
      <c r="L1371" t="str">
        <f>Procurement_Raw!L1371</f>
        <v>Legacy Spend File</v>
      </c>
      <c r="M1371" s="8">
        <f>Procurement_Raw!M1371</f>
        <v>534.77800000000002</v>
      </c>
      <c r="N1371" s="7">
        <f>Procurement_Raw!N1371</f>
        <v>2673.89</v>
      </c>
      <c r="O1371" s="7">
        <f t="shared" si="42"/>
        <v>2673.89</v>
      </c>
      <c r="P1371" t="str">
        <f>IFERROR(INDEX(Supplier_Lookup!$B$2:$B$200,MATCH(E1371,Supplier_Lookup!$A$2:$A$200,0)),"Unmapped")</f>
        <v>Office &amp; Training</v>
      </c>
      <c r="Q1371" s="10">
        <f>IFERROR(INDEX(Category_Targets!$B$2:$B$9,MATCH(F1371,Category_Targets!$A$2:$A$9,0)),0)</f>
        <v>0.04</v>
      </c>
      <c r="R1371" s="7">
        <f t="shared" si="43"/>
        <v>106.9556</v>
      </c>
    </row>
    <row r="1372" spans="1:18" x14ac:dyDescent="0.25">
      <c r="A1372" s="5">
        <f>Procurement_Raw!A1372</f>
        <v>45998</v>
      </c>
      <c r="B1372" t="str">
        <f>Procurement_Raw!B1372</f>
        <v>S011</v>
      </c>
      <c r="C1372" t="str">
        <f>Procurement_Raw!C1372</f>
        <v>London Care &amp; Education Centre</v>
      </c>
      <c r="D1372" t="str">
        <f>Procurement_Raw!D1372</f>
        <v>South</v>
      </c>
      <c r="E1372" t="str">
        <f>Procurement_Raw!E1372</f>
        <v>kitchenpro</v>
      </c>
      <c r="F1372" t="str">
        <f>Procurement_Raw!F1372</f>
        <v>Food &amp; Catering</v>
      </c>
      <c r="G1372" t="str">
        <f>Procurement_Raw!G1372</f>
        <v>INV-2025-01371</v>
      </c>
      <c r="H1372" s="6">
        <f>Procurement_Raw!H1372</f>
        <v>80</v>
      </c>
      <c r="I1372" s="7">
        <f>Procurement_Raw!I1372</f>
        <v>59.1</v>
      </c>
      <c r="J1372" s="7">
        <f>Procurement_Raw!J1372</f>
        <v>4728.17</v>
      </c>
      <c r="K1372" s="6">
        <f>Procurement_Raw!K1372</f>
        <v>45</v>
      </c>
      <c r="L1372" t="str">
        <f>Procurement_Raw!L1372</f>
        <v>Procurement Portal</v>
      </c>
      <c r="M1372" s="8">
        <f>Procurement_Raw!M1372</f>
        <v>945.63400000000001</v>
      </c>
      <c r="N1372" s="7">
        <f>Procurement_Raw!N1372</f>
        <v>4728.17</v>
      </c>
      <c r="O1372" s="7">
        <f t="shared" si="42"/>
        <v>4728.17</v>
      </c>
      <c r="P1372" t="str">
        <f>IFERROR(INDEX(Supplier_Lookup!$B$2:$B$200,MATCH(E1372,Supplier_Lookup!$A$2:$A$200,0)),"Unmapped")</f>
        <v>Food &amp; Catering</v>
      </c>
      <c r="Q1372" s="10">
        <f>IFERROR(INDEX(Category_Targets!$B$2:$B$9,MATCH(F1372,Category_Targets!$A$2:$A$9,0)),0)</f>
        <v>0.04</v>
      </c>
      <c r="R1372" s="7">
        <f t="shared" si="43"/>
        <v>189.1268</v>
      </c>
    </row>
    <row r="1373" spans="1:18" x14ac:dyDescent="0.25">
      <c r="A1373" s="5">
        <f>Procurement_Raw!A1373</f>
        <v>45934</v>
      </c>
      <c r="B1373" t="str">
        <f>Procurement_Raw!B1373</f>
        <v>S005</v>
      </c>
      <c r="C1373" t="str">
        <f>Procurement_Raw!C1373</f>
        <v>Sheffield Care &amp; Education Centre</v>
      </c>
      <c r="D1373" t="str">
        <f>Procurement_Raw!D1373</f>
        <v>North</v>
      </c>
      <c r="E1373" t="str">
        <f>Procurement_Raw!E1373</f>
        <v>CareTemps</v>
      </c>
      <c r="F1373" t="str">
        <f>Procurement_Raw!F1373</f>
        <v>Agency Labour</v>
      </c>
      <c r="G1373" t="str">
        <f>Procurement_Raw!G1373</f>
        <v>INV-2025-01372</v>
      </c>
      <c r="H1373" s="6">
        <f>Procurement_Raw!H1373</f>
        <v>6</v>
      </c>
      <c r="I1373" s="7">
        <f>Procurement_Raw!I1373</f>
        <v>769.1</v>
      </c>
      <c r="J1373" s="7">
        <f>Procurement_Raw!J1373</f>
        <v>4614.6099999999997</v>
      </c>
      <c r="K1373" s="6">
        <f>Procurement_Raw!K1373</f>
        <v>60</v>
      </c>
      <c r="L1373" t="str">
        <f>Procurement_Raw!L1373</f>
        <v>Procurement Portal</v>
      </c>
      <c r="M1373" s="8">
        <f>Procurement_Raw!M1373</f>
        <v>922.92200000000003</v>
      </c>
      <c r="N1373" s="7">
        <f>Procurement_Raw!N1373</f>
        <v>4614.6099999999997</v>
      </c>
      <c r="O1373" s="7">
        <f t="shared" si="42"/>
        <v>4614.6099999999997</v>
      </c>
      <c r="P1373" t="str">
        <f>IFERROR(INDEX(Supplier_Lookup!$B$2:$B$200,MATCH(E1373,Supplier_Lookup!$A$2:$A$200,0)),"Unmapped")</f>
        <v>Agency Labour</v>
      </c>
      <c r="Q1373" s="10">
        <f>IFERROR(INDEX(Category_Targets!$B$2:$B$9,MATCH(F1373,Category_Targets!$A$2:$A$9,0)),0)</f>
        <v>7.0000000000000007E-2</v>
      </c>
      <c r="R1373" s="7">
        <f t="shared" si="43"/>
        <v>323.02269999999999</v>
      </c>
    </row>
    <row r="1374" spans="1:18" x14ac:dyDescent="0.25">
      <c r="A1374" s="5">
        <f>Procurement_Raw!A1374</f>
        <v>45703</v>
      </c>
      <c r="B1374" t="str">
        <f>Procurement_Raw!B1374</f>
        <v>S010</v>
      </c>
      <c r="C1374" t="str">
        <f>Procurement_Raw!C1374</f>
        <v>Coventry Care &amp; Education Centre</v>
      </c>
      <c r="D1374" t="str">
        <f>Procurement_Raw!D1374</f>
        <v>Midlands</v>
      </c>
      <c r="E1374" t="str">
        <f>Procurement_Raw!E1374</f>
        <v>NetServe</v>
      </c>
      <c r="F1374" t="str">
        <f>Procurement_Raw!F1374</f>
        <v>IT &amp; Telecoms</v>
      </c>
      <c r="G1374" t="str">
        <f>Procurement_Raw!G1374</f>
        <v>INV-2025-01373</v>
      </c>
      <c r="H1374" s="6">
        <f>Procurement_Raw!H1374</f>
        <v>22</v>
      </c>
      <c r="I1374" s="7">
        <f>Procurement_Raw!I1374</f>
        <v>103.45</v>
      </c>
      <c r="J1374" s="7">
        <f>Procurement_Raw!J1374</f>
        <v>2275.89</v>
      </c>
      <c r="K1374" s="6">
        <f>Procurement_Raw!K1374</f>
        <v>60</v>
      </c>
      <c r="L1374" t="str">
        <f>Procurement_Raw!L1374</f>
        <v>ERP</v>
      </c>
      <c r="M1374" s="8">
        <f>Procurement_Raw!M1374</f>
        <v>455.178</v>
      </c>
      <c r="N1374" s="7">
        <f>Procurement_Raw!N1374</f>
        <v>2275.89</v>
      </c>
      <c r="O1374" s="7">
        <f t="shared" si="42"/>
        <v>2275.89</v>
      </c>
      <c r="P1374" t="str">
        <f>IFERROR(INDEX(Supplier_Lookup!$B$2:$B$200,MATCH(E1374,Supplier_Lookup!$A$2:$A$200,0)),"Unmapped")</f>
        <v>IT &amp; Telecoms</v>
      </c>
      <c r="Q1374" s="10">
        <f>IFERROR(INDEX(Category_Targets!$B$2:$B$9,MATCH(F1374,Category_Targets!$A$2:$A$9,0)),0)</f>
        <v>0.08</v>
      </c>
      <c r="R1374" s="7">
        <f t="shared" si="43"/>
        <v>182.0712</v>
      </c>
    </row>
    <row r="1375" spans="1:18" x14ac:dyDescent="0.25">
      <c r="A1375" s="5">
        <f>Procurement_Raw!A1375</f>
        <v>45988</v>
      </c>
      <c r="B1375" t="str">
        <f>Procurement_Raw!B1375</f>
        <v>S013</v>
      </c>
      <c r="C1375" t="str">
        <f>Procurement_Raw!C1375</f>
        <v>Reading Care &amp; Education Centre</v>
      </c>
      <c r="D1375" t="str">
        <f>Procurement_Raw!D1375</f>
        <v>South</v>
      </c>
      <c r="E1375" t="str">
        <f>Procurement_Raw!E1375</f>
        <v>NetServe</v>
      </c>
      <c r="F1375" t="str">
        <f>Procurement_Raw!F1375</f>
        <v>IT &amp; Telecoms</v>
      </c>
      <c r="G1375" t="str">
        <f>Procurement_Raw!G1375</f>
        <v>INV-2025-01374</v>
      </c>
      <c r="H1375" s="6">
        <f>Procurement_Raw!H1375</f>
        <v>16</v>
      </c>
      <c r="I1375" s="7">
        <f>Procurement_Raw!I1375</f>
        <v>90.57</v>
      </c>
      <c r="J1375" s="7">
        <f>Procurement_Raw!J1375</f>
        <v>1449.19</v>
      </c>
      <c r="K1375" s="6">
        <f>Procurement_Raw!K1375</f>
        <v>60</v>
      </c>
      <c r="L1375" t="str">
        <f>Procurement_Raw!L1375</f>
        <v>Legacy Spend File</v>
      </c>
      <c r="M1375" s="8">
        <f>Procurement_Raw!M1375</f>
        <v>289.83800000000002</v>
      </c>
      <c r="N1375" s="7">
        <f>Procurement_Raw!N1375</f>
        <v>1449.19</v>
      </c>
      <c r="O1375" s="7">
        <f t="shared" si="42"/>
        <v>1449.19</v>
      </c>
      <c r="P1375" t="str">
        <f>IFERROR(INDEX(Supplier_Lookup!$B$2:$B$200,MATCH(E1375,Supplier_Lookup!$A$2:$A$200,0)),"Unmapped")</f>
        <v>IT &amp; Telecoms</v>
      </c>
      <c r="Q1375" s="10">
        <f>IFERROR(INDEX(Category_Targets!$B$2:$B$9,MATCH(F1375,Category_Targets!$A$2:$A$9,0)),0)</f>
        <v>0.08</v>
      </c>
      <c r="R1375" s="7">
        <f t="shared" si="43"/>
        <v>115.93520000000001</v>
      </c>
    </row>
    <row r="1376" spans="1:18" x14ac:dyDescent="0.25">
      <c r="A1376" s="5">
        <f>Procurement_Raw!A1376</f>
        <v>45935</v>
      </c>
      <c r="B1376" t="str">
        <f>Procurement_Raw!B1376</f>
        <v>S001</v>
      </c>
      <c r="C1376" t="str">
        <f>Procurement_Raw!C1376</f>
        <v>Preston Care &amp; Education Centre</v>
      </c>
      <c r="D1376" t="str">
        <f>Procurement_Raw!D1376</f>
        <v>North</v>
      </c>
      <c r="E1376" t="str">
        <f>Procurement_Raw!E1376</f>
        <v>PowerDirect</v>
      </c>
      <c r="F1376" t="str">
        <f>Procurement_Raw!F1376</f>
        <v>Utilities</v>
      </c>
      <c r="G1376" t="str">
        <f>Procurement_Raw!G1376</f>
        <v>INV-2025-01375</v>
      </c>
      <c r="H1376" s="6">
        <f>Procurement_Raw!H1376</f>
        <v>74</v>
      </c>
      <c r="I1376" s="7">
        <f>Procurement_Raw!I1376</f>
        <v>561.5</v>
      </c>
      <c r="J1376" s="7">
        <f>Procurement_Raw!J1376</f>
        <v>41550.699999999997</v>
      </c>
      <c r="K1376" s="6">
        <f>Procurement_Raw!K1376</f>
        <v>30</v>
      </c>
      <c r="L1376" t="str">
        <f>Procurement_Raw!L1376</f>
        <v>Legacy Spend File</v>
      </c>
      <c r="M1376" s="8">
        <f>Procurement_Raw!M1376</f>
        <v>8310.14</v>
      </c>
      <c r="N1376" s="7">
        <f>Procurement_Raw!N1376</f>
        <v>41550.699999999997</v>
      </c>
      <c r="O1376" s="7">
        <f t="shared" si="42"/>
        <v>41550.699999999997</v>
      </c>
      <c r="P1376" t="str">
        <f>IFERROR(INDEX(Supplier_Lookup!$B$2:$B$200,MATCH(E1376,Supplier_Lookup!$A$2:$A$200,0)),"Unmapped")</f>
        <v>Utilities</v>
      </c>
      <c r="Q1376" s="10">
        <f>IFERROR(INDEX(Category_Targets!$B$2:$B$9,MATCH(F1376,Category_Targets!$A$2:$A$9,0)),0)</f>
        <v>0.03</v>
      </c>
      <c r="R1376" s="7">
        <f t="shared" si="43"/>
        <v>1246.521</v>
      </c>
    </row>
    <row r="1377" spans="1:18" x14ac:dyDescent="0.25">
      <c r="A1377" s="5">
        <f>Procurement_Raw!A1377</f>
        <v>45915</v>
      </c>
      <c r="B1377" t="str">
        <f>Procurement_Raw!B1377</f>
        <v>S015</v>
      </c>
      <c r="C1377" t="str">
        <f>Procurement_Raw!C1377</f>
        <v>Brighton Care &amp; Education Centre</v>
      </c>
      <c r="D1377" t="str">
        <f>Procurement_Raw!D1377</f>
        <v>South</v>
      </c>
      <c r="E1377" t="str">
        <f>Procurement_Raw!E1377</f>
        <v>WaterGrid</v>
      </c>
      <c r="F1377" t="str">
        <f>Procurement_Raw!F1377</f>
        <v>Utilities</v>
      </c>
      <c r="G1377" t="str">
        <f>Procurement_Raw!G1377</f>
        <v>INV-2025-01376</v>
      </c>
      <c r="H1377" s="6">
        <f>Procurement_Raw!H1377</f>
        <v>3</v>
      </c>
      <c r="I1377" s="7">
        <f>Procurement_Raw!I1377</f>
        <v>222.81</v>
      </c>
      <c r="J1377" s="7">
        <f>Procurement_Raw!J1377</f>
        <v>668.44</v>
      </c>
      <c r="K1377" s="6">
        <f>Procurement_Raw!K1377</f>
        <v>30</v>
      </c>
      <c r="L1377" t="str">
        <f>Procurement_Raw!L1377</f>
        <v>Legacy Spend File</v>
      </c>
      <c r="M1377" s="8">
        <f>Procurement_Raw!M1377</f>
        <v>133.68799999999999</v>
      </c>
      <c r="N1377" s="7">
        <f>Procurement_Raw!N1377</f>
        <v>668.44</v>
      </c>
      <c r="O1377" s="7">
        <f t="shared" si="42"/>
        <v>668.44</v>
      </c>
      <c r="P1377" t="str">
        <f>IFERROR(INDEX(Supplier_Lookup!$B$2:$B$200,MATCH(E1377,Supplier_Lookup!$A$2:$A$200,0)),"Unmapped")</f>
        <v>Utilities</v>
      </c>
      <c r="Q1377" s="10">
        <f>IFERROR(INDEX(Category_Targets!$B$2:$B$9,MATCH(F1377,Category_Targets!$A$2:$A$9,0)),0)</f>
        <v>0.03</v>
      </c>
      <c r="R1377" s="7">
        <f t="shared" si="43"/>
        <v>20.0532</v>
      </c>
    </row>
    <row r="1378" spans="1:18" x14ac:dyDescent="0.25">
      <c r="A1378" s="5">
        <f>Procurement_Raw!A1378</f>
        <v>45798</v>
      </c>
      <c r="B1378" t="str">
        <f>Procurement_Raw!B1378</f>
        <v>S001</v>
      </c>
      <c r="C1378" t="str">
        <f>Procurement_Raw!C1378</f>
        <v>Preston Care &amp; Education Centre</v>
      </c>
      <c r="D1378" t="str">
        <f>Procurement_Raw!D1378</f>
        <v>North</v>
      </c>
      <c r="E1378" t="str">
        <f>Procurement_Raw!E1378</f>
        <v>CleanWorks</v>
      </c>
      <c r="F1378" t="str">
        <f>Procurement_Raw!F1378</f>
        <v>Facilities</v>
      </c>
      <c r="G1378" t="str">
        <f>Procurement_Raw!G1378</f>
        <v>INV-2025-01377</v>
      </c>
      <c r="H1378" s="6">
        <f>Procurement_Raw!H1378</f>
        <v>27</v>
      </c>
      <c r="I1378" s="7">
        <f>Procurement_Raw!I1378</f>
        <v>124.58</v>
      </c>
      <c r="J1378" s="7">
        <f>Procurement_Raw!J1378</f>
        <v>3363.72</v>
      </c>
      <c r="K1378" s="6">
        <f>Procurement_Raw!K1378</f>
        <v>30</v>
      </c>
      <c r="L1378" t="str">
        <f>Procurement_Raw!L1378</f>
        <v>Legacy Spend File</v>
      </c>
      <c r="M1378" s="8">
        <f>Procurement_Raw!M1378</f>
        <v>672.74400000000003</v>
      </c>
      <c r="N1378" s="7">
        <f>Procurement_Raw!N1378</f>
        <v>3363.72</v>
      </c>
      <c r="O1378" s="7">
        <f t="shared" si="42"/>
        <v>3363.72</v>
      </c>
      <c r="P1378" t="str">
        <f>IFERROR(INDEX(Supplier_Lookup!$B$2:$B$200,MATCH(E1378,Supplier_Lookup!$A$2:$A$200,0)),"Unmapped")</f>
        <v>Facilities</v>
      </c>
      <c r="Q1378" s="10">
        <f>IFERROR(INDEX(Category_Targets!$B$2:$B$9,MATCH(F1378,Category_Targets!$A$2:$A$9,0)),0)</f>
        <v>0.05</v>
      </c>
      <c r="R1378" s="7">
        <f t="shared" si="43"/>
        <v>168.18600000000001</v>
      </c>
    </row>
    <row r="1379" spans="1:18" x14ac:dyDescent="0.25">
      <c r="A1379" s="5">
        <f>Procurement_Raw!A1379</f>
        <v>45931</v>
      </c>
      <c r="B1379" t="str">
        <f>Procurement_Raw!B1379</f>
        <v>S008</v>
      </c>
      <c r="C1379" t="str">
        <f>Procurement_Raw!C1379</f>
        <v>Leicester Care &amp; Education Centre</v>
      </c>
      <c r="D1379" t="str">
        <f>Procurement_Raw!D1379</f>
        <v>Midlands</v>
      </c>
      <c r="E1379" t="str">
        <f>Procurement_Raw!E1379</f>
        <v>OfficePlus</v>
      </c>
      <c r="F1379" t="str">
        <f>Procurement_Raw!F1379</f>
        <v>Office &amp; Training</v>
      </c>
      <c r="G1379" t="str">
        <f>Procurement_Raw!G1379</f>
        <v>INV-2025-01378</v>
      </c>
      <c r="H1379" s="6">
        <f>Procurement_Raw!H1379</f>
        <v>78</v>
      </c>
      <c r="I1379" s="7">
        <f>Procurement_Raw!I1379</f>
        <v>132.88</v>
      </c>
      <c r="J1379" s="7">
        <f>Procurement_Raw!J1379</f>
        <v>10364.530000000001</v>
      </c>
      <c r="K1379" s="6">
        <f>Procurement_Raw!K1379</f>
        <v>45</v>
      </c>
      <c r="L1379" t="str">
        <f>Procurement_Raw!L1379</f>
        <v>Procurement Portal</v>
      </c>
      <c r="M1379" s="8">
        <f>Procurement_Raw!M1379</f>
        <v>2072.9059999999999</v>
      </c>
      <c r="N1379" s="7">
        <f>Procurement_Raw!N1379</f>
        <v>10364.530000000001</v>
      </c>
      <c r="O1379" s="7">
        <f t="shared" si="42"/>
        <v>10364.530000000001</v>
      </c>
      <c r="P1379" t="str">
        <f>IFERROR(INDEX(Supplier_Lookup!$B$2:$B$200,MATCH(E1379,Supplier_Lookup!$A$2:$A$200,0)),"Unmapped")</f>
        <v>Office &amp; Training</v>
      </c>
      <c r="Q1379" s="10">
        <f>IFERROR(INDEX(Category_Targets!$B$2:$B$9,MATCH(F1379,Category_Targets!$A$2:$A$9,0)),0)</f>
        <v>0.04</v>
      </c>
      <c r="R1379" s="7">
        <f t="shared" si="43"/>
        <v>414.58120000000002</v>
      </c>
    </row>
    <row r="1380" spans="1:18" x14ac:dyDescent="0.25">
      <c r="A1380" s="5">
        <f>Procurement_Raw!A1380</f>
        <v>45669</v>
      </c>
      <c r="B1380" t="str">
        <f>Procurement_Raw!B1380</f>
        <v>S017</v>
      </c>
      <c r="C1380" t="str">
        <f>Procurement_Raw!C1380</f>
        <v>Swansea Care &amp; Education Centre</v>
      </c>
      <c r="D1380" t="str">
        <f>Procurement_Raw!D1380</f>
        <v>Wales</v>
      </c>
      <c r="E1380" t="str">
        <f>Procurement_Raw!E1380</f>
        <v>CareMed</v>
      </c>
      <c r="F1380" t="str">
        <f>Procurement_Raw!F1380</f>
        <v>Medical Supplies</v>
      </c>
      <c r="G1380" t="str">
        <f>Procurement_Raw!G1380</f>
        <v>INV-2025-01379</v>
      </c>
      <c r="H1380" s="6">
        <f>Procurement_Raw!H1380</f>
        <v>44</v>
      </c>
      <c r="I1380" s="7">
        <f>Procurement_Raw!I1380</f>
        <v>86</v>
      </c>
      <c r="J1380" s="7">
        <f>Procurement_Raw!J1380</f>
        <v>3784.21</v>
      </c>
      <c r="K1380" s="6">
        <f>Procurement_Raw!K1380</f>
        <v>45</v>
      </c>
      <c r="L1380" t="str">
        <f>Procurement_Raw!L1380</f>
        <v>ERP</v>
      </c>
      <c r="M1380" s="8">
        <f>Procurement_Raw!M1380</f>
        <v>756.84199999999998</v>
      </c>
      <c r="N1380" s="7">
        <f>Procurement_Raw!N1380</f>
        <v>3784.21</v>
      </c>
      <c r="O1380" s="7">
        <f t="shared" si="42"/>
        <v>3784.21</v>
      </c>
      <c r="P1380" t="str">
        <f>IFERROR(INDEX(Supplier_Lookup!$B$2:$B$200,MATCH(E1380,Supplier_Lookup!$A$2:$A$200,0)),"Unmapped")</f>
        <v>Medical Supplies</v>
      </c>
      <c r="Q1380" s="10">
        <f>IFERROR(INDEX(Category_Targets!$B$2:$B$9,MATCH(F1380,Category_Targets!$A$2:$A$9,0)),0)</f>
        <v>0.06</v>
      </c>
      <c r="R1380" s="7">
        <f t="shared" si="43"/>
        <v>227.05259999999998</v>
      </c>
    </row>
    <row r="1381" spans="1:18" x14ac:dyDescent="0.25">
      <c r="A1381" s="5">
        <f>Procurement_Raw!A1381</f>
        <v>45820</v>
      </c>
      <c r="B1381" t="str">
        <f>Procurement_Raw!B1381</f>
        <v>S002</v>
      </c>
      <c r="C1381" t="str">
        <f>Procurement_Raw!C1381</f>
        <v>Manchester Care &amp; Education Centre</v>
      </c>
      <c r="D1381" t="str">
        <f>Procurement_Raw!D1381</f>
        <v>North</v>
      </c>
      <c r="E1381" t="str">
        <f>Procurement_Raw!E1381</f>
        <v>ClinEquip</v>
      </c>
      <c r="F1381" t="str">
        <f>Procurement_Raw!F1381</f>
        <v>Medical Supplies</v>
      </c>
      <c r="G1381" t="str">
        <f>Procurement_Raw!G1381</f>
        <v>INV-2025-01380</v>
      </c>
      <c r="H1381" s="6">
        <f>Procurement_Raw!H1381</f>
        <v>49</v>
      </c>
      <c r="I1381" s="7">
        <f>Procurement_Raw!I1381</f>
        <v>327.60000000000002</v>
      </c>
      <c r="J1381" s="7">
        <f>Procurement_Raw!J1381</f>
        <v>16052.46</v>
      </c>
      <c r="K1381" s="6">
        <f>Procurement_Raw!K1381</f>
        <v>45</v>
      </c>
      <c r="L1381" t="str">
        <f>Procurement_Raw!L1381</f>
        <v>ERP</v>
      </c>
      <c r="M1381" s="8">
        <f>Procurement_Raw!M1381</f>
        <v>3210.4920000000002</v>
      </c>
      <c r="N1381" s="7">
        <f>Procurement_Raw!N1381</f>
        <v>16052.46</v>
      </c>
      <c r="O1381" s="7">
        <f t="shared" si="42"/>
        <v>16052.46</v>
      </c>
      <c r="P1381" t="str">
        <f>IFERROR(INDEX(Supplier_Lookup!$B$2:$B$200,MATCH(E1381,Supplier_Lookup!$A$2:$A$200,0)),"Unmapped")</f>
        <v>Medical Supplies</v>
      </c>
      <c r="Q1381" s="10">
        <f>IFERROR(INDEX(Category_Targets!$B$2:$B$9,MATCH(F1381,Category_Targets!$A$2:$A$9,0)),0)</f>
        <v>0.06</v>
      </c>
      <c r="R1381" s="7">
        <f t="shared" si="43"/>
        <v>963.1475999999999</v>
      </c>
    </row>
    <row r="1382" spans="1:18" x14ac:dyDescent="0.25">
      <c r="A1382" s="5">
        <f>Procurement_Raw!A1382</f>
        <v>45744</v>
      </c>
      <c r="B1382" t="str">
        <f>Procurement_Raw!B1382</f>
        <v>S006</v>
      </c>
      <c r="C1382" t="str">
        <f>Procurement_Raw!C1382</f>
        <v>Birmingham Care &amp; Education Centre</v>
      </c>
      <c r="D1382" t="str">
        <f>Procurement_Raw!D1382</f>
        <v>Midlands</v>
      </c>
      <c r="E1382" t="str">
        <f>Procurement_Raw!E1382</f>
        <v>KitchenPro</v>
      </c>
      <c r="F1382" t="str">
        <f>Procurement_Raw!F1382</f>
        <v>Food &amp; Catering</v>
      </c>
      <c r="G1382" t="str">
        <f>Procurement_Raw!G1382</f>
        <v>INV-2025-01381</v>
      </c>
      <c r="H1382" s="6">
        <f>Procurement_Raw!H1382</f>
        <v>37</v>
      </c>
      <c r="I1382" s="7">
        <f>Procurement_Raw!I1382</f>
        <v>94.37</v>
      </c>
      <c r="J1382" s="7">
        <f>Procurement_Raw!J1382</f>
        <v>3491.77</v>
      </c>
      <c r="K1382" s="6">
        <f>Procurement_Raw!K1382</f>
        <v>30</v>
      </c>
      <c r="L1382" t="str">
        <f>Procurement_Raw!L1382</f>
        <v>ERP</v>
      </c>
      <c r="M1382" s="8">
        <f>Procurement_Raw!M1382</f>
        <v>698.35400000000004</v>
      </c>
      <c r="N1382" s="7">
        <f>Procurement_Raw!N1382</f>
        <v>3491.77</v>
      </c>
      <c r="O1382" s="7">
        <f t="shared" si="42"/>
        <v>3491.77</v>
      </c>
      <c r="P1382" t="str">
        <f>IFERROR(INDEX(Supplier_Lookup!$B$2:$B$200,MATCH(E1382,Supplier_Lookup!$A$2:$A$200,0)),"Unmapped")</f>
        <v>Food &amp; Catering</v>
      </c>
      <c r="Q1382" s="10">
        <f>IFERROR(INDEX(Category_Targets!$B$2:$B$9,MATCH(F1382,Category_Targets!$A$2:$A$9,0)),0)</f>
        <v>0.04</v>
      </c>
      <c r="R1382" s="7">
        <f t="shared" si="43"/>
        <v>139.67080000000001</v>
      </c>
    </row>
    <row r="1383" spans="1:18" x14ac:dyDescent="0.25">
      <c r="A1383" s="5">
        <f>Procurement_Raw!A1383</f>
        <v>45815</v>
      </c>
      <c r="B1383" t="str">
        <f>Procurement_Raw!B1383</f>
        <v>S004</v>
      </c>
      <c r="C1383" t="str">
        <f>Procurement_Raw!C1383</f>
        <v>Newcastle Care &amp; Education Centre</v>
      </c>
      <c r="D1383" t="str">
        <f>Procurement_Raw!D1383</f>
        <v>North</v>
      </c>
      <c r="E1383" t="str">
        <f>Procurement_Raw!E1383</f>
        <v>FreshServe</v>
      </c>
      <c r="F1383" t="str">
        <f>Procurement_Raw!F1383</f>
        <v>Food &amp; Catering</v>
      </c>
      <c r="G1383" t="str">
        <f>Procurement_Raw!G1383</f>
        <v>INV-2025-01382</v>
      </c>
      <c r="H1383" s="6">
        <f>Procurement_Raw!H1383</f>
        <v>53</v>
      </c>
      <c r="I1383" s="7">
        <f>Procurement_Raw!I1383</f>
        <v>49.7</v>
      </c>
      <c r="J1383" s="7">
        <f>Procurement_Raw!J1383</f>
        <v>2634.18</v>
      </c>
      <c r="K1383" s="6">
        <f>Procurement_Raw!K1383</f>
        <v>60</v>
      </c>
      <c r="L1383" t="str">
        <f>Procurement_Raw!L1383</f>
        <v>ERP</v>
      </c>
      <c r="M1383" s="8">
        <f>Procurement_Raw!M1383</f>
        <v>526.83600000000001</v>
      </c>
      <c r="N1383" s="7">
        <f>Procurement_Raw!N1383</f>
        <v>2634.18</v>
      </c>
      <c r="O1383" s="7">
        <f t="shared" si="42"/>
        <v>2634.18</v>
      </c>
      <c r="P1383" t="str">
        <f>IFERROR(INDEX(Supplier_Lookup!$B$2:$B$200,MATCH(E1383,Supplier_Lookup!$A$2:$A$200,0)),"Unmapped")</f>
        <v>Food &amp; Catering</v>
      </c>
      <c r="Q1383" s="10">
        <f>IFERROR(INDEX(Category_Targets!$B$2:$B$9,MATCH(F1383,Category_Targets!$A$2:$A$9,0)),0)</f>
        <v>0.04</v>
      </c>
      <c r="R1383" s="7">
        <f t="shared" si="43"/>
        <v>105.3672</v>
      </c>
    </row>
    <row r="1384" spans="1:18" x14ac:dyDescent="0.25">
      <c r="A1384" s="5">
        <f>Procurement_Raw!A1384</f>
        <v>45671</v>
      </c>
      <c r="B1384" t="str">
        <f>Procurement_Raw!B1384</f>
        <v>S006</v>
      </c>
      <c r="C1384" t="str">
        <f>Procurement_Raw!C1384</f>
        <v>Birmingham Care &amp; Education Centre</v>
      </c>
      <c r="D1384" t="str">
        <f>Procurement_Raw!D1384</f>
        <v>Midlands</v>
      </c>
      <c r="E1384" t="str">
        <f>Procurement_Raw!E1384</f>
        <v>FleetFuel</v>
      </c>
      <c r="F1384" t="str">
        <f>Procurement_Raw!F1384</f>
        <v>Vehicle &amp; Fuel</v>
      </c>
      <c r="G1384" t="str">
        <f>Procurement_Raw!G1384</f>
        <v>INV-2025-01383</v>
      </c>
      <c r="H1384" s="6">
        <f>Procurement_Raw!H1384</f>
        <v>8</v>
      </c>
      <c r="I1384" s="7">
        <f>Procurement_Raw!I1384</f>
        <v>311.19</v>
      </c>
      <c r="J1384" s="7">
        <f>Procurement_Raw!J1384</f>
        <v>2489.5</v>
      </c>
      <c r="K1384" s="6">
        <f>Procurement_Raw!K1384</f>
        <v>45</v>
      </c>
      <c r="L1384" t="str">
        <f>Procurement_Raw!L1384</f>
        <v>Procurement Portal</v>
      </c>
      <c r="M1384" s="8">
        <f>Procurement_Raw!M1384</f>
        <v>497.9</v>
      </c>
      <c r="N1384" s="7">
        <f>Procurement_Raw!N1384</f>
        <v>2489.5</v>
      </c>
      <c r="O1384" s="7">
        <f t="shared" si="42"/>
        <v>2489.5</v>
      </c>
      <c r="P1384" t="str">
        <f>IFERROR(INDEX(Supplier_Lookup!$B$2:$B$200,MATCH(E1384,Supplier_Lookup!$A$2:$A$200,0)),"Unmapped")</f>
        <v>Vehicle &amp; Fuel</v>
      </c>
      <c r="Q1384" s="10">
        <f>IFERROR(INDEX(Category_Targets!$B$2:$B$9,MATCH(F1384,Category_Targets!$A$2:$A$9,0)),0)</f>
        <v>0.05</v>
      </c>
      <c r="R1384" s="7">
        <f t="shared" si="43"/>
        <v>124.47500000000001</v>
      </c>
    </row>
    <row r="1385" spans="1:18" x14ac:dyDescent="0.25">
      <c r="A1385" s="5">
        <f>Procurement_Raw!A1385</f>
        <v>45869</v>
      </c>
      <c r="B1385" t="str">
        <f>Procurement_Raw!B1385</f>
        <v>S008</v>
      </c>
      <c r="C1385" t="str">
        <f>Procurement_Raw!C1385</f>
        <v>Leicester Care &amp; Education Centre</v>
      </c>
      <c r="D1385" t="str">
        <f>Procurement_Raw!D1385</f>
        <v>Midlands</v>
      </c>
      <c r="E1385" t="str">
        <f>Procurement_Raw!E1385</f>
        <v>FleetFuel</v>
      </c>
      <c r="F1385" t="str">
        <f>Procurement_Raw!F1385</f>
        <v>Vehicle &amp; Fuel</v>
      </c>
      <c r="G1385" t="str">
        <f>Procurement_Raw!G1385</f>
        <v>INV-2025-01384</v>
      </c>
      <c r="H1385" s="6">
        <f>Procurement_Raw!H1385</f>
        <v>42</v>
      </c>
      <c r="I1385" s="7">
        <f>Procurement_Raw!I1385</f>
        <v>68.08</v>
      </c>
      <c r="J1385" s="7">
        <f>Procurement_Raw!J1385</f>
        <v>2859.5</v>
      </c>
      <c r="K1385" s="6">
        <f>Procurement_Raw!K1385</f>
        <v>45</v>
      </c>
      <c r="L1385" t="str">
        <f>Procurement_Raw!L1385</f>
        <v>Procurement Portal</v>
      </c>
      <c r="M1385" s="8">
        <f>Procurement_Raw!M1385</f>
        <v>571.9</v>
      </c>
      <c r="N1385" s="7">
        <f>Procurement_Raw!N1385</f>
        <v>2859.5</v>
      </c>
      <c r="O1385" s="7">
        <f t="shared" si="42"/>
        <v>2859.5</v>
      </c>
      <c r="P1385" t="str">
        <f>IFERROR(INDEX(Supplier_Lookup!$B$2:$B$200,MATCH(E1385,Supplier_Lookup!$A$2:$A$200,0)),"Unmapped")</f>
        <v>Vehicle &amp; Fuel</v>
      </c>
      <c r="Q1385" s="10">
        <f>IFERROR(INDEX(Category_Targets!$B$2:$B$9,MATCH(F1385,Category_Targets!$A$2:$A$9,0)),0)</f>
        <v>0.05</v>
      </c>
      <c r="R1385" s="7">
        <f t="shared" si="43"/>
        <v>142.97499999999999</v>
      </c>
    </row>
    <row r="1386" spans="1:18" x14ac:dyDescent="0.25">
      <c r="A1386" s="5">
        <f>Procurement_Raw!A1386</f>
        <v>45780</v>
      </c>
      <c r="B1386" t="str">
        <f>Procurement_Raw!B1386</f>
        <v>S001</v>
      </c>
      <c r="C1386" t="str">
        <f>Procurement_Raw!C1386</f>
        <v>Preston Care &amp; Education Centre</v>
      </c>
      <c r="D1386" t="str">
        <f>Procurement_Raw!D1386</f>
        <v>North</v>
      </c>
      <c r="E1386" t="str">
        <f>Procurement_Raw!E1386</f>
        <v>MediSure</v>
      </c>
      <c r="F1386" t="str">
        <f>Procurement_Raw!F1386</f>
        <v>Medical Supplies</v>
      </c>
      <c r="G1386" t="str">
        <f>Procurement_Raw!G1386</f>
        <v>INV-2025-01385</v>
      </c>
      <c r="H1386" s="6">
        <f>Procurement_Raw!H1386</f>
        <v>77</v>
      </c>
      <c r="I1386" s="7">
        <f>Procurement_Raw!I1386</f>
        <v>180.48</v>
      </c>
      <c r="J1386" s="7">
        <f>Procurement_Raw!J1386</f>
        <v>13897.3</v>
      </c>
      <c r="K1386" s="6">
        <f>Procurement_Raw!K1386</f>
        <v>60</v>
      </c>
      <c r="L1386" t="str">
        <f>Procurement_Raw!L1386</f>
        <v>ERP</v>
      </c>
      <c r="M1386" s="8">
        <f>Procurement_Raw!M1386</f>
        <v>2779.46</v>
      </c>
      <c r="N1386" s="7">
        <f>Procurement_Raw!N1386</f>
        <v>13897.3</v>
      </c>
      <c r="O1386" s="7">
        <f t="shared" si="42"/>
        <v>13897.3</v>
      </c>
      <c r="P1386" t="str">
        <f>IFERROR(INDEX(Supplier_Lookup!$B$2:$B$200,MATCH(E1386,Supplier_Lookup!$A$2:$A$200,0)),"Unmapped")</f>
        <v>Medical Supplies</v>
      </c>
      <c r="Q1386" s="10">
        <f>IFERROR(INDEX(Category_Targets!$B$2:$B$9,MATCH(F1386,Category_Targets!$A$2:$A$9,0)),0)</f>
        <v>0.06</v>
      </c>
      <c r="R1386" s="7">
        <f t="shared" si="43"/>
        <v>833.83799999999997</v>
      </c>
    </row>
    <row r="1387" spans="1:18" x14ac:dyDescent="0.25">
      <c r="A1387" s="5">
        <f>Procurement_Raw!A1387</f>
        <v>45795</v>
      </c>
      <c r="B1387" t="str">
        <f>Procurement_Raw!B1387</f>
        <v>S002</v>
      </c>
      <c r="C1387" t="str">
        <f>Procurement_Raw!C1387</f>
        <v>Manchester Care &amp; Education Centre</v>
      </c>
      <c r="D1387" t="str">
        <f>Procurement_Raw!D1387</f>
        <v>North</v>
      </c>
      <c r="E1387" t="str">
        <f>Procurement_Raw!E1387</f>
        <v>HealthStaffing</v>
      </c>
      <c r="F1387" t="str">
        <f>Procurement_Raw!F1387</f>
        <v>Agency Labour</v>
      </c>
      <c r="G1387" t="str">
        <f>Procurement_Raw!G1387</f>
        <v>INV-2025-01386</v>
      </c>
      <c r="H1387" s="6">
        <f>Procurement_Raw!H1387</f>
        <v>8</v>
      </c>
      <c r="I1387" s="7">
        <f>Procurement_Raw!I1387</f>
        <v>353.68</v>
      </c>
      <c r="J1387" s="7">
        <f>Procurement_Raw!J1387</f>
        <v>2829.44</v>
      </c>
      <c r="K1387" s="6">
        <f>Procurement_Raw!K1387</f>
        <v>45</v>
      </c>
      <c r="L1387" t="str">
        <f>Procurement_Raw!L1387</f>
        <v>Procurement Portal</v>
      </c>
      <c r="M1387" s="8">
        <f>Procurement_Raw!M1387</f>
        <v>565.88800000000003</v>
      </c>
      <c r="N1387" s="7">
        <f>Procurement_Raw!N1387</f>
        <v>2829.44</v>
      </c>
      <c r="O1387" s="7">
        <f t="shared" si="42"/>
        <v>2829.44</v>
      </c>
      <c r="P1387" t="str">
        <f>IFERROR(INDEX(Supplier_Lookup!$B$2:$B$200,MATCH(E1387,Supplier_Lookup!$A$2:$A$200,0)),"Unmapped")</f>
        <v>Agency Labour</v>
      </c>
      <c r="Q1387" s="10">
        <f>IFERROR(INDEX(Category_Targets!$B$2:$B$9,MATCH(F1387,Category_Targets!$A$2:$A$9,0)),0)</f>
        <v>7.0000000000000007E-2</v>
      </c>
      <c r="R1387" s="7">
        <f t="shared" si="43"/>
        <v>198.06080000000003</v>
      </c>
    </row>
    <row r="1388" spans="1:18" x14ac:dyDescent="0.25">
      <c r="A1388" s="5">
        <f>Procurement_Raw!A1388</f>
        <v>45905</v>
      </c>
      <c r="B1388" t="str">
        <f>Procurement_Raw!B1388</f>
        <v>S009</v>
      </c>
      <c r="C1388" t="str">
        <f>Procurement_Raw!C1388</f>
        <v>Derby Care &amp; Education Centre</v>
      </c>
      <c r="D1388" t="str">
        <f>Procurement_Raw!D1388</f>
        <v>Midlands</v>
      </c>
      <c r="E1388" t="str">
        <f>Procurement_Raw!E1388</f>
        <v>HealthStaffing</v>
      </c>
      <c r="F1388" t="str">
        <f>Procurement_Raw!F1388</f>
        <v>Agency Labour</v>
      </c>
      <c r="G1388" t="str">
        <f>Procurement_Raw!G1388</f>
        <v>INV-2025-01387</v>
      </c>
      <c r="H1388" s="6">
        <f>Procurement_Raw!H1388</f>
        <v>4</v>
      </c>
      <c r="I1388" s="7">
        <f>Procurement_Raw!I1388</f>
        <v>613.84</v>
      </c>
      <c r="J1388" s="7">
        <f>Procurement_Raw!J1388</f>
        <v>2455.37</v>
      </c>
      <c r="K1388" s="6">
        <f>Procurement_Raw!K1388</f>
        <v>45</v>
      </c>
      <c r="L1388" t="str">
        <f>Procurement_Raw!L1388</f>
        <v>Legacy Spend File</v>
      </c>
      <c r="M1388" s="8">
        <f>Procurement_Raw!M1388</f>
        <v>491.07400000000001</v>
      </c>
      <c r="N1388" s="7">
        <f>Procurement_Raw!N1388</f>
        <v>2455.37</v>
      </c>
      <c r="O1388" s="7">
        <f t="shared" si="42"/>
        <v>2455.37</v>
      </c>
      <c r="P1388" t="str">
        <f>IFERROR(INDEX(Supplier_Lookup!$B$2:$B$200,MATCH(E1388,Supplier_Lookup!$A$2:$A$200,0)),"Unmapped")</f>
        <v>Agency Labour</v>
      </c>
      <c r="Q1388" s="10">
        <f>IFERROR(INDEX(Category_Targets!$B$2:$B$9,MATCH(F1388,Category_Targets!$A$2:$A$9,0)),0)</f>
        <v>7.0000000000000007E-2</v>
      </c>
      <c r="R1388" s="7">
        <f t="shared" si="43"/>
        <v>171.8759</v>
      </c>
    </row>
    <row r="1389" spans="1:18" x14ac:dyDescent="0.25">
      <c r="A1389" s="5">
        <f>Procurement_Raw!A1389</f>
        <v>45941</v>
      </c>
      <c r="B1389" t="str">
        <f>Procurement_Raw!B1389</f>
        <v>S003</v>
      </c>
      <c r="C1389" t="str">
        <f>Procurement_Raw!C1389</f>
        <v>Leeds Care &amp; Education Centre</v>
      </c>
      <c r="D1389" t="str">
        <f>Procurement_Raw!D1389</f>
        <v>North</v>
      </c>
      <c r="E1389" t="str">
        <f>Procurement_Raw!E1389</f>
        <v>CareMed</v>
      </c>
      <c r="F1389" t="str">
        <f>Procurement_Raw!F1389</f>
        <v>Medical Supplies</v>
      </c>
      <c r="G1389" t="str">
        <f>Procurement_Raw!G1389</f>
        <v>INV-2025-01388</v>
      </c>
      <c r="H1389" s="6">
        <f>Procurement_Raw!H1389</f>
        <v>76</v>
      </c>
      <c r="I1389" s="7">
        <f>Procurement_Raw!I1389</f>
        <v>283.25</v>
      </c>
      <c r="J1389" s="7">
        <f>Procurement_Raw!J1389</f>
        <v>21526.85</v>
      </c>
      <c r="K1389" s="6">
        <f>Procurement_Raw!K1389</f>
        <v>60</v>
      </c>
      <c r="L1389" t="str">
        <f>Procurement_Raw!L1389</f>
        <v>ERP</v>
      </c>
      <c r="M1389" s="8">
        <f>Procurement_Raw!M1389</f>
        <v>4305.37</v>
      </c>
      <c r="N1389" s="7">
        <f>Procurement_Raw!N1389</f>
        <v>21526.85</v>
      </c>
      <c r="O1389" s="7">
        <f t="shared" si="42"/>
        <v>21526.85</v>
      </c>
      <c r="P1389" t="str">
        <f>IFERROR(INDEX(Supplier_Lookup!$B$2:$B$200,MATCH(E1389,Supplier_Lookup!$A$2:$A$200,0)),"Unmapped")</f>
        <v>Medical Supplies</v>
      </c>
      <c r="Q1389" s="10">
        <f>IFERROR(INDEX(Category_Targets!$B$2:$B$9,MATCH(F1389,Category_Targets!$A$2:$A$9,0)),0)</f>
        <v>0.06</v>
      </c>
      <c r="R1389" s="7">
        <f t="shared" si="43"/>
        <v>1291.6109999999999</v>
      </c>
    </row>
    <row r="1390" spans="1:18" x14ac:dyDescent="0.25">
      <c r="A1390" s="5">
        <f>Procurement_Raw!A1390</f>
        <v>45948</v>
      </c>
      <c r="B1390" t="str">
        <f>Procurement_Raw!B1390</f>
        <v>S017</v>
      </c>
      <c r="C1390" t="str">
        <f>Procurement_Raw!C1390</f>
        <v>Swansea Care &amp; Education Centre</v>
      </c>
      <c r="D1390" t="str">
        <f>Procurement_Raw!D1390</f>
        <v>Wales</v>
      </c>
      <c r="E1390" t="str">
        <f>Procurement_Raw!E1390</f>
        <v>SafeGuard FM</v>
      </c>
      <c r="F1390" t="str">
        <f>Procurement_Raw!F1390</f>
        <v>Facilities</v>
      </c>
      <c r="G1390" t="str">
        <f>Procurement_Raw!G1390</f>
        <v>INV-2025-01389</v>
      </c>
      <c r="H1390" s="6">
        <f>Procurement_Raw!H1390</f>
        <v>53</v>
      </c>
      <c r="I1390" s="7">
        <f>Procurement_Raw!I1390</f>
        <v>183.2</v>
      </c>
      <c r="J1390" s="7">
        <f>Procurement_Raw!J1390</f>
        <v>9709.41</v>
      </c>
      <c r="K1390" s="6">
        <f>Procurement_Raw!K1390</f>
        <v>45</v>
      </c>
      <c r="L1390" t="str">
        <f>Procurement_Raw!L1390</f>
        <v>ERP</v>
      </c>
      <c r="M1390" s="8">
        <f>Procurement_Raw!M1390</f>
        <v>1941.8820000000001</v>
      </c>
      <c r="N1390" s="7">
        <f>Procurement_Raw!N1390</f>
        <v>9709.41</v>
      </c>
      <c r="O1390" s="7">
        <f t="shared" si="42"/>
        <v>9709.41</v>
      </c>
      <c r="P1390" t="str">
        <f>IFERROR(INDEX(Supplier_Lookup!$B$2:$B$200,MATCH(E1390,Supplier_Lookup!$A$2:$A$200,0)),"Unmapped")</f>
        <v>Facilities</v>
      </c>
      <c r="Q1390" s="10">
        <f>IFERROR(INDEX(Category_Targets!$B$2:$B$9,MATCH(F1390,Category_Targets!$A$2:$A$9,0)),0)</f>
        <v>0.05</v>
      </c>
      <c r="R1390" s="7">
        <f t="shared" si="43"/>
        <v>485.47050000000002</v>
      </c>
    </row>
    <row r="1391" spans="1:18" x14ac:dyDescent="0.25">
      <c r="A1391" s="5">
        <f>Procurement_Raw!A1391</f>
        <v>45849</v>
      </c>
      <c r="B1391" t="str">
        <f>Procurement_Raw!B1391</f>
        <v>S015</v>
      </c>
      <c r="C1391" t="str">
        <f>Procurement_Raw!C1391</f>
        <v>Brighton Care &amp; Education Centre</v>
      </c>
      <c r="D1391" t="str">
        <f>Procurement_Raw!D1391</f>
        <v>South</v>
      </c>
      <c r="E1391" t="str">
        <f>Procurement_Raw!E1391</f>
        <v>UK Energy Partners</v>
      </c>
      <c r="F1391" t="str">
        <f>Procurement_Raw!F1391</f>
        <v>Utilities</v>
      </c>
      <c r="G1391" t="str">
        <f>Procurement_Raw!G1391</f>
        <v>INV-2025-01390</v>
      </c>
      <c r="H1391" s="6">
        <f>Procurement_Raw!H1391</f>
        <v>70</v>
      </c>
      <c r="I1391" s="7">
        <f>Procurement_Raw!I1391</f>
        <v>165.19</v>
      </c>
      <c r="J1391" s="7">
        <f>Procurement_Raw!J1391</f>
        <v>11563.12</v>
      </c>
      <c r="K1391" s="6">
        <f>Procurement_Raw!K1391</f>
        <v>30</v>
      </c>
      <c r="L1391" t="str">
        <f>Procurement_Raw!L1391</f>
        <v>ERP</v>
      </c>
      <c r="M1391" s="8">
        <f>Procurement_Raw!M1391</f>
        <v>2312.6239999999998</v>
      </c>
      <c r="N1391" s="7">
        <f>Procurement_Raw!N1391</f>
        <v>11563.12</v>
      </c>
      <c r="O1391" s="7">
        <f t="shared" si="42"/>
        <v>11563.12</v>
      </c>
      <c r="P1391" t="str">
        <f>IFERROR(INDEX(Supplier_Lookup!$B$2:$B$200,MATCH(E1391,Supplier_Lookup!$A$2:$A$200,0)),"Unmapped")</f>
        <v>Utilities</v>
      </c>
      <c r="Q1391" s="10">
        <f>IFERROR(INDEX(Category_Targets!$B$2:$B$9,MATCH(F1391,Category_Targets!$A$2:$A$9,0)),0)</f>
        <v>0.03</v>
      </c>
      <c r="R1391" s="7">
        <f t="shared" si="43"/>
        <v>346.89359999999999</v>
      </c>
    </row>
    <row r="1392" spans="1:18" x14ac:dyDescent="0.25">
      <c r="A1392" s="5">
        <f>Procurement_Raw!A1392</f>
        <v>45889</v>
      </c>
      <c r="B1392" t="str">
        <f>Procurement_Raw!B1392</f>
        <v>S011</v>
      </c>
      <c r="C1392" t="str">
        <f>Procurement_Raw!C1392</f>
        <v>London Care &amp; Education Centre</v>
      </c>
      <c r="D1392" t="str">
        <f>Procurement_Raw!D1392</f>
        <v>South</v>
      </c>
      <c r="E1392" t="str">
        <f>Procurement_Raw!E1392</f>
        <v>NurseLink</v>
      </c>
      <c r="F1392" t="str">
        <f>Procurement_Raw!F1392</f>
        <v>Agency Labour</v>
      </c>
      <c r="G1392" t="str">
        <f>Procurement_Raw!G1392</f>
        <v>INV-2025-01391</v>
      </c>
      <c r="H1392" s="6">
        <f>Procurement_Raw!H1392</f>
        <v>6</v>
      </c>
      <c r="I1392" s="7">
        <f>Procurement_Raw!I1392</f>
        <v>386.36</v>
      </c>
      <c r="J1392" s="7">
        <f>Procurement_Raw!J1392</f>
        <v>2318.15</v>
      </c>
      <c r="K1392" s="6">
        <f>Procurement_Raw!K1392</f>
        <v>30</v>
      </c>
      <c r="L1392" t="str">
        <f>Procurement_Raw!L1392</f>
        <v>Procurement Portal</v>
      </c>
      <c r="M1392" s="8">
        <f>Procurement_Raw!M1392</f>
        <v>463.63</v>
      </c>
      <c r="N1392" s="7">
        <f>Procurement_Raw!N1392</f>
        <v>2318.15</v>
      </c>
      <c r="O1392" s="7">
        <f t="shared" si="42"/>
        <v>2318.15</v>
      </c>
      <c r="P1392" t="str">
        <f>IFERROR(INDEX(Supplier_Lookup!$B$2:$B$200,MATCH(E1392,Supplier_Lookup!$A$2:$A$200,0)),"Unmapped")</f>
        <v>Agency Labour</v>
      </c>
      <c r="Q1392" s="10">
        <f>IFERROR(INDEX(Category_Targets!$B$2:$B$9,MATCH(F1392,Category_Targets!$A$2:$A$9,0)),0)</f>
        <v>7.0000000000000007E-2</v>
      </c>
      <c r="R1392" s="7">
        <f t="shared" si="43"/>
        <v>162.27050000000003</v>
      </c>
    </row>
    <row r="1393" spans="1:18" x14ac:dyDescent="0.25">
      <c r="A1393" s="5">
        <f>Procurement_Raw!A1393</f>
        <v>45743</v>
      </c>
      <c r="B1393" t="str">
        <f>Procurement_Raw!B1393</f>
        <v>S007</v>
      </c>
      <c r="C1393" t="str">
        <f>Procurement_Raw!C1393</f>
        <v>Nottingham Care &amp; Education Centre</v>
      </c>
      <c r="D1393" t="str">
        <f>Procurement_Raw!D1393</f>
        <v>Midlands</v>
      </c>
      <c r="E1393" t="str">
        <f>Procurement_Raw!E1393</f>
        <v>NetServe</v>
      </c>
      <c r="F1393" t="str">
        <f>Procurement_Raw!F1393</f>
        <v>IT &amp; Telecoms</v>
      </c>
      <c r="G1393" t="str">
        <f>Procurement_Raw!G1393</f>
        <v>INV-2025-01392</v>
      </c>
      <c r="H1393" s="6">
        <f>Procurement_Raw!H1393</f>
        <v>1</v>
      </c>
      <c r="I1393" s="7">
        <f>Procurement_Raw!I1393</f>
        <v>151.55000000000001</v>
      </c>
      <c r="J1393" s="7">
        <f>Procurement_Raw!J1393</f>
        <v>151.55000000000001</v>
      </c>
      <c r="K1393" s="6">
        <f>Procurement_Raw!K1393</f>
        <v>30</v>
      </c>
      <c r="L1393" t="str">
        <f>Procurement_Raw!L1393</f>
        <v>Procurement Portal</v>
      </c>
      <c r="M1393" s="8">
        <f>Procurement_Raw!M1393</f>
        <v>30.31</v>
      </c>
      <c r="N1393" s="7">
        <f>Procurement_Raw!N1393</f>
        <v>151.55000000000001</v>
      </c>
      <c r="O1393" s="7">
        <f t="shared" si="42"/>
        <v>151.55000000000001</v>
      </c>
      <c r="P1393" t="str">
        <f>IFERROR(INDEX(Supplier_Lookup!$B$2:$B$200,MATCH(E1393,Supplier_Lookup!$A$2:$A$200,0)),"Unmapped")</f>
        <v>IT &amp; Telecoms</v>
      </c>
      <c r="Q1393" s="10">
        <f>IFERROR(INDEX(Category_Targets!$B$2:$B$9,MATCH(F1393,Category_Targets!$A$2:$A$9,0)),0)</f>
        <v>0.08</v>
      </c>
      <c r="R1393" s="7">
        <f t="shared" si="43"/>
        <v>12.124000000000001</v>
      </c>
    </row>
    <row r="1394" spans="1:18" x14ac:dyDescent="0.25">
      <c r="A1394" s="5">
        <f>Procurement_Raw!A1394</f>
        <v>45852</v>
      </c>
      <c r="B1394" t="str">
        <f>Procurement_Raw!B1394</f>
        <v>S018</v>
      </c>
      <c r="C1394" t="str">
        <f>Procurement_Raw!C1394</f>
        <v>Newport Care &amp; Education Centre</v>
      </c>
      <c r="D1394" t="str">
        <f>Procurement_Raw!D1394</f>
        <v>Wales</v>
      </c>
      <c r="E1394" t="str">
        <f>Procurement_Raw!E1394</f>
        <v>NetServe</v>
      </c>
      <c r="F1394" t="str">
        <f>Procurement_Raw!F1394</f>
        <v>IT &amp; Telecoms</v>
      </c>
      <c r="G1394" t="str">
        <f>Procurement_Raw!G1394</f>
        <v>INV-2025-01393</v>
      </c>
      <c r="H1394" s="6">
        <f>Procurement_Raw!H1394</f>
        <v>45</v>
      </c>
      <c r="I1394" s="7">
        <f>Procurement_Raw!I1394</f>
        <v>665.8</v>
      </c>
      <c r="J1394" s="7">
        <f>Procurement_Raw!J1394</f>
        <v>29961.040000000001</v>
      </c>
      <c r="K1394" s="6">
        <f>Procurement_Raw!K1394</f>
        <v>60</v>
      </c>
      <c r="L1394" t="str">
        <f>Procurement_Raw!L1394</f>
        <v>ERP</v>
      </c>
      <c r="M1394" s="8">
        <f>Procurement_Raw!M1394</f>
        <v>5992.2079999999996</v>
      </c>
      <c r="N1394" s="7">
        <f>Procurement_Raw!N1394</f>
        <v>29961.040000000001</v>
      </c>
      <c r="O1394" s="7">
        <f t="shared" si="42"/>
        <v>29961.040000000001</v>
      </c>
      <c r="P1394" t="str">
        <f>IFERROR(INDEX(Supplier_Lookup!$B$2:$B$200,MATCH(E1394,Supplier_Lookup!$A$2:$A$200,0)),"Unmapped")</f>
        <v>IT &amp; Telecoms</v>
      </c>
      <c r="Q1394" s="10">
        <f>IFERROR(INDEX(Category_Targets!$B$2:$B$9,MATCH(F1394,Category_Targets!$A$2:$A$9,0)),0)</f>
        <v>0.08</v>
      </c>
      <c r="R1394" s="7">
        <f t="shared" si="43"/>
        <v>2396.8832000000002</v>
      </c>
    </row>
    <row r="1395" spans="1:18" x14ac:dyDescent="0.25">
      <c r="A1395" s="5">
        <f>Procurement_Raw!A1395</f>
        <v>45740</v>
      </c>
      <c r="B1395" t="str">
        <f>Procurement_Raw!B1395</f>
        <v>S010</v>
      </c>
      <c r="C1395" t="str">
        <f>Procurement_Raw!C1395</f>
        <v>Coventry Care &amp; Education Centre</v>
      </c>
      <c r="D1395" t="str">
        <f>Procurement_Raw!D1395</f>
        <v>Midlands</v>
      </c>
      <c r="E1395" t="str">
        <f>Procurement_Raw!E1395</f>
        <v>CloudLink</v>
      </c>
      <c r="F1395" t="str">
        <f>Procurement_Raw!F1395</f>
        <v>IT &amp; Telecoms</v>
      </c>
      <c r="G1395" t="str">
        <f>Procurement_Raw!G1395</f>
        <v>INV-2025-01394</v>
      </c>
      <c r="H1395" s="6">
        <f>Procurement_Raw!H1395</f>
        <v>69</v>
      </c>
      <c r="I1395" s="7">
        <f>Procurement_Raw!I1395</f>
        <v>237.16</v>
      </c>
      <c r="J1395" s="7">
        <f>Procurement_Raw!J1395</f>
        <v>16363.83</v>
      </c>
      <c r="K1395" s="6">
        <f>Procurement_Raw!K1395</f>
        <v>60</v>
      </c>
      <c r="L1395" t="str">
        <f>Procurement_Raw!L1395</f>
        <v>ERP</v>
      </c>
      <c r="M1395" s="8">
        <f>Procurement_Raw!M1395</f>
        <v>3272.7660000000001</v>
      </c>
      <c r="N1395" s="7">
        <f>Procurement_Raw!N1395</f>
        <v>16363.83</v>
      </c>
      <c r="O1395" s="7">
        <f t="shared" si="42"/>
        <v>16363.83</v>
      </c>
      <c r="P1395" t="str">
        <f>IFERROR(INDEX(Supplier_Lookup!$B$2:$B$200,MATCH(E1395,Supplier_Lookup!$A$2:$A$200,0)),"Unmapped")</f>
        <v>medical supplies</v>
      </c>
      <c r="Q1395" s="10">
        <f>IFERROR(INDEX(Category_Targets!$B$2:$B$9,MATCH(F1395,Category_Targets!$A$2:$A$9,0)),0)</f>
        <v>0.08</v>
      </c>
      <c r="R1395" s="7">
        <f t="shared" si="43"/>
        <v>1309.1064000000001</v>
      </c>
    </row>
    <row r="1396" spans="1:18" x14ac:dyDescent="0.25">
      <c r="A1396" s="5">
        <f>Procurement_Raw!A1396</f>
        <v>46015</v>
      </c>
      <c r="B1396" t="str">
        <f>Procurement_Raw!B1396</f>
        <v>S001</v>
      </c>
      <c r="C1396" t="str">
        <f>Procurement_Raw!C1396</f>
        <v>Preston Care &amp; Education Centre</v>
      </c>
      <c r="D1396" t="str">
        <f>Procurement_Raw!D1396</f>
        <v>North</v>
      </c>
      <c r="E1396" t="str">
        <f>Procurement_Raw!E1396</f>
        <v>NourishCo</v>
      </c>
      <c r="F1396" t="str">
        <f>Procurement_Raw!F1396</f>
        <v>Food &amp; Catering</v>
      </c>
      <c r="G1396" t="str">
        <f>Procurement_Raw!G1396</f>
        <v>INV-2025-01395</v>
      </c>
      <c r="H1396" s="6">
        <f>Procurement_Raw!H1396</f>
        <v>16</v>
      </c>
      <c r="I1396" s="7">
        <f>Procurement_Raw!I1396</f>
        <v>53.17</v>
      </c>
      <c r="J1396" s="7">
        <f>Procurement_Raw!J1396</f>
        <v>850.69</v>
      </c>
      <c r="K1396" s="6">
        <f>Procurement_Raw!K1396</f>
        <v>30</v>
      </c>
      <c r="L1396" t="str">
        <f>Procurement_Raw!L1396</f>
        <v>Legacy Spend File</v>
      </c>
      <c r="M1396" s="8">
        <f>Procurement_Raw!M1396</f>
        <v>170.13800000000001</v>
      </c>
      <c r="N1396" s="7">
        <f>Procurement_Raw!N1396</f>
        <v>850.69</v>
      </c>
      <c r="O1396" s="7">
        <f t="shared" si="42"/>
        <v>850.69</v>
      </c>
      <c r="P1396" t="str">
        <f>IFERROR(INDEX(Supplier_Lookup!$B$2:$B$200,MATCH(E1396,Supplier_Lookup!$A$2:$A$200,0)),"Unmapped")</f>
        <v>Food &amp; Catering</v>
      </c>
      <c r="Q1396" s="10">
        <f>IFERROR(INDEX(Category_Targets!$B$2:$B$9,MATCH(F1396,Category_Targets!$A$2:$A$9,0)),0)</f>
        <v>0.04</v>
      </c>
      <c r="R1396" s="7">
        <f t="shared" si="43"/>
        <v>34.0276</v>
      </c>
    </row>
    <row r="1397" spans="1:18" x14ac:dyDescent="0.25">
      <c r="A1397" s="5">
        <f>Procurement_Raw!A1397</f>
        <v>45765</v>
      </c>
      <c r="B1397" t="str">
        <f>Procurement_Raw!B1397</f>
        <v>S017</v>
      </c>
      <c r="C1397" t="str">
        <f>Procurement_Raw!C1397</f>
        <v>Swansea Care &amp; Education Centre</v>
      </c>
      <c r="D1397" t="str">
        <f>Procurement_Raw!D1397</f>
        <v>Wales</v>
      </c>
      <c r="E1397" t="str">
        <f>Procurement_Raw!E1397</f>
        <v>TeleCare IT</v>
      </c>
      <c r="F1397" t="str">
        <f>Procurement_Raw!F1397</f>
        <v>IT &amp; Telecoms</v>
      </c>
      <c r="G1397" t="str">
        <f>Procurement_Raw!G1397</f>
        <v>INV-2025-01396</v>
      </c>
      <c r="H1397" s="6">
        <f>Procurement_Raw!H1397</f>
        <v>79</v>
      </c>
      <c r="I1397" s="7">
        <f>Procurement_Raw!I1397</f>
        <v>243.52</v>
      </c>
      <c r="J1397" s="7">
        <f>Procurement_Raw!J1397</f>
        <v>19238.13</v>
      </c>
      <c r="K1397" s="6">
        <f>Procurement_Raw!K1397</f>
        <v>60</v>
      </c>
      <c r="L1397" t="str">
        <f>Procurement_Raw!L1397</f>
        <v>Procurement Portal</v>
      </c>
      <c r="M1397" s="8">
        <f>Procurement_Raw!M1397</f>
        <v>3847.6260000000002</v>
      </c>
      <c r="N1397" s="7">
        <f>Procurement_Raw!N1397</f>
        <v>19238.13</v>
      </c>
      <c r="O1397" s="7">
        <f t="shared" si="42"/>
        <v>19238.13</v>
      </c>
      <c r="P1397" t="str">
        <f>IFERROR(INDEX(Supplier_Lookup!$B$2:$B$200,MATCH(E1397,Supplier_Lookup!$A$2:$A$200,0)),"Unmapped")</f>
        <v>IT &amp; Telecoms</v>
      </c>
      <c r="Q1397" s="10">
        <f>IFERROR(INDEX(Category_Targets!$B$2:$B$9,MATCH(F1397,Category_Targets!$A$2:$A$9,0)),0)</f>
        <v>0.08</v>
      </c>
      <c r="R1397" s="7">
        <f t="shared" si="43"/>
        <v>1539.0504000000001</v>
      </c>
    </row>
    <row r="1398" spans="1:18" x14ac:dyDescent="0.25">
      <c r="A1398" s="5">
        <f>Procurement_Raw!A1398</f>
        <v>45791</v>
      </c>
      <c r="B1398" t="str">
        <f>Procurement_Raw!B1398</f>
        <v>S016</v>
      </c>
      <c r="C1398" t="str">
        <f>Procurement_Raw!C1398</f>
        <v>Cardiff Care &amp; Education Centre</v>
      </c>
      <c r="D1398" t="str">
        <f>Procurement_Raw!D1398</f>
        <v>Wales</v>
      </c>
      <c r="E1398" t="str">
        <f>Procurement_Raw!E1398</f>
        <v>AutoCare</v>
      </c>
      <c r="F1398" t="str">
        <f>Procurement_Raw!F1398</f>
        <v>Vehicle &amp; Fuel</v>
      </c>
      <c r="G1398" t="str">
        <f>Procurement_Raw!G1398</f>
        <v>INV-2025-01397</v>
      </c>
      <c r="H1398" s="6">
        <f>Procurement_Raw!H1398</f>
        <v>58</v>
      </c>
      <c r="I1398" s="7">
        <f>Procurement_Raw!I1398</f>
        <v>45.28</v>
      </c>
      <c r="J1398" s="7">
        <f>Procurement_Raw!J1398</f>
        <v>2626.48</v>
      </c>
      <c r="K1398" s="6">
        <f>Procurement_Raw!K1398</f>
        <v>45</v>
      </c>
      <c r="L1398" t="str">
        <f>Procurement_Raw!L1398</f>
        <v>ERP</v>
      </c>
      <c r="M1398" s="8">
        <f>Procurement_Raw!M1398</f>
        <v>525.29600000000005</v>
      </c>
      <c r="N1398" s="7">
        <f>Procurement_Raw!N1398</f>
        <v>2626.48</v>
      </c>
      <c r="O1398" s="7">
        <f t="shared" si="42"/>
        <v>2626.48</v>
      </c>
      <c r="P1398" t="str">
        <f>IFERROR(INDEX(Supplier_Lookup!$B$2:$B$200,MATCH(E1398,Supplier_Lookup!$A$2:$A$200,0)),"Unmapped")</f>
        <v>Vehicle &amp; Fuel</v>
      </c>
      <c r="Q1398" s="10">
        <f>IFERROR(INDEX(Category_Targets!$B$2:$B$9,MATCH(F1398,Category_Targets!$A$2:$A$9,0)),0)</f>
        <v>0.05</v>
      </c>
      <c r="R1398" s="7">
        <f t="shared" si="43"/>
        <v>131.32400000000001</v>
      </c>
    </row>
    <row r="1399" spans="1:18" x14ac:dyDescent="0.25">
      <c r="A1399" s="5">
        <f>Procurement_Raw!A1399</f>
        <v>45765</v>
      </c>
      <c r="B1399" t="str">
        <f>Procurement_Raw!B1399</f>
        <v>S019</v>
      </c>
      <c r="C1399" t="str">
        <f>Procurement_Raw!C1399</f>
        <v>Wrexham Care &amp; Education Centre</v>
      </c>
      <c r="D1399" t="str">
        <f>Procurement_Raw!D1399</f>
        <v>Wales</v>
      </c>
      <c r="E1399" t="str">
        <f>Procurement_Raw!E1399</f>
        <v>RoadReady</v>
      </c>
      <c r="F1399" t="str">
        <f>Procurement_Raw!F1399</f>
        <v>Vehicle &amp; Fuel</v>
      </c>
      <c r="G1399" t="str">
        <f>Procurement_Raw!G1399</f>
        <v>INV-2025-01398</v>
      </c>
      <c r="H1399" s="6">
        <f>Procurement_Raw!H1399</f>
        <v>59</v>
      </c>
      <c r="I1399" s="7">
        <f>Procurement_Raw!I1399</f>
        <v>55.67</v>
      </c>
      <c r="J1399" s="7">
        <f>Procurement_Raw!J1399</f>
        <v>3284.69</v>
      </c>
      <c r="K1399" s="6">
        <f>Procurement_Raw!K1399</f>
        <v>60</v>
      </c>
      <c r="L1399" t="str">
        <f>Procurement_Raw!L1399</f>
        <v>Procurement Portal</v>
      </c>
      <c r="M1399" s="8">
        <f>Procurement_Raw!M1399</f>
        <v>656.93799999999999</v>
      </c>
      <c r="N1399" s="7">
        <f>Procurement_Raw!N1399</f>
        <v>3284.69</v>
      </c>
      <c r="O1399" s="7">
        <f t="shared" si="42"/>
        <v>3284.69</v>
      </c>
      <c r="P1399" t="str">
        <f>IFERROR(INDEX(Supplier_Lookup!$B$2:$B$200,MATCH(E1399,Supplier_Lookup!$A$2:$A$200,0)),"Unmapped")</f>
        <v>Vehicle &amp; Fuel</v>
      </c>
      <c r="Q1399" s="10">
        <f>IFERROR(INDEX(Category_Targets!$B$2:$B$9,MATCH(F1399,Category_Targets!$A$2:$A$9,0)),0)</f>
        <v>0.05</v>
      </c>
      <c r="R1399" s="7">
        <f t="shared" si="43"/>
        <v>164.23450000000003</v>
      </c>
    </row>
    <row r="1400" spans="1:18" x14ac:dyDescent="0.25">
      <c r="A1400" s="5">
        <f>Procurement_Raw!A1400</f>
        <v>45659</v>
      </c>
      <c r="B1400" t="str">
        <f>Procurement_Raw!B1400</f>
        <v>S008</v>
      </c>
      <c r="C1400" t="str">
        <f>Procurement_Raw!C1400</f>
        <v>Leicester Care &amp; Education Centre</v>
      </c>
      <c r="D1400" t="str">
        <f>Procurement_Raw!D1400</f>
        <v>Midlands</v>
      </c>
      <c r="E1400" t="str">
        <f>Procurement_Raw!E1400</f>
        <v>BuildCare</v>
      </c>
      <c r="F1400" t="str">
        <f>Procurement_Raw!F1400</f>
        <v>Facilities</v>
      </c>
      <c r="G1400" t="str">
        <f>Procurement_Raw!G1400</f>
        <v>INV-2025-01399</v>
      </c>
      <c r="H1400" s="6">
        <f>Procurement_Raw!H1400</f>
        <v>78</v>
      </c>
      <c r="I1400" s="7">
        <f>Procurement_Raw!I1400</f>
        <v>348.34</v>
      </c>
      <c r="J1400" s="7">
        <f>Procurement_Raw!J1400</f>
        <v>27170.67</v>
      </c>
      <c r="K1400" s="6">
        <f>Procurement_Raw!K1400</f>
        <v>45</v>
      </c>
      <c r="L1400" t="str">
        <f>Procurement_Raw!L1400</f>
        <v>ERP</v>
      </c>
      <c r="M1400" s="8">
        <f>Procurement_Raw!M1400</f>
        <v>5434.134</v>
      </c>
      <c r="N1400" s="7">
        <f>Procurement_Raw!N1400</f>
        <v>27170.67</v>
      </c>
      <c r="O1400" s="7">
        <f t="shared" si="42"/>
        <v>27170.67</v>
      </c>
      <c r="P1400" t="str">
        <f>IFERROR(INDEX(Supplier_Lookup!$B$2:$B$200,MATCH(E1400,Supplier_Lookup!$A$2:$A$200,0)),"Unmapped")</f>
        <v>Facilities</v>
      </c>
      <c r="Q1400" s="10">
        <f>IFERROR(INDEX(Category_Targets!$B$2:$B$9,MATCH(F1400,Category_Targets!$A$2:$A$9,0)),0)</f>
        <v>0.05</v>
      </c>
      <c r="R1400" s="7">
        <f t="shared" si="43"/>
        <v>1358.5335</v>
      </c>
    </row>
    <row r="1401" spans="1:18" x14ac:dyDescent="0.25">
      <c r="A1401" s="5">
        <f>Procurement_Raw!A1401</f>
        <v>45942</v>
      </c>
      <c r="B1401" t="str">
        <f>Procurement_Raw!B1401</f>
        <v>S005</v>
      </c>
      <c r="C1401" t="str">
        <f>Procurement_Raw!C1401</f>
        <v>Sheffield Care &amp; Education Centre</v>
      </c>
      <c r="D1401" t="str">
        <f>Procurement_Raw!D1401</f>
        <v>North</v>
      </c>
      <c r="E1401" t="str">
        <f>Procurement_Raw!E1401</f>
        <v>SafeGuard FM</v>
      </c>
      <c r="F1401" t="str">
        <f>Procurement_Raw!F1401</f>
        <v>Facilities</v>
      </c>
      <c r="G1401" t="str">
        <f>Procurement_Raw!G1401</f>
        <v>INV-2025-01400</v>
      </c>
      <c r="H1401" s="6">
        <f>Procurement_Raw!H1401</f>
        <v>63</v>
      </c>
      <c r="I1401" s="7">
        <f>Procurement_Raw!I1401</f>
        <v>125.42</v>
      </c>
      <c r="J1401" s="7">
        <f>Procurement_Raw!J1401</f>
        <v>7901.44</v>
      </c>
      <c r="K1401" s="6">
        <f>Procurement_Raw!K1401</f>
        <v>45</v>
      </c>
      <c r="L1401" t="str">
        <f>Procurement_Raw!L1401</f>
        <v>Legacy Spend File</v>
      </c>
      <c r="M1401" s="8">
        <f>Procurement_Raw!M1401</f>
        <v>1580.288</v>
      </c>
      <c r="N1401" s="7">
        <f>Procurement_Raw!N1401</f>
        <v>7901.44</v>
      </c>
      <c r="O1401" s="7">
        <f t="shared" si="42"/>
        <v>7901.44</v>
      </c>
      <c r="P1401" t="str">
        <f>IFERROR(INDEX(Supplier_Lookup!$B$2:$B$200,MATCH(E1401,Supplier_Lookup!$A$2:$A$200,0)),"Unmapped")</f>
        <v>Facilities</v>
      </c>
      <c r="Q1401" s="10">
        <f>IFERROR(INDEX(Category_Targets!$B$2:$B$9,MATCH(F1401,Category_Targets!$A$2:$A$9,0)),0)</f>
        <v>0.05</v>
      </c>
      <c r="R1401" s="7">
        <f t="shared" si="43"/>
        <v>395.072</v>
      </c>
    </row>
    <row r="1402" spans="1:18" x14ac:dyDescent="0.25">
      <c r="A1402" s="5">
        <f>Procurement_Raw!A1402</f>
        <v>45673</v>
      </c>
      <c r="B1402" t="str">
        <f>Procurement_Raw!B1402</f>
        <v>S001</v>
      </c>
      <c r="C1402" t="str">
        <f>Procurement_Raw!C1402</f>
        <v>Preston Care &amp; Education Centre</v>
      </c>
      <c r="D1402" t="str">
        <f>Procurement_Raw!D1402</f>
        <v>North</v>
      </c>
      <c r="E1402" t="str">
        <f>Procurement_Raw!E1402</f>
        <v>KitchenPro</v>
      </c>
      <c r="F1402" t="str">
        <f>Procurement_Raw!F1402</f>
        <v>Food &amp; Catering</v>
      </c>
      <c r="G1402" t="str">
        <f>Procurement_Raw!G1402</f>
        <v>INV-2025-01401</v>
      </c>
      <c r="H1402" s="6">
        <f>Procurement_Raw!H1402</f>
        <v>57</v>
      </c>
      <c r="I1402" s="7">
        <f>Procurement_Raw!I1402</f>
        <v>36.549999999999997</v>
      </c>
      <c r="J1402" s="7">
        <f>Procurement_Raw!J1402</f>
        <v>2083.15</v>
      </c>
      <c r="K1402" s="6">
        <f>Procurement_Raw!K1402</f>
        <v>60</v>
      </c>
      <c r="L1402" t="str">
        <f>Procurement_Raw!L1402</f>
        <v>ERP</v>
      </c>
      <c r="M1402" s="8">
        <f>Procurement_Raw!M1402</f>
        <v>416.63</v>
      </c>
      <c r="N1402" s="7">
        <f>Procurement_Raw!N1402</f>
        <v>2083.15</v>
      </c>
      <c r="O1402" s="7">
        <f t="shared" si="42"/>
        <v>2083.15</v>
      </c>
      <c r="P1402" t="str">
        <f>IFERROR(INDEX(Supplier_Lookup!$B$2:$B$200,MATCH(E1402,Supplier_Lookup!$A$2:$A$200,0)),"Unmapped")</f>
        <v>Food &amp; Catering</v>
      </c>
      <c r="Q1402" s="10">
        <f>IFERROR(INDEX(Category_Targets!$B$2:$B$9,MATCH(F1402,Category_Targets!$A$2:$A$9,0)),0)</f>
        <v>0.04</v>
      </c>
      <c r="R1402" s="7">
        <f t="shared" si="43"/>
        <v>83.326000000000008</v>
      </c>
    </row>
    <row r="1403" spans="1:18" x14ac:dyDescent="0.25">
      <c r="A1403" s="5">
        <f>Procurement_Raw!A1403</f>
        <v>45841</v>
      </c>
      <c r="B1403" t="str">
        <f>Procurement_Raw!B1403</f>
        <v>S004</v>
      </c>
      <c r="C1403" t="str">
        <f>Procurement_Raw!C1403</f>
        <v>Newcastle Care &amp; Education Centre</v>
      </c>
      <c r="D1403" t="str">
        <f>Procurement_Raw!D1403</f>
        <v>North</v>
      </c>
      <c r="E1403" t="str">
        <f>Procurement_Raw!E1403</f>
        <v>NurseLink</v>
      </c>
      <c r="F1403" t="str">
        <f>Procurement_Raw!F1403</f>
        <v>Agency Labour</v>
      </c>
      <c r="G1403" t="str">
        <f>Procurement_Raw!G1403</f>
        <v>INV-2025-01402</v>
      </c>
      <c r="H1403" s="6">
        <f>Procurement_Raw!H1403</f>
        <v>50</v>
      </c>
      <c r="I1403" s="7">
        <f>Procurement_Raw!I1403</f>
        <v>403</v>
      </c>
      <c r="J1403" s="7">
        <f>Procurement_Raw!J1403</f>
        <v>20150.099999999999</v>
      </c>
      <c r="K1403" s="6">
        <f>Procurement_Raw!K1403</f>
        <v>30</v>
      </c>
      <c r="L1403" t="str">
        <f>Procurement_Raw!L1403</f>
        <v>Legacy Spend File</v>
      </c>
      <c r="M1403" s="8">
        <f>Procurement_Raw!M1403</f>
        <v>4030.02</v>
      </c>
      <c r="N1403" s="7">
        <f>Procurement_Raw!N1403</f>
        <v>20150.099999999999</v>
      </c>
      <c r="O1403" s="7">
        <f t="shared" si="42"/>
        <v>20150.099999999999</v>
      </c>
      <c r="P1403" t="str">
        <f>IFERROR(INDEX(Supplier_Lookup!$B$2:$B$200,MATCH(E1403,Supplier_Lookup!$A$2:$A$200,0)),"Unmapped")</f>
        <v>Agency Labour</v>
      </c>
      <c r="Q1403" s="10">
        <f>IFERROR(INDEX(Category_Targets!$B$2:$B$9,MATCH(F1403,Category_Targets!$A$2:$A$9,0)),0)</f>
        <v>7.0000000000000007E-2</v>
      </c>
      <c r="R1403" s="7">
        <f t="shared" si="43"/>
        <v>1410.5070000000001</v>
      </c>
    </row>
    <row r="1404" spans="1:18" x14ac:dyDescent="0.25">
      <c r="A1404" s="5">
        <f>Procurement_Raw!A1404</f>
        <v>45847</v>
      </c>
      <c r="B1404" t="str">
        <f>Procurement_Raw!B1404</f>
        <v>S001</v>
      </c>
      <c r="C1404" t="str">
        <f>Procurement_Raw!C1404</f>
        <v>Preston Care &amp; Education Centre</v>
      </c>
      <c r="D1404" t="str">
        <f>Procurement_Raw!D1404</f>
        <v>North</v>
      </c>
      <c r="E1404" t="str">
        <f>Procurement_Raw!E1404</f>
        <v>NourishCo</v>
      </c>
      <c r="F1404" t="str">
        <f>Procurement_Raw!F1404</f>
        <v>Food &amp; Catering</v>
      </c>
      <c r="G1404" t="str">
        <f>Procurement_Raw!G1404</f>
        <v>INV-2025-01403</v>
      </c>
      <c r="H1404" s="6">
        <f>Procurement_Raw!H1404</f>
        <v>25</v>
      </c>
      <c r="I1404" s="7">
        <f>Procurement_Raw!I1404</f>
        <v>124.78</v>
      </c>
      <c r="J1404" s="7">
        <f>Procurement_Raw!J1404</f>
        <v>3119.41</v>
      </c>
      <c r="K1404" s="6">
        <f>Procurement_Raw!K1404</f>
        <v>45</v>
      </c>
      <c r="L1404" t="str">
        <f>Procurement_Raw!L1404</f>
        <v>ERP</v>
      </c>
      <c r="M1404" s="8">
        <f>Procurement_Raw!M1404</f>
        <v>623.88199999999995</v>
      </c>
      <c r="N1404" s="7">
        <f>Procurement_Raw!N1404</f>
        <v>3119.41</v>
      </c>
      <c r="O1404" s="7">
        <f t="shared" si="42"/>
        <v>3119.41</v>
      </c>
      <c r="P1404" t="str">
        <f>IFERROR(INDEX(Supplier_Lookup!$B$2:$B$200,MATCH(E1404,Supplier_Lookup!$A$2:$A$200,0)),"Unmapped")</f>
        <v>Food &amp; Catering</v>
      </c>
      <c r="Q1404" s="10">
        <f>IFERROR(INDEX(Category_Targets!$B$2:$B$9,MATCH(F1404,Category_Targets!$A$2:$A$9,0)),0)</f>
        <v>0.04</v>
      </c>
      <c r="R1404" s="7">
        <f t="shared" si="43"/>
        <v>124.7764</v>
      </c>
    </row>
    <row r="1405" spans="1:18" x14ac:dyDescent="0.25">
      <c r="A1405" s="5">
        <f>Procurement_Raw!A1405</f>
        <v>46006</v>
      </c>
      <c r="B1405" t="str">
        <f>Procurement_Raw!B1405</f>
        <v>S001</v>
      </c>
      <c r="C1405" t="str">
        <f>Procurement_Raw!C1405</f>
        <v>Preston Care &amp; Education Centre</v>
      </c>
      <c r="D1405" t="str">
        <f>Procurement_Raw!D1405</f>
        <v>North</v>
      </c>
      <c r="E1405" t="str">
        <f>Procurement_Raw!E1405</f>
        <v>CareMed</v>
      </c>
      <c r="F1405" t="str">
        <f>Procurement_Raw!F1405</f>
        <v>Medical Supplies</v>
      </c>
      <c r="G1405" t="str">
        <f>Procurement_Raw!G1405</f>
        <v>INV-2025-01404</v>
      </c>
      <c r="H1405" s="6">
        <f>Procurement_Raw!H1405</f>
        <v>46</v>
      </c>
      <c r="I1405" s="7">
        <f>Procurement_Raw!I1405</f>
        <v>178.2</v>
      </c>
      <c r="J1405" s="7">
        <f>Procurement_Raw!J1405</f>
        <v>8197.2800000000007</v>
      </c>
      <c r="K1405" s="6">
        <f>Procurement_Raw!K1405</f>
        <v>30</v>
      </c>
      <c r="L1405" t="str">
        <f>Procurement_Raw!L1405</f>
        <v>ERP</v>
      </c>
      <c r="M1405" s="8">
        <f>Procurement_Raw!M1405</f>
        <v>1639.4559999999999</v>
      </c>
      <c r="N1405" s="7">
        <f>Procurement_Raw!N1405</f>
        <v>8197.2800000000007</v>
      </c>
      <c r="O1405" s="7">
        <f t="shared" si="42"/>
        <v>8197.2800000000007</v>
      </c>
      <c r="P1405" t="str">
        <f>IFERROR(INDEX(Supplier_Lookup!$B$2:$B$200,MATCH(E1405,Supplier_Lookup!$A$2:$A$200,0)),"Unmapped")</f>
        <v>Medical Supplies</v>
      </c>
      <c r="Q1405" s="10">
        <f>IFERROR(INDEX(Category_Targets!$B$2:$B$9,MATCH(F1405,Category_Targets!$A$2:$A$9,0)),0)</f>
        <v>0.06</v>
      </c>
      <c r="R1405" s="7">
        <f t="shared" si="43"/>
        <v>491.83680000000004</v>
      </c>
    </row>
    <row r="1406" spans="1:18" x14ac:dyDescent="0.25">
      <c r="A1406" s="5">
        <f>Procurement_Raw!A1406</f>
        <v>45771</v>
      </c>
      <c r="B1406" t="str">
        <f>Procurement_Raw!B1406</f>
        <v>S015</v>
      </c>
      <c r="C1406" t="str">
        <f>Procurement_Raw!C1406</f>
        <v>Brighton Care &amp; Education Centre</v>
      </c>
      <c r="D1406" t="str">
        <f>Procurement_Raw!D1406</f>
        <v>South</v>
      </c>
      <c r="E1406" t="str">
        <f>Procurement_Raw!E1406</f>
        <v>NetServe</v>
      </c>
      <c r="F1406" t="str">
        <f>Procurement_Raw!F1406</f>
        <v>IT &amp; Telecoms</v>
      </c>
      <c r="G1406" t="str">
        <f>Procurement_Raw!G1406</f>
        <v>INV-2025-01405</v>
      </c>
      <c r="H1406" s="6">
        <f>Procurement_Raw!H1406</f>
        <v>30</v>
      </c>
      <c r="I1406" s="7">
        <f>Procurement_Raw!I1406</f>
        <v>380.49</v>
      </c>
      <c r="J1406" s="7">
        <f>Procurement_Raw!J1406</f>
        <v>11414.63</v>
      </c>
      <c r="K1406" s="6">
        <f>Procurement_Raw!K1406</f>
        <v>45</v>
      </c>
      <c r="L1406" t="str">
        <f>Procurement_Raw!L1406</f>
        <v>Procurement Portal</v>
      </c>
      <c r="M1406" s="8">
        <f>Procurement_Raw!M1406</f>
        <v>2282.9259999999999</v>
      </c>
      <c r="N1406" s="7">
        <f>Procurement_Raw!N1406</f>
        <v>11414.63</v>
      </c>
      <c r="O1406" s="7">
        <f t="shared" si="42"/>
        <v>11414.63</v>
      </c>
      <c r="P1406" t="str">
        <f>IFERROR(INDEX(Supplier_Lookup!$B$2:$B$200,MATCH(E1406,Supplier_Lookup!$A$2:$A$200,0)),"Unmapped")</f>
        <v>IT &amp; Telecoms</v>
      </c>
      <c r="Q1406" s="10">
        <f>IFERROR(INDEX(Category_Targets!$B$2:$B$9,MATCH(F1406,Category_Targets!$A$2:$A$9,0)),0)</f>
        <v>0.08</v>
      </c>
      <c r="R1406" s="7">
        <f t="shared" si="43"/>
        <v>913.17039999999997</v>
      </c>
    </row>
    <row r="1407" spans="1:18" x14ac:dyDescent="0.25">
      <c r="A1407" s="5">
        <f>Procurement_Raw!A1407</f>
        <v>46018</v>
      </c>
      <c r="B1407" t="str">
        <f>Procurement_Raw!B1407</f>
        <v>S017</v>
      </c>
      <c r="C1407" t="str">
        <f>Procurement_Raw!C1407</f>
        <v>Swansea Care &amp; Education Centre</v>
      </c>
      <c r="D1407" t="str">
        <f>Procurement_Raw!D1407</f>
        <v>Wales</v>
      </c>
      <c r="E1407" t="str">
        <f>Procurement_Raw!E1407</f>
        <v>TeleCare IT</v>
      </c>
      <c r="F1407" t="str">
        <f>Procurement_Raw!F1407</f>
        <v>IT &amp; Telecoms</v>
      </c>
      <c r="G1407" t="str">
        <f>Procurement_Raw!G1407</f>
        <v>INV-2025-01406</v>
      </c>
      <c r="H1407" s="6">
        <f>Procurement_Raw!H1407</f>
        <v>78</v>
      </c>
      <c r="I1407" s="7">
        <f>Procurement_Raw!I1407</f>
        <v>145.1</v>
      </c>
      <c r="J1407" s="7">
        <f>Procurement_Raw!J1407</f>
        <v>11317.43</v>
      </c>
      <c r="K1407" s="6">
        <f>Procurement_Raw!K1407</f>
        <v>30</v>
      </c>
      <c r="L1407" t="str">
        <f>Procurement_Raw!L1407</f>
        <v>ERP</v>
      </c>
      <c r="M1407" s="8">
        <f>Procurement_Raw!M1407</f>
        <v>2263.4859999999999</v>
      </c>
      <c r="N1407" s="7">
        <f>Procurement_Raw!N1407</f>
        <v>11317.43</v>
      </c>
      <c r="O1407" s="7">
        <f t="shared" si="42"/>
        <v>11317.43</v>
      </c>
      <c r="P1407" t="str">
        <f>IFERROR(INDEX(Supplier_Lookup!$B$2:$B$200,MATCH(E1407,Supplier_Lookup!$A$2:$A$200,0)),"Unmapped")</f>
        <v>IT &amp; Telecoms</v>
      </c>
      <c r="Q1407" s="10">
        <f>IFERROR(INDEX(Category_Targets!$B$2:$B$9,MATCH(F1407,Category_Targets!$A$2:$A$9,0)),0)</f>
        <v>0.08</v>
      </c>
      <c r="R1407" s="7">
        <f t="shared" si="43"/>
        <v>905.39440000000002</v>
      </c>
    </row>
    <row r="1408" spans="1:18" x14ac:dyDescent="0.25">
      <c r="A1408" s="5">
        <f>Procurement_Raw!A1408</f>
        <v>45800</v>
      </c>
      <c r="B1408" t="str">
        <f>Procurement_Raw!B1408</f>
        <v>S005</v>
      </c>
      <c r="C1408" t="str">
        <f>Procurement_Raw!C1408</f>
        <v>Sheffield Care &amp; Education Centre</v>
      </c>
      <c r="D1408" t="str">
        <f>Procurement_Raw!D1408</f>
        <v>North</v>
      </c>
      <c r="E1408" t="str">
        <f>Procurement_Raw!E1408</f>
        <v>HealthStaffing</v>
      </c>
      <c r="F1408" t="str">
        <f>Procurement_Raw!F1408</f>
        <v>Agency Labour</v>
      </c>
      <c r="G1408" t="str">
        <f>Procurement_Raw!G1408</f>
        <v>INV-2025-01407</v>
      </c>
      <c r="H1408" s="6">
        <f>Procurement_Raw!H1408</f>
        <v>73</v>
      </c>
      <c r="I1408" s="7">
        <f>Procurement_Raw!I1408</f>
        <v>137.25</v>
      </c>
      <c r="J1408" s="7">
        <f>Procurement_Raw!J1408</f>
        <v>10019.07</v>
      </c>
      <c r="K1408" s="6">
        <f>Procurement_Raw!K1408</f>
        <v>60</v>
      </c>
      <c r="L1408" t="str">
        <f>Procurement_Raw!L1408</f>
        <v>Procurement Portal</v>
      </c>
      <c r="M1408" s="8">
        <f>Procurement_Raw!M1408</f>
        <v>2003.8140000000001</v>
      </c>
      <c r="N1408" s="7">
        <f>Procurement_Raw!N1408</f>
        <v>10019.07</v>
      </c>
      <c r="O1408" s="7">
        <f t="shared" si="42"/>
        <v>10019.07</v>
      </c>
      <c r="P1408" t="str">
        <f>IFERROR(INDEX(Supplier_Lookup!$B$2:$B$200,MATCH(E1408,Supplier_Lookup!$A$2:$A$200,0)),"Unmapped")</f>
        <v>Agency Labour</v>
      </c>
      <c r="Q1408" s="10">
        <f>IFERROR(INDEX(Category_Targets!$B$2:$B$9,MATCH(F1408,Category_Targets!$A$2:$A$9,0)),0)</f>
        <v>7.0000000000000007E-2</v>
      </c>
      <c r="R1408" s="7">
        <f t="shared" si="43"/>
        <v>701.33490000000006</v>
      </c>
    </row>
    <row r="1409" spans="1:18" x14ac:dyDescent="0.25">
      <c r="A1409" s="5">
        <f>Procurement_Raw!A1409</f>
        <v>45947</v>
      </c>
      <c r="B1409" t="str">
        <f>Procurement_Raw!B1409</f>
        <v>S004</v>
      </c>
      <c r="C1409" t="str">
        <f>Procurement_Raw!C1409</f>
        <v>Newcastle Care &amp; Education Centre</v>
      </c>
      <c r="D1409" t="str">
        <f>Procurement_Raw!D1409</f>
        <v>North</v>
      </c>
      <c r="E1409" t="str">
        <f>Procurement_Raw!E1409</f>
        <v>PowerDirect</v>
      </c>
      <c r="F1409" t="str">
        <f>Procurement_Raw!F1409</f>
        <v>Utilities</v>
      </c>
      <c r="G1409" t="str">
        <f>Procurement_Raw!G1409</f>
        <v>INV-2025-01408</v>
      </c>
      <c r="H1409" s="6">
        <f>Procurement_Raw!H1409</f>
        <v>78</v>
      </c>
      <c r="I1409" s="7">
        <f>Procurement_Raw!I1409</f>
        <v>570.89</v>
      </c>
      <c r="J1409" s="7">
        <f>Procurement_Raw!J1409</f>
        <v>44529.33</v>
      </c>
      <c r="K1409" s="6">
        <f>Procurement_Raw!K1409</f>
        <v>60</v>
      </c>
      <c r="L1409" t="str">
        <f>Procurement_Raw!L1409</f>
        <v>ERP</v>
      </c>
      <c r="M1409" s="8">
        <f>Procurement_Raw!M1409</f>
        <v>8905.866</v>
      </c>
      <c r="N1409" s="7">
        <f>Procurement_Raw!N1409</f>
        <v>44529.33</v>
      </c>
      <c r="O1409" s="7">
        <f t="shared" si="42"/>
        <v>44529.33</v>
      </c>
      <c r="P1409" t="str">
        <f>IFERROR(INDEX(Supplier_Lookup!$B$2:$B$200,MATCH(E1409,Supplier_Lookup!$A$2:$A$200,0)),"Unmapped")</f>
        <v>Utilities</v>
      </c>
      <c r="Q1409" s="10">
        <f>IFERROR(INDEX(Category_Targets!$B$2:$B$9,MATCH(F1409,Category_Targets!$A$2:$A$9,0)),0)</f>
        <v>0.03</v>
      </c>
      <c r="R1409" s="7">
        <f t="shared" si="43"/>
        <v>1335.8798999999999</v>
      </c>
    </row>
    <row r="1410" spans="1:18" x14ac:dyDescent="0.25">
      <c r="A1410" s="5">
        <f>Procurement_Raw!A1410</f>
        <v>45691</v>
      </c>
      <c r="B1410" t="str">
        <f>Procurement_Raw!B1410</f>
        <v>S005</v>
      </c>
      <c r="C1410" t="str">
        <f>Procurement_Raw!C1410</f>
        <v>Sheffield Care &amp; Education Centre</v>
      </c>
      <c r="D1410" t="str">
        <f>Procurement_Raw!D1410</f>
        <v>North</v>
      </c>
      <c r="E1410" t="str">
        <f>Procurement_Raw!E1410</f>
        <v>BuildCare</v>
      </c>
      <c r="F1410" t="str">
        <f>Procurement_Raw!F1410</f>
        <v>Facilities</v>
      </c>
      <c r="G1410" t="str">
        <f>Procurement_Raw!G1410</f>
        <v>INV-2025-01409</v>
      </c>
      <c r="H1410" s="6">
        <f>Procurement_Raw!H1410</f>
        <v>17</v>
      </c>
      <c r="I1410" s="7">
        <f>Procurement_Raw!I1410</f>
        <v>150.72999999999999</v>
      </c>
      <c r="J1410" s="7">
        <f>Procurement_Raw!J1410</f>
        <v>2562.39</v>
      </c>
      <c r="K1410" s="6">
        <f>Procurement_Raw!K1410</f>
        <v>45</v>
      </c>
      <c r="L1410" t="str">
        <f>Procurement_Raw!L1410</f>
        <v>Legacy Spend File</v>
      </c>
      <c r="M1410" s="8">
        <f>Procurement_Raw!M1410</f>
        <v>512.47799999999995</v>
      </c>
      <c r="N1410" s="7">
        <f>Procurement_Raw!N1410</f>
        <v>2562.39</v>
      </c>
      <c r="O1410" s="7">
        <f t="shared" ref="O1410:O1473" si="44">IFERROR(IF(J1410="","",J1410),0)</f>
        <v>2562.39</v>
      </c>
      <c r="P1410" t="str">
        <f>IFERROR(INDEX(Supplier_Lookup!$B$2:$B$200,MATCH(E1410,Supplier_Lookup!$A$2:$A$200,0)),"Unmapped")</f>
        <v>Facilities</v>
      </c>
      <c r="Q1410" s="10">
        <f>IFERROR(INDEX(Category_Targets!$B$2:$B$9,MATCH(F1410,Category_Targets!$A$2:$A$9,0)),0)</f>
        <v>0.05</v>
      </c>
      <c r="R1410" s="7">
        <f t="shared" ref="R1410:R1473" si="45">O1410*Q1410</f>
        <v>128.11949999999999</v>
      </c>
    </row>
    <row r="1411" spans="1:18" x14ac:dyDescent="0.25">
      <c r="A1411" s="5">
        <f>Procurement_Raw!A1411</f>
        <v>46005</v>
      </c>
      <c r="B1411" t="str">
        <f>Procurement_Raw!B1411</f>
        <v>S017</v>
      </c>
      <c r="C1411" t="str">
        <f>Procurement_Raw!C1411</f>
        <v>Swansea Care &amp; Education Centre</v>
      </c>
      <c r="D1411" t="str">
        <f>Procurement_Raw!D1411</f>
        <v>Wales</v>
      </c>
      <c r="E1411" t="str">
        <f>Procurement_Raw!E1411</f>
        <v>CloudLink</v>
      </c>
      <c r="F1411" t="str">
        <f>Procurement_Raw!F1411</f>
        <v>IT &amp; Telecoms</v>
      </c>
      <c r="G1411" t="str">
        <f>Procurement_Raw!G1411</f>
        <v>INV-2025-01410</v>
      </c>
      <c r="H1411" s="6">
        <f>Procurement_Raw!H1411</f>
        <v>3</v>
      </c>
      <c r="I1411" s="7">
        <f>Procurement_Raw!I1411</f>
        <v>191.65</v>
      </c>
      <c r="J1411" s="7">
        <f>Procurement_Raw!J1411</f>
        <v>574.95000000000005</v>
      </c>
      <c r="K1411" s="6">
        <f>Procurement_Raw!K1411</f>
        <v>60</v>
      </c>
      <c r="L1411" t="str">
        <f>Procurement_Raw!L1411</f>
        <v>Legacy Spend File</v>
      </c>
      <c r="M1411" s="8">
        <f>Procurement_Raw!M1411</f>
        <v>114.99</v>
      </c>
      <c r="N1411" s="7">
        <f>Procurement_Raw!N1411</f>
        <v>574.95000000000005</v>
      </c>
      <c r="O1411" s="7">
        <f t="shared" si="44"/>
        <v>574.95000000000005</v>
      </c>
      <c r="P1411" t="str">
        <f>IFERROR(INDEX(Supplier_Lookup!$B$2:$B$200,MATCH(E1411,Supplier_Lookup!$A$2:$A$200,0)),"Unmapped")</f>
        <v>medical supplies</v>
      </c>
      <c r="Q1411" s="10">
        <f>IFERROR(INDEX(Category_Targets!$B$2:$B$9,MATCH(F1411,Category_Targets!$A$2:$A$9,0)),0)</f>
        <v>0.08</v>
      </c>
      <c r="R1411" s="7">
        <f t="shared" si="45"/>
        <v>45.996000000000002</v>
      </c>
    </row>
    <row r="1412" spans="1:18" x14ac:dyDescent="0.25">
      <c r="A1412" s="5">
        <f>Procurement_Raw!A1412</f>
        <v>45944</v>
      </c>
      <c r="B1412" t="str">
        <f>Procurement_Raw!B1412</f>
        <v>S020</v>
      </c>
      <c r="C1412" t="str">
        <f>Procurement_Raw!C1412</f>
        <v>Bangor Care &amp; Education Centre</v>
      </c>
      <c r="D1412" t="str">
        <f>Procurement_Raw!D1412</f>
        <v>Wales</v>
      </c>
      <c r="E1412" t="str">
        <f>Procurement_Raw!E1412</f>
        <v>NetServe</v>
      </c>
      <c r="F1412" t="str">
        <f>Procurement_Raw!F1412</f>
        <v>IT &amp; Telecoms</v>
      </c>
      <c r="G1412" t="str">
        <f>Procurement_Raw!G1412</f>
        <v>INV-2025-01411</v>
      </c>
      <c r="H1412" s="6">
        <f>Procurement_Raw!H1412</f>
        <v>59</v>
      </c>
      <c r="I1412" s="7">
        <f>Procurement_Raw!I1412</f>
        <v>456.75</v>
      </c>
      <c r="J1412" s="7">
        <f>Procurement_Raw!J1412</f>
        <v>26948.2</v>
      </c>
      <c r="K1412" s="6">
        <f>Procurement_Raw!K1412</f>
        <v>30</v>
      </c>
      <c r="L1412" t="str">
        <f>Procurement_Raw!L1412</f>
        <v>Procurement Portal</v>
      </c>
      <c r="M1412" s="8">
        <f>Procurement_Raw!M1412</f>
        <v>5389.64</v>
      </c>
      <c r="N1412" s="7">
        <f>Procurement_Raw!N1412</f>
        <v>26948.2</v>
      </c>
      <c r="O1412" s="7">
        <f t="shared" si="44"/>
        <v>26948.2</v>
      </c>
      <c r="P1412" t="str">
        <f>IFERROR(INDEX(Supplier_Lookup!$B$2:$B$200,MATCH(E1412,Supplier_Lookup!$A$2:$A$200,0)),"Unmapped")</f>
        <v>IT &amp; Telecoms</v>
      </c>
      <c r="Q1412" s="10">
        <f>IFERROR(INDEX(Category_Targets!$B$2:$B$9,MATCH(F1412,Category_Targets!$A$2:$A$9,0)),0)</f>
        <v>0.08</v>
      </c>
      <c r="R1412" s="7">
        <f t="shared" si="45"/>
        <v>2155.8560000000002</v>
      </c>
    </row>
    <row r="1413" spans="1:18" x14ac:dyDescent="0.25">
      <c r="A1413" s="5">
        <f>Procurement_Raw!A1413</f>
        <v>45879</v>
      </c>
      <c r="B1413" t="str">
        <f>Procurement_Raw!B1413</f>
        <v>S009</v>
      </c>
      <c r="C1413" t="str">
        <f>Procurement_Raw!C1413</f>
        <v>Derby Care &amp; Education Centre</v>
      </c>
      <c r="D1413" t="str">
        <f>Procurement_Raw!D1413</f>
        <v>Midlands</v>
      </c>
      <c r="E1413" t="str">
        <f>Procurement_Raw!E1413</f>
        <v>CareMed</v>
      </c>
      <c r="F1413" t="str">
        <f>Procurement_Raw!F1413</f>
        <v>Medical Supplies</v>
      </c>
      <c r="G1413" t="str">
        <f>Procurement_Raw!G1413</f>
        <v>INV-2025-01412</v>
      </c>
      <c r="H1413" s="6">
        <f>Procurement_Raw!H1413</f>
        <v>53</v>
      </c>
      <c r="I1413" s="7">
        <f>Procurement_Raw!I1413</f>
        <v>162.94999999999999</v>
      </c>
      <c r="J1413" s="7">
        <f>Procurement_Raw!J1413</f>
        <v>8636.1299999999992</v>
      </c>
      <c r="K1413" s="6">
        <f>Procurement_Raw!K1413</f>
        <v>45</v>
      </c>
      <c r="L1413" t="str">
        <f>Procurement_Raw!L1413</f>
        <v>ERP</v>
      </c>
      <c r="M1413" s="8">
        <f>Procurement_Raw!M1413</f>
        <v>1727.2260000000001</v>
      </c>
      <c r="N1413" s="7">
        <f>Procurement_Raw!N1413</f>
        <v>8636.1299999999992</v>
      </c>
      <c r="O1413" s="7">
        <f t="shared" si="44"/>
        <v>8636.1299999999992</v>
      </c>
      <c r="P1413" t="str">
        <f>IFERROR(INDEX(Supplier_Lookup!$B$2:$B$200,MATCH(E1413,Supplier_Lookup!$A$2:$A$200,0)),"Unmapped")</f>
        <v>Medical Supplies</v>
      </c>
      <c r="Q1413" s="10">
        <f>IFERROR(INDEX(Category_Targets!$B$2:$B$9,MATCH(F1413,Category_Targets!$A$2:$A$9,0)),0)</f>
        <v>0.06</v>
      </c>
      <c r="R1413" s="7">
        <f t="shared" si="45"/>
        <v>518.16779999999994</v>
      </c>
    </row>
    <row r="1414" spans="1:18" x14ac:dyDescent="0.25">
      <c r="A1414" s="5">
        <f>Procurement_Raw!A1414</f>
        <v>45843</v>
      </c>
      <c r="B1414" t="str">
        <f>Procurement_Raw!B1414</f>
        <v>S019</v>
      </c>
      <c r="C1414" t="str">
        <f>Procurement_Raw!C1414</f>
        <v>Wrexham Care &amp; Education Centre</v>
      </c>
      <c r="D1414" t="str">
        <f>Procurement_Raw!D1414</f>
        <v>Wales</v>
      </c>
      <c r="E1414" t="str">
        <f>Procurement_Raw!E1414</f>
        <v>LearnWell</v>
      </c>
      <c r="F1414" t="str">
        <f>Procurement_Raw!F1414</f>
        <v>Office &amp; Training</v>
      </c>
      <c r="G1414" t="str">
        <f>Procurement_Raw!G1414</f>
        <v>INV-2025-01413</v>
      </c>
      <c r="H1414" s="6">
        <f>Procurement_Raw!H1414</f>
        <v>67</v>
      </c>
      <c r="I1414" s="7">
        <f>Procurement_Raw!I1414</f>
        <v>96.37</v>
      </c>
      <c r="J1414" s="7">
        <f>Procurement_Raw!J1414</f>
        <v>6456.99</v>
      </c>
      <c r="K1414" s="6">
        <f>Procurement_Raw!K1414</f>
        <v>30</v>
      </c>
      <c r="L1414" t="str">
        <f>Procurement_Raw!L1414</f>
        <v>Legacy Spend File</v>
      </c>
      <c r="M1414" s="8">
        <f>Procurement_Raw!M1414</f>
        <v>1291.3979999999999</v>
      </c>
      <c r="N1414" s="7">
        <f>Procurement_Raw!N1414</f>
        <v>6456.99</v>
      </c>
      <c r="O1414" s="7">
        <f t="shared" si="44"/>
        <v>6456.99</v>
      </c>
      <c r="P1414" t="str">
        <f>IFERROR(INDEX(Supplier_Lookup!$B$2:$B$200,MATCH(E1414,Supplier_Lookup!$A$2:$A$200,0)),"Unmapped")</f>
        <v>Office &amp; Training</v>
      </c>
      <c r="Q1414" s="10">
        <f>IFERROR(INDEX(Category_Targets!$B$2:$B$9,MATCH(F1414,Category_Targets!$A$2:$A$9,0)),0)</f>
        <v>0.04</v>
      </c>
      <c r="R1414" s="7">
        <f t="shared" si="45"/>
        <v>258.27960000000002</v>
      </c>
    </row>
    <row r="1415" spans="1:18" x14ac:dyDescent="0.25">
      <c r="A1415" s="5">
        <f>Procurement_Raw!A1415</f>
        <v>45873</v>
      </c>
      <c r="B1415" t="str">
        <f>Procurement_Raw!B1415</f>
        <v>S020</v>
      </c>
      <c r="C1415" t="str">
        <f>Procurement_Raw!C1415</f>
        <v>Bangor Care &amp; Education Centre</v>
      </c>
      <c r="D1415" t="str">
        <f>Procurement_Raw!D1415</f>
        <v>Wales</v>
      </c>
      <c r="E1415" t="str">
        <f>Procurement_Raw!E1415</f>
        <v>CareMed</v>
      </c>
      <c r="F1415" t="str">
        <f>Procurement_Raw!F1415</f>
        <v>Medical Supplies</v>
      </c>
      <c r="G1415" t="str">
        <f>Procurement_Raw!G1415</f>
        <v>INV-2025-01414</v>
      </c>
      <c r="H1415" s="6">
        <f>Procurement_Raw!H1415</f>
        <v>69</v>
      </c>
      <c r="I1415" s="7">
        <f>Procurement_Raw!I1415</f>
        <v>394.75</v>
      </c>
      <c r="J1415" s="7">
        <f>Procurement_Raw!J1415</f>
        <v>27237.49</v>
      </c>
      <c r="K1415" s="6">
        <f>Procurement_Raw!K1415</f>
        <v>45</v>
      </c>
      <c r="L1415" t="str">
        <f>Procurement_Raw!L1415</f>
        <v>Procurement Portal</v>
      </c>
      <c r="M1415" s="8">
        <f>Procurement_Raw!M1415</f>
        <v>5447.4979999999996</v>
      </c>
      <c r="N1415" s="7">
        <f>Procurement_Raw!N1415</f>
        <v>27237.49</v>
      </c>
      <c r="O1415" s="7">
        <f t="shared" si="44"/>
        <v>27237.49</v>
      </c>
      <c r="P1415" t="str">
        <f>IFERROR(INDEX(Supplier_Lookup!$B$2:$B$200,MATCH(E1415,Supplier_Lookup!$A$2:$A$200,0)),"Unmapped")</f>
        <v>Medical Supplies</v>
      </c>
      <c r="Q1415" s="10">
        <f>IFERROR(INDEX(Category_Targets!$B$2:$B$9,MATCH(F1415,Category_Targets!$A$2:$A$9,0)),0)</f>
        <v>0.06</v>
      </c>
      <c r="R1415" s="7">
        <f t="shared" si="45"/>
        <v>1634.2493999999999</v>
      </c>
    </row>
    <row r="1416" spans="1:18" x14ac:dyDescent="0.25">
      <c r="A1416" s="5">
        <f>Procurement_Raw!A1416</f>
        <v>45829</v>
      </c>
      <c r="B1416" t="str">
        <f>Procurement_Raw!B1416</f>
        <v>S020</v>
      </c>
      <c r="C1416" t="str">
        <f>Procurement_Raw!C1416</f>
        <v>Bangor Care &amp; Education Centre</v>
      </c>
      <c r="D1416" t="str">
        <f>Procurement_Raw!D1416</f>
        <v>Wales</v>
      </c>
      <c r="E1416" t="str">
        <f>Procurement_Raw!E1416</f>
        <v>HealthStaffing</v>
      </c>
      <c r="F1416" t="str">
        <f>Procurement_Raw!F1416</f>
        <v>Agency Labour</v>
      </c>
      <c r="G1416" t="str">
        <f>Procurement_Raw!G1416</f>
        <v>INV-2025-01415</v>
      </c>
      <c r="H1416" s="6">
        <f>Procurement_Raw!H1416</f>
        <v>11</v>
      </c>
      <c r="I1416" s="7">
        <f>Procurement_Raw!I1416</f>
        <v>210.58</v>
      </c>
      <c r="J1416" s="7">
        <f>Procurement_Raw!J1416</f>
        <v>2316.34</v>
      </c>
      <c r="K1416" s="6">
        <f>Procurement_Raw!K1416</f>
        <v>60</v>
      </c>
      <c r="L1416" t="str">
        <f>Procurement_Raw!L1416</f>
        <v>ERP</v>
      </c>
      <c r="M1416" s="8">
        <f>Procurement_Raw!M1416</f>
        <v>463.26799999999997</v>
      </c>
      <c r="N1416" s="7">
        <f>Procurement_Raw!N1416</f>
        <v>2316.34</v>
      </c>
      <c r="O1416" s="7">
        <f t="shared" si="44"/>
        <v>2316.34</v>
      </c>
      <c r="P1416" t="str">
        <f>IFERROR(INDEX(Supplier_Lookup!$B$2:$B$200,MATCH(E1416,Supplier_Lookup!$A$2:$A$200,0)),"Unmapped")</f>
        <v>Agency Labour</v>
      </c>
      <c r="Q1416" s="10">
        <f>IFERROR(INDEX(Category_Targets!$B$2:$B$9,MATCH(F1416,Category_Targets!$A$2:$A$9,0)),0)</f>
        <v>7.0000000000000007E-2</v>
      </c>
      <c r="R1416" s="7">
        <f t="shared" si="45"/>
        <v>162.14380000000003</v>
      </c>
    </row>
    <row r="1417" spans="1:18" x14ac:dyDescent="0.25">
      <c r="A1417" s="5">
        <f>Procurement_Raw!A1417</f>
        <v>45874</v>
      </c>
      <c r="B1417" t="str">
        <f>Procurement_Raw!B1417</f>
        <v>S005</v>
      </c>
      <c r="C1417" t="str">
        <f>Procurement_Raw!C1417</f>
        <v>Sheffield Care &amp; Education Centre</v>
      </c>
      <c r="D1417" t="str">
        <f>Procurement_Raw!D1417</f>
        <v>North</v>
      </c>
      <c r="E1417" t="str">
        <f>Procurement_Raw!E1417</f>
        <v>PowerDirect</v>
      </c>
      <c r="F1417" t="str">
        <f>Procurement_Raw!F1417</f>
        <v>Utilities</v>
      </c>
      <c r="G1417" t="str">
        <f>Procurement_Raw!G1417</f>
        <v>INV-2025-01416</v>
      </c>
      <c r="H1417" s="6">
        <f>Procurement_Raw!H1417</f>
        <v>10</v>
      </c>
      <c r="I1417" s="7">
        <f>Procurement_Raw!I1417</f>
        <v>416.45</v>
      </c>
      <c r="J1417" s="7">
        <f>Procurement_Raw!J1417</f>
        <v>4164.53</v>
      </c>
      <c r="K1417" s="6">
        <f>Procurement_Raw!K1417</f>
        <v>30</v>
      </c>
      <c r="L1417" t="str">
        <f>Procurement_Raw!L1417</f>
        <v>ERP</v>
      </c>
      <c r="M1417" s="8">
        <f>Procurement_Raw!M1417</f>
        <v>832.90599999999995</v>
      </c>
      <c r="N1417" s="7">
        <f>Procurement_Raw!N1417</f>
        <v>4164.53</v>
      </c>
      <c r="O1417" s="7">
        <f t="shared" si="44"/>
        <v>4164.53</v>
      </c>
      <c r="P1417" t="str">
        <f>IFERROR(INDEX(Supplier_Lookup!$B$2:$B$200,MATCH(E1417,Supplier_Lookup!$A$2:$A$200,0)),"Unmapped")</f>
        <v>Utilities</v>
      </c>
      <c r="Q1417" s="10">
        <f>IFERROR(INDEX(Category_Targets!$B$2:$B$9,MATCH(F1417,Category_Targets!$A$2:$A$9,0)),0)</f>
        <v>0.03</v>
      </c>
      <c r="R1417" s="7">
        <f t="shared" si="45"/>
        <v>124.93589999999999</v>
      </c>
    </row>
    <row r="1418" spans="1:18" x14ac:dyDescent="0.25">
      <c r="A1418" s="5">
        <f>Procurement_Raw!A1418</f>
        <v>45690</v>
      </c>
      <c r="B1418" t="str">
        <f>Procurement_Raw!B1418</f>
        <v>S002</v>
      </c>
      <c r="C1418" t="str">
        <f>Procurement_Raw!C1418</f>
        <v>Manchester Care &amp; Education Centre</v>
      </c>
      <c r="D1418" t="str">
        <f>Procurement_Raw!D1418</f>
        <v>North</v>
      </c>
      <c r="E1418" t="str">
        <f>Procurement_Raw!E1418</f>
        <v>RoadReady</v>
      </c>
      <c r="F1418" t="str">
        <f>Procurement_Raw!F1418</f>
        <v>Vehicle &amp; Fuel</v>
      </c>
      <c r="G1418" t="str">
        <f>Procurement_Raw!G1418</f>
        <v>INV-2025-01417</v>
      </c>
      <c r="H1418" s="6">
        <f>Procurement_Raw!H1418</f>
        <v>13</v>
      </c>
      <c r="I1418" s="7">
        <f>Procurement_Raw!I1418</f>
        <v>98.03</v>
      </c>
      <c r="J1418" s="7">
        <f>Procurement_Raw!J1418</f>
        <v>1274.3399999999999</v>
      </c>
      <c r="K1418" s="6">
        <f>Procurement_Raw!K1418</f>
        <v>30</v>
      </c>
      <c r="L1418" t="str">
        <f>Procurement_Raw!L1418</f>
        <v>Procurement Portal</v>
      </c>
      <c r="M1418" s="8">
        <f>Procurement_Raw!M1418</f>
        <v>254.86799999999999</v>
      </c>
      <c r="N1418" s="7">
        <f>Procurement_Raw!N1418</f>
        <v>1274.3399999999999</v>
      </c>
      <c r="O1418" s="7">
        <f t="shared" si="44"/>
        <v>1274.3399999999999</v>
      </c>
      <c r="P1418" t="str">
        <f>IFERROR(INDEX(Supplier_Lookup!$B$2:$B$200,MATCH(E1418,Supplier_Lookup!$A$2:$A$200,0)),"Unmapped")</f>
        <v>Vehicle &amp; Fuel</v>
      </c>
      <c r="Q1418" s="10">
        <f>IFERROR(INDEX(Category_Targets!$B$2:$B$9,MATCH(F1418,Category_Targets!$A$2:$A$9,0)),0)</f>
        <v>0.05</v>
      </c>
      <c r="R1418" s="7">
        <f t="shared" si="45"/>
        <v>63.716999999999999</v>
      </c>
    </row>
    <row r="1419" spans="1:18" x14ac:dyDescent="0.25">
      <c r="A1419" s="5">
        <f>Procurement_Raw!A1419</f>
        <v>45978</v>
      </c>
      <c r="B1419" t="str">
        <f>Procurement_Raw!B1419</f>
        <v>S015</v>
      </c>
      <c r="C1419" t="str">
        <f>Procurement_Raw!C1419</f>
        <v>Brighton Care &amp; Education Centre</v>
      </c>
      <c r="D1419" t="str">
        <f>Procurement_Raw!D1419</f>
        <v>South</v>
      </c>
      <c r="E1419" t="str">
        <f>Procurement_Raw!E1419</f>
        <v>ClinEquip</v>
      </c>
      <c r="F1419" t="str">
        <f>Procurement_Raw!F1419</f>
        <v>Medical Supplies</v>
      </c>
      <c r="G1419" t="str">
        <f>Procurement_Raw!G1419</f>
        <v>INV-2025-01418</v>
      </c>
      <c r="H1419" s="6">
        <f>Procurement_Raw!H1419</f>
        <v>43</v>
      </c>
      <c r="I1419" s="7">
        <f>Procurement_Raw!I1419</f>
        <v>139.1</v>
      </c>
      <c r="J1419" s="7">
        <f>Procurement_Raw!J1419</f>
        <v>5981.45</v>
      </c>
      <c r="K1419" s="6">
        <f>Procurement_Raw!K1419</f>
        <v>45</v>
      </c>
      <c r="L1419" t="str">
        <f>Procurement_Raw!L1419</f>
        <v>ERP</v>
      </c>
      <c r="M1419" s="8">
        <f>Procurement_Raw!M1419</f>
        <v>1196.29</v>
      </c>
      <c r="N1419" s="7">
        <f>Procurement_Raw!N1419</f>
        <v>5981.45</v>
      </c>
      <c r="O1419" s="7">
        <f t="shared" si="44"/>
        <v>5981.45</v>
      </c>
      <c r="P1419" t="str">
        <f>IFERROR(INDEX(Supplier_Lookup!$B$2:$B$200,MATCH(E1419,Supplier_Lookup!$A$2:$A$200,0)),"Unmapped")</f>
        <v>Medical Supplies</v>
      </c>
      <c r="Q1419" s="10">
        <f>IFERROR(INDEX(Category_Targets!$B$2:$B$9,MATCH(F1419,Category_Targets!$A$2:$A$9,0)),0)</f>
        <v>0.06</v>
      </c>
      <c r="R1419" s="7">
        <f t="shared" si="45"/>
        <v>358.887</v>
      </c>
    </row>
    <row r="1420" spans="1:18" x14ac:dyDescent="0.25">
      <c r="A1420" s="5">
        <f>Procurement_Raw!A1420</f>
        <v>45832</v>
      </c>
      <c r="B1420" t="str">
        <f>Procurement_Raw!B1420</f>
        <v>S003</v>
      </c>
      <c r="C1420" t="str">
        <f>Procurement_Raw!C1420</f>
        <v>Leeds Care &amp; Education Centre</v>
      </c>
      <c r="D1420" t="str">
        <f>Procurement_Raw!D1420</f>
        <v>North</v>
      </c>
      <c r="E1420" t="str">
        <f>Procurement_Raw!E1420</f>
        <v>OfficePlus</v>
      </c>
      <c r="F1420" t="str">
        <f>Procurement_Raw!F1420</f>
        <v>Office &amp; Training</v>
      </c>
      <c r="G1420" t="str">
        <f>Procurement_Raw!G1420</f>
        <v>INV-2025-01419</v>
      </c>
      <c r="H1420" s="6">
        <f>Procurement_Raw!H1420</f>
        <v>7</v>
      </c>
      <c r="I1420" s="7">
        <f>Procurement_Raw!I1420</f>
        <v>173.84</v>
      </c>
      <c r="J1420" s="7">
        <f>Procurement_Raw!J1420</f>
        <v>1216.8900000000001</v>
      </c>
      <c r="K1420" s="6">
        <f>Procurement_Raw!K1420</f>
        <v>45</v>
      </c>
      <c r="L1420" t="str">
        <f>Procurement_Raw!L1420</f>
        <v>Legacy Spend File</v>
      </c>
      <c r="M1420" s="8">
        <f>Procurement_Raw!M1420</f>
        <v>243.37799999999999</v>
      </c>
      <c r="N1420" s="7">
        <f>Procurement_Raw!N1420</f>
        <v>1216.8900000000001</v>
      </c>
      <c r="O1420" s="7">
        <f t="shared" si="44"/>
        <v>1216.8900000000001</v>
      </c>
      <c r="P1420" t="str">
        <f>IFERROR(INDEX(Supplier_Lookup!$B$2:$B$200,MATCH(E1420,Supplier_Lookup!$A$2:$A$200,0)),"Unmapped")</f>
        <v>Office &amp; Training</v>
      </c>
      <c r="Q1420" s="10">
        <f>IFERROR(INDEX(Category_Targets!$B$2:$B$9,MATCH(F1420,Category_Targets!$A$2:$A$9,0)),0)</f>
        <v>0.04</v>
      </c>
      <c r="R1420" s="7">
        <f t="shared" si="45"/>
        <v>48.675600000000003</v>
      </c>
    </row>
    <row r="1421" spans="1:18" x14ac:dyDescent="0.25">
      <c r="A1421" s="5">
        <f>Procurement_Raw!A1421</f>
        <v>45975</v>
      </c>
      <c r="B1421" t="str">
        <f>Procurement_Raw!B1421</f>
        <v>S019</v>
      </c>
      <c r="C1421" t="str">
        <f>Procurement_Raw!C1421</f>
        <v>Wrexham Care &amp; Education Centre</v>
      </c>
      <c r="D1421" t="str">
        <f>Procurement_Raw!D1421</f>
        <v>Wales</v>
      </c>
      <c r="E1421" t="str">
        <f>Procurement_Raw!E1421</f>
        <v>KitchenPro</v>
      </c>
      <c r="F1421" t="str">
        <f>Procurement_Raw!F1421</f>
        <v>Food &amp; Catering</v>
      </c>
      <c r="G1421" t="str">
        <f>Procurement_Raw!G1421</f>
        <v>INV-2025-01420</v>
      </c>
      <c r="H1421" s="6">
        <f>Procurement_Raw!H1421</f>
        <v>57</v>
      </c>
      <c r="I1421" s="7">
        <f>Procurement_Raw!I1421</f>
        <v>85.94</v>
      </c>
      <c r="J1421" s="7">
        <f>Procurement_Raw!J1421</f>
        <v>4898.8100000000004</v>
      </c>
      <c r="K1421" s="6">
        <f>Procurement_Raw!K1421</f>
        <v>30</v>
      </c>
      <c r="L1421" t="str">
        <f>Procurement_Raw!L1421</f>
        <v>Legacy Spend File</v>
      </c>
      <c r="M1421" s="8">
        <f>Procurement_Raw!M1421</f>
        <v>979.76199999999994</v>
      </c>
      <c r="N1421" s="7">
        <f>Procurement_Raw!N1421</f>
        <v>4898.8100000000004</v>
      </c>
      <c r="O1421" s="7">
        <f t="shared" si="44"/>
        <v>4898.8100000000004</v>
      </c>
      <c r="P1421" t="str">
        <f>IFERROR(INDEX(Supplier_Lookup!$B$2:$B$200,MATCH(E1421,Supplier_Lookup!$A$2:$A$200,0)),"Unmapped")</f>
        <v>Food &amp; Catering</v>
      </c>
      <c r="Q1421" s="10">
        <f>IFERROR(INDEX(Category_Targets!$B$2:$B$9,MATCH(F1421,Category_Targets!$A$2:$A$9,0)),0)</f>
        <v>0.04</v>
      </c>
      <c r="R1421" s="7">
        <f t="shared" si="45"/>
        <v>195.95240000000001</v>
      </c>
    </row>
    <row r="1422" spans="1:18" x14ac:dyDescent="0.25">
      <c r="A1422" s="5">
        <f>Procurement_Raw!A1422</f>
        <v>45689</v>
      </c>
      <c r="B1422" t="str">
        <f>Procurement_Raw!B1422</f>
        <v>S010</v>
      </c>
      <c r="C1422" t="str">
        <f>Procurement_Raw!C1422</f>
        <v>Coventry Care &amp; Education Centre</v>
      </c>
      <c r="D1422" t="str">
        <f>Procurement_Raw!D1422</f>
        <v>Midlands</v>
      </c>
      <c r="E1422" t="str">
        <f>Procurement_Raw!E1422</f>
        <v>FreshServe</v>
      </c>
      <c r="F1422" t="str">
        <f>Procurement_Raw!F1422</f>
        <v>Food &amp; Catering</v>
      </c>
      <c r="G1422" t="str">
        <f>Procurement_Raw!G1422</f>
        <v>INV-2025-01421</v>
      </c>
      <c r="H1422" s="6">
        <f>Procurement_Raw!H1422</f>
        <v>5</v>
      </c>
      <c r="I1422" s="7">
        <f>Procurement_Raw!I1422</f>
        <v>87.4</v>
      </c>
      <c r="J1422" s="7">
        <f>Procurement_Raw!J1422</f>
        <v>436.98</v>
      </c>
      <c r="K1422" s="6">
        <f>Procurement_Raw!K1422</f>
        <v>45</v>
      </c>
      <c r="L1422" t="str">
        <f>Procurement_Raw!L1422</f>
        <v>Procurement Portal</v>
      </c>
      <c r="M1422" s="8">
        <f>Procurement_Raw!M1422</f>
        <v>87.396000000000001</v>
      </c>
      <c r="N1422" s="7">
        <f>Procurement_Raw!N1422</f>
        <v>436.98</v>
      </c>
      <c r="O1422" s="7">
        <f t="shared" si="44"/>
        <v>436.98</v>
      </c>
      <c r="P1422" t="str">
        <f>IFERROR(INDEX(Supplier_Lookup!$B$2:$B$200,MATCH(E1422,Supplier_Lookup!$A$2:$A$200,0)),"Unmapped")</f>
        <v>Food &amp; Catering</v>
      </c>
      <c r="Q1422" s="10">
        <f>IFERROR(INDEX(Category_Targets!$B$2:$B$9,MATCH(F1422,Category_Targets!$A$2:$A$9,0)),0)</f>
        <v>0.04</v>
      </c>
      <c r="R1422" s="7">
        <f t="shared" si="45"/>
        <v>17.479200000000002</v>
      </c>
    </row>
    <row r="1423" spans="1:18" x14ac:dyDescent="0.25">
      <c r="A1423" s="5">
        <f>Procurement_Raw!A1423</f>
        <v>45689</v>
      </c>
      <c r="B1423" t="str">
        <f>Procurement_Raw!B1423</f>
        <v>S016</v>
      </c>
      <c r="C1423" t="str">
        <f>Procurement_Raw!C1423</f>
        <v>Cardiff Care &amp; Education Centre</v>
      </c>
      <c r="D1423" t="str">
        <f>Procurement_Raw!D1423</f>
        <v>Wales</v>
      </c>
      <c r="E1423" t="str">
        <f>Procurement_Raw!E1423</f>
        <v>FreshServe</v>
      </c>
      <c r="F1423" t="str">
        <f>Procurement_Raw!F1423</f>
        <v>Food &amp; Catering</v>
      </c>
      <c r="G1423" t="str">
        <f>Procurement_Raw!G1423</f>
        <v>INV-2025-01422</v>
      </c>
      <c r="H1423" s="6">
        <f>Procurement_Raw!H1423</f>
        <v>57</v>
      </c>
      <c r="I1423" s="7">
        <f>Procurement_Raw!I1423</f>
        <v>117.25</v>
      </c>
      <c r="J1423" s="7">
        <f>Procurement_Raw!J1423</f>
        <v>6682.97</v>
      </c>
      <c r="K1423" s="6">
        <f>Procurement_Raw!K1423</f>
        <v>30</v>
      </c>
      <c r="L1423" t="str">
        <f>Procurement_Raw!L1423</f>
        <v>Procurement Portal</v>
      </c>
      <c r="M1423" s="8">
        <f>Procurement_Raw!M1423</f>
        <v>1336.5940000000001</v>
      </c>
      <c r="N1423" s="7">
        <f>Procurement_Raw!N1423</f>
        <v>6682.97</v>
      </c>
      <c r="O1423" s="7">
        <f t="shared" si="44"/>
        <v>6682.97</v>
      </c>
      <c r="P1423" t="str">
        <f>IFERROR(INDEX(Supplier_Lookup!$B$2:$B$200,MATCH(E1423,Supplier_Lookup!$A$2:$A$200,0)),"Unmapped")</f>
        <v>Food &amp; Catering</v>
      </c>
      <c r="Q1423" s="10">
        <f>IFERROR(INDEX(Category_Targets!$B$2:$B$9,MATCH(F1423,Category_Targets!$A$2:$A$9,0)),0)</f>
        <v>0.04</v>
      </c>
      <c r="R1423" s="7">
        <f t="shared" si="45"/>
        <v>267.31880000000001</v>
      </c>
    </row>
    <row r="1424" spans="1:18" x14ac:dyDescent="0.25">
      <c r="A1424" s="5">
        <f>Procurement_Raw!A1424</f>
        <v>45710</v>
      </c>
      <c r="B1424" t="str">
        <f>Procurement_Raw!B1424</f>
        <v>S005</v>
      </c>
      <c r="C1424" t="str">
        <f>Procurement_Raw!C1424</f>
        <v>Sheffield Care &amp; Education Centre</v>
      </c>
      <c r="D1424" t="str">
        <f>Procurement_Raw!D1424</f>
        <v>North</v>
      </c>
      <c r="E1424" t="str">
        <f>Procurement_Raw!E1424</f>
        <v>HealthStaffing</v>
      </c>
      <c r="F1424" t="str">
        <f>Procurement_Raw!F1424</f>
        <v>Agency Labour</v>
      </c>
      <c r="G1424" t="str">
        <f>Procurement_Raw!G1424</f>
        <v>INV-2025-01423</v>
      </c>
      <c r="H1424" s="6">
        <f>Procurement_Raw!H1424</f>
        <v>8</v>
      </c>
      <c r="I1424" s="7">
        <f>Procurement_Raw!I1424</f>
        <v>245.44</v>
      </c>
      <c r="J1424" s="7">
        <f>Procurement_Raw!J1424</f>
        <v>1963.53</v>
      </c>
      <c r="K1424" s="6">
        <f>Procurement_Raw!K1424</f>
        <v>60</v>
      </c>
      <c r="L1424" t="str">
        <f>Procurement_Raw!L1424</f>
        <v>ERP</v>
      </c>
      <c r="M1424" s="8">
        <f>Procurement_Raw!M1424</f>
        <v>392.70600000000002</v>
      </c>
      <c r="N1424" s="7">
        <f>Procurement_Raw!N1424</f>
        <v>1963.53</v>
      </c>
      <c r="O1424" s="7">
        <f t="shared" si="44"/>
        <v>1963.53</v>
      </c>
      <c r="P1424" t="str">
        <f>IFERROR(INDEX(Supplier_Lookup!$B$2:$B$200,MATCH(E1424,Supplier_Lookup!$A$2:$A$200,0)),"Unmapped")</f>
        <v>Agency Labour</v>
      </c>
      <c r="Q1424" s="10">
        <f>IFERROR(INDEX(Category_Targets!$B$2:$B$9,MATCH(F1424,Category_Targets!$A$2:$A$9,0)),0)</f>
        <v>7.0000000000000007E-2</v>
      </c>
      <c r="R1424" s="7">
        <f t="shared" si="45"/>
        <v>137.44710000000001</v>
      </c>
    </row>
    <row r="1425" spans="1:18" x14ac:dyDescent="0.25">
      <c r="A1425" s="5">
        <f>Procurement_Raw!A1425</f>
        <v>45707</v>
      </c>
      <c r="B1425" t="str">
        <f>Procurement_Raw!B1425</f>
        <v>S016</v>
      </c>
      <c r="C1425" t="str">
        <f>Procurement_Raw!C1425</f>
        <v>Cardiff Care &amp; Education Centre</v>
      </c>
      <c r="D1425" t="str">
        <f>Procurement_Raw!D1425</f>
        <v>Wales</v>
      </c>
      <c r="E1425" t="str">
        <f>Procurement_Raw!E1425</f>
        <v>CareTemps</v>
      </c>
      <c r="F1425" t="str">
        <f>Procurement_Raw!F1425</f>
        <v>Agency Labour</v>
      </c>
      <c r="G1425" t="str">
        <f>Procurement_Raw!G1425</f>
        <v>INV-2025-01424</v>
      </c>
      <c r="H1425" s="6">
        <f>Procurement_Raw!H1425</f>
        <v>80</v>
      </c>
      <c r="I1425" s="7">
        <f>Procurement_Raw!I1425</f>
        <v>189.09</v>
      </c>
      <c r="J1425" s="7">
        <f>Procurement_Raw!J1425</f>
        <v>15127.11</v>
      </c>
      <c r="K1425" s="6">
        <f>Procurement_Raw!K1425</f>
        <v>45</v>
      </c>
      <c r="L1425" t="str">
        <f>Procurement_Raw!L1425</f>
        <v>ERP</v>
      </c>
      <c r="M1425" s="8">
        <f>Procurement_Raw!M1425</f>
        <v>3025.422</v>
      </c>
      <c r="N1425" s="7">
        <f>Procurement_Raw!N1425</f>
        <v>15127.11</v>
      </c>
      <c r="O1425" s="7">
        <f t="shared" si="44"/>
        <v>15127.11</v>
      </c>
      <c r="P1425" t="str">
        <f>IFERROR(INDEX(Supplier_Lookup!$B$2:$B$200,MATCH(E1425,Supplier_Lookup!$A$2:$A$200,0)),"Unmapped")</f>
        <v>Agency Labour</v>
      </c>
      <c r="Q1425" s="10">
        <f>IFERROR(INDEX(Category_Targets!$B$2:$B$9,MATCH(F1425,Category_Targets!$A$2:$A$9,0)),0)</f>
        <v>7.0000000000000007E-2</v>
      </c>
      <c r="R1425" s="7">
        <f t="shared" si="45"/>
        <v>1058.8977000000002</v>
      </c>
    </row>
    <row r="1426" spans="1:18" x14ac:dyDescent="0.25">
      <c r="A1426" s="5">
        <f>Procurement_Raw!A1426</f>
        <v>45854</v>
      </c>
      <c r="B1426" t="str">
        <f>Procurement_Raw!B1426</f>
        <v>S008</v>
      </c>
      <c r="C1426" t="str">
        <f>Procurement_Raw!C1426</f>
        <v>Leicester Care &amp; Education Centre</v>
      </c>
      <c r="D1426" t="str">
        <f>Procurement_Raw!D1426</f>
        <v>Midlands</v>
      </c>
      <c r="E1426" t="str">
        <f>Procurement_Raw!E1426</f>
        <v>CareMed</v>
      </c>
      <c r="F1426" t="str">
        <f>Procurement_Raw!F1426</f>
        <v>Medical Supplies</v>
      </c>
      <c r="G1426" t="str">
        <f>Procurement_Raw!G1426</f>
        <v>INV-2025-01425</v>
      </c>
      <c r="H1426" s="6">
        <f>Procurement_Raw!H1426</f>
        <v>60</v>
      </c>
      <c r="I1426" s="7">
        <f>Procurement_Raw!I1426</f>
        <v>67.55</v>
      </c>
      <c r="J1426" s="7">
        <f>Procurement_Raw!J1426</f>
        <v>4052.91</v>
      </c>
      <c r="K1426" s="6">
        <f>Procurement_Raw!K1426</f>
        <v>45</v>
      </c>
      <c r="L1426" t="str">
        <f>Procurement_Raw!L1426</f>
        <v>Legacy Spend File</v>
      </c>
      <c r="M1426" s="8">
        <f>Procurement_Raw!M1426</f>
        <v>810.58199999999999</v>
      </c>
      <c r="N1426" s="7">
        <f>Procurement_Raw!N1426</f>
        <v>4052.91</v>
      </c>
      <c r="O1426" s="7">
        <f t="shared" si="44"/>
        <v>4052.91</v>
      </c>
      <c r="P1426" t="str">
        <f>IFERROR(INDEX(Supplier_Lookup!$B$2:$B$200,MATCH(E1426,Supplier_Lookup!$A$2:$A$200,0)),"Unmapped")</f>
        <v>Medical Supplies</v>
      </c>
      <c r="Q1426" s="10">
        <f>IFERROR(INDEX(Category_Targets!$B$2:$B$9,MATCH(F1426,Category_Targets!$A$2:$A$9,0)),0)</f>
        <v>0.06</v>
      </c>
      <c r="R1426" s="7">
        <f t="shared" si="45"/>
        <v>243.17459999999997</v>
      </c>
    </row>
    <row r="1427" spans="1:18" x14ac:dyDescent="0.25">
      <c r="A1427" s="5">
        <f>Procurement_Raw!A1427</f>
        <v>45991</v>
      </c>
      <c r="B1427" t="str">
        <f>Procurement_Raw!B1427</f>
        <v>S020</v>
      </c>
      <c r="C1427" t="str">
        <f>Procurement_Raw!C1427</f>
        <v>Bangor Care &amp; Education Centre</v>
      </c>
      <c r="D1427" t="str">
        <f>Procurement_Raw!D1427</f>
        <v>Wales</v>
      </c>
      <c r="E1427" t="str">
        <f>Procurement_Raw!E1427</f>
        <v>NourishCo</v>
      </c>
      <c r="F1427" t="str">
        <f>Procurement_Raw!F1427</f>
        <v>Food &amp; Catering</v>
      </c>
      <c r="G1427" t="str">
        <f>Procurement_Raw!G1427</f>
        <v>INV-2025-01426</v>
      </c>
      <c r="H1427" s="6">
        <f>Procurement_Raw!H1427</f>
        <v>4</v>
      </c>
      <c r="I1427" s="7">
        <f>Procurement_Raw!I1427</f>
        <v>22.04</v>
      </c>
      <c r="J1427" s="7">
        <f>Procurement_Raw!J1427</f>
        <v>88.16</v>
      </c>
      <c r="K1427" s="6">
        <f>Procurement_Raw!K1427</f>
        <v>45</v>
      </c>
      <c r="L1427" t="str">
        <f>Procurement_Raw!L1427</f>
        <v>Legacy Spend File</v>
      </c>
      <c r="M1427" s="8">
        <f>Procurement_Raw!M1427</f>
        <v>17.632000000000001</v>
      </c>
      <c r="N1427" s="7">
        <f>Procurement_Raw!N1427</f>
        <v>88.16</v>
      </c>
      <c r="O1427" s="7">
        <f t="shared" si="44"/>
        <v>88.16</v>
      </c>
      <c r="P1427" t="str">
        <f>IFERROR(INDEX(Supplier_Lookup!$B$2:$B$200,MATCH(E1427,Supplier_Lookup!$A$2:$A$200,0)),"Unmapped")</f>
        <v>Food &amp; Catering</v>
      </c>
      <c r="Q1427" s="10">
        <f>IFERROR(INDEX(Category_Targets!$B$2:$B$9,MATCH(F1427,Category_Targets!$A$2:$A$9,0)),0)</f>
        <v>0.04</v>
      </c>
      <c r="R1427" s="7">
        <f t="shared" si="45"/>
        <v>3.5263999999999998</v>
      </c>
    </row>
    <row r="1428" spans="1:18" x14ac:dyDescent="0.25">
      <c r="A1428" s="5">
        <f>Procurement_Raw!A1428</f>
        <v>45710</v>
      </c>
      <c r="B1428" t="str">
        <f>Procurement_Raw!B1428</f>
        <v>S002</v>
      </c>
      <c r="C1428" t="str">
        <f>Procurement_Raw!C1428</f>
        <v>Manchester Care &amp; Education Centre</v>
      </c>
      <c r="D1428" t="str">
        <f>Procurement_Raw!D1428</f>
        <v>North</v>
      </c>
      <c r="E1428" t="str">
        <f>Procurement_Raw!E1428</f>
        <v>UK Energy Partners</v>
      </c>
      <c r="F1428" t="str">
        <f>Procurement_Raw!F1428</f>
        <v>Utilities</v>
      </c>
      <c r="G1428" t="str">
        <f>Procurement_Raw!G1428</f>
        <v>INV-2025-01427</v>
      </c>
      <c r="H1428" s="6">
        <f>Procurement_Raw!H1428</f>
        <v>2</v>
      </c>
      <c r="I1428" s="7">
        <f>Procurement_Raw!I1428</f>
        <v>774.62</v>
      </c>
      <c r="J1428" s="7">
        <f>Procurement_Raw!J1428</f>
        <v>1549.24</v>
      </c>
      <c r="K1428" s="6">
        <f>Procurement_Raw!K1428</f>
        <v>60</v>
      </c>
      <c r="L1428" t="str">
        <f>Procurement_Raw!L1428</f>
        <v>Legacy Spend File</v>
      </c>
      <c r="M1428" s="8">
        <f>Procurement_Raw!M1428</f>
        <v>309.84800000000001</v>
      </c>
      <c r="N1428" s="7">
        <f>Procurement_Raw!N1428</f>
        <v>1549.24</v>
      </c>
      <c r="O1428" s="7">
        <f t="shared" si="44"/>
        <v>1549.24</v>
      </c>
      <c r="P1428" t="str">
        <f>IFERROR(INDEX(Supplier_Lookup!$B$2:$B$200,MATCH(E1428,Supplier_Lookup!$A$2:$A$200,0)),"Unmapped")</f>
        <v>Utilities</v>
      </c>
      <c r="Q1428" s="10">
        <f>IFERROR(INDEX(Category_Targets!$B$2:$B$9,MATCH(F1428,Category_Targets!$A$2:$A$9,0)),0)</f>
        <v>0.03</v>
      </c>
      <c r="R1428" s="7">
        <f t="shared" si="45"/>
        <v>46.477199999999996</v>
      </c>
    </row>
    <row r="1429" spans="1:18" x14ac:dyDescent="0.25">
      <c r="A1429" s="5">
        <f>Procurement_Raw!A1429</f>
        <v>45722</v>
      </c>
      <c r="B1429" t="str">
        <f>Procurement_Raw!B1429</f>
        <v>S012</v>
      </c>
      <c r="C1429" t="str">
        <f>Procurement_Raw!C1429</f>
        <v>Bristol Care &amp; Education Centre</v>
      </c>
      <c r="D1429" t="str">
        <f>Procurement_Raw!D1429</f>
        <v>South</v>
      </c>
      <c r="E1429" t="str">
        <f>Procurement_Raw!E1429</f>
        <v>PowerDirect</v>
      </c>
      <c r="F1429" t="str">
        <f>Procurement_Raw!F1429</f>
        <v>Utilities</v>
      </c>
      <c r="G1429" t="str">
        <f>Procurement_Raw!G1429</f>
        <v>INV-2025-01428</v>
      </c>
      <c r="H1429" s="6">
        <f>Procurement_Raw!H1429</f>
        <v>66</v>
      </c>
      <c r="I1429" s="7">
        <f>Procurement_Raw!I1429</f>
        <v>136.28</v>
      </c>
      <c r="J1429" s="7">
        <f>Procurement_Raw!J1429</f>
        <v>8994.34</v>
      </c>
      <c r="K1429" s="6">
        <f>Procurement_Raw!K1429</f>
        <v>45</v>
      </c>
      <c r="L1429" t="str">
        <f>Procurement_Raw!L1429</f>
        <v>Procurement Portal</v>
      </c>
      <c r="M1429" s="8">
        <f>Procurement_Raw!M1429</f>
        <v>1798.8679999999999</v>
      </c>
      <c r="N1429" s="7">
        <f>Procurement_Raw!N1429</f>
        <v>8994.34</v>
      </c>
      <c r="O1429" s="7">
        <f t="shared" si="44"/>
        <v>8994.34</v>
      </c>
      <c r="P1429" t="str">
        <f>IFERROR(INDEX(Supplier_Lookup!$B$2:$B$200,MATCH(E1429,Supplier_Lookup!$A$2:$A$200,0)),"Unmapped")</f>
        <v>Utilities</v>
      </c>
      <c r="Q1429" s="10">
        <f>IFERROR(INDEX(Category_Targets!$B$2:$B$9,MATCH(F1429,Category_Targets!$A$2:$A$9,0)),0)</f>
        <v>0.03</v>
      </c>
      <c r="R1429" s="7">
        <f t="shared" si="45"/>
        <v>269.83019999999999</v>
      </c>
    </row>
    <row r="1430" spans="1:18" x14ac:dyDescent="0.25">
      <c r="A1430" s="5">
        <f>Procurement_Raw!A1430</f>
        <v>45975</v>
      </c>
      <c r="B1430" t="str">
        <f>Procurement_Raw!B1430</f>
        <v>S010</v>
      </c>
      <c r="C1430" t="str">
        <f>Procurement_Raw!C1430</f>
        <v>Coventry Care &amp; Education Centre</v>
      </c>
      <c r="D1430" t="str">
        <f>Procurement_Raw!D1430</f>
        <v>Midlands</v>
      </c>
      <c r="E1430" t="str">
        <f>Procurement_Raw!E1430</f>
        <v>PrintCo</v>
      </c>
      <c r="F1430" t="str">
        <f>Procurement_Raw!F1430</f>
        <v>Office &amp; Training</v>
      </c>
      <c r="G1430" t="str">
        <f>Procurement_Raw!G1430</f>
        <v>INV-2025-01429</v>
      </c>
      <c r="H1430" s="6">
        <f>Procurement_Raw!H1430</f>
        <v>57</v>
      </c>
      <c r="I1430" s="7">
        <f>Procurement_Raw!I1430</f>
        <v>66.41</v>
      </c>
      <c r="J1430" s="7">
        <f>Procurement_Raw!J1430</f>
        <v>3785.18</v>
      </c>
      <c r="K1430" s="6">
        <f>Procurement_Raw!K1430</f>
        <v>30</v>
      </c>
      <c r="L1430" t="str">
        <f>Procurement_Raw!L1430</f>
        <v>ERP</v>
      </c>
      <c r="M1430" s="8">
        <f>Procurement_Raw!M1430</f>
        <v>757.03599999999994</v>
      </c>
      <c r="N1430" s="7">
        <f>Procurement_Raw!N1430</f>
        <v>3785.18</v>
      </c>
      <c r="O1430" s="7">
        <f t="shared" si="44"/>
        <v>3785.18</v>
      </c>
      <c r="P1430" t="str">
        <f>IFERROR(INDEX(Supplier_Lookup!$B$2:$B$200,MATCH(E1430,Supplier_Lookup!$A$2:$A$200,0)),"Unmapped")</f>
        <v>Office &amp; Training</v>
      </c>
      <c r="Q1430" s="10">
        <f>IFERROR(INDEX(Category_Targets!$B$2:$B$9,MATCH(F1430,Category_Targets!$A$2:$A$9,0)),0)</f>
        <v>0.04</v>
      </c>
      <c r="R1430" s="7">
        <f t="shared" si="45"/>
        <v>151.40719999999999</v>
      </c>
    </row>
    <row r="1431" spans="1:18" x14ac:dyDescent="0.25">
      <c r="A1431" s="5">
        <f>Procurement_Raw!A1431</f>
        <v>45723</v>
      </c>
      <c r="B1431" t="str">
        <f>Procurement_Raw!B1431</f>
        <v>S018</v>
      </c>
      <c r="C1431" t="str">
        <f>Procurement_Raw!C1431</f>
        <v>Newport Care &amp; Education Centre</v>
      </c>
      <c r="D1431" t="str">
        <f>Procurement_Raw!D1431</f>
        <v>Wales</v>
      </c>
      <c r="E1431" t="str">
        <f>Procurement_Raw!E1431</f>
        <v>MediSure</v>
      </c>
      <c r="F1431" t="str">
        <f>Procurement_Raw!F1431</f>
        <v>Medical Supplies</v>
      </c>
      <c r="G1431" t="str">
        <f>Procurement_Raw!G1431</f>
        <v>INV-2025-01430</v>
      </c>
      <c r="H1431" s="6">
        <f>Procurement_Raw!H1431</f>
        <v>40</v>
      </c>
      <c r="I1431" s="7">
        <f>Procurement_Raw!I1431</f>
        <v>103.05</v>
      </c>
      <c r="J1431" s="7">
        <f>Procurement_Raw!J1431</f>
        <v>4122.12</v>
      </c>
      <c r="K1431" s="6">
        <f>Procurement_Raw!K1431</f>
        <v>60</v>
      </c>
      <c r="L1431" t="str">
        <f>Procurement_Raw!L1431</f>
        <v>Procurement Portal</v>
      </c>
      <c r="M1431" s="8">
        <f>Procurement_Raw!M1431</f>
        <v>824.42399999999998</v>
      </c>
      <c r="N1431" s="7">
        <f>Procurement_Raw!N1431</f>
        <v>4122.12</v>
      </c>
      <c r="O1431" s="7">
        <f t="shared" si="44"/>
        <v>4122.12</v>
      </c>
      <c r="P1431" t="str">
        <f>IFERROR(INDEX(Supplier_Lookup!$B$2:$B$200,MATCH(E1431,Supplier_Lookup!$A$2:$A$200,0)),"Unmapped")</f>
        <v>Medical Supplies</v>
      </c>
      <c r="Q1431" s="10">
        <f>IFERROR(INDEX(Category_Targets!$B$2:$B$9,MATCH(F1431,Category_Targets!$A$2:$A$9,0)),0)</f>
        <v>0.06</v>
      </c>
      <c r="R1431" s="7">
        <f t="shared" si="45"/>
        <v>247.32719999999998</v>
      </c>
    </row>
    <row r="1432" spans="1:18" x14ac:dyDescent="0.25">
      <c r="A1432" s="5">
        <f>Procurement_Raw!A1432</f>
        <v>45956</v>
      </c>
      <c r="B1432" t="str">
        <f>Procurement_Raw!B1432</f>
        <v>S001</v>
      </c>
      <c r="C1432" t="str">
        <f>Procurement_Raw!C1432</f>
        <v>Preston Care &amp; Education Centre</v>
      </c>
      <c r="D1432" t="str">
        <f>Procurement_Raw!D1432</f>
        <v>North</v>
      </c>
      <c r="E1432" t="str">
        <f>Procurement_Raw!E1432</f>
        <v>RoadReady</v>
      </c>
      <c r="F1432" t="str">
        <f>Procurement_Raw!F1432</f>
        <v>Vehicle &amp; Fuel</v>
      </c>
      <c r="G1432" t="str">
        <f>Procurement_Raw!G1432</f>
        <v>INV-2025-01431</v>
      </c>
      <c r="H1432" s="6">
        <f>Procurement_Raw!H1432</f>
        <v>70</v>
      </c>
      <c r="I1432" s="7">
        <f>Procurement_Raw!I1432</f>
        <v>112.5</v>
      </c>
      <c r="J1432" s="7">
        <f>Procurement_Raw!J1432</f>
        <v>7874.98</v>
      </c>
      <c r="K1432" s="6">
        <f>Procurement_Raw!K1432</f>
        <v>30</v>
      </c>
      <c r="L1432" t="str">
        <f>Procurement_Raw!L1432</f>
        <v>ERP</v>
      </c>
      <c r="M1432" s="8">
        <f>Procurement_Raw!M1432</f>
        <v>1574.9960000000001</v>
      </c>
      <c r="N1432" s="7">
        <f>Procurement_Raw!N1432</f>
        <v>7874.98</v>
      </c>
      <c r="O1432" s="7">
        <f t="shared" si="44"/>
        <v>7874.98</v>
      </c>
      <c r="P1432" t="str">
        <f>IFERROR(INDEX(Supplier_Lookup!$B$2:$B$200,MATCH(E1432,Supplier_Lookup!$A$2:$A$200,0)),"Unmapped")</f>
        <v>Vehicle &amp; Fuel</v>
      </c>
      <c r="Q1432" s="10">
        <f>IFERROR(INDEX(Category_Targets!$B$2:$B$9,MATCH(F1432,Category_Targets!$A$2:$A$9,0)),0)</f>
        <v>0.05</v>
      </c>
      <c r="R1432" s="7">
        <f t="shared" si="45"/>
        <v>393.74900000000002</v>
      </c>
    </row>
    <row r="1433" spans="1:18" x14ac:dyDescent="0.25">
      <c r="A1433" s="5">
        <f>Procurement_Raw!A1433</f>
        <v>45833</v>
      </c>
      <c r="B1433" t="str">
        <f>Procurement_Raw!B1433</f>
        <v>S007</v>
      </c>
      <c r="C1433" t="str">
        <f>Procurement_Raw!C1433</f>
        <v>Nottingham Care &amp; Education Centre</v>
      </c>
      <c r="D1433" t="str">
        <f>Procurement_Raw!D1433</f>
        <v>Midlands</v>
      </c>
      <c r="E1433" t="str">
        <f>Procurement_Raw!E1433</f>
        <v>NetServe</v>
      </c>
      <c r="F1433" t="str">
        <f>Procurement_Raw!F1433</f>
        <v>IT &amp; Telecoms</v>
      </c>
      <c r="G1433" t="str">
        <f>Procurement_Raw!G1433</f>
        <v>INV-2025-01432</v>
      </c>
      <c r="H1433" s="6">
        <f>Procurement_Raw!H1433</f>
        <v>38</v>
      </c>
      <c r="I1433" s="7">
        <f>Procurement_Raw!I1433</f>
        <v>344.57</v>
      </c>
      <c r="J1433" s="7">
        <f>Procurement_Raw!J1433</f>
        <v>13093.47</v>
      </c>
      <c r="K1433" s="6">
        <f>Procurement_Raw!K1433</f>
        <v>45</v>
      </c>
      <c r="L1433" t="str">
        <f>Procurement_Raw!L1433</f>
        <v>ERP</v>
      </c>
      <c r="M1433" s="8">
        <f>Procurement_Raw!M1433</f>
        <v>2618.694</v>
      </c>
      <c r="N1433" s="7">
        <f>Procurement_Raw!N1433</f>
        <v>13093.47</v>
      </c>
      <c r="O1433" s="7">
        <f t="shared" si="44"/>
        <v>13093.47</v>
      </c>
      <c r="P1433" t="str">
        <f>IFERROR(INDEX(Supplier_Lookup!$B$2:$B$200,MATCH(E1433,Supplier_Lookup!$A$2:$A$200,0)),"Unmapped")</f>
        <v>IT &amp; Telecoms</v>
      </c>
      <c r="Q1433" s="10">
        <f>IFERROR(INDEX(Category_Targets!$B$2:$B$9,MATCH(F1433,Category_Targets!$A$2:$A$9,0)),0)</f>
        <v>0.08</v>
      </c>
      <c r="R1433" s="7">
        <f t="shared" si="45"/>
        <v>1047.4775999999999</v>
      </c>
    </row>
    <row r="1434" spans="1:18" x14ac:dyDescent="0.25">
      <c r="A1434" s="5">
        <f>Procurement_Raw!A1434</f>
        <v>45779</v>
      </c>
      <c r="B1434" t="str">
        <f>Procurement_Raw!B1434</f>
        <v>S016</v>
      </c>
      <c r="C1434" t="str">
        <f>Procurement_Raw!C1434</f>
        <v>Cardiff Care &amp; Education Centre</v>
      </c>
      <c r="D1434" t="str">
        <f>Procurement_Raw!D1434</f>
        <v>Wales</v>
      </c>
      <c r="E1434" t="str">
        <f>Procurement_Raw!E1434</f>
        <v>CleanWorks</v>
      </c>
      <c r="F1434" t="str">
        <f>Procurement_Raw!F1434</f>
        <v>Facilities</v>
      </c>
      <c r="G1434" t="str">
        <f>Procurement_Raw!G1434</f>
        <v>INV-2025-01433</v>
      </c>
      <c r="H1434" s="6">
        <f>Procurement_Raw!H1434</f>
        <v>65</v>
      </c>
      <c r="I1434" s="7">
        <f>Procurement_Raw!I1434</f>
        <v>288.94</v>
      </c>
      <c r="J1434" s="7">
        <f>Procurement_Raw!J1434</f>
        <v>18781.07</v>
      </c>
      <c r="K1434" s="6">
        <f>Procurement_Raw!K1434</f>
        <v>60</v>
      </c>
      <c r="L1434" t="str">
        <f>Procurement_Raw!L1434</f>
        <v>ERP</v>
      </c>
      <c r="M1434" s="8">
        <f>Procurement_Raw!M1434</f>
        <v>3756.2139999999999</v>
      </c>
      <c r="N1434" s="7">
        <f>Procurement_Raw!N1434</f>
        <v>18781.07</v>
      </c>
      <c r="O1434" s="7">
        <f t="shared" si="44"/>
        <v>18781.07</v>
      </c>
      <c r="P1434" t="str">
        <f>IFERROR(INDEX(Supplier_Lookup!$B$2:$B$200,MATCH(E1434,Supplier_Lookup!$A$2:$A$200,0)),"Unmapped")</f>
        <v>Facilities</v>
      </c>
      <c r="Q1434" s="10">
        <f>IFERROR(INDEX(Category_Targets!$B$2:$B$9,MATCH(F1434,Category_Targets!$A$2:$A$9,0)),0)</f>
        <v>0.05</v>
      </c>
      <c r="R1434" s="7">
        <f t="shared" si="45"/>
        <v>939.05349999999999</v>
      </c>
    </row>
    <row r="1435" spans="1:18" x14ac:dyDescent="0.25">
      <c r="A1435" s="5">
        <f>Procurement_Raw!A1435</f>
        <v>45760</v>
      </c>
      <c r="B1435" t="str">
        <f>Procurement_Raw!B1435</f>
        <v>S003</v>
      </c>
      <c r="C1435" t="str">
        <f>Procurement_Raw!C1435</f>
        <v>Leeds Care &amp; Education Centre</v>
      </c>
      <c r="D1435" t="str">
        <f>Procurement_Raw!D1435</f>
        <v>North</v>
      </c>
      <c r="E1435" t="str">
        <f>Procurement_Raw!E1435</f>
        <v>FleetFuel</v>
      </c>
      <c r="F1435" t="str">
        <f>Procurement_Raw!F1435</f>
        <v>Vehicle &amp; Fuel</v>
      </c>
      <c r="G1435" t="str">
        <f>Procurement_Raw!G1435</f>
        <v>INV-2025-01434</v>
      </c>
      <c r="H1435" s="6">
        <f>Procurement_Raw!H1435</f>
        <v>26</v>
      </c>
      <c r="I1435" s="7">
        <f>Procurement_Raw!I1435</f>
        <v>68.94</v>
      </c>
      <c r="J1435" s="7">
        <f>Procurement_Raw!J1435</f>
        <v>1792.35</v>
      </c>
      <c r="K1435" s="6">
        <f>Procurement_Raw!K1435</f>
        <v>30</v>
      </c>
      <c r="L1435" t="str">
        <f>Procurement_Raw!L1435</f>
        <v>Procurement Portal</v>
      </c>
      <c r="M1435" s="8">
        <f>Procurement_Raw!M1435</f>
        <v>358.47</v>
      </c>
      <c r="N1435" s="7">
        <f>Procurement_Raw!N1435</f>
        <v>1792.35</v>
      </c>
      <c r="O1435" s="7">
        <f t="shared" si="44"/>
        <v>1792.35</v>
      </c>
      <c r="P1435" t="str">
        <f>IFERROR(INDEX(Supplier_Lookup!$B$2:$B$200,MATCH(E1435,Supplier_Lookup!$A$2:$A$200,0)),"Unmapped")</f>
        <v>Vehicle &amp; Fuel</v>
      </c>
      <c r="Q1435" s="10">
        <f>IFERROR(INDEX(Category_Targets!$B$2:$B$9,MATCH(F1435,Category_Targets!$A$2:$A$9,0)),0)</f>
        <v>0.05</v>
      </c>
      <c r="R1435" s="7">
        <f t="shared" si="45"/>
        <v>89.617500000000007</v>
      </c>
    </row>
    <row r="1436" spans="1:18" x14ac:dyDescent="0.25">
      <c r="A1436" s="5">
        <f>Procurement_Raw!A1436</f>
        <v>46012</v>
      </c>
      <c r="B1436" t="str">
        <f>Procurement_Raw!B1436</f>
        <v>S013</v>
      </c>
      <c r="C1436" t="str">
        <f>Procurement_Raw!C1436</f>
        <v>Reading Care &amp; Education Centre</v>
      </c>
      <c r="D1436" t="str">
        <f>Procurement_Raw!D1436</f>
        <v>South</v>
      </c>
      <c r="E1436" t="str">
        <f>Procurement_Raw!E1436</f>
        <v>PrintCo</v>
      </c>
      <c r="F1436" t="str">
        <f>Procurement_Raw!F1436</f>
        <v>Office &amp; Training</v>
      </c>
      <c r="G1436" t="str">
        <f>Procurement_Raw!G1436</f>
        <v>INV-2025-01435</v>
      </c>
      <c r="H1436" s="6">
        <f>Procurement_Raw!H1436</f>
        <v>60</v>
      </c>
      <c r="I1436" s="7">
        <f>Procurement_Raw!I1436</f>
        <v>68.41</v>
      </c>
      <c r="J1436" s="7">
        <f>Procurement_Raw!J1436</f>
        <v>4104.8100000000004</v>
      </c>
      <c r="K1436" s="6">
        <f>Procurement_Raw!K1436</f>
        <v>60</v>
      </c>
      <c r="L1436" t="str">
        <f>Procurement_Raw!L1436</f>
        <v>Legacy Spend File</v>
      </c>
      <c r="M1436" s="8">
        <f>Procurement_Raw!M1436</f>
        <v>820.96199999999999</v>
      </c>
      <c r="N1436" s="7">
        <f>Procurement_Raw!N1436</f>
        <v>4104.8100000000004</v>
      </c>
      <c r="O1436" s="7">
        <f t="shared" si="44"/>
        <v>4104.8100000000004</v>
      </c>
      <c r="P1436" t="str">
        <f>IFERROR(INDEX(Supplier_Lookup!$B$2:$B$200,MATCH(E1436,Supplier_Lookup!$A$2:$A$200,0)),"Unmapped")</f>
        <v>Office &amp; Training</v>
      </c>
      <c r="Q1436" s="10">
        <f>IFERROR(INDEX(Category_Targets!$B$2:$B$9,MATCH(F1436,Category_Targets!$A$2:$A$9,0)),0)</f>
        <v>0.04</v>
      </c>
      <c r="R1436" s="7">
        <f t="shared" si="45"/>
        <v>164.19240000000002</v>
      </c>
    </row>
    <row r="1437" spans="1:18" x14ac:dyDescent="0.25">
      <c r="A1437" s="5">
        <f>Procurement_Raw!A1437</f>
        <v>45811</v>
      </c>
      <c r="B1437" t="str">
        <f>Procurement_Raw!B1437</f>
        <v>S006</v>
      </c>
      <c r="C1437" t="str">
        <f>Procurement_Raw!C1437</f>
        <v>Birmingham Care &amp; Education Centre</v>
      </c>
      <c r="D1437" t="str">
        <f>Procurement_Raw!D1437</f>
        <v>Midlands</v>
      </c>
      <c r="E1437" t="str">
        <f>Procurement_Raw!E1437</f>
        <v>AutoCare</v>
      </c>
      <c r="F1437" t="str">
        <f>Procurement_Raw!F1437</f>
        <v>Vehicle &amp; Fuel</v>
      </c>
      <c r="G1437" t="str">
        <f>Procurement_Raw!G1437</f>
        <v>INV-2025-01436</v>
      </c>
      <c r="H1437" s="6">
        <f>Procurement_Raw!H1437</f>
        <v>54</v>
      </c>
      <c r="I1437" s="7">
        <f>Procurement_Raw!I1437</f>
        <v>110.97</v>
      </c>
      <c r="J1437" s="7">
        <f>Procurement_Raw!J1437</f>
        <v>5992.6</v>
      </c>
      <c r="K1437" s="6">
        <f>Procurement_Raw!K1437</f>
        <v>45</v>
      </c>
      <c r="L1437" t="str">
        <f>Procurement_Raw!L1437</f>
        <v>ERP</v>
      </c>
      <c r="M1437" s="8">
        <f>Procurement_Raw!M1437</f>
        <v>1198.52</v>
      </c>
      <c r="N1437" s="7">
        <f>Procurement_Raw!N1437</f>
        <v>5992.6</v>
      </c>
      <c r="O1437" s="7">
        <f t="shared" si="44"/>
        <v>5992.6</v>
      </c>
      <c r="P1437" t="str">
        <f>IFERROR(INDEX(Supplier_Lookup!$B$2:$B$200,MATCH(E1437,Supplier_Lookup!$A$2:$A$200,0)),"Unmapped")</f>
        <v>Vehicle &amp; Fuel</v>
      </c>
      <c r="Q1437" s="10">
        <f>IFERROR(INDEX(Category_Targets!$B$2:$B$9,MATCH(F1437,Category_Targets!$A$2:$A$9,0)),0)</f>
        <v>0.05</v>
      </c>
      <c r="R1437" s="7">
        <f t="shared" si="45"/>
        <v>299.63000000000005</v>
      </c>
    </row>
    <row r="1438" spans="1:18" x14ac:dyDescent="0.25">
      <c r="A1438" s="5">
        <f>Procurement_Raw!A1438</f>
        <v>45911</v>
      </c>
      <c r="B1438" t="str">
        <f>Procurement_Raw!B1438</f>
        <v>S009</v>
      </c>
      <c r="C1438" t="str">
        <f>Procurement_Raw!C1438</f>
        <v>Derby Care &amp; Education Centre</v>
      </c>
      <c r="D1438" t="str">
        <f>Procurement_Raw!D1438</f>
        <v>Midlands</v>
      </c>
      <c r="E1438" t="str">
        <f>Procurement_Raw!E1438</f>
        <v>OfficePlus</v>
      </c>
      <c r="F1438" t="str">
        <f>Procurement_Raw!F1438</f>
        <v>Office &amp; Training</v>
      </c>
      <c r="G1438" t="str">
        <f>Procurement_Raw!G1438</f>
        <v>INV-2025-01437</v>
      </c>
      <c r="H1438" s="6">
        <f>Procurement_Raw!H1438</f>
        <v>29</v>
      </c>
      <c r="I1438" s="7">
        <f>Procurement_Raw!I1438</f>
        <v>65.41</v>
      </c>
      <c r="J1438" s="7">
        <f>Procurement_Raw!J1438</f>
        <v>1896.95</v>
      </c>
      <c r="K1438" s="6">
        <f>Procurement_Raw!K1438</f>
        <v>30</v>
      </c>
      <c r="L1438" t="str">
        <f>Procurement_Raw!L1438</f>
        <v>Legacy Spend File</v>
      </c>
      <c r="M1438" s="8">
        <f>Procurement_Raw!M1438</f>
        <v>379.39</v>
      </c>
      <c r="N1438" s="7">
        <f>Procurement_Raw!N1438</f>
        <v>1896.95</v>
      </c>
      <c r="O1438" s="7">
        <f t="shared" si="44"/>
        <v>1896.95</v>
      </c>
      <c r="P1438" t="str">
        <f>IFERROR(INDEX(Supplier_Lookup!$B$2:$B$200,MATCH(E1438,Supplier_Lookup!$A$2:$A$200,0)),"Unmapped")</f>
        <v>Office &amp; Training</v>
      </c>
      <c r="Q1438" s="10">
        <f>IFERROR(INDEX(Category_Targets!$B$2:$B$9,MATCH(F1438,Category_Targets!$A$2:$A$9,0)),0)</f>
        <v>0.04</v>
      </c>
      <c r="R1438" s="7">
        <f t="shared" si="45"/>
        <v>75.878</v>
      </c>
    </row>
    <row r="1439" spans="1:18" x14ac:dyDescent="0.25">
      <c r="A1439" s="5">
        <f>Procurement_Raw!A1439</f>
        <v>45977</v>
      </c>
      <c r="B1439" t="str">
        <f>Procurement_Raw!B1439</f>
        <v>S017</v>
      </c>
      <c r="C1439" t="str">
        <f>Procurement_Raw!C1439</f>
        <v>Swansea Care &amp; Education Centre</v>
      </c>
      <c r="D1439" t="str">
        <f>Procurement_Raw!D1439</f>
        <v>Wales</v>
      </c>
      <c r="E1439" t="str">
        <f>Procurement_Raw!E1439</f>
        <v>WaterGrid</v>
      </c>
      <c r="F1439" t="str">
        <f>Procurement_Raw!F1439</f>
        <v>Utilities</v>
      </c>
      <c r="G1439" t="str">
        <f>Procurement_Raw!G1439</f>
        <v>INV-2025-01438</v>
      </c>
      <c r="H1439" s="6">
        <f>Procurement_Raw!H1439</f>
        <v>28</v>
      </c>
      <c r="I1439" s="7">
        <f>Procurement_Raw!I1439</f>
        <v>605.16</v>
      </c>
      <c r="J1439" s="7">
        <f>Procurement_Raw!J1439</f>
        <v>16944.62</v>
      </c>
      <c r="K1439" s="6">
        <f>Procurement_Raw!K1439</f>
        <v>30</v>
      </c>
      <c r="L1439" t="str">
        <f>Procurement_Raw!L1439</f>
        <v>Procurement Portal</v>
      </c>
      <c r="M1439" s="8">
        <f>Procurement_Raw!M1439</f>
        <v>3388.924</v>
      </c>
      <c r="N1439" s="7">
        <f>Procurement_Raw!N1439</f>
        <v>16944.62</v>
      </c>
      <c r="O1439" s="7">
        <f t="shared" si="44"/>
        <v>16944.62</v>
      </c>
      <c r="P1439" t="str">
        <f>IFERROR(INDEX(Supplier_Lookup!$B$2:$B$200,MATCH(E1439,Supplier_Lookup!$A$2:$A$200,0)),"Unmapped")</f>
        <v>Utilities</v>
      </c>
      <c r="Q1439" s="10">
        <f>IFERROR(INDEX(Category_Targets!$B$2:$B$9,MATCH(F1439,Category_Targets!$A$2:$A$9,0)),0)</f>
        <v>0.03</v>
      </c>
      <c r="R1439" s="7">
        <f t="shared" si="45"/>
        <v>508.33859999999993</v>
      </c>
    </row>
    <row r="1440" spans="1:18" x14ac:dyDescent="0.25">
      <c r="A1440" s="5">
        <f>Procurement_Raw!A1440</f>
        <v>45850</v>
      </c>
      <c r="B1440" t="str">
        <f>Procurement_Raw!B1440</f>
        <v>S007</v>
      </c>
      <c r="C1440" t="str">
        <f>Procurement_Raw!C1440</f>
        <v>Nottingham Care &amp; Education Centre</v>
      </c>
      <c r="D1440" t="str">
        <f>Procurement_Raw!D1440</f>
        <v>Midlands</v>
      </c>
      <c r="E1440" t="str">
        <f>Procurement_Raw!E1440</f>
        <v>AutoCare</v>
      </c>
      <c r="F1440" t="str">
        <f>Procurement_Raw!F1440</f>
        <v>Vehicle &amp; Fuel</v>
      </c>
      <c r="G1440" t="str">
        <f>Procurement_Raw!G1440</f>
        <v>INV-2025-01439</v>
      </c>
      <c r="H1440" s="6">
        <f>Procurement_Raw!H1440</f>
        <v>27</v>
      </c>
      <c r="I1440" s="7">
        <f>Procurement_Raw!I1440</f>
        <v>124.45</v>
      </c>
      <c r="J1440" s="7">
        <f>Procurement_Raw!J1440</f>
        <v>3360.18</v>
      </c>
      <c r="K1440" s="6">
        <f>Procurement_Raw!K1440</f>
        <v>45</v>
      </c>
      <c r="L1440" t="str">
        <f>Procurement_Raw!L1440</f>
        <v>ERP</v>
      </c>
      <c r="M1440" s="8">
        <f>Procurement_Raw!M1440</f>
        <v>672.03599999999994</v>
      </c>
      <c r="N1440" s="7">
        <f>Procurement_Raw!N1440</f>
        <v>3360.18</v>
      </c>
      <c r="O1440" s="7">
        <f t="shared" si="44"/>
        <v>3360.18</v>
      </c>
      <c r="P1440" t="str">
        <f>IFERROR(INDEX(Supplier_Lookup!$B$2:$B$200,MATCH(E1440,Supplier_Lookup!$A$2:$A$200,0)),"Unmapped")</f>
        <v>Vehicle &amp; Fuel</v>
      </c>
      <c r="Q1440" s="10">
        <f>IFERROR(INDEX(Category_Targets!$B$2:$B$9,MATCH(F1440,Category_Targets!$A$2:$A$9,0)),0)</f>
        <v>0.05</v>
      </c>
      <c r="R1440" s="7">
        <f t="shared" si="45"/>
        <v>168.00900000000001</v>
      </c>
    </row>
    <row r="1441" spans="1:18" x14ac:dyDescent="0.25">
      <c r="A1441" s="5">
        <f>Procurement_Raw!A1441</f>
        <v>45695</v>
      </c>
      <c r="B1441" t="str">
        <f>Procurement_Raw!B1441</f>
        <v>S014</v>
      </c>
      <c r="C1441" t="str">
        <f>Procurement_Raw!C1441</f>
        <v>Southampton Care &amp; Education Centre</v>
      </c>
      <c r="D1441" t="str">
        <f>Procurement_Raw!D1441</f>
        <v>South</v>
      </c>
      <c r="E1441" t="str">
        <f>Procurement_Raw!E1441</f>
        <v>FleetFuel</v>
      </c>
      <c r="F1441" t="str">
        <f>Procurement_Raw!F1441</f>
        <v>Vehicle &amp; Fuel</v>
      </c>
      <c r="G1441" t="str">
        <f>Procurement_Raw!G1441</f>
        <v>INV-2025-01440</v>
      </c>
      <c r="H1441" s="6">
        <f>Procurement_Raw!H1441</f>
        <v>46</v>
      </c>
      <c r="I1441" s="7">
        <f>Procurement_Raw!I1441</f>
        <v>142.32</v>
      </c>
      <c r="J1441" s="7">
        <f>Procurement_Raw!J1441</f>
        <v>6546.6</v>
      </c>
      <c r="K1441" s="6">
        <f>Procurement_Raw!K1441</f>
        <v>30</v>
      </c>
      <c r="L1441" t="str">
        <f>Procurement_Raw!L1441</f>
        <v>Legacy Spend File</v>
      </c>
      <c r="M1441" s="8">
        <f>Procurement_Raw!M1441</f>
        <v>1309.32</v>
      </c>
      <c r="N1441" s="7">
        <f>Procurement_Raw!N1441</f>
        <v>6546.6</v>
      </c>
      <c r="O1441" s="7">
        <f t="shared" si="44"/>
        <v>6546.6</v>
      </c>
      <c r="P1441" t="str">
        <f>IFERROR(INDEX(Supplier_Lookup!$B$2:$B$200,MATCH(E1441,Supplier_Lookup!$A$2:$A$200,0)),"Unmapped")</f>
        <v>Vehicle &amp; Fuel</v>
      </c>
      <c r="Q1441" s="10">
        <f>IFERROR(INDEX(Category_Targets!$B$2:$B$9,MATCH(F1441,Category_Targets!$A$2:$A$9,0)),0)</f>
        <v>0.05</v>
      </c>
      <c r="R1441" s="7">
        <f t="shared" si="45"/>
        <v>327.33000000000004</v>
      </c>
    </row>
    <row r="1442" spans="1:18" x14ac:dyDescent="0.25">
      <c r="A1442" s="5">
        <f>Procurement_Raw!A1442</f>
        <v>45883</v>
      </c>
      <c r="B1442" t="str">
        <f>Procurement_Raw!B1442</f>
        <v>S014</v>
      </c>
      <c r="C1442" t="str">
        <f>Procurement_Raw!C1442</f>
        <v>Southampton Care &amp; Education Centre</v>
      </c>
      <c r="D1442" t="str">
        <f>Procurement_Raw!D1442</f>
        <v>South</v>
      </c>
      <c r="E1442" t="str">
        <f>Procurement_Raw!E1442</f>
        <v>SafeGuard FM</v>
      </c>
      <c r="F1442" t="str">
        <f>Procurement_Raw!F1442</f>
        <v>Facilities</v>
      </c>
      <c r="G1442" t="str">
        <f>Procurement_Raw!G1442</f>
        <v>INV-2025-01441</v>
      </c>
      <c r="H1442" s="6">
        <f>Procurement_Raw!H1442</f>
        <v>25</v>
      </c>
      <c r="I1442" s="7">
        <f>Procurement_Raw!I1442</f>
        <v>259.18</v>
      </c>
      <c r="J1442" s="7">
        <f>Procurement_Raw!J1442</f>
        <v>6479.62</v>
      </c>
      <c r="K1442" s="6">
        <f>Procurement_Raw!K1442</f>
        <v>60</v>
      </c>
      <c r="L1442" t="str">
        <f>Procurement_Raw!L1442</f>
        <v>Legacy Spend File</v>
      </c>
      <c r="M1442" s="8">
        <f>Procurement_Raw!M1442</f>
        <v>1295.924</v>
      </c>
      <c r="N1442" s="7">
        <f>Procurement_Raw!N1442</f>
        <v>6479.62</v>
      </c>
      <c r="O1442" s="7">
        <f t="shared" si="44"/>
        <v>6479.62</v>
      </c>
      <c r="P1442" t="str">
        <f>IFERROR(INDEX(Supplier_Lookup!$B$2:$B$200,MATCH(E1442,Supplier_Lookup!$A$2:$A$200,0)),"Unmapped")</f>
        <v>Facilities</v>
      </c>
      <c r="Q1442" s="10">
        <f>IFERROR(INDEX(Category_Targets!$B$2:$B$9,MATCH(F1442,Category_Targets!$A$2:$A$9,0)),0)</f>
        <v>0.05</v>
      </c>
      <c r="R1442" s="7">
        <f t="shared" si="45"/>
        <v>323.98099999999999</v>
      </c>
    </row>
    <row r="1443" spans="1:18" x14ac:dyDescent="0.25">
      <c r="A1443" s="5">
        <f>Procurement_Raw!A1443</f>
        <v>45759</v>
      </c>
      <c r="B1443" t="str">
        <f>Procurement_Raw!B1443</f>
        <v>S016</v>
      </c>
      <c r="C1443" t="str">
        <f>Procurement_Raw!C1443</f>
        <v>Cardiff Care &amp; Education Centre</v>
      </c>
      <c r="D1443" t="str">
        <f>Procurement_Raw!D1443</f>
        <v>Wales</v>
      </c>
      <c r="E1443" t="str">
        <f>Procurement_Raw!E1443</f>
        <v>MediSure</v>
      </c>
      <c r="F1443" t="str">
        <f>Procurement_Raw!F1443</f>
        <v>Medical Supplies</v>
      </c>
      <c r="G1443" t="str">
        <f>Procurement_Raw!G1443</f>
        <v>INV-2025-01442</v>
      </c>
      <c r="H1443" s="6">
        <f>Procurement_Raw!H1443</f>
        <v>26</v>
      </c>
      <c r="I1443" s="7">
        <f>Procurement_Raw!I1443</f>
        <v>228.81</v>
      </c>
      <c r="J1443" s="7">
        <f>Procurement_Raw!J1443</f>
        <v>5949.12</v>
      </c>
      <c r="K1443" s="6">
        <f>Procurement_Raw!K1443</f>
        <v>45</v>
      </c>
      <c r="L1443" t="str">
        <f>Procurement_Raw!L1443</f>
        <v>ERP</v>
      </c>
      <c r="M1443" s="8">
        <f>Procurement_Raw!M1443</f>
        <v>1189.8240000000001</v>
      </c>
      <c r="N1443" s="7">
        <f>Procurement_Raw!N1443</f>
        <v>5949.12</v>
      </c>
      <c r="O1443" s="7">
        <f t="shared" si="44"/>
        <v>5949.12</v>
      </c>
      <c r="P1443" t="str">
        <f>IFERROR(INDEX(Supplier_Lookup!$B$2:$B$200,MATCH(E1443,Supplier_Lookup!$A$2:$A$200,0)),"Unmapped")</f>
        <v>Medical Supplies</v>
      </c>
      <c r="Q1443" s="10">
        <f>IFERROR(INDEX(Category_Targets!$B$2:$B$9,MATCH(F1443,Category_Targets!$A$2:$A$9,0)),0)</f>
        <v>0.06</v>
      </c>
      <c r="R1443" s="7">
        <f t="shared" si="45"/>
        <v>356.94719999999995</v>
      </c>
    </row>
    <row r="1444" spans="1:18" x14ac:dyDescent="0.25">
      <c r="A1444" s="5">
        <f>Procurement_Raw!A1444</f>
        <v>45747</v>
      </c>
      <c r="B1444" t="str">
        <f>Procurement_Raw!B1444</f>
        <v>S001</v>
      </c>
      <c r="C1444" t="str">
        <f>Procurement_Raw!C1444</f>
        <v>Preston Care &amp; Education Centre</v>
      </c>
      <c r="D1444" t="str">
        <f>Procurement_Raw!D1444</f>
        <v>North</v>
      </c>
      <c r="E1444" t="str">
        <f>Procurement_Raw!E1444</f>
        <v>NetServe</v>
      </c>
      <c r="F1444" t="str">
        <f>Procurement_Raw!F1444</f>
        <v>IT &amp; Telecoms</v>
      </c>
      <c r="G1444" t="str">
        <f>Procurement_Raw!G1444</f>
        <v>INV-2025-01443</v>
      </c>
      <c r="H1444" s="6">
        <f>Procurement_Raw!H1444</f>
        <v>44</v>
      </c>
      <c r="I1444" s="7">
        <f>Procurement_Raw!I1444</f>
        <v>243.03</v>
      </c>
      <c r="J1444" s="7">
        <f>Procurement_Raw!J1444</f>
        <v>10693.37</v>
      </c>
      <c r="K1444" s="6">
        <f>Procurement_Raw!K1444</f>
        <v>60</v>
      </c>
      <c r="L1444" t="str">
        <f>Procurement_Raw!L1444</f>
        <v>ERP</v>
      </c>
      <c r="M1444" s="8">
        <f>Procurement_Raw!M1444</f>
        <v>2138.674</v>
      </c>
      <c r="N1444" s="7">
        <f>Procurement_Raw!N1444</f>
        <v>10693.37</v>
      </c>
      <c r="O1444" s="7">
        <f t="shared" si="44"/>
        <v>10693.37</v>
      </c>
      <c r="P1444" t="str">
        <f>IFERROR(INDEX(Supplier_Lookup!$B$2:$B$200,MATCH(E1444,Supplier_Lookup!$A$2:$A$200,0)),"Unmapped")</f>
        <v>IT &amp; Telecoms</v>
      </c>
      <c r="Q1444" s="10">
        <f>IFERROR(INDEX(Category_Targets!$B$2:$B$9,MATCH(F1444,Category_Targets!$A$2:$A$9,0)),0)</f>
        <v>0.08</v>
      </c>
      <c r="R1444" s="7">
        <f t="shared" si="45"/>
        <v>855.46960000000013</v>
      </c>
    </row>
    <row r="1445" spans="1:18" x14ac:dyDescent="0.25">
      <c r="A1445" s="5">
        <f>Procurement_Raw!A1445</f>
        <v>45748</v>
      </c>
      <c r="B1445" t="str">
        <f>Procurement_Raw!B1445</f>
        <v>S006</v>
      </c>
      <c r="C1445" t="str">
        <f>Procurement_Raw!C1445</f>
        <v>Birmingham Care &amp; Education Centre</v>
      </c>
      <c r="D1445" t="str">
        <f>Procurement_Raw!D1445</f>
        <v>Midlands</v>
      </c>
      <c r="E1445" t="str">
        <f>Procurement_Raw!E1445</f>
        <v>UK Energy Partners</v>
      </c>
      <c r="F1445" t="str">
        <f>Procurement_Raw!F1445</f>
        <v>Utilities</v>
      </c>
      <c r="G1445" t="str">
        <f>Procurement_Raw!G1445</f>
        <v>INV-2025-01444</v>
      </c>
      <c r="H1445" s="6">
        <f>Procurement_Raw!H1445</f>
        <v>34</v>
      </c>
      <c r="I1445" s="7">
        <f>Procurement_Raw!I1445</f>
        <v>122.51</v>
      </c>
      <c r="J1445" s="7">
        <f>Procurement_Raw!J1445</f>
        <v>4165.38</v>
      </c>
      <c r="K1445" s="6">
        <f>Procurement_Raw!K1445</f>
        <v>30</v>
      </c>
      <c r="L1445" t="str">
        <f>Procurement_Raw!L1445</f>
        <v>ERP</v>
      </c>
      <c r="M1445" s="8">
        <f>Procurement_Raw!M1445</f>
        <v>833.07600000000002</v>
      </c>
      <c r="N1445" s="7">
        <f>Procurement_Raw!N1445</f>
        <v>4165.38</v>
      </c>
      <c r="O1445" s="7">
        <f t="shared" si="44"/>
        <v>4165.38</v>
      </c>
      <c r="P1445" t="str">
        <f>IFERROR(INDEX(Supplier_Lookup!$B$2:$B$200,MATCH(E1445,Supplier_Lookup!$A$2:$A$200,0)),"Unmapped")</f>
        <v>Utilities</v>
      </c>
      <c r="Q1445" s="10">
        <f>IFERROR(INDEX(Category_Targets!$B$2:$B$9,MATCH(F1445,Category_Targets!$A$2:$A$9,0)),0)</f>
        <v>0.03</v>
      </c>
      <c r="R1445" s="7">
        <f t="shared" si="45"/>
        <v>124.9614</v>
      </c>
    </row>
    <row r="1446" spans="1:18" x14ac:dyDescent="0.25">
      <c r="A1446" s="5">
        <f>Procurement_Raw!A1446</f>
        <v>45993</v>
      </c>
      <c r="B1446" t="str">
        <f>Procurement_Raw!B1446</f>
        <v>S002</v>
      </c>
      <c r="C1446" t="str">
        <f>Procurement_Raw!C1446</f>
        <v>Manchester Care &amp; Education Centre</v>
      </c>
      <c r="D1446" t="str">
        <f>Procurement_Raw!D1446</f>
        <v>North</v>
      </c>
      <c r="E1446" t="str">
        <f>Procurement_Raw!E1446</f>
        <v>SafeGuard FM</v>
      </c>
      <c r="F1446" t="str">
        <f>Procurement_Raw!F1446</f>
        <v>Facilities</v>
      </c>
      <c r="G1446" t="str">
        <f>Procurement_Raw!G1446</f>
        <v>INV-2025-01445</v>
      </c>
      <c r="H1446" s="6">
        <f>Procurement_Raw!H1446</f>
        <v>15</v>
      </c>
      <c r="I1446" s="7">
        <f>Procurement_Raw!I1446</f>
        <v>224.26</v>
      </c>
      <c r="J1446" s="7">
        <f>Procurement_Raw!J1446</f>
        <v>3363.83</v>
      </c>
      <c r="K1446" s="6">
        <f>Procurement_Raw!K1446</f>
        <v>45</v>
      </c>
      <c r="L1446" t="str">
        <f>Procurement_Raw!L1446</f>
        <v>ERP</v>
      </c>
      <c r="M1446" s="8">
        <f>Procurement_Raw!M1446</f>
        <v>672.76599999999996</v>
      </c>
      <c r="N1446" s="7">
        <f>Procurement_Raw!N1446</f>
        <v>3363.83</v>
      </c>
      <c r="O1446" s="7">
        <f t="shared" si="44"/>
        <v>3363.83</v>
      </c>
      <c r="P1446" t="str">
        <f>IFERROR(INDEX(Supplier_Lookup!$B$2:$B$200,MATCH(E1446,Supplier_Lookup!$A$2:$A$200,0)),"Unmapped")</f>
        <v>Facilities</v>
      </c>
      <c r="Q1446" s="10">
        <f>IFERROR(INDEX(Category_Targets!$B$2:$B$9,MATCH(F1446,Category_Targets!$A$2:$A$9,0)),0)</f>
        <v>0.05</v>
      </c>
      <c r="R1446" s="7">
        <f t="shared" si="45"/>
        <v>168.19150000000002</v>
      </c>
    </row>
    <row r="1447" spans="1:18" x14ac:dyDescent="0.25">
      <c r="A1447" s="5">
        <f>Procurement_Raw!A1447</f>
        <v>45847</v>
      </c>
      <c r="B1447" t="str">
        <f>Procurement_Raw!B1447</f>
        <v>S020</v>
      </c>
      <c r="C1447" t="str">
        <f>Procurement_Raw!C1447</f>
        <v>Bangor Care &amp; Education Centre</v>
      </c>
      <c r="D1447" t="str">
        <f>Procurement_Raw!D1447</f>
        <v>Wales</v>
      </c>
      <c r="E1447" t="str">
        <f>Procurement_Raw!E1447</f>
        <v>OfficePlus</v>
      </c>
      <c r="F1447" t="str">
        <f>Procurement_Raw!F1447</f>
        <v>Office &amp; Training</v>
      </c>
      <c r="G1447" t="str">
        <f>Procurement_Raw!G1447</f>
        <v>INV-2025-01446</v>
      </c>
      <c r="H1447" s="6">
        <f>Procurement_Raw!H1447</f>
        <v>48</v>
      </c>
      <c r="I1447" s="7">
        <f>Procurement_Raw!I1447</f>
        <v>52.42</v>
      </c>
      <c r="J1447" s="7">
        <f>Procurement_Raw!J1447</f>
        <v>2516.04</v>
      </c>
      <c r="K1447" s="6">
        <f>Procurement_Raw!K1447</f>
        <v>60</v>
      </c>
      <c r="L1447" t="str">
        <f>Procurement_Raw!L1447</f>
        <v>ERP</v>
      </c>
      <c r="M1447" s="8">
        <f>Procurement_Raw!M1447</f>
        <v>503.20800000000003</v>
      </c>
      <c r="N1447" s="7">
        <f>Procurement_Raw!N1447</f>
        <v>2516.04</v>
      </c>
      <c r="O1447" s="7">
        <f t="shared" si="44"/>
        <v>2516.04</v>
      </c>
      <c r="P1447" t="str">
        <f>IFERROR(INDEX(Supplier_Lookup!$B$2:$B$200,MATCH(E1447,Supplier_Lookup!$A$2:$A$200,0)),"Unmapped")</f>
        <v>Office &amp; Training</v>
      </c>
      <c r="Q1447" s="10">
        <f>IFERROR(INDEX(Category_Targets!$B$2:$B$9,MATCH(F1447,Category_Targets!$A$2:$A$9,0)),0)</f>
        <v>0.04</v>
      </c>
      <c r="R1447" s="7">
        <f t="shared" si="45"/>
        <v>100.6416</v>
      </c>
    </row>
    <row r="1448" spans="1:18" x14ac:dyDescent="0.25">
      <c r="A1448" s="5">
        <f>Procurement_Raw!A1448</f>
        <v>45691</v>
      </c>
      <c r="B1448" t="str">
        <f>Procurement_Raw!B1448</f>
        <v>S001</v>
      </c>
      <c r="C1448" t="str">
        <f>Procurement_Raw!C1448</f>
        <v>Preston Care &amp; Education Centre</v>
      </c>
      <c r="D1448" t="str">
        <f>Procurement_Raw!D1448</f>
        <v>North</v>
      </c>
      <c r="E1448" t="str">
        <f>Procurement_Raw!E1448</f>
        <v>NurseLink</v>
      </c>
      <c r="F1448" t="str">
        <f>Procurement_Raw!F1448</f>
        <v>Agency Labour</v>
      </c>
      <c r="G1448" t="str">
        <f>Procurement_Raw!G1448</f>
        <v>INV-2025-01447</v>
      </c>
      <c r="H1448" s="6">
        <f>Procurement_Raw!H1448</f>
        <v>16</v>
      </c>
      <c r="I1448" s="7">
        <f>Procurement_Raw!I1448</f>
        <v>224.31</v>
      </c>
      <c r="J1448" s="7">
        <f>Procurement_Raw!J1448</f>
        <v>3589.01</v>
      </c>
      <c r="K1448" s="6">
        <f>Procurement_Raw!K1448</f>
        <v>30</v>
      </c>
      <c r="L1448" t="str">
        <f>Procurement_Raw!L1448</f>
        <v>ERP</v>
      </c>
      <c r="M1448" s="8">
        <f>Procurement_Raw!M1448</f>
        <v>717.80200000000002</v>
      </c>
      <c r="N1448" s="7">
        <f>Procurement_Raw!N1448</f>
        <v>3589.01</v>
      </c>
      <c r="O1448" s="7">
        <f t="shared" si="44"/>
        <v>3589.01</v>
      </c>
      <c r="P1448" t="str">
        <f>IFERROR(INDEX(Supplier_Lookup!$B$2:$B$200,MATCH(E1448,Supplier_Lookup!$A$2:$A$200,0)),"Unmapped")</f>
        <v>Agency Labour</v>
      </c>
      <c r="Q1448" s="10">
        <f>IFERROR(INDEX(Category_Targets!$B$2:$B$9,MATCH(F1448,Category_Targets!$A$2:$A$9,0)),0)</f>
        <v>7.0000000000000007E-2</v>
      </c>
      <c r="R1448" s="7">
        <f t="shared" si="45"/>
        <v>251.23070000000004</v>
      </c>
    </row>
    <row r="1449" spans="1:18" x14ac:dyDescent="0.25">
      <c r="A1449" s="5">
        <f>Procurement_Raw!A1449</f>
        <v>45851</v>
      </c>
      <c r="B1449" t="str">
        <f>Procurement_Raw!B1449</f>
        <v>S020</v>
      </c>
      <c r="C1449" t="str">
        <f>Procurement_Raw!C1449</f>
        <v>Bangor Care &amp; Education Centre</v>
      </c>
      <c r="D1449" t="str">
        <f>Procurement_Raw!D1449</f>
        <v>Wales</v>
      </c>
      <c r="E1449" t="str">
        <f>Procurement_Raw!E1449</f>
        <v>PowerDirect</v>
      </c>
      <c r="F1449" t="str">
        <f>Procurement_Raw!F1449</f>
        <v>Utilities</v>
      </c>
      <c r="G1449" t="str">
        <f>Procurement_Raw!G1449</f>
        <v>INV-2025-01448</v>
      </c>
      <c r="H1449" s="6">
        <f>Procurement_Raw!H1449</f>
        <v>48</v>
      </c>
      <c r="I1449" s="7">
        <f>Procurement_Raw!I1449</f>
        <v>345.14</v>
      </c>
      <c r="J1449" s="7">
        <f>Procurement_Raw!J1449</f>
        <v>16566.900000000001</v>
      </c>
      <c r="K1449" s="6">
        <f>Procurement_Raw!K1449</f>
        <v>45</v>
      </c>
      <c r="L1449" t="str">
        <f>Procurement_Raw!L1449</f>
        <v>Legacy Spend File</v>
      </c>
      <c r="M1449" s="8">
        <f>Procurement_Raw!M1449</f>
        <v>3313.38</v>
      </c>
      <c r="N1449" s="7">
        <f>Procurement_Raw!N1449</f>
        <v>16566.900000000001</v>
      </c>
      <c r="O1449" s="7">
        <f t="shared" si="44"/>
        <v>16566.900000000001</v>
      </c>
      <c r="P1449" t="str">
        <f>IFERROR(INDEX(Supplier_Lookup!$B$2:$B$200,MATCH(E1449,Supplier_Lookup!$A$2:$A$200,0)),"Unmapped")</f>
        <v>Utilities</v>
      </c>
      <c r="Q1449" s="10">
        <f>IFERROR(INDEX(Category_Targets!$B$2:$B$9,MATCH(F1449,Category_Targets!$A$2:$A$9,0)),0)</f>
        <v>0.03</v>
      </c>
      <c r="R1449" s="7">
        <f t="shared" si="45"/>
        <v>497.00700000000001</v>
      </c>
    </row>
    <row r="1450" spans="1:18" x14ac:dyDescent="0.25">
      <c r="A1450" s="5">
        <f>Procurement_Raw!A1450</f>
        <v>45973</v>
      </c>
      <c r="B1450" t="str">
        <f>Procurement_Raw!B1450</f>
        <v>S008</v>
      </c>
      <c r="C1450" t="str">
        <f>Procurement_Raw!C1450</f>
        <v>Leicester Care &amp; Education Centre</v>
      </c>
      <c r="D1450" t="str">
        <f>Procurement_Raw!D1450</f>
        <v>Midlands</v>
      </c>
      <c r="E1450" t="str">
        <f>Procurement_Raw!E1450</f>
        <v>UK Energy Partners</v>
      </c>
      <c r="F1450" t="str">
        <f>Procurement_Raw!F1450</f>
        <v>Utilities</v>
      </c>
      <c r="G1450" t="str">
        <f>Procurement_Raw!G1450</f>
        <v>INV-2025-01449</v>
      </c>
      <c r="H1450" s="6">
        <f>Procurement_Raw!H1450</f>
        <v>76</v>
      </c>
      <c r="I1450" s="7">
        <f>Procurement_Raw!I1450</f>
        <v>493.99</v>
      </c>
      <c r="J1450" s="7">
        <f>Procurement_Raw!J1450</f>
        <v>37543.29</v>
      </c>
      <c r="K1450" s="6">
        <f>Procurement_Raw!K1450</f>
        <v>30</v>
      </c>
      <c r="L1450" t="str">
        <f>Procurement_Raw!L1450</f>
        <v>Legacy Spend File</v>
      </c>
      <c r="M1450" s="8">
        <f>Procurement_Raw!M1450</f>
        <v>7508.6580000000004</v>
      </c>
      <c r="N1450" s="7">
        <f>Procurement_Raw!N1450</f>
        <v>37543.29</v>
      </c>
      <c r="O1450" s="7">
        <f t="shared" si="44"/>
        <v>37543.29</v>
      </c>
      <c r="P1450" t="str">
        <f>IFERROR(INDEX(Supplier_Lookup!$B$2:$B$200,MATCH(E1450,Supplier_Lookup!$A$2:$A$200,0)),"Unmapped")</f>
        <v>Utilities</v>
      </c>
      <c r="Q1450" s="10">
        <f>IFERROR(INDEX(Category_Targets!$B$2:$B$9,MATCH(F1450,Category_Targets!$A$2:$A$9,0)),0)</f>
        <v>0.03</v>
      </c>
      <c r="R1450" s="7">
        <f t="shared" si="45"/>
        <v>1126.2987000000001</v>
      </c>
    </row>
    <row r="1451" spans="1:18" x14ac:dyDescent="0.25">
      <c r="A1451" s="5">
        <f>Procurement_Raw!A1451</f>
        <v>45784</v>
      </c>
      <c r="B1451" t="str">
        <f>Procurement_Raw!B1451</f>
        <v>S017</v>
      </c>
      <c r="C1451" t="str">
        <f>Procurement_Raw!C1451</f>
        <v>Swansea Care &amp; Education Centre</v>
      </c>
      <c r="D1451" t="str">
        <f>Procurement_Raw!D1451</f>
        <v>Wales</v>
      </c>
      <c r="E1451" t="str">
        <f>Procurement_Raw!E1451</f>
        <v>SafeGuard FM</v>
      </c>
      <c r="F1451" t="str">
        <f>Procurement_Raw!F1451</f>
        <v>Facilities</v>
      </c>
      <c r="G1451" t="str">
        <f>Procurement_Raw!G1451</f>
        <v>INV-2025-01450</v>
      </c>
      <c r="H1451" s="6">
        <f>Procurement_Raw!H1451</f>
        <v>7</v>
      </c>
      <c r="I1451" s="7">
        <f>Procurement_Raw!I1451</f>
        <v>182.12</v>
      </c>
      <c r="J1451" s="7">
        <f>Procurement_Raw!J1451</f>
        <v>1274.83</v>
      </c>
      <c r="K1451" s="6">
        <f>Procurement_Raw!K1451</f>
        <v>60</v>
      </c>
      <c r="L1451" t="str">
        <f>Procurement_Raw!L1451</f>
        <v>Procurement Portal</v>
      </c>
      <c r="M1451" s="8">
        <f>Procurement_Raw!M1451</f>
        <v>254.96600000000001</v>
      </c>
      <c r="N1451" s="7">
        <f>Procurement_Raw!N1451</f>
        <v>1274.83</v>
      </c>
      <c r="O1451" s="7">
        <f t="shared" si="44"/>
        <v>1274.83</v>
      </c>
      <c r="P1451" t="str">
        <f>IFERROR(INDEX(Supplier_Lookup!$B$2:$B$200,MATCH(E1451,Supplier_Lookup!$A$2:$A$200,0)),"Unmapped")</f>
        <v>Facilities</v>
      </c>
      <c r="Q1451" s="10">
        <f>IFERROR(INDEX(Category_Targets!$B$2:$B$9,MATCH(F1451,Category_Targets!$A$2:$A$9,0)),0)</f>
        <v>0.05</v>
      </c>
      <c r="R1451" s="7">
        <f t="shared" si="45"/>
        <v>63.741500000000002</v>
      </c>
    </row>
    <row r="1452" spans="1:18" x14ac:dyDescent="0.25">
      <c r="A1452" s="5">
        <f>Procurement_Raw!A1452</f>
        <v>45699</v>
      </c>
      <c r="B1452" t="str">
        <f>Procurement_Raw!B1452</f>
        <v>S014</v>
      </c>
      <c r="C1452" t="str">
        <f>Procurement_Raw!C1452</f>
        <v>Southampton Care &amp; Education Centre</v>
      </c>
      <c r="D1452" t="str">
        <f>Procurement_Raw!D1452</f>
        <v>South</v>
      </c>
      <c r="E1452" t="str">
        <f>Procurement_Raw!E1452</f>
        <v>OfficePlus</v>
      </c>
      <c r="F1452" t="str">
        <f>Procurement_Raw!F1452</f>
        <v>Office &amp; Training</v>
      </c>
      <c r="G1452" t="str">
        <f>Procurement_Raw!G1452</f>
        <v>INV-2025-01451</v>
      </c>
      <c r="H1452" s="6">
        <f>Procurement_Raw!H1452</f>
        <v>61</v>
      </c>
      <c r="I1452" s="7">
        <f>Procurement_Raw!I1452</f>
        <v>88.89</v>
      </c>
      <c r="J1452" s="7">
        <f>Procurement_Raw!J1452</f>
        <v>5422</v>
      </c>
      <c r="K1452" s="6">
        <f>Procurement_Raw!K1452</f>
        <v>60</v>
      </c>
      <c r="L1452" t="str">
        <f>Procurement_Raw!L1452</f>
        <v>Legacy Spend File</v>
      </c>
      <c r="M1452" s="8">
        <f>Procurement_Raw!M1452</f>
        <v>1084.4000000000001</v>
      </c>
      <c r="N1452" s="7">
        <f>Procurement_Raw!N1452</f>
        <v>5422</v>
      </c>
      <c r="O1452" s="7">
        <f t="shared" si="44"/>
        <v>5422</v>
      </c>
      <c r="P1452" t="str">
        <f>IFERROR(INDEX(Supplier_Lookup!$B$2:$B$200,MATCH(E1452,Supplier_Lookup!$A$2:$A$200,0)),"Unmapped")</f>
        <v>Office &amp; Training</v>
      </c>
      <c r="Q1452" s="10">
        <f>IFERROR(INDEX(Category_Targets!$B$2:$B$9,MATCH(F1452,Category_Targets!$A$2:$A$9,0)),0)</f>
        <v>0.04</v>
      </c>
      <c r="R1452" s="7">
        <f t="shared" si="45"/>
        <v>216.88</v>
      </c>
    </row>
    <row r="1453" spans="1:18" x14ac:dyDescent="0.25">
      <c r="A1453" s="5">
        <f>Procurement_Raw!A1453</f>
        <v>45856</v>
      </c>
      <c r="B1453" t="str">
        <f>Procurement_Raw!B1453</f>
        <v>S020</v>
      </c>
      <c r="C1453" t="str">
        <f>Procurement_Raw!C1453</f>
        <v>Bangor Care &amp; Education Centre</v>
      </c>
      <c r="D1453" t="str">
        <f>Procurement_Raw!D1453</f>
        <v>Wales</v>
      </c>
      <c r="E1453" t="str">
        <f>Procurement_Raw!E1453</f>
        <v>BuildCare</v>
      </c>
      <c r="F1453" t="str">
        <f>Procurement_Raw!F1453</f>
        <v>Facilities</v>
      </c>
      <c r="G1453" t="str">
        <f>Procurement_Raw!G1453</f>
        <v>INV-2025-01452</v>
      </c>
      <c r="H1453" s="6">
        <f>Procurement_Raw!H1453</f>
        <v>66</v>
      </c>
      <c r="I1453" s="7">
        <f>Procurement_Raw!I1453</f>
        <v>459.06</v>
      </c>
      <c r="J1453" s="7">
        <f>Procurement_Raw!J1453</f>
        <v>30297.78</v>
      </c>
      <c r="K1453" s="6">
        <f>Procurement_Raw!K1453</f>
        <v>45</v>
      </c>
      <c r="L1453" t="str">
        <f>Procurement_Raw!L1453</f>
        <v>Procurement Portal</v>
      </c>
      <c r="M1453" s="8">
        <f>Procurement_Raw!M1453</f>
        <v>6059.5559999999996</v>
      </c>
      <c r="N1453" s="7">
        <f>Procurement_Raw!N1453</f>
        <v>30297.78</v>
      </c>
      <c r="O1453" s="7">
        <f t="shared" si="44"/>
        <v>30297.78</v>
      </c>
      <c r="P1453" t="str">
        <f>IFERROR(INDEX(Supplier_Lookup!$B$2:$B$200,MATCH(E1453,Supplier_Lookup!$A$2:$A$200,0)),"Unmapped")</f>
        <v>Facilities</v>
      </c>
      <c r="Q1453" s="10">
        <f>IFERROR(INDEX(Category_Targets!$B$2:$B$9,MATCH(F1453,Category_Targets!$A$2:$A$9,0)),0)</f>
        <v>0.05</v>
      </c>
      <c r="R1453" s="7">
        <f t="shared" si="45"/>
        <v>1514.8890000000001</v>
      </c>
    </row>
    <row r="1454" spans="1:18" x14ac:dyDescent="0.25">
      <c r="A1454" s="5">
        <f>Procurement_Raw!A1454</f>
        <v>45822</v>
      </c>
      <c r="B1454" t="str">
        <f>Procurement_Raw!B1454</f>
        <v>S017</v>
      </c>
      <c r="C1454" t="str">
        <f>Procurement_Raw!C1454</f>
        <v>Swansea Care &amp; Education Centre</v>
      </c>
      <c r="D1454" t="str">
        <f>Procurement_Raw!D1454</f>
        <v>Wales</v>
      </c>
      <c r="E1454" t="str">
        <f>Procurement_Raw!E1454</f>
        <v>OfficePlus</v>
      </c>
      <c r="F1454" t="str">
        <f>Procurement_Raw!F1454</f>
        <v>Office &amp; Training</v>
      </c>
      <c r="G1454" t="str">
        <f>Procurement_Raw!G1454</f>
        <v>INV-2025-01453</v>
      </c>
      <c r="H1454" s="6">
        <f>Procurement_Raw!H1454</f>
        <v>48</v>
      </c>
      <c r="I1454" s="7">
        <f>Procurement_Raw!I1454</f>
        <v>85.62</v>
      </c>
      <c r="J1454" s="7">
        <f>Procurement_Raw!J1454</f>
        <v>4109.6899999999996</v>
      </c>
      <c r="K1454" s="6">
        <f>Procurement_Raw!K1454</f>
        <v>60</v>
      </c>
      <c r="L1454" t="str">
        <f>Procurement_Raw!L1454</f>
        <v>Legacy Spend File</v>
      </c>
      <c r="M1454" s="8">
        <f>Procurement_Raw!M1454</f>
        <v>821.93799999999999</v>
      </c>
      <c r="N1454" s="7">
        <f>Procurement_Raw!N1454</f>
        <v>4109.6899999999996</v>
      </c>
      <c r="O1454" s="7">
        <f t="shared" si="44"/>
        <v>4109.6899999999996</v>
      </c>
      <c r="P1454" t="str">
        <f>IFERROR(INDEX(Supplier_Lookup!$B$2:$B$200,MATCH(E1454,Supplier_Lookup!$A$2:$A$200,0)),"Unmapped")</f>
        <v>Office &amp; Training</v>
      </c>
      <c r="Q1454" s="10">
        <f>IFERROR(INDEX(Category_Targets!$B$2:$B$9,MATCH(F1454,Category_Targets!$A$2:$A$9,0)),0)</f>
        <v>0.04</v>
      </c>
      <c r="R1454" s="7">
        <f t="shared" si="45"/>
        <v>164.38759999999999</v>
      </c>
    </row>
    <row r="1455" spans="1:18" x14ac:dyDescent="0.25">
      <c r="A1455" s="5">
        <f>Procurement_Raw!A1455</f>
        <v>45795</v>
      </c>
      <c r="B1455" t="str">
        <f>Procurement_Raw!B1455</f>
        <v>S002</v>
      </c>
      <c r="C1455" t="str">
        <f>Procurement_Raw!C1455</f>
        <v>Manchester Care &amp; Education Centre</v>
      </c>
      <c r="D1455" t="str">
        <f>Procurement_Raw!D1455</f>
        <v>North</v>
      </c>
      <c r="E1455" t="str">
        <f>Procurement_Raw!E1455</f>
        <v>LearnWell</v>
      </c>
      <c r="F1455" t="str">
        <f>Procurement_Raw!F1455</f>
        <v>Office &amp; Training</v>
      </c>
      <c r="G1455" t="str">
        <f>Procurement_Raw!G1455</f>
        <v>INV-2025-01454</v>
      </c>
      <c r="H1455" s="6">
        <f>Procurement_Raw!H1455</f>
        <v>75</v>
      </c>
      <c r="I1455" s="7">
        <f>Procurement_Raw!I1455</f>
        <v>313.69</v>
      </c>
      <c r="J1455" s="7">
        <f>Procurement_Raw!J1455</f>
        <v>23526.95</v>
      </c>
      <c r="K1455" s="6">
        <f>Procurement_Raw!K1455</f>
        <v>45</v>
      </c>
      <c r="L1455" t="str">
        <f>Procurement_Raw!L1455</f>
        <v>Legacy Spend File</v>
      </c>
      <c r="M1455" s="8">
        <f>Procurement_Raw!M1455</f>
        <v>4705.3900000000003</v>
      </c>
      <c r="N1455" s="7">
        <f>Procurement_Raw!N1455</f>
        <v>23526.95</v>
      </c>
      <c r="O1455" s="7">
        <f t="shared" si="44"/>
        <v>23526.95</v>
      </c>
      <c r="P1455" t="str">
        <f>IFERROR(INDEX(Supplier_Lookup!$B$2:$B$200,MATCH(E1455,Supplier_Lookup!$A$2:$A$200,0)),"Unmapped")</f>
        <v>Office &amp; Training</v>
      </c>
      <c r="Q1455" s="10">
        <f>IFERROR(INDEX(Category_Targets!$B$2:$B$9,MATCH(F1455,Category_Targets!$A$2:$A$9,0)),0)</f>
        <v>0.04</v>
      </c>
      <c r="R1455" s="7">
        <f t="shared" si="45"/>
        <v>941.07800000000009</v>
      </c>
    </row>
    <row r="1456" spans="1:18" x14ac:dyDescent="0.25">
      <c r="A1456" s="5">
        <f>Procurement_Raw!A1456</f>
        <v>45770</v>
      </c>
      <c r="B1456" t="str">
        <f>Procurement_Raw!B1456</f>
        <v>S003</v>
      </c>
      <c r="C1456" t="str">
        <f>Procurement_Raw!C1456</f>
        <v>Leeds Care &amp; Education Centre</v>
      </c>
      <c r="D1456" t="str">
        <f>Procurement_Raw!D1456</f>
        <v>North</v>
      </c>
      <c r="E1456" t="str">
        <f>Procurement_Raw!E1456</f>
        <v>MediSure</v>
      </c>
      <c r="F1456" t="str">
        <f>Procurement_Raw!F1456</f>
        <v>Medical Supplies</v>
      </c>
      <c r="G1456" t="str">
        <f>Procurement_Raw!G1456</f>
        <v>INV-2025-01455</v>
      </c>
      <c r="H1456" s="6">
        <f>Procurement_Raw!H1456</f>
        <v>26</v>
      </c>
      <c r="I1456" s="7">
        <f>Procurement_Raw!I1456</f>
        <v>163.78</v>
      </c>
      <c r="J1456" s="7">
        <f>Procurement_Raw!J1456</f>
        <v>4258.2700000000004</v>
      </c>
      <c r="K1456" s="6">
        <f>Procurement_Raw!K1456</f>
        <v>45</v>
      </c>
      <c r="L1456" t="str">
        <f>Procurement_Raw!L1456</f>
        <v>ERP</v>
      </c>
      <c r="M1456" s="8">
        <f>Procurement_Raw!M1456</f>
        <v>851.654</v>
      </c>
      <c r="N1456" s="7">
        <f>Procurement_Raw!N1456</f>
        <v>4258.2700000000004</v>
      </c>
      <c r="O1456" s="7">
        <f t="shared" si="44"/>
        <v>4258.2700000000004</v>
      </c>
      <c r="P1456" t="str">
        <f>IFERROR(INDEX(Supplier_Lookup!$B$2:$B$200,MATCH(E1456,Supplier_Lookup!$A$2:$A$200,0)),"Unmapped")</f>
        <v>Medical Supplies</v>
      </c>
      <c r="Q1456" s="10">
        <f>IFERROR(INDEX(Category_Targets!$B$2:$B$9,MATCH(F1456,Category_Targets!$A$2:$A$9,0)),0)</f>
        <v>0.06</v>
      </c>
      <c r="R1456" s="7">
        <f t="shared" si="45"/>
        <v>255.49620000000002</v>
      </c>
    </row>
    <row r="1457" spans="1:18" x14ac:dyDescent="0.25">
      <c r="A1457" s="5">
        <f>Procurement_Raw!A1457</f>
        <v>45875</v>
      </c>
      <c r="B1457" t="str">
        <f>Procurement_Raw!B1457</f>
        <v>S011</v>
      </c>
      <c r="C1457" t="str">
        <f>Procurement_Raw!C1457</f>
        <v>London Care &amp; Education Centre</v>
      </c>
      <c r="D1457" t="str">
        <f>Procurement_Raw!D1457</f>
        <v>South</v>
      </c>
      <c r="E1457" t="str">
        <f>Procurement_Raw!E1457</f>
        <v>WaterGrid</v>
      </c>
      <c r="F1457" t="str">
        <f>Procurement_Raw!F1457</f>
        <v>Utilities</v>
      </c>
      <c r="G1457" t="str">
        <f>Procurement_Raw!G1457</f>
        <v>INV-2025-01456</v>
      </c>
      <c r="H1457" s="6">
        <f>Procurement_Raw!H1457</f>
        <v>49</v>
      </c>
      <c r="I1457" s="7">
        <f>Procurement_Raw!I1457</f>
        <v>94.92</v>
      </c>
      <c r="J1457" s="7">
        <f>Procurement_Raw!J1457</f>
        <v>4651.1099999999997</v>
      </c>
      <c r="K1457" s="6">
        <f>Procurement_Raw!K1457</f>
        <v>60</v>
      </c>
      <c r="L1457" t="str">
        <f>Procurement_Raw!L1457</f>
        <v>ERP</v>
      </c>
      <c r="M1457" s="8">
        <f>Procurement_Raw!M1457</f>
        <v>930.22199999999998</v>
      </c>
      <c r="N1457" s="7">
        <f>Procurement_Raw!N1457</f>
        <v>4651.1099999999997</v>
      </c>
      <c r="O1457" s="7">
        <f t="shared" si="44"/>
        <v>4651.1099999999997</v>
      </c>
      <c r="P1457" t="str">
        <f>IFERROR(INDEX(Supplier_Lookup!$B$2:$B$200,MATCH(E1457,Supplier_Lookup!$A$2:$A$200,0)),"Unmapped")</f>
        <v>Utilities</v>
      </c>
      <c r="Q1457" s="10">
        <f>IFERROR(INDEX(Category_Targets!$B$2:$B$9,MATCH(F1457,Category_Targets!$A$2:$A$9,0)),0)</f>
        <v>0.03</v>
      </c>
      <c r="R1457" s="7">
        <f t="shared" si="45"/>
        <v>139.5333</v>
      </c>
    </row>
    <row r="1458" spans="1:18" x14ac:dyDescent="0.25">
      <c r="A1458" s="5">
        <f>Procurement_Raw!A1458</f>
        <v>45701</v>
      </c>
      <c r="B1458" t="str">
        <f>Procurement_Raw!B1458</f>
        <v>S019</v>
      </c>
      <c r="C1458" t="str">
        <f>Procurement_Raw!C1458</f>
        <v>Wrexham Care &amp; Education Centre</v>
      </c>
      <c r="D1458" t="str">
        <f>Procurement_Raw!D1458</f>
        <v>Wales</v>
      </c>
      <c r="E1458" t="str">
        <f>Procurement_Raw!E1458</f>
        <v>NetServe</v>
      </c>
      <c r="F1458" t="str">
        <f>Procurement_Raw!F1458</f>
        <v>IT &amp; Telecoms</v>
      </c>
      <c r="G1458" t="str">
        <f>Procurement_Raw!G1458</f>
        <v>INV-2025-01457</v>
      </c>
      <c r="H1458" s="6">
        <f>Procurement_Raw!H1458</f>
        <v>18</v>
      </c>
      <c r="I1458" s="7">
        <f>Procurement_Raw!I1458</f>
        <v>332.94</v>
      </c>
      <c r="J1458" s="7">
        <f>Procurement_Raw!J1458</f>
        <v>5992.94</v>
      </c>
      <c r="K1458" s="6">
        <f>Procurement_Raw!K1458</f>
        <v>30</v>
      </c>
      <c r="L1458" t="str">
        <f>Procurement_Raw!L1458</f>
        <v>Procurement Portal</v>
      </c>
      <c r="M1458" s="8">
        <f>Procurement_Raw!M1458</f>
        <v>1198.588</v>
      </c>
      <c r="N1458" s="7">
        <f>Procurement_Raw!N1458</f>
        <v>5992.94</v>
      </c>
      <c r="O1458" s="7">
        <f t="shared" si="44"/>
        <v>5992.94</v>
      </c>
      <c r="P1458" t="str">
        <f>IFERROR(INDEX(Supplier_Lookup!$B$2:$B$200,MATCH(E1458,Supplier_Lookup!$A$2:$A$200,0)),"Unmapped")</f>
        <v>IT &amp; Telecoms</v>
      </c>
      <c r="Q1458" s="10">
        <f>IFERROR(INDEX(Category_Targets!$B$2:$B$9,MATCH(F1458,Category_Targets!$A$2:$A$9,0)),0)</f>
        <v>0.08</v>
      </c>
      <c r="R1458" s="7">
        <f t="shared" si="45"/>
        <v>479.43519999999995</v>
      </c>
    </row>
    <row r="1459" spans="1:18" x14ac:dyDescent="0.25">
      <c r="A1459" s="5">
        <f>Procurement_Raw!A1459</f>
        <v>45956</v>
      </c>
      <c r="B1459" t="str">
        <f>Procurement_Raw!B1459</f>
        <v>S007</v>
      </c>
      <c r="C1459" t="str">
        <f>Procurement_Raw!C1459</f>
        <v>Nottingham Care &amp; Education Centre</v>
      </c>
      <c r="D1459" t="str">
        <f>Procurement_Raw!D1459</f>
        <v>Midlands</v>
      </c>
      <c r="E1459" t="str">
        <f>Procurement_Raw!E1459</f>
        <v>FleetFuel</v>
      </c>
      <c r="F1459" t="str">
        <f>Procurement_Raw!F1459</f>
        <v>Vehicle &amp; Fuel</v>
      </c>
      <c r="G1459" t="str">
        <f>Procurement_Raw!G1459</f>
        <v>INV-2025-01458</v>
      </c>
      <c r="H1459" s="6">
        <f>Procurement_Raw!H1459</f>
        <v>6</v>
      </c>
      <c r="I1459" s="7">
        <f>Procurement_Raw!I1459</f>
        <v>117.16</v>
      </c>
      <c r="J1459" s="7">
        <f>Procurement_Raw!J1459</f>
        <v>702.94</v>
      </c>
      <c r="K1459" s="6">
        <f>Procurement_Raw!K1459</f>
        <v>45</v>
      </c>
      <c r="L1459" t="str">
        <f>Procurement_Raw!L1459</f>
        <v>Legacy Spend File</v>
      </c>
      <c r="M1459" s="8">
        <f>Procurement_Raw!M1459</f>
        <v>140.58799999999999</v>
      </c>
      <c r="N1459" s="7">
        <f>Procurement_Raw!N1459</f>
        <v>702.94</v>
      </c>
      <c r="O1459" s="7">
        <f t="shared" si="44"/>
        <v>702.94</v>
      </c>
      <c r="P1459" t="str">
        <f>IFERROR(INDEX(Supplier_Lookup!$B$2:$B$200,MATCH(E1459,Supplier_Lookup!$A$2:$A$200,0)),"Unmapped")</f>
        <v>Vehicle &amp; Fuel</v>
      </c>
      <c r="Q1459" s="10">
        <f>IFERROR(INDEX(Category_Targets!$B$2:$B$9,MATCH(F1459,Category_Targets!$A$2:$A$9,0)),0)</f>
        <v>0.05</v>
      </c>
      <c r="R1459" s="7">
        <f t="shared" si="45"/>
        <v>35.147000000000006</v>
      </c>
    </row>
    <row r="1460" spans="1:18" x14ac:dyDescent="0.25">
      <c r="A1460" s="5">
        <f>Procurement_Raw!A1460</f>
        <v>45888</v>
      </c>
      <c r="B1460" t="str">
        <f>Procurement_Raw!B1460</f>
        <v>S005</v>
      </c>
      <c r="C1460" t="str">
        <f>Procurement_Raw!C1460</f>
        <v>Sheffield Care &amp; Education Centre</v>
      </c>
      <c r="D1460" t="str">
        <f>Procurement_Raw!D1460</f>
        <v>North</v>
      </c>
      <c r="E1460" t="str">
        <f>Procurement_Raw!E1460</f>
        <v>RoadReady</v>
      </c>
      <c r="F1460" t="str">
        <f>Procurement_Raw!F1460</f>
        <v>Vehicle &amp; Fuel</v>
      </c>
      <c r="G1460" t="str">
        <f>Procurement_Raw!G1460</f>
        <v>INV-2025-01459</v>
      </c>
      <c r="H1460" s="6">
        <f>Procurement_Raw!H1460</f>
        <v>60</v>
      </c>
      <c r="I1460" s="7">
        <f>Procurement_Raw!I1460</f>
        <v>193.11</v>
      </c>
      <c r="J1460" s="7">
        <f>Procurement_Raw!J1460</f>
        <v>11586.38</v>
      </c>
      <c r="K1460" s="6">
        <f>Procurement_Raw!K1460</f>
        <v>45</v>
      </c>
      <c r="L1460" t="str">
        <f>Procurement_Raw!L1460</f>
        <v>Procurement Portal</v>
      </c>
      <c r="M1460" s="8">
        <f>Procurement_Raw!M1460</f>
        <v>2317.2759999999998</v>
      </c>
      <c r="N1460" s="7">
        <f>Procurement_Raw!N1460</f>
        <v>11586.38</v>
      </c>
      <c r="O1460" s="7">
        <f t="shared" si="44"/>
        <v>11586.38</v>
      </c>
      <c r="P1460" t="str">
        <f>IFERROR(INDEX(Supplier_Lookup!$B$2:$B$200,MATCH(E1460,Supplier_Lookup!$A$2:$A$200,0)),"Unmapped")</f>
        <v>Vehicle &amp; Fuel</v>
      </c>
      <c r="Q1460" s="10">
        <f>IFERROR(INDEX(Category_Targets!$B$2:$B$9,MATCH(F1460,Category_Targets!$A$2:$A$9,0)),0)</f>
        <v>0.05</v>
      </c>
      <c r="R1460" s="7">
        <f t="shared" si="45"/>
        <v>579.31899999999996</v>
      </c>
    </row>
    <row r="1461" spans="1:18" x14ac:dyDescent="0.25">
      <c r="A1461" s="5">
        <f>Procurement_Raw!A1461</f>
        <v>45797</v>
      </c>
      <c r="B1461" t="str">
        <f>Procurement_Raw!B1461</f>
        <v>S009</v>
      </c>
      <c r="C1461" t="str">
        <f>Procurement_Raw!C1461</f>
        <v>Derby Care &amp; Education Centre</v>
      </c>
      <c r="D1461" t="str">
        <f>Procurement_Raw!D1461</f>
        <v>Midlands</v>
      </c>
      <c r="E1461" t="str">
        <f>Procurement_Raw!E1461</f>
        <v>LearnWell</v>
      </c>
      <c r="F1461" t="str">
        <f>Procurement_Raw!F1461</f>
        <v>Office &amp; Training</v>
      </c>
      <c r="G1461" t="str">
        <f>Procurement_Raw!G1461</f>
        <v>INV-2025-01460</v>
      </c>
      <c r="H1461" s="6">
        <f>Procurement_Raw!H1461</f>
        <v>49</v>
      </c>
      <c r="I1461" s="7">
        <f>Procurement_Raw!I1461</f>
        <v>108.61</v>
      </c>
      <c r="J1461" s="7">
        <f>Procurement_Raw!J1461</f>
        <v>5321.75</v>
      </c>
      <c r="K1461" s="6">
        <f>Procurement_Raw!K1461</f>
        <v>30</v>
      </c>
      <c r="L1461" t="str">
        <f>Procurement_Raw!L1461</f>
        <v>ERP</v>
      </c>
      <c r="M1461" s="8">
        <f>Procurement_Raw!M1461</f>
        <v>1064.3499999999999</v>
      </c>
      <c r="N1461" s="7">
        <f>Procurement_Raw!N1461</f>
        <v>5321.75</v>
      </c>
      <c r="O1461" s="7">
        <f t="shared" si="44"/>
        <v>5321.75</v>
      </c>
      <c r="P1461" t="str">
        <f>IFERROR(INDEX(Supplier_Lookup!$B$2:$B$200,MATCH(E1461,Supplier_Lookup!$A$2:$A$200,0)),"Unmapped")</f>
        <v>Office &amp; Training</v>
      </c>
      <c r="Q1461" s="10">
        <f>IFERROR(INDEX(Category_Targets!$B$2:$B$9,MATCH(F1461,Category_Targets!$A$2:$A$9,0)),0)</f>
        <v>0.04</v>
      </c>
      <c r="R1461" s="7">
        <f t="shared" si="45"/>
        <v>212.87</v>
      </c>
    </row>
    <row r="1462" spans="1:18" x14ac:dyDescent="0.25">
      <c r="A1462" s="5">
        <f>Procurement_Raw!A1462</f>
        <v>45988</v>
      </c>
      <c r="B1462" t="str">
        <f>Procurement_Raw!B1462</f>
        <v>S017</v>
      </c>
      <c r="C1462" t="str">
        <f>Procurement_Raw!C1462</f>
        <v>Swansea Care &amp; Education Centre</v>
      </c>
      <c r="D1462" t="str">
        <f>Procurement_Raw!D1462</f>
        <v>Wales</v>
      </c>
      <c r="E1462" t="str">
        <f>Procurement_Raw!E1462</f>
        <v>WaterGrid</v>
      </c>
      <c r="F1462" t="str">
        <f>Procurement_Raw!F1462</f>
        <v>Utilities</v>
      </c>
      <c r="G1462" t="str">
        <f>Procurement_Raw!G1462</f>
        <v>INV-2025-01461</v>
      </c>
      <c r="H1462" s="6">
        <f>Procurement_Raw!H1462</f>
        <v>10</v>
      </c>
      <c r="I1462" s="7">
        <f>Procurement_Raw!I1462</f>
        <v>231.67</v>
      </c>
      <c r="J1462" s="7">
        <f>Procurement_Raw!J1462</f>
        <v>2316.69</v>
      </c>
      <c r="K1462" s="6">
        <f>Procurement_Raw!K1462</f>
        <v>45</v>
      </c>
      <c r="L1462" t="str">
        <f>Procurement_Raw!L1462</f>
        <v>ERP</v>
      </c>
      <c r="M1462" s="8">
        <f>Procurement_Raw!M1462</f>
        <v>463.33800000000002</v>
      </c>
      <c r="N1462" s="7">
        <f>Procurement_Raw!N1462</f>
        <v>2316.69</v>
      </c>
      <c r="O1462" s="7">
        <f t="shared" si="44"/>
        <v>2316.69</v>
      </c>
      <c r="P1462" t="str">
        <f>IFERROR(INDEX(Supplier_Lookup!$B$2:$B$200,MATCH(E1462,Supplier_Lookup!$A$2:$A$200,0)),"Unmapped")</f>
        <v>Utilities</v>
      </c>
      <c r="Q1462" s="10">
        <f>IFERROR(INDEX(Category_Targets!$B$2:$B$9,MATCH(F1462,Category_Targets!$A$2:$A$9,0)),0)</f>
        <v>0.03</v>
      </c>
      <c r="R1462" s="7">
        <f t="shared" si="45"/>
        <v>69.500699999999995</v>
      </c>
    </row>
    <row r="1463" spans="1:18" x14ac:dyDescent="0.25">
      <c r="A1463" s="5">
        <f>Procurement_Raw!A1463</f>
        <v>45774</v>
      </c>
      <c r="B1463" t="str">
        <f>Procurement_Raw!B1463</f>
        <v>S017</v>
      </c>
      <c r="C1463" t="str">
        <f>Procurement_Raw!C1463</f>
        <v>Swansea Care &amp; Education Centre</v>
      </c>
      <c r="D1463" t="str">
        <f>Procurement_Raw!D1463</f>
        <v>Wales</v>
      </c>
      <c r="E1463" t="str">
        <f>Procurement_Raw!E1463</f>
        <v>NourishCo</v>
      </c>
      <c r="F1463" t="str">
        <f>Procurement_Raw!F1463</f>
        <v>Food &amp; Catering</v>
      </c>
      <c r="G1463" t="str">
        <f>Procurement_Raw!G1463</f>
        <v>INV-2025-01462</v>
      </c>
      <c r="H1463" s="6">
        <f>Procurement_Raw!H1463</f>
        <v>13</v>
      </c>
      <c r="I1463" s="7">
        <f>Procurement_Raw!I1463</f>
        <v>33.15</v>
      </c>
      <c r="J1463" s="7">
        <f>Procurement_Raw!J1463</f>
        <v>430.94</v>
      </c>
      <c r="K1463" s="6">
        <f>Procurement_Raw!K1463</f>
        <v>30</v>
      </c>
      <c r="L1463" t="str">
        <f>Procurement_Raw!L1463</f>
        <v>ERP</v>
      </c>
      <c r="M1463" s="8">
        <f>Procurement_Raw!M1463</f>
        <v>86.188000000000002</v>
      </c>
      <c r="N1463" s="7">
        <f>Procurement_Raw!N1463</f>
        <v>430.94</v>
      </c>
      <c r="O1463" s="7">
        <f t="shared" si="44"/>
        <v>430.94</v>
      </c>
      <c r="P1463" t="str">
        <f>IFERROR(INDEX(Supplier_Lookup!$B$2:$B$200,MATCH(E1463,Supplier_Lookup!$A$2:$A$200,0)),"Unmapped")</f>
        <v>Food &amp; Catering</v>
      </c>
      <c r="Q1463" s="10">
        <f>IFERROR(INDEX(Category_Targets!$B$2:$B$9,MATCH(F1463,Category_Targets!$A$2:$A$9,0)),0)</f>
        <v>0.04</v>
      </c>
      <c r="R1463" s="7">
        <f t="shared" si="45"/>
        <v>17.2376</v>
      </c>
    </row>
    <row r="1464" spans="1:18" x14ac:dyDescent="0.25">
      <c r="A1464" s="5">
        <f>Procurement_Raw!A1464</f>
        <v>45760</v>
      </c>
      <c r="B1464" t="str">
        <f>Procurement_Raw!B1464</f>
        <v>S017</v>
      </c>
      <c r="C1464" t="str">
        <f>Procurement_Raw!C1464</f>
        <v>Swansea Care &amp; Education Centre</v>
      </c>
      <c r="D1464" t="str">
        <f>Procurement_Raw!D1464</f>
        <v>Wales</v>
      </c>
      <c r="E1464" t="str">
        <f>Procurement_Raw!E1464</f>
        <v>ClinEquip</v>
      </c>
      <c r="F1464" t="str">
        <f>Procurement_Raw!F1464</f>
        <v>Medical Supplies</v>
      </c>
      <c r="G1464" t="str">
        <f>Procurement_Raw!G1464</f>
        <v>INV-2025-01463</v>
      </c>
      <c r="H1464" s="6">
        <f>Procurement_Raw!H1464</f>
        <v>43</v>
      </c>
      <c r="I1464" s="7">
        <f>Procurement_Raw!I1464</f>
        <v>106.97</v>
      </c>
      <c r="J1464" s="7">
        <f>Procurement_Raw!J1464</f>
        <v>4599.62</v>
      </c>
      <c r="K1464" s="6">
        <f>Procurement_Raw!K1464</f>
        <v>30</v>
      </c>
      <c r="L1464" t="str">
        <f>Procurement_Raw!L1464</f>
        <v>Legacy Spend File</v>
      </c>
      <c r="M1464" s="8">
        <f>Procurement_Raw!M1464</f>
        <v>919.92399999999998</v>
      </c>
      <c r="N1464" s="7">
        <f>Procurement_Raw!N1464</f>
        <v>4599.62</v>
      </c>
      <c r="O1464" s="7">
        <f t="shared" si="44"/>
        <v>4599.62</v>
      </c>
      <c r="P1464" t="str">
        <f>IFERROR(INDEX(Supplier_Lookup!$B$2:$B$200,MATCH(E1464,Supplier_Lookup!$A$2:$A$200,0)),"Unmapped")</f>
        <v>Medical Supplies</v>
      </c>
      <c r="Q1464" s="10">
        <f>IFERROR(INDEX(Category_Targets!$B$2:$B$9,MATCH(F1464,Category_Targets!$A$2:$A$9,0)),0)</f>
        <v>0.06</v>
      </c>
      <c r="R1464" s="7">
        <f t="shared" si="45"/>
        <v>275.97719999999998</v>
      </c>
    </row>
    <row r="1465" spans="1:18" x14ac:dyDescent="0.25">
      <c r="A1465" s="5">
        <f>Procurement_Raw!A1465</f>
        <v>46007</v>
      </c>
      <c r="B1465" t="str">
        <f>Procurement_Raw!B1465</f>
        <v>S007</v>
      </c>
      <c r="C1465" t="str">
        <f>Procurement_Raw!C1465</f>
        <v>Nottingham Care &amp; Education Centre</v>
      </c>
      <c r="D1465" t="str">
        <f>Procurement_Raw!D1465</f>
        <v>Midlands</v>
      </c>
      <c r="E1465" t="str">
        <f>Procurement_Raw!E1465</f>
        <v>TeleCare IT</v>
      </c>
      <c r="F1465" t="str">
        <f>Procurement_Raw!F1465</f>
        <v>IT &amp; Telecoms</v>
      </c>
      <c r="G1465" t="str">
        <f>Procurement_Raw!G1465</f>
        <v>INV-2025-01464</v>
      </c>
      <c r="H1465" s="6">
        <f>Procurement_Raw!H1465</f>
        <v>36</v>
      </c>
      <c r="I1465" s="7">
        <f>Procurement_Raw!I1465</f>
        <v>137.81</v>
      </c>
      <c r="J1465" s="7">
        <f>Procurement_Raw!J1465</f>
        <v>4960.99</v>
      </c>
      <c r="K1465" s="6">
        <f>Procurement_Raw!K1465</f>
        <v>30</v>
      </c>
      <c r="L1465" t="str">
        <f>Procurement_Raw!L1465</f>
        <v>Legacy Spend File</v>
      </c>
      <c r="M1465" s="8">
        <f>Procurement_Raw!M1465</f>
        <v>992.19799999999998</v>
      </c>
      <c r="N1465" s="7">
        <f>Procurement_Raw!N1465</f>
        <v>4960.99</v>
      </c>
      <c r="O1465" s="7">
        <f t="shared" si="44"/>
        <v>4960.99</v>
      </c>
      <c r="P1465" t="str">
        <f>IFERROR(INDEX(Supplier_Lookup!$B$2:$B$200,MATCH(E1465,Supplier_Lookup!$A$2:$A$200,0)),"Unmapped")</f>
        <v>IT &amp; Telecoms</v>
      </c>
      <c r="Q1465" s="10">
        <f>IFERROR(INDEX(Category_Targets!$B$2:$B$9,MATCH(F1465,Category_Targets!$A$2:$A$9,0)),0)</f>
        <v>0.08</v>
      </c>
      <c r="R1465" s="7">
        <f t="shared" si="45"/>
        <v>396.87919999999997</v>
      </c>
    </row>
    <row r="1466" spans="1:18" x14ac:dyDescent="0.25">
      <c r="A1466" s="5">
        <f>Procurement_Raw!A1466</f>
        <v>45936</v>
      </c>
      <c r="B1466" t="str">
        <f>Procurement_Raw!B1466</f>
        <v>S007</v>
      </c>
      <c r="C1466" t="str">
        <f>Procurement_Raw!C1466</f>
        <v>Nottingham Care &amp; Education Centre</v>
      </c>
      <c r="D1466" t="str">
        <f>Procurement_Raw!D1466</f>
        <v>Midlands</v>
      </c>
      <c r="E1466" t="str">
        <f>Procurement_Raw!E1466</f>
        <v>BuildCare</v>
      </c>
      <c r="F1466" t="str">
        <f>Procurement_Raw!F1466</f>
        <v>Facilities</v>
      </c>
      <c r="G1466" t="str">
        <f>Procurement_Raw!G1466</f>
        <v>INV-2025-01465</v>
      </c>
      <c r="H1466" s="6">
        <f>Procurement_Raw!H1466</f>
        <v>34</v>
      </c>
      <c r="I1466" s="7">
        <f>Procurement_Raw!I1466</f>
        <v>130.80000000000001</v>
      </c>
      <c r="J1466" s="7">
        <f>Procurement_Raw!J1466</f>
        <v>4447.2</v>
      </c>
      <c r="K1466" s="6">
        <f>Procurement_Raw!K1466</f>
        <v>30</v>
      </c>
      <c r="L1466" t="str">
        <f>Procurement_Raw!L1466</f>
        <v>Procurement Portal</v>
      </c>
      <c r="M1466" s="8">
        <f>Procurement_Raw!M1466</f>
        <v>889.44</v>
      </c>
      <c r="N1466" s="7">
        <f>Procurement_Raw!N1466</f>
        <v>4447.2</v>
      </c>
      <c r="O1466" s="7">
        <f t="shared" si="44"/>
        <v>4447.2</v>
      </c>
      <c r="P1466" t="str">
        <f>IFERROR(INDEX(Supplier_Lookup!$B$2:$B$200,MATCH(E1466,Supplier_Lookup!$A$2:$A$200,0)),"Unmapped")</f>
        <v>Facilities</v>
      </c>
      <c r="Q1466" s="10">
        <f>IFERROR(INDEX(Category_Targets!$B$2:$B$9,MATCH(F1466,Category_Targets!$A$2:$A$9,0)),0)</f>
        <v>0.05</v>
      </c>
      <c r="R1466" s="7">
        <f t="shared" si="45"/>
        <v>222.36</v>
      </c>
    </row>
    <row r="1467" spans="1:18" x14ac:dyDescent="0.25">
      <c r="A1467" s="5">
        <f>Procurement_Raw!A1467</f>
        <v>45865</v>
      </c>
      <c r="B1467" t="str">
        <f>Procurement_Raw!B1467</f>
        <v>S014</v>
      </c>
      <c r="C1467" t="str">
        <f>Procurement_Raw!C1467</f>
        <v>Southampton Care &amp; Education Centre</v>
      </c>
      <c r="D1467" t="str">
        <f>Procurement_Raw!D1467</f>
        <v>South</v>
      </c>
      <c r="E1467" t="str">
        <f>Procurement_Raw!E1467</f>
        <v>RoadReady</v>
      </c>
      <c r="F1467" t="str">
        <f>Procurement_Raw!F1467</f>
        <v>Vehicle &amp; Fuel</v>
      </c>
      <c r="G1467" t="str">
        <f>Procurement_Raw!G1467</f>
        <v>INV-2025-01466</v>
      </c>
      <c r="H1467" s="6">
        <f>Procurement_Raw!H1467</f>
        <v>75</v>
      </c>
      <c r="I1467" s="7">
        <f>Procurement_Raw!I1467</f>
        <v>131.31</v>
      </c>
      <c r="J1467" s="7">
        <f>Procurement_Raw!J1467</f>
        <v>9848.59</v>
      </c>
      <c r="K1467" s="6">
        <f>Procurement_Raw!K1467</f>
        <v>60</v>
      </c>
      <c r="L1467" t="str">
        <f>Procurement_Raw!L1467</f>
        <v>ERP</v>
      </c>
      <c r="M1467" s="8">
        <f>Procurement_Raw!M1467</f>
        <v>1969.7180000000001</v>
      </c>
      <c r="N1467" s="7">
        <f>Procurement_Raw!N1467</f>
        <v>9848.59</v>
      </c>
      <c r="O1467" s="7">
        <f t="shared" si="44"/>
        <v>9848.59</v>
      </c>
      <c r="P1467" t="str">
        <f>IFERROR(INDEX(Supplier_Lookup!$B$2:$B$200,MATCH(E1467,Supplier_Lookup!$A$2:$A$200,0)),"Unmapped")</f>
        <v>Vehicle &amp; Fuel</v>
      </c>
      <c r="Q1467" s="10">
        <f>IFERROR(INDEX(Category_Targets!$B$2:$B$9,MATCH(F1467,Category_Targets!$A$2:$A$9,0)),0)</f>
        <v>0.05</v>
      </c>
      <c r="R1467" s="7">
        <f t="shared" si="45"/>
        <v>492.42950000000002</v>
      </c>
    </row>
    <row r="1468" spans="1:18" x14ac:dyDescent="0.25">
      <c r="A1468" s="5">
        <f>Procurement_Raw!A1468</f>
        <v>45774</v>
      </c>
      <c r="B1468" t="str">
        <f>Procurement_Raw!B1468</f>
        <v>S008</v>
      </c>
      <c r="C1468" t="str">
        <f>Procurement_Raw!C1468</f>
        <v>Leicester Care &amp; Education Centre</v>
      </c>
      <c r="D1468" t="str">
        <f>Procurement_Raw!D1468</f>
        <v>Midlands</v>
      </c>
      <c r="E1468" t="str">
        <f>Procurement_Raw!E1468</f>
        <v>SafeGuard FM</v>
      </c>
      <c r="F1468" t="str">
        <f>Procurement_Raw!F1468</f>
        <v>Facilities</v>
      </c>
      <c r="G1468" t="str">
        <f>Procurement_Raw!G1468</f>
        <v>INV-2025-01467</v>
      </c>
      <c r="H1468" s="6">
        <f>Procurement_Raw!H1468</f>
        <v>30</v>
      </c>
      <c r="I1468" s="7">
        <f>Procurement_Raw!I1468</f>
        <v>450.97</v>
      </c>
      <c r="J1468" s="7">
        <f>Procurement_Raw!J1468</f>
        <v>13529.15</v>
      </c>
      <c r="K1468" s="6">
        <f>Procurement_Raw!K1468</f>
        <v>60</v>
      </c>
      <c r="L1468" t="str">
        <f>Procurement_Raw!L1468</f>
        <v>Legacy Spend File</v>
      </c>
      <c r="M1468" s="8">
        <f>Procurement_Raw!M1468</f>
        <v>2705.83</v>
      </c>
      <c r="N1468" s="7">
        <f>Procurement_Raw!N1468</f>
        <v>13529.15</v>
      </c>
      <c r="O1468" s="7">
        <f t="shared" si="44"/>
        <v>13529.15</v>
      </c>
      <c r="P1468" t="str">
        <f>IFERROR(INDEX(Supplier_Lookup!$B$2:$B$200,MATCH(E1468,Supplier_Lookup!$A$2:$A$200,0)),"Unmapped")</f>
        <v>Facilities</v>
      </c>
      <c r="Q1468" s="10">
        <f>IFERROR(INDEX(Category_Targets!$B$2:$B$9,MATCH(F1468,Category_Targets!$A$2:$A$9,0)),0)</f>
        <v>0.05</v>
      </c>
      <c r="R1468" s="7">
        <f t="shared" si="45"/>
        <v>676.45749999999998</v>
      </c>
    </row>
    <row r="1469" spans="1:18" x14ac:dyDescent="0.25">
      <c r="A1469" s="5">
        <f>Procurement_Raw!A1469</f>
        <v>45922</v>
      </c>
      <c r="B1469" t="str">
        <f>Procurement_Raw!B1469</f>
        <v>S018</v>
      </c>
      <c r="C1469" t="str">
        <f>Procurement_Raw!C1469</f>
        <v>Newport Care &amp; Education Centre</v>
      </c>
      <c r="D1469" t="str">
        <f>Procurement_Raw!D1469</f>
        <v>Wales</v>
      </c>
      <c r="E1469" t="str">
        <f>Procurement_Raw!E1469</f>
        <v>OfficePlus</v>
      </c>
      <c r="F1469" t="str">
        <f>Procurement_Raw!F1469</f>
        <v>Office &amp; Training</v>
      </c>
      <c r="G1469" t="str">
        <f>Procurement_Raw!G1469</f>
        <v>INV-2025-01468</v>
      </c>
      <c r="H1469" s="6">
        <f>Procurement_Raw!H1469</f>
        <v>76</v>
      </c>
      <c r="I1469" s="7">
        <f>Procurement_Raw!I1469</f>
        <v>93.18</v>
      </c>
      <c r="J1469" s="7">
        <f>Procurement_Raw!J1469</f>
        <v>7081.85</v>
      </c>
      <c r="K1469" s="6">
        <f>Procurement_Raw!K1469</f>
        <v>60</v>
      </c>
      <c r="L1469" t="str">
        <f>Procurement_Raw!L1469</f>
        <v>Procurement Portal</v>
      </c>
      <c r="M1469" s="8">
        <f>Procurement_Raw!M1469</f>
        <v>1416.37</v>
      </c>
      <c r="N1469" s="7">
        <f>Procurement_Raw!N1469</f>
        <v>7081.85</v>
      </c>
      <c r="O1469" s="7">
        <f t="shared" si="44"/>
        <v>7081.85</v>
      </c>
      <c r="P1469" t="str">
        <f>IFERROR(INDEX(Supplier_Lookup!$B$2:$B$200,MATCH(E1469,Supplier_Lookup!$A$2:$A$200,0)),"Unmapped")</f>
        <v>Office &amp; Training</v>
      </c>
      <c r="Q1469" s="10">
        <f>IFERROR(INDEX(Category_Targets!$B$2:$B$9,MATCH(F1469,Category_Targets!$A$2:$A$9,0)),0)</f>
        <v>0.04</v>
      </c>
      <c r="R1469" s="7">
        <f t="shared" si="45"/>
        <v>283.274</v>
      </c>
    </row>
    <row r="1470" spans="1:18" x14ac:dyDescent="0.25">
      <c r="A1470" s="5">
        <f>Procurement_Raw!A1470</f>
        <v>45701</v>
      </c>
      <c r="B1470" t="str">
        <f>Procurement_Raw!B1470</f>
        <v>S017</v>
      </c>
      <c r="C1470" t="str">
        <f>Procurement_Raw!C1470</f>
        <v>Swansea Care &amp; Education Centre</v>
      </c>
      <c r="D1470" t="str">
        <f>Procurement_Raw!D1470</f>
        <v>Wales</v>
      </c>
      <c r="E1470" t="str">
        <f>Procurement_Raw!E1470</f>
        <v>LearnWell</v>
      </c>
      <c r="F1470" t="str">
        <f>Procurement_Raw!F1470</f>
        <v>Office &amp; Training</v>
      </c>
      <c r="G1470" t="str">
        <f>Procurement_Raw!G1470</f>
        <v>INV-2025-01469</v>
      </c>
      <c r="H1470" s="6">
        <f>Procurement_Raw!H1470</f>
        <v>41</v>
      </c>
      <c r="I1470" s="7">
        <f>Procurement_Raw!I1470</f>
        <v>38.85</v>
      </c>
      <c r="J1470" s="7">
        <f>Procurement_Raw!J1470</f>
        <v>1592.92</v>
      </c>
      <c r="K1470" s="6">
        <f>Procurement_Raw!K1470</f>
        <v>30</v>
      </c>
      <c r="L1470" t="str">
        <f>Procurement_Raw!L1470</f>
        <v>Procurement Portal</v>
      </c>
      <c r="M1470" s="8">
        <f>Procurement_Raw!M1470</f>
        <v>318.584</v>
      </c>
      <c r="N1470" s="7">
        <f>Procurement_Raw!N1470</f>
        <v>1592.92</v>
      </c>
      <c r="O1470" s="7">
        <f t="shared" si="44"/>
        <v>1592.92</v>
      </c>
      <c r="P1470" t="str">
        <f>IFERROR(INDEX(Supplier_Lookup!$B$2:$B$200,MATCH(E1470,Supplier_Lookup!$A$2:$A$200,0)),"Unmapped")</f>
        <v>Office &amp; Training</v>
      </c>
      <c r="Q1470" s="10">
        <f>IFERROR(INDEX(Category_Targets!$B$2:$B$9,MATCH(F1470,Category_Targets!$A$2:$A$9,0)),0)</f>
        <v>0.04</v>
      </c>
      <c r="R1470" s="7">
        <f t="shared" si="45"/>
        <v>63.716800000000006</v>
      </c>
    </row>
    <row r="1471" spans="1:18" x14ac:dyDescent="0.25">
      <c r="A1471" s="5">
        <f>Procurement_Raw!A1471</f>
        <v>45882</v>
      </c>
      <c r="B1471" t="str">
        <f>Procurement_Raw!B1471</f>
        <v>S018</v>
      </c>
      <c r="C1471" t="str">
        <f>Procurement_Raw!C1471</f>
        <v>Newport Care &amp; Education Centre</v>
      </c>
      <c r="D1471" t="str">
        <f>Procurement_Raw!D1471</f>
        <v>Wales</v>
      </c>
      <c r="E1471" t="str">
        <f>Procurement_Raw!E1471</f>
        <v>HealthStaffing</v>
      </c>
      <c r="F1471" t="str">
        <f>Procurement_Raw!F1471</f>
        <v>Agency Labour</v>
      </c>
      <c r="G1471" t="str">
        <f>Procurement_Raw!G1471</f>
        <v>INV-2025-01470</v>
      </c>
      <c r="H1471" s="6">
        <f>Procurement_Raw!H1471</f>
        <v>58</v>
      </c>
      <c r="I1471" s="7">
        <f>Procurement_Raw!I1471</f>
        <v>383.11</v>
      </c>
      <c r="J1471" s="7">
        <f>Procurement_Raw!J1471</f>
        <v>22220.2</v>
      </c>
      <c r="K1471" s="6">
        <f>Procurement_Raw!K1471</f>
        <v>60</v>
      </c>
      <c r="L1471" t="str">
        <f>Procurement_Raw!L1471</f>
        <v>ERP</v>
      </c>
      <c r="M1471" s="8">
        <f>Procurement_Raw!M1471</f>
        <v>4444.04</v>
      </c>
      <c r="N1471" s="7">
        <f>Procurement_Raw!N1471</f>
        <v>22220.2</v>
      </c>
      <c r="O1471" s="7">
        <f t="shared" si="44"/>
        <v>22220.2</v>
      </c>
      <c r="P1471" t="str">
        <f>IFERROR(INDEX(Supplier_Lookup!$B$2:$B$200,MATCH(E1471,Supplier_Lookup!$A$2:$A$200,0)),"Unmapped")</f>
        <v>Agency Labour</v>
      </c>
      <c r="Q1471" s="10">
        <f>IFERROR(INDEX(Category_Targets!$B$2:$B$9,MATCH(F1471,Category_Targets!$A$2:$A$9,0)),0)</f>
        <v>7.0000000000000007E-2</v>
      </c>
      <c r="R1471" s="7">
        <f t="shared" si="45"/>
        <v>1555.4140000000002</v>
      </c>
    </row>
    <row r="1472" spans="1:18" x14ac:dyDescent="0.25">
      <c r="A1472" s="5">
        <f>Procurement_Raw!A1472</f>
        <v>45723</v>
      </c>
      <c r="B1472" t="str">
        <f>Procurement_Raw!B1472</f>
        <v>S011</v>
      </c>
      <c r="C1472" t="str">
        <f>Procurement_Raw!C1472</f>
        <v>London Care &amp; Education Centre</v>
      </c>
      <c r="D1472" t="str">
        <f>Procurement_Raw!D1472</f>
        <v>South</v>
      </c>
      <c r="E1472" t="str">
        <f>Procurement_Raw!E1472</f>
        <v>BuildCare</v>
      </c>
      <c r="F1472" t="str">
        <f>Procurement_Raw!F1472</f>
        <v>Facilities</v>
      </c>
      <c r="G1472" t="str">
        <f>Procurement_Raw!G1472</f>
        <v>INV-2025-01471</v>
      </c>
      <c r="H1472" s="6">
        <f>Procurement_Raw!H1472</f>
        <v>40</v>
      </c>
      <c r="I1472" s="7">
        <f>Procurement_Raw!I1472</f>
        <v>347.62</v>
      </c>
      <c r="J1472" s="7">
        <f>Procurement_Raw!J1472</f>
        <v>13904.72</v>
      </c>
      <c r="K1472" s="6">
        <f>Procurement_Raw!K1472</f>
        <v>60</v>
      </c>
      <c r="L1472" t="str">
        <f>Procurement_Raw!L1472</f>
        <v>ERP</v>
      </c>
      <c r="M1472" s="8">
        <f>Procurement_Raw!M1472</f>
        <v>2780.944</v>
      </c>
      <c r="N1472" s="7">
        <f>Procurement_Raw!N1472</f>
        <v>13904.72</v>
      </c>
      <c r="O1472" s="7">
        <f t="shared" si="44"/>
        <v>13904.72</v>
      </c>
      <c r="P1472" t="str">
        <f>IFERROR(INDEX(Supplier_Lookup!$B$2:$B$200,MATCH(E1472,Supplier_Lookup!$A$2:$A$200,0)),"Unmapped")</f>
        <v>Facilities</v>
      </c>
      <c r="Q1472" s="10">
        <f>IFERROR(INDEX(Category_Targets!$B$2:$B$9,MATCH(F1472,Category_Targets!$A$2:$A$9,0)),0)</f>
        <v>0.05</v>
      </c>
      <c r="R1472" s="7">
        <f t="shared" si="45"/>
        <v>695.23599999999999</v>
      </c>
    </row>
    <row r="1473" spans="1:18" x14ac:dyDescent="0.25">
      <c r="A1473" s="5">
        <f>Procurement_Raw!A1473</f>
        <v>45773</v>
      </c>
      <c r="B1473" t="str">
        <f>Procurement_Raw!B1473</f>
        <v>S012</v>
      </c>
      <c r="C1473" t="str">
        <f>Procurement_Raw!C1473</f>
        <v>Bristol Care &amp; Education Centre</v>
      </c>
      <c r="D1473" t="str">
        <f>Procurement_Raw!D1473</f>
        <v>South</v>
      </c>
      <c r="E1473" t="str">
        <f>Procurement_Raw!E1473</f>
        <v>RoadReady</v>
      </c>
      <c r="F1473" t="str">
        <f>Procurement_Raw!F1473</f>
        <v>Vehicle &amp; Fuel</v>
      </c>
      <c r="G1473" t="str">
        <f>Procurement_Raw!G1473</f>
        <v>INV-2025-01472</v>
      </c>
      <c r="H1473" s="6">
        <f>Procurement_Raw!H1473</f>
        <v>54</v>
      </c>
      <c r="I1473" s="7">
        <f>Procurement_Raw!I1473</f>
        <v>67.930000000000007</v>
      </c>
      <c r="J1473" s="7">
        <f>Procurement_Raw!J1473</f>
        <v>3668.29</v>
      </c>
      <c r="K1473" s="6">
        <f>Procurement_Raw!K1473</f>
        <v>45</v>
      </c>
      <c r="L1473" t="str">
        <f>Procurement_Raw!L1473</f>
        <v>Legacy Spend File</v>
      </c>
      <c r="M1473" s="8">
        <f>Procurement_Raw!M1473</f>
        <v>733.65800000000002</v>
      </c>
      <c r="N1473" s="7">
        <f>Procurement_Raw!N1473</f>
        <v>3668.29</v>
      </c>
      <c r="O1473" s="7">
        <f t="shared" si="44"/>
        <v>3668.29</v>
      </c>
      <c r="P1473" t="str">
        <f>IFERROR(INDEX(Supplier_Lookup!$B$2:$B$200,MATCH(E1473,Supplier_Lookup!$A$2:$A$200,0)),"Unmapped")</f>
        <v>Vehicle &amp; Fuel</v>
      </c>
      <c r="Q1473" s="10">
        <f>IFERROR(INDEX(Category_Targets!$B$2:$B$9,MATCH(F1473,Category_Targets!$A$2:$A$9,0)),0)</f>
        <v>0.05</v>
      </c>
      <c r="R1473" s="7">
        <f t="shared" si="45"/>
        <v>183.4145</v>
      </c>
    </row>
    <row r="1474" spans="1:18" x14ac:dyDescent="0.25">
      <c r="A1474" s="5">
        <f>Procurement_Raw!A1474</f>
        <v>45933</v>
      </c>
      <c r="B1474" t="str">
        <f>Procurement_Raw!B1474</f>
        <v>S016</v>
      </c>
      <c r="C1474" t="str">
        <f>Procurement_Raw!C1474</f>
        <v>Cardiff Care &amp; Education Centre</v>
      </c>
      <c r="D1474" t="str">
        <f>Procurement_Raw!D1474</f>
        <v>Wales</v>
      </c>
      <c r="E1474" t="str">
        <f>Procurement_Raw!E1474</f>
        <v>NurseLink</v>
      </c>
      <c r="F1474" t="str">
        <f>Procurement_Raw!F1474</f>
        <v>Agency Labour</v>
      </c>
      <c r="G1474" t="str">
        <f>Procurement_Raw!G1474</f>
        <v>INV-2025-01473</v>
      </c>
      <c r="H1474" s="6">
        <f>Procurement_Raw!H1474</f>
        <v>39</v>
      </c>
      <c r="I1474" s="7">
        <f>Procurement_Raw!I1474</f>
        <v>278.68</v>
      </c>
      <c r="J1474" s="7">
        <f>Procurement_Raw!J1474</f>
        <v>10868.62</v>
      </c>
      <c r="K1474" s="6">
        <f>Procurement_Raw!K1474</f>
        <v>45</v>
      </c>
      <c r="L1474" t="str">
        <f>Procurement_Raw!L1474</f>
        <v>Legacy Spend File</v>
      </c>
      <c r="M1474" s="8">
        <f>Procurement_Raw!M1474</f>
        <v>2173.7240000000002</v>
      </c>
      <c r="N1474" s="7">
        <f>Procurement_Raw!N1474</f>
        <v>10868.62</v>
      </c>
      <c r="O1474" s="7">
        <f t="shared" ref="O1474:O1537" si="46">IFERROR(IF(J1474="","",J1474),0)</f>
        <v>10868.62</v>
      </c>
      <c r="P1474" t="str">
        <f>IFERROR(INDEX(Supplier_Lookup!$B$2:$B$200,MATCH(E1474,Supplier_Lookup!$A$2:$A$200,0)),"Unmapped")</f>
        <v>Agency Labour</v>
      </c>
      <c r="Q1474" s="10">
        <f>IFERROR(INDEX(Category_Targets!$B$2:$B$9,MATCH(F1474,Category_Targets!$A$2:$A$9,0)),0)</f>
        <v>7.0000000000000007E-2</v>
      </c>
      <c r="R1474" s="7">
        <f t="shared" ref="R1474:R1537" si="47">O1474*Q1474</f>
        <v>760.80340000000012</v>
      </c>
    </row>
    <row r="1475" spans="1:18" x14ac:dyDescent="0.25">
      <c r="A1475" s="5">
        <f>Procurement_Raw!A1475</f>
        <v>45736</v>
      </c>
      <c r="B1475" t="str">
        <f>Procurement_Raw!B1475</f>
        <v>S006</v>
      </c>
      <c r="C1475" t="str">
        <f>Procurement_Raw!C1475</f>
        <v>Birmingham Care &amp; Education Centre</v>
      </c>
      <c r="D1475" t="str">
        <f>Procurement_Raw!D1475</f>
        <v>Midlands</v>
      </c>
      <c r="E1475" t="str">
        <f>Procurement_Raw!E1475</f>
        <v>MediSure</v>
      </c>
      <c r="F1475" t="str">
        <f>Procurement_Raw!F1475</f>
        <v>Medical Supplies</v>
      </c>
      <c r="G1475" t="str">
        <f>Procurement_Raw!G1475</f>
        <v>INV-2025-01474</v>
      </c>
      <c r="H1475" s="6">
        <f>Procurement_Raw!H1475</f>
        <v>43</v>
      </c>
      <c r="I1475" s="7">
        <f>Procurement_Raw!I1475</f>
        <v>120.97</v>
      </c>
      <c r="J1475" s="7">
        <f>Procurement_Raw!J1475</f>
        <v>5201.8500000000004</v>
      </c>
      <c r="K1475" s="6">
        <f>Procurement_Raw!K1475</f>
        <v>60</v>
      </c>
      <c r="L1475" t="str">
        <f>Procurement_Raw!L1475</f>
        <v>Legacy Spend File</v>
      </c>
      <c r="M1475" s="8">
        <f>Procurement_Raw!M1475</f>
        <v>1040.3699999999999</v>
      </c>
      <c r="N1475" s="7">
        <f>Procurement_Raw!N1475</f>
        <v>5201.8500000000004</v>
      </c>
      <c r="O1475" s="7">
        <f t="shared" si="46"/>
        <v>5201.8500000000004</v>
      </c>
      <c r="P1475" t="str">
        <f>IFERROR(INDEX(Supplier_Lookup!$B$2:$B$200,MATCH(E1475,Supplier_Lookup!$A$2:$A$200,0)),"Unmapped")</f>
        <v>Medical Supplies</v>
      </c>
      <c r="Q1475" s="10">
        <f>IFERROR(INDEX(Category_Targets!$B$2:$B$9,MATCH(F1475,Category_Targets!$A$2:$A$9,0)),0)</f>
        <v>0.06</v>
      </c>
      <c r="R1475" s="7">
        <f t="shared" si="47"/>
        <v>312.11099999999999</v>
      </c>
    </row>
    <row r="1476" spans="1:18" x14ac:dyDescent="0.25">
      <c r="A1476" s="5">
        <f>Procurement_Raw!A1476</f>
        <v>45762</v>
      </c>
      <c r="B1476" t="str">
        <f>Procurement_Raw!B1476</f>
        <v>S017</v>
      </c>
      <c r="C1476" t="str">
        <f>Procurement_Raw!C1476</f>
        <v>Swansea Care &amp; Education Centre</v>
      </c>
      <c r="D1476" t="str">
        <f>Procurement_Raw!D1476</f>
        <v>Wales</v>
      </c>
      <c r="E1476" t="str">
        <f>Procurement_Raw!E1476</f>
        <v>CareTemps</v>
      </c>
      <c r="F1476" t="str">
        <f>Procurement_Raw!F1476</f>
        <v>Agency Labour</v>
      </c>
      <c r="G1476" t="str">
        <f>Procurement_Raw!G1476</f>
        <v>INV-2025-01475</v>
      </c>
      <c r="H1476" s="6">
        <f>Procurement_Raw!H1476</f>
        <v>51</v>
      </c>
      <c r="I1476" s="7">
        <f>Procurement_Raw!I1476</f>
        <v>194.82</v>
      </c>
      <c r="J1476" s="7">
        <f>Procurement_Raw!J1476</f>
        <v>9935.94</v>
      </c>
      <c r="K1476" s="6">
        <f>Procurement_Raw!K1476</f>
        <v>30</v>
      </c>
      <c r="L1476" t="str">
        <f>Procurement_Raw!L1476</f>
        <v>Legacy Spend File</v>
      </c>
      <c r="M1476" s="8">
        <f>Procurement_Raw!M1476</f>
        <v>1987.1880000000001</v>
      </c>
      <c r="N1476" s="7">
        <f>Procurement_Raw!N1476</f>
        <v>9935.94</v>
      </c>
      <c r="O1476" s="7">
        <f t="shared" si="46"/>
        <v>9935.94</v>
      </c>
      <c r="P1476" t="str">
        <f>IFERROR(INDEX(Supplier_Lookup!$B$2:$B$200,MATCH(E1476,Supplier_Lookup!$A$2:$A$200,0)),"Unmapped")</f>
        <v>Agency Labour</v>
      </c>
      <c r="Q1476" s="10">
        <f>IFERROR(INDEX(Category_Targets!$B$2:$B$9,MATCH(F1476,Category_Targets!$A$2:$A$9,0)),0)</f>
        <v>7.0000000000000007E-2</v>
      </c>
      <c r="R1476" s="7">
        <f t="shared" si="47"/>
        <v>695.51580000000013</v>
      </c>
    </row>
    <row r="1477" spans="1:18" x14ac:dyDescent="0.25">
      <c r="A1477" s="5">
        <f>Procurement_Raw!A1477</f>
        <v>45713</v>
      </c>
      <c r="B1477" t="str">
        <f>Procurement_Raw!B1477</f>
        <v>S013</v>
      </c>
      <c r="C1477" t="str">
        <f>Procurement_Raw!C1477</f>
        <v>Reading Care &amp; Education Centre</v>
      </c>
      <c r="D1477" t="str">
        <f>Procurement_Raw!D1477</f>
        <v>South</v>
      </c>
      <c r="E1477" t="str">
        <f>Procurement_Raw!E1477</f>
        <v>WaterGrid</v>
      </c>
      <c r="F1477" t="str">
        <f>Procurement_Raw!F1477</f>
        <v>Utilities</v>
      </c>
      <c r="G1477" t="str">
        <f>Procurement_Raw!G1477</f>
        <v>INV-2025-01476</v>
      </c>
      <c r="H1477" s="6">
        <f>Procurement_Raw!H1477</f>
        <v>43</v>
      </c>
      <c r="I1477" s="7">
        <f>Procurement_Raw!I1477</f>
        <v>357.1</v>
      </c>
      <c r="J1477" s="7">
        <f>Procurement_Raw!J1477</f>
        <v>15355.29</v>
      </c>
      <c r="K1477" s="6">
        <f>Procurement_Raw!K1477</f>
        <v>60</v>
      </c>
      <c r="L1477" t="str">
        <f>Procurement_Raw!L1477</f>
        <v>Procurement Portal</v>
      </c>
      <c r="M1477" s="8">
        <f>Procurement_Raw!M1477</f>
        <v>3071.058</v>
      </c>
      <c r="N1477" s="7">
        <f>Procurement_Raw!N1477</f>
        <v>15355.29</v>
      </c>
      <c r="O1477" s="7">
        <f t="shared" si="46"/>
        <v>15355.29</v>
      </c>
      <c r="P1477" t="str">
        <f>IFERROR(INDEX(Supplier_Lookup!$B$2:$B$200,MATCH(E1477,Supplier_Lookup!$A$2:$A$200,0)),"Unmapped")</f>
        <v>Utilities</v>
      </c>
      <c r="Q1477" s="10">
        <f>IFERROR(INDEX(Category_Targets!$B$2:$B$9,MATCH(F1477,Category_Targets!$A$2:$A$9,0)),0)</f>
        <v>0.03</v>
      </c>
      <c r="R1477" s="7">
        <f t="shared" si="47"/>
        <v>460.65870000000001</v>
      </c>
    </row>
    <row r="1478" spans="1:18" x14ac:dyDescent="0.25">
      <c r="A1478" s="5">
        <f>Procurement_Raw!A1478</f>
        <v>45745</v>
      </c>
      <c r="B1478" t="str">
        <f>Procurement_Raw!B1478</f>
        <v>S004</v>
      </c>
      <c r="C1478" t="str">
        <f>Procurement_Raw!C1478</f>
        <v>Newcastle Care &amp; Education Centre</v>
      </c>
      <c r="D1478" t="str">
        <f>Procurement_Raw!D1478</f>
        <v>North</v>
      </c>
      <c r="E1478" t="str">
        <f>Procurement_Raw!E1478</f>
        <v>CloudLink</v>
      </c>
      <c r="F1478" t="str">
        <f>Procurement_Raw!F1478</f>
        <v>IT &amp; Telecoms</v>
      </c>
      <c r="G1478" t="str">
        <f>Procurement_Raw!G1478</f>
        <v>INV-2025-01477</v>
      </c>
      <c r="H1478" s="6">
        <f>Procurement_Raw!H1478</f>
        <v>14</v>
      </c>
      <c r="I1478" s="7">
        <f>Procurement_Raw!I1478</f>
        <v>205.84</v>
      </c>
      <c r="J1478" s="7">
        <f>Procurement_Raw!J1478</f>
        <v>2881.78</v>
      </c>
      <c r="K1478" s="6">
        <f>Procurement_Raw!K1478</f>
        <v>60</v>
      </c>
      <c r="L1478" t="str">
        <f>Procurement_Raw!L1478</f>
        <v>Legacy Spend File</v>
      </c>
      <c r="M1478" s="8">
        <f>Procurement_Raw!M1478</f>
        <v>576.35599999999999</v>
      </c>
      <c r="N1478" s="7">
        <f>Procurement_Raw!N1478</f>
        <v>2881.78</v>
      </c>
      <c r="O1478" s="7">
        <f t="shared" si="46"/>
        <v>2881.78</v>
      </c>
      <c r="P1478" t="str">
        <f>IFERROR(INDEX(Supplier_Lookup!$B$2:$B$200,MATCH(E1478,Supplier_Lookup!$A$2:$A$200,0)),"Unmapped")</f>
        <v>medical supplies</v>
      </c>
      <c r="Q1478" s="10">
        <f>IFERROR(INDEX(Category_Targets!$B$2:$B$9,MATCH(F1478,Category_Targets!$A$2:$A$9,0)),0)</f>
        <v>0.08</v>
      </c>
      <c r="R1478" s="7">
        <f t="shared" si="47"/>
        <v>230.54240000000001</v>
      </c>
    </row>
    <row r="1479" spans="1:18" x14ac:dyDescent="0.25">
      <c r="A1479" s="5">
        <f>Procurement_Raw!A1479</f>
        <v>45966</v>
      </c>
      <c r="B1479" t="str">
        <f>Procurement_Raw!B1479</f>
        <v>S013</v>
      </c>
      <c r="C1479" t="str">
        <f>Procurement_Raw!C1479</f>
        <v>Reading Care &amp; Education Centre</v>
      </c>
      <c r="D1479" t="str">
        <f>Procurement_Raw!D1479</f>
        <v>South</v>
      </c>
      <c r="E1479" t="str">
        <f>Procurement_Raw!E1479</f>
        <v>ClinEquip</v>
      </c>
      <c r="F1479" t="str">
        <f>Procurement_Raw!F1479</f>
        <v>Medical Supplies</v>
      </c>
      <c r="G1479" t="str">
        <f>Procurement_Raw!G1479</f>
        <v>INV-2025-01478</v>
      </c>
      <c r="H1479" s="6">
        <f>Procurement_Raw!H1479</f>
        <v>63</v>
      </c>
      <c r="I1479" s="7">
        <f>Procurement_Raw!I1479</f>
        <v>151.13999999999999</v>
      </c>
      <c r="J1479" s="7">
        <f>Procurement_Raw!J1479</f>
        <v>9522.09</v>
      </c>
      <c r="K1479" s="6">
        <f>Procurement_Raw!K1479</f>
        <v>30</v>
      </c>
      <c r="L1479" t="str">
        <f>Procurement_Raw!L1479</f>
        <v>ERP</v>
      </c>
      <c r="M1479" s="8">
        <f>Procurement_Raw!M1479</f>
        <v>1904.4179999999999</v>
      </c>
      <c r="N1479" s="7">
        <f>Procurement_Raw!N1479</f>
        <v>9522.09</v>
      </c>
      <c r="O1479" s="7">
        <f t="shared" si="46"/>
        <v>9522.09</v>
      </c>
      <c r="P1479" t="str">
        <f>IFERROR(INDEX(Supplier_Lookup!$B$2:$B$200,MATCH(E1479,Supplier_Lookup!$A$2:$A$200,0)),"Unmapped")</f>
        <v>Medical Supplies</v>
      </c>
      <c r="Q1479" s="10">
        <f>IFERROR(INDEX(Category_Targets!$B$2:$B$9,MATCH(F1479,Category_Targets!$A$2:$A$9,0)),0)</f>
        <v>0.06</v>
      </c>
      <c r="R1479" s="7">
        <f t="shared" si="47"/>
        <v>571.32539999999995</v>
      </c>
    </row>
    <row r="1480" spans="1:18" x14ac:dyDescent="0.25">
      <c r="A1480" s="5">
        <f>Procurement_Raw!A1480</f>
        <v>45803</v>
      </c>
      <c r="B1480" t="str">
        <f>Procurement_Raw!B1480</f>
        <v>S019</v>
      </c>
      <c r="C1480" t="str">
        <f>Procurement_Raw!C1480</f>
        <v>Wrexham Care &amp; Education Centre</v>
      </c>
      <c r="D1480" t="str">
        <f>Procurement_Raw!D1480</f>
        <v>Wales</v>
      </c>
      <c r="E1480" t="str">
        <f>Procurement_Raw!E1480</f>
        <v>NourishCo</v>
      </c>
      <c r="F1480" t="str">
        <f>Procurement_Raw!F1480</f>
        <v>Food &amp; Catering</v>
      </c>
      <c r="G1480" t="str">
        <f>Procurement_Raw!G1480</f>
        <v>INV-2025-01479</v>
      </c>
      <c r="H1480" s="6">
        <f>Procurement_Raw!H1480</f>
        <v>27</v>
      </c>
      <c r="I1480" s="7">
        <f>Procurement_Raw!I1480</f>
        <v>39.9</v>
      </c>
      <c r="J1480" s="7">
        <f>Procurement_Raw!J1480</f>
        <v>1077.18</v>
      </c>
      <c r="K1480" s="6">
        <f>Procurement_Raw!K1480</f>
        <v>30</v>
      </c>
      <c r="L1480" t="str">
        <f>Procurement_Raw!L1480</f>
        <v>Procurement Portal</v>
      </c>
      <c r="M1480" s="8">
        <f>Procurement_Raw!M1480</f>
        <v>215.43600000000001</v>
      </c>
      <c r="N1480" s="7">
        <f>Procurement_Raw!N1480</f>
        <v>1077.18</v>
      </c>
      <c r="O1480" s="7">
        <f t="shared" si="46"/>
        <v>1077.18</v>
      </c>
      <c r="P1480" t="str">
        <f>IFERROR(INDEX(Supplier_Lookup!$B$2:$B$200,MATCH(E1480,Supplier_Lookup!$A$2:$A$200,0)),"Unmapped")</f>
        <v>Food &amp; Catering</v>
      </c>
      <c r="Q1480" s="10">
        <f>IFERROR(INDEX(Category_Targets!$B$2:$B$9,MATCH(F1480,Category_Targets!$A$2:$A$9,0)),0)</f>
        <v>0.04</v>
      </c>
      <c r="R1480" s="7">
        <f t="shared" si="47"/>
        <v>43.087200000000003</v>
      </c>
    </row>
    <row r="1481" spans="1:18" x14ac:dyDescent="0.25">
      <c r="A1481" s="5">
        <f>Procurement_Raw!A1481</f>
        <v>45687</v>
      </c>
      <c r="B1481" t="str">
        <f>Procurement_Raw!B1481</f>
        <v>S013</v>
      </c>
      <c r="C1481" t="str">
        <f>Procurement_Raw!C1481</f>
        <v>Reading Care &amp; Education Centre</v>
      </c>
      <c r="D1481" t="str">
        <f>Procurement_Raw!D1481</f>
        <v>South</v>
      </c>
      <c r="E1481" t="str">
        <f>Procurement_Raw!E1481</f>
        <v>NourishCo</v>
      </c>
      <c r="F1481" t="str">
        <f>Procurement_Raw!F1481</f>
        <v>Food &amp; Catering</v>
      </c>
      <c r="G1481" t="str">
        <f>Procurement_Raw!G1481</f>
        <v>INV-2025-01480</v>
      </c>
      <c r="H1481" s="6">
        <f>Procurement_Raw!H1481</f>
        <v>48</v>
      </c>
      <c r="I1481" s="7">
        <f>Procurement_Raw!I1481</f>
        <v>51.1</v>
      </c>
      <c r="J1481" s="7">
        <f>Procurement_Raw!J1481</f>
        <v>2452.8000000000002</v>
      </c>
      <c r="K1481" s="6">
        <f>Procurement_Raw!K1481</f>
        <v>60</v>
      </c>
      <c r="L1481" t="str">
        <f>Procurement_Raw!L1481</f>
        <v>ERP</v>
      </c>
      <c r="M1481" s="8">
        <f>Procurement_Raw!M1481</f>
        <v>490.56</v>
      </c>
      <c r="N1481" s="7">
        <f>Procurement_Raw!N1481</f>
        <v>2452.8000000000002</v>
      </c>
      <c r="O1481" s="7">
        <f t="shared" si="46"/>
        <v>2452.8000000000002</v>
      </c>
      <c r="P1481" t="str">
        <f>IFERROR(INDEX(Supplier_Lookup!$B$2:$B$200,MATCH(E1481,Supplier_Lookup!$A$2:$A$200,0)),"Unmapped")</f>
        <v>Food &amp; Catering</v>
      </c>
      <c r="Q1481" s="10">
        <f>IFERROR(INDEX(Category_Targets!$B$2:$B$9,MATCH(F1481,Category_Targets!$A$2:$A$9,0)),0)</f>
        <v>0.04</v>
      </c>
      <c r="R1481" s="7">
        <f t="shared" si="47"/>
        <v>98.112000000000009</v>
      </c>
    </row>
    <row r="1482" spans="1:18" x14ac:dyDescent="0.25">
      <c r="A1482" s="5">
        <f>Procurement_Raw!A1482</f>
        <v>45858</v>
      </c>
      <c r="B1482" t="str">
        <f>Procurement_Raw!B1482</f>
        <v>S007</v>
      </c>
      <c r="C1482" t="str">
        <f>Procurement_Raw!C1482</f>
        <v>Nottingham Care &amp; Education Centre</v>
      </c>
      <c r="D1482" t="str">
        <f>Procurement_Raw!D1482</f>
        <v>Midlands</v>
      </c>
      <c r="E1482" t="str">
        <f>Procurement_Raw!E1482</f>
        <v>RoadReady</v>
      </c>
      <c r="F1482" t="str">
        <f>Procurement_Raw!F1482</f>
        <v>Vehicle &amp; Fuel</v>
      </c>
      <c r="G1482" t="str">
        <f>Procurement_Raw!G1482</f>
        <v>INV-2025-01481</v>
      </c>
      <c r="H1482" s="6">
        <f>Procurement_Raw!H1482</f>
        <v>21</v>
      </c>
      <c r="I1482" s="7">
        <f>Procurement_Raw!I1482</f>
        <v>141.34</v>
      </c>
      <c r="J1482" s="7">
        <f>Procurement_Raw!J1482</f>
        <v>2968.19</v>
      </c>
      <c r="K1482" s="6">
        <f>Procurement_Raw!K1482</f>
        <v>30</v>
      </c>
      <c r="L1482" t="str">
        <f>Procurement_Raw!L1482</f>
        <v>ERP</v>
      </c>
      <c r="M1482" s="8">
        <f>Procurement_Raw!M1482</f>
        <v>593.63800000000003</v>
      </c>
      <c r="N1482" s="7">
        <f>Procurement_Raw!N1482</f>
        <v>2968.19</v>
      </c>
      <c r="O1482" s="7">
        <f t="shared" si="46"/>
        <v>2968.19</v>
      </c>
      <c r="P1482" t="str">
        <f>IFERROR(INDEX(Supplier_Lookup!$B$2:$B$200,MATCH(E1482,Supplier_Lookup!$A$2:$A$200,0)),"Unmapped")</f>
        <v>Vehicle &amp; Fuel</v>
      </c>
      <c r="Q1482" s="10">
        <f>IFERROR(INDEX(Category_Targets!$B$2:$B$9,MATCH(F1482,Category_Targets!$A$2:$A$9,0)),0)</f>
        <v>0.05</v>
      </c>
      <c r="R1482" s="7">
        <f t="shared" si="47"/>
        <v>148.40950000000001</v>
      </c>
    </row>
    <row r="1483" spans="1:18" x14ac:dyDescent="0.25">
      <c r="A1483" s="5">
        <f>Procurement_Raw!A1483</f>
        <v>45693</v>
      </c>
      <c r="B1483" t="str">
        <f>Procurement_Raw!B1483</f>
        <v>S014</v>
      </c>
      <c r="C1483" t="str">
        <f>Procurement_Raw!C1483</f>
        <v>Southampton Care &amp; Education Centre</v>
      </c>
      <c r="D1483" t="str">
        <f>Procurement_Raw!D1483</f>
        <v>South</v>
      </c>
      <c r="E1483" t="str">
        <f>Procurement_Raw!E1483</f>
        <v>CareTemps</v>
      </c>
      <c r="F1483" t="str">
        <f>Procurement_Raw!F1483</f>
        <v>Agency Labour</v>
      </c>
      <c r="G1483" t="str">
        <f>Procurement_Raw!G1483</f>
        <v>INV-2025-01482</v>
      </c>
      <c r="H1483" s="6">
        <f>Procurement_Raw!H1483</f>
        <v>50</v>
      </c>
      <c r="I1483" s="7">
        <f>Procurement_Raw!I1483</f>
        <v>244.38</v>
      </c>
      <c r="J1483" s="7">
        <f>Procurement_Raw!J1483</f>
        <v>12219</v>
      </c>
      <c r="K1483" s="6">
        <f>Procurement_Raw!K1483</f>
        <v>30</v>
      </c>
      <c r="L1483" t="str">
        <f>Procurement_Raw!L1483</f>
        <v>ERP</v>
      </c>
      <c r="M1483" s="8">
        <f>Procurement_Raw!M1483</f>
        <v>2443.8000000000002</v>
      </c>
      <c r="N1483" s="7">
        <f>Procurement_Raw!N1483</f>
        <v>12219</v>
      </c>
      <c r="O1483" s="7">
        <f t="shared" si="46"/>
        <v>12219</v>
      </c>
      <c r="P1483" t="str">
        <f>IFERROR(INDEX(Supplier_Lookup!$B$2:$B$200,MATCH(E1483,Supplier_Lookup!$A$2:$A$200,0)),"Unmapped")</f>
        <v>Agency Labour</v>
      </c>
      <c r="Q1483" s="10">
        <f>IFERROR(INDEX(Category_Targets!$B$2:$B$9,MATCH(F1483,Category_Targets!$A$2:$A$9,0)),0)</f>
        <v>7.0000000000000007E-2</v>
      </c>
      <c r="R1483" s="7">
        <f t="shared" si="47"/>
        <v>855.33</v>
      </c>
    </row>
    <row r="1484" spans="1:18" x14ac:dyDescent="0.25">
      <c r="A1484" s="5">
        <f>Procurement_Raw!A1484</f>
        <v>46021</v>
      </c>
      <c r="B1484" t="str">
        <f>Procurement_Raw!B1484</f>
        <v>S014</v>
      </c>
      <c r="C1484" t="str">
        <f>Procurement_Raw!C1484</f>
        <v>Southampton Care &amp; Education Centre</v>
      </c>
      <c r="D1484" t="str">
        <f>Procurement_Raw!D1484</f>
        <v>South</v>
      </c>
      <c r="E1484" t="str">
        <f>Procurement_Raw!E1484</f>
        <v>TeleCare IT</v>
      </c>
      <c r="F1484" t="str">
        <f>Procurement_Raw!F1484</f>
        <v>IT &amp; Telecoms</v>
      </c>
      <c r="G1484" t="str">
        <f>Procurement_Raw!G1484</f>
        <v>INV-2025-01483</v>
      </c>
      <c r="H1484" s="6">
        <f>Procurement_Raw!H1484</f>
        <v>61</v>
      </c>
      <c r="I1484" s="7">
        <f>Procurement_Raw!I1484</f>
        <v>568.76</v>
      </c>
      <c r="J1484" s="7">
        <f>Procurement_Raw!J1484</f>
        <v>34694.33</v>
      </c>
      <c r="K1484" s="6">
        <f>Procurement_Raw!K1484</f>
        <v>30</v>
      </c>
      <c r="L1484" t="str">
        <f>Procurement_Raw!L1484</f>
        <v>Legacy Spend File</v>
      </c>
      <c r="M1484" s="8">
        <f>Procurement_Raw!M1484</f>
        <v>6938.866</v>
      </c>
      <c r="N1484" s="7">
        <f>Procurement_Raw!N1484</f>
        <v>34694.33</v>
      </c>
      <c r="O1484" s="7">
        <f t="shared" si="46"/>
        <v>34694.33</v>
      </c>
      <c r="P1484" t="str">
        <f>IFERROR(INDEX(Supplier_Lookup!$B$2:$B$200,MATCH(E1484,Supplier_Lookup!$A$2:$A$200,0)),"Unmapped")</f>
        <v>IT &amp; Telecoms</v>
      </c>
      <c r="Q1484" s="10">
        <f>IFERROR(INDEX(Category_Targets!$B$2:$B$9,MATCH(F1484,Category_Targets!$A$2:$A$9,0)),0)</f>
        <v>0.08</v>
      </c>
      <c r="R1484" s="7">
        <f t="shared" si="47"/>
        <v>2775.5464000000002</v>
      </c>
    </row>
    <row r="1485" spans="1:18" x14ac:dyDescent="0.25">
      <c r="A1485" s="5">
        <f>Procurement_Raw!A1485</f>
        <v>45761</v>
      </c>
      <c r="B1485" t="str">
        <f>Procurement_Raw!B1485</f>
        <v>S011</v>
      </c>
      <c r="C1485" t="str">
        <f>Procurement_Raw!C1485</f>
        <v>London Care &amp; Education Centre</v>
      </c>
      <c r="D1485" t="str">
        <f>Procurement_Raw!D1485</f>
        <v>South</v>
      </c>
      <c r="E1485" t="str">
        <f>Procurement_Raw!E1485</f>
        <v>NetServe</v>
      </c>
      <c r="F1485" t="str">
        <f>Procurement_Raw!F1485</f>
        <v>IT &amp; Telecoms</v>
      </c>
      <c r="G1485" t="str">
        <f>Procurement_Raw!G1485</f>
        <v>INV-2025-01484</v>
      </c>
      <c r="H1485" s="6">
        <f>Procurement_Raw!H1485</f>
        <v>65</v>
      </c>
      <c r="I1485" s="7">
        <f>Procurement_Raw!I1485</f>
        <v>176.59</v>
      </c>
      <c r="J1485" s="7">
        <f>Procurement_Raw!J1485</f>
        <v>11478.32</v>
      </c>
      <c r="K1485" s="6">
        <f>Procurement_Raw!K1485</f>
        <v>60</v>
      </c>
      <c r="L1485" t="str">
        <f>Procurement_Raw!L1485</f>
        <v>Legacy Spend File</v>
      </c>
      <c r="M1485" s="8">
        <f>Procurement_Raw!M1485</f>
        <v>2295.6640000000002</v>
      </c>
      <c r="N1485" s="7">
        <f>Procurement_Raw!N1485</f>
        <v>11478.32</v>
      </c>
      <c r="O1485" s="7">
        <f t="shared" si="46"/>
        <v>11478.32</v>
      </c>
      <c r="P1485" t="str">
        <f>IFERROR(INDEX(Supplier_Lookup!$B$2:$B$200,MATCH(E1485,Supplier_Lookup!$A$2:$A$200,0)),"Unmapped")</f>
        <v>IT &amp; Telecoms</v>
      </c>
      <c r="Q1485" s="10">
        <f>IFERROR(INDEX(Category_Targets!$B$2:$B$9,MATCH(F1485,Category_Targets!$A$2:$A$9,0)),0)</f>
        <v>0.08</v>
      </c>
      <c r="R1485" s="7">
        <f t="shared" si="47"/>
        <v>918.26559999999995</v>
      </c>
    </row>
    <row r="1486" spans="1:18" x14ac:dyDescent="0.25">
      <c r="A1486" s="5">
        <f>Procurement_Raw!A1486</f>
        <v>45661</v>
      </c>
      <c r="B1486" t="str">
        <f>Procurement_Raw!B1486</f>
        <v>S009</v>
      </c>
      <c r="C1486" t="str">
        <f>Procurement_Raw!C1486</f>
        <v>Derby Care &amp; Education Centre</v>
      </c>
      <c r="D1486" t="str">
        <f>Procurement_Raw!D1486</f>
        <v>Midlands</v>
      </c>
      <c r="E1486" t="str">
        <f>Procurement_Raw!E1486</f>
        <v>CloudLink</v>
      </c>
      <c r="F1486" t="str">
        <f>Procurement_Raw!F1486</f>
        <v>IT &amp; Telecoms</v>
      </c>
      <c r="G1486" t="str">
        <f>Procurement_Raw!G1486</f>
        <v>INV-2025-01485</v>
      </c>
      <c r="H1486" s="6">
        <f>Procurement_Raw!H1486</f>
        <v>19</v>
      </c>
      <c r="I1486" s="7">
        <f>Procurement_Raw!I1486</f>
        <v>248.94</v>
      </c>
      <c r="J1486" s="7">
        <f>Procurement_Raw!J1486</f>
        <v>4729.82</v>
      </c>
      <c r="K1486" s="6">
        <f>Procurement_Raw!K1486</f>
        <v>45</v>
      </c>
      <c r="L1486" t="str">
        <f>Procurement_Raw!L1486</f>
        <v>ERP</v>
      </c>
      <c r="M1486" s="8">
        <f>Procurement_Raw!M1486</f>
        <v>945.96400000000006</v>
      </c>
      <c r="N1486" s="7">
        <f>Procurement_Raw!N1486</f>
        <v>4729.82</v>
      </c>
      <c r="O1486" s="7">
        <f t="shared" si="46"/>
        <v>4729.82</v>
      </c>
      <c r="P1486" t="str">
        <f>IFERROR(INDEX(Supplier_Lookup!$B$2:$B$200,MATCH(E1486,Supplier_Lookup!$A$2:$A$200,0)),"Unmapped")</f>
        <v>medical supplies</v>
      </c>
      <c r="Q1486" s="10">
        <f>IFERROR(INDEX(Category_Targets!$B$2:$B$9,MATCH(F1486,Category_Targets!$A$2:$A$9,0)),0)</f>
        <v>0.08</v>
      </c>
      <c r="R1486" s="7">
        <f t="shared" si="47"/>
        <v>378.38560000000001</v>
      </c>
    </row>
    <row r="1487" spans="1:18" x14ac:dyDescent="0.25">
      <c r="A1487" s="5">
        <f>Procurement_Raw!A1487</f>
        <v>45826</v>
      </c>
      <c r="B1487" t="str">
        <f>Procurement_Raw!B1487</f>
        <v>S009</v>
      </c>
      <c r="C1487" t="str">
        <f>Procurement_Raw!C1487</f>
        <v>Derby Care &amp; Education Centre</v>
      </c>
      <c r="D1487" t="str">
        <f>Procurement_Raw!D1487</f>
        <v>Midlands</v>
      </c>
      <c r="E1487" t="str">
        <f>Procurement_Raw!E1487</f>
        <v>PowerDirect</v>
      </c>
      <c r="F1487" t="str">
        <f>Procurement_Raw!F1487</f>
        <v>Utilities</v>
      </c>
      <c r="G1487" t="str">
        <f>Procurement_Raw!G1487</f>
        <v>INV-2025-01486</v>
      </c>
      <c r="H1487" s="6">
        <f>Procurement_Raw!H1487</f>
        <v>73</v>
      </c>
      <c r="I1487" s="7">
        <f>Procurement_Raw!I1487</f>
        <v>417.54</v>
      </c>
      <c r="J1487" s="7">
        <f>Procurement_Raw!J1487</f>
        <v>30480.59</v>
      </c>
      <c r="K1487" s="6">
        <f>Procurement_Raw!K1487</f>
        <v>45</v>
      </c>
      <c r="L1487" t="str">
        <f>Procurement_Raw!L1487</f>
        <v>Procurement Portal</v>
      </c>
      <c r="M1487" s="8">
        <f>Procurement_Raw!M1487</f>
        <v>6096.1180000000004</v>
      </c>
      <c r="N1487" s="7">
        <f>Procurement_Raw!N1487</f>
        <v>30480.59</v>
      </c>
      <c r="O1487" s="7">
        <f t="shared" si="46"/>
        <v>30480.59</v>
      </c>
      <c r="P1487" t="str">
        <f>IFERROR(INDEX(Supplier_Lookup!$B$2:$B$200,MATCH(E1487,Supplier_Lookup!$A$2:$A$200,0)),"Unmapped")</f>
        <v>Utilities</v>
      </c>
      <c r="Q1487" s="10">
        <f>IFERROR(INDEX(Category_Targets!$B$2:$B$9,MATCH(F1487,Category_Targets!$A$2:$A$9,0)),0)</f>
        <v>0.03</v>
      </c>
      <c r="R1487" s="7">
        <f t="shared" si="47"/>
        <v>914.41769999999997</v>
      </c>
    </row>
    <row r="1488" spans="1:18" x14ac:dyDescent="0.25">
      <c r="A1488" s="5">
        <f>Procurement_Raw!A1488</f>
        <v>45704</v>
      </c>
      <c r="B1488" t="str">
        <f>Procurement_Raw!B1488</f>
        <v>S013</v>
      </c>
      <c r="C1488" t="str">
        <f>Procurement_Raw!C1488</f>
        <v>Reading Care &amp; Education Centre</v>
      </c>
      <c r="D1488" t="str">
        <f>Procurement_Raw!D1488</f>
        <v>South</v>
      </c>
      <c r="E1488" t="str">
        <f>Procurement_Raw!E1488</f>
        <v>ClinEquip</v>
      </c>
      <c r="F1488" t="str">
        <f>Procurement_Raw!F1488</f>
        <v>Medical Supplies</v>
      </c>
      <c r="G1488" t="str">
        <f>Procurement_Raw!G1488</f>
        <v>INV-2025-01487</v>
      </c>
      <c r="H1488" s="6">
        <f>Procurement_Raw!H1488</f>
        <v>37</v>
      </c>
      <c r="I1488" s="7">
        <f>Procurement_Raw!I1488</f>
        <v>55</v>
      </c>
      <c r="J1488" s="7">
        <f>Procurement_Raw!J1488</f>
        <v>2035.12</v>
      </c>
      <c r="K1488" s="6">
        <f>Procurement_Raw!K1488</f>
        <v>60</v>
      </c>
      <c r="L1488" t="str">
        <f>Procurement_Raw!L1488</f>
        <v>Procurement Portal</v>
      </c>
      <c r="M1488" s="8">
        <f>Procurement_Raw!M1488</f>
        <v>407.024</v>
      </c>
      <c r="N1488" s="7">
        <f>Procurement_Raw!N1488</f>
        <v>2035.12</v>
      </c>
      <c r="O1488" s="7">
        <f t="shared" si="46"/>
        <v>2035.12</v>
      </c>
      <c r="P1488" t="str">
        <f>IFERROR(INDEX(Supplier_Lookup!$B$2:$B$200,MATCH(E1488,Supplier_Lookup!$A$2:$A$200,0)),"Unmapped")</f>
        <v>Medical Supplies</v>
      </c>
      <c r="Q1488" s="10">
        <f>IFERROR(INDEX(Category_Targets!$B$2:$B$9,MATCH(F1488,Category_Targets!$A$2:$A$9,0)),0)</f>
        <v>0.06</v>
      </c>
      <c r="R1488" s="7">
        <f t="shared" si="47"/>
        <v>122.10719999999999</v>
      </c>
    </row>
    <row r="1489" spans="1:18" x14ac:dyDescent="0.25">
      <c r="A1489" s="5">
        <f>Procurement_Raw!A1489</f>
        <v>45971</v>
      </c>
      <c r="B1489" t="str">
        <f>Procurement_Raw!B1489</f>
        <v>S001</v>
      </c>
      <c r="C1489" t="str">
        <f>Procurement_Raw!C1489</f>
        <v>Preston Care &amp; Education Centre</v>
      </c>
      <c r="D1489" t="str">
        <f>Procurement_Raw!D1489</f>
        <v>North</v>
      </c>
      <c r="E1489" t="str">
        <f>Procurement_Raw!E1489</f>
        <v>TeleCare IT</v>
      </c>
      <c r="F1489" t="str">
        <f>Procurement_Raw!F1489</f>
        <v>IT &amp; Telecoms</v>
      </c>
      <c r="G1489" t="str">
        <f>Procurement_Raw!G1489</f>
        <v>INV-2025-01488</v>
      </c>
      <c r="H1489" s="6">
        <f>Procurement_Raw!H1489</f>
        <v>23</v>
      </c>
      <c r="I1489" s="7">
        <f>Procurement_Raw!I1489</f>
        <v>83.53</v>
      </c>
      <c r="J1489" s="7">
        <f>Procurement_Raw!J1489</f>
        <v>1921.15</v>
      </c>
      <c r="K1489" s="6">
        <f>Procurement_Raw!K1489</f>
        <v>45</v>
      </c>
      <c r="L1489" t="str">
        <f>Procurement_Raw!L1489</f>
        <v>ERP</v>
      </c>
      <c r="M1489" s="8">
        <f>Procurement_Raw!M1489</f>
        <v>384.23</v>
      </c>
      <c r="N1489" s="7">
        <f>Procurement_Raw!N1489</f>
        <v>1921.15</v>
      </c>
      <c r="O1489" s="7">
        <f t="shared" si="46"/>
        <v>1921.15</v>
      </c>
      <c r="P1489" t="str">
        <f>IFERROR(INDEX(Supplier_Lookup!$B$2:$B$200,MATCH(E1489,Supplier_Lookup!$A$2:$A$200,0)),"Unmapped")</f>
        <v>IT &amp; Telecoms</v>
      </c>
      <c r="Q1489" s="10">
        <f>IFERROR(INDEX(Category_Targets!$B$2:$B$9,MATCH(F1489,Category_Targets!$A$2:$A$9,0)),0)</f>
        <v>0.08</v>
      </c>
      <c r="R1489" s="7">
        <f t="shared" si="47"/>
        <v>153.69200000000001</v>
      </c>
    </row>
    <row r="1490" spans="1:18" x14ac:dyDescent="0.25">
      <c r="A1490" s="5">
        <f>Procurement_Raw!A1490</f>
        <v>45854</v>
      </c>
      <c r="B1490" t="str">
        <f>Procurement_Raw!B1490</f>
        <v>S011</v>
      </c>
      <c r="C1490" t="str">
        <f>Procurement_Raw!C1490</f>
        <v>London Care &amp; Education Centre</v>
      </c>
      <c r="D1490" t="str">
        <f>Procurement_Raw!D1490</f>
        <v>South</v>
      </c>
      <c r="E1490" t="str">
        <f>Procurement_Raw!E1490</f>
        <v>CareTemps</v>
      </c>
      <c r="F1490" t="str">
        <f>Procurement_Raw!F1490</f>
        <v>Agency Labour</v>
      </c>
      <c r="G1490" t="str">
        <f>Procurement_Raw!G1490</f>
        <v>INV-2025-01489</v>
      </c>
      <c r="H1490" s="6">
        <f>Procurement_Raw!H1490</f>
        <v>24</v>
      </c>
      <c r="I1490" s="7">
        <f>Procurement_Raw!I1490</f>
        <v>129.63</v>
      </c>
      <c r="J1490" s="7">
        <f>Procurement_Raw!J1490</f>
        <v>3111.08</v>
      </c>
      <c r="K1490" s="6">
        <f>Procurement_Raw!K1490</f>
        <v>60</v>
      </c>
      <c r="L1490" t="str">
        <f>Procurement_Raw!L1490</f>
        <v>Legacy Spend File</v>
      </c>
      <c r="M1490" s="8">
        <f>Procurement_Raw!M1490</f>
        <v>622.21600000000001</v>
      </c>
      <c r="N1490" s="7">
        <f>Procurement_Raw!N1490</f>
        <v>3111.08</v>
      </c>
      <c r="O1490" s="7">
        <f t="shared" si="46"/>
        <v>3111.08</v>
      </c>
      <c r="P1490" t="str">
        <f>IFERROR(INDEX(Supplier_Lookup!$B$2:$B$200,MATCH(E1490,Supplier_Lookup!$A$2:$A$200,0)),"Unmapped")</f>
        <v>Agency Labour</v>
      </c>
      <c r="Q1490" s="10">
        <f>IFERROR(INDEX(Category_Targets!$B$2:$B$9,MATCH(F1490,Category_Targets!$A$2:$A$9,0)),0)</f>
        <v>7.0000000000000007E-2</v>
      </c>
      <c r="R1490" s="7">
        <f t="shared" si="47"/>
        <v>217.77560000000003</v>
      </c>
    </row>
    <row r="1491" spans="1:18" x14ac:dyDescent="0.25">
      <c r="A1491" s="5">
        <f>Procurement_Raw!A1491</f>
        <v>45680</v>
      </c>
      <c r="B1491" t="str">
        <f>Procurement_Raw!B1491</f>
        <v>S008</v>
      </c>
      <c r="C1491" t="str">
        <f>Procurement_Raw!C1491</f>
        <v>Leicester Care &amp; Education Centre</v>
      </c>
      <c r="D1491" t="str">
        <f>Procurement_Raw!D1491</f>
        <v>Midlands</v>
      </c>
      <c r="E1491" t="str">
        <f>Procurement_Raw!E1491</f>
        <v>NurseLink</v>
      </c>
      <c r="F1491" t="str">
        <f>Procurement_Raw!F1491</f>
        <v>Agency Labour</v>
      </c>
      <c r="G1491" t="str">
        <f>Procurement_Raw!G1491</f>
        <v>INV-2025-01490</v>
      </c>
      <c r="H1491" s="6">
        <f>Procurement_Raw!H1491</f>
        <v>31</v>
      </c>
      <c r="I1491" s="7">
        <f>Procurement_Raw!I1491</f>
        <v>600.76</v>
      </c>
      <c r="J1491" s="7">
        <f>Procurement_Raw!J1491</f>
        <v>18623.71</v>
      </c>
      <c r="K1491" s="6">
        <f>Procurement_Raw!K1491</f>
        <v>30</v>
      </c>
      <c r="L1491" t="str">
        <f>Procurement_Raw!L1491</f>
        <v>Procurement Portal</v>
      </c>
      <c r="M1491" s="8">
        <f>Procurement_Raw!M1491</f>
        <v>3724.7420000000002</v>
      </c>
      <c r="N1491" s="7">
        <f>Procurement_Raw!N1491</f>
        <v>18623.71</v>
      </c>
      <c r="O1491" s="7">
        <f t="shared" si="46"/>
        <v>18623.71</v>
      </c>
      <c r="P1491" t="str">
        <f>IFERROR(INDEX(Supplier_Lookup!$B$2:$B$200,MATCH(E1491,Supplier_Lookup!$A$2:$A$200,0)),"Unmapped")</f>
        <v>Agency Labour</v>
      </c>
      <c r="Q1491" s="10">
        <f>IFERROR(INDEX(Category_Targets!$B$2:$B$9,MATCH(F1491,Category_Targets!$A$2:$A$9,0)),0)</f>
        <v>7.0000000000000007E-2</v>
      </c>
      <c r="R1491" s="7">
        <f t="shared" si="47"/>
        <v>1303.6597000000002</v>
      </c>
    </row>
    <row r="1492" spans="1:18" x14ac:dyDescent="0.25">
      <c r="A1492" s="5">
        <f>Procurement_Raw!A1492</f>
        <v>45692</v>
      </c>
      <c r="B1492" t="str">
        <f>Procurement_Raw!B1492</f>
        <v>S011</v>
      </c>
      <c r="C1492" t="str">
        <f>Procurement_Raw!C1492</f>
        <v>London Care &amp; Education Centre</v>
      </c>
      <c r="D1492" t="str">
        <f>Procurement_Raw!D1492</f>
        <v>South</v>
      </c>
      <c r="E1492" t="str">
        <f>Procurement_Raw!E1492</f>
        <v>NetServe</v>
      </c>
      <c r="F1492" t="str">
        <f>Procurement_Raw!F1492</f>
        <v>IT &amp; Telecoms</v>
      </c>
      <c r="G1492" t="str">
        <f>Procurement_Raw!G1492</f>
        <v>INV-2025-01491</v>
      </c>
      <c r="H1492" s="6">
        <f>Procurement_Raw!H1492</f>
        <v>28</v>
      </c>
      <c r="I1492" s="7">
        <f>Procurement_Raw!I1492</f>
        <v>162.41</v>
      </c>
      <c r="J1492" s="7">
        <f>Procurement_Raw!J1492</f>
        <v>4547.3999999999996</v>
      </c>
      <c r="K1492" s="6">
        <f>Procurement_Raw!K1492</f>
        <v>45</v>
      </c>
      <c r="L1492" t="str">
        <f>Procurement_Raw!L1492</f>
        <v>Procurement Portal</v>
      </c>
      <c r="M1492" s="8">
        <f>Procurement_Raw!M1492</f>
        <v>909.48</v>
      </c>
      <c r="N1492" s="7">
        <f>Procurement_Raw!N1492</f>
        <v>4547.3999999999996</v>
      </c>
      <c r="O1492" s="7">
        <f t="shared" si="46"/>
        <v>4547.3999999999996</v>
      </c>
      <c r="P1492" t="str">
        <f>IFERROR(INDEX(Supplier_Lookup!$B$2:$B$200,MATCH(E1492,Supplier_Lookup!$A$2:$A$200,0)),"Unmapped")</f>
        <v>IT &amp; Telecoms</v>
      </c>
      <c r="Q1492" s="10">
        <f>IFERROR(INDEX(Category_Targets!$B$2:$B$9,MATCH(F1492,Category_Targets!$A$2:$A$9,0)),0)</f>
        <v>0.08</v>
      </c>
      <c r="R1492" s="7">
        <f t="shared" si="47"/>
        <v>363.79199999999997</v>
      </c>
    </row>
    <row r="1493" spans="1:18" x14ac:dyDescent="0.25">
      <c r="A1493" s="5">
        <f>Procurement_Raw!A1493</f>
        <v>45697</v>
      </c>
      <c r="B1493" t="str">
        <f>Procurement_Raw!B1493</f>
        <v>S020</v>
      </c>
      <c r="C1493" t="str">
        <f>Procurement_Raw!C1493</f>
        <v>Bangor Care &amp; Education Centre</v>
      </c>
      <c r="D1493" t="str">
        <f>Procurement_Raw!D1493</f>
        <v>Wales</v>
      </c>
      <c r="E1493" t="str">
        <f>Procurement_Raw!E1493</f>
        <v>NourishCo</v>
      </c>
      <c r="F1493" t="str">
        <f>Procurement_Raw!F1493</f>
        <v>Food &amp; Catering</v>
      </c>
      <c r="G1493" t="str">
        <f>Procurement_Raw!G1493</f>
        <v>INV-2025-01492</v>
      </c>
      <c r="H1493" s="6">
        <f>Procurement_Raw!H1493</f>
        <v>14</v>
      </c>
      <c r="I1493" s="7">
        <f>Procurement_Raw!I1493</f>
        <v>265.44</v>
      </c>
      <c r="J1493" s="7">
        <f>Procurement_Raw!J1493</f>
        <v>3716.19</v>
      </c>
      <c r="K1493" s="6">
        <f>Procurement_Raw!K1493</f>
        <v>60</v>
      </c>
      <c r="L1493" t="str">
        <f>Procurement_Raw!L1493</f>
        <v>Procurement Portal</v>
      </c>
      <c r="M1493" s="8">
        <f>Procurement_Raw!M1493</f>
        <v>743.23800000000006</v>
      </c>
      <c r="N1493" s="7">
        <f>Procurement_Raw!N1493</f>
        <v>3716.19</v>
      </c>
      <c r="O1493" s="7">
        <f t="shared" si="46"/>
        <v>3716.19</v>
      </c>
      <c r="P1493" t="str">
        <f>IFERROR(INDEX(Supplier_Lookup!$B$2:$B$200,MATCH(E1493,Supplier_Lookup!$A$2:$A$200,0)),"Unmapped")</f>
        <v>Food &amp; Catering</v>
      </c>
      <c r="Q1493" s="10">
        <f>IFERROR(INDEX(Category_Targets!$B$2:$B$9,MATCH(F1493,Category_Targets!$A$2:$A$9,0)),0)</f>
        <v>0.04</v>
      </c>
      <c r="R1493" s="7">
        <f t="shared" si="47"/>
        <v>148.64760000000001</v>
      </c>
    </row>
    <row r="1494" spans="1:18" x14ac:dyDescent="0.25">
      <c r="A1494" s="5">
        <f>Procurement_Raw!A1494</f>
        <v>45787</v>
      </c>
      <c r="B1494" t="str">
        <f>Procurement_Raw!B1494</f>
        <v>S008</v>
      </c>
      <c r="C1494" t="str">
        <f>Procurement_Raw!C1494</f>
        <v>Leicester Care &amp; Education Centre</v>
      </c>
      <c r="D1494" t="str">
        <f>Procurement_Raw!D1494</f>
        <v>Midlands</v>
      </c>
      <c r="E1494" t="str">
        <f>Procurement_Raw!E1494</f>
        <v>OfficePlus</v>
      </c>
      <c r="F1494" t="str">
        <f>Procurement_Raw!F1494</f>
        <v>Office &amp; Training</v>
      </c>
      <c r="G1494" t="str">
        <f>Procurement_Raw!G1494</f>
        <v>INV-2025-01493</v>
      </c>
      <c r="H1494" s="6">
        <f>Procurement_Raw!H1494</f>
        <v>27</v>
      </c>
      <c r="I1494" s="7">
        <f>Procurement_Raw!I1494</f>
        <v>54.99</v>
      </c>
      <c r="J1494" s="7">
        <f>Procurement_Raw!J1494</f>
        <v>1484.73</v>
      </c>
      <c r="K1494" s="6">
        <f>Procurement_Raw!K1494</f>
        <v>60</v>
      </c>
      <c r="L1494" t="str">
        <f>Procurement_Raw!L1494</f>
        <v>ERP</v>
      </c>
      <c r="M1494" s="8">
        <f>Procurement_Raw!M1494</f>
        <v>296.94600000000003</v>
      </c>
      <c r="N1494" s="7">
        <f>Procurement_Raw!N1494</f>
        <v>1484.73</v>
      </c>
      <c r="O1494" s="7">
        <f t="shared" si="46"/>
        <v>1484.73</v>
      </c>
      <c r="P1494" t="str">
        <f>IFERROR(INDEX(Supplier_Lookup!$B$2:$B$200,MATCH(E1494,Supplier_Lookup!$A$2:$A$200,0)),"Unmapped")</f>
        <v>Office &amp; Training</v>
      </c>
      <c r="Q1494" s="10">
        <f>IFERROR(INDEX(Category_Targets!$B$2:$B$9,MATCH(F1494,Category_Targets!$A$2:$A$9,0)),0)</f>
        <v>0.04</v>
      </c>
      <c r="R1494" s="7">
        <f t="shared" si="47"/>
        <v>59.389200000000002</v>
      </c>
    </row>
    <row r="1495" spans="1:18" x14ac:dyDescent="0.25">
      <c r="A1495" s="5">
        <f>Procurement_Raw!A1495</f>
        <v>45985</v>
      </c>
      <c r="B1495" t="str">
        <f>Procurement_Raw!B1495</f>
        <v>S002</v>
      </c>
      <c r="C1495" t="str">
        <f>Procurement_Raw!C1495</f>
        <v>Manchester Care &amp; Education Centre</v>
      </c>
      <c r="D1495" t="str">
        <f>Procurement_Raw!D1495</f>
        <v>North</v>
      </c>
      <c r="E1495" t="str">
        <f>Procurement_Raw!E1495</f>
        <v>MediSure</v>
      </c>
      <c r="F1495" t="str">
        <f>Procurement_Raw!F1495</f>
        <v>Medical Supplies</v>
      </c>
      <c r="G1495" t="str">
        <f>Procurement_Raw!G1495</f>
        <v>INV-2025-01494</v>
      </c>
      <c r="H1495" s="6">
        <f>Procurement_Raw!H1495</f>
        <v>60</v>
      </c>
      <c r="I1495" s="7">
        <f>Procurement_Raw!I1495</f>
        <v>132.82</v>
      </c>
      <c r="J1495" s="7">
        <f>Procurement_Raw!J1495</f>
        <v>7969.2</v>
      </c>
      <c r="K1495" s="6">
        <f>Procurement_Raw!K1495</f>
        <v>45</v>
      </c>
      <c r="L1495" t="str">
        <f>Procurement_Raw!L1495</f>
        <v>Procurement Portal</v>
      </c>
      <c r="M1495" s="8">
        <f>Procurement_Raw!M1495</f>
        <v>1593.84</v>
      </c>
      <c r="N1495" s="7">
        <f>Procurement_Raw!N1495</f>
        <v>7969.2</v>
      </c>
      <c r="O1495" s="7">
        <f t="shared" si="46"/>
        <v>7969.2</v>
      </c>
      <c r="P1495" t="str">
        <f>IFERROR(INDEX(Supplier_Lookup!$B$2:$B$200,MATCH(E1495,Supplier_Lookup!$A$2:$A$200,0)),"Unmapped")</f>
        <v>Medical Supplies</v>
      </c>
      <c r="Q1495" s="10">
        <f>IFERROR(INDEX(Category_Targets!$B$2:$B$9,MATCH(F1495,Category_Targets!$A$2:$A$9,0)),0)</f>
        <v>0.06</v>
      </c>
      <c r="R1495" s="7">
        <f t="shared" si="47"/>
        <v>478.15199999999999</v>
      </c>
    </row>
    <row r="1496" spans="1:18" x14ac:dyDescent="0.25">
      <c r="A1496" s="5">
        <f>Procurement_Raw!A1496</f>
        <v>45861</v>
      </c>
      <c r="B1496" t="str">
        <f>Procurement_Raw!B1496</f>
        <v>S020</v>
      </c>
      <c r="C1496" t="str">
        <f>Procurement_Raw!C1496</f>
        <v>Bangor Care &amp; Education Centre</v>
      </c>
      <c r="D1496" t="str">
        <f>Procurement_Raw!D1496</f>
        <v>Wales</v>
      </c>
      <c r="E1496" t="str">
        <f>Procurement_Raw!E1496</f>
        <v>HealthStaffing</v>
      </c>
      <c r="F1496" t="str">
        <f>Procurement_Raw!F1496</f>
        <v>Agency Labour</v>
      </c>
      <c r="G1496" t="str">
        <f>Procurement_Raw!G1496</f>
        <v>INV-2025-01495</v>
      </c>
      <c r="H1496" s="6">
        <f>Procurement_Raw!H1496</f>
        <v>5</v>
      </c>
      <c r="I1496" s="7">
        <f>Procurement_Raw!I1496</f>
        <v>700.6</v>
      </c>
      <c r="J1496" s="7">
        <f>Procurement_Raw!J1496</f>
        <v>3503.02</v>
      </c>
      <c r="K1496" s="6">
        <f>Procurement_Raw!K1496</f>
        <v>30</v>
      </c>
      <c r="L1496" t="str">
        <f>Procurement_Raw!L1496</f>
        <v>Procurement Portal</v>
      </c>
      <c r="M1496" s="8">
        <f>Procurement_Raw!M1496</f>
        <v>700.60400000000004</v>
      </c>
      <c r="N1496" s="7">
        <f>Procurement_Raw!N1496</f>
        <v>3503.02</v>
      </c>
      <c r="O1496" s="7">
        <f t="shared" si="46"/>
        <v>3503.02</v>
      </c>
      <c r="P1496" t="str">
        <f>IFERROR(INDEX(Supplier_Lookup!$B$2:$B$200,MATCH(E1496,Supplier_Lookup!$A$2:$A$200,0)),"Unmapped")</f>
        <v>Agency Labour</v>
      </c>
      <c r="Q1496" s="10">
        <f>IFERROR(INDEX(Category_Targets!$B$2:$B$9,MATCH(F1496,Category_Targets!$A$2:$A$9,0)),0)</f>
        <v>7.0000000000000007E-2</v>
      </c>
      <c r="R1496" s="7">
        <f t="shared" si="47"/>
        <v>245.21140000000003</v>
      </c>
    </row>
    <row r="1497" spans="1:18" x14ac:dyDescent="0.25">
      <c r="A1497" s="5">
        <f>Procurement_Raw!A1497</f>
        <v>46001</v>
      </c>
      <c r="B1497" t="str">
        <f>Procurement_Raw!B1497</f>
        <v>S014</v>
      </c>
      <c r="C1497" t="str">
        <f>Procurement_Raw!C1497</f>
        <v>Southampton Care &amp; Education Centre</v>
      </c>
      <c r="D1497" t="str">
        <f>Procurement_Raw!D1497</f>
        <v>South</v>
      </c>
      <c r="E1497" t="str">
        <f>Procurement_Raw!E1497</f>
        <v>SafeGuard FM</v>
      </c>
      <c r="F1497" t="str">
        <f>Procurement_Raw!F1497</f>
        <v>Facilities</v>
      </c>
      <c r="G1497" t="str">
        <f>Procurement_Raw!G1497</f>
        <v>INV-2025-01496</v>
      </c>
      <c r="H1497" s="6">
        <f>Procurement_Raw!H1497</f>
        <v>60</v>
      </c>
      <c r="I1497" s="7">
        <f>Procurement_Raw!I1497</f>
        <v>542.57000000000005</v>
      </c>
      <c r="J1497" s="7">
        <f>Procurement_Raw!J1497</f>
        <v>32553.9</v>
      </c>
      <c r="K1497" s="6">
        <f>Procurement_Raw!K1497</f>
        <v>45</v>
      </c>
      <c r="L1497" t="str">
        <f>Procurement_Raw!L1497</f>
        <v>Procurement Portal</v>
      </c>
      <c r="M1497" s="8">
        <f>Procurement_Raw!M1497</f>
        <v>6510.78</v>
      </c>
      <c r="N1497" s="7">
        <f>Procurement_Raw!N1497</f>
        <v>32553.9</v>
      </c>
      <c r="O1497" s="7">
        <f t="shared" si="46"/>
        <v>32553.9</v>
      </c>
      <c r="P1497" t="str">
        <f>IFERROR(INDEX(Supplier_Lookup!$B$2:$B$200,MATCH(E1497,Supplier_Lookup!$A$2:$A$200,0)),"Unmapped")</f>
        <v>Facilities</v>
      </c>
      <c r="Q1497" s="10">
        <f>IFERROR(INDEX(Category_Targets!$B$2:$B$9,MATCH(F1497,Category_Targets!$A$2:$A$9,0)),0)</f>
        <v>0.05</v>
      </c>
      <c r="R1497" s="7">
        <f t="shared" si="47"/>
        <v>1627.6950000000002</v>
      </c>
    </row>
    <row r="1498" spans="1:18" x14ac:dyDescent="0.25">
      <c r="A1498" s="5">
        <f>Procurement_Raw!A1498</f>
        <v>45994</v>
      </c>
      <c r="B1498" t="str">
        <f>Procurement_Raw!B1498</f>
        <v>S001</v>
      </c>
      <c r="C1498" t="str">
        <f>Procurement_Raw!C1498</f>
        <v>Preston Care &amp; Education Centre</v>
      </c>
      <c r="D1498" t="str">
        <f>Procurement_Raw!D1498</f>
        <v>North</v>
      </c>
      <c r="E1498" t="str">
        <f>Procurement_Raw!E1498</f>
        <v>KitchenPro</v>
      </c>
      <c r="F1498" t="str">
        <f>Procurement_Raw!F1498</f>
        <v>Food &amp; Catering</v>
      </c>
      <c r="G1498" t="str">
        <f>Procurement_Raw!G1498</f>
        <v>INV-2025-01497</v>
      </c>
      <c r="H1498" s="6">
        <f>Procurement_Raw!H1498</f>
        <v>32</v>
      </c>
      <c r="I1498" s="7">
        <f>Procurement_Raw!I1498</f>
        <v>201.99</v>
      </c>
      <c r="J1498" s="7">
        <f>Procurement_Raw!J1498</f>
        <v>6463.65</v>
      </c>
      <c r="K1498" s="6">
        <f>Procurement_Raw!K1498</f>
        <v>60</v>
      </c>
      <c r="L1498" t="str">
        <f>Procurement_Raw!L1498</f>
        <v>Procurement Portal</v>
      </c>
      <c r="M1498" s="8">
        <f>Procurement_Raw!M1498</f>
        <v>1292.73</v>
      </c>
      <c r="N1498" s="7">
        <f>Procurement_Raw!N1498</f>
        <v>6463.65</v>
      </c>
      <c r="O1498" s="7">
        <f t="shared" si="46"/>
        <v>6463.65</v>
      </c>
      <c r="P1498" t="str">
        <f>IFERROR(INDEX(Supplier_Lookup!$B$2:$B$200,MATCH(E1498,Supplier_Lookup!$A$2:$A$200,0)),"Unmapped")</f>
        <v>Food &amp; Catering</v>
      </c>
      <c r="Q1498" s="10">
        <f>IFERROR(INDEX(Category_Targets!$B$2:$B$9,MATCH(F1498,Category_Targets!$A$2:$A$9,0)),0)</f>
        <v>0.04</v>
      </c>
      <c r="R1498" s="7">
        <f t="shared" si="47"/>
        <v>258.54599999999999</v>
      </c>
    </row>
    <row r="1499" spans="1:18" x14ac:dyDescent="0.25">
      <c r="A1499" s="5">
        <f>Procurement_Raw!A1499</f>
        <v>45740</v>
      </c>
      <c r="B1499" t="str">
        <f>Procurement_Raw!B1499</f>
        <v>S013</v>
      </c>
      <c r="C1499" t="str">
        <f>Procurement_Raw!C1499</f>
        <v>Reading Care &amp; Education Centre</v>
      </c>
      <c r="D1499" t="str">
        <f>Procurement_Raw!D1499</f>
        <v>South</v>
      </c>
      <c r="E1499" t="str">
        <f>Procurement_Raw!E1499</f>
        <v>LearnWell</v>
      </c>
      <c r="F1499" t="str">
        <f>Procurement_Raw!F1499</f>
        <v>Office &amp; Training</v>
      </c>
      <c r="G1499" t="str">
        <f>Procurement_Raw!G1499</f>
        <v>INV-2025-01498</v>
      </c>
      <c r="H1499" s="6">
        <f>Procurement_Raw!H1499</f>
        <v>22</v>
      </c>
      <c r="I1499" s="7">
        <f>Procurement_Raw!I1499</f>
        <v>145.78</v>
      </c>
      <c r="J1499" s="7">
        <f>Procurement_Raw!J1499</f>
        <v>3207.13</v>
      </c>
      <c r="K1499" s="6">
        <f>Procurement_Raw!K1499</f>
        <v>30</v>
      </c>
      <c r="L1499" t="str">
        <f>Procurement_Raw!L1499</f>
        <v>Legacy Spend File</v>
      </c>
      <c r="M1499" s="8">
        <f>Procurement_Raw!M1499</f>
        <v>641.42600000000004</v>
      </c>
      <c r="N1499" s="7">
        <f>Procurement_Raw!N1499</f>
        <v>3207.13</v>
      </c>
      <c r="O1499" s="7">
        <f t="shared" si="46"/>
        <v>3207.13</v>
      </c>
      <c r="P1499" t="str">
        <f>IFERROR(INDEX(Supplier_Lookup!$B$2:$B$200,MATCH(E1499,Supplier_Lookup!$A$2:$A$200,0)),"Unmapped")</f>
        <v>Office &amp; Training</v>
      </c>
      <c r="Q1499" s="10">
        <f>IFERROR(INDEX(Category_Targets!$B$2:$B$9,MATCH(F1499,Category_Targets!$A$2:$A$9,0)),0)</f>
        <v>0.04</v>
      </c>
      <c r="R1499" s="7">
        <f t="shared" si="47"/>
        <v>128.2852</v>
      </c>
    </row>
    <row r="1500" spans="1:18" x14ac:dyDescent="0.25">
      <c r="A1500" s="5">
        <f>Procurement_Raw!A1500</f>
        <v>45721</v>
      </c>
      <c r="B1500" t="str">
        <f>Procurement_Raw!B1500</f>
        <v>S010</v>
      </c>
      <c r="C1500" t="str">
        <f>Procurement_Raw!C1500</f>
        <v>Coventry Care &amp; Education Centre</v>
      </c>
      <c r="D1500" t="str">
        <f>Procurement_Raw!D1500</f>
        <v>Midlands</v>
      </c>
      <c r="E1500" t="str">
        <f>Procurement_Raw!E1500</f>
        <v>SafeGuard FM</v>
      </c>
      <c r="F1500" t="str">
        <f>Procurement_Raw!F1500</f>
        <v>Facilities</v>
      </c>
      <c r="G1500" t="str">
        <f>Procurement_Raw!G1500</f>
        <v>INV-2025-01499</v>
      </c>
      <c r="H1500" s="6">
        <f>Procurement_Raw!H1500</f>
        <v>69</v>
      </c>
      <c r="I1500" s="7">
        <f>Procurement_Raw!I1500</f>
        <v>316.14</v>
      </c>
      <c r="J1500" s="7">
        <f>Procurement_Raw!J1500</f>
        <v>21813.79</v>
      </c>
      <c r="K1500" s="6">
        <f>Procurement_Raw!K1500</f>
        <v>60</v>
      </c>
      <c r="L1500" t="str">
        <f>Procurement_Raw!L1500</f>
        <v>Procurement Portal</v>
      </c>
      <c r="M1500" s="8">
        <f>Procurement_Raw!M1500</f>
        <v>4362.7579999999998</v>
      </c>
      <c r="N1500" s="7">
        <f>Procurement_Raw!N1500</f>
        <v>21813.79</v>
      </c>
      <c r="O1500" s="7">
        <f t="shared" si="46"/>
        <v>21813.79</v>
      </c>
      <c r="P1500" t="str">
        <f>IFERROR(INDEX(Supplier_Lookup!$B$2:$B$200,MATCH(E1500,Supplier_Lookup!$A$2:$A$200,0)),"Unmapped")</f>
        <v>Facilities</v>
      </c>
      <c r="Q1500" s="10">
        <f>IFERROR(INDEX(Category_Targets!$B$2:$B$9,MATCH(F1500,Category_Targets!$A$2:$A$9,0)),0)</f>
        <v>0.05</v>
      </c>
      <c r="R1500" s="7">
        <f t="shared" si="47"/>
        <v>1090.6895000000002</v>
      </c>
    </row>
    <row r="1501" spans="1:18" x14ac:dyDescent="0.25">
      <c r="A1501" s="5">
        <f>Procurement_Raw!A1501</f>
        <v>45663</v>
      </c>
      <c r="B1501" t="str">
        <f>Procurement_Raw!B1501</f>
        <v>S004</v>
      </c>
      <c r="C1501" t="str">
        <f>Procurement_Raw!C1501</f>
        <v>Newcastle Care &amp; Education Centre</v>
      </c>
      <c r="D1501" t="str">
        <f>Procurement_Raw!D1501</f>
        <v>North</v>
      </c>
      <c r="E1501" t="str">
        <f>Procurement_Raw!E1501</f>
        <v>KitchenPro</v>
      </c>
      <c r="F1501" t="str">
        <f>Procurement_Raw!F1501</f>
        <v>Food &amp; Catering</v>
      </c>
      <c r="G1501" t="str">
        <f>Procurement_Raw!G1501</f>
        <v>INV-2025-01500</v>
      </c>
      <c r="H1501" s="6">
        <f>Procurement_Raw!H1501</f>
        <v>35</v>
      </c>
      <c r="I1501" s="7">
        <f>Procurement_Raw!I1501</f>
        <v>90.04</v>
      </c>
      <c r="J1501" s="7">
        <f>Procurement_Raw!J1501</f>
        <v>3151.47</v>
      </c>
      <c r="K1501" s="6">
        <f>Procurement_Raw!K1501</f>
        <v>30</v>
      </c>
      <c r="L1501" t="str">
        <f>Procurement_Raw!L1501</f>
        <v>Procurement Portal</v>
      </c>
      <c r="M1501" s="8">
        <f>Procurement_Raw!M1501</f>
        <v>630.29399999999998</v>
      </c>
      <c r="N1501" s="7">
        <f>Procurement_Raw!N1501</f>
        <v>3151.47</v>
      </c>
      <c r="O1501" s="7">
        <f t="shared" si="46"/>
        <v>3151.47</v>
      </c>
      <c r="P1501" t="str">
        <f>IFERROR(INDEX(Supplier_Lookup!$B$2:$B$200,MATCH(E1501,Supplier_Lookup!$A$2:$A$200,0)),"Unmapped")</f>
        <v>Food &amp; Catering</v>
      </c>
      <c r="Q1501" s="10">
        <f>IFERROR(INDEX(Category_Targets!$B$2:$B$9,MATCH(F1501,Category_Targets!$A$2:$A$9,0)),0)</f>
        <v>0.04</v>
      </c>
      <c r="R1501" s="7">
        <f t="shared" si="47"/>
        <v>126.05879999999999</v>
      </c>
    </row>
    <row r="1502" spans="1:18" x14ac:dyDescent="0.25">
      <c r="A1502" s="5">
        <f>Procurement_Raw!A1502</f>
        <v>45675</v>
      </c>
      <c r="B1502" t="str">
        <f>Procurement_Raw!B1502</f>
        <v>S007</v>
      </c>
      <c r="C1502" t="str">
        <f>Procurement_Raw!C1502</f>
        <v>Nottingham Care &amp; Education Centre</v>
      </c>
      <c r="D1502" t="str">
        <f>Procurement_Raw!D1502</f>
        <v>Midlands</v>
      </c>
      <c r="E1502" t="str">
        <f>Procurement_Raw!E1502</f>
        <v>CleanWorks</v>
      </c>
      <c r="F1502" t="str">
        <f>Procurement_Raw!F1502</f>
        <v>Facilities</v>
      </c>
      <c r="G1502" t="str">
        <f>Procurement_Raw!G1502</f>
        <v>INV-2025-01501</v>
      </c>
      <c r="H1502" s="6">
        <f>Procurement_Raw!H1502</f>
        <v>69</v>
      </c>
      <c r="I1502" s="7">
        <f>Procurement_Raw!I1502</f>
        <v>276.18</v>
      </c>
      <c r="J1502" s="7">
        <f>Procurement_Raw!J1502</f>
        <v>19056.47</v>
      </c>
      <c r="K1502" s="6">
        <f>Procurement_Raw!K1502</f>
        <v>30</v>
      </c>
      <c r="L1502" t="str">
        <f>Procurement_Raw!L1502</f>
        <v>Procurement Portal</v>
      </c>
      <c r="M1502" s="8">
        <f>Procurement_Raw!M1502</f>
        <v>3811.2939999999999</v>
      </c>
      <c r="N1502" s="7">
        <f>Procurement_Raw!N1502</f>
        <v>19056.47</v>
      </c>
      <c r="O1502" s="7">
        <f t="shared" si="46"/>
        <v>19056.47</v>
      </c>
      <c r="P1502" t="str">
        <f>IFERROR(INDEX(Supplier_Lookup!$B$2:$B$200,MATCH(E1502,Supplier_Lookup!$A$2:$A$200,0)),"Unmapped")</f>
        <v>Facilities</v>
      </c>
      <c r="Q1502" s="10">
        <f>IFERROR(INDEX(Category_Targets!$B$2:$B$9,MATCH(F1502,Category_Targets!$A$2:$A$9,0)),0)</f>
        <v>0.05</v>
      </c>
      <c r="R1502" s="7">
        <f t="shared" si="47"/>
        <v>952.82350000000008</v>
      </c>
    </row>
    <row r="1503" spans="1:18" x14ac:dyDescent="0.25">
      <c r="A1503" s="5">
        <f>Procurement_Raw!A1503</f>
        <v>45925</v>
      </c>
      <c r="B1503" t="str">
        <f>Procurement_Raw!B1503</f>
        <v>S009</v>
      </c>
      <c r="C1503" t="str">
        <f>Procurement_Raw!C1503</f>
        <v>Derby Care &amp; Education Centre</v>
      </c>
      <c r="D1503" t="str">
        <f>Procurement_Raw!D1503</f>
        <v>Midlands</v>
      </c>
      <c r="E1503" t="str">
        <f>Procurement_Raw!E1503</f>
        <v>ClinEquip</v>
      </c>
      <c r="F1503" t="str">
        <f>Procurement_Raw!F1503</f>
        <v>Medical Supplies</v>
      </c>
      <c r="G1503" t="str">
        <f>Procurement_Raw!G1503</f>
        <v>INV-2025-01502</v>
      </c>
      <c r="H1503" s="6">
        <f>Procurement_Raw!H1503</f>
        <v>14</v>
      </c>
      <c r="I1503" s="7">
        <f>Procurement_Raw!I1503</f>
        <v>88.62</v>
      </c>
      <c r="J1503" s="7">
        <f>Procurement_Raw!J1503</f>
        <v>1240.6600000000001</v>
      </c>
      <c r="K1503" s="6">
        <f>Procurement_Raw!K1503</f>
        <v>45</v>
      </c>
      <c r="L1503" t="str">
        <f>Procurement_Raw!L1503</f>
        <v>Legacy Spend File</v>
      </c>
      <c r="M1503" s="8">
        <f>Procurement_Raw!M1503</f>
        <v>248.13200000000001</v>
      </c>
      <c r="N1503" s="7">
        <f>Procurement_Raw!N1503</f>
        <v>1240.6600000000001</v>
      </c>
      <c r="O1503" s="7">
        <f t="shared" si="46"/>
        <v>1240.6600000000001</v>
      </c>
      <c r="P1503" t="str">
        <f>IFERROR(INDEX(Supplier_Lookup!$B$2:$B$200,MATCH(E1503,Supplier_Lookup!$A$2:$A$200,0)),"Unmapped")</f>
        <v>Medical Supplies</v>
      </c>
      <c r="Q1503" s="10">
        <f>IFERROR(INDEX(Category_Targets!$B$2:$B$9,MATCH(F1503,Category_Targets!$A$2:$A$9,0)),0)</f>
        <v>0.06</v>
      </c>
      <c r="R1503" s="7">
        <f t="shared" si="47"/>
        <v>74.439599999999999</v>
      </c>
    </row>
    <row r="1504" spans="1:18" x14ac:dyDescent="0.25">
      <c r="A1504" s="5">
        <f>Procurement_Raw!A1504</f>
        <v>45964</v>
      </c>
      <c r="B1504" t="str">
        <f>Procurement_Raw!B1504</f>
        <v>S019</v>
      </c>
      <c r="C1504" t="str">
        <f>Procurement_Raw!C1504</f>
        <v>Wrexham Care &amp; Education Centre</v>
      </c>
      <c r="D1504" t="str">
        <f>Procurement_Raw!D1504</f>
        <v>Wales</v>
      </c>
      <c r="E1504" t="str">
        <f>Procurement_Raw!E1504</f>
        <v>OfficePlus</v>
      </c>
      <c r="F1504" t="str">
        <f>Procurement_Raw!F1504</f>
        <v>Office &amp; Training</v>
      </c>
      <c r="G1504" t="str">
        <f>Procurement_Raw!G1504</f>
        <v>INV-2025-01503</v>
      </c>
      <c r="H1504" s="6">
        <f>Procurement_Raw!H1504</f>
        <v>1</v>
      </c>
      <c r="I1504" s="7">
        <f>Procurement_Raw!I1504</f>
        <v>47.82</v>
      </c>
      <c r="J1504" s="7">
        <f>Procurement_Raw!J1504</f>
        <v>47.82</v>
      </c>
      <c r="K1504" s="6">
        <f>Procurement_Raw!K1504</f>
        <v>30</v>
      </c>
      <c r="L1504" t="str">
        <f>Procurement_Raw!L1504</f>
        <v>Procurement Portal</v>
      </c>
      <c r="M1504" s="8">
        <f>Procurement_Raw!M1504</f>
        <v>9.5640000000000001</v>
      </c>
      <c r="N1504" s="7">
        <f>Procurement_Raw!N1504</f>
        <v>47.82</v>
      </c>
      <c r="O1504" s="7">
        <f t="shared" si="46"/>
        <v>47.82</v>
      </c>
      <c r="P1504" t="str">
        <f>IFERROR(INDEX(Supplier_Lookup!$B$2:$B$200,MATCH(E1504,Supplier_Lookup!$A$2:$A$200,0)),"Unmapped")</f>
        <v>Office &amp; Training</v>
      </c>
      <c r="Q1504" s="10">
        <f>IFERROR(INDEX(Category_Targets!$B$2:$B$9,MATCH(F1504,Category_Targets!$A$2:$A$9,0)),0)</f>
        <v>0.04</v>
      </c>
      <c r="R1504" s="7">
        <f t="shared" si="47"/>
        <v>1.9128000000000001</v>
      </c>
    </row>
    <row r="1505" spans="1:18" x14ac:dyDescent="0.25">
      <c r="A1505" s="5">
        <f>Procurement_Raw!A1505</f>
        <v>45780</v>
      </c>
      <c r="B1505" t="str">
        <f>Procurement_Raw!B1505</f>
        <v>S014</v>
      </c>
      <c r="C1505" t="str">
        <f>Procurement_Raw!C1505</f>
        <v>Southampton Care &amp; Education Centre</v>
      </c>
      <c r="D1505" t="str">
        <f>Procurement_Raw!D1505</f>
        <v>South</v>
      </c>
      <c r="E1505" t="str">
        <f>Procurement_Raw!E1505</f>
        <v>WaterGrid</v>
      </c>
      <c r="F1505" t="str">
        <f>Procurement_Raw!F1505</f>
        <v>Utilities</v>
      </c>
      <c r="G1505" t="str">
        <f>Procurement_Raw!G1505</f>
        <v>INV-2025-01504</v>
      </c>
      <c r="H1505" s="6">
        <f>Procurement_Raw!H1505</f>
        <v>26</v>
      </c>
      <c r="I1505" s="7">
        <f>Procurement_Raw!I1505</f>
        <v>249.54</v>
      </c>
      <c r="J1505" s="7">
        <f>Procurement_Raw!J1505</f>
        <v>6487.95</v>
      </c>
      <c r="K1505" s="6">
        <f>Procurement_Raw!K1505</f>
        <v>30</v>
      </c>
      <c r="L1505" t="str">
        <f>Procurement_Raw!L1505</f>
        <v>ERP</v>
      </c>
      <c r="M1505" s="8">
        <f>Procurement_Raw!M1505</f>
        <v>1297.5899999999999</v>
      </c>
      <c r="N1505" s="7">
        <f>Procurement_Raw!N1505</f>
        <v>6487.95</v>
      </c>
      <c r="O1505" s="7">
        <f t="shared" si="46"/>
        <v>6487.95</v>
      </c>
      <c r="P1505" t="str">
        <f>IFERROR(INDEX(Supplier_Lookup!$B$2:$B$200,MATCH(E1505,Supplier_Lookup!$A$2:$A$200,0)),"Unmapped")</f>
        <v>Utilities</v>
      </c>
      <c r="Q1505" s="10">
        <f>IFERROR(INDEX(Category_Targets!$B$2:$B$9,MATCH(F1505,Category_Targets!$A$2:$A$9,0)),0)</f>
        <v>0.03</v>
      </c>
      <c r="R1505" s="7">
        <f t="shared" si="47"/>
        <v>194.63849999999999</v>
      </c>
    </row>
    <row r="1506" spans="1:18" x14ac:dyDescent="0.25">
      <c r="A1506" s="5">
        <f>Procurement_Raw!A1506</f>
        <v>45830</v>
      </c>
      <c r="B1506" t="str">
        <f>Procurement_Raw!B1506</f>
        <v>S018</v>
      </c>
      <c r="C1506" t="str">
        <f>Procurement_Raw!C1506</f>
        <v>Newport Care &amp; Education Centre</v>
      </c>
      <c r="D1506" t="str">
        <f>Procurement_Raw!D1506</f>
        <v>Wales</v>
      </c>
      <c r="E1506" t="str">
        <f>Procurement_Raw!E1506</f>
        <v>MediSure</v>
      </c>
      <c r="F1506" t="str">
        <f>Procurement_Raw!F1506</f>
        <v>Medical Supplies</v>
      </c>
      <c r="G1506" t="str">
        <f>Procurement_Raw!G1506</f>
        <v>INV-2025-01505</v>
      </c>
      <c r="H1506" s="6">
        <f>Procurement_Raw!H1506</f>
        <v>25</v>
      </c>
      <c r="I1506" s="7">
        <f>Procurement_Raw!I1506</f>
        <v>109.28</v>
      </c>
      <c r="J1506" s="7">
        <f>Procurement_Raw!J1506</f>
        <v>2731.94</v>
      </c>
      <c r="K1506" s="6">
        <f>Procurement_Raw!K1506</f>
        <v>60</v>
      </c>
      <c r="L1506" t="str">
        <f>Procurement_Raw!L1506</f>
        <v>Legacy Spend File</v>
      </c>
      <c r="M1506" s="8">
        <f>Procurement_Raw!M1506</f>
        <v>546.38800000000003</v>
      </c>
      <c r="N1506" s="7">
        <f>Procurement_Raw!N1506</f>
        <v>2731.94</v>
      </c>
      <c r="O1506" s="7">
        <f t="shared" si="46"/>
        <v>2731.94</v>
      </c>
      <c r="P1506" t="str">
        <f>IFERROR(INDEX(Supplier_Lookup!$B$2:$B$200,MATCH(E1506,Supplier_Lookup!$A$2:$A$200,0)),"Unmapped")</f>
        <v>Medical Supplies</v>
      </c>
      <c r="Q1506" s="10">
        <f>IFERROR(INDEX(Category_Targets!$B$2:$B$9,MATCH(F1506,Category_Targets!$A$2:$A$9,0)),0)</f>
        <v>0.06</v>
      </c>
      <c r="R1506" s="7">
        <f t="shared" si="47"/>
        <v>163.91640000000001</v>
      </c>
    </row>
    <row r="1507" spans="1:18" x14ac:dyDescent="0.25">
      <c r="A1507" s="5">
        <f>Procurement_Raw!A1507</f>
        <v>45998</v>
      </c>
      <c r="B1507" t="str">
        <f>Procurement_Raw!B1507</f>
        <v>S004</v>
      </c>
      <c r="C1507" t="str">
        <f>Procurement_Raw!C1507</f>
        <v>Newcastle Care &amp; Education Centre</v>
      </c>
      <c r="D1507" t="str">
        <f>Procurement_Raw!D1507</f>
        <v>North</v>
      </c>
      <c r="E1507" t="str">
        <f>Procurement_Raw!E1507</f>
        <v>UK Energy Partners</v>
      </c>
      <c r="F1507" t="str">
        <f>Procurement_Raw!F1507</f>
        <v>Utilities</v>
      </c>
      <c r="G1507" t="str">
        <f>Procurement_Raw!G1507</f>
        <v>INV-2025-01506</v>
      </c>
      <c r="H1507" s="6">
        <f>Procurement_Raw!H1507</f>
        <v>22</v>
      </c>
      <c r="I1507" s="7">
        <f>Procurement_Raw!I1507</f>
        <v>194.84</v>
      </c>
      <c r="J1507" s="7">
        <f>Procurement_Raw!J1507</f>
        <v>4286.51</v>
      </c>
      <c r="K1507" s="6">
        <f>Procurement_Raw!K1507</f>
        <v>60</v>
      </c>
      <c r="L1507" t="str">
        <f>Procurement_Raw!L1507</f>
        <v>ERP</v>
      </c>
      <c r="M1507" s="8">
        <f>Procurement_Raw!M1507</f>
        <v>857.30200000000002</v>
      </c>
      <c r="N1507" s="7">
        <f>Procurement_Raw!N1507</f>
        <v>4286.51</v>
      </c>
      <c r="O1507" s="7">
        <f t="shared" si="46"/>
        <v>4286.51</v>
      </c>
      <c r="P1507" t="str">
        <f>IFERROR(INDEX(Supplier_Lookup!$B$2:$B$200,MATCH(E1507,Supplier_Lookup!$A$2:$A$200,0)),"Unmapped")</f>
        <v>Utilities</v>
      </c>
      <c r="Q1507" s="10">
        <f>IFERROR(INDEX(Category_Targets!$B$2:$B$9,MATCH(F1507,Category_Targets!$A$2:$A$9,0)),0)</f>
        <v>0.03</v>
      </c>
      <c r="R1507" s="7">
        <f t="shared" si="47"/>
        <v>128.59530000000001</v>
      </c>
    </row>
    <row r="1508" spans="1:18" x14ac:dyDescent="0.25">
      <c r="A1508" s="5">
        <f>Procurement_Raw!A1508</f>
        <v>45713</v>
      </c>
      <c r="B1508" t="str">
        <f>Procurement_Raw!B1508</f>
        <v>S004</v>
      </c>
      <c r="C1508" t="str">
        <f>Procurement_Raw!C1508</f>
        <v>Newcastle Care &amp; Education Centre</v>
      </c>
      <c r="D1508" t="str">
        <f>Procurement_Raw!D1508</f>
        <v>North</v>
      </c>
      <c r="E1508" t="str">
        <f>Procurement_Raw!E1508</f>
        <v>NurseLink</v>
      </c>
      <c r="F1508" t="str">
        <f>Procurement_Raw!F1508</f>
        <v>Agency Labour</v>
      </c>
      <c r="G1508" t="str">
        <f>Procurement_Raw!G1508</f>
        <v>INV-2025-01507</v>
      </c>
      <c r="H1508" s="6">
        <f>Procurement_Raw!H1508</f>
        <v>42</v>
      </c>
      <c r="I1508" s="7">
        <f>Procurement_Raw!I1508</f>
        <v>440.01</v>
      </c>
      <c r="J1508" s="7">
        <f>Procurement_Raw!J1508</f>
        <v>18480.39</v>
      </c>
      <c r="K1508" s="6">
        <f>Procurement_Raw!K1508</f>
        <v>45</v>
      </c>
      <c r="L1508" t="str">
        <f>Procurement_Raw!L1508</f>
        <v>Legacy Spend File</v>
      </c>
      <c r="M1508" s="8">
        <f>Procurement_Raw!M1508</f>
        <v>3696.078</v>
      </c>
      <c r="N1508" s="7">
        <f>Procurement_Raw!N1508</f>
        <v>18480.39</v>
      </c>
      <c r="O1508" s="7">
        <f t="shared" si="46"/>
        <v>18480.39</v>
      </c>
      <c r="P1508" t="str">
        <f>IFERROR(INDEX(Supplier_Lookup!$B$2:$B$200,MATCH(E1508,Supplier_Lookup!$A$2:$A$200,0)),"Unmapped")</f>
        <v>Agency Labour</v>
      </c>
      <c r="Q1508" s="10">
        <f>IFERROR(INDEX(Category_Targets!$B$2:$B$9,MATCH(F1508,Category_Targets!$A$2:$A$9,0)),0)</f>
        <v>7.0000000000000007E-2</v>
      </c>
      <c r="R1508" s="7">
        <f t="shared" si="47"/>
        <v>1293.6273000000001</v>
      </c>
    </row>
    <row r="1509" spans="1:18" x14ac:dyDescent="0.25">
      <c r="A1509" s="5">
        <f>Procurement_Raw!A1509</f>
        <v>45764</v>
      </c>
      <c r="B1509" t="str">
        <f>Procurement_Raw!B1509</f>
        <v>S013</v>
      </c>
      <c r="C1509" t="str">
        <f>Procurement_Raw!C1509</f>
        <v>Reading Care &amp; Education Centre</v>
      </c>
      <c r="D1509" t="str">
        <f>Procurement_Raw!D1509</f>
        <v>South</v>
      </c>
      <c r="E1509" t="str">
        <f>Procurement_Raw!E1509</f>
        <v>powerdirect</v>
      </c>
      <c r="F1509" t="str">
        <f>Procurement_Raw!F1509</f>
        <v>Utilities</v>
      </c>
      <c r="G1509" t="str">
        <f>Procurement_Raw!G1509</f>
        <v>INV-2025-01508</v>
      </c>
      <c r="H1509" s="6">
        <f>Procurement_Raw!H1509</f>
        <v>70</v>
      </c>
      <c r="I1509" s="7">
        <f>Procurement_Raw!I1509</f>
        <v>422.79</v>
      </c>
      <c r="J1509" s="7">
        <f>Procurement_Raw!J1509</f>
        <v>29595.39</v>
      </c>
      <c r="K1509" s="6">
        <f>Procurement_Raw!K1509</f>
        <v>45</v>
      </c>
      <c r="L1509" t="str">
        <f>Procurement_Raw!L1509</f>
        <v>Procurement Portal</v>
      </c>
      <c r="M1509" s="8">
        <f>Procurement_Raw!M1509</f>
        <v>5919.0780000000004</v>
      </c>
      <c r="N1509" s="7">
        <f>Procurement_Raw!N1509</f>
        <v>29595.39</v>
      </c>
      <c r="O1509" s="7">
        <f t="shared" si="46"/>
        <v>29595.39</v>
      </c>
      <c r="P1509" t="str">
        <f>IFERROR(INDEX(Supplier_Lookup!$B$2:$B$200,MATCH(E1509,Supplier_Lookup!$A$2:$A$200,0)),"Unmapped")</f>
        <v>Utilities</v>
      </c>
      <c r="Q1509" s="10">
        <f>IFERROR(INDEX(Category_Targets!$B$2:$B$9,MATCH(F1509,Category_Targets!$A$2:$A$9,0)),0)</f>
        <v>0.03</v>
      </c>
      <c r="R1509" s="7">
        <f t="shared" si="47"/>
        <v>887.86169999999993</v>
      </c>
    </row>
    <row r="1510" spans="1:18" x14ac:dyDescent="0.25">
      <c r="A1510" s="5">
        <f>Procurement_Raw!A1510</f>
        <v>45712</v>
      </c>
      <c r="B1510" t="str">
        <f>Procurement_Raw!B1510</f>
        <v>S001</v>
      </c>
      <c r="C1510" t="str">
        <f>Procurement_Raw!C1510</f>
        <v>Preston Care &amp; Education Centre</v>
      </c>
      <c r="D1510" t="str">
        <f>Procurement_Raw!D1510</f>
        <v>North</v>
      </c>
      <c r="E1510" t="str">
        <f>Procurement_Raw!E1510</f>
        <v>UK Energy Partners</v>
      </c>
      <c r="F1510" t="str">
        <f>Procurement_Raw!F1510</f>
        <v>Utilities</v>
      </c>
      <c r="G1510" t="str">
        <f>Procurement_Raw!G1510</f>
        <v>INV-2025-01509</v>
      </c>
      <c r="H1510" s="6">
        <f>Procurement_Raw!H1510</f>
        <v>46</v>
      </c>
      <c r="I1510" s="7">
        <f>Procurement_Raw!I1510</f>
        <v>262.45999999999998</v>
      </c>
      <c r="J1510" s="7">
        <f>Procurement_Raw!J1510</f>
        <v>12072.99</v>
      </c>
      <c r="K1510" s="6">
        <f>Procurement_Raw!K1510</f>
        <v>45</v>
      </c>
      <c r="L1510" t="str">
        <f>Procurement_Raw!L1510</f>
        <v>ERP</v>
      </c>
      <c r="M1510" s="8">
        <f>Procurement_Raw!M1510</f>
        <v>2414.598</v>
      </c>
      <c r="N1510" s="7">
        <f>Procurement_Raw!N1510</f>
        <v>12072.99</v>
      </c>
      <c r="O1510" s="7">
        <f t="shared" si="46"/>
        <v>12072.99</v>
      </c>
      <c r="P1510" t="str">
        <f>IFERROR(INDEX(Supplier_Lookup!$B$2:$B$200,MATCH(E1510,Supplier_Lookup!$A$2:$A$200,0)),"Unmapped")</f>
        <v>Utilities</v>
      </c>
      <c r="Q1510" s="10">
        <f>IFERROR(INDEX(Category_Targets!$B$2:$B$9,MATCH(F1510,Category_Targets!$A$2:$A$9,0)),0)</f>
        <v>0.03</v>
      </c>
      <c r="R1510" s="7">
        <f t="shared" si="47"/>
        <v>362.18969999999996</v>
      </c>
    </row>
    <row r="1511" spans="1:18" x14ac:dyDescent="0.25">
      <c r="A1511" s="5">
        <f>Procurement_Raw!A1511</f>
        <v>45819</v>
      </c>
      <c r="B1511" t="str">
        <f>Procurement_Raw!B1511</f>
        <v>S006</v>
      </c>
      <c r="C1511" t="str">
        <f>Procurement_Raw!C1511</f>
        <v>Birmingham Care &amp; Education Centre</v>
      </c>
      <c r="D1511" t="str">
        <f>Procurement_Raw!D1511</f>
        <v>Midlands</v>
      </c>
      <c r="E1511" t="str">
        <f>Procurement_Raw!E1511</f>
        <v>NurseLink</v>
      </c>
      <c r="F1511" t="str">
        <f>Procurement_Raw!F1511</f>
        <v>Agency Labour</v>
      </c>
      <c r="G1511" t="str">
        <f>Procurement_Raw!G1511</f>
        <v>INV-2025-01510</v>
      </c>
      <c r="H1511" s="6">
        <f>Procurement_Raw!H1511</f>
        <v>2</v>
      </c>
      <c r="I1511" s="7">
        <f>Procurement_Raw!I1511</f>
        <v>676.16</v>
      </c>
      <c r="J1511" s="7">
        <f>Procurement_Raw!J1511</f>
        <v>1352.31</v>
      </c>
      <c r="K1511" s="6">
        <f>Procurement_Raw!K1511</f>
        <v>45</v>
      </c>
      <c r="L1511" t="str">
        <f>Procurement_Raw!L1511</f>
        <v>ERP</v>
      </c>
      <c r="M1511" s="8">
        <f>Procurement_Raw!M1511</f>
        <v>270.46199999999999</v>
      </c>
      <c r="N1511" s="7">
        <f>Procurement_Raw!N1511</f>
        <v>1352.31</v>
      </c>
      <c r="O1511" s="7">
        <f t="shared" si="46"/>
        <v>1352.31</v>
      </c>
      <c r="P1511" t="str">
        <f>IFERROR(INDEX(Supplier_Lookup!$B$2:$B$200,MATCH(E1511,Supplier_Lookup!$A$2:$A$200,0)),"Unmapped")</f>
        <v>Agency Labour</v>
      </c>
      <c r="Q1511" s="10">
        <f>IFERROR(INDEX(Category_Targets!$B$2:$B$9,MATCH(F1511,Category_Targets!$A$2:$A$9,0)),0)</f>
        <v>7.0000000000000007E-2</v>
      </c>
      <c r="R1511" s="7">
        <f t="shared" si="47"/>
        <v>94.66170000000001</v>
      </c>
    </row>
    <row r="1512" spans="1:18" x14ac:dyDescent="0.25">
      <c r="A1512" s="5">
        <f>Procurement_Raw!A1512</f>
        <v>45994</v>
      </c>
      <c r="B1512" t="str">
        <f>Procurement_Raw!B1512</f>
        <v>S016</v>
      </c>
      <c r="C1512" t="str">
        <f>Procurement_Raw!C1512</f>
        <v>Cardiff Care &amp; Education Centre</v>
      </c>
      <c r="D1512" t="str">
        <f>Procurement_Raw!D1512</f>
        <v>Wales</v>
      </c>
      <c r="E1512" t="str">
        <f>Procurement_Raw!E1512</f>
        <v>UK Energy Partners</v>
      </c>
      <c r="F1512" t="str">
        <f>Procurement_Raw!F1512</f>
        <v>Utilities</v>
      </c>
      <c r="G1512" t="str">
        <f>Procurement_Raw!G1512</f>
        <v>INV-2025-01511</v>
      </c>
      <c r="H1512" s="6">
        <f>Procurement_Raw!H1512</f>
        <v>36</v>
      </c>
      <c r="I1512" s="7">
        <f>Procurement_Raw!I1512</f>
        <v>133.41999999999999</v>
      </c>
      <c r="J1512" s="7">
        <f>Procurement_Raw!J1512</f>
        <v>4803.26</v>
      </c>
      <c r="K1512" s="6">
        <f>Procurement_Raw!K1512</f>
        <v>60</v>
      </c>
      <c r="L1512" t="str">
        <f>Procurement_Raw!L1512</f>
        <v>Legacy Spend File</v>
      </c>
      <c r="M1512" s="8">
        <f>Procurement_Raw!M1512</f>
        <v>960.65200000000004</v>
      </c>
      <c r="N1512" s="7">
        <f>Procurement_Raw!N1512</f>
        <v>4803.26</v>
      </c>
      <c r="O1512" s="7">
        <f t="shared" si="46"/>
        <v>4803.26</v>
      </c>
      <c r="P1512" t="str">
        <f>IFERROR(INDEX(Supplier_Lookup!$B$2:$B$200,MATCH(E1512,Supplier_Lookup!$A$2:$A$200,0)),"Unmapped")</f>
        <v>Utilities</v>
      </c>
      <c r="Q1512" s="10">
        <f>IFERROR(INDEX(Category_Targets!$B$2:$B$9,MATCH(F1512,Category_Targets!$A$2:$A$9,0)),0)</f>
        <v>0.03</v>
      </c>
      <c r="R1512" s="7">
        <f t="shared" si="47"/>
        <v>144.09780000000001</v>
      </c>
    </row>
    <row r="1513" spans="1:18" x14ac:dyDescent="0.25">
      <c r="A1513" s="5">
        <f>Procurement_Raw!A1513</f>
        <v>45769</v>
      </c>
      <c r="B1513" t="str">
        <f>Procurement_Raw!B1513</f>
        <v>S012</v>
      </c>
      <c r="C1513" t="str">
        <f>Procurement_Raw!C1513</f>
        <v>Bristol Care &amp; Education Centre</v>
      </c>
      <c r="D1513" t="str">
        <f>Procurement_Raw!D1513</f>
        <v>South</v>
      </c>
      <c r="E1513" t="str">
        <f>Procurement_Raw!E1513</f>
        <v>MediSure</v>
      </c>
      <c r="F1513" t="str">
        <f>Procurement_Raw!F1513</f>
        <v>Medical Supplies</v>
      </c>
      <c r="G1513" t="str">
        <f>Procurement_Raw!G1513</f>
        <v>INV-2025-01512</v>
      </c>
      <c r="H1513" s="6">
        <f>Procurement_Raw!H1513</f>
        <v>53</v>
      </c>
      <c r="I1513" s="7">
        <f>Procurement_Raw!I1513</f>
        <v>107.88</v>
      </c>
      <c r="J1513" s="7">
        <f>Procurement_Raw!J1513</f>
        <v>5717.41</v>
      </c>
      <c r="K1513" s="6">
        <f>Procurement_Raw!K1513</f>
        <v>45</v>
      </c>
      <c r="L1513" t="str">
        <f>Procurement_Raw!L1513</f>
        <v>Legacy Spend File</v>
      </c>
      <c r="M1513" s="8">
        <f>Procurement_Raw!M1513</f>
        <v>1143.482</v>
      </c>
      <c r="N1513" s="7">
        <f>Procurement_Raw!N1513</f>
        <v>5717.41</v>
      </c>
      <c r="O1513" s="7">
        <f t="shared" si="46"/>
        <v>5717.41</v>
      </c>
      <c r="P1513" t="str">
        <f>IFERROR(INDEX(Supplier_Lookup!$B$2:$B$200,MATCH(E1513,Supplier_Lookup!$A$2:$A$200,0)),"Unmapped")</f>
        <v>Medical Supplies</v>
      </c>
      <c r="Q1513" s="10">
        <f>IFERROR(INDEX(Category_Targets!$B$2:$B$9,MATCH(F1513,Category_Targets!$A$2:$A$9,0)),0)</f>
        <v>0.06</v>
      </c>
      <c r="R1513" s="7">
        <f t="shared" si="47"/>
        <v>343.0446</v>
      </c>
    </row>
    <row r="1514" spans="1:18" x14ac:dyDescent="0.25">
      <c r="A1514" s="5">
        <f>Procurement_Raw!A1514</f>
        <v>45932</v>
      </c>
      <c r="B1514" t="str">
        <f>Procurement_Raw!B1514</f>
        <v>S013</v>
      </c>
      <c r="C1514" t="str">
        <f>Procurement_Raw!C1514</f>
        <v>Reading Care &amp; Education Centre</v>
      </c>
      <c r="D1514" t="str">
        <f>Procurement_Raw!D1514</f>
        <v>South</v>
      </c>
      <c r="E1514" t="str">
        <f>Procurement_Raw!E1514</f>
        <v>KitchenPro</v>
      </c>
      <c r="F1514" t="str">
        <f>Procurement_Raw!F1514</f>
        <v>Food &amp; Catering</v>
      </c>
      <c r="G1514" t="str">
        <f>Procurement_Raw!G1514</f>
        <v>INV-2025-01513</v>
      </c>
      <c r="H1514" s="6">
        <f>Procurement_Raw!H1514</f>
        <v>73</v>
      </c>
      <c r="I1514" s="7">
        <f>Procurement_Raw!I1514</f>
        <v>43.82</v>
      </c>
      <c r="J1514" s="7">
        <f>Procurement_Raw!J1514</f>
        <v>3199</v>
      </c>
      <c r="K1514" s="6">
        <f>Procurement_Raw!K1514</f>
        <v>30</v>
      </c>
      <c r="L1514" t="str">
        <f>Procurement_Raw!L1514</f>
        <v>Procurement Portal</v>
      </c>
      <c r="M1514" s="8">
        <f>Procurement_Raw!M1514</f>
        <v>639.79999999999995</v>
      </c>
      <c r="N1514" s="7">
        <f>Procurement_Raw!N1514</f>
        <v>3199</v>
      </c>
      <c r="O1514" s="7">
        <f t="shared" si="46"/>
        <v>3199</v>
      </c>
      <c r="P1514" t="str">
        <f>IFERROR(INDEX(Supplier_Lookup!$B$2:$B$200,MATCH(E1514,Supplier_Lookup!$A$2:$A$200,0)),"Unmapped")</f>
        <v>Food &amp; Catering</v>
      </c>
      <c r="Q1514" s="10">
        <f>IFERROR(INDEX(Category_Targets!$B$2:$B$9,MATCH(F1514,Category_Targets!$A$2:$A$9,0)),0)</f>
        <v>0.04</v>
      </c>
      <c r="R1514" s="7">
        <f t="shared" si="47"/>
        <v>127.96000000000001</v>
      </c>
    </row>
    <row r="1515" spans="1:18" x14ac:dyDescent="0.25">
      <c r="A1515" s="5">
        <f>Procurement_Raw!A1515</f>
        <v>46014</v>
      </c>
      <c r="B1515" t="str">
        <f>Procurement_Raw!B1515</f>
        <v>S014</v>
      </c>
      <c r="C1515" t="str">
        <f>Procurement_Raw!C1515</f>
        <v>Southampton Care &amp; Education Centre</v>
      </c>
      <c r="D1515" t="str">
        <f>Procurement_Raw!D1515</f>
        <v>South</v>
      </c>
      <c r="E1515" t="str">
        <f>Procurement_Raw!E1515</f>
        <v>AutoCare</v>
      </c>
      <c r="F1515" t="str">
        <f>Procurement_Raw!F1515</f>
        <v>Vehicle &amp; Fuel</v>
      </c>
      <c r="G1515" t="str">
        <f>Procurement_Raw!G1515</f>
        <v>INV-2025-01514</v>
      </c>
      <c r="H1515" s="6">
        <f>Procurement_Raw!H1515</f>
        <v>50</v>
      </c>
      <c r="I1515" s="7">
        <f>Procurement_Raw!I1515</f>
        <v>34.03</v>
      </c>
      <c r="J1515" s="7">
        <f>Procurement_Raw!J1515</f>
        <v>1701.57</v>
      </c>
      <c r="K1515" s="6">
        <f>Procurement_Raw!K1515</f>
        <v>60</v>
      </c>
      <c r="L1515" t="str">
        <f>Procurement_Raw!L1515</f>
        <v>Legacy Spend File</v>
      </c>
      <c r="M1515" s="8">
        <f>Procurement_Raw!M1515</f>
        <v>340.31400000000002</v>
      </c>
      <c r="N1515" s="7">
        <f>Procurement_Raw!N1515</f>
        <v>1701.57</v>
      </c>
      <c r="O1515" s="7">
        <f t="shared" si="46"/>
        <v>1701.57</v>
      </c>
      <c r="P1515" t="str">
        <f>IFERROR(INDEX(Supplier_Lookup!$B$2:$B$200,MATCH(E1515,Supplier_Lookup!$A$2:$A$200,0)),"Unmapped")</f>
        <v>Vehicle &amp; Fuel</v>
      </c>
      <c r="Q1515" s="10">
        <f>IFERROR(INDEX(Category_Targets!$B$2:$B$9,MATCH(F1515,Category_Targets!$A$2:$A$9,0)),0)</f>
        <v>0.05</v>
      </c>
      <c r="R1515" s="7">
        <f t="shared" si="47"/>
        <v>85.078500000000005</v>
      </c>
    </row>
    <row r="1516" spans="1:18" x14ac:dyDescent="0.25">
      <c r="A1516" s="5">
        <f>Procurement_Raw!A1516</f>
        <v>45983</v>
      </c>
      <c r="B1516" t="str">
        <f>Procurement_Raw!B1516</f>
        <v>S008</v>
      </c>
      <c r="C1516" t="str">
        <f>Procurement_Raw!C1516</f>
        <v>Leicester Care &amp; Education Centre</v>
      </c>
      <c r="D1516" t="str">
        <f>Procurement_Raw!D1516</f>
        <v>Midlands</v>
      </c>
      <c r="E1516" t="str">
        <f>Procurement_Raw!E1516</f>
        <v>FleetFuel</v>
      </c>
      <c r="F1516" t="str">
        <f>Procurement_Raw!F1516</f>
        <v>Vehicle &amp; Fuel</v>
      </c>
      <c r="G1516" t="str">
        <f>Procurement_Raw!G1516</f>
        <v>INV-2025-01515</v>
      </c>
      <c r="H1516" s="6">
        <f>Procurement_Raw!H1516</f>
        <v>41</v>
      </c>
      <c r="I1516" s="7">
        <f>Procurement_Raw!I1516</f>
        <v>90.78</v>
      </c>
      <c r="J1516" s="7">
        <f>Procurement_Raw!J1516</f>
        <v>3721.84</v>
      </c>
      <c r="K1516" s="6">
        <f>Procurement_Raw!K1516</f>
        <v>60</v>
      </c>
      <c r="L1516" t="str">
        <f>Procurement_Raw!L1516</f>
        <v>Procurement Portal</v>
      </c>
      <c r="M1516" s="8">
        <f>Procurement_Raw!M1516</f>
        <v>744.36800000000005</v>
      </c>
      <c r="N1516" s="7">
        <f>Procurement_Raw!N1516</f>
        <v>3721.84</v>
      </c>
      <c r="O1516" s="7">
        <f t="shared" si="46"/>
        <v>3721.84</v>
      </c>
      <c r="P1516" t="str">
        <f>IFERROR(INDEX(Supplier_Lookup!$B$2:$B$200,MATCH(E1516,Supplier_Lookup!$A$2:$A$200,0)),"Unmapped")</f>
        <v>Vehicle &amp; Fuel</v>
      </c>
      <c r="Q1516" s="10">
        <f>IFERROR(INDEX(Category_Targets!$B$2:$B$9,MATCH(F1516,Category_Targets!$A$2:$A$9,0)),0)</f>
        <v>0.05</v>
      </c>
      <c r="R1516" s="7">
        <f t="shared" si="47"/>
        <v>186.09200000000001</v>
      </c>
    </row>
    <row r="1517" spans="1:18" x14ac:dyDescent="0.25">
      <c r="A1517" s="5">
        <f>Procurement_Raw!A1517</f>
        <v>45969</v>
      </c>
      <c r="B1517" t="str">
        <f>Procurement_Raw!B1517</f>
        <v>S012</v>
      </c>
      <c r="C1517" t="str">
        <f>Procurement_Raw!C1517</f>
        <v>Bristol Care &amp; Education Centre</v>
      </c>
      <c r="D1517" t="str">
        <f>Procurement_Raw!D1517</f>
        <v>South</v>
      </c>
      <c r="E1517" t="str">
        <f>Procurement_Raw!E1517</f>
        <v>FleetFuel</v>
      </c>
      <c r="F1517" t="str">
        <f>Procurement_Raw!F1517</f>
        <v>Vehicle &amp; Fuel</v>
      </c>
      <c r="G1517" t="str">
        <f>Procurement_Raw!G1517</f>
        <v>INV-2025-01516</v>
      </c>
      <c r="H1517" s="6">
        <f>Procurement_Raw!H1517</f>
        <v>75</v>
      </c>
      <c r="I1517" s="7">
        <f>Procurement_Raw!I1517</f>
        <v>88.85</v>
      </c>
      <c r="J1517" s="7">
        <f>Procurement_Raw!J1517</f>
        <v>6663.52</v>
      </c>
      <c r="K1517" s="6">
        <f>Procurement_Raw!K1517</f>
        <v>45</v>
      </c>
      <c r="L1517" t="str">
        <f>Procurement_Raw!L1517</f>
        <v>Procurement Portal</v>
      </c>
      <c r="M1517" s="8">
        <f>Procurement_Raw!M1517</f>
        <v>1332.704</v>
      </c>
      <c r="N1517" s="7">
        <f>Procurement_Raw!N1517</f>
        <v>6663.52</v>
      </c>
      <c r="O1517" s="7">
        <f t="shared" si="46"/>
        <v>6663.52</v>
      </c>
      <c r="P1517" t="str">
        <f>IFERROR(INDEX(Supplier_Lookup!$B$2:$B$200,MATCH(E1517,Supplier_Lookup!$A$2:$A$200,0)),"Unmapped")</f>
        <v>Vehicle &amp; Fuel</v>
      </c>
      <c r="Q1517" s="10">
        <f>IFERROR(INDEX(Category_Targets!$B$2:$B$9,MATCH(F1517,Category_Targets!$A$2:$A$9,0)),0)</f>
        <v>0.05</v>
      </c>
      <c r="R1517" s="7">
        <f t="shared" si="47"/>
        <v>333.17600000000004</v>
      </c>
    </row>
    <row r="1518" spans="1:18" x14ac:dyDescent="0.25">
      <c r="A1518" s="5">
        <f>Procurement_Raw!A1518</f>
        <v>45958</v>
      </c>
      <c r="B1518" t="str">
        <f>Procurement_Raw!B1518</f>
        <v>S005</v>
      </c>
      <c r="C1518" t="str">
        <f>Procurement_Raw!C1518</f>
        <v>Sheffield Care &amp; Education Centre</v>
      </c>
      <c r="D1518" t="str">
        <f>Procurement_Raw!D1518</f>
        <v>North</v>
      </c>
      <c r="E1518" t="str">
        <f>Procurement_Raw!E1518</f>
        <v>PowerDirect</v>
      </c>
      <c r="F1518" t="str">
        <f>Procurement_Raw!F1518</f>
        <v>Utilities</v>
      </c>
      <c r="G1518" t="str">
        <f>Procurement_Raw!G1518</f>
        <v>INV-2025-01517</v>
      </c>
      <c r="H1518" s="6">
        <f>Procurement_Raw!H1518</f>
        <v>2</v>
      </c>
      <c r="I1518" s="7">
        <f>Procurement_Raw!I1518</f>
        <v>574.71</v>
      </c>
      <c r="J1518" s="7">
        <f>Procurement_Raw!J1518</f>
        <v>1149.4100000000001</v>
      </c>
      <c r="K1518" s="6">
        <f>Procurement_Raw!K1518</f>
        <v>30</v>
      </c>
      <c r="L1518" t="str">
        <f>Procurement_Raw!L1518</f>
        <v>ERP</v>
      </c>
      <c r="M1518" s="8">
        <f>Procurement_Raw!M1518</f>
        <v>229.88200000000001</v>
      </c>
      <c r="N1518" s="7">
        <f>Procurement_Raw!N1518</f>
        <v>1149.4100000000001</v>
      </c>
      <c r="O1518" s="7">
        <f t="shared" si="46"/>
        <v>1149.4100000000001</v>
      </c>
      <c r="P1518" t="str">
        <f>IFERROR(INDEX(Supplier_Lookup!$B$2:$B$200,MATCH(E1518,Supplier_Lookup!$A$2:$A$200,0)),"Unmapped")</f>
        <v>Utilities</v>
      </c>
      <c r="Q1518" s="10">
        <f>IFERROR(INDEX(Category_Targets!$B$2:$B$9,MATCH(F1518,Category_Targets!$A$2:$A$9,0)),0)</f>
        <v>0.03</v>
      </c>
      <c r="R1518" s="7">
        <f t="shared" si="47"/>
        <v>34.482300000000002</v>
      </c>
    </row>
    <row r="1519" spans="1:18" x14ac:dyDescent="0.25">
      <c r="A1519" s="5">
        <f>Procurement_Raw!A1519</f>
        <v>45779</v>
      </c>
      <c r="B1519" t="str">
        <f>Procurement_Raw!B1519</f>
        <v>S019</v>
      </c>
      <c r="C1519" t="str">
        <f>Procurement_Raw!C1519</f>
        <v>Wrexham Care &amp; Education Centre</v>
      </c>
      <c r="D1519" t="str">
        <f>Procurement_Raw!D1519</f>
        <v>Wales</v>
      </c>
      <c r="E1519" t="str">
        <f>Procurement_Raw!E1519</f>
        <v>NourishCo</v>
      </c>
      <c r="F1519" t="str">
        <f>Procurement_Raw!F1519</f>
        <v>Food &amp; Catering</v>
      </c>
      <c r="G1519" t="str">
        <f>Procurement_Raw!G1519</f>
        <v>INV-2025-01518</v>
      </c>
      <c r="H1519" s="6">
        <f>Procurement_Raw!H1519</f>
        <v>55</v>
      </c>
      <c r="I1519" s="7">
        <f>Procurement_Raw!I1519</f>
        <v>91.96</v>
      </c>
      <c r="J1519" s="7">
        <f>Procurement_Raw!J1519</f>
        <v>5057.7</v>
      </c>
      <c r="K1519" s="6">
        <f>Procurement_Raw!K1519</f>
        <v>30</v>
      </c>
      <c r="L1519" t="str">
        <f>Procurement_Raw!L1519</f>
        <v>Legacy Spend File</v>
      </c>
      <c r="M1519" s="8">
        <f>Procurement_Raw!M1519</f>
        <v>1011.54</v>
      </c>
      <c r="N1519" s="7">
        <f>Procurement_Raw!N1519</f>
        <v>5057.7</v>
      </c>
      <c r="O1519" s="7">
        <f t="shared" si="46"/>
        <v>5057.7</v>
      </c>
      <c r="P1519" t="str">
        <f>IFERROR(INDEX(Supplier_Lookup!$B$2:$B$200,MATCH(E1519,Supplier_Lookup!$A$2:$A$200,0)),"Unmapped")</f>
        <v>Food &amp; Catering</v>
      </c>
      <c r="Q1519" s="10">
        <f>IFERROR(INDEX(Category_Targets!$B$2:$B$9,MATCH(F1519,Category_Targets!$A$2:$A$9,0)),0)</f>
        <v>0.04</v>
      </c>
      <c r="R1519" s="7">
        <f t="shared" si="47"/>
        <v>202.30799999999999</v>
      </c>
    </row>
    <row r="1520" spans="1:18" x14ac:dyDescent="0.25">
      <c r="A1520" s="5">
        <f>Procurement_Raw!A1520</f>
        <v>45849</v>
      </c>
      <c r="B1520" t="str">
        <f>Procurement_Raw!B1520</f>
        <v>S012</v>
      </c>
      <c r="C1520" t="str">
        <f>Procurement_Raw!C1520</f>
        <v>Bristol Care &amp; Education Centre</v>
      </c>
      <c r="D1520" t="str">
        <f>Procurement_Raw!D1520</f>
        <v>South</v>
      </c>
      <c r="E1520" t="str">
        <f>Procurement_Raw!E1520</f>
        <v>MediSure</v>
      </c>
      <c r="F1520" t="str">
        <f>Procurement_Raw!F1520</f>
        <v>Medical Supplies</v>
      </c>
      <c r="G1520" t="str">
        <f>Procurement_Raw!G1520</f>
        <v>INV-2025-01519</v>
      </c>
      <c r="H1520" s="6">
        <f>Procurement_Raw!H1520</f>
        <v>64</v>
      </c>
      <c r="I1520" s="7">
        <f>Procurement_Raw!I1520</f>
        <v>68.319999999999993</v>
      </c>
      <c r="J1520" s="7">
        <f>Procurement_Raw!J1520</f>
        <v>4372.42</v>
      </c>
      <c r="K1520" s="6">
        <f>Procurement_Raw!K1520</f>
        <v>45</v>
      </c>
      <c r="L1520" t="str">
        <f>Procurement_Raw!L1520</f>
        <v>ERP</v>
      </c>
      <c r="M1520" s="8">
        <f>Procurement_Raw!M1520</f>
        <v>874.48400000000004</v>
      </c>
      <c r="N1520" s="7">
        <f>Procurement_Raw!N1520</f>
        <v>4372.42</v>
      </c>
      <c r="O1520" s="7">
        <f t="shared" si="46"/>
        <v>4372.42</v>
      </c>
      <c r="P1520" t="str">
        <f>IFERROR(INDEX(Supplier_Lookup!$B$2:$B$200,MATCH(E1520,Supplier_Lookup!$A$2:$A$200,0)),"Unmapped")</f>
        <v>Medical Supplies</v>
      </c>
      <c r="Q1520" s="10">
        <f>IFERROR(INDEX(Category_Targets!$B$2:$B$9,MATCH(F1520,Category_Targets!$A$2:$A$9,0)),0)</f>
        <v>0.06</v>
      </c>
      <c r="R1520" s="7">
        <f t="shared" si="47"/>
        <v>262.34519999999998</v>
      </c>
    </row>
    <row r="1521" spans="1:18" x14ac:dyDescent="0.25">
      <c r="A1521" s="5">
        <f>Procurement_Raw!A1521</f>
        <v>45986</v>
      </c>
      <c r="B1521" t="str">
        <f>Procurement_Raw!B1521</f>
        <v>S003</v>
      </c>
      <c r="C1521" t="str">
        <f>Procurement_Raw!C1521</f>
        <v>Leeds Care &amp; Education Centre</v>
      </c>
      <c r="D1521" t="str">
        <f>Procurement_Raw!D1521</f>
        <v>North</v>
      </c>
      <c r="E1521" t="str">
        <f>Procurement_Raw!E1521</f>
        <v>HealthStaffing</v>
      </c>
      <c r="F1521" t="str">
        <f>Procurement_Raw!F1521</f>
        <v>Agency Labour</v>
      </c>
      <c r="G1521" t="str">
        <f>Procurement_Raw!G1521</f>
        <v>INV-2025-01520</v>
      </c>
      <c r="H1521" s="6">
        <f>Procurement_Raw!H1521</f>
        <v>5</v>
      </c>
      <c r="I1521" s="7">
        <f>Procurement_Raw!I1521</f>
        <v>831.75</v>
      </c>
      <c r="J1521" s="7">
        <f>Procurement_Raw!J1521</f>
        <v>4158.76</v>
      </c>
      <c r="K1521" s="6">
        <f>Procurement_Raw!K1521</f>
        <v>30</v>
      </c>
      <c r="L1521" t="str">
        <f>Procurement_Raw!L1521</f>
        <v>Legacy Spend File</v>
      </c>
      <c r="M1521" s="8">
        <f>Procurement_Raw!M1521</f>
        <v>831.75199999999995</v>
      </c>
      <c r="N1521" s="7">
        <f>Procurement_Raw!N1521</f>
        <v>4158.76</v>
      </c>
      <c r="O1521" s="7">
        <f t="shared" si="46"/>
        <v>4158.76</v>
      </c>
      <c r="P1521" t="str">
        <f>IFERROR(INDEX(Supplier_Lookup!$B$2:$B$200,MATCH(E1521,Supplier_Lookup!$A$2:$A$200,0)),"Unmapped")</f>
        <v>Agency Labour</v>
      </c>
      <c r="Q1521" s="10">
        <f>IFERROR(INDEX(Category_Targets!$B$2:$B$9,MATCH(F1521,Category_Targets!$A$2:$A$9,0)),0)</f>
        <v>7.0000000000000007E-2</v>
      </c>
      <c r="R1521" s="7">
        <f t="shared" si="47"/>
        <v>291.11320000000006</v>
      </c>
    </row>
    <row r="1522" spans="1:18" x14ac:dyDescent="0.25">
      <c r="A1522" s="5">
        <f>Procurement_Raw!A1522</f>
        <v>45826</v>
      </c>
      <c r="B1522" t="str">
        <f>Procurement_Raw!B1522</f>
        <v>S009</v>
      </c>
      <c r="C1522" t="str">
        <f>Procurement_Raw!C1522</f>
        <v>Derby Care &amp; Education Centre</v>
      </c>
      <c r="D1522" t="str">
        <f>Procurement_Raw!D1522</f>
        <v>Midlands</v>
      </c>
      <c r="E1522" t="str">
        <f>Procurement_Raw!E1522</f>
        <v>PrintCo</v>
      </c>
      <c r="F1522" t="str">
        <f>Procurement_Raw!F1522</f>
        <v>Office &amp; Training</v>
      </c>
      <c r="G1522" t="str">
        <f>Procurement_Raw!G1522</f>
        <v>INV-2025-01521</v>
      </c>
      <c r="H1522" s="6">
        <f>Procurement_Raw!H1522</f>
        <v>18</v>
      </c>
      <c r="I1522" s="7">
        <f>Procurement_Raw!I1522</f>
        <v>146.80000000000001</v>
      </c>
      <c r="J1522" s="7">
        <f>Procurement_Raw!J1522</f>
        <v>2642.36</v>
      </c>
      <c r="K1522" s="6">
        <f>Procurement_Raw!K1522</f>
        <v>45</v>
      </c>
      <c r="L1522" t="str">
        <f>Procurement_Raw!L1522</f>
        <v>Procurement Portal</v>
      </c>
      <c r="M1522" s="8">
        <f>Procurement_Raw!M1522</f>
        <v>528.47199999999998</v>
      </c>
      <c r="N1522" s="7">
        <f>Procurement_Raw!N1522</f>
        <v>2642.36</v>
      </c>
      <c r="O1522" s="7">
        <f t="shared" si="46"/>
        <v>2642.36</v>
      </c>
      <c r="P1522" t="str">
        <f>IFERROR(INDEX(Supplier_Lookup!$B$2:$B$200,MATCH(E1522,Supplier_Lookup!$A$2:$A$200,0)),"Unmapped")</f>
        <v>Office &amp; Training</v>
      </c>
      <c r="Q1522" s="10">
        <f>IFERROR(INDEX(Category_Targets!$B$2:$B$9,MATCH(F1522,Category_Targets!$A$2:$A$9,0)),0)</f>
        <v>0.04</v>
      </c>
      <c r="R1522" s="7">
        <f t="shared" si="47"/>
        <v>105.6944</v>
      </c>
    </row>
    <row r="1523" spans="1:18" x14ac:dyDescent="0.25">
      <c r="A1523" s="5">
        <f>Procurement_Raw!A1523</f>
        <v>45870</v>
      </c>
      <c r="B1523" t="str">
        <f>Procurement_Raw!B1523</f>
        <v>S012</v>
      </c>
      <c r="C1523" t="str">
        <f>Procurement_Raw!C1523</f>
        <v>Bristol Care &amp; Education Centre</v>
      </c>
      <c r="D1523" t="str">
        <f>Procurement_Raw!D1523</f>
        <v>South</v>
      </c>
      <c r="E1523" t="str">
        <f>Procurement_Raw!E1523</f>
        <v>ClinEquip</v>
      </c>
      <c r="F1523" t="str">
        <f>Procurement_Raw!F1523</f>
        <v>Medical Supplies</v>
      </c>
      <c r="G1523" t="str">
        <f>Procurement_Raw!G1523</f>
        <v>INV-2025-01522</v>
      </c>
      <c r="H1523" s="6">
        <f>Procurement_Raw!H1523</f>
        <v>37</v>
      </c>
      <c r="I1523" s="7">
        <f>Procurement_Raw!I1523</f>
        <v>165.28</v>
      </c>
      <c r="J1523" s="7">
        <f>Procurement_Raw!J1523</f>
        <v>6115.39</v>
      </c>
      <c r="K1523" s="6">
        <f>Procurement_Raw!K1523</f>
        <v>30</v>
      </c>
      <c r="L1523" t="str">
        <f>Procurement_Raw!L1523</f>
        <v>ERP</v>
      </c>
      <c r="M1523" s="8">
        <f>Procurement_Raw!M1523</f>
        <v>1223.078</v>
      </c>
      <c r="N1523" s="7">
        <f>Procurement_Raw!N1523</f>
        <v>6115.39</v>
      </c>
      <c r="O1523" s="7">
        <f t="shared" si="46"/>
        <v>6115.39</v>
      </c>
      <c r="P1523" t="str">
        <f>IFERROR(INDEX(Supplier_Lookup!$B$2:$B$200,MATCH(E1523,Supplier_Lookup!$A$2:$A$200,0)),"Unmapped")</f>
        <v>Medical Supplies</v>
      </c>
      <c r="Q1523" s="10">
        <f>IFERROR(INDEX(Category_Targets!$B$2:$B$9,MATCH(F1523,Category_Targets!$A$2:$A$9,0)),0)</f>
        <v>0.06</v>
      </c>
      <c r="R1523" s="7">
        <f t="shared" si="47"/>
        <v>366.92340000000002</v>
      </c>
    </row>
    <row r="1524" spans="1:18" x14ac:dyDescent="0.25">
      <c r="A1524" s="5">
        <f>Procurement_Raw!A1524</f>
        <v>45782</v>
      </c>
      <c r="B1524" t="str">
        <f>Procurement_Raw!B1524</f>
        <v>S017</v>
      </c>
      <c r="C1524" t="str">
        <f>Procurement_Raw!C1524</f>
        <v>Swansea Care &amp; Education Centre</v>
      </c>
      <c r="D1524" t="str">
        <f>Procurement_Raw!D1524</f>
        <v>Wales</v>
      </c>
      <c r="E1524" t="str">
        <f>Procurement_Raw!E1524</f>
        <v>RoadReady</v>
      </c>
      <c r="F1524" t="str">
        <f>Procurement_Raw!F1524</f>
        <v>Vehicle &amp; Fuel</v>
      </c>
      <c r="G1524" t="str">
        <f>Procurement_Raw!G1524</f>
        <v>INV-2025-01523</v>
      </c>
      <c r="H1524" s="6">
        <f>Procurement_Raw!H1524</f>
        <v>27</v>
      </c>
      <c r="I1524" s="7">
        <f>Procurement_Raw!I1524</f>
        <v>83.87</v>
      </c>
      <c r="J1524" s="7">
        <f>Procurement_Raw!J1524</f>
        <v>2264.59</v>
      </c>
      <c r="K1524" s="6">
        <f>Procurement_Raw!K1524</f>
        <v>60</v>
      </c>
      <c r="L1524" t="str">
        <f>Procurement_Raw!L1524</f>
        <v>ERP</v>
      </c>
      <c r="M1524" s="8">
        <f>Procurement_Raw!M1524</f>
        <v>452.91800000000001</v>
      </c>
      <c r="N1524" s="7">
        <f>Procurement_Raw!N1524</f>
        <v>2264.59</v>
      </c>
      <c r="O1524" s="7">
        <f t="shared" si="46"/>
        <v>2264.59</v>
      </c>
      <c r="P1524" t="str">
        <f>IFERROR(INDEX(Supplier_Lookup!$B$2:$B$200,MATCH(E1524,Supplier_Lookup!$A$2:$A$200,0)),"Unmapped")</f>
        <v>Vehicle &amp; Fuel</v>
      </c>
      <c r="Q1524" s="10">
        <f>IFERROR(INDEX(Category_Targets!$B$2:$B$9,MATCH(F1524,Category_Targets!$A$2:$A$9,0)),0)</f>
        <v>0.05</v>
      </c>
      <c r="R1524" s="7">
        <f t="shared" si="47"/>
        <v>113.22950000000002</v>
      </c>
    </row>
    <row r="1525" spans="1:18" x14ac:dyDescent="0.25">
      <c r="A1525" s="5">
        <f>Procurement_Raw!A1525</f>
        <v>46014</v>
      </c>
      <c r="B1525" t="str">
        <f>Procurement_Raw!B1525</f>
        <v>S010</v>
      </c>
      <c r="C1525" t="str">
        <f>Procurement_Raw!C1525</f>
        <v>Coventry Care &amp; Education Centre</v>
      </c>
      <c r="D1525" t="str">
        <f>Procurement_Raw!D1525</f>
        <v>Midlands</v>
      </c>
      <c r="E1525" t="str">
        <f>Procurement_Raw!E1525</f>
        <v>PowerDirect</v>
      </c>
      <c r="F1525" t="str">
        <f>Procurement_Raw!F1525</f>
        <v>Utilities</v>
      </c>
      <c r="G1525" t="str">
        <f>Procurement_Raw!G1525</f>
        <v>INV-2025-01524</v>
      </c>
      <c r="H1525" s="6">
        <f>Procurement_Raw!H1525</f>
        <v>29</v>
      </c>
      <c r="I1525" s="7">
        <f>Procurement_Raw!I1525</f>
        <v>147.49</v>
      </c>
      <c r="J1525" s="7">
        <f>Procurement_Raw!J1525</f>
        <v>4277.25</v>
      </c>
      <c r="K1525" s="6">
        <f>Procurement_Raw!K1525</f>
        <v>60</v>
      </c>
      <c r="L1525" t="str">
        <f>Procurement_Raw!L1525</f>
        <v>Procurement Portal</v>
      </c>
      <c r="M1525" s="8">
        <f>Procurement_Raw!M1525</f>
        <v>855.45</v>
      </c>
      <c r="N1525" s="7">
        <f>Procurement_Raw!N1525</f>
        <v>4277.25</v>
      </c>
      <c r="O1525" s="7">
        <f t="shared" si="46"/>
        <v>4277.25</v>
      </c>
      <c r="P1525" t="str">
        <f>IFERROR(INDEX(Supplier_Lookup!$B$2:$B$200,MATCH(E1525,Supplier_Lookup!$A$2:$A$200,0)),"Unmapped")</f>
        <v>Utilities</v>
      </c>
      <c r="Q1525" s="10">
        <f>IFERROR(INDEX(Category_Targets!$B$2:$B$9,MATCH(F1525,Category_Targets!$A$2:$A$9,0)),0)</f>
        <v>0.03</v>
      </c>
      <c r="R1525" s="7">
        <f t="shared" si="47"/>
        <v>128.3175</v>
      </c>
    </row>
    <row r="1526" spans="1:18" x14ac:dyDescent="0.25">
      <c r="A1526" s="5">
        <f>Procurement_Raw!A1526</f>
        <v>45884</v>
      </c>
      <c r="B1526" t="str">
        <f>Procurement_Raw!B1526</f>
        <v>S010</v>
      </c>
      <c r="C1526" t="str">
        <f>Procurement_Raw!C1526</f>
        <v>Coventry Care &amp; Education Centre</v>
      </c>
      <c r="D1526" t="str">
        <f>Procurement_Raw!D1526</f>
        <v>Midlands</v>
      </c>
      <c r="E1526" t="str">
        <f>Procurement_Raw!E1526</f>
        <v>FleetFuel</v>
      </c>
      <c r="F1526" t="str">
        <f>Procurement_Raw!F1526</f>
        <v>Vehicle &amp; Fuel</v>
      </c>
      <c r="G1526" t="str">
        <f>Procurement_Raw!G1526</f>
        <v>INV-2025-01525</v>
      </c>
      <c r="H1526" s="6">
        <f>Procurement_Raw!H1526</f>
        <v>1</v>
      </c>
      <c r="I1526" s="7">
        <f>Procurement_Raw!I1526</f>
        <v>77.41</v>
      </c>
      <c r="J1526" s="7">
        <f>Procurement_Raw!J1526</f>
        <v>77.41</v>
      </c>
      <c r="K1526" s="6">
        <f>Procurement_Raw!K1526</f>
        <v>30</v>
      </c>
      <c r="L1526" t="str">
        <f>Procurement_Raw!L1526</f>
        <v>Procurement Portal</v>
      </c>
      <c r="M1526" s="8">
        <f>Procurement_Raw!M1526</f>
        <v>15.481999999999999</v>
      </c>
      <c r="N1526" s="7">
        <f>Procurement_Raw!N1526</f>
        <v>77.41</v>
      </c>
      <c r="O1526" s="7">
        <f t="shared" si="46"/>
        <v>77.41</v>
      </c>
      <c r="P1526" t="str">
        <f>IFERROR(INDEX(Supplier_Lookup!$B$2:$B$200,MATCH(E1526,Supplier_Lookup!$A$2:$A$200,0)),"Unmapped")</f>
        <v>Vehicle &amp; Fuel</v>
      </c>
      <c r="Q1526" s="10">
        <f>IFERROR(INDEX(Category_Targets!$B$2:$B$9,MATCH(F1526,Category_Targets!$A$2:$A$9,0)),0)</f>
        <v>0.05</v>
      </c>
      <c r="R1526" s="7">
        <f t="shared" si="47"/>
        <v>3.8704999999999998</v>
      </c>
    </row>
    <row r="1527" spans="1:18" x14ac:dyDescent="0.25">
      <c r="A1527" s="5">
        <f>Procurement_Raw!A1527</f>
        <v>45982</v>
      </c>
      <c r="B1527" t="str">
        <f>Procurement_Raw!B1527</f>
        <v>S005</v>
      </c>
      <c r="C1527" t="str">
        <f>Procurement_Raw!C1527</f>
        <v>Sheffield Care &amp; Education Centre</v>
      </c>
      <c r="D1527" t="str">
        <f>Procurement_Raw!D1527</f>
        <v>North</v>
      </c>
      <c r="E1527" t="str">
        <f>Procurement_Raw!E1527</f>
        <v>UK Energy Partners</v>
      </c>
      <c r="F1527" t="str">
        <f>Procurement_Raw!F1527</f>
        <v>Utilities</v>
      </c>
      <c r="G1527" t="str">
        <f>Procurement_Raw!G1527</f>
        <v>INV-2025-01526</v>
      </c>
      <c r="H1527" s="6">
        <f>Procurement_Raw!H1527</f>
        <v>19</v>
      </c>
      <c r="I1527" s="7">
        <f>Procurement_Raw!I1527</f>
        <v>454.99</v>
      </c>
      <c r="J1527" s="7">
        <f>Procurement_Raw!J1527</f>
        <v>8644.7900000000009</v>
      </c>
      <c r="K1527" s="6">
        <f>Procurement_Raw!K1527</f>
        <v>30</v>
      </c>
      <c r="L1527" t="str">
        <f>Procurement_Raw!L1527</f>
        <v>ERP</v>
      </c>
      <c r="M1527" s="8">
        <f>Procurement_Raw!M1527</f>
        <v>1728.9580000000001</v>
      </c>
      <c r="N1527" s="7">
        <f>Procurement_Raw!N1527</f>
        <v>8644.7900000000009</v>
      </c>
      <c r="O1527" s="7">
        <f t="shared" si="46"/>
        <v>8644.7900000000009</v>
      </c>
      <c r="P1527" t="str">
        <f>IFERROR(INDEX(Supplier_Lookup!$B$2:$B$200,MATCH(E1527,Supplier_Lookup!$A$2:$A$200,0)),"Unmapped")</f>
        <v>Utilities</v>
      </c>
      <c r="Q1527" s="10">
        <f>IFERROR(INDEX(Category_Targets!$B$2:$B$9,MATCH(F1527,Category_Targets!$A$2:$A$9,0)),0)</f>
        <v>0.03</v>
      </c>
      <c r="R1527" s="7">
        <f t="shared" si="47"/>
        <v>259.34370000000001</v>
      </c>
    </row>
    <row r="1528" spans="1:18" x14ac:dyDescent="0.25">
      <c r="A1528" s="5">
        <f>Procurement_Raw!A1528</f>
        <v>45939</v>
      </c>
      <c r="B1528" t="str">
        <f>Procurement_Raw!B1528</f>
        <v>S010</v>
      </c>
      <c r="C1528" t="str">
        <f>Procurement_Raw!C1528</f>
        <v>Coventry Care &amp; Education Centre</v>
      </c>
      <c r="D1528" t="str">
        <f>Procurement_Raw!D1528</f>
        <v>Midlands</v>
      </c>
      <c r="E1528" t="str">
        <f>Procurement_Raw!E1528</f>
        <v>BuildCare</v>
      </c>
      <c r="F1528" t="str">
        <f>Procurement_Raw!F1528</f>
        <v>Facilities</v>
      </c>
      <c r="G1528" t="str">
        <f>Procurement_Raw!G1528</f>
        <v>INV-2025-01527</v>
      </c>
      <c r="H1528" s="6">
        <f>Procurement_Raw!H1528</f>
        <v>27</v>
      </c>
      <c r="I1528" s="7">
        <f>Procurement_Raw!I1528</f>
        <v>507.49</v>
      </c>
      <c r="J1528" s="7">
        <f>Procurement_Raw!J1528</f>
        <v>13702.26</v>
      </c>
      <c r="K1528" s="6">
        <f>Procurement_Raw!K1528</f>
        <v>30</v>
      </c>
      <c r="L1528" t="str">
        <f>Procurement_Raw!L1528</f>
        <v>Legacy Spend File</v>
      </c>
      <c r="M1528" s="8">
        <f>Procurement_Raw!M1528</f>
        <v>2740.4520000000002</v>
      </c>
      <c r="N1528" s="7">
        <f>Procurement_Raw!N1528</f>
        <v>13702.26</v>
      </c>
      <c r="O1528" s="7">
        <f t="shared" si="46"/>
        <v>13702.26</v>
      </c>
      <c r="P1528" t="str">
        <f>IFERROR(INDEX(Supplier_Lookup!$B$2:$B$200,MATCH(E1528,Supplier_Lookup!$A$2:$A$200,0)),"Unmapped")</f>
        <v>Facilities</v>
      </c>
      <c r="Q1528" s="10">
        <f>IFERROR(INDEX(Category_Targets!$B$2:$B$9,MATCH(F1528,Category_Targets!$A$2:$A$9,0)),0)</f>
        <v>0.05</v>
      </c>
      <c r="R1528" s="7">
        <f t="shared" si="47"/>
        <v>685.11300000000006</v>
      </c>
    </row>
    <row r="1529" spans="1:18" x14ac:dyDescent="0.25">
      <c r="A1529" s="5">
        <f>Procurement_Raw!A1529</f>
        <v>45897</v>
      </c>
      <c r="B1529" t="str">
        <f>Procurement_Raw!B1529</f>
        <v>S006</v>
      </c>
      <c r="C1529" t="str">
        <f>Procurement_Raw!C1529</f>
        <v>Birmingham Care &amp; Education Centre</v>
      </c>
      <c r="D1529" t="str">
        <f>Procurement_Raw!D1529</f>
        <v>Midlands</v>
      </c>
      <c r="E1529" t="str">
        <f>Procurement_Raw!E1529</f>
        <v>NurseLink</v>
      </c>
      <c r="F1529" t="str">
        <f>Procurement_Raw!F1529</f>
        <v>Agency Labour</v>
      </c>
      <c r="G1529" t="str">
        <f>Procurement_Raw!G1529</f>
        <v>INV-2025-01528</v>
      </c>
      <c r="H1529" s="6">
        <f>Procurement_Raw!H1529</f>
        <v>40</v>
      </c>
      <c r="I1529" s="7">
        <f>Procurement_Raw!I1529</f>
        <v>701.04</v>
      </c>
      <c r="J1529" s="7">
        <f>Procurement_Raw!J1529</f>
        <v>28041.64</v>
      </c>
      <c r="K1529" s="6">
        <f>Procurement_Raw!K1529</f>
        <v>30</v>
      </c>
      <c r="L1529" t="str">
        <f>Procurement_Raw!L1529</f>
        <v>Legacy Spend File</v>
      </c>
      <c r="M1529" s="8">
        <f>Procurement_Raw!M1529</f>
        <v>5608.3280000000004</v>
      </c>
      <c r="N1529" s="7">
        <f>Procurement_Raw!N1529</f>
        <v>28041.64</v>
      </c>
      <c r="O1529" s="7">
        <f t="shared" si="46"/>
        <v>28041.64</v>
      </c>
      <c r="P1529" t="str">
        <f>IFERROR(INDEX(Supplier_Lookup!$B$2:$B$200,MATCH(E1529,Supplier_Lookup!$A$2:$A$200,0)),"Unmapped")</f>
        <v>Agency Labour</v>
      </c>
      <c r="Q1529" s="10">
        <f>IFERROR(INDEX(Category_Targets!$B$2:$B$9,MATCH(F1529,Category_Targets!$A$2:$A$9,0)),0)</f>
        <v>7.0000000000000007E-2</v>
      </c>
      <c r="R1529" s="7">
        <f t="shared" si="47"/>
        <v>1962.9148000000002</v>
      </c>
    </row>
    <row r="1530" spans="1:18" x14ac:dyDescent="0.25">
      <c r="A1530" s="5">
        <f>Procurement_Raw!A1530</f>
        <v>45748</v>
      </c>
      <c r="B1530" t="str">
        <f>Procurement_Raw!B1530</f>
        <v>S001</v>
      </c>
      <c r="C1530" t="str">
        <f>Procurement_Raw!C1530</f>
        <v>Preston Care &amp; Education Centre</v>
      </c>
      <c r="D1530" t="str">
        <f>Procurement_Raw!D1530</f>
        <v>North</v>
      </c>
      <c r="E1530" t="str">
        <f>Procurement_Raw!E1530</f>
        <v>WaterGrid</v>
      </c>
      <c r="F1530" t="str">
        <f>Procurement_Raw!F1530</f>
        <v>Utilities</v>
      </c>
      <c r="G1530" t="str">
        <f>Procurement_Raw!G1530</f>
        <v>INV-2025-01529</v>
      </c>
      <c r="H1530" s="6">
        <f>Procurement_Raw!H1530</f>
        <v>78</v>
      </c>
      <c r="I1530" s="7">
        <f>Procurement_Raw!I1530</f>
        <v>191.06</v>
      </c>
      <c r="J1530" s="7">
        <f>Procurement_Raw!J1530</f>
        <v>14902.77</v>
      </c>
      <c r="K1530" s="6">
        <f>Procurement_Raw!K1530</f>
        <v>30</v>
      </c>
      <c r="L1530" t="str">
        <f>Procurement_Raw!L1530</f>
        <v>Procurement Portal</v>
      </c>
      <c r="M1530" s="8">
        <f>Procurement_Raw!M1530</f>
        <v>2980.5540000000001</v>
      </c>
      <c r="N1530" s="7">
        <f>Procurement_Raw!N1530</f>
        <v>14902.77</v>
      </c>
      <c r="O1530" s="7">
        <f t="shared" si="46"/>
        <v>14902.77</v>
      </c>
      <c r="P1530" t="str">
        <f>IFERROR(INDEX(Supplier_Lookup!$B$2:$B$200,MATCH(E1530,Supplier_Lookup!$A$2:$A$200,0)),"Unmapped")</f>
        <v>Utilities</v>
      </c>
      <c r="Q1530" s="10">
        <f>IFERROR(INDEX(Category_Targets!$B$2:$B$9,MATCH(F1530,Category_Targets!$A$2:$A$9,0)),0)</f>
        <v>0.03</v>
      </c>
      <c r="R1530" s="7">
        <f t="shared" si="47"/>
        <v>447.0831</v>
      </c>
    </row>
    <row r="1531" spans="1:18" x14ac:dyDescent="0.25">
      <c r="A1531" s="5">
        <f>Procurement_Raw!A1531</f>
        <v>45761</v>
      </c>
      <c r="B1531" t="str">
        <f>Procurement_Raw!B1531</f>
        <v>S009</v>
      </c>
      <c r="C1531" t="str">
        <f>Procurement_Raw!C1531</f>
        <v>Derby Care &amp; Education Centre</v>
      </c>
      <c r="D1531" t="str">
        <f>Procurement_Raw!D1531</f>
        <v>Midlands</v>
      </c>
      <c r="E1531" t="str">
        <f>Procurement_Raw!E1531</f>
        <v>PrintCo</v>
      </c>
      <c r="F1531" t="str">
        <f>Procurement_Raw!F1531</f>
        <v>Office &amp; Training</v>
      </c>
      <c r="G1531" t="str">
        <f>Procurement_Raw!G1531</f>
        <v>INV-2025-01530</v>
      </c>
      <c r="H1531" s="6">
        <f>Procurement_Raw!H1531</f>
        <v>35</v>
      </c>
      <c r="I1531" s="7">
        <f>Procurement_Raw!I1531</f>
        <v>40.520000000000003</v>
      </c>
      <c r="J1531" s="7">
        <f>Procurement_Raw!J1531</f>
        <v>1418.06</v>
      </c>
      <c r="K1531" s="6">
        <f>Procurement_Raw!K1531</f>
        <v>45</v>
      </c>
      <c r="L1531" t="str">
        <f>Procurement_Raw!L1531</f>
        <v>ERP</v>
      </c>
      <c r="M1531" s="8">
        <f>Procurement_Raw!M1531</f>
        <v>283.61200000000002</v>
      </c>
      <c r="N1531" s="7">
        <f>Procurement_Raw!N1531</f>
        <v>1418.06</v>
      </c>
      <c r="O1531" s="7">
        <f t="shared" si="46"/>
        <v>1418.06</v>
      </c>
      <c r="P1531" t="str">
        <f>IFERROR(INDEX(Supplier_Lookup!$B$2:$B$200,MATCH(E1531,Supplier_Lookup!$A$2:$A$200,0)),"Unmapped")</f>
        <v>Office &amp; Training</v>
      </c>
      <c r="Q1531" s="10">
        <f>IFERROR(INDEX(Category_Targets!$B$2:$B$9,MATCH(F1531,Category_Targets!$A$2:$A$9,0)),0)</f>
        <v>0.04</v>
      </c>
      <c r="R1531" s="7">
        <f t="shared" si="47"/>
        <v>56.7224</v>
      </c>
    </row>
    <row r="1532" spans="1:18" x14ac:dyDescent="0.25">
      <c r="A1532" s="5">
        <f>Procurement_Raw!A1532</f>
        <v>45743</v>
      </c>
      <c r="B1532" t="str">
        <f>Procurement_Raw!B1532</f>
        <v>S008</v>
      </c>
      <c r="C1532" t="str">
        <f>Procurement_Raw!C1532</f>
        <v>Leicester Care &amp; Education Centre</v>
      </c>
      <c r="D1532" t="str">
        <f>Procurement_Raw!D1532</f>
        <v>Midlands</v>
      </c>
      <c r="E1532" t="str">
        <f>Procurement_Raw!E1532</f>
        <v>CareTemps</v>
      </c>
      <c r="F1532" t="str">
        <f>Procurement_Raw!F1532</f>
        <v>Agency Labour</v>
      </c>
      <c r="G1532" t="str">
        <f>Procurement_Raw!G1532</f>
        <v>INV-2025-01531</v>
      </c>
      <c r="H1532" s="6">
        <f>Procurement_Raw!H1532</f>
        <v>61</v>
      </c>
      <c r="I1532" s="7">
        <f>Procurement_Raw!I1532</f>
        <v>324.17</v>
      </c>
      <c r="J1532" s="7">
        <f>Procurement_Raw!J1532</f>
        <v>19774.41</v>
      </c>
      <c r="K1532" s="6">
        <f>Procurement_Raw!K1532</f>
        <v>45</v>
      </c>
      <c r="L1532" t="str">
        <f>Procurement_Raw!L1532</f>
        <v>Procurement Portal</v>
      </c>
      <c r="M1532" s="8">
        <f>Procurement_Raw!M1532</f>
        <v>3954.8820000000001</v>
      </c>
      <c r="N1532" s="7">
        <f>Procurement_Raw!N1532</f>
        <v>19774.41</v>
      </c>
      <c r="O1532" s="7">
        <f t="shared" si="46"/>
        <v>19774.41</v>
      </c>
      <c r="P1532" t="str">
        <f>IFERROR(INDEX(Supplier_Lookup!$B$2:$B$200,MATCH(E1532,Supplier_Lookup!$A$2:$A$200,0)),"Unmapped")</f>
        <v>Agency Labour</v>
      </c>
      <c r="Q1532" s="10">
        <f>IFERROR(INDEX(Category_Targets!$B$2:$B$9,MATCH(F1532,Category_Targets!$A$2:$A$9,0)),0)</f>
        <v>7.0000000000000007E-2</v>
      </c>
      <c r="R1532" s="7">
        <f t="shared" si="47"/>
        <v>1384.2087000000001</v>
      </c>
    </row>
    <row r="1533" spans="1:18" x14ac:dyDescent="0.25">
      <c r="A1533" s="5">
        <f>Procurement_Raw!A1533</f>
        <v>45904</v>
      </c>
      <c r="B1533" t="str">
        <f>Procurement_Raw!B1533</f>
        <v>S020</v>
      </c>
      <c r="C1533" t="str">
        <f>Procurement_Raw!C1533</f>
        <v>Bangor Care &amp; Education Centre</v>
      </c>
      <c r="D1533" t="str">
        <f>Procurement_Raw!D1533</f>
        <v>Wales</v>
      </c>
      <c r="E1533" t="str">
        <f>Procurement_Raw!E1533</f>
        <v>HealthStaffing</v>
      </c>
      <c r="F1533" t="str">
        <f>Procurement_Raw!F1533</f>
        <v>Agency Labour</v>
      </c>
      <c r="G1533" t="str">
        <f>Procurement_Raw!G1533</f>
        <v>INV-2025-01532</v>
      </c>
      <c r="H1533" s="6">
        <f>Procurement_Raw!H1533</f>
        <v>3</v>
      </c>
      <c r="I1533" s="7">
        <f>Procurement_Raw!I1533</f>
        <v>113.42</v>
      </c>
      <c r="J1533" s="7">
        <f>Procurement_Raw!J1533</f>
        <v>340.27</v>
      </c>
      <c r="K1533" s="6">
        <f>Procurement_Raw!K1533</f>
        <v>45</v>
      </c>
      <c r="L1533" t="str">
        <f>Procurement_Raw!L1533</f>
        <v>Procurement Portal</v>
      </c>
      <c r="M1533" s="8">
        <f>Procurement_Raw!M1533</f>
        <v>68.054000000000002</v>
      </c>
      <c r="N1533" s="7">
        <f>Procurement_Raw!N1533</f>
        <v>340.27</v>
      </c>
      <c r="O1533" s="7">
        <f t="shared" si="46"/>
        <v>340.27</v>
      </c>
      <c r="P1533" t="str">
        <f>IFERROR(INDEX(Supplier_Lookup!$B$2:$B$200,MATCH(E1533,Supplier_Lookup!$A$2:$A$200,0)),"Unmapped")</f>
        <v>Agency Labour</v>
      </c>
      <c r="Q1533" s="10">
        <f>IFERROR(INDEX(Category_Targets!$B$2:$B$9,MATCH(F1533,Category_Targets!$A$2:$A$9,0)),0)</f>
        <v>7.0000000000000007E-2</v>
      </c>
      <c r="R1533" s="7">
        <f t="shared" si="47"/>
        <v>23.818899999999999</v>
      </c>
    </row>
    <row r="1534" spans="1:18" x14ac:dyDescent="0.25">
      <c r="A1534" s="5">
        <f>Procurement_Raw!A1534</f>
        <v>45933</v>
      </c>
      <c r="B1534" t="str">
        <f>Procurement_Raw!B1534</f>
        <v>S018</v>
      </c>
      <c r="C1534" t="str">
        <f>Procurement_Raw!C1534</f>
        <v>Newport Care &amp; Education Centre</v>
      </c>
      <c r="D1534" t="str">
        <f>Procurement_Raw!D1534</f>
        <v>Wales</v>
      </c>
      <c r="E1534" t="str">
        <f>Procurement_Raw!E1534</f>
        <v>NetServe</v>
      </c>
      <c r="F1534" t="str">
        <f>Procurement_Raw!F1534</f>
        <v>IT &amp; Telecoms</v>
      </c>
      <c r="G1534" t="str">
        <f>Procurement_Raw!G1534</f>
        <v>INV-2025-01533</v>
      </c>
      <c r="H1534" s="6">
        <f>Procurement_Raw!H1534</f>
        <v>20</v>
      </c>
      <c r="I1534" s="7">
        <f>Procurement_Raw!I1534</f>
        <v>262.79000000000002</v>
      </c>
      <c r="J1534" s="7">
        <f>Procurement_Raw!J1534</f>
        <v>5255.88</v>
      </c>
      <c r="K1534" s="6">
        <f>Procurement_Raw!K1534</f>
        <v>60</v>
      </c>
      <c r="L1534" t="str">
        <f>Procurement_Raw!L1534</f>
        <v>Legacy Spend File</v>
      </c>
      <c r="M1534" s="8">
        <f>Procurement_Raw!M1534</f>
        <v>1051.1759999999999</v>
      </c>
      <c r="N1534" s="7">
        <f>Procurement_Raw!N1534</f>
        <v>5255.88</v>
      </c>
      <c r="O1534" s="7">
        <f t="shared" si="46"/>
        <v>5255.88</v>
      </c>
      <c r="P1534" t="str">
        <f>IFERROR(INDEX(Supplier_Lookup!$B$2:$B$200,MATCH(E1534,Supplier_Lookup!$A$2:$A$200,0)),"Unmapped")</f>
        <v>IT &amp; Telecoms</v>
      </c>
      <c r="Q1534" s="10">
        <f>IFERROR(INDEX(Category_Targets!$B$2:$B$9,MATCH(F1534,Category_Targets!$A$2:$A$9,0)),0)</f>
        <v>0.08</v>
      </c>
      <c r="R1534" s="7">
        <f t="shared" si="47"/>
        <v>420.47040000000004</v>
      </c>
    </row>
    <row r="1535" spans="1:18" x14ac:dyDescent="0.25">
      <c r="A1535" s="5">
        <f>Procurement_Raw!A1535</f>
        <v>45895</v>
      </c>
      <c r="B1535" t="str">
        <f>Procurement_Raw!B1535</f>
        <v>S017</v>
      </c>
      <c r="C1535" t="str">
        <f>Procurement_Raw!C1535</f>
        <v>Swansea Care &amp; Education Centre</v>
      </c>
      <c r="D1535" t="str">
        <f>Procurement_Raw!D1535</f>
        <v>Wales</v>
      </c>
      <c r="E1535" t="str">
        <f>Procurement_Raw!E1535</f>
        <v>TeleCare IT</v>
      </c>
      <c r="F1535" t="str">
        <f>Procurement_Raw!F1535</f>
        <v>IT &amp; Telecoms</v>
      </c>
      <c r="G1535" t="str">
        <f>Procurement_Raw!G1535</f>
        <v>INV-2025-01534</v>
      </c>
      <c r="H1535" s="6">
        <f>Procurement_Raw!H1535</f>
        <v>40</v>
      </c>
      <c r="I1535" s="7">
        <f>Procurement_Raw!I1535</f>
        <v>202.85</v>
      </c>
      <c r="J1535" s="7">
        <f>Procurement_Raw!J1535</f>
        <v>8113.83</v>
      </c>
      <c r="K1535" s="6">
        <f>Procurement_Raw!K1535</f>
        <v>45</v>
      </c>
      <c r="L1535" t="str">
        <f>Procurement_Raw!L1535</f>
        <v>Procurement Portal</v>
      </c>
      <c r="M1535" s="8">
        <f>Procurement_Raw!M1535</f>
        <v>1622.7660000000001</v>
      </c>
      <c r="N1535" s="7">
        <f>Procurement_Raw!N1535</f>
        <v>8113.83</v>
      </c>
      <c r="O1535" s="7">
        <f t="shared" si="46"/>
        <v>8113.83</v>
      </c>
      <c r="P1535" t="str">
        <f>IFERROR(INDEX(Supplier_Lookup!$B$2:$B$200,MATCH(E1535,Supplier_Lookup!$A$2:$A$200,0)),"Unmapped")</f>
        <v>IT &amp; Telecoms</v>
      </c>
      <c r="Q1535" s="10">
        <f>IFERROR(INDEX(Category_Targets!$B$2:$B$9,MATCH(F1535,Category_Targets!$A$2:$A$9,0)),0)</f>
        <v>0.08</v>
      </c>
      <c r="R1535" s="7">
        <f t="shared" si="47"/>
        <v>649.10640000000001</v>
      </c>
    </row>
    <row r="1536" spans="1:18" x14ac:dyDescent="0.25">
      <c r="A1536" s="5">
        <f>Procurement_Raw!A1536</f>
        <v>45828</v>
      </c>
      <c r="B1536" t="str">
        <f>Procurement_Raw!B1536</f>
        <v>S015</v>
      </c>
      <c r="C1536" t="str">
        <f>Procurement_Raw!C1536</f>
        <v>Brighton Care &amp; Education Centre</v>
      </c>
      <c r="D1536" t="str">
        <f>Procurement_Raw!D1536</f>
        <v>South</v>
      </c>
      <c r="E1536" t="str">
        <f>Procurement_Raw!E1536</f>
        <v>OfficePlus</v>
      </c>
      <c r="F1536" t="str">
        <f>Procurement_Raw!F1536</f>
        <v>Office &amp; Training</v>
      </c>
      <c r="G1536" t="str">
        <f>Procurement_Raw!G1536</f>
        <v>INV-2025-01535</v>
      </c>
      <c r="H1536" s="6">
        <f>Procurement_Raw!H1536</f>
        <v>18</v>
      </c>
      <c r="I1536" s="7">
        <f>Procurement_Raw!I1536</f>
        <v>58.04</v>
      </c>
      <c r="J1536" s="7">
        <f>Procurement_Raw!J1536</f>
        <v>1044.76</v>
      </c>
      <c r="K1536" s="6">
        <f>Procurement_Raw!K1536</f>
        <v>60</v>
      </c>
      <c r="L1536" t="str">
        <f>Procurement_Raw!L1536</f>
        <v>Procurement Portal</v>
      </c>
      <c r="M1536" s="8">
        <f>Procurement_Raw!M1536</f>
        <v>208.952</v>
      </c>
      <c r="N1536" s="7">
        <f>Procurement_Raw!N1536</f>
        <v>1044.76</v>
      </c>
      <c r="O1536" s="7">
        <f t="shared" si="46"/>
        <v>1044.76</v>
      </c>
      <c r="P1536" t="str">
        <f>IFERROR(INDEX(Supplier_Lookup!$B$2:$B$200,MATCH(E1536,Supplier_Lookup!$A$2:$A$200,0)),"Unmapped")</f>
        <v>Office &amp; Training</v>
      </c>
      <c r="Q1536" s="10">
        <f>IFERROR(INDEX(Category_Targets!$B$2:$B$9,MATCH(F1536,Category_Targets!$A$2:$A$9,0)),0)</f>
        <v>0.04</v>
      </c>
      <c r="R1536" s="7">
        <f t="shared" si="47"/>
        <v>41.790399999999998</v>
      </c>
    </row>
    <row r="1537" spans="1:18" x14ac:dyDescent="0.25">
      <c r="A1537" s="5">
        <f>Procurement_Raw!A1537</f>
        <v>45660</v>
      </c>
      <c r="B1537" t="str">
        <f>Procurement_Raw!B1537</f>
        <v>S004</v>
      </c>
      <c r="C1537" t="str">
        <f>Procurement_Raw!C1537</f>
        <v>Newcastle Care &amp; Education Centre</v>
      </c>
      <c r="D1537" t="str">
        <f>Procurement_Raw!D1537</f>
        <v>North</v>
      </c>
      <c r="E1537" t="str">
        <f>Procurement_Raw!E1537</f>
        <v>CleanWorks</v>
      </c>
      <c r="F1537" t="str">
        <f>Procurement_Raw!F1537</f>
        <v>Facilities</v>
      </c>
      <c r="G1537" t="str">
        <f>Procurement_Raw!G1537</f>
        <v>INV-2025-01536</v>
      </c>
      <c r="H1537" s="6">
        <f>Procurement_Raw!H1537</f>
        <v>2</v>
      </c>
      <c r="I1537" s="7">
        <f>Procurement_Raw!I1537</f>
        <v>74.88</v>
      </c>
      <c r="J1537" s="7">
        <f>Procurement_Raw!J1537</f>
        <v>149.76</v>
      </c>
      <c r="K1537" s="6">
        <f>Procurement_Raw!K1537</f>
        <v>60</v>
      </c>
      <c r="L1537" t="str">
        <f>Procurement_Raw!L1537</f>
        <v>Legacy Spend File</v>
      </c>
      <c r="M1537" s="8">
        <f>Procurement_Raw!M1537</f>
        <v>29.952000000000002</v>
      </c>
      <c r="N1537" s="7">
        <f>Procurement_Raw!N1537</f>
        <v>149.76</v>
      </c>
      <c r="O1537" s="7">
        <f t="shared" si="46"/>
        <v>149.76</v>
      </c>
      <c r="P1537" t="str">
        <f>IFERROR(INDEX(Supplier_Lookup!$B$2:$B$200,MATCH(E1537,Supplier_Lookup!$A$2:$A$200,0)),"Unmapped")</f>
        <v>Facilities</v>
      </c>
      <c r="Q1537" s="10">
        <f>IFERROR(INDEX(Category_Targets!$B$2:$B$9,MATCH(F1537,Category_Targets!$A$2:$A$9,0)),0)</f>
        <v>0.05</v>
      </c>
      <c r="R1537" s="7">
        <f t="shared" si="47"/>
        <v>7.4879999999999995</v>
      </c>
    </row>
    <row r="1538" spans="1:18" x14ac:dyDescent="0.25">
      <c r="A1538" s="5">
        <f>Procurement_Raw!A1538</f>
        <v>45865</v>
      </c>
      <c r="B1538" t="str">
        <f>Procurement_Raw!B1538</f>
        <v>S014</v>
      </c>
      <c r="C1538" t="str">
        <f>Procurement_Raw!C1538</f>
        <v>Southampton Care &amp; Education Centre</v>
      </c>
      <c r="D1538" t="str">
        <f>Procurement_Raw!D1538</f>
        <v>South</v>
      </c>
      <c r="E1538" t="str">
        <f>Procurement_Raw!E1538</f>
        <v>RoadReady</v>
      </c>
      <c r="F1538" t="str">
        <f>Procurement_Raw!F1538</f>
        <v>Vehicle &amp; Fuel</v>
      </c>
      <c r="G1538" t="str">
        <f>Procurement_Raw!G1538</f>
        <v>INV-2025-01537</v>
      </c>
      <c r="H1538" s="6">
        <f>Procurement_Raw!H1538</f>
        <v>54</v>
      </c>
      <c r="I1538" s="7">
        <f>Procurement_Raw!I1538</f>
        <v>126.01</v>
      </c>
      <c r="J1538" s="7">
        <f>Procurement_Raw!J1538</f>
        <v>6804.51</v>
      </c>
      <c r="K1538" s="6">
        <f>Procurement_Raw!K1538</f>
        <v>45</v>
      </c>
      <c r="L1538" t="str">
        <f>Procurement_Raw!L1538</f>
        <v>Legacy Spend File</v>
      </c>
      <c r="M1538" s="8">
        <f>Procurement_Raw!M1538</f>
        <v>1360.902</v>
      </c>
      <c r="N1538" s="7">
        <f>Procurement_Raw!N1538</f>
        <v>6804.51</v>
      </c>
      <c r="O1538" s="7">
        <f t="shared" ref="O1538:O1601" si="48">IFERROR(IF(J1538="","",J1538),0)</f>
        <v>6804.51</v>
      </c>
      <c r="P1538" t="str">
        <f>IFERROR(INDEX(Supplier_Lookup!$B$2:$B$200,MATCH(E1538,Supplier_Lookup!$A$2:$A$200,0)),"Unmapped")</f>
        <v>Vehicle &amp; Fuel</v>
      </c>
      <c r="Q1538" s="10">
        <f>IFERROR(INDEX(Category_Targets!$B$2:$B$9,MATCH(F1538,Category_Targets!$A$2:$A$9,0)),0)</f>
        <v>0.05</v>
      </c>
      <c r="R1538" s="7">
        <f t="shared" ref="R1538:R1601" si="49">O1538*Q1538</f>
        <v>340.22550000000001</v>
      </c>
    </row>
    <row r="1539" spans="1:18" x14ac:dyDescent="0.25">
      <c r="A1539" s="5">
        <f>Procurement_Raw!A1539</f>
        <v>45815</v>
      </c>
      <c r="B1539" t="str">
        <f>Procurement_Raw!B1539</f>
        <v>S003</v>
      </c>
      <c r="C1539" t="str">
        <f>Procurement_Raw!C1539</f>
        <v>Leeds Care &amp; Education Centre</v>
      </c>
      <c r="D1539" t="str">
        <f>Procurement_Raw!D1539</f>
        <v>North</v>
      </c>
      <c r="E1539" t="str">
        <f>Procurement_Raw!E1539</f>
        <v>CareTemps</v>
      </c>
      <c r="F1539" t="str">
        <f>Procurement_Raw!F1539</f>
        <v>Agency Labour</v>
      </c>
      <c r="G1539" t="str">
        <f>Procurement_Raw!G1539</f>
        <v>INV-2025-01538</v>
      </c>
      <c r="H1539" s="6">
        <f>Procurement_Raw!H1539</f>
        <v>76</v>
      </c>
      <c r="I1539" s="7">
        <f>Procurement_Raw!I1539</f>
        <v>223.81</v>
      </c>
      <c r="J1539" s="7">
        <f>Procurement_Raw!J1539</f>
        <v>17009.55</v>
      </c>
      <c r="K1539" s="6">
        <f>Procurement_Raw!K1539</f>
        <v>30</v>
      </c>
      <c r="L1539" t="str">
        <f>Procurement_Raw!L1539</f>
        <v>Procurement Portal</v>
      </c>
      <c r="M1539" s="8">
        <f>Procurement_Raw!M1539</f>
        <v>3401.91</v>
      </c>
      <c r="N1539" s="7">
        <f>Procurement_Raw!N1539</f>
        <v>17009.55</v>
      </c>
      <c r="O1539" s="7">
        <f t="shared" si="48"/>
        <v>17009.55</v>
      </c>
      <c r="P1539" t="str">
        <f>IFERROR(INDEX(Supplier_Lookup!$B$2:$B$200,MATCH(E1539,Supplier_Lookup!$A$2:$A$200,0)),"Unmapped")</f>
        <v>Agency Labour</v>
      </c>
      <c r="Q1539" s="10">
        <f>IFERROR(INDEX(Category_Targets!$B$2:$B$9,MATCH(F1539,Category_Targets!$A$2:$A$9,0)),0)</f>
        <v>7.0000000000000007E-2</v>
      </c>
      <c r="R1539" s="7">
        <f t="shared" si="49"/>
        <v>1190.6685</v>
      </c>
    </row>
    <row r="1540" spans="1:18" x14ac:dyDescent="0.25">
      <c r="A1540" s="5">
        <f>Procurement_Raw!A1540</f>
        <v>45947</v>
      </c>
      <c r="B1540" t="str">
        <f>Procurement_Raw!B1540</f>
        <v>S014</v>
      </c>
      <c r="C1540" t="str">
        <f>Procurement_Raw!C1540</f>
        <v>Southampton Care &amp; Education Centre</v>
      </c>
      <c r="D1540" t="str">
        <f>Procurement_Raw!D1540</f>
        <v>South</v>
      </c>
      <c r="E1540" t="str">
        <f>Procurement_Raw!E1540</f>
        <v>NourishCo</v>
      </c>
      <c r="F1540" t="str">
        <f>Procurement_Raw!F1540</f>
        <v>Food &amp; Catering</v>
      </c>
      <c r="G1540" t="str">
        <f>Procurement_Raw!G1540</f>
        <v>INV-2025-01539</v>
      </c>
      <c r="H1540" s="6">
        <f>Procurement_Raw!H1540</f>
        <v>21</v>
      </c>
      <c r="I1540" s="7">
        <f>Procurement_Raw!I1540</f>
        <v>34.159999999999997</v>
      </c>
      <c r="J1540" s="7">
        <f>Procurement_Raw!J1540</f>
        <v>717.27</v>
      </c>
      <c r="K1540" s="6">
        <f>Procurement_Raw!K1540</f>
        <v>30</v>
      </c>
      <c r="L1540" t="str">
        <f>Procurement_Raw!L1540</f>
        <v>Procurement Portal</v>
      </c>
      <c r="M1540" s="8">
        <f>Procurement_Raw!M1540</f>
        <v>143.45400000000001</v>
      </c>
      <c r="N1540" s="7">
        <f>Procurement_Raw!N1540</f>
        <v>717.27</v>
      </c>
      <c r="O1540" s="7">
        <f t="shared" si="48"/>
        <v>717.27</v>
      </c>
      <c r="P1540" t="str">
        <f>IFERROR(INDEX(Supplier_Lookup!$B$2:$B$200,MATCH(E1540,Supplier_Lookup!$A$2:$A$200,0)),"Unmapped")</f>
        <v>Food &amp; Catering</v>
      </c>
      <c r="Q1540" s="10">
        <f>IFERROR(INDEX(Category_Targets!$B$2:$B$9,MATCH(F1540,Category_Targets!$A$2:$A$9,0)),0)</f>
        <v>0.04</v>
      </c>
      <c r="R1540" s="7">
        <f t="shared" si="49"/>
        <v>28.690799999999999</v>
      </c>
    </row>
    <row r="1541" spans="1:18" x14ac:dyDescent="0.25">
      <c r="A1541" s="5">
        <f>Procurement_Raw!A1541</f>
        <v>46021</v>
      </c>
      <c r="B1541" t="str">
        <f>Procurement_Raw!B1541</f>
        <v>S017</v>
      </c>
      <c r="C1541" t="str">
        <f>Procurement_Raw!C1541</f>
        <v>Swansea Care &amp; Education Centre</v>
      </c>
      <c r="D1541" t="str">
        <f>Procurement_Raw!D1541</f>
        <v>Wales</v>
      </c>
      <c r="E1541" t="str">
        <f>Procurement_Raw!E1541</f>
        <v>AutoCare</v>
      </c>
      <c r="F1541" t="str">
        <f>Procurement_Raw!F1541</f>
        <v>Vehicle &amp; Fuel</v>
      </c>
      <c r="G1541" t="str">
        <f>Procurement_Raw!G1541</f>
        <v>INV-2025-01540</v>
      </c>
      <c r="H1541" s="6">
        <f>Procurement_Raw!H1541</f>
        <v>63</v>
      </c>
      <c r="I1541" s="7">
        <f>Procurement_Raw!I1541</f>
        <v>19.57</v>
      </c>
      <c r="J1541" s="7">
        <f>Procurement_Raw!J1541</f>
        <v>1233.08</v>
      </c>
      <c r="K1541" s="6">
        <f>Procurement_Raw!K1541</f>
        <v>60</v>
      </c>
      <c r="L1541" t="str">
        <f>Procurement_Raw!L1541</f>
        <v>Legacy Spend File</v>
      </c>
      <c r="M1541" s="8">
        <f>Procurement_Raw!M1541</f>
        <v>246.61600000000001</v>
      </c>
      <c r="N1541" s="7">
        <f>Procurement_Raw!N1541</f>
        <v>1233.08</v>
      </c>
      <c r="O1541" s="7">
        <f t="shared" si="48"/>
        <v>1233.08</v>
      </c>
      <c r="P1541" t="str">
        <f>IFERROR(INDEX(Supplier_Lookup!$B$2:$B$200,MATCH(E1541,Supplier_Lookup!$A$2:$A$200,0)),"Unmapped")</f>
        <v>Vehicle &amp; Fuel</v>
      </c>
      <c r="Q1541" s="10">
        <f>IFERROR(INDEX(Category_Targets!$B$2:$B$9,MATCH(F1541,Category_Targets!$A$2:$A$9,0)),0)</f>
        <v>0.05</v>
      </c>
      <c r="R1541" s="7">
        <f t="shared" si="49"/>
        <v>61.653999999999996</v>
      </c>
    </row>
    <row r="1542" spans="1:18" x14ac:dyDescent="0.25">
      <c r="A1542" s="5">
        <f>Procurement_Raw!A1542</f>
        <v>45855</v>
      </c>
      <c r="B1542" t="str">
        <f>Procurement_Raw!B1542</f>
        <v>S002</v>
      </c>
      <c r="C1542" t="str">
        <f>Procurement_Raw!C1542</f>
        <v>Manchester Care &amp; Education Centre</v>
      </c>
      <c r="D1542" t="str">
        <f>Procurement_Raw!D1542</f>
        <v>North</v>
      </c>
      <c r="E1542" t="str">
        <f>Procurement_Raw!E1542</f>
        <v>ClinEquip</v>
      </c>
      <c r="F1542" t="str">
        <f>Procurement_Raw!F1542</f>
        <v>Medical Supplies</v>
      </c>
      <c r="G1542" t="str">
        <f>Procurement_Raw!G1542</f>
        <v>INV-2025-01541</v>
      </c>
      <c r="H1542" s="6">
        <f>Procurement_Raw!H1542</f>
        <v>55</v>
      </c>
      <c r="I1542" s="7">
        <f>Procurement_Raw!I1542</f>
        <v>118.2</v>
      </c>
      <c r="J1542" s="7">
        <f>Procurement_Raw!J1542</f>
        <v>6500.87</v>
      </c>
      <c r="K1542" s="6">
        <f>Procurement_Raw!K1542</f>
        <v>60</v>
      </c>
      <c r="L1542" t="str">
        <f>Procurement_Raw!L1542</f>
        <v>ERP</v>
      </c>
      <c r="M1542" s="8">
        <f>Procurement_Raw!M1542</f>
        <v>1300.174</v>
      </c>
      <c r="N1542" s="7">
        <f>Procurement_Raw!N1542</f>
        <v>6500.87</v>
      </c>
      <c r="O1542" s="7">
        <f t="shared" si="48"/>
        <v>6500.87</v>
      </c>
      <c r="P1542" t="str">
        <f>IFERROR(INDEX(Supplier_Lookup!$B$2:$B$200,MATCH(E1542,Supplier_Lookup!$A$2:$A$200,0)),"Unmapped")</f>
        <v>Medical Supplies</v>
      </c>
      <c r="Q1542" s="10">
        <f>IFERROR(INDEX(Category_Targets!$B$2:$B$9,MATCH(F1542,Category_Targets!$A$2:$A$9,0)),0)</f>
        <v>0.06</v>
      </c>
      <c r="R1542" s="7">
        <f t="shared" si="49"/>
        <v>390.05219999999997</v>
      </c>
    </row>
    <row r="1543" spans="1:18" x14ac:dyDescent="0.25">
      <c r="A1543" s="5">
        <f>Procurement_Raw!A1543</f>
        <v>45843</v>
      </c>
      <c r="B1543" t="str">
        <f>Procurement_Raw!B1543</f>
        <v>S002</v>
      </c>
      <c r="C1543" t="str">
        <f>Procurement_Raw!C1543</f>
        <v>Manchester Care &amp; Education Centre</v>
      </c>
      <c r="D1543" t="str">
        <f>Procurement_Raw!D1543</f>
        <v>North</v>
      </c>
      <c r="E1543" t="str">
        <f>Procurement_Raw!E1543</f>
        <v>OfficePlus</v>
      </c>
      <c r="F1543" t="str">
        <f>Procurement_Raw!F1543</f>
        <v>Office &amp; Training</v>
      </c>
      <c r="G1543" t="str">
        <f>Procurement_Raw!G1543</f>
        <v>INV-2025-01542</v>
      </c>
      <c r="H1543" s="6">
        <f>Procurement_Raw!H1543</f>
        <v>4</v>
      </c>
      <c r="I1543" s="7">
        <f>Procurement_Raw!I1543</f>
        <v>198.79</v>
      </c>
      <c r="J1543" s="7">
        <f>Procurement_Raw!J1543</f>
        <v>795.14</v>
      </c>
      <c r="K1543" s="6">
        <f>Procurement_Raw!K1543</f>
        <v>60</v>
      </c>
      <c r="L1543" t="str">
        <f>Procurement_Raw!L1543</f>
        <v>Legacy Spend File</v>
      </c>
      <c r="M1543" s="8">
        <f>Procurement_Raw!M1543</f>
        <v>159.02799999999999</v>
      </c>
      <c r="N1543" s="7">
        <f>Procurement_Raw!N1543</f>
        <v>795.14</v>
      </c>
      <c r="O1543" s="7">
        <f t="shared" si="48"/>
        <v>795.14</v>
      </c>
      <c r="P1543" t="str">
        <f>IFERROR(INDEX(Supplier_Lookup!$B$2:$B$200,MATCH(E1543,Supplier_Lookup!$A$2:$A$200,0)),"Unmapped")</f>
        <v>Office &amp; Training</v>
      </c>
      <c r="Q1543" s="10">
        <f>IFERROR(INDEX(Category_Targets!$B$2:$B$9,MATCH(F1543,Category_Targets!$A$2:$A$9,0)),0)</f>
        <v>0.04</v>
      </c>
      <c r="R1543" s="7">
        <f t="shared" si="49"/>
        <v>31.805600000000002</v>
      </c>
    </row>
    <row r="1544" spans="1:18" x14ac:dyDescent="0.25">
      <c r="A1544" s="5">
        <f>Procurement_Raw!A1544</f>
        <v>45967</v>
      </c>
      <c r="B1544" t="str">
        <f>Procurement_Raw!B1544</f>
        <v>S016</v>
      </c>
      <c r="C1544" t="str">
        <f>Procurement_Raw!C1544</f>
        <v>Cardiff Care &amp; Education Centre</v>
      </c>
      <c r="D1544" t="str">
        <f>Procurement_Raw!D1544</f>
        <v>Wales</v>
      </c>
      <c r="E1544" t="str">
        <f>Procurement_Raw!E1544</f>
        <v>SafeGuard FM</v>
      </c>
      <c r="F1544" t="str">
        <f>Procurement_Raw!F1544</f>
        <v>Facilities</v>
      </c>
      <c r="G1544" t="str">
        <f>Procurement_Raw!G1544</f>
        <v>INV-2025-01543</v>
      </c>
      <c r="H1544" s="6">
        <f>Procurement_Raw!H1544</f>
        <v>59</v>
      </c>
      <c r="I1544" s="7">
        <f>Procurement_Raw!I1544</f>
        <v>448.83</v>
      </c>
      <c r="J1544" s="7">
        <f>Procurement_Raw!J1544</f>
        <v>26481.11</v>
      </c>
      <c r="K1544" s="6">
        <f>Procurement_Raw!K1544</f>
        <v>60</v>
      </c>
      <c r="L1544" t="str">
        <f>Procurement_Raw!L1544</f>
        <v>ERP</v>
      </c>
      <c r="M1544" s="8">
        <f>Procurement_Raw!M1544</f>
        <v>5296.2219999999998</v>
      </c>
      <c r="N1544" s="7">
        <f>Procurement_Raw!N1544</f>
        <v>26481.11</v>
      </c>
      <c r="O1544" s="7">
        <f t="shared" si="48"/>
        <v>26481.11</v>
      </c>
      <c r="P1544" t="str">
        <f>IFERROR(INDEX(Supplier_Lookup!$B$2:$B$200,MATCH(E1544,Supplier_Lookup!$A$2:$A$200,0)),"Unmapped")</f>
        <v>Facilities</v>
      </c>
      <c r="Q1544" s="10">
        <f>IFERROR(INDEX(Category_Targets!$B$2:$B$9,MATCH(F1544,Category_Targets!$A$2:$A$9,0)),0)</f>
        <v>0.05</v>
      </c>
      <c r="R1544" s="7">
        <f t="shared" si="49"/>
        <v>1324.0555000000002</v>
      </c>
    </row>
    <row r="1545" spans="1:18" x14ac:dyDescent="0.25">
      <c r="A1545" s="5">
        <f>Procurement_Raw!A1545</f>
        <v>45954</v>
      </c>
      <c r="B1545" t="str">
        <f>Procurement_Raw!B1545</f>
        <v>S009</v>
      </c>
      <c r="C1545" t="str">
        <f>Procurement_Raw!C1545</f>
        <v>Derby Care &amp; Education Centre</v>
      </c>
      <c r="D1545" t="str">
        <f>Procurement_Raw!D1545</f>
        <v>Midlands</v>
      </c>
      <c r="E1545" t="str">
        <f>Procurement_Raw!E1545</f>
        <v>PowerDirect</v>
      </c>
      <c r="F1545" t="str">
        <f>Procurement_Raw!F1545</f>
        <v>Utilities</v>
      </c>
      <c r="G1545" t="str">
        <f>Procurement_Raw!G1545</f>
        <v>INV-2025-01544</v>
      </c>
      <c r="H1545" s="6">
        <f>Procurement_Raw!H1545</f>
        <v>21</v>
      </c>
      <c r="I1545" s="7">
        <f>Procurement_Raw!I1545</f>
        <v>194.43</v>
      </c>
      <c r="J1545" s="7">
        <f>Procurement_Raw!J1545</f>
        <v>4082.97</v>
      </c>
      <c r="K1545" s="6">
        <f>Procurement_Raw!K1545</f>
        <v>30</v>
      </c>
      <c r="L1545" t="str">
        <f>Procurement_Raw!L1545</f>
        <v>ERP</v>
      </c>
      <c r="M1545" s="8">
        <f>Procurement_Raw!M1545</f>
        <v>816.59400000000005</v>
      </c>
      <c r="N1545" s="7">
        <f>Procurement_Raw!N1545</f>
        <v>4082.97</v>
      </c>
      <c r="O1545" s="7">
        <f t="shared" si="48"/>
        <v>4082.97</v>
      </c>
      <c r="P1545" t="str">
        <f>IFERROR(INDEX(Supplier_Lookup!$B$2:$B$200,MATCH(E1545,Supplier_Lookup!$A$2:$A$200,0)),"Unmapped")</f>
        <v>Utilities</v>
      </c>
      <c r="Q1545" s="10">
        <f>IFERROR(INDEX(Category_Targets!$B$2:$B$9,MATCH(F1545,Category_Targets!$A$2:$A$9,0)),0)</f>
        <v>0.03</v>
      </c>
      <c r="R1545" s="7">
        <f t="shared" si="49"/>
        <v>122.48909999999999</v>
      </c>
    </row>
    <row r="1546" spans="1:18" x14ac:dyDescent="0.25">
      <c r="A1546" s="5">
        <f>Procurement_Raw!A1546</f>
        <v>46019</v>
      </c>
      <c r="B1546" t="str">
        <f>Procurement_Raw!B1546</f>
        <v>S009</v>
      </c>
      <c r="C1546" t="str">
        <f>Procurement_Raw!C1546</f>
        <v>Derby Care &amp; Education Centre</v>
      </c>
      <c r="D1546" t="str">
        <f>Procurement_Raw!D1546</f>
        <v>Midlands</v>
      </c>
      <c r="E1546" t="str">
        <f>Procurement_Raw!E1546</f>
        <v>CareTemps</v>
      </c>
      <c r="F1546" t="str">
        <f>Procurement_Raw!F1546</f>
        <v>Agency Labour</v>
      </c>
      <c r="G1546" t="str">
        <f>Procurement_Raw!G1546</f>
        <v>INV-2025-01545</v>
      </c>
      <c r="H1546" s="6">
        <f>Procurement_Raw!H1546</f>
        <v>76</v>
      </c>
      <c r="I1546" s="7">
        <f>Procurement_Raw!I1546</f>
        <v>215.41</v>
      </c>
      <c r="J1546" s="7">
        <f>Procurement_Raw!J1546</f>
        <v>16371.53</v>
      </c>
      <c r="K1546" s="6">
        <f>Procurement_Raw!K1546</f>
        <v>30</v>
      </c>
      <c r="L1546" t="str">
        <f>Procurement_Raw!L1546</f>
        <v>Legacy Spend File</v>
      </c>
      <c r="M1546" s="8">
        <f>Procurement_Raw!M1546</f>
        <v>3274.306</v>
      </c>
      <c r="N1546" s="7">
        <f>Procurement_Raw!N1546</f>
        <v>16371.53</v>
      </c>
      <c r="O1546" s="7">
        <f t="shared" si="48"/>
        <v>16371.53</v>
      </c>
      <c r="P1546" t="str">
        <f>IFERROR(INDEX(Supplier_Lookup!$B$2:$B$200,MATCH(E1546,Supplier_Lookup!$A$2:$A$200,0)),"Unmapped")</f>
        <v>Agency Labour</v>
      </c>
      <c r="Q1546" s="10">
        <f>IFERROR(INDEX(Category_Targets!$B$2:$B$9,MATCH(F1546,Category_Targets!$A$2:$A$9,0)),0)</f>
        <v>7.0000000000000007E-2</v>
      </c>
      <c r="R1546" s="7">
        <f t="shared" si="49"/>
        <v>1146.0071000000003</v>
      </c>
    </row>
    <row r="1547" spans="1:18" x14ac:dyDescent="0.25">
      <c r="A1547" s="5">
        <f>Procurement_Raw!A1547</f>
        <v>45876</v>
      </c>
      <c r="B1547" t="str">
        <f>Procurement_Raw!B1547</f>
        <v>S002</v>
      </c>
      <c r="C1547" t="str">
        <f>Procurement_Raw!C1547</f>
        <v>Manchester Care &amp; Education Centre</v>
      </c>
      <c r="D1547" t="str">
        <f>Procurement_Raw!D1547</f>
        <v>North</v>
      </c>
      <c r="E1547" t="str">
        <f>Procurement_Raw!E1547</f>
        <v>HealthStaffing</v>
      </c>
      <c r="F1547" t="str">
        <f>Procurement_Raw!F1547</f>
        <v>Agency Labour</v>
      </c>
      <c r="G1547" t="str">
        <f>Procurement_Raw!G1547</f>
        <v>INV-2025-01546</v>
      </c>
      <c r="H1547" s="6">
        <f>Procurement_Raw!H1547</f>
        <v>33</v>
      </c>
      <c r="I1547" s="7">
        <f>Procurement_Raw!I1547</f>
        <v>388.23</v>
      </c>
      <c r="J1547" s="7">
        <f>Procurement_Raw!J1547</f>
        <v>12811.72</v>
      </c>
      <c r="K1547" s="6">
        <f>Procurement_Raw!K1547</f>
        <v>60</v>
      </c>
      <c r="L1547" t="str">
        <f>Procurement_Raw!L1547</f>
        <v>Procurement Portal</v>
      </c>
      <c r="M1547" s="8">
        <f>Procurement_Raw!M1547</f>
        <v>2562.3440000000001</v>
      </c>
      <c r="N1547" s="7">
        <f>Procurement_Raw!N1547</f>
        <v>12811.72</v>
      </c>
      <c r="O1547" s="7">
        <f t="shared" si="48"/>
        <v>12811.72</v>
      </c>
      <c r="P1547" t="str">
        <f>IFERROR(INDEX(Supplier_Lookup!$B$2:$B$200,MATCH(E1547,Supplier_Lookup!$A$2:$A$200,0)),"Unmapped")</f>
        <v>Agency Labour</v>
      </c>
      <c r="Q1547" s="10">
        <f>IFERROR(INDEX(Category_Targets!$B$2:$B$9,MATCH(F1547,Category_Targets!$A$2:$A$9,0)),0)</f>
        <v>7.0000000000000007E-2</v>
      </c>
      <c r="R1547" s="7">
        <f t="shared" si="49"/>
        <v>896.82040000000006</v>
      </c>
    </row>
    <row r="1548" spans="1:18" x14ac:dyDescent="0.25">
      <c r="A1548" s="5">
        <f>Procurement_Raw!A1548</f>
        <v>45815</v>
      </c>
      <c r="B1548" t="str">
        <f>Procurement_Raw!B1548</f>
        <v>S003</v>
      </c>
      <c r="C1548" t="str">
        <f>Procurement_Raw!C1548</f>
        <v>Leeds Care &amp; Education Centre</v>
      </c>
      <c r="D1548" t="str">
        <f>Procurement_Raw!D1548</f>
        <v>North</v>
      </c>
      <c r="E1548" t="str">
        <f>Procurement_Raw!E1548</f>
        <v>NurseLink</v>
      </c>
      <c r="F1548" t="str">
        <f>Procurement_Raw!F1548</f>
        <v>Agency Labour</v>
      </c>
      <c r="G1548" t="str">
        <f>Procurement_Raw!G1548</f>
        <v>INV-2025-01547</v>
      </c>
      <c r="H1548" s="6">
        <f>Procurement_Raw!H1548</f>
        <v>53</v>
      </c>
      <c r="I1548" s="7">
        <f>Procurement_Raw!I1548</f>
        <v>173.24</v>
      </c>
      <c r="J1548" s="7">
        <f>Procurement_Raw!J1548</f>
        <v>9181.65</v>
      </c>
      <c r="K1548" s="6">
        <f>Procurement_Raw!K1548</f>
        <v>60</v>
      </c>
      <c r="L1548" t="str">
        <f>Procurement_Raw!L1548</f>
        <v>ERP</v>
      </c>
      <c r="M1548" s="8">
        <f>Procurement_Raw!M1548</f>
        <v>1836.33</v>
      </c>
      <c r="N1548" s="7">
        <f>Procurement_Raw!N1548</f>
        <v>9181.65</v>
      </c>
      <c r="O1548" s="7">
        <f t="shared" si="48"/>
        <v>9181.65</v>
      </c>
      <c r="P1548" t="str">
        <f>IFERROR(INDEX(Supplier_Lookup!$B$2:$B$200,MATCH(E1548,Supplier_Lookup!$A$2:$A$200,0)),"Unmapped")</f>
        <v>Agency Labour</v>
      </c>
      <c r="Q1548" s="10">
        <f>IFERROR(INDEX(Category_Targets!$B$2:$B$9,MATCH(F1548,Category_Targets!$A$2:$A$9,0)),0)</f>
        <v>7.0000000000000007E-2</v>
      </c>
      <c r="R1548" s="7">
        <f t="shared" si="49"/>
        <v>642.71550000000002</v>
      </c>
    </row>
    <row r="1549" spans="1:18" x14ac:dyDescent="0.25">
      <c r="A1549" s="5">
        <f>Procurement_Raw!A1549</f>
        <v>45795</v>
      </c>
      <c r="B1549" t="str">
        <f>Procurement_Raw!B1549</f>
        <v>S010</v>
      </c>
      <c r="C1549" t="str">
        <f>Procurement_Raw!C1549</f>
        <v>Coventry Care &amp; Education Centre</v>
      </c>
      <c r="D1549" t="str">
        <f>Procurement_Raw!D1549</f>
        <v>Midlands</v>
      </c>
      <c r="E1549" t="str">
        <f>Procurement_Raw!E1549</f>
        <v>FleetFuel</v>
      </c>
      <c r="F1549" t="str">
        <f>Procurement_Raw!F1549</f>
        <v>Vehicle &amp; Fuel</v>
      </c>
      <c r="G1549" t="str">
        <f>Procurement_Raw!G1549</f>
        <v>INV-2025-01548</v>
      </c>
      <c r="H1549" s="6">
        <f>Procurement_Raw!H1549</f>
        <v>27</v>
      </c>
      <c r="I1549" s="7">
        <f>Procurement_Raw!I1549</f>
        <v>112.15</v>
      </c>
      <c r="J1549" s="7">
        <f>Procurement_Raw!J1549</f>
        <v>3028.13</v>
      </c>
      <c r="K1549" s="6">
        <f>Procurement_Raw!K1549</f>
        <v>60</v>
      </c>
      <c r="L1549" t="str">
        <f>Procurement_Raw!L1549</f>
        <v>Procurement Portal</v>
      </c>
      <c r="M1549" s="8">
        <f>Procurement_Raw!M1549</f>
        <v>605.62599999999998</v>
      </c>
      <c r="N1549" s="7">
        <f>Procurement_Raw!N1549</f>
        <v>3028.13</v>
      </c>
      <c r="O1549" s="7">
        <f t="shared" si="48"/>
        <v>3028.13</v>
      </c>
      <c r="P1549" t="str">
        <f>IFERROR(INDEX(Supplier_Lookup!$B$2:$B$200,MATCH(E1549,Supplier_Lookup!$A$2:$A$200,0)),"Unmapped")</f>
        <v>Vehicle &amp; Fuel</v>
      </c>
      <c r="Q1549" s="10">
        <f>IFERROR(INDEX(Category_Targets!$B$2:$B$9,MATCH(F1549,Category_Targets!$A$2:$A$9,0)),0)</f>
        <v>0.05</v>
      </c>
      <c r="R1549" s="7">
        <f t="shared" si="49"/>
        <v>151.40650000000002</v>
      </c>
    </row>
    <row r="1550" spans="1:18" x14ac:dyDescent="0.25">
      <c r="A1550" s="5">
        <f>Procurement_Raw!A1550</f>
        <v>45744</v>
      </c>
      <c r="B1550" t="str">
        <f>Procurement_Raw!B1550</f>
        <v>S010</v>
      </c>
      <c r="C1550" t="str">
        <f>Procurement_Raw!C1550</f>
        <v>Coventry Care &amp; Education Centre</v>
      </c>
      <c r="D1550" t="str">
        <f>Procurement_Raw!D1550</f>
        <v>Midlands</v>
      </c>
      <c r="E1550" t="str">
        <f>Procurement_Raw!E1550</f>
        <v>CloudLink</v>
      </c>
      <c r="F1550" t="str">
        <f>Procurement_Raw!F1550</f>
        <v>IT &amp; Telecoms</v>
      </c>
      <c r="G1550" t="str">
        <f>Procurement_Raw!G1550</f>
        <v>INV-2025-01549</v>
      </c>
      <c r="H1550" s="6">
        <f>Procurement_Raw!H1550</f>
        <v>63</v>
      </c>
      <c r="I1550" s="7">
        <f>Procurement_Raw!I1550</f>
        <v>335.28</v>
      </c>
      <c r="J1550" s="7">
        <f>Procurement_Raw!J1550</f>
        <v>21122.76</v>
      </c>
      <c r="K1550" s="6">
        <f>Procurement_Raw!K1550</f>
        <v>30</v>
      </c>
      <c r="L1550" t="str">
        <f>Procurement_Raw!L1550</f>
        <v>ERP</v>
      </c>
      <c r="M1550" s="8">
        <f>Procurement_Raw!M1550</f>
        <v>4224.5519999999997</v>
      </c>
      <c r="N1550" s="7">
        <f>Procurement_Raw!N1550</f>
        <v>21122.76</v>
      </c>
      <c r="O1550" s="7">
        <f t="shared" si="48"/>
        <v>21122.76</v>
      </c>
      <c r="P1550" t="str">
        <f>IFERROR(INDEX(Supplier_Lookup!$B$2:$B$200,MATCH(E1550,Supplier_Lookup!$A$2:$A$200,0)),"Unmapped")</f>
        <v>medical supplies</v>
      </c>
      <c r="Q1550" s="10">
        <f>IFERROR(INDEX(Category_Targets!$B$2:$B$9,MATCH(F1550,Category_Targets!$A$2:$A$9,0)),0)</f>
        <v>0.08</v>
      </c>
      <c r="R1550" s="7">
        <f t="shared" si="49"/>
        <v>1689.8208</v>
      </c>
    </row>
    <row r="1551" spans="1:18" x14ac:dyDescent="0.25">
      <c r="A1551" s="5">
        <f>Procurement_Raw!A1551</f>
        <v>45871</v>
      </c>
      <c r="B1551" t="str">
        <f>Procurement_Raw!B1551</f>
        <v>S004</v>
      </c>
      <c r="C1551" t="str">
        <f>Procurement_Raw!C1551</f>
        <v>Newcastle Care &amp; Education Centre</v>
      </c>
      <c r="D1551" t="str">
        <f>Procurement_Raw!D1551</f>
        <v>North</v>
      </c>
      <c r="E1551" t="str">
        <f>Procurement_Raw!E1551</f>
        <v>NurseLink</v>
      </c>
      <c r="F1551" t="str">
        <f>Procurement_Raw!F1551</f>
        <v>Agency Labour</v>
      </c>
      <c r="G1551" t="str">
        <f>Procurement_Raw!G1551</f>
        <v>INV-2025-01550</v>
      </c>
      <c r="H1551" s="6">
        <f>Procurement_Raw!H1551</f>
        <v>37</v>
      </c>
      <c r="I1551" s="7">
        <f>Procurement_Raw!I1551</f>
        <v>589.1</v>
      </c>
      <c r="J1551" s="7">
        <f>Procurement_Raw!J1551</f>
        <v>21796.7</v>
      </c>
      <c r="K1551" s="6">
        <f>Procurement_Raw!K1551</f>
        <v>60</v>
      </c>
      <c r="L1551" t="str">
        <f>Procurement_Raw!L1551</f>
        <v>Procurement Portal</v>
      </c>
      <c r="M1551" s="8">
        <f>Procurement_Raw!M1551</f>
        <v>4359.34</v>
      </c>
      <c r="N1551" s="7">
        <f>Procurement_Raw!N1551</f>
        <v>21796.7</v>
      </c>
      <c r="O1551" s="7">
        <f t="shared" si="48"/>
        <v>21796.7</v>
      </c>
      <c r="P1551" t="str">
        <f>IFERROR(INDEX(Supplier_Lookup!$B$2:$B$200,MATCH(E1551,Supplier_Lookup!$A$2:$A$200,0)),"Unmapped")</f>
        <v>Agency Labour</v>
      </c>
      <c r="Q1551" s="10">
        <f>IFERROR(INDEX(Category_Targets!$B$2:$B$9,MATCH(F1551,Category_Targets!$A$2:$A$9,0)),0)</f>
        <v>7.0000000000000007E-2</v>
      </c>
      <c r="R1551" s="7">
        <f t="shared" si="49"/>
        <v>1525.7690000000002</v>
      </c>
    </row>
    <row r="1552" spans="1:18" x14ac:dyDescent="0.25">
      <c r="A1552" s="5">
        <f>Procurement_Raw!A1552</f>
        <v>45753</v>
      </c>
      <c r="B1552" t="str">
        <f>Procurement_Raw!B1552</f>
        <v>S009</v>
      </c>
      <c r="C1552" t="str">
        <f>Procurement_Raw!C1552</f>
        <v>Derby Care &amp; Education Centre</v>
      </c>
      <c r="D1552" t="str">
        <f>Procurement_Raw!D1552</f>
        <v>Midlands</v>
      </c>
      <c r="E1552" t="str">
        <f>Procurement_Raw!E1552</f>
        <v>SafeGuard FM</v>
      </c>
      <c r="F1552" t="str">
        <f>Procurement_Raw!F1552</f>
        <v>Facilities</v>
      </c>
      <c r="G1552" t="str">
        <f>Procurement_Raw!G1552</f>
        <v>INV-2025-01551</v>
      </c>
      <c r="H1552" s="6">
        <f>Procurement_Raw!H1552</f>
        <v>18</v>
      </c>
      <c r="I1552" s="7">
        <f>Procurement_Raw!I1552</f>
        <v>170.35</v>
      </c>
      <c r="J1552" s="7">
        <f>Procurement_Raw!J1552</f>
        <v>3066.35</v>
      </c>
      <c r="K1552" s="6">
        <f>Procurement_Raw!K1552</f>
        <v>30</v>
      </c>
      <c r="L1552" t="str">
        <f>Procurement_Raw!L1552</f>
        <v>Procurement Portal</v>
      </c>
      <c r="M1552" s="8">
        <f>Procurement_Raw!M1552</f>
        <v>613.27</v>
      </c>
      <c r="N1552" s="7">
        <f>Procurement_Raw!N1552</f>
        <v>3066.35</v>
      </c>
      <c r="O1552" s="7">
        <f t="shared" si="48"/>
        <v>3066.35</v>
      </c>
      <c r="P1552" t="str">
        <f>IFERROR(INDEX(Supplier_Lookup!$B$2:$B$200,MATCH(E1552,Supplier_Lookup!$A$2:$A$200,0)),"Unmapped")</f>
        <v>Facilities</v>
      </c>
      <c r="Q1552" s="10">
        <f>IFERROR(INDEX(Category_Targets!$B$2:$B$9,MATCH(F1552,Category_Targets!$A$2:$A$9,0)),0)</f>
        <v>0.05</v>
      </c>
      <c r="R1552" s="7">
        <f t="shared" si="49"/>
        <v>153.3175</v>
      </c>
    </row>
    <row r="1553" spans="1:18" x14ac:dyDescent="0.25">
      <c r="A1553" s="5">
        <f>Procurement_Raw!A1553</f>
        <v>45948</v>
      </c>
      <c r="B1553" t="str">
        <f>Procurement_Raw!B1553</f>
        <v>S008</v>
      </c>
      <c r="C1553" t="str">
        <f>Procurement_Raw!C1553</f>
        <v>Leicester Care &amp; Education Centre</v>
      </c>
      <c r="D1553" t="str">
        <f>Procurement_Raw!D1553</f>
        <v>Midlands</v>
      </c>
      <c r="E1553" t="str">
        <f>Procurement_Raw!E1553</f>
        <v>NourishCo</v>
      </c>
      <c r="F1553" t="str">
        <f>Procurement_Raw!F1553</f>
        <v>Food &amp; Catering</v>
      </c>
      <c r="G1553" t="str">
        <f>Procurement_Raw!G1553</f>
        <v>INV-2025-01552</v>
      </c>
      <c r="H1553" s="6">
        <f>Procurement_Raw!H1553</f>
        <v>28</v>
      </c>
      <c r="I1553" s="7">
        <f>Procurement_Raw!I1553</f>
        <v>58.11</v>
      </c>
      <c r="J1553" s="7">
        <f>Procurement_Raw!J1553</f>
        <v>1627.13</v>
      </c>
      <c r="K1553" s="6">
        <f>Procurement_Raw!K1553</f>
        <v>30</v>
      </c>
      <c r="L1553" t="str">
        <f>Procurement_Raw!L1553</f>
        <v>ERP</v>
      </c>
      <c r="M1553" s="8">
        <f>Procurement_Raw!M1553</f>
        <v>325.42599999999999</v>
      </c>
      <c r="N1553" s="7">
        <f>Procurement_Raw!N1553</f>
        <v>1627.13</v>
      </c>
      <c r="O1553" s="7">
        <f t="shared" si="48"/>
        <v>1627.13</v>
      </c>
      <c r="P1553" t="str">
        <f>IFERROR(INDEX(Supplier_Lookup!$B$2:$B$200,MATCH(E1553,Supplier_Lookup!$A$2:$A$200,0)),"Unmapped")</f>
        <v>Food &amp; Catering</v>
      </c>
      <c r="Q1553" s="10">
        <f>IFERROR(INDEX(Category_Targets!$B$2:$B$9,MATCH(F1553,Category_Targets!$A$2:$A$9,0)),0)</f>
        <v>0.04</v>
      </c>
      <c r="R1553" s="7">
        <f t="shared" si="49"/>
        <v>65.0852</v>
      </c>
    </row>
    <row r="1554" spans="1:18" x14ac:dyDescent="0.25">
      <c r="A1554" s="5">
        <f>Procurement_Raw!A1554</f>
        <v>45790</v>
      </c>
      <c r="B1554" t="str">
        <f>Procurement_Raw!B1554</f>
        <v>S007</v>
      </c>
      <c r="C1554" t="str">
        <f>Procurement_Raw!C1554</f>
        <v>Nottingham Care &amp; Education Centre</v>
      </c>
      <c r="D1554" t="str">
        <f>Procurement_Raw!D1554</f>
        <v>Midlands</v>
      </c>
      <c r="E1554" t="str">
        <f>Procurement_Raw!E1554</f>
        <v>CleanWorks</v>
      </c>
      <c r="F1554" t="str">
        <f>Procurement_Raw!F1554</f>
        <v>Facilities</v>
      </c>
      <c r="G1554" t="str">
        <f>Procurement_Raw!G1554</f>
        <v>INV-2025-01553</v>
      </c>
      <c r="H1554" s="6">
        <f>Procurement_Raw!H1554</f>
        <v>53</v>
      </c>
      <c r="I1554" s="7">
        <f>Procurement_Raw!I1554</f>
        <v>111.06</v>
      </c>
      <c r="J1554" s="7">
        <f>Procurement_Raw!J1554</f>
        <v>5886.16</v>
      </c>
      <c r="K1554" s="6">
        <f>Procurement_Raw!K1554</f>
        <v>45</v>
      </c>
      <c r="L1554" t="str">
        <f>Procurement_Raw!L1554</f>
        <v>Legacy Spend File</v>
      </c>
      <c r="M1554" s="8">
        <f>Procurement_Raw!M1554</f>
        <v>1177.232</v>
      </c>
      <c r="N1554" s="7">
        <f>Procurement_Raw!N1554</f>
        <v>5886.16</v>
      </c>
      <c r="O1554" s="7">
        <f t="shared" si="48"/>
        <v>5886.16</v>
      </c>
      <c r="P1554" t="str">
        <f>IFERROR(INDEX(Supplier_Lookup!$B$2:$B$200,MATCH(E1554,Supplier_Lookup!$A$2:$A$200,0)),"Unmapped")</f>
        <v>Facilities</v>
      </c>
      <c r="Q1554" s="10">
        <f>IFERROR(INDEX(Category_Targets!$B$2:$B$9,MATCH(F1554,Category_Targets!$A$2:$A$9,0)),0)</f>
        <v>0.05</v>
      </c>
      <c r="R1554" s="7">
        <f t="shared" si="49"/>
        <v>294.30799999999999</v>
      </c>
    </row>
    <row r="1555" spans="1:18" x14ac:dyDescent="0.25">
      <c r="A1555" s="5">
        <f>Procurement_Raw!A1555</f>
        <v>45743</v>
      </c>
      <c r="B1555" t="str">
        <f>Procurement_Raw!B1555</f>
        <v>S015</v>
      </c>
      <c r="C1555" t="str">
        <f>Procurement_Raw!C1555</f>
        <v>Brighton Care &amp; Education Centre</v>
      </c>
      <c r="D1555" t="str">
        <f>Procurement_Raw!D1555</f>
        <v>South</v>
      </c>
      <c r="E1555" t="str">
        <f>Procurement_Raw!E1555</f>
        <v>KitchenPro</v>
      </c>
      <c r="F1555" t="str">
        <f>Procurement_Raw!F1555</f>
        <v>Food &amp; Catering</v>
      </c>
      <c r="G1555" t="str">
        <f>Procurement_Raw!G1555</f>
        <v>INV-2025-01554</v>
      </c>
      <c r="H1555" s="6">
        <f>Procurement_Raw!H1555</f>
        <v>11</v>
      </c>
      <c r="I1555" s="7">
        <f>Procurement_Raw!I1555</f>
        <v>41.25</v>
      </c>
      <c r="J1555" s="7">
        <f>Procurement_Raw!J1555</f>
        <v>453.73</v>
      </c>
      <c r="K1555" s="6">
        <f>Procurement_Raw!K1555</f>
        <v>45</v>
      </c>
      <c r="L1555" t="str">
        <f>Procurement_Raw!L1555</f>
        <v>ERP</v>
      </c>
      <c r="M1555" s="8">
        <f>Procurement_Raw!M1555</f>
        <v>90.745999999999995</v>
      </c>
      <c r="N1555" s="7">
        <f>Procurement_Raw!N1555</f>
        <v>453.73</v>
      </c>
      <c r="O1555" s="7">
        <f t="shared" si="48"/>
        <v>453.73</v>
      </c>
      <c r="P1555" t="str">
        <f>IFERROR(INDEX(Supplier_Lookup!$B$2:$B$200,MATCH(E1555,Supplier_Lookup!$A$2:$A$200,0)),"Unmapped")</f>
        <v>Food &amp; Catering</v>
      </c>
      <c r="Q1555" s="10">
        <f>IFERROR(INDEX(Category_Targets!$B$2:$B$9,MATCH(F1555,Category_Targets!$A$2:$A$9,0)),0)</f>
        <v>0.04</v>
      </c>
      <c r="R1555" s="7">
        <f t="shared" si="49"/>
        <v>18.1492</v>
      </c>
    </row>
    <row r="1556" spans="1:18" x14ac:dyDescent="0.25">
      <c r="A1556" s="5">
        <f>Procurement_Raw!A1556</f>
        <v>45690</v>
      </c>
      <c r="B1556" t="str">
        <f>Procurement_Raw!B1556</f>
        <v>S001</v>
      </c>
      <c r="C1556" t="str">
        <f>Procurement_Raw!C1556</f>
        <v>Preston Care &amp; Education Centre</v>
      </c>
      <c r="D1556" t="str">
        <f>Procurement_Raw!D1556</f>
        <v>North</v>
      </c>
      <c r="E1556" t="str">
        <f>Procurement_Raw!E1556</f>
        <v>NourishCo</v>
      </c>
      <c r="F1556" t="str">
        <f>Procurement_Raw!F1556</f>
        <v>Food &amp; Catering</v>
      </c>
      <c r="G1556" t="str">
        <f>Procurement_Raw!G1556</f>
        <v>INV-2025-01555</v>
      </c>
      <c r="H1556" s="6">
        <f>Procurement_Raw!H1556</f>
        <v>44</v>
      </c>
      <c r="I1556" s="7">
        <f>Procurement_Raw!I1556</f>
        <v>57.39</v>
      </c>
      <c r="J1556" s="7">
        <f>Procurement_Raw!J1556</f>
        <v>2525.04</v>
      </c>
      <c r="K1556" s="6">
        <f>Procurement_Raw!K1556</f>
        <v>30</v>
      </c>
      <c r="L1556" t="str">
        <f>Procurement_Raw!L1556</f>
        <v>Legacy Spend File</v>
      </c>
      <c r="M1556" s="8">
        <f>Procurement_Raw!M1556</f>
        <v>505.00799999999998</v>
      </c>
      <c r="N1556" s="7">
        <f>Procurement_Raw!N1556</f>
        <v>2525.04</v>
      </c>
      <c r="O1556" s="7">
        <f t="shared" si="48"/>
        <v>2525.04</v>
      </c>
      <c r="P1556" t="str">
        <f>IFERROR(INDEX(Supplier_Lookup!$B$2:$B$200,MATCH(E1556,Supplier_Lookup!$A$2:$A$200,0)),"Unmapped")</f>
        <v>Food &amp; Catering</v>
      </c>
      <c r="Q1556" s="10">
        <f>IFERROR(INDEX(Category_Targets!$B$2:$B$9,MATCH(F1556,Category_Targets!$A$2:$A$9,0)),0)</f>
        <v>0.04</v>
      </c>
      <c r="R1556" s="7">
        <f t="shared" si="49"/>
        <v>101.0016</v>
      </c>
    </row>
    <row r="1557" spans="1:18" x14ac:dyDescent="0.25">
      <c r="A1557" s="5">
        <f>Procurement_Raw!A1557</f>
        <v>46002</v>
      </c>
      <c r="B1557" t="str">
        <f>Procurement_Raw!B1557</f>
        <v>S005</v>
      </c>
      <c r="C1557" t="str">
        <f>Procurement_Raw!C1557</f>
        <v>Sheffield Care &amp; Education Centre</v>
      </c>
      <c r="D1557" t="str">
        <f>Procurement_Raw!D1557</f>
        <v>North</v>
      </c>
      <c r="E1557" t="str">
        <f>Procurement_Raw!E1557</f>
        <v>LearnWell</v>
      </c>
      <c r="F1557" t="str">
        <f>Procurement_Raw!F1557</f>
        <v>Office &amp; Training</v>
      </c>
      <c r="G1557" t="str">
        <f>Procurement_Raw!G1557</f>
        <v>INV-2025-01556</v>
      </c>
      <c r="H1557" s="6">
        <f>Procurement_Raw!H1557</f>
        <v>13</v>
      </c>
      <c r="I1557" s="7">
        <f>Procurement_Raw!I1557</f>
        <v>91.79</v>
      </c>
      <c r="J1557" s="7">
        <f>Procurement_Raw!J1557</f>
        <v>1193.31</v>
      </c>
      <c r="K1557" s="6">
        <f>Procurement_Raw!K1557</f>
        <v>30</v>
      </c>
      <c r="L1557" t="str">
        <f>Procurement_Raw!L1557</f>
        <v>ERP</v>
      </c>
      <c r="M1557" s="8">
        <f>Procurement_Raw!M1557</f>
        <v>238.66200000000001</v>
      </c>
      <c r="N1557" s="7">
        <f>Procurement_Raw!N1557</f>
        <v>1193.31</v>
      </c>
      <c r="O1557" s="7">
        <f t="shared" si="48"/>
        <v>1193.31</v>
      </c>
      <c r="P1557" t="str">
        <f>IFERROR(INDEX(Supplier_Lookup!$B$2:$B$200,MATCH(E1557,Supplier_Lookup!$A$2:$A$200,0)),"Unmapped")</f>
        <v>Office &amp; Training</v>
      </c>
      <c r="Q1557" s="10">
        <f>IFERROR(INDEX(Category_Targets!$B$2:$B$9,MATCH(F1557,Category_Targets!$A$2:$A$9,0)),0)</f>
        <v>0.04</v>
      </c>
      <c r="R1557" s="7">
        <f t="shared" si="49"/>
        <v>47.732399999999998</v>
      </c>
    </row>
    <row r="1558" spans="1:18" x14ac:dyDescent="0.25">
      <c r="A1558" s="5">
        <f>Procurement_Raw!A1558</f>
        <v>45956</v>
      </c>
      <c r="B1558" t="str">
        <f>Procurement_Raw!B1558</f>
        <v>S015</v>
      </c>
      <c r="C1558" t="str">
        <f>Procurement_Raw!C1558</f>
        <v>Brighton Care &amp; Education Centre</v>
      </c>
      <c r="D1558" t="str">
        <f>Procurement_Raw!D1558</f>
        <v>South</v>
      </c>
      <c r="E1558" t="str">
        <f>Procurement_Raw!E1558</f>
        <v>ClinEquip</v>
      </c>
      <c r="F1558" t="str">
        <f>Procurement_Raw!F1558</f>
        <v>Medical Supplies</v>
      </c>
      <c r="G1558" t="str">
        <f>Procurement_Raw!G1558</f>
        <v>INV-2025-01557</v>
      </c>
      <c r="H1558" s="6">
        <f>Procurement_Raw!H1558</f>
        <v>6</v>
      </c>
      <c r="I1558" s="7">
        <f>Procurement_Raw!I1558</f>
        <v>198.34</v>
      </c>
      <c r="J1558" s="7">
        <f>Procurement_Raw!J1558</f>
        <v>1190.02</v>
      </c>
      <c r="K1558" s="6">
        <f>Procurement_Raw!K1558</f>
        <v>30</v>
      </c>
      <c r="L1558" t="str">
        <f>Procurement_Raw!L1558</f>
        <v>ERP</v>
      </c>
      <c r="M1558" s="8">
        <f>Procurement_Raw!M1558</f>
        <v>238.00399999999999</v>
      </c>
      <c r="N1558" s="7">
        <f>Procurement_Raw!N1558</f>
        <v>1190.02</v>
      </c>
      <c r="O1558" s="7">
        <f t="shared" si="48"/>
        <v>1190.02</v>
      </c>
      <c r="P1558" t="str">
        <f>IFERROR(INDEX(Supplier_Lookup!$B$2:$B$200,MATCH(E1558,Supplier_Lookup!$A$2:$A$200,0)),"Unmapped")</f>
        <v>Medical Supplies</v>
      </c>
      <c r="Q1558" s="10">
        <f>IFERROR(INDEX(Category_Targets!$B$2:$B$9,MATCH(F1558,Category_Targets!$A$2:$A$9,0)),0)</f>
        <v>0.06</v>
      </c>
      <c r="R1558" s="7">
        <f t="shared" si="49"/>
        <v>71.401200000000003</v>
      </c>
    </row>
    <row r="1559" spans="1:18" x14ac:dyDescent="0.25">
      <c r="A1559" s="5">
        <f>Procurement_Raw!A1559</f>
        <v>45966</v>
      </c>
      <c r="B1559" t="str">
        <f>Procurement_Raw!B1559</f>
        <v>S020</v>
      </c>
      <c r="C1559" t="str">
        <f>Procurement_Raw!C1559</f>
        <v>Bangor Care &amp; Education Centre</v>
      </c>
      <c r="D1559" t="str">
        <f>Procurement_Raw!D1559</f>
        <v>Wales</v>
      </c>
      <c r="E1559" t="str">
        <f>Procurement_Raw!E1559</f>
        <v>CareMed</v>
      </c>
      <c r="F1559" t="str">
        <f>Procurement_Raw!F1559</f>
        <v>Medical Supplies</v>
      </c>
      <c r="G1559" t="str">
        <f>Procurement_Raw!G1559</f>
        <v>INV-2025-01558</v>
      </c>
      <c r="H1559" s="6">
        <f>Procurement_Raw!H1559</f>
        <v>67</v>
      </c>
      <c r="I1559" s="7">
        <f>Procurement_Raw!I1559</f>
        <v>77.150000000000006</v>
      </c>
      <c r="J1559" s="7">
        <f>Procurement_Raw!J1559</f>
        <v>5169.01</v>
      </c>
      <c r="K1559" s="6">
        <f>Procurement_Raw!K1559</f>
        <v>45</v>
      </c>
      <c r="L1559" t="str">
        <f>Procurement_Raw!L1559</f>
        <v>Procurement Portal</v>
      </c>
      <c r="M1559" s="8">
        <f>Procurement_Raw!M1559</f>
        <v>1033.8019999999999</v>
      </c>
      <c r="N1559" s="7">
        <f>Procurement_Raw!N1559</f>
        <v>5169.01</v>
      </c>
      <c r="O1559" s="7">
        <f t="shared" si="48"/>
        <v>5169.01</v>
      </c>
      <c r="P1559" t="str">
        <f>IFERROR(INDEX(Supplier_Lookup!$B$2:$B$200,MATCH(E1559,Supplier_Lookup!$A$2:$A$200,0)),"Unmapped")</f>
        <v>Medical Supplies</v>
      </c>
      <c r="Q1559" s="10">
        <f>IFERROR(INDEX(Category_Targets!$B$2:$B$9,MATCH(F1559,Category_Targets!$A$2:$A$9,0)),0)</f>
        <v>0.06</v>
      </c>
      <c r="R1559" s="7">
        <f t="shared" si="49"/>
        <v>310.14060000000001</v>
      </c>
    </row>
    <row r="1560" spans="1:18" x14ac:dyDescent="0.25">
      <c r="A1560" s="5">
        <f>Procurement_Raw!A1560</f>
        <v>45877</v>
      </c>
      <c r="B1560" t="str">
        <f>Procurement_Raw!B1560</f>
        <v>S008</v>
      </c>
      <c r="C1560" t="str">
        <f>Procurement_Raw!C1560</f>
        <v>Leicester Care &amp; Education Centre</v>
      </c>
      <c r="D1560" t="str">
        <f>Procurement_Raw!D1560</f>
        <v>Midlands</v>
      </c>
      <c r="E1560" t="str">
        <f>Procurement_Raw!E1560</f>
        <v>AutoCare</v>
      </c>
      <c r="F1560" t="str">
        <f>Procurement_Raw!F1560</f>
        <v>Vehicle &amp; Fuel</v>
      </c>
      <c r="G1560" t="str">
        <f>Procurement_Raw!G1560</f>
        <v>INV-2025-01559</v>
      </c>
      <c r="H1560" s="6">
        <f>Procurement_Raw!H1560</f>
        <v>44</v>
      </c>
      <c r="I1560" s="7">
        <f>Procurement_Raw!I1560</f>
        <v>215.91</v>
      </c>
      <c r="J1560" s="7">
        <f>Procurement_Raw!J1560</f>
        <v>9499.98</v>
      </c>
      <c r="K1560" s="6">
        <f>Procurement_Raw!K1560</f>
        <v>45</v>
      </c>
      <c r="L1560" t="str">
        <f>Procurement_Raw!L1560</f>
        <v>Legacy Spend File</v>
      </c>
      <c r="M1560" s="8">
        <f>Procurement_Raw!M1560</f>
        <v>1899.9960000000001</v>
      </c>
      <c r="N1560" s="7">
        <f>Procurement_Raw!N1560</f>
        <v>9499.98</v>
      </c>
      <c r="O1560" s="7">
        <f t="shared" si="48"/>
        <v>9499.98</v>
      </c>
      <c r="P1560" t="str">
        <f>IFERROR(INDEX(Supplier_Lookup!$B$2:$B$200,MATCH(E1560,Supplier_Lookup!$A$2:$A$200,0)),"Unmapped")</f>
        <v>Vehicle &amp; Fuel</v>
      </c>
      <c r="Q1560" s="10">
        <f>IFERROR(INDEX(Category_Targets!$B$2:$B$9,MATCH(F1560,Category_Targets!$A$2:$A$9,0)),0)</f>
        <v>0.05</v>
      </c>
      <c r="R1560" s="7">
        <f t="shared" si="49"/>
        <v>474.99900000000002</v>
      </c>
    </row>
    <row r="1561" spans="1:18" x14ac:dyDescent="0.25">
      <c r="A1561" s="5">
        <f>Procurement_Raw!A1561</f>
        <v>45842</v>
      </c>
      <c r="B1561" t="str">
        <f>Procurement_Raw!B1561</f>
        <v>S001</v>
      </c>
      <c r="C1561" t="str">
        <f>Procurement_Raw!C1561</f>
        <v>Preston Care &amp; Education Centre</v>
      </c>
      <c r="D1561" t="str">
        <f>Procurement_Raw!D1561</f>
        <v>North</v>
      </c>
      <c r="E1561" t="str">
        <f>Procurement_Raw!E1561</f>
        <v>FleetFuel</v>
      </c>
      <c r="F1561" t="str">
        <f>Procurement_Raw!F1561</f>
        <v>Vehicle &amp; Fuel</v>
      </c>
      <c r="G1561" t="str">
        <f>Procurement_Raw!G1561</f>
        <v>INV-2025-01560</v>
      </c>
      <c r="H1561" s="6">
        <f>Procurement_Raw!H1561</f>
        <v>52</v>
      </c>
      <c r="I1561" s="7">
        <f>Procurement_Raw!I1561</f>
        <v>81.84</v>
      </c>
      <c r="J1561" s="7">
        <f>Procurement_Raw!J1561</f>
        <v>4255.6499999999996</v>
      </c>
      <c r="K1561" s="6">
        <f>Procurement_Raw!K1561</f>
        <v>45</v>
      </c>
      <c r="L1561" t="str">
        <f>Procurement_Raw!L1561</f>
        <v>Legacy Spend File</v>
      </c>
      <c r="M1561" s="8">
        <f>Procurement_Raw!M1561</f>
        <v>851.13</v>
      </c>
      <c r="N1561" s="7">
        <f>Procurement_Raw!N1561</f>
        <v>4255.6499999999996</v>
      </c>
      <c r="O1561" s="7">
        <f t="shared" si="48"/>
        <v>4255.6499999999996</v>
      </c>
      <c r="P1561" t="str">
        <f>IFERROR(INDEX(Supplier_Lookup!$B$2:$B$200,MATCH(E1561,Supplier_Lookup!$A$2:$A$200,0)),"Unmapped")</f>
        <v>Vehicle &amp; Fuel</v>
      </c>
      <c r="Q1561" s="10">
        <f>IFERROR(INDEX(Category_Targets!$B$2:$B$9,MATCH(F1561,Category_Targets!$A$2:$A$9,0)),0)</f>
        <v>0.05</v>
      </c>
      <c r="R1561" s="7">
        <f t="shared" si="49"/>
        <v>212.7825</v>
      </c>
    </row>
    <row r="1562" spans="1:18" x14ac:dyDescent="0.25">
      <c r="A1562" s="5">
        <f>Procurement_Raw!A1562</f>
        <v>45709</v>
      </c>
      <c r="B1562" t="str">
        <f>Procurement_Raw!B1562</f>
        <v>S005</v>
      </c>
      <c r="C1562" t="str">
        <f>Procurement_Raw!C1562</f>
        <v>Sheffield Care &amp; Education Centre</v>
      </c>
      <c r="D1562" t="str">
        <f>Procurement_Raw!D1562</f>
        <v>North</v>
      </c>
      <c r="E1562" t="str">
        <f>Procurement_Raw!E1562</f>
        <v>RoadReady</v>
      </c>
      <c r="F1562" t="str">
        <f>Procurement_Raw!F1562</f>
        <v>Vehicle &amp; Fuel</v>
      </c>
      <c r="G1562" t="str">
        <f>Procurement_Raw!G1562</f>
        <v>INV-2025-01561</v>
      </c>
      <c r="H1562" s="6">
        <f>Procurement_Raw!H1562</f>
        <v>1</v>
      </c>
      <c r="I1562" s="7">
        <f>Procurement_Raw!I1562</f>
        <v>93.89</v>
      </c>
      <c r="J1562" s="7">
        <f>Procurement_Raw!J1562</f>
        <v>93.89</v>
      </c>
      <c r="K1562" s="6">
        <f>Procurement_Raw!K1562</f>
        <v>45</v>
      </c>
      <c r="L1562" t="str">
        <f>Procurement_Raw!L1562</f>
        <v>Legacy Spend File</v>
      </c>
      <c r="M1562" s="8">
        <f>Procurement_Raw!M1562</f>
        <v>18.777999999999999</v>
      </c>
      <c r="N1562" s="7">
        <f>Procurement_Raw!N1562</f>
        <v>93.89</v>
      </c>
      <c r="O1562" s="7">
        <f t="shared" si="48"/>
        <v>93.89</v>
      </c>
      <c r="P1562" t="str">
        <f>IFERROR(INDEX(Supplier_Lookup!$B$2:$B$200,MATCH(E1562,Supplier_Lookup!$A$2:$A$200,0)),"Unmapped")</f>
        <v>Vehicle &amp; Fuel</v>
      </c>
      <c r="Q1562" s="10">
        <f>IFERROR(INDEX(Category_Targets!$B$2:$B$9,MATCH(F1562,Category_Targets!$A$2:$A$9,0)),0)</f>
        <v>0.05</v>
      </c>
      <c r="R1562" s="7">
        <f t="shared" si="49"/>
        <v>4.6945000000000006</v>
      </c>
    </row>
    <row r="1563" spans="1:18" x14ac:dyDescent="0.25">
      <c r="A1563" s="5">
        <f>Procurement_Raw!A1563</f>
        <v>45966</v>
      </c>
      <c r="B1563" t="str">
        <f>Procurement_Raw!B1563</f>
        <v>S014</v>
      </c>
      <c r="C1563" t="str">
        <f>Procurement_Raw!C1563</f>
        <v>Southampton Care &amp; Education Centre</v>
      </c>
      <c r="D1563" t="str">
        <f>Procurement_Raw!D1563</f>
        <v>South</v>
      </c>
      <c r="E1563" t="str">
        <f>Procurement_Raw!E1563</f>
        <v>CleanWorks</v>
      </c>
      <c r="F1563" t="str">
        <f>Procurement_Raw!F1563</f>
        <v>Facilities</v>
      </c>
      <c r="G1563" t="str">
        <f>Procurement_Raw!G1563</f>
        <v>INV-2025-01562</v>
      </c>
      <c r="H1563" s="6">
        <f>Procurement_Raw!H1563</f>
        <v>16</v>
      </c>
      <c r="I1563" s="7">
        <f>Procurement_Raw!I1563</f>
        <v>119.34</v>
      </c>
      <c r="J1563" s="7">
        <f>Procurement_Raw!J1563</f>
        <v>1909.47</v>
      </c>
      <c r="K1563" s="6">
        <f>Procurement_Raw!K1563</f>
        <v>60</v>
      </c>
      <c r="L1563" t="str">
        <f>Procurement_Raw!L1563</f>
        <v>Procurement Portal</v>
      </c>
      <c r="M1563" s="8">
        <f>Procurement_Raw!M1563</f>
        <v>381.89400000000001</v>
      </c>
      <c r="N1563" s="7">
        <f>Procurement_Raw!N1563</f>
        <v>1909.47</v>
      </c>
      <c r="O1563" s="7">
        <f t="shared" si="48"/>
        <v>1909.47</v>
      </c>
      <c r="P1563" t="str">
        <f>IFERROR(INDEX(Supplier_Lookup!$B$2:$B$200,MATCH(E1563,Supplier_Lookup!$A$2:$A$200,0)),"Unmapped")</f>
        <v>Facilities</v>
      </c>
      <c r="Q1563" s="10">
        <f>IFERROR(INDEX(Category_Targets!$B$2:$B$9,MATCH(F1563,Category_Targets!$A$2:$A$9,0)),0)</f>
        <v>0.05</v>
      </c>
      <c r="R1563" s="7">
        <f t="shared" si="49"/>
        <v>95.473500000000001</v>
      </c>
    </row>
    <row r="1564" spans="1:18" x14ac:dyDescent="0.25">
      <c r="A1564" s="5">
        <f>Procurement_Raw!A1564</f>
        <v>45889</v>
      </c>
      <c r="B1564" t="str">
        <f>Procurement_Raw!B1564</f>
        <v>S009</v>
      </c>
      <c r="C1564" t="str">
        <f>Procurement_Raw!C1564</f>
        <v>Derby Care &amp; Education Centre</v>
      </c>
      <c r="D1564" t="str">
        <f>Procurement_Raw!D1564</f>
        <v>Midlands</v>
      </c>
      <c r="E1564" t="str">
        <f>Procurement_Raw!E1564</f>
        <v>WaterGrid</v>
      </c>
      <c r="F1564" t="str">
        <f>Procurement_Raw!F1564</f>
        <v>Utilities</v>
      </c>
      <c r="G1564" t="str">
        <f>Procurement_Raw!G1564</f>
        <v>INV-2025-01563</v>
      </c>
      <c r="H1564" s="6">
        <f>Procurement_Raw!H1564</f>
        <v>80</v>
      </c>
      <c r="I1564" s="7">
        <f>Procurement_Raw!I1564</f>
        <v>65.900000000000006</v>
      </c>
      <c r="J1564" s="7">
        <f>Procurement_Raw!J1564</f>
        <v>5271.95</v>
      </c>
      <c r="K1564" s="6">
        <f>Procurement_Raw!K1564</f>
        <v>60</v>
      </c>
      <c r="L1564" t="str">
        <f>Procurement_Raw!L1564</f>
        <v>Legacy Spend File</v>
      </c>
      <c r="M1564" s="8">
        <f>Procurement_Raw!M1564</f>
        <v>1054.3900000000001</v>
      </c>
      <c r="N1564" s="7">
        <f>Procurement_Raw!N1564</f>
        <v>5271.95</v>
      </c>
      <c r="O1564" s="7">
        <f t="shared" si="48"/>
        <v>5271.95</v>
      </c>
      <c r="P1564" t="str">
        <f>IFERROR(INDEX(Supplier_Lookup!$B$2:$B$200,MATCH(E1564,Supplier_Lookup!$A$2:$A$200,0)),"Unmapped")</f>
        <v>Utilities</v>
      </c>
      <c r="Q1564" s="10">
        <f>IFERROR(INDEX(Category_Targets!$B$2:$B$9,MATCH(F1564,Category_Targets!$A$2:$A$9,0)),0)</f>
        <v>0.03</v>
      </c>
      <c r="R1564" s="7">
        <f t="shared" si="49"/>
        <v>158.15849999999998</v>
      </c>
    </row>
    <row r="1565" spans="1:18" x14ac:dyDescent="0.25">
      <c r="A1565" s="5">
        <f>Procurement_Raw!A1565</f>
        <v>45754</v>
      </c>
      <c r="B1565" t="str">
        <f>Procurement_Raw!B1565</f>
        <v>S007</v>
      </c>
      <c r="C1565" t="str">
        <f>Procurement_Raw!C1565</f>
        <v>Nottingham Care &amp; Education Centre</v>
      </c>
      <c r="D1565" t="str">
        <f>Procurement_Raw!D1565</f>
        <v>Midlands</v>
      </c>
      <c r="E1565" t="str">
        <f>Procurement_Raw!E1565</f>
        <v>NurseLink</v>
      </c>
      <c r="F1565" t="str">
        <f>Procurement_Raw!F1565</f>
        <v>Agency Labour</v>
      </c>
      <c r="G1565" t="str">
        <f>Procurement_Raw!G1565</f>
        <v>INV-2025-01564</v>
      </c>
      <c r="H1565" s="6">
        <f>Procurement_Raw!H1565</f>
        <v>1</v>
      </c>
      <c r="I1565" s="7">
        <f>Procurement_Raw!I1565</f>
        <v>487.85</v>
      </c>
      <c r="J1565" s="7">
        <f>Procurement_Raw!J1565</f>
        <v>487.85</v>
      </c>
      <c r="K1565" s="6">
        <f>Procurement_Raw!K1565</f>
        <v>60</v>
      </c>
      <c r="L1565" t="str">
        <f>Procurement_Raw!L1565</f>
        <v>Procurement Portal</v>
      </c>
      <c r="M1565" s="8">
        <f>Procurement_Raw!M1565</f>
        <v>97.57</v>
      </c>
      <c r="N1565" s="7">
        <f>Procurement_Raw!N1565</f>
        <v>487.85</v>
      </c>
      <c r="O1565" s="7">
        <f t="shared" si="48"/>
        <v>487.85</v>
      </c>
      <c r="P1565" t="str">
        <f>IFERROR(INDEX(Supplier_Lookup!$B$2:$B$200,MATCH(E1565,Supplier_Lookup!$A$2:$A$200,0)),"Unmapped")</f>
        <v>Agency Labour</v>
      </c>
      <c r="Q1565" s="10">
        <f>IFERROR(INDEX(Category_Targets!$B$2:$B$9,MATCH(F1565,Category_Targets!$A$2:$A$9,0)),0)</f>
        <v>7.0000000000000007E-2</v>
      </c>
      <c r="R1565" s="7">
        <f t="shared" si="49"/>
        <v>34.149500000000003</v>
      </c>
    </row>
    <row r="1566" spans="1:18" x14ac:dyDescent="0.25">
      <c r="A1566" s="5">
        <f>Procurement_Raw!A1566</f>
        <v>45824</v>
      </c>
      <c r="B1566" t="str">
        <f>Procurement_Raw!B1566</f>
        <v>S004</v>
      </c>
      <c r="C1566" t="str">
        <f>Procurement_Raw!C1566</f>
        <v>Newcastle Care &amp; Education Centre</v>
      </c>
      <c r="D1566" t="str">
        <f>Procurement_Raw!D1566</f>
        <v>North</v>
      </c>
      <c r="E1566" t="str">
        <f>Procurement_Raw!E1566</f>
        <v>FleetFuel</v>
      </c>
      <c r="F1566" t="str">
        <f>Procurement_Raw!F1566</f>
        <v>Vehicle &amp; Fuel</v>
      </c>
      <c r="G1566" t="str">
        <f>Procurement_Raw!G1566</f>
        <v>INV-2025-01565</v>
      </c>
      <c r="H1566" s="6">
        <f>Procurement_Raw!H1566</f>
        <v>57</v>
      </c>
      <c r="I1566" s="7">
        <f>Procurement_Raw!I1566</f>
        <v>142.47</v>
      </c>
      <c r="J1566" s="7">
        <f>Procurement_Raw!J1566</f>
        <v>8120.87</v>
      </c>
      <c r="K1566" s="6">
        <f>Procurement_Raw!K1566</f>
        <v>30</v>
      </c>
      <c r="L1566" t="str">
        <f>Procurement_Raw!L1566</f>
        <v>Legacy Spend File</v>
      </c>
      <c r="M1566" s="8">
        <f>Procurement_Raw!M1566</f>
        <v>1624.174</v>
      </c>
      <c r="N1566" s="7">
        <f>Procurement_Raw!N1566</f>
        <v>8120.87</v>
      </c>
      <c r="O1566" s="7">
        <f t="shared" si="48"/>
        <v>8120.87</v>
      </c>
      <c r="P1566" t="str">
        <f>IFERROR(INDEX(Supplier_Lookup!$B$2:$B$200,MATCH(E1566,Supplier_Lookup!$A$2:$A$200,0)),"Unmapped")</f>
        <v>Vehicle &amp; Fuel</v>
      </c>
      <c r="Q1566" s="10">
        <f>IFERROR(INDEX(Category_Targets!$B$2:$B$9,MATCH(F1566,Category_Targets!$A$2:$A$9,0)),0)</f>
        <v>0.05</v>
      </c>
      <c r="R1566" s="7">
        <f t="shared" si="49"/>
        <v>406.04349999999999</v>
      </c>
    </row>
    <row r="1567" spans="1:18" x14ac:dyDescent="0.25">
      <c r="A1567" s="5">
        <f>Procurement_Raw!A1567</f>
        <v>45971</v>
      </c>
      <c r="B1567" t="str">
        <f>Procurement_Raw!B1567</f>
        <v>S003</v>
      </c>
      <c r="C1567" t="str">
        <f>Procurement_Raw!C1567</f>
        <v>Leeds Care &amp; Education Centre</v>
      </c>
      <c r="D1567" t="str">
        <f>Procurement_Raw!D1567</f>
        <v>North</v>
      </c>
      <c r="E1567" t="str">
        <f>Procurement_Raw!E1567</f>
        <v>NurseLink</v>
      </c>
      <c r="F1567" t="str">
        <f>Procurement_Raw!F1567</f>
        <v>Agency Labour</v>
      </c>
      <c r="G1567" t="str">
        <f>Procurement_Raw!G1567</f>
        <v>INV-2025-01566</v>
      </c>
      <c r="H1567" s="6">
        <f>Procurement_Raw!H1567</f>
        <v>11</v>
      </c>
      <c r="I1567" s="7">
        <f>Procurement_Raw!I1567</f>
        <v>256.99</v>
      </c>
      <c r="J1567" s="7">
        <f>Procurement_Raw!J1567</f>
        <v>2826.93</v>
      </c>
      <c r="K1567" s="6">
        <f>Procurement_Raw!K1567</f>
        <v>45</v>
      </c>
      <c r="L1567" t="str">
        <f>Procurement_Raw!L1567</f>
        <v>Procurement Portal</v>
      </c>
      <c r="M1567" s="8">
        <f>Procurement_Raw!M1567</f>
        <v>565.38599999999997</v>
      </c>
      <c r="N1567" s="7">
        <f>Procurement_Raw!N1567</f>
        <v>2826.93</v>
      </c>
      <c r="O1567" s="7">
        <f t="shared" si="48"/>
        <v>2826.93</v>
      </c>
      <c r="P1567" t="str">
        <f>IFERROR(INDEX(Supplier_Lookup!$B$2:$B$200,MATCH(E1567,Supplier_Lookup!$A$2:$A$200,0)),"Unmapped")</f>
        <v>Agency Labour</v>
      </c>
      <c r="Q1567" s="10">
        <f>IFERROR(INDEX(Category_Targets!$B$2:$B$9,MATCH(F1567,Category_Targets!$A$2:$A$9,0)),0)</f>
        <v>7.0000000000000007E-2</v>
      </c>
      <c r="R1567" s="7">
        <f t="shared" si="49"/>
        <v>197.88509999999999</v>
      </c>
    </row>
    <row r="1568" spans="1:18" x14ac:dyDescent="0.25">
      <c r="A1568" s="5">
        <f>Procurement_Raw!A1568</f>
        <v>45855</v>
      </c>
      <c r="B1568" t="str">
        <f>Procurement_Raw!B1568</f>
        <v>S014</v>
      </c>
      <c r="C1568" t="str">
        <f>Procurement_Raw!C1568</f>
        <v>Southampton Care &amp; Education Centre</v>
      </c>
      <c r="D1568" t="str">
        <f>Procurement_Raw!D1568</f>
        <v>South</v>
      </c>
      <c r="E1568" t="str">
        <f>Procurement_Raw!E1568</f>
        <v>KitchenPro</v>
      </c>
      <c r="F1568" t="str">
        <f>Procurement_Raw!F1568</f>
        <v>Food &amp; Catering</v>
      </c>
      <c r="G1568" t="str">
        <f>Procurement_Raw!G1568</f>
        <v>INV-2025-01567</v>
      </c>
      <c r="H1568" s="6">
        <f>Procurement_Raw!H1568</f>
        <v>38</v>
      </c>
      <c r="I1568" s="7">
        <f>Procurement_Raw!I1568</f>
        <v>67.44</v>
      </c>
      <c r="J1568" s="7">
        <f>Procurement_Raw!J1568</f>
        <v>2562.6999999999998</v>
      </c>
      <c r="K1568" s="6">
        <f>Procurement_Raw!K1568</f>
        <v>60</v>
      </c>
      <c r="L1568" t="str">
        <f>Procurement_Raw!L1568</f>
        <v>ERP</v>
      </c>
      <c r="M1568" s="8">
        <f>Procurement_Raw!M1568</f>
        <v>512.54</v>
      </c>
      <c r="N1568" s="7">
        <f>Procurement_Raw!N1568</f>
        <v>2562.6999999999998</v>
      </c>
      <c r="O1568" s="7">
        <f t="shared" si="48"/>
        <v>2562.6999999999998</v>
      </c>
      <c r="P1568" t="str">
        <f>IFERROR(INDEX(Supplier_Lookup!$B$2:$B$200,MATCH(E1568,Supplier_Lookup!$A$2:$A$200,0)),"Unmapped")</f>
        <v>Food &amp; Catering</v>
      </c>
      <c r="Q1568" s="10">
        <f>IFERROR(INDEX(Category_Targets!$B$2:$B$9,MATCH(F1568,Category_Targets!$A$2:$A$9,0)),0)</f>
        <v>0.04</v>
      </c>
      <c r="R1568" s="7">
        <f t="shared" si="49"/>
        <v>102.508</v>
      </c>
    </row>
    <row r="1569" spans="1:18" x14ac:dyDescent="0.25">
      <c r="A1569" s="5">
        <f>Procurement_Raw!A1569</f>
        <v>45950</v>
      </c>
      <c r="B1569" t="str">
        <f>Procurement_Raw!B1569</f>
        <v>S010</v>
      </c>
      <c r="C1569" t="str">
        <f>Procurement_Raw!C1569</f>
        <v>Coventry Care &amp; Education Centre</v>
      </c>
      <c r="D1569" t="str">
        <f>Procurement_Raw!D1569</f>
        <v>Midlands</v>
      </c>
      <c r="E1569" t="str">
        <f>Procurement_Raw!E1569</f>
        <v>BuildCare</v>
      </c>
      <c r="F1569" t="str">
        <f>Procurement_Raw!F1569</f>
        <v>Facilities</v>
      </c>
      <c r="G1569" t="str">
        <f>Procurement_Raw!G1569</f>
        <v>INV-2025-01568</v>
      </c>
      <c r="H1569" s="6">
        <f>Procurement_Raw!H1569</f>
        <v>65</v>
      </c>
      <c r="I1569" s="7">
        <f>Procurement_Raw!I1569</f>
        <v>239.06</v>
      </c>
      <c r="J1569" s="7">
        <f>Procurement_Raw!J1569</f>
        <v>15539.04</v>
      </c>
      <c r="K1569" s="6">
        <f>Procurement_Raw!K1569</f>
        <v>30</v>
      </c>
      <c r="L1569" t="str">
        <f>Procurement_Raw!L1569</f>
        <v>ERP</v>
      </c>
      <c r="M1569" s="8">
        <f>Procurement_Raw!M1569</f>
        <v>3107.808</v>
      </c>
      <c r="N1569" s="7">
        <f>Procurement_Raw!N1569</f>
        <v>15539.04</v>
      </c>
      <c r="O1569" s="7">
        <f t="shared" si="48"/>
        <v>15539.04</v>
      </c>
      <c r="P1569" t="str">
        <f>IFERROR(INDEX(Supplier_Lookup!$B$2:$B$200,MATCH(E1569,Supplier_Lookup!$A$2:$A$200,0)),"Unmapped")</f>
        <v>Facilities</v>
      </c>
      <c r="Q1569" s="10">
        <f>IFERROR(INDEX(Category_Targets!$B$2:$B$9,MATCH(F1569,Category_Targets!$A$2:$A$9,0)),0)</f>
        <v>0.05</v>
      </c>
      <c r="R1569" s="7">
        <f t="shared" si="49"/>
        <v>776.95200000000011</v>
      </c>
    </row>
    <row r="1570" spans="1:18" x14ac:dyDescent="0.25">
      <c r="A1570" s="5">
        <f>Procurement_Raw!A1570</f>
        <v>46002</v>
      </c>
      <c r="B1570" t="str">
        <f>Procurement_Raw!B1570</f>
        <v>S017</v>
      </c>
      <c r="C1570" t="str">
        <f>Procurement_Raw!C1570</f>
        <v>Swansea Care &amp; Education Centre</v>
      </c>
      <c r="D1570" t="str">
        <f>Procurement_Raw!D1570</f>
        <v>Wales</v>
      </c>
      <c r="E1570" t="str">
        <f>Procurement_Raw!E1570</f>
        <v>NourishCo</v>
      </c>
      <c r="F1570" t="str">
        <f>Procurement_Raw!F1570</f>
        <v>Food &amp; Catering</v>
      </c>
      <c r="G1570" t="str">
        <f>Procurement_Raw!G1570</f>
        <v>INV-2025-01569</v>
      </c>
      <c r="H1570" s="6">
        <f>Procurement_Raw!H1570</f>
        <v>71</v>
      </c>
      <c r="I1570" s="7">
        <f>Procurement_Raw!I1570</f>
        <v>27.52</v>
      </c>
      <c r="J1570" s="7">
        <f>Procurement_Raw!J1570</f>
        <v>1954.06</v>
      </c>
      <c r="K1570" s="6">
        <f>Procurement_Raw!K1570</f>
        <v>45</v>
      </c>
      <c r="L1570" t="str">
        <f>Procurement_Raw!L1570</f>
        <v>ERP</v>
      </c>
      <c r="M1570" s="8">
        <f>Procurement_Raw!M1570</f>
        <v>390.81200000000001</v>
      </c>
      <c r="N1570" s="7">
        <f>Procurement_Raw!N1570</f>
        <v>1954.06</v>
      </c>
      <c r="O1570" s="7">
        <f t="shared" si="48"/>
        <v>1954.06</v>
      </c>
      <c r="P1570" t="str">
        <f>IFERROR(INDEX(Supplier_Lookup!$B$2:$B$200,MATCH(E1570,Supplier_Lookup!$A$2:$A$200,0)),"Unmapped")</f>
        <v>Food &amp; Catering</v>
      </c>
      <c r="Q1570" s="10">
        <f>IFERROR(INDEX(Category_Targets!$B$2:$B$9,MATCH(F1570,Category_Targets!$A$2:$A$9,0)),0)</f>
        <v>0.04</v>
      </c>
      <c r="R1570" s="7">
        <f t="shared" si="49"/>
        <v>78.162400000000005</v>
      </c>
    </row>
    <row r="1571" spans="1:18" x14ac:dyDescent="0.25">
      <c r="A1571" s="5">
        <f>Procurement_Raw!A1571</f>
        <v>45997</v>
      </c>
      <c r="B1571" t="str">
        <f>Procurement_Raw!B1571</f>
        <v>S019</v>
      </c>
      <c r="C1571" t="str">
        <f>Procurement_Raw!C1571</f>
        <v>Wrexham Care &amp; Education Centre</v>
      </c>
      <c r="D1571" t="str">
        <f>Procurement_Raw!D1571</f>
        <v>Wales</v>
      </c>
      <c r="E1571" t="str">
        <f>Procurement_Raw!E1571</f>
        <v>NourishCo</v>
      </c>
      <c r="F1571" t="str">
        <f>Procurement_Raw!F1571</f>
        <v>Food &amp; Catering</v>
      </c>
      <c r="G1571" t="str">
        <f>Procurement_Raw!G1571</f>
        <v>INV-2025-01570</v>
      </c>
      <c r="H1571" s="6">
        <f>Procurement_Raw!H1571</f>
        <v>70</v>
      </c>
      <c r="I1571" s="7">
        <f>Procurement_Raw!I1571</f>
        <v>48.59</v>
      </c>
      <c r="J1571" s="7">
        <f>Procurement_Raw!J1571</f>
        <v>3401.27</v>
      </c>
      <c r="K1571" s="6">
        <f>Procurement_Raw!K1571</f>
        <v>30</v>
      </c>
      <c r="L1571" t="str">
        <f>Procurement_Raw!L1571</f>
        <v>ERP</v>
      </c>
      <c r="M1571" s="8">
        <f>Procurement_Raw!M1571</f>
        <v>680.25400000000002</v>
      </c>
      <c r="N1571" s="7">
        <f>Procurement_Raw!N1571</f>
        <v>3401.27</v>
      </c>
      <c r="O1571" s="7">
        <f t="shared" si="48"/>
        <v>3401.27</v>
      </c>
      <c r="P1571" t="str">
        <f>IFERROR(INDEX(Supplier_Lookup!$B$2:$B$200,MATCH(E1571,Supplier_Lookup!$A$2:$A$200,0)),"Unmapped")</f>
        <v>Food &amp; Catering</v>
      </c>
      <c r="Q1571" s="10">
        <f>IFERROR(INDEX(Category_Targets!$B$2:$B$9,MATCH(F1571,Category_Targets!$A$2:$A$9,0)),0)</f>
        <v>0.04</v>
      </c>
      <c r="R1571" s="7">
        <f t="shared" si="49"/>
        <v>136.05080000000001</v>
      </c>
    </row>
    <row r="1572" spans="1:18" x14ac:dyDescent="0.25">
      <c r="A1572" s="5">
        <f>Procurement_Raw!A1572</f>
        <v>46016</v>
      </c>
      <c r="B1572" t="str">
        <f>Procurement_Raw!B1572</f>
        <v>S020</v>
      </c>
      <c r="C1572" t="str">
        <f>Procurement_Raw!C1572</f>
        <v>Bangor Care &amp; Education Centre</v>
      </c>
      <c r="D1572" t="str">
        <f>Procurement_Raw!D1572</f>
        <v>Wales</v>
      </c>
      <c r="E1572" t="str">
        <f>Procurement_Raw!E1572</f>
        <v>BuildCare</v>
      </c>
      <c r="F1572" t="str">
        <f>Procurement_Raw!F1572</f>
        <v>Facilities</v>
      </c>
      <c r="G1572" t="str">
        <f>Procurement_Raw!G1572</f>
        <v>INV-2025-01571</v>
      </c>
      <c r="H1572" s="6">
        <f>Procurement_Raw!H1572</f>
        <v>12</v>
      </c>
      <c r="I1572" s="7">
        <f>Procurement_Raw!I1572</f>
        <v>278.61</v>
      </c>
      <c r="J1572" s="7">
        <f>Procurement_Raw!J1572</f>
        <v>3343.28</v>
      </c>
      <c r="K1572" s="6">
        <f>Procurement_Raw!K1572</f>
        <v>30</v>
      </c>
      <c r="L1572" t="str">
        <f>Procurement_Raw!L1572</f>
        <v>Procurement Portal</v>
      </c>
      <c r="M1572" s="8">
        <f>Procurement_Raw!M1572</f>
        <v>668.65599999999995</v>
      </c>
      <c r="N1572" s="7">
        <f>Procurement_Raw!N1572</f>
        <v>3343.28</v>
      </c>
      <c r="O1572" s="7">
        <f t="shared" si="48"/>
        <v>3343.28</v>
      </c>
      <c r="P1572" t="str">
        <f>IFERROR(INDEX(Supplier_Lookup!$B$2:$B$200,MATCH(E1572,Supplier_Lookup!$A$2:$A$200,0)),"Unmapped")</f>
        <v>Facilities</v>
      </c>
      <c r="Q1572" s="10">
        <f>IFERROR(INDEX(Category_Targets!$B$2:$B$9,MATCH(F1572,Category_Targets!$A$2:$A$9,0)),0)</f>
        <v>0.05</v>
      </c>
      <c r="R1572" s="7">
        <f t="shared" si="49"/>
        <v>167.16400000000002</v>
      </c>
    </row>
    <row r="1573" spans="1:18" x14ac:dyDescent="0.25">
      <c r="A1573" s="5">
        <f>Procurement_Raw!A1573</f>
        <v>45825</v>
      </c>
      <c r="B1573" t="str">
        <f>Procurement_Raw!B1573</f>
        <v>S008</v>
      </c>
      <c r="C1573" t="str">
        <f>Procurement_Raw!C1573</f>
        <v>Leicester Care &amp; Education Centre</v>
      </c>
      <c r="D1573" t="str">
        <f>Procurement_Raw!D1573</f>
        <v>Midlands</v>
      </c>
      <c r="E1573" t="str">
        <f>Procurement_Raw!E1573</f>
        <v>MediSure</v>
      </c>
      <c r="F1573" t="str">
        <f>Procurement_Raw!F1573</f>
        <v>Medical Supplies</v>
      </c>
      <c r="G1573" t="str">
        <f>Procurement_Raw!G1573</f>
        <v>INV-2025-01572</v>
      </c>
      <c r="H1573" s="6">
        <f>Procurement_Raw!H1573</f>
        <v>50</v>
      </c>
      <c r="I1573" s="7">
        <f>Procurement_Raw!I1573</f>
        <v>60.2</v>
      </c>
      <c r="J1573" s="7">
        <f>Procurement_Raw!J1573</f>
        <v>3009.88</v>
      </c>
      <c r="K1573" s="6">
        <f>Procurement_Raw!K1573</f>
        <v>45</v>
      </c>
      <c r="L1573" t="str">
        <f>Procurement_Raw!L1573</f>
        <v>ERP</v>
      </c>
      <c r="M1573" s="8">
        <f>Procurement_Raw!M1573</f>
        <v>601.976</v>
      </c>
      <c r="N1573" s="7">
        <f>Procurement_Raw!N1573</f>
        <v>3009.88</v>
      </c>
      <c r="O1573" s="7">
        <f t="shared" si="48"/>
        <v>3009.88</v>
      </c>
      <c r="P1573" t="str">
        <f>IFERROR(INDEX(Supplier_Lookup!$B$2:$B$200,MATCH(E1573,Supplier_Lookup!$A$2:$A$200,0)),"Unmapped")</f>
        <v>Medical Supplies</v>
      </c>
      <c r="Q1573" s="10">
        <f>IFERROR(INDEX(Category_Targets!$B$2:$B$9,MATCH(F1573,Category_Targets!$A$2:$A$9,0)),0)</f>
        <v>0.06</v>
      </c>
      <c r="R1573" s="7">
        <f t="shared" si="49"/>
        <v>180.59280000000001</v>
      </c>
    </row>
    <row r="1574" spans="1:18" x14ac:dyDescent="0.25">
      <c r="A1574" s="5">
        <f>Procurement_Raw!A1574</f>
        <v>45901</v>
      </c>
      <c r="B1574" t="str">
        <f>Procurement_Raw!B1574</f>
        <v>S019</v>
      </c>
      <c r="C1574" t="str">
        <f>Procurement_Raw!C1574</f>
        <v>Wrexham Care &amp; Education Centre</v>
      </c>
      <c r="D1574" t="str">
        <f>Procurement_Raw!D1574</f>
        <v>Wales</v>
      </c>
      <c r="E1574" t="str">
        <f>Procurement_Raw!E1574</f>
        <v>NetServe</v>
      </c>
      <c r="F1574" t="str">
        <f>Procurement_Raw!F1574</f>
        <v>IT &amp; Telecoms</v>
      </c>
      <c r="G1574" t="str">
        <f>Procurement_Raw!G1574</f>
        <v>INV-2025-01573</v>
      </c>
      <c r="H1574" s="6">
        <f>Procurement_Raw!H1574</f>
        <v>16</v>
      </c>
      <c r="I1574" s="7">
        <f>Procurement_Raw!I1574</f>
        <v>258.55</v>
      </c>
      <c r="J1574" s="7">
        <f>Procurement_Raw!J1574</f>
        <v>4136.78</v>
      </c>
      <c r="K1574" s="6">
        <f>Procurement_Raw!K1574</f>
        <v>60</v>
      </c>
      <c r="L1574" t="str">
        <f>Procurement_Raw!L1574</f>
        <v>ERP</v>
      </c>
      <c r="M1574" s="8">
        <f>Procurement_Raw!M1574</f>
        <v>827.35599999999999</v>
      </c>
      <c r="N1574" s="7">
        <f>Procurement_Raw!N1574</f>
        <v>4136.78</v>
      </c>
      <c r="O1574" s="7">
        <f t="shared" si="48"/>
        <v>4136.78</v>
      </c>
      <c r="P1574" t="str">
        <f>IFERROR(INDEX(Supplier_Lookup!$B$2:$B$200,MATCH(E1574,Supplier_Lookup!$A$2:$A$200,0)),"Unmapped")</f>
        <v>IT &amp; Telecoms</v>
      </c>
      <c r="Q1574" s="10">
        <f>IFERROR(INDEX(Category_Targets!$B$2:$B$9,MATCH(F1574,Category_Targets!$A$2:$A$9,0)),0)</f>
        <v>0.08</v>
      </c>
      <c r="R1574" s="7">
        <f t="shared" si="49"/>
        <v>330.94239999999996</v>
      </c>
    </row>
    <row r="1575" spans="1:18" x14ac:dyDescent="0.25">
      <c r="A1575" s="5">
        <f>Procurement_Raw!A1575</f>
        <v>46012</v>
      </c>
      <c r="B1575" t="str">
        <f>Procurement_Raw!B1575</f>
        <v>S019</v>
      </c>
      <c r="C1575" t="str">
        <f>Procurement_Raw!C1575</f>
        <v>Wrexham Care &amp; Education Centre</v>
      </c>
      <c r="D1575" t="str">
        <f>Procurement_Raw!D1575</f>
        <v>Wales</v>
      </c>
      <c r="E1575" t="str">
        <f>Procurement_Raw!E1575</f>
        <v>OfficePlus</v>
      </c>
      <c r="F1575" t="str">
        <f>Procurement_Raw!F1575</f>
        <v>Office &amp; Training</v>
      </c>
      <c r="G1575" t="str">
        <f>Procurement_Raw!G1575</f>
        <v>INV-2025-01574</v>
      </c>
      <c r="H1575" s="6">
        <f>Procurement_Raw!H1575</f>
        <v>43</v>
      </c>
      <c r="I1575" s="7">
        <f>Procurement_Raw!I1575</f>
        <v>35.57</v>
      </c>
      <c r="J1575" s="7">
        <f>Procurement_Raw!J1575</f>
        <v>1529.3</v>
      </c>
      <c r="K1575" s="6">
        <f>Procurement_Raw!K1575</f>
        <v>30</v>
      </c>
      <c r="L1575" t="str">
        <f>Procurement_Raw!L1575</f>
        <v>Legacy Spend File</v>
      </c>
      <c r="M1575" s="8">
        <f>Procurement_Raw!M1575</f>
        <v>305.86</v>
      </c>
      <c r="N1575" s="7">
        <f>Procurement_Raw!N1575</f>
        <v>1529.3</v>
      </c>
      <c r="O1575" s="7">
        <f t="shared" si="48"/>
        <v>1529.3</v>
      </c>
      <c r="P1575" t="str">
        <f>IFERROR(INDEX(Supplier_Lookup!$B$2:$B$200,MATCH(E1575,Supplier_Lookup!$A$2:$A$200,0)),"Unmapped")</f>
        <v>Office &amp; Training</v>
      </c>
      <c r="Q1575" s="10">
        <f>IFERROR(INDEX(Category_Targets!$B$2:$B$9,MATCH(F1575,Category_Targets!$A$2:$A$9,0)),0)</f>
        <v>0.04</v>
      </c>
      <c r="R1575" s="7">
        <f t="shared" si="49"/>
        <v>61.171999999999997</v>
      </c>
    </row>
    <row r="1576" spans="1:18" x14ac:dyDescent="0.25">
      <c r="A1576" s="5">
        <f>Procurement_Raw!A1576</f>
        <v>45833</v>
      </c>
      <c r="B1576" t="str">
        <f>Procurement_Raw!B1576</f>
        <v>S019</v>
      </c>
      <c r="C1576" t="str">
        <f>Procurement_Raw!C1576</f>
        <v>Wrexham Care &amp; Education Centre</v>
      </c>
      <c r="D1576" t="str">
        <f>Procurement_Raw!D1576</f>
        <v>Wales</v>
      </c>
      <c r="E1576" t="str">
        <f>Procurement_Raw!E1576</f>
        <v>KitchenPro</v>
      </c>
      <c r="F1576" t="str">
        <f>Procurement_Raw!F1576</f>
        <v>Food &amp; Catering</v>
      </c>
      <c r="G1576" t="str">
        <f>Procurement_Raw!G1576</f>
        <v>INV-2025-01575</v>
      </c>
      <c r="H1576" s="6">
        <f>Procurement_Raw!H1576</f>
        <v>49</v>
      </c>
      <c r="I1576" s="7">
        <f>Procurement_Raw!I1576</f>
        <v>84.01</v>
      </c>
      <c r="J1576" s="7">
        <f>Procurement_Raw!J1576</f>
        <v>4116.4399999999996</v>
      </c>
      <c r="K1576" s="6">
        <f>Procurement_Raw!K1576</f>
        <v>60</v>
      </c>
      <c r="L1576" t="str">
        <f>Procurement_Raw!L1576</f>
        <v>Legacy Spend File</v>
      </c>
      <c r="M1576" s="8">
        <f>Procurement_Raw!M1576</f>
        <v>823.28800000000001</v>
      </c>
      <c r="N1576" s="7">
        <f>Procurement_Raw!N1576</f>
        <v>4116.4399999999996</v>
      </c>
      <c r="O1576" s="7">
        <f t="shared" si="48"/>
        <v>4116.4399999999996</v>
      </c>
      <c r="P1576" t="str">
        <f>IFERROR(INDEX(Supplier_Lookup!$B$2:$B$200,MATCH(E1576,Supplier_Lookup!$A$2:$A$200,0)),"Unmapped")</f>
        <v>Food &amp; Catering</v>
      </c>
      <c r="Q1576" s="10">
        <f>IFERROR(INDEX(Category_Targets!$B$2:$B$9,MATCH(F1576,Category_Targets!$A$2:$A$9,0)),0)</f>
        <v>0.04</v>
      </c>
      <c r="R1576" s="7">
        <f t="shared" si="49"/>
        <v>164.65759999999997</v>
      </c>
    </row>
    <row r="1577" spans="1:18" x14ac:dyDescent="0.25">
      <c r="A1577" s="5">
        <f>Procurement_Raw!A1577</f>
        <v>45986</v>
      </c>
      <c r="B1577" t="str">
        <f>Procurement_Raw!B1577</f>
        <v>S013</v>
      </c>
      <c r="C1577" t="str">
        <f>Procurement_Raw!C1577</f>
        <v>Reading Care &amp; Education Centre</v>
      </c>
      <c r="D1577" t="str">
        <f>Procurement_Raw!D1577</f>
        <v>South</v>
      </c>
      <c r="E1577" t="str">
        <f>Procurement_Raw!E1577</f>
        <v>NurseLink</v>
      </c>
      <c r="F1577" t="str">
        <f>Procurement_Raw!F1577</f>
        <v>Agency Labour</v>
      </c>
      <c r="G1577" t="str">
        <f>Procurement_Raw!G1577</f>
        <v>INV-2025-01576</v>
      </c>
      <c r="H1577" s="6">
        <f>Procurement_Raw!H1577</f>
        <v>72</v>
      </c>
      <c r="I1577" s="7">
        <f>Procurement_Raw!I1577</f>
        <v>294.18</v>
      </c>
      <c r="J1577" s="7">
        <f>Procurement_Raw!J1577</f>
        <v>21180.7</v>
      </c>
      <c r="K1577" s="6">
        <f>Procurement_Raw!K1577</f>
        <v>45</v>
      </c>
      <c r="L1577" t="str">
        <f>Procurement_Raw!L1577</f>
        <v>ERP</v>
      </c>
      <c r="M1577" s="8">
        <f>Procurement_Raw!M1577</f>
        <v>4236.1400000000003</v>
      </c>
      <c r="N1577" s="7">
        <f>Procurement_Raw!N1577</f>
        <v>21180.7</v>
      </c>
      <c r="O1577" s="7">
        <f t="shared" si="48"/>
        <v>21180.7</v>
      </c>
      <c r="P1577" t="str">
        <f>IFERROR(INDEX(Supplier_Lookup!$B$2:$B$200,MATCH(E1577,Supplier_Lookup!$A$2:$A$200,0)),"Unmapped")</f>
        <v>Agency Labour</v>
      </c>
      <c r="Q1577" s="10">
        <f>IFERROR(INDEX(Category_Targets!$B$2:$B$9,MATCH(F1577,Category_Targets!$A$2:$A$9,0)),0)</f>
        <v>7.0000000000000007E-2</v>
      </c>
      <c r="R1577" s="7">
        <f t="shared" si="49"/>
        <v>1482.6490000000001</v>
      </c>
    </row>
    <row r="1578" spans="1:18" x14ac:dyDescent="0.25">
      <c r="A1578" s="5">
        <f>Procurement_Raw!A1578</f>
        <v>45806</v>
      </c>
      <c r="B1578" t="str">
        <f>Procurement_Raw!B1578</f>
        <v>S020</v>
      </c>
      <c r="C1578" t="str">
        <f>Procurement_Raw!C1578</f>
        <v>Bangor Care &amp; Education Centre</v>
      </c>
      <c r="D1578" t="str">
        <f>Procurement_Raw!D1578</f>
        <v>Wales</v>
      </c>
      <c r="E1578" t="str">
        <f>Procurement_Raw!E1578</f>
        <v>CloudLink</v>
      </c>
      <c r="F1578" t="str">
        <f>Procurement_Raw!F1578</f>
        <v>IT &amp; Telecoms</v>
      </c>
      <c r="G1578" t="str">
        <f>Procurement_Raw!G1578</f>
        <v>INV-2025-01577</v>
      </c>
      <c r="H1578" s="6">
        <f>Procurement_Raw!H1578</f>
        <v>12</v>
      </c>
      <c r="I1578" s="7">
        <f>Procurement_Raw!I1578</f>
        <v>90.5</v>
      </c>
      <c r="J1578" s="7">
        <f>Procurement_Raw!J1578</f>
        <v>1085.95</v>
      </c>
      <c r="K1578" s="6">
        <f>Procurement_Raw!K1578</f>
        <v>30</v>
      </c>
      <c r="L1578" t="str">
        <f>Procurement_Raw!L1578</f>
        <v>ERP</v>
      </c>
      <c r="M1578" s="8">
        <f>Procurement_Raw!M1578</f>
        <v>217.19</v>
      </c>
      <c r="N1578" s="7">
        <f>Procurement_Raw!N1578</f>
        <v>1085.95</v>
      </c>
      <c r="O1578" s="7">
        <f t="shared" si="48"/>
        <v>1085.95</v>
      </c>
      <c r="P1578" t="str">
        <f>IFERROR(INDEX(Supplier_Lookup!$B$2:$B$200,MATCH(E1578,Supplier_Lookup!$A$2:$A$200,0)),"Unmapped")</f>
        <v>medical supplies</v>
      </c>
      <c r="Q1578" s="10">
        <f>IFERROR(INDEX(Category_Targets!$B$2:$B$9,MATCH(F1578,Category_Targets!$A$2:$A$9,0)),0)</f>
        <v>0.08</v>
      </c>
      <c r="R1578" s="7">
        <f t="shared" si="49"/>
        <v>86.876000000000005</v>
      </c>
    </row>
    <row r="1579" spans="1:18" x14ac:dyDescent="0.25">
      <c r="A1579" s="5">
        <f>Procurement_Raw!A1579</f>
        <v>45717</v>
      </c>
      <c r="B1579" t="str">
        <f>Procurement_Raw!B1579</f>
        <v>S016</v>
      </c>
      <c r="C1579" t="str">
        <f>Procurement_Raw!C1579</f>
        <v>Cardiff Care &amp; Education Centre</v>
      </c>
      <c r="D1579" t="str">
        <f>Procurement_Raw!D1579</f>
        <v>Wales</v>
      </c>
      <c r="E1579" t="str">
        <f>Procurement_Raw!E1579</f>
        <v>PowerDirect</v>
      </c>
      <c r="F1579" t="str">
        <f>Procurement_Raw!F1579</f>
        <v>Utilities</v>
      </c>
      <c r="G1579" t="str">
        <f>Procurement_Raw!G1579</f>
        <v>INV-2025-01578</v>
      </c>
      <c r="H1579" s="6">
        <f>Procurement_Raw!H1579</f>
        <v>74</v>
      </c>
      <c r="I1579" s="7">
        <f>Procurement_Raw!I1579</f>
        <v>474.41</v>
      </c>
      <c r="J1579" s="7">
        <f>Procurement_Raw!J1579</f>
        <v>35106.19</v>
      </c>
      <c r="K1579" s="6">
        <f>Procurement_Raw!K1579</f>
        <v>45</v>
      </c>
      <c r="L1579" t="str">
        <f>Procurement_Raw!L1579</f>
        <v>ERP</v>
      </c>
      <c r="M1579" s="8">
        <f>Procurement_Raw!M1579</f>
        <v>7021.2380000000003</v>
      </c>
      <c r="N1579" s="7">
        <f>Procurement_Raw!N1579</f>
        <v>35106.19</v>
      </c>
      <c r="O1579" s="7">
        <f t="shared" si="48"/>
        <v>35106.19</v>
      </c>
      <c r="P1579" t="str">
        <f>IFERROR(INDEX(Supplier_Lookup!$B$2:$B$200,MATCH(E1579,Supplier_Lookup!$A$2:$A$200,0)),"Unmapped")</f>
        <v>Utilities</v>
      </c>
      <c r="Q1579" s="10">
        <f>IFERROR(INDEX(Category_Targets!$B$2:$B$9,MATCH(F1579,Category_Targets!$A$2:$A$9,0)),0)</f>
        <v>0.03</v>
      </c>
      <c r="R1579" s="7">
        <f t="shared" si="49"/>
        <v>1053.1857</v>
      </c>
    </row>
    <row r="1580" spans="1:18" x14ac:dyDescent="0.25">
      <c r="A1580" s="5">
        <f>Procurement_Raw!A1580</f>
        <v>45658</v>
      </c>
      <c r="B1580" t="str">
        <f>Procurement_Raw!B1580</f>
        <v>S002</v>
      </c>
      <c r="C1580" t="str">
        <f>Procurement_Raw!C1580</f>
        <v>Manchester Care &amp; Education Centre</v>
      </c>
      <c r="D1580" t="str">
        <f>Procurement_Raw!D1580</f>
        <v>North</v>
      </c>
      <c r="E1580" t="str">
        <f>Procurement_Raw!E1580</f>
        <v>NurseLink</v>
      </c>
      <c r="F1580" t="str">
        <f>Procurement_Raw!F1580</f>
        <v>Agency Labour</v>
      </c>
      <c r="G1580" t="str">
        <f>Procurement_Raw!G1580</f>
        <v>INV-2025-01579</v>
      </c>
      <c r="H1580" s="6">
        <f>Procurement_Raw!H1580</f>
        <v>40</v>
      </c>
      <c r="I1580" s="7">
        <f>Procurement_Raw!I1580</f>
        <v>200.29</v>
      </c>
      <c r="J1580" s="7">
        <f>Procurement_Raw!J1580</f>
        <v>8011.53</v>
      </c>
      <c r="K1580" s="6">
        <f>Procurement_Raw!K1580</f>
        <v>30</v>
      </c>
      <c r="L1580" t="str">
        <f>Procurement_Raw!L1580</f>
        <v>Legacy Spend File</v>
      </c>
      <c r="M1580" s="8">
        <f>Procurement_Raw!M1580</f>
        <v>1602.306</v>
      </c>
      <c r="N1580" s="7">
        <f>Procurement_Raw!N1580</f>
        <v>8011.53</v>
      </c>
      <c r="O1580" s="7">
        <f t="shared" si="48"/>
        <v>8011.53</v>
      </c>
      <c r="P1580" t="str">
        <f>IFERROR(INDEX(Supplier_Lookup!$B$2:$B$200,MATCH(E1580,Supplier_Lookup!$A$2:$A$200,0)),"Unmapped")</f>
        <v>Agency Labour</v>
      </c>
      <c r="Q1580" s="10">
        <f>IFERROR(INDEX(Category_Targets!$B$2:$B$9,MATCH(F1580,Category_Targets!$A$2:$A$9,0)),0)</f>
        <v>7.0000000000000007E-2</v>
      </c>
      <c r="R1580" s="7">
        <f t="shared" si="49"/>
        <v>560.80709999999999</v>
      </c>
    </row>
    <row r="1581" spans="1:18" x14ac:dyDescent="0.25">
      <c r="A1581" s="5">
        <f>Procurement_Raw!A1581</f>
        <v>45874</v>
      </c>
      <c r="B1581" t="str">
        <f>Procurement_Raw!B1581</f>
        <v>S008</v>
      </c>
      <c r="C1581" t="str">
        <f>Procurement_Raw!C1581</f>
        <v>Leicester Care &amp; Education Centre</v>
      </c>
      <c r="D1581" t="str">
        <f>Procurement_Raw!D1581</f>
        <v>Midlands</v>
      </c>
      <c r="E1581" t="str">
        <f>Procurement_Raw!E1581</f>
        <v>WaterGrid</v>
      </c>
      <c r="F1581" t="str">
        <f>Procurement_Raw!F1581</f>
        <v>Utilities</v>
      </c>
      <c r="G1581" t="str">
        <f>Procurement_Raw!G1581</f>
        <v>INV-2025-01580</v>
      </c>
      <c r="H1581" s="6">
        <f>Procurement_Raw!H1581</f>
        <v>41</v>
      </c>
      <c r="I1581" s="7">
        <f>Procurement_Raw!I1581</f>
        <v>160.1</v>
      </c>
      <c r="J1581" s="7">
        <f>Procurement_Raw!J1581</f>
        <v>6564.25</v>
      </c>
      <c r="K1581" s="6">
        <f>Procurement_Raw!K1581</f>
        <v>45</v>
      </c>
      <c r="L1581" t="str">
        <f>Procurement_Raw!L1581</f>
        <v>Legacy Spend File</v>
      </c>
      <c r="M1581" s="8">
        <f>Procurement_Raw!M1581</f>
        <v>1312.85</v>
      </c>
      <c r="N1581" s="7">
        <f>Procurement_Raw!N1581</f>
        <v>6564.25</v>
      </c>
      <c r="O1581" s="7">
        <f t="shared" si="48"/>
        <v>6564.25</v>
      </c>
      <c r="P1581" t="str">
        <f>IFERROR(INDEX(Supplier_Lookup!$B$2:$B$200,MATCH(E1581,Supplier_Lookup!$A$2:$A$200,0)),"Unmapped")</f>
        <v>Utilities</v>
      </c>
      <c r="Q1581" s="10">
        <f>IFERROR(INDEX(Category_Targets!$B$2:$B$9,MATCH(F1581,Category_Targets!$A$2:$A$9,0)),0)</f>
        <v>0.03</v>
      </c>
      <c r="R1581" s="7">
        <f t="shared" si="49"/>
        <v>196.92749999999998</v>
      </c>
    </row>
    <row r="1582" spans="1:18" x14ac:dyDescent="0.25">
      <c r="A1582" s="5">
        <f>Procurement_Raw!A1582</f>
        <v>45860</v>
      </c>
      <c r="B1582" t="str">
        <f>Procurement_Raw!B1582</f>
        <v>S012</v>
      </c>
      <c r="C1582" t="str">
        <f>Procurement_Raw!C1582</f>
        <v>Bristol Care &amp; Education Centre</v>
      </c>
      <c r="D1582" t="str">
        <f>Procurement_Raw!D1582</f>
        <v>South</v>
      </c>
      <c r="E1582" t="str">
        <f>Procurement_Raw!E1582</f>
        <v>UK Energy Partners</v>
      </c>
      <c r="F1582" t="str">
        <f>Procurement_Raw!F1582</f>
        <v>Utilities</v>
      </c>
      <c r="G1582" t="str">
        <f>Procurement_Raw!G1582</f>
        <v>INV-2025-01581</v>
      </c>
      <c r="H1582" s="6">
        <f>Procurement_Raw!H1582</f>
        <v>2</v>
      </c>
      <c r="I1582" s="7">
        <f>Procurement_Raw!I1582</f>
        <v>279.16000000000003</v>
      </c>
      <c r="J1582" s="7">
        <f>Procurement_Raw!J1582</f>
        <v>558.30999999999995</v>
      </c>
      <c r="K1582" s="6">
        <f>Procurement_Raw!K1582</f>
        <v>60</v>
      </c>
      <c r="L1582" t="str">
        <f>Procurement_Raw!L1582</f>
        <v>Procurement Portal</v>
      </c>
      <c r="M1582" s="8">
        <f>Procurement_Raw!M1582</f>
        <v>111.66200000000001</v>
      </c>
      <c r="N1582" s="7">
        <f>Procurement_Raw!N1582</f>
        <v>558.30999999999995</v>
      </c>
      <c r="O1582" s="7">
        <f t="shared" si="48"/>
        <v>558.30999999999995</v>
      </c>
      <c r="P1582" t="str">
        <f>IFERROR(INDEX(Supplier_Lookup!$B$2:$B$200,MATCH(E1582,Supplier_Lookup!$A$2:$A$200,0)),"Unmapped")</f>
        <v>Utilities</v>
      </c>
      <c r="Q1582" s="10">
        <f>IFERROR(INDEX(Category_Targets!$B$2:$B$9,MATCH(F1582,Category_Targets!$A$2:$A$9,0)),0)</f>
        <v>0.03</v>
      </c>
      <c r="R1582" s="7">
        <f t="shared" si="49"/>
        <v>16.749299999999998</v>
      </c>
    </row>
    <row r="1583" spans="1:18" x14ac:dyDescent="0.25">
      <c r="A1583" s="5">
        <f>Procurement_Raw!A1583</f>
        <v>45770</v>
      </c>
      <c r="B1583" t="str">
        <f>Procurement_Raw!B1583</f>
        <v>S020</v>
      </c>
      <c r="C1583" t="str">
        <f>Procurement_Raw!C1583</f>
        <v>Bangor Care &amp; Education Centre</v>
      </c>
      <c r="D1583" t="str">
        <f>Procurement_Raw!D1583</f>
        <v>Wales</v>
      </c>
      <c r="E1583" t="str">
        <f>Procurement_Raw!E1583</f>
        <v>SafeGuard FM</v>
      </c>
      <c r="F1583" t="str">
        <f>Procurement_Raw!F1583</f>
        <v>Facilities</v>
      </c>
      <c r="G1583" t="str">
        <f>Procurement_Raw!G1583</f>
        <v>INV-2025-01582</v>
      </c>
      <c r="H1583" s="6">
        <f>Procurement_Raw!H1583</f>
        <v>64</v>
      </c>
      <c r="I1583" s="7">
        <f>Procurement_Raw!I1583</f>
        <v>338.56</v>
      </c>
      <c r="J1583" s="7">
        <f>Procurement_Raw!J1583</f>
        <v>21667.97</v>
      </c>
      <c r="K1583" s="6">
        <f>Procurement_Raw!K1583</f>
        <v>60</v>
      </c>
      <c r="L1583" t="str">
        <f>Procurement_Raw!L1583</f>
        <v>Procurement Portal</v>
      </c>
      <c r="M1583" s="8">
        <f>Procurement_Raw!M1583</f>
        <v>4333.5940000000001</v>
      </c>
      <c r="N1583" s="7">
        <f>Procurement_Raw!N1583</f>
        <v>21667.97</v>
      </c>
      <c r="O1583" s="7">
        <f t="shared" si="48"/>
        <v>21667.97</v>
      </c>
      <c r="P1583" t="str">
        <f>IFERROR(INDEX(Supplier_Lookup!$B$2:$B$200,MATCH(E1583,Supplier_Lookup!$A$2:$A$200,0)),"Unmapped")</f>
        <v>Facilities</v>
      </c>
      <c r="Q1583" s="10">
        <f>IFERROR(INDEX(Category_Targets!$B$2:$B$9,MATCH(F1583,Category_Targets!$A$2:$A$9,0)),0)</f>
        <v>0.05</v>
      </c>
      <c r="R1583" s="7">
        <f t="shared" si="49"/>
        <v>1083.3985</v>
      </c>
    </row>
    <row r="1584" spans="1:18" x14ac:dyDescent="0.25">
      <c r="A1584" s="5">
        <f>Procurement_Raw!A1584</f>
        <v>45998</v>
      </c>
      <c r="B1584" t="str">
        <f>Procurement_Raw!B1584</f>
        <v>S015</v>
      </c>
      <c r="C1584" t="str">
        <f>Procurement_Raw!C1584</f>
        <v>Brighton Care &amp; Education Centre</v>
      </c>
      <c r="D1584" t="str">
        <f>Procurement_Raw!D1584</f>
        <v>South</v>
      </c>
      <c r="E1584" t="str">
        <f>Procurement_Raw!E1584</f>
        <v>CloudLink</v>
      </c>
      <c r="F1584" t="str">
        <f>Procurement_Raw!F1584</f>
        <v>IT &amp; Telecoms</v>
      </c>
      <c r="G1584" t="str">
        <f>Procurement_Raw!G1584</f>
        <v>INV-2025-01583</v>
      </c>
      <c r="H1584" s="6">
        <f>Procurement_Raw!H1584</f>
        <v>5</v>
      </c>
      <c r="I1584" s="7">
        <f>Procurement_Raw!I1584</f>
        <v>125.83</v>
      </c>
      <c r="J1584" s="7">
        <f>Procurement_Raw!J1584</f>
        <v>629.15</v>
      </c>
      <c r="K1584" s="6">
        <f>Procurement_Raw!K1584</f>
        <v>60</v>
      </c>
      <c r="L1584" t="str">
        <f>Procurement_Raw!L1584</f>
        <v>Procurement Portal</v>
      </c>
      <c r="M1584" s="8">
        <f>Procurement_Raw!M1584</f>
        <v>125.83</v>
      </c>
      <c r="N1584" s="7">
        <f>Procurement_Raw!N1584</f>
        <v>629.15</v>
      </c>
      <c r="O1584" s="7">
        <f t="shared" si="48"/>
        <v>629.15</v>
      </c>
      <c r="P1584" t="str">
        <f>IFERROR(INDEX(Supplier_Lookup!$B$2:$B$200,MATCH(E1584,Supplier_Lookup!$A$2:$A$200,0)),"Unmapped")</f>
        <v>medical supplies</v>
      </c>
      <c r="Q1584" s="10">
        <f>IFERROR(INDEX(Category_Targets!$B$2:$B$9,MATCH(F1584,Category_Targets!$A$2:$A$9,0)),0)</f>
        <v>0.08</v>
      </c>
      <c r="R1584" s="7">
        <f t="shared" si="49"/>
        <v>50.332000000000001</v>
      </c>
    </row>
    <row r="1585" spans="1:18" x14ac:dyDescent="0.25">
      <c r="A1585" s="5">
        <f>Procurement_Raw!A1585</f>
        <v>46019</v>
      </c>
      <c r="B1585" t="str">
        <f>Procurement_Raw!B1585</f>
        <v>S007</v>
      </c>
      <c r="C1585" t="str">
        <f>Procurement_Raw!C1585</f>
        <v>Nottingham Care &amp; Education Centre</v>
      </c>
      <c r="D1585" t="str">
        <f>Procurement_Raw!D1585</f>
        <v>Midlands</v>
      </c>
      <c r="E1585" t="str">
        <f>Procurement_Raw!E1585</f>
        <v>NourishCo</v>
      </c>
      <c r="F1585" t="str">
        <f>Procurement_Raw!F1585</f>
        <v>Food &amp; Catering</v>
      </c>
      <c r="G1585" t="str">
        <f>Procurement_Raw!G1585</f>
        <v>INV-2025-01584</v>
      </c>
      <c r="H1585" s="6">
        <f>Procurement_Raw!H1585</f>
        <v>74</v>
      </c>
      <c r="I1585" s="7">
        <f>Procurement_Raw!I1585</f>
        <v>67.239999999999995</v>
      </c>
      <c r="J1585" s="7">
        <f>Procurement_Raw!J1585</f>
        <v>4975.97</v>
      </c>
      <c r="K1585" s="6">
        <f>Procurement_Raw!K1585</f>
        <v>45</v>
      </c>
      <c r="L1585" t="str">
        <f>Procurement_Raw!L1585</f>
        <v>Legacy Spend File</v>
      </c>
      <c r="M1585" s="8">
        <f>Procurement_Raw!M1585</f>
        <v>995.19399999999996</v>
      </c>
      <c r="N1585" s="7">
        <f>Procurement_Raw!N1585</f>
        <v>4975.97</v>
      </c>
      <c r="O1585" s="7">
        <f t="shared" si="48"/>
        <v>4975.97</v>
      </c>
      <c r="P1585" t="str">
        <f>IFERROR(INDEX(Supplier_Lookup!$B$2:$B$200,MATCH(E1585,Supplier_Lookup!$A$2:$A$200,0)),"Unmapped")</f>
        <v>Food &amp; Catering</v>
      </c>
      <c r="Q1585" s="10">
        <f>IFERROR(INDEX(Category_Targets!$B$2:$B$9,MATCH(F1585,Category_Targets!$A$2:$A$9,0)),0)</f>
        <v>0.04</v>
      </c>
      <c r="R1585" s="7">
        <f t="shared" si="49"/>
        <v>199.03880000000001</v>
      </c>
    </row>
    <row r="1586" spans="1:18" x14ac:dyDescent="0.25">
      <c r="A1586" s="5">
        <f>Procurement_Raw!A1586</f>
        <v>46018</v>
      </c>
      <c r="B1586" t="str">
        <f>Procurement_Raw!B1586</f>
        <v>S020</v>
      </c>
      <c r="C1586" t="str">
        <f>Procurement_Raw!C1586</f>
        <v>Bangor Care &amp; Education Centre</v>
      </c>
      <c r="D1586" t="str">
        <f>Procurement_Raw!D1586</f>
        <v>Wales</v>
      </c>
      <c r="E1586" t="str">
        <f>Procurement_Raw!E1586</f>
        <v>LearnWell</v>
      </c>
      <c r="F1586" t="str">
        <f>Procurement_Raw!F1586</f>
        <v>Office &amp; Training</v>
      </c>
      <c r="G1586" t="str">
        <f>Procurement_Raw!G1586</f>
        <v>INV-2025-01585</v>
      </c>
      <c r="H1586" s="6">
        <f>Procurement_Raw!H1586</f>
        <v>49</v>
      </c>
      <c r="I1586" s="7">
        <f>Procurement_Raw!I1586</f>
        <v>94.95</v>
      </c>
      <c r="J1586" s="7">
        <f>Procurement_Raw!J1586</f>
        <v>4652.49</v>
      </c>
      <c r="K1586" s="6">
        <f>Procurement_Raw!K1586</f>
        <v>30</v>
      </c>
      <c r="L1586" t="str">
        <f>Procurement_Raw!L1586</f>
        <v>Procurement Portal</v>
      </c>
      <c r="M1586" s="8">
        <f>Procurement_Raw!M1586</f>
        <v>930.49800000000005</v>
      </c>
      <c r="N1586" s="7">
        <f>Procurement_Raw!N1586</f>
        <v>4652.49</v>
      </c>
      <c r="O1586" s="7">
        <f t="shared" si="48"/>
        <v>4652.49</v>
      </c>
      <c r="P1586" t="str">
        <f>IFERROR(INDEX(Supplier_Lookup!$B$2:$B$200,MATCH(E1586,Supplier_Lookup!$A$2:$A$200,0)),"Unmapped")</f>
        <v>Office &amp; Training</v>
      </c>
      <c r="Q1586" s="10">
        <f>IFERROR(INDEX(Category_Targets!$B$2:$B$9,MATCH(F1586,Category_Targets!$A$2:$A$9,0)),0)</f>
        <v>0.04</v>
      </c>
      <c r="R1586" s="7">
        <f t="shared" si="49"/>
        <v>186.09959999999998</v>
      </c>
    </row>
    <row r="1587" spans="1:18" x14ac:dyDescent="0.25">
      <c r="A1587" s="5">
        <f>Procurement_Raw!A1587</f>
        <v>45773</v>
      </c>
      <c r="B1587" t="str">
        <f>Procurement_Raw!B1587</f>
        <v>S019</v>
      </c>
      <c r="C1587" t="str">
        <f>Procurement_Raw!C1587</f>
        <v>Wrexham Care &amp; Education Centre</v>
      </c>
      <c r="D1587" t="str">
        <f>Procurement_Raw!D1587</f>
        <v>Wales</v>
      </c>
      <c r="E1587" t="str">
        <f>Procurement_Raw!E1587</f>
        <v>PowerDirect</v>
      </c>
      <c r="F1587" t="str">
        <f>Procurement_Raw!F1587</f>
        <v>Utilities</v>
      </c>
      <c r="G1587" t="str">
        <f>Procurement_Raw!G1587</f>
        <v>INV-2025-01586</v>
      </c>
      <c r="H1587" s="6">
        <f>Procurement_Raw!H1587</f>
        <v>7</v>
      </c>
      <c r="I1587" s="7">
        <f>Procurement_Raw!I1587</f>
        <v>366.01</v>
      </c>
      <c r="J1587" s="7">
        <f>Procurement_Raw!J1587</f>
        <v>2562.09</v>
      </c>
      <c r="K1587" s="6">
        <f>Procurement_Raw!K1587</f>
        <v>30</v>
      </c>
      <c r="L1587" t="str">
        <f>Procurement_Raw!L1587</f>
        <v>Procurement Portal</v>
      </c>
      <c r="M1587" s="8">
        <f>Procurement_Raw!M1587</f>
        <v>512.41800000000001</v>
      </c>
      <c r="N1587" s="7">
        <f>Procurement_Raw!N1587</f>
        <v>2562.09</v>
      </c>
      <c r="O1587" s="7">
        <f t="shared" si="48"/>
        <v>2562.09</v>
      </c>
      <c r="P1587" t="str">
        <f>IFERROR(INDEX(Supplier_Lookup!$B$2:$B$200,MATCH(E1587,Supplier_Lookup!$A$2:$A$200,0)),"Unmapped")</f>
        <v>Utilities</v>
      </c>
      <c r="Q1587" s="10">
        <f>IFERROR(INDEX(Category_Targets!$B$2:$B$9,MATCH(F1587,Category_Targets!$A$2:$A$9,0)),0)</f>
        <v>0.03</v>
      </c>
      <c r="R1587" s="7">
        <f t="shared" si="49"/>
        <v>76.862700000000004</v>
      </c>
    </row>
    <row r="1588" spans="1:18" x14ac:dyDescent="0.25">
      <c r="A1588" s="5">
        <f>Procurement_Raw!A1588</f>
        <v>45995</v>
      </c>
      <c r="B1588" t="str">
        <f>Procurement_Raw!B1588</f>
        <v>S020</v>
      </c>
      <c r="C1588" t="str">
        <f>Procurement_Raw!C1588</f>
        <v>Bangor Care &amp; Education Centre</v>
      </c>
      <c r="D1588" t="str">
        <f>Procurement_Raw!D1588</f>
        <v>Wales</v>
      </c>
      <c r="E1588" t="str">
        <f>Procurement_Raw!E1588</f>
        <v>CareTemps</v>
      </c>
      <c r="F1588" t="str">
        <f>Procurement_Raw!F1588</f>
        <v>Agency Labour</v>
      </c>
      <c r="G1588" t="str">
        <f>Procurement_Raw!G1588</f>
        <v>INV-2025-01587</v>
      </c>
      <c r="H1588" s="6">
        <f>Procurement_Raw!H1588</f>
        <v>21</v>
      </c>
      <c r="I1588" s="7">
        <f>Procurement_Raw!I1588</f>
        <v>330.57</v>
      </c>
      <c r="J1588" s="7">
        <f>Procurement_Raw!J1588</f>
        <v>6942.02</v>
      </c>
      <c r="K1588" s="6">
        <f>Procurement_Raw!K1588</f>
        <v>30</v>
      </c>
      <c r="L1588" t="str">
        <f>Procurement_Raw!L1588</f>
        <v>Legacy Spend File</v>
      </c>
      <c r="M1588" s="8">
        <f>Procurement_Raw!M1588</f>
        <v>1388.404</v>
      </c>
      <c r="N1588" s="7">
        <f>Procurement_Raw!N1588</f>
        <v>6942.02</v>
      </c>
      <c r="O1588" s="7">
        <f t="shared" si="48"/>
        <v>6942.02</v>
      </c>
      <c r="P1588" t="str">
        <f>IFERROR(INDEX(Supplier_Lookup!$B$2:$B$200,MATCH(E1588,Supplier_Lookup!$A$2:$A$200,0)),"Unmapped")</f>
        <v>Agency Labour</v>
      </c>
      <c r="Q1588" s="10">
        <f>IFERROR(INDEX(Category_Targets!$B$2:$B$9,MATCH(F1588,Category_Targets!$A$2:$A$9,0)),0)</f>
        <v>7.0000000000000007E-2</v>
      </c>
      <c r="R1588" s="7">
        <f t="shared" si="49"/>
        <v>485.9414000000001</v>
      </c>
    </row>
    <row r="1589" spans="1:18" x14ac:dyDescent="0.25">
      <c r="A1589" s="5">
        <f>Procurement_Raw!A1589</f>
        <v>46005</v>
      </c>
      <c r="B1589" t="str">
        <f>Procurement_Raw!B1589</f>
        <v>S020</v>
      </c>
      <c r="C1589" t="str">
        <f>Procurement_Raw!C1589</f>
        <v>Bangor Care &amp; Education Centre</v>
      </c>
      <c r="D1589" t="str">
        <f>Procurement_Raw!D1589</f>
        <v>Wales</v>
      </c>
      <c r="E1589" t="str">
        <f>Procurement_Raw!E1589</f>
        <v>RoadReady</v>
      </c>
      <c r="F1589" t="str">
        <f>Procurement_Raw!F1589</f>
        <v>Vehicle &amp; Fuel</v>
      </c>
      <c r="G1589" t="str">
        <f>Procurement_Raw!G1589</f>
        <v>INV-2025-01588</v>
      </c>
      <c r="H1589" s="6">
        <f>Procurement_Raw!H1589</f>
        <v>61</v>
      </c>
      <c r="I1589" s="7">
        <f>Procurement_Raw!I1589</f>
        <v>77.63</v>
      </c>
      <c r="J1589" s="7">
        <f>Procurement_Raw!J1589</f>
        <v>4735.7</v>
      </c>
      <c r="K1589" s="6">
        <f>Procurement_Raw!K1589</f>
        <v>45</v>
      </c>
      <c r="L1589" t="str">
        <f>Procurement_Raw!L1589</f>
        <v>Procurement Portal</v>
      </c>
      <c r="M1589" s="8">
        <f>Procurement_Raw!M1589</f>
        <v>947.14</v>
      </c>
      <c r="N1589" s="7">
        <f>Procurement_Raw!N1589</f>
        <v>4735.7</v>
      </c>
      <c r="O1589" s="7">
        <f t="shared" si="48"/>
        <v>4735.7</v>
      </c>
      <c r="P1589" t="str">
        <f>IFERROR(INDEX(Supplier_Lookup!$B$2:$B$200,MATCH(E1589,Supplier_Lookup!$A$2:$A$200,0)),"Unmapped")</f>
        <v>Vehicle &amp; Fuel</v>
      </c>
      <c r="Q1589" s="10">
        <f>IFERROR(INDEX(Category_Targets!$B$2:$B$9,MATCH(F1589,Category_Targets!$A$2:$A$9,0)),0)</f>
        <v>0.05</v>
      </c>
      <c r="R1589" s="7">
        <f t="shared" si="49"/>
        <v>236.785</v>
      </c>
    </row>
    <row r="1590" spans="1:18" x14ac:dyDescent="0.25">
      <c r="A1590" s="5">
        <f>Procurement_Raw!A1590</f>
        <v>45802</v>
      </c>
      <c r="B1590" t="str">
        <f>Procurement_Raw!B1590</f>
        <v>S012</v>
      </c>
      <c r="C1590" t="str">
        <f>Procurement_Raw!C1590</f>
        <v>Bristol Care &amp; Education Centre</v>
      </c>
      <c r="D1590" t="str">
        <f>Procurement_Raw!D1590</f>
        <v>South</v>
      </c>
      <c r="E1590" t="str">
        <f>Procurement_Raw!E1590</f>
        <v>KitchenPro</v>
      </c>
      <c r="F1590" t="str">
        <f>Procurement_Raw!F1590</f>
        <v>Food &amp; Catering</v>
      </c>
      <c r="G1590" t="str">
        <f>Procurement_Raw!G1590</f>
        <v>INV-2025-01589</v>
      </c>
      <c r="H1590" s="6">
        <f>Procurement_Raw!H1590</f>
        <v>37</v>
      </c>
      <c r="I1590" s="7">
        <f>Procurement_Raw!I1590</f>
        <v>41.23</v>
      </c>
      <c r="J1590" s="7">
        <f>Procurement_Raw!J1590</f>
        <v>1525.58</v>
      </c>
      <c r="K1590" s="6">
        <f>Procurement_Raw!K1590</f>
        <v>60</v>
      </c>
      <c r="L1590" t="str">
        <f>Procurement_Raw!L1590</f>
        <v>ERP</v>
      </c>
      <c r="M1590" s="8">
        <f>Procurement_Raw!M1590</f>
        <v>305.11599999999999</v>
      </c>
      <c r="N1590" s="7">
        <f>Procurement_Raw!N1590</f>
        <v>1525.58</v>
      </c>
      <c r="O1590" s="7">
        <f t="shared" si="48"/>
        <v>1525.58</v>
      </c>
      <c r="P1590" t="str">
        <f>IFERROR(INDEX(Supplier_Lookup!$B$2:$B$200,MATCH(E1590,Supplier_Lookup!$A$2:$A$200,0)),"Unmapped")</f>
        <v>Food &amp; Catering</v>
      </c>
      <c r="Q1590" s="10">
        <f>IFERROR(INDEX(Category_Targets!$B$2:$B$9,MATCH(F1590,Category_Targets!$A$2:$A$9,0)),0)</f>
        <v>0.04</v>
      </c>
      <c r="R1590" s="7">
        <f t="shared" si="49"/>
        <v>61.023199999999996</v>
      </c>
    </row>
    <row r="1591" spans="1:18" x14ac:dyDescent="0.25">
      <c r="A1591" s="5">
        <f>Procurement_Raw!A1591</f>
        <v>45725</v>
      </c>
      <c r="B1591" t="str">
        <f>Procurement_Raw!B1591</f>
        <v>S016</v>
      </c>
      <c r="C1591" t="str">
        <f>Procurement_Raw!C1591</f>
        <v>Cardiff Care &amp; Education Centre</v>
      </c>
      <c r="D1591" t="str">
        <f>Procurement_Raw!D1591</f>
        <v>Wales</v>
      </c>
      <c r="E1591" t="str">
        <f>Procurement_Raw!E1591</f>
        <v>HealthStaffing</v>
      </c>
      <c r="F1591" t="str">
        <f>Procurement_Raw!F1591</f>
        <v>Agency Labour</v>
      </c>
      <c r="G1591" t="str">
        <f>Procurement_Raw!G1591</f>
        <v>INV-2025-01590</v>
      </c>
      <c r="H1591" s="6">
        <f>Procurement_Raw!H1591</f>
        <v>42</v>
      </c>
      <c r="I1591" s="7">
        <f>Procurement_Raw!I1591</f>
        <v>314.56</v>
      </c>
      <c r="J1591" s="7">
        <f>Procurement_Raw!J1591</f>
        <v>13211.35</v>
      </c>
      <c r="K1591" s="6">
        <f>Procurement_Raw!K1591</f>
        <v>60</v>
      </c>
      <c r="L1591" t="str">
        <f>Procurement_Raw!L1591</f>
        <v>ERP</v>
      </c>
      <c r="M1591" s="8">
        <f>Procurement_Raw!M1591</f>
        <v>2642.27</v>
      </c>
      <c r="N1591" s="7">
        <f>Procurement_Raw!N1591</f>
        <v>13211.35</v>
      </c>
      <c r="O1591" s="7">
        <f t="shared" si="48"/>
        <v>13211.35</v>
      </c>
      <c r="P1591" t="str">
        <f>IFERROR(INDEX(Supplier_Lookup!$B$2:$B$200,MATCH(E1591,Supplier_Lookup!$A$2:$A$200,0)),"Unmapped")</f>
        <v>Agency Labour</v>
      </c>
      <c r="Q1591" s="10">
        <f>IFERROR(INDEX(Category_Targets!$B$2:$B$9,MATCH(F1591,Category_Targets!$A$2:$A$9,0)),0)</f>
        <v>7.0000000000000007E-2</v>
      </c>
      <c r="R1591" s="7">
        <f t="shared" si="49"/>
        <v>924.79450000000008</v>
      </c>
    </row>
    <row r="1592" spans="1:18" x14ac:dyDescent="0.25">
      <c r="A1592" s="5">
        <f>Procurement_Raw!A1592</f>
        <v>45993</v>
      </c>
      <c r="B1592" t="str">
        <f>Procurement_Raw!B1592</f>
        <v>S005</v>
      </c>
      <c r="C1592" t="str">
        <f>Procurement_Raw!C1592</f>
        <v>Sheffield Care &amp; Education Centre</v>
      </c>
      <c r="D1592" t="str">
        <f>Procurement_Raw!D1592</f>
        <v>North</v>
      </c>
      <c r="E1592" t="str">
        <f>Procurement_Raw!E1592</f>
        <v>TeleCare IT</v>
      </c>
      <c r="F1592" t="str">
        <f>Procurement_Raw!F1592</f>
        <v>IT &amp; Telecoms</v>
      </c>
      <c r="G1592" t="str">
        <f>Procurement_Raw!G1592</f>
        <v>INV-2025-01591</v>
      </c>
      <c r="H1592" s="6">
        <f>Procurement_Raw!H1592</f>
        <v>21</v>
      </c>
      <c r="I1592" s="7">
        <f>Procurement_Raw!I1592</f>
        <v>121.99</v>
      </c>
      <c r="J1592" s="7">
        <f>Procurement_Raw!J1592</f>
        <v>2561.8200000000002</v>
      </c>
      <c r="K1592" s="6">
        <f>Procurement_Raw!K1592</f>
        <v>60</v>
      </c>
      <c r="L1592" t="str">
        <f>Procurement_Raw!L1592</f>
        <v>ERP</v>
      </c>
      <c r="M1592" s="8">
        <f>Procurement_Raw!M1592</f>
        <v>512.36400000000003</v>
      </c>
      <c r="N1592" s="7">
        <f>Procurement_Raw!N1592</f>
        <v>2561.8200000000002</v>
      </c>
      <c r="O1592" s="7">
        <f t="shared" si="48"/>
        <v>2561.8200000000002</v>
      </c>
      <c r="P1592" t="str">
        <f>IFERROR(INDEX(Supplier_Lookup!$B$2:$B$200,MATCH(E1592,Supplier_Lookup!$A$2:$A$200,0)),"Unmapped")</f>
        <v>IT &amp; Telecoms</v>
      </c>
      <c r="Q1592" s="10">
        <f>IFERROR(INDEX(Category_Targets!$B$2:$B$9,MATCH(F1592,Category_Targets!$A$2:$A$9,0)),0)</f>
        <v>0.08</v>
      </c>
      <c r="R1592" s="7">
        <f t="shared" si="49"/>
        <v>204.94560000000001</v>
      </c>
    </row>
    <row r="1593" spans="1:18" x14ac:dyDescent="0.25">
      <c r="A1593" s="5">
        <f>Procurement_Raw!A1593</f>
        <v>45732</v>
      </c>
      <c r="B1593" t="str">
        <f>Procurement_Raw!B1593</f>
        <v>S009</v>
      </c>
      <c r="C1593" t="str">
        <f>Procurement_Raw!C1593</f>
        <v>Derby Care &amp; Education Centre</v>
      </c>
      <c r="D1593" t="str">
        <f>Procurement_Raw!D1593</f>
        <v>Midlands</v>
      </c>
      <c r="E1593" t="str">
        <f>Procurement_Raw!E1593</f>
        <v>LearnWell</v>
      </c>
      <c r="F1593" t="str">
        <f>Procurement_Raw!F1593</f>
        <v>Office &amp; Training</v>
      </c>
      <c r="G1593" t="str">
        <f>Procurement_Raw!G1593</f>
        <v>INV-2025-01592</v>
      </c>
      <c r="H1593" s="6">
        <f>Procurement_Raw!H1593</f>
        <v>27</v>
      </c>
      <c r="I1593" s="7">
        <f>Procurement_Raw!I1593</f>
        <v>15.04</v>
      </c>
      <c r="J1593" s="7">
        <f>Procurement_Raw!J1593</f>
        <v>406.09</v>
      </c>
      <c r="K1593" s="6">
        <f>Procurement_Raw!K1593</f>
        <v>30</v>
      </c>
      <c r="L1593" t="str">
        <f>Procurement_Raw!L1593</f>
        <v>Legacy Spend File</v>
      </c>
      <c r="M1593" s="8">
        <f>Procurement_Raw!M1593</f>
        <v>81.218000000000004</v>
      </c>
      <c r="N1593" s="7">
        <f>Procurement_Raw!N1593</f>
        <v>406.09</v>
      </c>
      <c r="O1593" s="7">
        <f t="shared" si="48"/>
        <v>406.09</v>
      </c>
      <c r="P1593" t="str">
        <f>IFERROR(INDEX(Supplier_Lookup!$B$2:$B$200,MATCH(E1593,Supplier_Lookup!$A$2:$A$200,0)),"Unmapped")</f>
        <v>Office &amp; Training</v>
      </c>
      <c r="Q1593" s="10">
        <f>IFERROR(INDEX(Category_Targets!$B$2:$B$9,MATCH(F1593,Category_Targets!$A$2:$A$9,0)),0)</f>
        <v>0.04</v>
      </c>
      <c r="R1593" s="7">
        <f t="shared" si="49"/>
        <v>16.243600000000001</v>
      </c>
    </row>
    <row r="1594" spans="1:18" x14ac:dyDescent="0.25">
      <c r="A1594" s="5">
        <f>Procurement_Raw!A1594</f>
        <v>45952</v>
      </c>
      <c r="B1594" t="str">
        <f>Procurement_Raw!B1594</f>
        <v>S007</v>
      </c>
      <c r="C1594" t="str">
        <f>Procurement_Raw!C1594</f>
        <v>Nottingham Care &amp; Education Centre</v>
      </c>
      <c r="D1594" t="str">
        <f>Procurement_Raw!D1594</f>
        <v>Midlands</v>
      </c>
      <c r="E1594" t="str">
        <f>Procurement_Raw!E1594</f>
        <v>CareMed</v>
      </c>
      <c r="F1594" t="str">
        <f>Procurement_Raw!F1594</f>
        <v>Medical Supplies</v>
      </c>
      <c r="G1594" t="str">
        <f>Procurement_Raw!G1594</f>
        <v>INV-2025-01593</v>
      </c>
      <c r="H1594" s="6">
        <f>Procurement_Raw!H1594</f>
        <v>14</v>
      </c>
      <c r="I1594" s="7">
        <f>Procurement_Raw!I1594</f>
        <v>152.57</v>
      </c>
      <c r="J1594" s="7">
        <f>Procurement_Raw!J1594</f>
        <v>2135.9299999999998</v>
      </c>
      <c r="K1594" s="6">
        <f>Procurement_Raw!K1594</f>
        <v>60</v>
      </c>
      <c r="L1594" t="str">
        <f>Procurement_Raw!L1594</f>
        <v>ERP</v>
      </c>
      <c r="M1594" s="8">
        <f>Procurement_Raw!M1594</f>
        <v>427.18599999999998</v>
      </c>
      <c r="N1594" s="7">
        <f>Procurement_Raw!N1594</f>
        <v>2135.9299999999998</v>
      </c>
      <c r="O1594" s="7">
        <f t="shared" si="48"/>
        <v>2135.9299999999998</v>
      </c>
      <c r="P1594" t="str">
        <f>IFERROR(INDEX(Supplier_Lookup!$B$2:$B$200,MATCH(E1594,Supplier_Lookup!$A$2:$A$200,0)),"Unmapped")</f>
        <v>Medical Supplies</v>
      </c>
      <c r="Q1594" s="10">
        <f>IFERROR(INDEX(Category_Targets!$B$2:$B$9,MATCH(F1594,Category_Targets!$A$2:$A$9,0)),0)</f>
        <v>0.06</v>
      </c>
      <c r="R1594" s="7">
        <f t="shared" si="49"/>
        <v>128.1558</v>
      </c>
    </row>
    <row r="1595" spans="1:18" x14ac:dyDescent="0.25">
      <c r="A1595" s="5">
        <f>Procurement_Raw!A1595</f>
        <v>45744</v>
      </c>
      <c r="B1595" t="str">
        <f>Procurement_Raw!B1595</f>
        <v>S011</v>
      </c>
      <c r="C1595" t="str">
        <f>Procurement_Raw!C1595</f>
        <v>London Care &amp; Education Centre</v>
      </c>
      <c r="D1595" t="str">
        <f>Procurement_Raw!D1595</f>
        <v>South</v>
      </c>
      <c r="E1595" t="str">
        <f>Procurement_Raw!E1595</f>
        <v>NurseLink</v>
      </c>
      <c r="F1595" t="str">
        <f>Procurement_Raw!F1595</f>
        <v>Agency Labour</v>
      </c>
      <c r="G1595" t="str">
        <f>Procurement_Raw!G1595</f>
        <v>INV-2025-01594</v>
      </c>
      <c r="H1595" s="6">
        <f>Procurement_Raw!H1595</f>
        <v>8</v>
      </c>
      <c r="I1595" s="7">
        <f>Procurement_Raw!I1595</f>
        <v>493.22</v>
      </c>
      <c r="J1595" s="7">
        <f>Procurement_Raw!J1595</f>
        <v>3945.73</v>
      </c>
      <c r="K1595" s="6">
        <f>Procurement_Raw!K1595</f>
        <v>30</v>
      </c>
      <c r="L1595" t="str">
        <f>Procurement_Raw!L1595</f>
        <v>Procurement Portal</v>
      </c>
      <c r="M1595" s="8">
        <f>Procurement_Raw!M1595</f>
        <v>789.14599999999996</v>
      </c>
      <c r="N1595" s="7">
        <f>Procurement_Raw!N1595</f>
        <v>3945.73</v>
      </c>
      <c r="O1595" s="7">
        <f t="shared" si="48"/>
        <v>3945.73</v>
      </c>
      <c r="P1595" t="str">
        <f>IFERROR(INDEX(Supplier_Lookup!$B$2:$B$200,MATCH(E1595,Supplier_Lookup!$A$2:$A$200,0)),"Unmapped")</f>
        <v>Agency Labour</v>
      </c>
      <c r="Q1595" s="10">
        <f>IFERROR(INDEX(Category_Targets!$B$2:$B$9,MATCH(F1595,Category_Targets!$A$2:$A$9,0)),0)</f>
        <v>7.0000000000000007E-2</v>
      </c>
      <c r="R1595" s="7">
        <f t="shared" si="49"/>
        <v>276.20110000000005</v>
      </c>
    </row>
    <row r="1596" spans="1:18" x14ac:dyDescent="0.25">
      <c r="A1596" s="5">
        <f>Procurement_Raw!A1596</f>
        <v>45718</v>
      </c>
      <c r="B1596" t="str">
        <f>Procurement_Raw!B1596</f>
        <v>S014</v>
      </c>
      <c r="C1596" t="str">
        <f>Procurement_Raw!C1596</f>
        <v>Southampton Care &amp; Education Centre</v>
      </c>
      <c r="D1596" t="str">
        <f>Procurement_Raw!D1596</f>
        <v>South</v>
      </c>
      <c r="E1596" t="str">
        <f>Procurement_Raw!E1596</f>
        <v>CleanWorks</v>
      </c>
      <c r="F1596" t="str">
        <f>Procurement_Raw!F1596</f>
        <v>Facilities</v>
      </c>
      <c r="G1596" t="str">
        <f>Procurement_Raw!G1596</f>
        <v>INV-2025-01595</v>
      </c>
      <c r="H1596" s="6">
        <f>Procurement_Raw!H1596</f>
        <v>66</v>
      </c>
      <c r="I1596" s="7">
        <f>Procurement_Raw!I1596</f>
        <v>49.07</v>
      </c>
      <c r="J1596" s="7">
        <f>Procurement_Raw!J1596</f>
        <v>3238.93</v>
      </c>
      <c r="K1596" s="6">
        <f>Procurement_Raw!K1596</f>
        <v>60</v>
      </c>
      <c r="L1596" t="str">
        <f>Procurement_Raw!L1596</f>
        <v>Procurement Portal</v>
      </c>
      <c r="M1596" s="8">
        <f>Procurement_Raw!M1596</f>
        <v>647.78599999999994</v>
      </c>
      <c r="N1596" s="7">
        <f>Procurement_Raw!N1596</f>
        <v>3238.93</v>
      </c>
      <c r="O1596" s="7">
        <f t="shared" si="48"/>
        <v>3238.93</v>
      </c>
      <c r="P1596" t="str">
        <f>IFERROR(INDEX(Supplier_Lookup!$B$2:$B$200,MATCH(E1596,Supplier_Lookup!$A$2:$A$200,0)),"Unmapped")</f>
        <v>Facilities</v>
      </c>
      <c r="Q1596" s="10">
        <f>IFERROR(INDEX(Category_Targets!$B$2:$B$9,MATCH(F1596,Category_Targets!$A$2:$A$9,0)),0)</f>
        <v>0.05</v>
      </c>
      <c r="R1596" s="7">
        <f t="shared" si="49"/>
        <v>161.94650000000001</v>
      </c>
    </row>
    <row r="1597" spans="1:18" x14ac:dyDescent="0.25">
      <c r="A1597" s="5">
        <f>Procurement_Raw!A1597</f>
        <v>45979</v>
      </c>
      <c r="B1597" t="str">
        <f>Procurement_Raw!B1597</f>
        <v>S006</v>
      </c>
      <c r="C1597" t="str">
        <f>Procurement_Raw!C1597</f>
        <v>Birmingham Care &amp; Education Centre</v>
      </c>
      <c r="D1597" t="str">
        <f>Procurement_Raw!D1597</f>
        <v>Midlands</v>
      </c>
      <c r="E1597" t="str">
        <f>Procurement_Raw!E1597</f>
        <v>HealthStaffing</v>
      </c>
      <c r="F1597" t="str">
        <f>Procurement_Raw!F1597</f>
        <v>Agency Labour</v>
      </c>
      <c r="G1597" t="str">
        <f>Procurement_Raw!G1597</f>
        <v>INV-2025-01596</v>
      </c>
      <c r="H1597" s="6">
        <f>Procurement_Raw!H1597</f>
        <v>52</v>
      </c>
      <c r="I1597" s="7">
        <f>Procurement_Raw!I1597</f>
        <v>172.16</v>
      </c>
      <c r="J1597" s="7">
        <f>Procurement_Raw!J1597</f>
        <v>8952.3799999999992</v>
      </c>
      <c r="K1597" s="6">
        <f>Procurement_Raw!K1597</f>
        <v>30</v>
      </c>
      <c r="L1597" t="str">
        <f>Procurement_Raw!L1597</f>
        <v>ERP</v>
      </c>
      <c r="M1597" s="8">
        <f>Procurement_Raw!M1597</f>
        <v>1790.4760000000001</v>
      </c>
      <c r="N1597" s="7">
        <f>Procurement_Raw!N1597</f>
        <v>8952.3799999999992</v>
      </c>
      <c r="O1597" s="7">
        <f t="shared" si="48"/>
        <v>8952.3799999999992</v>
      </c>
      <c r="P1597" t="str">
        <f>IFERROR(INDEX(Supplier_Lookup!$B$2:$B$200,MATCH(E1597,Supplier_Lookup!$A$2:$A$200,0)),"Unmapped")</f>
        <v>Agency Labour</v>
      </c>
      <c r="Q1597" s="10">
        <f>IFERROR(INDEX(Category_Targets!$B$2:$B$9,MATCH(F1597,Category_Targets!$A$2:$A$9,0)),0)</f>
        <v>7.0000000000000007E-2</v>
      </c>
      <c r="R1597" s="7">
        <f t="shared" si="49"/>
        <v>626.66660000000002</v>
      </c>
    </row>
    <row r="1598" spans="1:18" x14ac:dyDescent="0.25">
      <c r="A1598" s="5">
        <f>Procurement_Raw!A1598</f>
        <v>45908</v>
      </c>
      <c r="B1598" t="str">
        <f>Procurement_Raw!B1598</f>
        <v>S006</v>
      </c>
      <c r="C1598" t="str">
        <f>Procurement_Raw!C1598</f>
        <v>Birmingham Care &amp; Education Centre</v>
      </c>
      <c r="D1598" t="str">
        <f>Procurement_Raw!D1598</f>
        <v>Midlands</v>
      </c>
      <c r="E1598" t="str">
        <f>Procurement_Raw!E1598</f>
        <v>WaterGrid</v>
      </c>
      <c r="F1598" t="str">
        <f>Procurement_Raw!F1598</f>
        <v>Utilities</v>
      </c>
      <c r="G1598" t="str">
        <f>Procurement_Raw!G1598</f>
        <v>INV-2025-01597</v>
      </c>
      <c r="H1598" s="6">
        <f>Procurement_Raw!H1598</f>
        <v>39</v>
      </c>
      <c r="I1598" s="7">
        <f>Procurement_Raw!I1598</f>
        <v>351.42</v>
      </c>
      <c r="J1598" s="7">
        <f>Procurement_Raw!J1598</f>
        <v>13705.57</v>
      </c>
      <c r="K1598" s="6">
        <f>Procurement_Raw!K1598</f>
        <v>60</v>
      </c>
      <c r="L1598" t="str">
        <f>Procurement_Raw!L1598</f>
        <v>Legacy Spend File</v>
      </c>
      <c r="M1598" s="8">
        <f>Procurement_Raw!M1598</f>
        <v>2741.114</v>
      </c>
      <c r="N1598" s="7">
        <f>Procurement_Raw!N1598</f>
        <v>13705.57</v>
      </c>
      <c r="O1598" s="7">
        <f t="shared" si="48"/>
        <v>13705.57</v>
      </c>
      <c r="P1598" t="str">
        <f>IFERROR(INDEX(Supplier_Lookup!$B$2:$B$200,MATCH(E1598,Supplier_Lookup!$A$2:$A$200,0)),"Unmapped")</f>
        <v>Utilities</v>
      </c>
      <c r="Q1598" s="10">
        <f>IFERROR(INDEX(Category_Targets!$B$2:$B$9,MATCH(F1598,Category_Targets!$A$2:$A$9,0)),0)</f>
        <v>0.03</v>
      </c>
      <c r="R1598" s="7">
        <f t="shared" si="49"/>
        <v>411.16709999999995</v>
      </c>
    </row>
    <row r="1599" spans="1:18" x14ac:dyDescent="0.25">
      <c r="A1599" s="5">
        <f>Procurement_Raw!A1599</f>
        <v>46001</v>
      </c>
      <c r="B1599" t="str">
        <f>Procurement_Raw!B1599</f>
        <v>S008</v>
      </c>
      <c r="C1599" t="str">
        <f>Procurement_Raw!C1599</f>
        <v>Leicester Care &amp; Education Centre</v>
      </c>
      <c r="D1599" t="str">
        <f>Procurement_Raw!D1599</f>
        <v>Midlands</v>
      </c>
      <c r="E1599" t="str">
        <f>Procurement_Raw!E1599</f>
        <v>NurseLink</v>
      </c>
      <c r="F1599" t="str">
        <f>Procurement_Raw!F1599</f>
        <v>Agency Labour</v>
      </c>
      <c r="G1599" t="str">
        <f>Procurement_Raw!G1599</f>
        <v>INV-2025-01598</v>
      </c>
      <c r="H1599" s="6">
        <f>Procurement_Raw!H1599</f>
        <v>12</v>
      </c>
      <c r="I1599" s="7">
        <f>Procurement_Raw!I1599</f>
        <v>930.2</v>
      </c>
      <c r="J1599" s="7">
        <f>Procurement_Raw!J1599</f>
        <v>11162.46</v>
      </c>
      <c r="K1599" s="6">
        <f>Procurement_Raw!K1599</f>
        <v>45</v>
      </c>
      <c r="L1599" t="str">
        <f>Procurement_Raw!L1599</f>
        <v>Legacy Spend File</v>
      </c>
      <c r="M1599" s="8">
        <f>Procurement_Raw!M1599</f>
        <v>2232.4920000000002</v>
      </c>
      <c r="N1599" s="7">
        <f>Procurement_Raw!N1599</f>
        <v>11162.46</v>
      </c>
      <c r="O1599" s="7">
        <f t="shared" si="48"/>
        <v>11162.46</v>
      </c>
      <c r="P1599" t="str">
        <f>IFERROR(INDEX(Supplier_Lookup!$B$2:$B$200,MATCH(E1599,Supplier_Lookup!$A$2:$A$200,0)),"Unmapped")</f>
        <v>Agency Labour</v>
      </c>
      <c r="Q1599" s="10">
        <f>IFERROR(INDEX(Category_Targets!$B$2:$B$9,MATCH(F1599,Category_Targets!$A$2:$A$9,0)),0)</f>
        <v>7.0000000000000007E-2</v>
      </c>
      <c r="R1599" s="7">
        <f t="shared" si="49"/>
        <v>781.37220000000002</v>
      </c>
    </row>
    <row r="1600" spans="1:18" x14ac:dyDescent="0.25">
      <c r="A1600" s="5">
        <f>Procurement_Raw!A1600</f>
        <v>45992</v>
      </c>
      <c r="B1600" t="str">
        <f>Procurement_Raw!B1600</f>
        <v>S013</v>
      </c>
      <c r="C1600" t="str">
        <f>Procurement_Raw!C1600</f>
        <v>Reading Care &amp; Education Centre</v>
      </c>
      <c r="D1600" t="str">
        <f>Procurement_Raw!D1600</f>
        <v>South</v>
      </c>
      <c r="E1600" t="str">
        <f>Procurement_Raw!E1600</f>
        <v>NetServe</v>
      </c>
      <c r="F1600" t="str">
        <f>Procurement_Raw!F1600</f>
        <v>IT &amp; Telecoms</v>
      </c>
      <c r="G1600" t="str">
        <f>Procurement_Raw!G1600</f>
        <v>INV-2025-01599</v>
      </c>
      <c r="H1600" s="6">
        <f>Procurement_Raw!H1600</f>
        <v>57</v>
      </c>
      <c r="I1600" s="7">
        <f>Procurement_Raw!I1600</f>
        <v>222.53</v>
      </c>
      <c r="J1600" s="7">
        <f>Procurement_Raw!J1600</f>
        <v>12684.24</v>
      </c>
      <c r="K1600" s="6">
        <f>Procurement_Raw!K1600</f>
        <v>45</v>
      </c>
      <c r="L1600" t="str">
        <f>Procurement_Raw!L1600</f>
        <v>ERP</v>
      </c>
      <c r="M1600" s="8">
        <f>Procurement_Raw!M1600</f>
        <v>2536.848</v>
      </c>
      <c r="N1600" s="7">
        <f>Procurement_Raw!N1600</f>
        <v>12684.24</v>
      </c>
      <c r="O1600" s="7">
        <f t="shared" si="48"/>
        <v>12684.24</v>
      </c>
      <c r="P1600" t="str">
        <f>IFERROR(INDEX(Supplier_Lookup!$B$2:$B$200,MATCH(E1600,Supplier_Lookup!$A$2:$A$200,0)),"Unmapped")</f>
        <v>IT &amp; Telecoms</v>
      </c>
      <c r="Q1600" s="10">
        <f>IFERROR(INDEX(Category_Targets!$B$2:$B$9,MATCH(F1600,Category_Targets!$A$2:$A$9,0)),0)</f>
        <v>0.08</v>
      </c>
      <c r="R1600" s="7">
        <f t="shared" si="49"/>
        <v>1014.7392</v>
      </c>
    </row>
    <row r="1601" spans="1:18" x14ac:dyDescent="0.25">
      <c r="A1601" s="5">
        <f>Procurement_Raw!A1601</f>
        <v>45720</v>
      </c>
      <c r="B1601" t="str">
        <f>Procurement_Raw!B1601</f>
        <v>S006</v>
      </c>
      <c r="C1601" t="str">
        <f>Procurement_Raw!C1601</f>
        <v>Birmingham Care &amp; Education Centre</v>
      </c>
      <c r="D1601" t="str">
        <f>Procurement_Raw!D1601</f>
        <v>Midlands</v>
      </c>
      <c r="E1601" t="str">
        <f>Procurement_Raw!E1601</f>
        <v>FreshServe</v>
      </c>
      <c r="F1601" t="str">
        <f>Procurement_Raw!F1601</f>
        <v>Food &amp; Catering</v>
      </c>
      <c r="G1601" t="str">
        <f>Procurement_Raw!G1601</f>
        <v>INV-2025-01600</v>
      </c>
      <c r="H1601" s="6">
        <f>Procurement_Raw!H1601</f>
        <v>63</v>
      </c>
      <c r="I1601" s="7">
        <f>Procurement_Raw!I1601</f>
        <v>43.55</v>
      </c>
      <c r="J1601" s="7">
        <f>Procurement_Raw!J1601</f>
        <v>2743.86</v>
      </c>
      <c r="K1601" s="6">
        <f>Procurement_Raw!K1601</f>
        <v>60</v>
      </c>
      <c r="L1601" t="str">
        <f>Procurement_Raw!L1601</f>
        <v>Legacy Spend File</v>
      </c>
      <c r="M1601" s="8">
        <f>Procurement_Raw!M1601</f>
        <v>548.77200000000005</v>
      </c>
      <c r="N1601" s="7">
        <f>Procurement_Raw!N1601</f>
        <v>2743.86</v>
      </c>
      <c r="O1601" s="7">
        <f t="shared" si="48"/>
        <v>2743.86</v>
      </c>
      <c r="P1601" t="str">
        <f>IFERROR(INDEX(Supplier_Lookup!$B$2:$B$200,MATCH(E1601,Supplier_Lookup!$A$2:$A$200,0)),"Unmapped")</f>
        <v>Food &amp; Catering</v>
      </c>
      <c r="Q1601" s="10">
        <f>IFERROR(INDEX(Category_Targets!$B$2:$B$9,MATCH(F1601,Category_Targets!$A$2:$A$9,0)),0)</f>
        <v>0.04</v>
      </c>
      <c r="R1601" s="7">
        <f t="shared" si="49"/>
        <v>109.7544</v>
      </c>
    </row>
    <row r="1602" spans="1:18" x14ac:dyDescent="0.25">
      <c r="A1602" s="5">
        <f>Procurement_Raw!A1602</f>
        <v>45958</v>
      </c>
      <c r="B1602" t="str">
        <f>Procurement_Raw!B1602</f>
        <v>S016</v>
      </c>
      <c r="C1602" t="str">
        <f>Procurement_Raw!C1602</f>
        <v>Cardiff Care &amp; Education Centre</v>
      </c>
      <c r="D1602" t="str">
        <f>Procurement_Raw!D1602</f>
        <v>Wales</v>
      </c>
      <c r="E1602" t="str">
        <f>Procurement_Raw!E1602</f>
        <v>UK Energy Partners</v>
      </c>
      <c r="F1602" t="str">
        <f>Procurement_Raw!F1602</f>
        <v>Utilities</v>
      </c>
      <c r="G1602" t="str">
        <f>Procurement_Raw!G1602</f>
        <v>INV-2025-01601</v>
      </c>
      <c r="H1602" s="6">
        <f>Procurement_Raw!H1602</f>
        <v>74</v>
      </c>
      <c r="I1602" s="7">
        <f>Procurement_Raw!I1602</f>
        <v>226.08</v>
      </c>
      <c r="J1602" s="7">
        <f>Procurement_Raw!J1602</f>
        <v>16729.57</v>
      </c>
      <c r="K1602" s="6">
        <f>Procurement_Raw!K1602</f>
        <v>60</v>
      </c>
      <c r="L1602" t="str">
        <f>Procurement_Raw!L1602</f>
        <v>Procurement Portal</v>
      </c>
      <c r="M1602" s="8">
        <f>Procurement_Raw!M1602</f>
        <v>3345.9140000000002</v>
      </c>
      <c r="N1602" s="7">
        <f>Procurement_Raw!N1602</f>
        <v>16729.57</v>
      </c>
      <c r="O1602" s="7">
        <f t="shared" ref="O1602:O1665" si="50">IFERROR(IF(J1602="","",J1602),0)</f>
        <v>16729.57</v>
      </c>
      <c r="P1602" t="str">
        <f>IFERROR(INDEX(Supplier_Lookup!$B$2:$B$200,MATCH(E1602,Supplier_Lookup!$A$2:$A$200,0)),"Unmapped")</f>
        <v>Utilities</v>
      </c>
      <c r="Q1602" s="10">
        <f>IFERROR(INDEX(Category_Targets!$B$2:$B$9,MATCH(F1602,Category_Targets!$A$2:$A$9,0)),0)</f>
        <v>0.03</v>
      </c>
      <c r="R1602" s="7">
        <f t="shared" ref="R1602:R1665" si="51">O1602*Q1602</f>
        <v>501.88709999999998</v>
      </c>
    </row>
    <row r="1603" spans="1:18" x14ac:dyDescent="0.25">
      <c r="A1603" s="5">
        <f>Procurement_Raw!A1603</f>
        <v>45750</v>
      </c>
      <c r="B1603" t="str">
        <f>Procurement_Raw!B1603</f>
        <v>S014</v>
      </c>
      <c r="C1603" t="str">
        <f>Procurement_Raw!C1603</f>
        <v>Southampton Care &amp; Education Centre</v>
      </c>
      <c r="D1603" t="str">
        <f>Procurement_Raw!D1603</f>
        <v>South</v>
      </c>
      <c r="E1603" t="str">
        <f>Procurement_Raw!E1603</f>
        <v>KitchenPro</v>
      </c>
      <c r="F1603" t="str">
        <f>Procurement_Raw!F1603</f>
        <v>Food &amp; Catering</v>
      </c>
      <c r="G1603" t="str">
        <f>Procurement_Raw!G1603</f>
        <v>INV-2025-01602</v>
      </c>
      <c r="H1603" s="6">
        <f>Procurement_Raw!H1603</f>
        <v>50</v>
      </c>
      <c r="I1603" s="7">
        <f>Procurement_Raw!I1603</f>
        <v>138.46</v>
      </c>
      <c r="J1603" s="7">
        <f>Procurement_Raw!J1603</f>
        <v>6922.92</v>
      </c>
      <c r="K1603" s="6">
        <f>Procurement_Raw!K1603</f>
        <v>45</v>
      </c>
      <c r="L1603" t="str">
        <f>Procurement_Raw!L1603</f>
        <v>Legacy Spend File</v>
      </c>
      <c r="M1603" s="8">
        <f>Procurement_Raw!M1603</f>
        <v>1384.5840000000001</v>
      </c>
      <c r="N1603" s="7">
        <f>Procurement_Raw!N1603</f>
        <v>6922.92</v>
      </c>
      <c r="O1603" s="7">
        <f t="shared" si="50"/>
        <v>6922.92</v>
      </c>
      <c r="P1603" t="str">
        <f>IFERROR(INDEX(Supplier_Lookup!$B$2:$B$200,MATCH(E1603,Supplier_Lookup!$A$2:$A$200,0)),"Unmapped")</f>
        <v>Food &amp; Catering</v>
      </c>
      <c r="Q1603" s="10">
        <f>IFERROR(INDEX(Category_Targets!$B$2:$B$9,MATCH(F1603,Category_Targets!$A$2:$A$9,0)),0)</f>
        <v>0.04</v>
      </c>
      <c r="R1603" s="7">
        <f t="shared" si="51"/>
        <v>276.91680000000002</v>
      </c>
    </row>
    <row r="1604" spans="1:18" x14ac:dyDescent="0.25">
      <c r="A1604" s="5">
        <f>Procurement_Raw!A1604</f>
        <v>45950</v>
      </c>
      <c r="B1604" t="str">
        <f>Procurement_Raw!B1604</f>
        <v>S006</v>
      </c>
      <c r="C1604" t="str">
        <f>Procurement_Raw!C1604</f>
        <v>Birmingham Care &amp; Education Centre</v>
      </c>
      <c r="D1604" t="str">
        <f>Procurement_Raw!D1604</f>
        <v>Midlands</v>
      </c>
      <c r="E1604" t="str">
        <f>Procurement_Raw!E1604</f>
        <v>CareTemps</v>
      </c>
      <c r="F1604" t="str">
        <f>Procurement_Raw!F1604</f>
        <v>Agency Labour</v>
      </c>
      <c r="G1604" t="str">
        <f>Procurement_Raw!G1604</f>
        <v>INV-2025-01603</v>
      </c>
      <c r="H1604" s="6">
        <f>Procurement_Raw!H1604</f>
        <v>17</v>
      </c>
      <c r="I1604" s="7">
        <f>Procurement_Raw!I1604</f>
        <v>210.29</v>
      </c>
      <c r="J1604" s="7">
        <f>Procurement_Raw!J1604</f>
        <v>3574.98</v>
      </c>
      <c r="K1604" s="6">
        <f>Procurement_Raw!K1604</f>
        <v>30</v>
      </c>
      <c r="L1604" t="str">
        <f>Procurement_Raw!L1604</f>
        <v>Procurement Portal</v>
      </c>
      <c r="M1604" s="8">
        <f>Procurement_Raw!M1604</f>
        <v>714.99599999999998</v>
      </c>
      <c r="N1604" s="7">
        <f>Procurement_Raw!N1604</f>
        <v>3574.98</v>
      </c>
      <c r="O1604" s="7">
        <f t="shared" si="50"/>
        <v>3574.98</v>
      </c>
      <c r="P1604" t="str">
        <f>IFERROR(INDEX(Supplier_Lookup!$B$2:$B$200,MATCH(E1604,Supplier_Lookup!$A$2:$A$200,0)),"Unmapped")</f>
        <v>Agency Labour</v>
      </c>
      <c r="Q1604" s="10">
        <f>IFERROR(INDEX(Category_Targets!$B$2:$B$9,MATCH(F1604,Category_Targets!$A$2:$A$9,0)),0)</f>
        <v>7.0000000000000007E-2</v>
      </c>
      <c r="R1604" s="7">
        <f t="shared" si="51"/>
        <v>250.24860000000004</v>
      </c>
    </row>
    <row r="1605" spans="1:18" x14ac:dyDescent="0.25">
      <c r="A1605" s="5">
        <f>Procurement_Raw!A1605</f>
        <v>46016</v>
      </c>
      <c r="B1605" t="str">
        <f>Procurement_Raw!B1605</f>
        <v>S008</v>
      </c>
      <c r="C1605" t="str">
        <f>Procurement_Raw!C1605</f>
        <v>Leicester Care &amp; Education Centre</v>
      </c>
      <c r="D1605" t="str">
        <f>Procurement_Raw!D1605</f>
        <v>Midlands</v>
      </c>
      <c r="E1605" t="str">
        <f>Procurement_Raw!E1605</f>
        <v>SafeGuard FM</v>
      </c>
      <c r="F1605" t="str">
        <f>Procurement_Raw!F1605</f>
        <v>Facilities</v>
      </c>
      <c r="G1605" t="str">
        <f>Procurement_Raw!G1605</f>
        <v>INV-2025-01604</v>
      </c>
      <c r="H1605" s="6">
        <f>Procurement_Raw!H1605</f>
        <v>3</v>
      </c>
      <c r="I1605" s="7">
        <f>Procurement_Raw!I1605</f>
        <v>115.98</v>
      </c>
      <c r="J1605" s="7">
        <f>Procurement_Raw!J1605</f>
        <v>347.93</v>
      </c>
      <c r="K1605" s="6">
        <f>Procurement_Raw!K1605</f>
        <v>45</v>
      </c>
      <c r="L1605" t="str">
        <f>Procurement_Raw!L1605</f>
        <v>Legacy Spend File</v>
      </c>
      <c r="M1605" s="8">
        <f>Procurement_Raw!M1605</f>
        <v>69.585999999999999</v>
      </c>
      <c r="N1605" s="7">
        <f>Procurement_Raw!N1605</f>
        <v>347.93</v>
      </c>
      <c r="O1605" s="7">
        <f t="shared" si="50"/>
        <v>347.93</v>
      </c>
      <c r="P1605" t="str">
        <f>IFERROR(INDEX(Supplier_Lookup!$B$2:$B$200,MATCH(E1605,Supplier_Lookup!$A$2:$A$200,0)),"Unmapped")</f>
        <v>Facilities</v>
      </c>
      <c r="Q1605" s="10">
        <f>IFERROR(INDEX(Category_Targets!$B$2:$B$9,MATCH(F1605,Category_Targets!$A$2:$A$9,0)),0)</f>
        <v>0.05</v>
      </c>
      <c r="R1605" s="7">
        <f t="shared" si="51"/>
        <v>17.3965</v>
      </c>
    </row>
    <row r="1606" spans="1:18" x14ac:dyDescent="0.25">
      <c r="A1606" s="5">
        <f>Procurement_Raw!A1606</f>
        <v>45923</v>
      </c>
      <c r="B1606" t="str">
        <f>Procurement_Raw!B1606</f>
        <v>S009</v>
      </c>
      <c r="C1606" t="str">
        <f>Procurement_Raw!C1606</f>
        <v>Derby Care &amp; Education Centre</v>
      </c>
      <c r="D1606" t="str">
        <f>Procurement_Raw!D1606</f>
        <v>Midlands</v>
      </c>
      <c r="E1606" t="str">
        <f>Procurement_Raw!E1606</f>
        <v>OfficePlus</v>
      </c>
      <c r="F1606" t="str">
        <f>Procurement_Raw!F1606</f>
        <v>Office &amp; Training</v>
      </c>
      <c r="G1606" t="str">
        <f>Procurement_Raw!G1606</f>
        <v>INV-2025-01605</v>
      </c>
      <c r="H1606" s="6">
        <f>Procurement_Raw!H1606</f>
        <v>75</v>
      </c>
      <c r="I1606" s="7">
        <f>Procurement_Raw!I1606</f>
        <v>57.51</v>
      </c>
      <c r="J1606" s="7">
        <f>Procurement_Raw!J1606</f>
        <v>4313.34</v>
      </c>
      <c r="K1606" s="6">
        <f>Procurement_Raw!K1606</f>
        <v>60</v>
      </c>
      <c r="L1606" t="str">
        <f>Procurement_Raw!L1606</f>
        <v>Legacy Spend File</v>
      </c>
      <c r="M1606" s="8">
        <f>Procurement_Raw!M1606</f>
        <v>862.66800000000001</v>
      </c>
      <c r="N1606" s="7">
        <f>Procurement_Raw!N1606</f>
        <v>4313.34</v>
      </c>
      <c r="O1606" s="7">
        <f t="shared" si="50"/>
        <v>4313.34</v>
      </c>
      <c r="P1606" t="str">
        <f>IFERROR(INDEX(Supplier_Lookup!$B$2:$B$200,MATCH(E1606,Supplier_Lookup!$A$2:$A$200,0)),"Unmapped")</f>
        <v>Office &amp; Training</v>
      </c>
      <c r="Q1606" s="10">
        <f>IFERROR(INDEX(Category_Targets!$B$2:$B$9,MATCH(F1606,Category_Targets!$A$2:$A$9,0)),0)</f>
        <v>0.04</v>
      </c>
      <c r="R1606" s="7">
        <f t="shared" si="51"/>
        <v>172.53360000000001</v>
      </c>
    </row>
    <row r="1607" spans="1:18" x14ac:dyDescent="0.25">
      <c r="A1607" s="5">
        <f>Procurement_Raw!A1607</f>
        <v>45995</v>
      </c>
      <c r="B1607" t="str">
        <f>Procurement_Raw!B1607</f>
        <v>S016</v>
      </c>
      <c r="C1607" t="str">
        <f>Procurement_Raw!C1607</f>
        <v>Cardiff Care &amp; Education Centre</v>
      </c>
      <c r="D1607" t="str">
        <f>Procurement_Raw!D1607</f>
        <v>Wales</v>
      </c>
      <c r="E1607" t="str">
        <f>Procurement_Raw!E1607</f>
        <v>FreshServe</v>
      </c>
      <c r="F1607" t="str">
        <f>Procurement_Raw!F1607</f>
        <v>Food &amp; Catering</v>
      </c>
      <c r="G1607" t="str">
        <f>Procurement_Raw!G1607</f>
        <v>INV-2025-01606</v>
      </c>
      <c r="H1607" s="6">
        <f>Procurement_Raw!H1607</f>
        <v>16</v>
      </c>
      <c r="I1607" s="7">
        <f>Procurement_Raw!I1607</f>
        <v>38.479999999999997</v>
      </c>
      <c r="J1607" s="7">
        <f>Procurement_Raw!J1607</f>
        <v>615.63</v>
      </c>
      <c r="K1607" s="6">
        <f>Procurement_Raw!K1607</f>
        <v>30</v>
      </c>
      <c r="L1607" t="str">
        <f>Procurement_Raw!L1607</f>
        <v>Legacy Spend File</v>
      </c>
      <c r="M1607" s="8">
        <f>Procurement_Raw!M1607</f>
        <v>123.126</v>
      </c>
      <c r="N1607" s="7">
        <f>Procurement_Raw!N1607</f>
        <v>615.63</v>
      </c>
      <c r="O1607" s="7">
        <f t="shared" si="50"/>
        <v>615.63</v>
      </c>
      <c r="P1607" t="str">
        <f>IFERROR(INDEX(Supplier_Lookup!$B$2:$B$200,MATCH(E1607,Supplier_Lookup!$A$2:$A$200,0)),"Unmapped")</f>
        <v>Food &amp; Catering</v>
      </c>
      <c r="Q1607" s="10">
        <f>IFERROR(INDEX(Category_Targets!$B$2:$B$9,MATCH(F1607,Category_Targets!$A$2:$A$9,0)),0)</f>
        <v>0.04</v>
      </c>
      <c r="R1607" s="7">
        <f t="shared" si="51"/>
        <v>24.6252</v>
      </c>
    </row>
    <row r="1608" spans="1:18" x14ac:dyDescent="0.25">
      <c r="A1608" s="5">
        <f>Procurement_Raw!A1608</f>
        <v>45942</v>
      </c>
      <c r="B1608" t="str">
        <f>Procurement_Raw!B1608</f>
        <v>S011</v>
      </c>
      <c r="C1608" t="str">
        <f>Procurement_Raw!C1608</f>
        <v>London Care &amp; Education Centre</v>
      </c>
      <c r="D1608" t="str">
        <f>Procurement_Raw!D1608</f>
        <v>South</v>
      </c>
      <c r="E1608" t="str">
        <f>Procurement_Raw!E1608</f>
        <v>CleanWorks</v>
      </c>
      <c r="F1608" t="str">
        <f>Procurement_Raw!F1608</f>
        <v>Facilities</v>
      </c>
      <c r="G1608" t="str">
        <f>Procurement_Raw!G1608</f>
        <v>INV-2025-01607</v>
      </c>
      <c r="H1608" s="6">
        <f>Procurement_Raw!H1608</f>
        <v>58</v>
      </c>
      <c r="I1608" s="7">
        <f>Procurement_Raw!I1608</f>
        <v>192.56</v>
      </c>
      <c r="J1608" s="7">
        <f>Procurement_Raw!J1608</f>
        <v>11168.68</v>
      </c>
      <c r="K1608" s="6">
        <f>Procurement_Raw!K1608</f>
        <v>45</v>
      </c>
      <c r="L1608" t="str">
        <f>Procurement_Raw!L1608</f>
        <v>ERP</v>
      </c>
      <c r="M1608" s="8">
        <f>Procurement_Raw!M1608</f>
        <v>2233.7359999999999</v>
      </c>
      <c r="N1608" s="7">
        <f>Procurement_Raw!N1608</f>
        <v>11168.68</v>
      </c>
      <c r="O1608" s="7">
        <f t="shared" si="50"/>
        <v>11168.68</v>
      </c>
      <c r="P1608" t="str">
        <f>IFERROR(INDEX(Supplier_Lookup!$B$2:$B$200,MATCH(E1608,Supplier_Lookup!$A$2:$A$200,0)),"Unmapped")</f>
        <v>Facilities</v>
      </c>
      <c r="Q1608" s="10">
        <f>IFERROR(INDEX(Category_Targets!$B$2:$B$9,MATCH(F1608,Category_Targets!$A$2:$A$9,0)),0)</f>
        <v>0.05</v>
      </c>
      <c r="R1608" s="7">
        <f t="shared" si="51"/>
        <v>558.43400000000008</v>
      </c>
    </row>
    <row r="1609" spans="1:18" x14ac:dyDescent="0.25">
      <c r="A1609" s="5">
        <f>Procurement_Raw!A1609</f>
        <v>45763</v>
      </c>
      <c r="B1609" t="str">
        <f>Procurement_Raw!B1609</f>
        <v>S019</v>
      </c>
      <c r="C1609" t="str">
        <f>Procurement_Raw!C1609</f>
        <v>Wrexham Care &amp; Education Centre</v>
      </c>
      <c r="D1609" t="str">
        <f>Procurement_Raw!D1609</f>
        <v>Wales</v>
      </c>
      <c r="E1609" t="str">
        <f>Procurement_Raw!E1609</f>
        <v>BuildCare</v>
      </c>
      <c r="F1609" t="str">
        <f>Procurement_Raw!F1609</f>
        <v>Facilities</v>
      </c>
      <c r="G1609" t="str">
        <f>Procurement_Raw!G1609</f>
        <v>INV-2025-01608</v>
      </c>
      <c r="H1609" s="6">
        <f>Procurement_Raw!H1609</f>
        <v>21</v>
      </c>
      <c r="I1609" s="7">
        <f>Procurement_Raw!I1609</f>
        <v>439.89</v>
      </c>
      <c r="J1609" s="7">
        <f>Procurement_Raw!J1609</f>
        <v>9237.74</v>
      </c>
      <c r="K1609" s="6">
        <f>Procurement_Raw!K1609</f>
        <v>30</v>
      </c>
      <c r="L1609" t="str">
        <f>Procurement_Raw!L1609</f>
        <v>Legacy Spend File</v>
      </c>
      <c r="M1609" s="8">
        <f>Procurement_Raw!M1609</f>
        <v>1847.548</v>
      </c>
      <c r="N1609" s="7">
        <f>Procurement_Raw!N1609</f>
        <v>9237.74</v>
      </c>
      <c r="O1609" s="7">
        <f t="shared" si="50"/>
        <v>9237.74</v>
      </c>
      <c r="P1609" t="str">
        <f>IFERROR(INDEX(Supplier_Lookup!$B$2:$B$200,MATCH(E1609,Supplier_Lookup!$A$2:$A$200,0)),"Unmapped")</f>
        <v>Facilities</v>
      </c>
      <c r="Q1609" s="10">
        <f>IFERROR(INDEX(Category_Targets!$B$2:$B$9,MATCH(F1609,Category_Targets!$A$2:$A$9,0)),0)</f>
        <v>0.05</v>
      </c>
      <c r="R1609" s="7">
        <f t="shared" si="51"/>
        <v>461.887</v>
      </c>
    </row>
    <row r="1610" spans="1:18" x14ac:dyDescent="0.25">
      <c r="A1610" s="5">
        <f>Procurement_Raw!A1610</f>
        <v>45721</v>
      </c>
      <c r="B1610" t="str">
        <f>Procurement_Raw!B1610</f>
        <v>S011</v>
      </c>
      <c r="C1610" t="str">
        <f>Procurement_Raw!C1610</f>
        <v>London Care &amp; Education Centre</v>
      </c>
      <c r="D1610" t="str">
        <f>Procurement_Raw!D1610</f>
        <v>South</v>
      </c>
      <c r="E1610" t="str">
        <f>Procurement_Raw!E1610</f>
        <v>MediSure</v>
      </c>
      <c r="F1610" t="str">
        <f>Procurement_Raw!F1610</f>
        <v>Medical Supplies</v>
      </c>
      <c r="G1610" t="str">
        <f>Procurement_Raw!G1610</f>
        <v>INV-2025-01609</v>
      </c>
      <c r="H1610" s="6">
        <f>Procurement_Raw!H1610</f>
        <v>65</v>
      </c>
      <c r="I1610" s="7">
        <f>Procurement_Raw!I1610</f>
        <v>143.34</v>
      </c>
      <c r="J1610" s="7">
        <f>Procurement_Raw!J1610</f>
        <v>9316.7800000000007</v>
      </c>
      <c r="K1610" s="6">
        <f>Procurement_Raw!K1610</f>
        <v>45</v>
      </c>
      <c r="L1610" t="str">
        <f>Procurement_Raw!L1610</f>
        <v>Procurement Portal</v>
      </c>
      <c r="M1610" s="8">
        <f>Procurement_Raw!M1610</f>
        <v>1863.356</v>
      </c>
      <c r="N1610" s="7">
        <f>Procurement_Raw!N1610</f>
        <v>9316.7800000000007</v>
      </c>
      <c r="O1610" s="7">
        <f t="shared" si="50"/>
        <v>9316.7800000000007</v>
      </c>
      <c r="P1610" t="str">
        <f>IFERROR(INDEX(Supplier_Lookup!$B$2:$B$200,MATCH(E1610,Supplier_Lookup!$A$2:$A$200,0)),"Unmapped")</f>
        <v>Medical Supplies</v>
      </c>
      <c r="Q1610" s="10">
        <f>IFERROR(INDEX(Category_Targets!$B$2:$B$9,MATCH(F1610,Category_Targets!$A$2:$A$9,0)),0)</f>
        <v>0.06</v>
      </c>
      <c r="R1610" s="7">
        <f t="shared" si="51"/>
        <v>559.0068</v>
      </c>
    </row>
    <row r="1611" spans="1:18" x14ac:dyDescent="0.25">
      <c r="A1611" s="5">
        <f>Procurement_Raw!A1611</f>
        <v>45994</v>
      </c>
      <c r="B1611" t="str">
        <f>Procurement_Raw!B1611</f>
        <v>S019</v>
      </c>
      <c r="C1611" t="str">
        <f>Procurement_Raw!C1611</f>
        <v>Wrexham Care &amp; Education Centre</v>
      </c>
      <c r="D1611" t="str">
        <f>Procurement_Raw!D1611</f>
        <v>Wales</v>
      </c>
      <c r="E1611" t="str">
        <f>Procurement_Raw!E1611</f>
        <v>SafeGuard FM</v>
      </c>
      <c r="F1611" t="str">
        <f>Procurement_Raw!F1611</f>
        <v>Facilities</v>
      </c>
      <c r="G1611" t="str">
        <f>Procurement_Raw!G1611</f>
        <v>INV-2025-01610</v>
      </c>
      <c r="H1611" s="6">
        <f>Procurement_Raw!H1611</f>
        <v>1</v>
      </c>
      <c r="I1611" s="7">
        <f>Procurement_Raw!I1611</f>
        <v>156.66999999999999</v>
      </c>
      <c r="J1611" s="7">
        <f>Procurement_Raw!J1611</f>
        <v>156.66999999999999</v>
      </c>
      <c r="K1611" s="6">
        <f>Procurement_Raw!K1611</f>
        <v>30</v>
      </c>
      <c r="L1611" t="str">
        <f>Procurement_Raw!L1611</f>
        <v>Procurement Portal</v>
      </c>
      <c r="M1611" s="8">
        <f>Procurement_Raw!M1611</f>
        <v>31.334</v>
      </c>
      <c r="N1611" s="7">
        <f>Procurement_Raw!N1611</f>
        <v>156.66999999999999</v>
      </c>
      <c r="O1611" s="7">
        <f t="shared" si="50"/>
        <v>156.66999999999999</v>
      </c>
      <c r="P1611" t="str">
        <f>IFERROR(INDEX(Supplier_Lookup!$B$2:$B$200,MATCH(E1611,Supplier_Lookup!$A$2:$A$200,0)),"Unmapped")</f>
        <v>Facilities</v>
      </c>
      <c r="Q1611" s="10">
        <f>IFERROR(INDEX(Category_Targets!$B$2:$B$9,MATCH(F1611,Category_Targets!$A$2:$A$9,0)),0)</f>
        <v>0.05</v>
      </c>
      <c r="R1611" s="7">
        <f t="shared" si="51"/>
        <v>7.8334999999999999</v>
      </c>
    </row>
    <row r="1612" spans="1:18" x14ac:dyDescent="0.25">
      <c r="A1612" s="5">
        <f>Procurement_Raw!A1612</f>
        <v>45931</v>
      </c>
      <c r="B1612" t="str">
        <f>Procurement_Raw!B1612</f>
        <v>S007</v>
      </c>
      <c r="C1612" t="str">
        <f>Procurement_Raw!C1612</f>
        <v>Nottingham Care &amp; Education Centre</v>
      </c>
      <c r="D1612" t="str">
        <f>Procurement_Raw!D1612</f>
        <v>Midlands</v>
      </c>
      <c r="E1612" t="str">
        <f>Procurement_Raw!E1612</f>
        <v>NetServe</v>
      </c>
      <c r="F1612" t="str">
        <f>Procurement_Raw!F1612</f>
        <v>IT &amp; Telecoms</v>
      </c>
      <c r="G1612" t="str">
        <f>Procurement_Raw!G1612</f>
        <v>INV-2025-01611</v>
      </c>
      <c r="H1612" s="6">
        <f>Procurement_Raw!H1612</f>
        <v>57</v>
      </c>
      <c r="I1612" s="7">
        <f>Procurement_Raw!I1612</f>
        <v>187.38</v>
      </c>
      <c r="J1612" s="7">
        <f>Procurement_Raw!J1612</f>
        <v>10680.58</v>
      </c>
      <c r="K1612" s="6">
        <f>Procurement_Raw!K1612</f>
        <v>30</v>
      </c>
      <c r="L1612" t="str">
        <f>Procurement_Raw!L1612</f>
        <v>Legacy Spend File</v>
      </c>
      <c r="M1612" s="8">
        <f>Procurement_Raw!M1612</f>
        <v>2136.116</v>
      </c>
      <c r="N1612" s="7">
        <f>Procurement_Raw!N1612</f>
        <v>10680.58</v>
      </c>
      <c r="O1612" s="7">
        <f t="shared" si="50"/>
        <v>10680.58</v>
      </c>
      <c r="P1612" t="str">
        <f>IFERROR(INDEX(Supplier_Lookup!$B$2:$B$200,MATCH(E1612,Supplier_Lookup!$A$2:$A$200,0)),"Unmapped")</f>
        <v>IT &amp; Telecoms</v>
      </c>
      <c r="Q1612" s="10">
        <f>IFERROR(INDEX(Category_Targets!$B$2:$B$9,MATCH(F1612,Category_Targets!$A$2:$A$9,0)),0)</f>
        <v>0.08</v>
      </c>
      <c r="R1612" s="7">
        <f t="shared" si="51"/>
        <v>854.44640000000004</v>
      </c>
    </row>
    <row r="1613" spans="1:18" x14ac:dyDescent="0.25">
      <c r="A1613" s="5">
        <f>Procurement_Raw!A1613</f>
        <v>45838</v>
      </c>
      <c r="B1613" t="str">
        <f>Procurement_Raw!B1613</f>
        <v>S002</v>
      </c>
      <c r="C1613" t="str">
        <f>Procurement_Raw!C1613</f>
        <v>Manchester Care &amp; Education Centre</v>
      </c>
      <c r="D1613" t="str">
        <f>Procurement_Raw!D1613</f>
        <v>North</v>
      </c>
      <c r="E1613" t="str">
        <f>Procurement_Raw!E1613</f>
        <v>AutoCare</v>
      </c>
      <c r="F1613" t="str">
        <f>Procurement_Raw!F1613</f>
        <v>Vehicle &amp; Fuel</v>
      </c>
      <c r="G1613" t="str">
        <f>Procurement_Raw!G1613</f>
        <v>INV-2025-01612</v>
      </c>
      <c r="H1613" s="6">
        <f>Procurement_Raw!H1613</f>
        <v>78</v>
      </c>
      <c r="I1613" s="7">
        <f>Procurement_Raw!I1613</f>
        <v>40.21</v>
      </c>
      <c r="J1613" s="7">
        <f>Procurement_Raw!J1613</f>
        <v>3136.4</v>
      </c>
      <c r="K1613" s="6">
        <f>Procurement_Raw!K1613</f>
        <v>60</v>
      </c>
      <c r="L1613" t="str">
        <f>Procurement_Raw!L1613</f>
        <v>Legacy Spend File</v>
      </c>
      <c r="M1613" s="8">
        <f>Procurement_Raw!M1613</f>
        <v>627.28</v>
      </c>
      <c r="N1613" s="7">
        <f>Procurement_Raw!N1613</f>
        <v>3136.4</v>
      </c>
      <c r="O1613" s="7">
        <f t="shared" si="50"/>
        <v>3136.4</v>
      </c>
      <c r="P1613" t="str">
        <f>IFERROR(INDEX(Supplier_Lookup!$B$2:$B$200,MATCH(E1613,Supplier_Lookup!$A$2:$A$200,0)),"Unmapped")</f>
        <v>Vehicle &amp; Fuel</v>
      </c>
      <c r="Q1613" s="10">
        <f>IFERROR(INDEX(Category_Targets!$B$2:$B$9,MATCH(F1613,Category_Targets!$A$2:$A$9,0)),0)</f>
        <v>0.05</v>
      </c>
      <c r="R1613" s="7">
        <f t="shared" si="51"/>
        <v>156.82000000000002</v>
      </c>
    </row>
    <row r="1614" spans="1:18" x14ac:dyDescent="0.25">
      <c r="A1614" s="5">
        <f>Procurement_Raw!A1614</f>
        <v>45680</v>
      </c>
      <c r="B1614" t="str">
        <f>Procurement_Raw!B1614</f>
        <v>S008</v>
      </c>
      <c r="C1614" t="str">
        <f>Procurement_Raw!C1614</f>
        <v>Leicester Care &amp; Education Centre</v>
      </c>
      <c r="D1614" t="str">
        <f>Procurement_Raw!D1614</f>
        <v>Midlands</v>
      </c>
      <c r="E1614" t="str">
        <f>Procurement_Raw!E1614</f>
        <v>KitchenPro</v>
      </c>
      <c r="F1614" t="str">
        <f>Procurement_Raw!F1614</f>
        <v>Food &amp; Catering</v>
      </c>
      <c r="G1614" t="str">
        <f>Procurement_Raw!G1614</f>
        <v>INV-2025-01613</v>
      </c>
      <c r="H1614" s="6">
        <f>Procurement_Raw!H1614</f>
        <v>31</v>
      </c>
      <c r="I1614" s="7">
        <f>Procurement_Raw!I1614</f>
        <v>105.65</v>
      </c>
      <c r="J1614" s="7">
        <f>Procurement_Raw!J1614</f>
        <v>3275.04</v>
      </c>
      <c r="K1614" s="6">
        <f>Procurement_Raw!K1614</f>
        <v>30</v>
      </c>
      <c r="L1614" t="str">
        <f>Procurement_Raw!L1614</f>
        <v>ERP</v>
      </c>
      <c r="M1614" s="8">
        <f>Procurement_Raw!M1614</f>
        <v>655.00800000000004</v>
      </c>
      <c r="N1614" s="7">
        <f>Procurement_Raw!N1614</f>
        <v>3275.04</v>
      </c>
      <c r="O1614" s="7">
        <f t="shared" si="50"/>
        <v>3275.04</v>
      </c>
      <c r="P1614" t="str">
        <f>IFERROR(INDEX(Supplier_Lookup!$B$2:$B$200,MATCH(E1614,Supplier_Lookup!$A$2:$A$200,0)),"Unmapped")</f>
        <v>Food &amp; Catering</v>
      </c>
      <c r="Q1614" s="10">
        <f>IFERROR(INDEX(Category_Targets!$B$2:$B$9,MATCH(F1614,Category_Targets!$A$2:$A$9,0)),0)</f>
        <v>0.04</v>
      </c>
      <c r="R1614" s="7">
        <f t="shared" si="51"/>
        <v>131.0016</v>
      </c>
    </row>
    <row r="1615" spans="1:18" x14ac:dyDescent="0.25">
      <c r="A1615" s="5">
        <f>Procurement_Raw!A1615</f>
        <v>45726</v>
      </c>
      <c r="B1615" t="str">
        <f>Procurement_Raw!B1615</f>
        <v>S012</v>
      </c>
      <c r="C1615" t="str">
        <f>Procurement_Raw!C1615</f>
        <v>Bristol Care &amp; Education Centre</v>
      </c>
      <c r="D1615" t="str">
        <f>Procurement_Raw!D1615</f>
        <v>South</v>
      </c>
      <c r="E1615" t="str">
        <f>Procurement_Raw!E1615</f>
        <v>CloudLink</v>
      </c>
      <c r="F1615" t="str">
        <f>Procurement_Raw!F1615</f>
        <v>IT &amp; Telecoms</v>
      </c>
      <c r="G1615" t="str">
        <f>Procurement_Raw!G1615</f>
        <v>INV-2025-01614</v>
      </c>
      <c r="H1615" s="6">
        <f>Procurement_Raw!H1615</f>
        <v>78</v>
      </c>
      <c r="I1615" s="7">
        <f>Procurement_Raw!I1615</f>
        <v>210.78</v>
      </c>
      <c r="J1615" s="7">
        <f>Procurement_Raw!J1615</f>
        <v>16440.88</v>
      </c>
      <c r="K1615" s="6">
        <f>Procurement_Raw!K1615</f>
        <v>60</v>
      </c>
      <c r="L1615" t="str">
        <f>Procurement_Raw!L1615</f>
        <v>ERP</v>
      </c>
      <c r="M1615" s="8">
        <f>Procurement_Raw!M1615</f>
        <v>3288.1759999999999</v>
      </c>
      <c r="N1615" s="7">
        <f>Procurement_Raw!N1615</f>
        <v>16440.88</v>
      </c>
      <c r="O1615" s="7">
        <f t="shared" si="50"/>
        <v>16440.88</v>
      </c>
      <c r="P1615" t="str">
        <f>IFERROR(INDEX(Supplier_Lookup!$B$2:$B$200,MATCH(E1615,Supplier_Lookup!$A$2:$A$200,0)),"Unmapped")</f>
        <v>medical supplies</v>
      </c>
      <c r="Q1615" s="10">
        <f>IFERROR(INDEX(Category_Targets!$B$2:$B$9,MATCH(F1615,Category_Targets!$A$2:$A$9,0)),0)</f>
        <v>0.08</v>
      </c>
      <c r="R1615" s="7">
        <f t="shared" si="51"/>
        <v>1315.2704000000001</v>
      </c>
    </row>
    <row r="1616" spans="1:18" x14ac:dyDescent="0.25">
      <c r="A1616" s="5">
        <f>Procurement_Raw!A1616</f>
        <v>45723</v>
      </c>
      <c r="B1616" t="str">
        <f>Procurement_Raw!B1616</f>
        <v>S004</v>
      </c>
      <c r="C1616" t="str">
        <f>Procurement_Raw!C1616</f>
        <v>Newcastle Care &amp; Education Centre</v>
      </c>
      <c r="D1616" t="str">
        <f>Procurement_Raw!D1616</f>
        <v>North</v>
      </c>
      <c r="E1616" t="str">
        <f>Procurement_Raw!E1616</f>
        <v>RoadReady</v>
      </c>
      <c r="F1616" t="str">
        <f>Procurement_Raw!F1616</f>
        <v>Vehicle &amp; Fuel</v>
      </c>
      <c r="G1616" t="str">
        <f>Procurement_Raw!G1616</f>
        <v>INV-2025-01615</v>
      </c>
      <c r="H1616" s="6">
        <f>Procurement_Raw!H1616</f>
        <v>80</v>
      </c>
      <c r="I1616" s="7">
        <f>Procurement_Raw!I1616</f>
        <v>86.02</v>
      </c>
      <c r="J1616" s="7">
        <f>Procurement_Raw!J1616</f>
        <v>6881.83</v>
      </c>
      <c r="K1616" s="6">
        <f>Procurement_Raw!K1616</f>
        <v>45</v>
      </c>
      <c r="L1616" t="str">
        <f>Procurement_Raw!L1616</f>
        <v>ERP</v>
      </c>
      <c r="M1616" s="8">
        <f>Procurement_Raw!M1616</f>
        <v>1376.366</v>
      </c>
      <c r="N1616" s="7">
        <f>Procurement_Raw!N1616</f>
        <v>6881.83</v>
      </c>
      <c r="O1616" s="7">
        <f t="shared" si="50"/>
        <v>6881.83</v>
      </c>
      <c r="P1616" t="str">
        <f>IFERROR(INDEX(Supplier_Lookup!$B$2:$B$200,MATCH(E1616,Supplier_Lookup!$A$2:$A$200,0)),"Unmapped")</f>
        <v>Vehicle &amp; Fuel</v>
      </c>
      <c r="Q1616" s="10">
        <f>IFERROR(INDEX(Category_Targets!$B$2:$B$9,MATCH(F1616,Category_Targets!$A$2:$A$9,0)),0)</f>
        <v>0.05</v>
      </c>
      <c r="R1616" s="7">
        <f t="shared" si="51"/>
        <v>344.0915</v>
      </c>
    </row>
    <row r="1617" spans="1:18" x14ac:dyDescent="0.25">
      <c r="A1617" s="5">
        <f>Procurement_Raw!A1617</f>
        <v>45853</v>
      </c>
      <c r="B1617" t="str">
        <f>Procurement_Raw!B1617</f>
        <v>S005</v>
      </c>
      <c r="C1617" t="str">
        <f>Procurement_Raw!C1617</f>
        <v>Sheffield Care &amp; Education Centre</v>
      </c>
      <c r="D1617" t="str">
        <f>Procurement_Raw!D1617</f>
        <v>North</v>
      </c>
      <c r="E1617" t="str">
        <f>Procurement_Raw!E1617</f>
        <v>TeleCare IT</v>
      </c>
      <c r="F1617" t="str">
        <f>Procurement_Raw!F1617</f>
        <v>IT &amp; Telecoms</v>
      </c>
      <c r="G1617" t="str">
        <f>Procurement_Raw!G1617</f>
        <v>INV-2025-01616</v>
      </c>
      <c r="H1617" s="6">
        <f>Procurement_Raw!H1617</f>
        <v>21</v>
      </c>
      <c r="I1617" s="7">
        <f>Procurement_Raw!I1617</f>
        <v>1273.9000000000001</v>
      </c>
      <c r="J1617" s="7">
        <f>Procurement_Raw!J1617</f>
        <v>26751.86</v>
      </c>
      <c r="K1617" s="6">
        <f>Procurement_Raw!K1617</f>
        <v>45</v>
      </c>
      <c r="L1617" t="str">
        <f>Procurement_Raw!L1617</f>
        <v>Procurement Portal</v>
      </c>
      <c r="M1617" s="8">
        <f>Procurement_Raw!M1617</f>
        <v>5350.3720000000003</v>
      </c>
      <c r="N1617" s="7">
        <f>Procurement_Raw!N1617</f>
        <v>26751.86</v>
      </c>
      <c r="O1617" s="7">
        <f t="shared" si="50"/>
        <v>26751.86</v>
      </c>
      <c r="P1617" t="str">
        <f>IFERROR(INDEX(Supplier_Lookup!$B$2:$B$200,MATCH(E1617,Supplier_Lookup!$A$2:$A$200,0)),"Unmapped")</f>
        <v>IT &amp; Telecoms</v>
      </c>
      <c r="Q1617" s="10">
        <f>IFERROR(INDEX(Category_Targets!$B$2:$B$9,MATCH(F1617,Category_Targets!$A$2:$A$9,0)),0)</f>
        <v>0.08</v>
      </c>
      <c r="R1617" s="7">
        <f t="shared" si="51"/>
        <v>2140.1487999999999</v>
      </c>
    </row>
    <row r="1618" spans="1:18" x14ac:dyDescent="0.25">
      <c r="A1618" s="5">
        <f>Procurement_Raw!A1618</f>
        <v>45875</v>
      </c>
      <c r="B1618" t="str">
        <f>Procurement_Raw!B1618</f>
        <v>S011</v>
      </c>
      <c r="C1618" t="str">
        <f>Procurement_Raw!C1618</f>
        <v>London Care &amp; Education Centre</v>
      </c>
      <c r="D1618" t="str">
        <f>Procurement_Raw!D1618</f>
        <v>South</v>
      </c>
      <c r="E1618" t="str">
        <f>Procurement_Raw!E1618</f>
        <v>NetServe</v>
      </c>
      <c r="F1618" t="str">
        <f>Procurement_Raw!F1618</f>
        <v>IT &amp; Telecoms</v>
      </c>
      <c r="G1618" t="str">
        <f>Procurement_Raw!G1618</f>
        <v>INV-2025-01617</v>
      </c>
      <c r="H1618" s="6">
        <f>Procurement_Raw!H1618</f>
        <v>19</v>
      </c>
      <c r="I1618" s="7">
        <f>Procurement_Raw!I1618</f>
        <v>259.29000000000002</v>
      </c>
      <c r="J1618" s="7">
        <f>Procurement_Raw!J1618</f>
        <v>4926.4799999999996</v>
      </c>
      <c r="K1618" s="6">
        <f>Procurement_Raw!K1618</f>
        <v>60</v>
      </c>
      <c r="L1618" t="str">
        <f>Procurement_Raw!L1618</f>
        <v>ERP</v>
      </c>
      <c r="M1618" s="8">
        <f>Procurement_Raw!M1618</f>
        <v>985.29600000000005</v>
      </c>
      <c r="N1618" s="7">
        <f>Procurement_Raw!N1618</f>
        <v>4926.4799999999996</v>
      </c>
      <c r="O1618" s="7">
        <f t="shared" si="50"/>
        <v>4926.4799999999996</v>
      </c>
      <c r="P1618" t="str">
        <f>IFERROR(INDEX(Supplier_Lookup!$B$2:$B$200,MATCH(E1618,Supplier_Lookup!$A$2:$A$200,0)),"Unmapped")</f>
        <v>IT &amp; Telecoms</v>
      </c>
      <c r="Q1618" s="10">
        <f>IFERROR(INDEX(Category_Targets!$B$2:$B$9,MATCH(F1618,Category_Targets!$A$2:$A$9,0)),0)</f>
        <v>0.08</v>
      </c>
      <c r="R1618" s="7">
        <f t="shared" si="51"/>
        <v>394.11839999999995</v>
      </c>
    </row>
    <row r="1619" spans="1:18" x14ac:dyDescent="0.25">
      <c r="A1619" s="5">
        <f>Procurement_Raw!A1619</f>
        <v>46014</v>
      </c>
      <c r="B1619" t="str">
        <f>Procurement_Raw!B1619</f>
        <v>S014</v>
      </c>
      <c r="C1619" t="str">
        <f>Procurement_Raw!C1619</f>
        <v>Southampton Care &amp; Education Centre</v>
      </c>
      <c r="D1619" t="str">
        <f>Procurement_Raw!D1619</f>
        <v>South</v>
      </c>
      <c r="E1619" t="str">
        <f>Procurement_Raw!E1619</f>
        <v>NetServe</v>
      </c>
      <c r="F1619" t="str">
        <f>Procurement_Raw!F1619</f>
        <v>IT &amp; Telecoms</v>
      </c>
      <c r="G1619" t="str">
        <f>Procurement_Raw!G1619</f>
        <v>INV-2025-01618</v>
      </c>
      <c r="H1619" s="6">
        <f>Procurement_Raw!H1619</f>
        <v>25</v>
      </c>
      <c r="I1619" s="7">
        <f>Procurement_Raw!I1619</f>
        <v>145.5</v>
      </c>
      <c r="J1619" s="7">
        <f>Procurement_Raw!J1619</f>
        <v>3637.38</v>
      </c>
      <c r="K1619" s="6">
        <f>Procurement_Raw!K1619</f>
        <v>60</v>
      </c>
      <c r="L1619" t="str">
        <f>Procurement_Raw!L1619</f>
        <v>Procurement Portal</v>
      </c>
      <c r="M1619" s="8">
        <f>Procurement_Raw!M1619</f>
        <v>727.476</v>
      </c>
      <c r="N1619" s="7">
        <f>Procurement_Raw!N1619</f>
        <v>3637.38</v>
      </c>
      <c r="O1619" s="7">
        <f t="shared" si="50"/>
        <v>3637.38</v>
      </c>
      <c r="P1619" t="str">
        <f>IFERROR(INDEX(Supplier_Lookup!$B$2:$B$200,MATCH(E1619,Supplier_Lookup!$A$2:$A$200,0)),"Unmapped")</f>
        <v>IT &amp; Telecoms</v>
      </c>
      <c r="Q1619" s="10">
        <f>IFERROR(INDEX(Category_Targets!$B$2:$B$9,MATCH(F1619,Category_Targets!$A$2:$A$9,0)),0)</f>
        <v>0.08</v>
      </c>
      <c r="R1619" s="7">
        <f t="shared" si="51"/>
        <v>290.99040000000002</v>
      </c>
    </row>
    <row r="1620" spans="1:18" x14ac:dyDescent="0.25">
      <c r="A1620" s="5">
        <f>Procurement_Raw!A1620</f>
        <v>45736</v>
      </c>
      <c r="B1620" t="str">
        <f>Procurement_Raw!B1620</f>
        <v>S003</v>
      </c>
      <c r="C1620" t="str">
        <f>Procurement_Raw!C1620</f>
        <v>Leeds Care &amp; Education Centre</v>
      </c>
      <c r="D1620" t="str">
        <f>Procurement_Raw!D1620</f>
        <v>North</v>
      </c>
      <c r="E1620" t="str">
        <f>Procurement_Raw!E1620</f>
        <v>SafeGuard FM</v>
      </c>
      <c r="F1620" t="str">
        <f>Procurement_Raw!F1620</f>
        <v>Facilities</v>
      </c>
      <c r="G1620" t="str">
        <f>Procurement_Raw!G1620</f>
        <v>INV-2025-01619</v>
      </c>
      <c r="H1620" s="6">
        <f>Procurement_Raw!H1620</f>
        <v>41</v>
      </c>
      <c r="I1620" s="7">
        <f>Procurement_Raw!I1620</f>
        <v>142.37</v>
      </c>
      <c r="J1620" s="7">
        <f>Procurement_Raw!J1620</f>
        <v>5837.35</v>
      </c>
      <c r="K1620" s="6">
        <f>Procurement_Raw!K1620</f>
        <v>45</v>
      </c>
      <c r="L1620" t="str">
        <f>Procurement_Raw!L1620</f>
        <v>Procurement Portal</v>
      </c>
      <c r="M1620" s="8">
        <f>Procurement_Raw!M1620</f>
        <v>1167.47</v>
      </c>
      <c r="N1620" s="7">
        <f>Procurement_Raw!N1620</f>
        <v>5837.35</v>
      </c>
      <c r="O1620" s="7">
        <f t="shared" si="50"/>
        <v>5837.35</v>
      </c>
      <c r="P1620" t="str">
        <f>IFERROR(INDEX(Supplier_Lookup!$B$2:$B$200,MATCH(E1620,Supplier_Lookup!$A$2:$A$200,0)),"Unmapped")</f>
        <v>Facilities</v>
      </c>
      <c r="Q1620" s="10">
        <f>IFERROR(INDEX(Category_Targets!$B$2:$B$9,MATCH(F1620,Category_Targets!$A$2:$A$9,0)),0)</f>
        <v>0.05</v>
      </c>
      <c r="R1620" s="7">
        <f t="shared" si="51"/>
        <v>291.86750000000001</v>
      </c>
    </row>
    <row r="1621" spans="1:18" x14ac:dyDescent="0.25">
      <c r="A1621" s="5">
        <f>Procurement_Raw!A1621</f>
        <v>45796</v>
      </c>
      <c r="B1621" t="str">
        <f>Procurement_Raw!B1621</f>
        <v>S010</v>
      </c>
      <c r="C1621" t="str">
        <f>Procurement_Raw!C1621</f>
        <v>Coventry Care &amp; Education Centre</v>
      </c>
      <c r="D1621" t="str">
        <f>Procurement_Raw!D1621</f>
        <v>Midlands</v>
      </c>
      <c r="E1621" t="str">
        <f>Procurement_Raw!E1621</f>
        <v>UK Energy Partners</v>
      </c>
      <c r="F1621" t="str">
        <f>Procurement_Raw!F1621</f>
        <v>Utilities</v>
      </c>
      <c r="G1621" t="str">
        <f>Procurement_Raw!G1621</f>
        <v>INV-2025-01620</v>
      </c>
      <c r="H1621" s="6">
        <f>Procurement_Raw!H1621</f>
        <v>16</v>
      </c>
      <c r="I1621" s="7">
        <f>Procurement_Raw!I1621</f>
        <v>470.18</v>
      </c>
      <c r="J1621" s="7">
        <f>Procurement_Raw!J1621</f>
        <v>7522.81</v>
      </c>
      <c r="K1621" s="6">
        <f>Procurement_Raw!K1621</f>
        <v>60</v>
      </c>
      <c r="L1621" t="str">
        <f>Procurement_Raw!L1621</f>
        <v>ERP</v>
      </c>
      <c r="M1621" s="8">
        <f>Procurement_Raw!M1621</f>
        <v>1504.5619999999999</v>
      </c>
      <c r="N1621" s="7">
        <f>Procurement_Raw!N1621</f>
        <v>7522.81</v>
      </c>
      <c r="O1621" s="7">
        <f t="shared" si="50"/>
        <v>7522.81</v>
      </c>
      <c r="P1621" t="str">
        <f>IFERROR(INDEX(Supplier_Lookup!$B$2:$B$200,MATCH(E1621,Supplier_Lookup!$A$2:$A$200,0)),"Unmapped")</f>
        <v>Utilities</v>
      </c>
      <c r="Q1621" s="10">
        <f>IFERROR(INDEX(Category_Targets!$B$2:$B$9,MATCH(F1621,Category_Targets!$A$2:$A$9,0)),0)</f>
        <v>0.03</v>
      </c>
      <c r="R1621" s="7">
        <f t="shared" si="51"/>
        <v>225.68430000000001</v>
      </c>
    </row>
    <row r="1622" spans="1:18" x14ac:dyDescent="0.25">
      <c r="A1622" s="5">
        <f>Procurement_Raw!A1622</f>
        <v>45826</v>
      </c>
      <c r="B1622" t="str">
        <f>Procurement_Raw!B1622</f>
        <v>S019</v>
      </c>
      <c r="C1622" t="str">
        <f>Procurement_Raw!C1622</f>
        <v>Wrexham Care &amp; Education Centre</v>
      </c>
      <c r="D1622" t="str">
        <f>Procurement_Raw!D1622</f>
        <v>Wales</v>
      </c>
      <c r="E1622" t="str">
        <f>Procurement_Raw!E1622</f>
        <v>HealthStaffing</v>
      </c>
      <c r="F1622" t="str">
        <f>Procurement_Raw!F1622</f>
        <v>Agency Labour</v>
      </c>
      <c r="G1622" t="str">
        <f>Procurement_Raw!G1622</f>
        <v>INV-2025-01621</v>
      </c>
      <c r="H1622" s="6">
        <f>Procurement_Raw!H1622</f>
        <v>12</v>
      </c>
      <c r="I1622" s="7">
        <f>Procurement_Raw!I1622</f>
        <v>319.27999999999997</v>
      </c>
      <c r="J1622" s="7">
        <f>Procurement_Raw!J1622</f>
        <v>3831.41</v>
      </c>
      <c r="K1622" s="6">
        <f>Procurement_Raw!K1622</f>
        <v>45</v>
      </c>
      <c r="L1622" t="str">
        <f>Procurement_Raw!L1622</f>
        <v>Procurement Portal</v>
      </c>
      <c r="M1622" s="8">
        <f>Procurement_Raw!M1622</f>
        <v>766.28200000000004</v>
      </c>
      <c r="N1622" s="7">
        <f>Procurement_Raw!N1622</f>
        <v>3831.41</v>
      </c>
      <c r="O1622" s="7">
        <f t="shared" si="50"/>
        <v>3831.41</v>
      </c>
      <c r="P1622" t="str">
        <f>IFERROR(INDEX(Supplier_Lookup!$B$2:$B$200,MATCH(E1622,Supplier_Lookup!$A$2:$A$200,0)),"Unmapped")</f>
        <v>Agency Labour</v>
      </c>
      <c r="Q1622" s="10">
        <f>IFERROR(INDEX(Category_Targets!$B$2:$B$9,MATCH(F1622,Category_Targets!$A$2:$A$9,0)),0)</f>
        <v>7.0000000000000007E-2</v>
      </c>
      <c r="R1622" s="7">
        <f t="shared" si="51"/>
        <v>268.19870000000003</v>
      </c>
    </row>
    <row r="1623" spans="1:18" x14ac:dyDescent="0.25">
      <c r="A1623" s="5">
        <f>Procurement_Raw!A1623</f>
        <v>45798</v>
      </c>
      <c r="B1623" t="str">
        <f>Procurement_Raw!B1623</f>
        <v>S003</v>
      </c>
      <c r="C1623" t="str">
        <f>Procurement_Raw!C1623</f>
        <v>Leeds Care &amp; Education Centre</v>
      </c>
      <c r="D1623" t="str">
        <f>Procurement_Raw!D1623</f>
        <v>North</v>
      </c>
      <c r="E1623" t="str">
        <f>Procurement_Raw!E1623</f>
        <v>CleanWorks</v>
      </c>
      <c r="F1623" t="str">
        <f>Procurement_Raw!F1623</f>
        <v>Facilities</v>
      </c>
      <c r="G1623" t="str">
        <f>Procurement_Raw!G1623</f>
        <v>INV-2025-01622</v>
      </c>
      <c r="H1623" s="6">
        <f>Procurement_Raw!H1623</f>
        <v>2</v>
      </c>
      <c r="I1623" s="7">
        <f>Procurement_Raw!I1623</f>
        <v>81.61</v>
      </c>
      <c r="J1623" s="7">
        <f>Procurement_Raw!J1623</f>
        <v>163.21</v>
      </c>
      <c r="K1623" s="6">
        <f>Procurement_Raw!K1623</f>
        <v>30</v>
      </c>
      <c r="L1623" t="str">
        <f>Procurement_Raw!L1623</f>
        <v>Procurement Portal</v>
      </c>
      <c r="M1623" s="8">
        <f>Procurement_Raw!M1623</f>
        <v>32.642000000000003</v>
      </c>
      <c r="N1623" s="7">
        <f>Procurement_Raw!N1623</f>
        <v>163.21</v>
      </c>
      <c r="O1623" s="7">
        <f t="shared" si="50"/>
        <v>163.21</v>
      </c>
      <c r="P1623" t="str">
        <f>IFERROR(INDEX(Supplier_Lookup!$B$2:$B$200,MATCH(E1623,Supplier_Lookup!$A$2:$A$200,0)),"Unmapped")</f>
        <v>Facilities</v>
      </c>
      <c r="Q1623" s="10">
        <f>IFERROR(INDEX(Category_Targets!$B$2:$B$9,MATCH(F1623,Category_Targets!$A$2:$A$9,0)),0)</f>
        <v>0.05</v>
      </c>
      <c r="R1623" s="7">
        <f t="shared" si="51"/>
        <v>8.1605000000000008</v>
      </c>
    </row>
    <row r="1624" spans="1:18" x14ac:dyDescent="0.25">
      <c r="A1624" s="5">
        <f>Procurement_Raw!A1624</f>
        <v>45721</v>
      </c>
      <c r="B1624" t="str">
        <f>Procurement_Raw!B1624</f>
        <v>S017</v>
      </c>
      <c r="C1624" t="str">
        <f>Procurement_Raw!C1624</f>
        <v>Swansea Care &amp; Education Centre</v>
      </c>
      <c r="D1624" t="str">
        <f>Procurement_Raw!D1624</f>
        <v>Wales</v>
      </c>
      <c r="E1624" t="str">
        <f>Procurement_Raw!E1624</f>
        <v>HealthStaffing</v>
      </c>
      <c r="F1624" t="str">
        <f>Procurement_Raw!F1624</f>
        <v>Agency Labour</v>
      </c>
      <c r="G1624" t="str">
        <f>Procurement_Raw!G1624</f>
        <v>INV-2025-01623</v>
      </c>
      <c r="H1624" s="6">
        <f>Procurement_Raw!H1624</f>
        <v>23</v>
      </c>
      <c r="I1624" s="7">
        <f>Procurement_Raw!I1624</f>
        <v>497.38</v>
      </c>
      <c r="J1624" s="7">
        <f>Procurement_Raw!J1624</f>
        <v>11439.79</v>
      </c>
      <c r="K1624" s="6">
        <f>Procurement_Raw!K1624</f>
        <v>60</v>
      </c>
      <c r="L1624" t="str">
        <f>Procurement_Raw!L1624</f>
        <v>Legacy Spend File</v>
      </c>
      <c r="M1624" s="8">
        <f>Procurement_Raw!M1624</f>
        <v>2287.9580000000001</v>
      </c>
      <c r="N1624" s="7">
        <f>Procurement_Raw!N1624</f>
        <v>11439.79</v>
      </c>
      <c r="O1624" s="7">
        <f t="shared" si="50"/>
        <v>11439.79</v>
      </c>
      <c r="P1624" t="str">
        <f>IFERROR(INDEX(Supplier_Lookup!$B$2:$B$200,MATCH(E1624,Supplier_Lookup!$A$2:$A$200,0)),"Unmapped")</f>
        <v>Agency Labour</v>
      </c>
      <c r="Q1624" s="10">
        <f>IFERROR(INDEX(Category_Targets!$B$2:$B$9,MATCH(F1624,Category_Targets!$A$2:$A$9,0)),0)</f>
        <v>7.0000000000000007E-2</v>
      </c>
      <c r="R1624" s="7">
        <f t="shared" si="51"/>
        <v>800.78530000000012</v>
      </c>
    </row>
    <row r="1625" spans="1:18" x14ac:dyDescent="0.25">
      <c r="A1625" s="5">
        <f>Procurement_Raw!A1625</f>
        <v>45928</v>
      </c>
      <c r="B1625" t="str">
        <f>Procurement_Raw!B1625</f>
        <v>S006</v>
      </c>
      <c r="C1625" t="str">
        <f>Procurement_Raw!C1625</f>
        <v>Birmingham Care &amp; Education Centre</v>
      </c>
      <c r="D1625" t="str">
        <f>Procurement_Raw!D1625</f>
        <v>Midlands</v>
      </c>
      <c r="E1625" t="str">
        <f>Procurement_Raw!E1625</f>
        <v>OfficePlus</v>
      </c>
      <c r="F1625" t="str">
        <f>Procurement_Raw!F1625</f>
        <v>Office &amp; Training</v>
      </c>
      <c r="G1625" t="str">
        <f>Procurement_Raw!G1625</f>
        <v>INV-2025-01624</v>
      </c>
      <c r="H1625" s="6">
        <f>Procurement_Raw!H1625</f>
        <v>45</v>
      </c>
      <c r="I1625" s="7">
        <f>Procurement_Raw!I1625</f>
        <v>51.94</v>
      </c>
      <c r="J1625" s="7">
        <f>Procurement_Raw!J1625</f>
        <v>2337.11</v>
      </c>
      <c r="K1625" s="6">
        <f>Procurement_Raw!K1625</f>
        <v>60</v>
      </c>
      <c r="L1625" t="str">
        <f>Procurement_Raw!L1625</f>
        <v>Legacy Spend File</v>
      </c>
      <c r="M1625" s="8">
        <f>Procurement_Raw!M1625</f>
        <v>467.42200000000003</v>
      </c>
      <c r="N1625" s="7">
        <f>Procurement_Raw!N1625</f>
        <v>2337.11</v>
      </c>
      <c r="O1625" s="7">
        <f t="shared" si="50"/>
        <v>2337.11</v>
      </c>
      <c r="P1625" t="str">
        <f>IFERROR(INDEX(Supplier_Lookup!$B$2:$B$200,MATCH(E1625,Supplier_Lookup!$A$2:$A$200,0)),"Unmapped")</f>
        <v>Office &amp; Training</v>
      </c>
      <c r="Q1625" s="10">
        <f>IFERROR(INDEX(Category_Targets!$B$2:$B$9,MATCH(F1625,Category_Targets!$A$2:$A$9,0)),0)</f>
        <v>0.04</v>
      </c>
      <c r="R1625" s="7">
        <f t="shared" si="51"/>
        <v>93.484400000000008</v>
      </c>
    </row>
    <row r="1626" spans="1:18" x14ac:dyDescent="0.25">
      <c r="A1626" s="5">
        <f>Procurement_Raw!A1626</f>
        <v>45708</v>
      </c>
      <c r="B1626" t="str">
        <f>Procurement_Raw!B1626</f>
        <v>S006</v>
      </c>
      <c r="C1626" t="str">
        <f>Procurement_Raw!C1626</f>
        <v>Birmingham Care &amp; Education Centre</v>
      </c>
      <c r="D1626" t="str">
        <f>Procurement_Raw!D1626</f>
        <v>Midlands</v>
      </c>
      <c r="E1626" t="str">
        <f>Procurement_Raw!E1626</f>
        <v>NetServe</v>
      </c>
      <c r="F1626" t="str">
        <f>Procurement_Raw!F1626</f>
        <v>IT &amp; Telecoms</v>
      </c>
      <c r="G1626" t="str">
        <f>Procurement_Raw!G1626</f>
        <v>INV-2025-01625</v>
      </c>
      <c r="H1626" s="6">
        <f>Procurement_Raw!H1626</f>
        <v>7</v>
      </c>
      <c r="I1626" s="7">
        <f>Procurement_Raw!I1626</f>
        <v>616.42999999999995</v>
      </c>
      <c r="J1626" s="7">
        <f>Procurement_Raw!J1626</f>
        <v>4315</v>
      </c>
      <c r="K1626" s="6">
        <f>Procurement_Raw!K1626</f>
        <v>30</v>
      </c>
      <c r="L1626" t="str">
        <f>Procurement_Raw!L1626</f>
        <v>Procurement Portal</v>
      </c>
      <c r="M1626" s="8">
        <f>Procurement_Raw!M1626</f>
        <v>863</v>
      </c>
      <c r="N1626" s="7">
        <f>Procurement_Raw!N1626</f>
        <v>4315</v>
      </c>
      <c r="O1626" s="7">
        <f t="shared" si="50"/>
        <v>4315</v>
      </c>
      <c r="P1626" t="str">
        <f>IFERROR(INDEX(Supplier_Lookup!$B$2:$B$200,MATCH(E1626,Supplier_Lookup!$A$2:$A$200,0)),"Unmapped")</f>
        <v>IT &amp; Telecoms</v>
      </c>
      <c r="Q1626" s="10">
        <f>IFERROR(INDEX(Category_Targets!$B$2:$B$9,MATCH(F1626,Category_Targets!$A$2:$A$9,0)),0)</f>
        <v>0.08</v>
      </c>
      <c r="R1626" s="7">
        <f t="shared" si="51"/>
        <v>345.2</v>
      </c>
    </row>
    <row r="1627" spans="1:18" x14ac:dyDescent="0.25">
      <c r="A1627" s="5">
        <f>Procurement_Raw!A1627</f>
        <v>45834</v>
      </c>
      <c r="B1627" t="str">
        <f>Procurement_Raw!B1627</f>
        <v>S001</v>
      </c>
      <c r="C1627" t="str">
        <f>Procurement_Raw!C1627</f>
        <v>Preston Care &amp; Education Centre</v>
      </c>
      <c r="D1627" t="str">
        <f>Procurement_Raw!D1627</f>
        <v>North</v>
      </c>
      <c r="E1627" t="str">
        <f>Procurement_Raw!E1627</f>
        <v>HealthStaffing</v>
      </c>
      <c r="F1627" t="str">
        <f>Procurement_Raw!F1627</f>
        <v>Agency Labour</v>
      </c>
      <c r="G1627" t="str">
        <f>Procurement_Raw!G1627</f>
        <v>INV-2025-01626</v>
      </c>
      <c r="H1627" s="6">
        <f>Procurement_Raw!H1627</f>
        <v>69</v>
      </c>
      <c r="I1627" s="7">
        <f>Procurement_Raw!I1627</f>
        <v>543.38</v>
      </c>
      <c r="J1627" s="7">
        <f>Procurement_Raw!J1627</f>
        <v>37493.22</v>
      </c>
      <c r="K1627" s="6">
        <f>Procurement_Raw!K1627</f>
        <v>60</v>
      </c>
      <c r="L1627" t="str">
        <f>Procurement_Raw!L1627</f>
        <v>Legacy Spend File</v>
      </c>
      <c r="M1627" s="8">
        <f>Procurement_Raw!M1627</f>
        <v>7498.6440000000002</v>
      </c>
      <c r="N1627" s="7">
        <f>Procurement_Raw!N1627</f>
        <v>37493.22</v>
      </c>
      <c r="O1627" s="7">
        <f t="shared" si="50"/>
        <v>37493.22</v>
      </c>
      <c r="P1627" t="str">
        <f>IFERROR(INDEX(Supplier_Lookup!$B$2:$B$200,MATCH(E1627,Supplier_Lookup!$A$2:$A$200,0)),"Unmapped")</f>
        <v>Agency Labour</v>
      </c>
      <c r="Q1627" s="10">
        <f>IFERROR(INDEX(Category_Targets!$B$2:$B$9,MATCH(F1627,Category_Targets!$A$2:$A$9,0)),0)</f>
        <v>7.0000000000000007E-2</v>
      </c>
      <c r="R1627" s="7">
        <f t="shared" si="51"/>
        <v>2624.5254000000004</v>
      </c>
    </row>
    <row r="1628" spans="1:18" x14ac:dyDescent="0.25">
      <c r="A1628" s="5">
        <f>Procurement_Raw!A1628</f>
        <v>45723</v>
      </c>
      <c r="B1628" t="str">
        <f>Procurement_Raw!B1628</f>
        <v>S002</v>
      </c>
      <c r="C1628" t="str">
        <f>Procurement_Raw!C1628</f>
        <v>Manchester Care &amp; Education Centre</v>
      </c>
      <c r="D1628" t="str">
        <f>Procurement_Raw!D1628</f>
        <v>North</v>
      </c>
      <c r="E1628" t="str">
        <f>Procurement_Raw!E1628</f>
        <v>PrintCo</v>
      </c>
      <c r="F1628" t="str">
        <f>Procurement_Raw!F1628</f>
        <v>Office &amp; Training</v>
      </c>
      <c r="G1628" t="str">
        <f>Procurement_Raw!G1628</f>
        <v>INV-2025-01627</v>
      </c>
      <c r="H1628" s="6">
        <f>Procurement_Raw!H1628</f>
        <v>34</v>
      </c>
      <c r="I1628" s="7">
        <f>Procurement_Raw!I1628</f>
        <v>58.64</v>
      </c>
      <c r="J1628" s="7">
        <f>Procurement_Raw!J1628</f>
        <v>1993.85</v>
      </c>
      <c r="K1628" s="6">
        <f>Procurement_Raw!K1628</f>
        <v>30</v>
      </c>
      <c r="L1628" t="str">
        <f>Procurement_Raw!L1628</f>
        <v>Legacy Spend File</v>
      </c>
      <c r="M1628" s="8">
        <f>Procurement_Raw!M1628</f>
        <v>398.77</v>
      </c>
      <c r="N1628" s="7">
        <f>Procurement_Raw!N1628</f>
        <v>1993.85</v>
      </c>
      <c r="O1628" s="7">
        <f t="shared" si="50"/>
        <v>1993.85</v>
      </c>
      <c r="P1628" t="str">
        <f>IFERROR(INDEX(Supplier_Lookup!$B$2:$B$200,MATCH(E1628,Supplier_Lookup!$A$2:$A$200,0)),"Unmapped")</f>
        <v>Office &amp; Training</v>
      </c>
      <c r="Q1628" s="10">
        <f>IFERROR(INDEX(Category_Targets!$B$2:$B$9,MATCH(F1628,Category_Targets!$A$2:$A$9,0)),0)</f>
        <v>0.04</v>
      </c>
      <c r="R1628" s="7">
        <f t="shared" si="51"/>
        <v>79.754000000000005</v>
      </c>
    </row>
    <row r="1629" spans="1:18" x14ac:dyDescent="0.25">
      <c r="A1629" s="5">
        <f>Procurement_Raw!A1629</f>
        <v>45722</v>
      </c>
      <c r="B1629" t="str">
        <f>Procurement_Raw!B1629</f>
        <v>S003</v>
      </c>
      <c r="C1629" t="str">
        <f>Procurement_Raw!C1629</f>
        <v>Leeds Care &amp; Education Centre</v>
      </c>
      <c r="D1629" t="str">
        <f>Procurement_Raw!D1629</f>
        <v>North</v>
      </c>
      <c r="E1629" t="str">
        <f>Procurement_Raw!E1629</f>
        <v>BuildCare</v>
      </c>
      <c r="F1629" t="str">
        <f>Procurement_Raw!F1629</f>
        <v>Facilities</v>
      </c>
      <c r="G1629" t="str">
        <f>Procurement_Raw!G1629</f>
        <v>INV-2025-01628</v>
      </c>
      <c r="H1629" s="6">
        <f>Procurement_Raw!H1629</f>
        <v>19</v>
      </c>
      <c r="I1629" s="7">
        <f>Procurement_Raw!I1629</f>
        <v>364.13</v>
      </c>
      <c r="J1629" s="7">
        <f>Procurement_Raw!J1629</f>
        <v>6918.5</v>
      </c>
      <c r="K1629" s="6">
        <f>Procurement_Raw!K1629</f>
        <v>45</v>
      </c>
      <c r="L1629" t="str">
        <f>Procurement_Raw!L1629</f>
        <v>Legacy Spend File</v>
      </c>
      <c r="M1629" s="8">
        <f>Procurement_Raw!M1629</f>
        <v>1383.7</v>
      </c>
      <c r="N1629" s="7">
        <f>Procurement_Raw!N1629</f>
        <v>6918.5</v>
      </c>
      <c r="O1629" s="7">
        <f t="shared" si="50"/>
        <v>6918.5</v>
      </c>
      <c r="P1629" t="str">
        <f>IFERROR(INDEX(Supplier_Lookup!$B$2:$B$200,MATCH(E1629,Supplier_Lookup!$A$2:$A$200,0)),"Unmapped")</f>
        <v>Facilities</v>
      </c>
      <c r="Q1629" s="10">
        <f>IFERROR(INDEX(Category_Targets!$B$2:$B$9,MATCH(F1629,Category_Targets!$A$2:$A$9,0)),0)</f>
        <v>0.05</v>
      </c>
      <c r="R1629" s="7">
        <f t="shared" si="51"/>
        <v>345.92500000000001</v>
      </c>
    </row>
    <row r="1630" spans="1:18" x14ac:dyDescent="0.25">
      <c r="A1630" s="5">
        <f>Procurement_Raw!A1630</f>
        <v>45985</v>
      </c>
      <c r="B1630" t="str">
        <f>Procurement_Raw!B1630</f>
        <v>S006</v>
      </c>
      <c r="C1630" t="str">
        <f>Procurement_Raw!C1630</f>
        <v>Birmingham Care &amp; Education Centre</v>
      </c>
      <c r="D1630" t="str">
        <f>Procurement_Raw!D1630</f>
        <v>Midlands</v>
      </c>
      <c r="E1630" t="str">
        <f>Procurement_Raw!E1630</f>
        <v>CloudLink</v>
      </c>
      <c r="F1630" t="str">
        <f>Procurement_Raw!F1630</f>
        <v>IT &amp; Telecoms</v>
      </c>
      <c r="G1630" t="str">
        <f>Procurement_Raw!G1630</f>
        <v>INV-2025-01629</v>
      </c>
      <c r="H1630" s="6">
        <f>Procurement_Raw!H1630</f>
        <v>48</v>
      </c>
      <c r="I1630" s="7">
        <f>Procurement_Raw!I1630</f>
        <v>228.37</v>
      </c>
      <c r="J1630" s="7">
        <f>Procurement_Raw!J1630</f>
        <v>10961.55</v>
      </c>
      <c r="K1630" s="6">
        <f>Procurement_Raw!K1630</f>
        <v>60</v>
      </c>
      <c r="L1630" t="str">
        <f>Procurement_Raw!L1630</f>
        <v>ERP</v>
      </c>
      <c r="M1630" s="8">
        <f>Procurement_Raw!M1630</f>
        <v>2192.31</v>
      </c>
      <c r="N1630" s="7">
        <f>Procurement_Raw!N1630</f>
        <v>10961.55</v>
      </c>
      <c r="O1630" s="7">
        <f t="shared" si="50"/>
        <v>10961.55</v>
      </c>
      <c r="P1630" t="str">
        <f>IFERROR(INDEX(Supplier_Lookup!$B$2:$B$200,MATCH(E1630,Supplier_Lookup!$A$2:$A$200,0)),"Unmapped")</f>
        <v>medical supplies</v>
      </c>
      <c r="Q1630" s="10">
        <f>IFERROR(INDEX(Category_Targets!$B$2:$B$9,MATCH(F1630,Category_Targets!$A$2:$A$9,0)),0)</f>
        <v>0.08</v>
      </c>
      <c r="R1630" s="7">
        <f t="shared" si="51"/>
        <v>876.92399999999998</v>
      </c>
    </row>
    <row r="1631" spans="1:18" x14ac:dyDescent="0.25">
      <c r="A1631" s="5">
        <f>Procurement_Raw!A1631</f>
        <v>45892</v>
      </c>
      <c r="B1631" t="str">
        <f>Procurement_Raw!B1631</f>
        <v>S010</v>
      </c>
      <c r="C1631" t="str">
        <f>Procurement_Raw!C1631</f>
        <v>Coventry Care &amp; Education Centre</v>
      </c>
      <c r="D1631" t="str">
        <f>Procurement_Raw!D1631</f>
        <v>Midlands</v>
      </c>
      <c r="E1631" t="str">
        <f>Procurement_Raw!E1631</f>
        <v>NurseLink</v>
      </c>
      <c r="F1631" t="str">
        <f>Procurement_Raw!F1631</f>
        <v>Agency Labour</v>
      </c>
      <c r="G1631" t="str">
        <f>Procurement_Raw!G1631</f>
        <v>INV-2025-01630</v>
      </c>
      <c r="H1631" s="6">
        <f>Procurement_Raw!H1631</f>
        <v>24</v>
      </c>
      <c r="I1631" s="7">
        <f>Procurement_Raw!I1631</f>
        <v>479.53</v>
      </c>
      <c r="J1631" s="7">
        <f>Procurement_Raw!J1631</f>
        <v>11508.74</v>
      </c>
      <c r="K1631" s="6">
        <f>Procurement_Raw!K1631</f>
        <v>45</v>
      </c>
      <c r="L1631" t="str">
        <f>Procurement_Raw!L1631</f>
        <v>Procurement Portal</v>
      </c>
      <c r="M1631" s="8">
        <f>Procurement_Raw!M1631</f>
        <v>2301.748</v>
      </c>
      <c r="N1631" s="7">
        <f>Procurement_Raw!N1631</f>
        <v>11508.74</v>
      </c>
      <c r="O1631" s="7">
        <f t="shared" si="50"/>
        <v>11508.74</v>
      </c>
      <c r="P1631" t="str">
        <f>IFERROR(INDEX(Supplier_Lookup!$B$2:$B$200,MATCH(E1631,Supplier_Lookup!$A$2:$A$200,0)),"Unmapped")</f>
        <v>Agency Labour</v>
      </c>
      <c r="Q1631" s="10">
        <f>IFERROR(INDEX(Category_Targets!$B$2:$B$9,MATCH(F1631,Category_Targets!$A$2:$A$9,0)),0)</f>
        <v>7.0000000000000007E-2</v>
      </c>
      <c r="R1631" s="7">
        <f t="shared" si="51"/>
        <v>805.61180000000002</v>
      </c>
    </row>
    <row r="1632" spans="1:18" x14ac:dyDescent="0.25">
      <c r="A1632" s="5">
        <f>Procurement_Raw!A1632</f>
        <v>45877</v>
      </c>
      <c r="B1632" t="str">
        <f>Procurement_Raw!B1632</f>
        <v>S011</v>
      </c>
      <c r="C1632" t="str">
        <f>Procurement_Raw!C1632</f>
        <v>London Care &amp; Education Centre</v>
      </c>
      <c r="D1632" t="str">
        <f>Procurement_Raw!D1632</f>
        <v>South</v>
      </c>
      <c r="E1632" t="str">
        <f>Procurement_Raw!E1632</f>
        <v>TeleCare IT</v>
      </c>
      <c r="F1632" t="str">
        <f>Procurement_Raw!F1632</f>
        <v>IT &amp; Telecoms</v>
      </c>
      <c r="G1632" t="str">
        <f>Procurement_Raw!G1632</f>
        <v>INV-2025-01631</v>
      </c>
      <c r="H1632" s="6">
        <f>Procurement_Raw!H1632</f>
        <v>67</v>
      </c>
      <c r="I1632" s="7">
        <f>Procurement_Raw!I1632</f>
        <v>287.20999999999998</v>
      </c>
      <c r="J1632" s="7">
        <f>Procurement_Raw!J1632</f>
        <v>19243.400000000001</v>
      </c>
      <c r="K1632" s="6">
        <f>Procurement_Raw!K1632</f>
        <v>60</v>
      </c>
      <c r="L1632" t="str">
        <f>Procurement_Raw!L1632</f>
        <v>ERP</v>
      </c>
      <c r="M1632" s="8">
        <f>Procurement_Raw!M1632</f>
        <v>3848.68</v>
      </c>
      <c r="N1632" s="7">
        <f>Procurement_Raw!N1632</f>
        <v>19243.400000000001</v>
      </c>
      <c r="O1632" s="7">
        <f t="shared" si="50"/>
        <v>19243.400000000001</v>
      </c>
      <c r="P1632" t="str">
        <f>IFERROR(INDEX(Supplier_Lookup!$B$2:$B$200,MATCH(E1632,Supplier_Lookup!$A$2:$A$200,0)),"Unmapped")</f>
        <v>IT &amp; Telecoms</v>
      </c>
      <c r="Q1632" s="10">
        <f>IFERROR(INDEX(Category_Targets!$B$2:$B$9,MATCH(F1632,Category_Targets!$A$2:$A$9,0)),0)</f>
        <v>0.08</v>
      </c>
      <c r="R1632" s="7">
        <f t="shared" si="51"/>
        <v>1539.4720000000002</v>
      </c>
    </row>
    <row r="1633" spans="1:18" x14ac:dyDescent="0.25">
      <c r="A1633" s="5">
        <f>Procurement_Raw!A1633</f>
        <v>45866</v>
      </c>
      <c r="B1633" t="str">
        <f>Procurement_Raw!B1633</f>
        <v>S010</v>
      </c>
      <c r="C1633" t="str">
        <f>Procurement_Raw!C1633</f>
        <v>Coventry Care &amp; Education Centre</v>
      </c>
      <c r="D1633" t="str">
        <f>Procurement_Raw!D1633</f>
        <v>Midlands</v>
      </c>
      <c r="E1633" t="str">
        <f>Procurement_Raw!E1633</f>
        <v>NourishCo</v>
      </c>
      <c r="F1633" t="str">
        <f>Procurement_Raw!F1633</f>
        <v>Food &amp; Catering</v>
      </c>
      <c r="G1633" t="str">
        <f>Procurement_Raw!G1633</f>
        <v>INV-2025-01632</v>
      </c>
      <c r="H1633" s="6">
        <f>Procurement_Raw!H1633</f>
        <v>41</v>
      </c>
      <c r="I1633" s="7">
        <f>Procurement_Raw!I1633</f>
        <v>40.81</v>
      </c>
      <c r="J1633" s="7">
        <f>Procurement_Raw!J1633</f>
        <v>1673.15</v>
      </c>
      <c r="K1633" s="6">
        <f>Procurement_Raw!K1633</f>
        <v>30</v>
      </c>
      <c r="L1633" t="str">
        <f>Procurement_Raw!L1633</f>
        <v>Legacy Spend File</v>
      </c>
      <c r="M1633" s="8">
        <f>Procurement_Raw!M1633</f>
        <v>334.63</v>
      </c>
      <c r="N1633" s="7">
        <f>Procurement_Raw!N1633</f>
        <v>1673.15</v>
      </c>
      <c r="O1633" s="7">
        <f t="shared" si="50"/>
        <v>1673.15</v>
      </c>
      <c r="P1633" t="str">
        <f>IFERROR(INDEX(Supplier_Lookup!$B$2:$B$200,MATCH(E1633,Supplier_Lookup!$A$2:$A$200,0)),"Unmapped")</f>
        <v>Food &amp; Catering</v>
      </c>
      <c r="Q1633" s="10">
        <f>IFERROR(INDEX(Category_Targets!$B$2:$B$9,MATCH(F1633,Category_Targets!$A$2:$A$9,0)),0)</f>
        <v>0.04</v>
      </c>
      <c r="R1633" s="7">
        <f t="shared" si="51"/>
        <v>66.926000000000002</v>
      </c>
    </row>
    <row r="1634" spans="1:18" x14ac:dyDescent="0.25">
      <c r="A1634" s="5">
        <f>Procurement_Raw!A1634</f>
        <v>45780</v>
      </c>
      <c r="B1634" t="str">
        <f>Procurement_Raw!B1634</f>
        <v>S011</v>
      </c>
      <c r="C1634" t="str">
        <f>Procurement_Raw!C1634</f>
        <v>London Care &amp; Education Centre</v>
      </c>
      <c r="D1634" t="str">
        <f>Procurement_Raw!D1634</f>
        <v>South</v>
      </c>
      <c r="E1634" t="str">
        <f>Procurement_Raw!E1634</f>
        <v>KitchenPro</v>
      </c>
      <c r="F1634" t="str">
        <f>Procurement_Raw!F1634</f>
        <v>Food &amp; Catering</v>
      </c>
      <c r="G1634" t="str">
        <f>Procurement_Raw!G1634</f>
        <v>INV-2025-01633</v>
      </c>
      <c r="H1634" s="6">
        <f>Procurement_Raw!H1634</f>
        <v>12</v>
      </c>
      <c r="I1634" s="7">
        <f>Procurement_Raw!I1634</f>
        <v>45.62</v>
      </c>
      <c r="J1634" s="7">
        <f>Procurement_Raw!J1634</f>
        <v>547.49</v>
      </c>
      <c r="K1634" s="6">
        <f>Procurement_Raw!K1634</f>
        <v>30</v>
      </c>
      <c r="L1634" t="str">
        <f>Procurement_Raw!L1634</f>
        <v>Legacy Spend File</v>
      </c>
      <c r="M1634" s="8">
        <f>Procurement_Raw!M1634</f>
        <v>109.498</v>
      </c>
      <c r="N1634" s="7">
        <f>Procurement_Raw!N1634</f>
        <v>547.49</v>
      </c>
      <c r="O1634" s="7">
        <f t="shared" si="50"/>
        <v>547.49</v>
      </c>
      <c r="P1634" t="str">
        <f>IFERROR(INDEX(Supplier_Lookup!$B$2:$B$200,MATCH(E1634,Supplier_Lookup!$A$2:$A$200,0)),"Unmapped")</f>
        <v>Food &amp; Catering</v>
      </c>
      <c r="Q1634" s="10">
        <f>IFERROR(INDEX(Category_Targets!$B$2:$B$9,MATCH(F1634,Category_Targets!$A$2:$A$9,0)),0)</f>
        <v>0.04</v>
      </c>
      <c r="R1634" s="7">
        <f t="shared" si="51"/>
        <v>21.8996</v>
      </c>
    </row>
    <row r="1635" spans="1:18" x14ac:dyDescent="0.25">
      <c r="A1635" s="5">
        <f>Procurement_Raw!A1635</f>
        <v>45804</v>
      </c>
      <c r="B1635" t="str">
        <f>Procurement_Raw!B1635</f>
        <v>S013</v>
      </c>
      <c r="C1635" t="str">
        <f>Procurement_Raw!C1635</f>
        <v>Reading Care &amp; Education Centre</v>
      </c>
      <c r="D1635" t="str">
        <f>Procurement_Raw!D1635</f>
        <v>South</v>
      </c>
      <c r="E1635" t="str">
        <f>Procurement_Raw!E1635</f>
        <v>KitchenPro</v>
      </c>
      <c r="F1635" t="str">
        <f>Procurement_Raw!F1635</f>
        <v>Food &amp; Catering</v>
      </c>
      <c r="G1635" t="str">
        <f>Procurement_Raw!G1635</f>
        <v>INV-2025-01634</v>
      </c>
      <c r="H1635" s="6">
        <f>Procurement_Raw!H1635</f>
        <v>71</v>
      </c>
      <c r="I1635" s="7">
        <f>Procurement_Raw!I1635</f>
        <v>114.53</v>
      </c>
      <c r="J1635" s="7">
        <f>Procurement_Raw!J1635</f>
        <v>8131.87</v>
      </c>
      <c r="K1635" s="6">
        <f>Procurement_Raw!K1635</f>
        <v>45</v>
      </c>
      <c r="L1635" t="str">
        <f>Procurement_Raw!L1635</f>
        <v>ERP</v>
      </c>
      <c r="M1635" s="8">
        <f>Procurement_Raw!M1635</f>
        <v>1626.374</v>
      </c>
      <c r="N1635" s="7">
        <f>Procurement_Raw!N1635</f>
        <v>8131.87</v>
      </c>
      <c r="O1635" s="7">
        <f t="shared" si="50"/>
        <v>8131.87</v>
      </c>
      <c r="P1635" t="str">
        <f>IFERROR(INDEX(Supplier_Lookup!$B$2:$B$200,MATCH(E1635,Supplier_Lookup!$A$2:$A$200,0)),"Unmapped")</f>
        <v>Food &amp; Catering</v>
      </c>
      <c r="Q1635" s="10">
        <f>IFERROR(INDEX(Category_Targets!$B$2:$B$9,MATCH(F1635,Category_Targets!$A$2:$A$9,0)),0)</f>
        <v>0.04</v>
      </c>
      <c r="R1635" s="7">
        <f t="shared" si="51"/>
        <v>325.27480000000003</v>
      </c>
    </row>
    <row r="1636" spans="1:18" x14ac:dyDescent="0.25">
      <c r="A1636" s="5">
        <f>Procurement_Raw!A1636</f>
        <v>45912</v>
      </c>
      <c r="B1636" t="str">
        <f>Procurement_Raw!B1636</f>
        <v>S001</v>
      </c>
      <c r="C1636" t="str">
        <f>Procurement_Raw!C1636</f>
        <v>Preston Care &amp; Education Centre</v>
      </c>
      <c r="D1636" t="str">
        <f>Procurement_Raw!D1636</f>
        <v>North</v>
      </c>
      <c r="E1636" t="str">
        <f>Procurement_Raw!E1636</f>
        <v>SafeGuard FM</v>
      </c>
      <c r="F1636" t="str">
        <f>Procurement_Raw!F1636</f>
        <v>Facilities</v>
      </c>
      <c r="G1636" t="str">
        <f>Procurement_Raw!G1636</f>
        <v>INV-2025-01635</v>
      </c>
      <c r="H1636" s="6">
        <f>Procurement_Raw!H1636</f>
        <v>66</v>
      </c>
      <c r="I1636" s="7">
        <f>Procurement_Raw!I1636</f>
        <v>149.72999999999999</v>
      </c>
      <c r="J1636" s="7">
        <f>Procurement_Raw!J1636</f>
        <v>9882.15</v>
      </c>
      <c r="K1636" s="6">
        <f>Procurement_Raw!K1636</f>
        <v>60</v>
      </c>
      <c r="L1636" t="str">
        <f>Procurement_Raw!L1636</f>
        <v>Legacy Spend File</v>
      </c>
      <c r="M1636" s="8">
        <f>Procurement_Raw!M1636</f>
        <v>1976.43</v>
      </c>
      <c r="N1636" s="7">
        <f>Procurement_Raw!N1636</f>
        <v>9882.15</v>
      </c>
      <c r="O1636" s="7">
        <f t="shared" si="50"/>
        <v>9882.15</v>
      </c>
      <c r="P1636" t="str">
        <f>IFERROR(INDEX(Supplier_Lookup!$B$2:$B$200,MATCH(E1636,Supplier_Lookup!$A$2:$A$200,0)),"Unmapped")</f>
        <v>Facilities</v>
      </c>
      <c r="Q1636" s="10">
        <f>IFERROR(INDEX(Category_Targets!$B$2:$B$9,MATCH(F1636,Category_Targets!$A$2:$A$9,0)),0)</f>
        <v>0.05</v>
      </c>
      <c r="R1636" s="7">
        <f t="shared" si="51"/>
        <v>494.10750000000002</v>
      </c>
    </row>
    <row r="1637" spans="1:18" x14ac:dyDescent="0.25">
      <c r="A1637" s="5">
        <f>Procurement_Raw!A1637</f>
        <v>45665</v>
      </c>
      <c r="B1637" t="str">
        <f>Procurement_Raw!B1637</f>
        <v>S010</v>
      </c>
      <c r="C1637" t="str">
        <f>Procurement_Raw!C1637</f>
        <v>Coventry Care &amp; Education Centre</v>
      </c>
      <c r="D1637" t="str">
        <f>Procurement_Raw!D1637</f>
        <v>Midlands</v>
      </c>
      <c r="E1637" t="str">
        <f>Procurement_Raw!E1637</f>
        <v>NourishCo</v>
      </c>
      <c r="F1637" t="str">
        <f>Procurement_Raw!F1637</f>
        <v>Food &amp; Catering</v>
      </c>
      <c r="G1637" t="str">
        <f>Procurement_Raw!G1637</f>
        <v>INV-2025-01636</v>
      </c>
      <c r="H1637" s="6">
        <f>Procurement_Raw!H1637</f>
        <v>79</v>
      </c>
      <c r="I1637" s="7">
        <f>Procurement_Raw!I1637</f>
        <v>52.06</v>
      </c>
      <c r="J1637" s="7">
        <f>Procurement_Raw!J1637</f>
        <v>4112.67</v>
      </c>
      <c r="K1637" s="6">
        <f>Procurement_Raw!K1637</f>
        <v>30</v>
      </c>
      <c r="L1637" t="str">
        <f>Procurement_Raw!L1637</f>
        <v>Legacy Spend File</v>
      </c>
      <c r="M1637" s="8">
        <f>Procurement_Raw!M1637</f>
        <v>822.53399999999999</v>
      </c>
      <c r="N1637" s="7">
        <f>Procurement_Raw!N1637</f>
        <v>4112.67</v>
      </c>
      <c r="O1637" s="7">
        <f t="shared" si="50"/>
        <v>4112.67</v>
      </c>
      <c r="P1637" t="str">
        <f>IFERROR(INDEX(Supplier_Lookup!$B$2:$B$200,MATCH(E1637,Supplier_Lookup!$A$2:$A$200,0)),"Unmapped")</f>
        <v>Food &amp; Catering</v>
      </c>
      <c r="Q1637" s="10">
        <f>IFERROR(INDEX(Category_Targets!$B$2:$B$9,MATCH(F1637,Category_Targets!$A$2:$A$9,0)),0)</f>
        <v>0.04</v>
      </c>
      <c r="R1637" s="7">
        <f t="shared" si="51"/>
        <v>164.5068</v>
      </c>
    </row>
    <row r="1638" spans="1:18" x14ac:dyDescent="0.25">
      <c r="A1638" s="5">
        <f>Procurement_Raw!A1638</f>
        <v>45931</v>
      </c>
      <c r="B1638" t="str">
        <f>Procurement_Raw!B1638</f>
        <v>S009</v>
      </c>
      <c r="C1638" t="str">
        <f>Procurement_Raw!C1638</f>
        <v>Derby Care &amp; Education Centre</v>
      </c>
      <c r="D1638" t="str">
        <f>Procurement_Raw!D1638</f>
        <v>Midlands</v>
      </c>
      <c r="E1638" t="str">
        <f>Procurement_Raw!E1638</f>
        <v>NurseLink</v>
      </c>
      <c r="F1638" t="str">
        <f>Procurement_Raw!F1638</f>
        <v>Agency Labour</v>
      </c>
      <c r="G1638" t="str">
        <f>Procurement_Raw!G1638</f>
        <v>INV-2025-01637</v>
      </c>
      <c r="H1638" s="6">
        <f>Procurement_Raw!H1638</f>
        <v>45</v>
      </c>
      <c r="I1638" s="7">
        <f>Procurement_Raw!I1638</f>
        <v>177.41</v>
      </c>
      <c r="J1638" s="7">
        <f>Procurement_Raw!J1638</f>
        <v>7983.46</v>
      </c>
      <c r="K1638" s="6">
        <f>Procurement_Raw!K1638</f>
        <v>30</v>
      </c>
      <c r="L1638" t="str">
        <f>Procurement_Raw!L1638</f>
        <v>Legacy Spend File</v>
      </c>
      <c r="M1638" s="8">
        <f>Procurement_Raw!M1638</f>
        <v>1596.692</v>
      </c>
      <c r="N1638" s="7">
        <f>Procurement_Raw!N1638</f>
        <v>7983.46</v>
      </c>
      <c r="O1638" s="7">
        <f t="shared" si="50"/>
        <v>7983.46</v>
      </c>
      <c r="P1638" t="str">
        <f>IFERROR(INDEX(Supplier_Lookup!$B$2:$B$200,MATCH(E1638,Supplier_Lookup!$A$2:$A$200,0)),"Unmapped")</f>
        <v>Agency Labour</v>
      </c>
      <c r="Q1638" s="10">
        <f>IFERROR(INDEX(Category_Targets!$B$2:$B$9,MATCH(F1638,Category_Targets!$A$2:$A$9,0)),0)</f>
        <v>7.0000000000000007E-2</v>
      </c>
      <c r="R1638" s="7">
        <f t="shared" si="51"/>
        <v>558.84220000000005</v>
      </c>
    </row>
    <row r="1639" spans="1:18" x14ac:dyDescent="0.25">
      <c r="A1639" s="5">
        <f>Procurement_Raw!A1639</f>
        <v>45887</v>
      </c>
      <c r="B1639" t="str">
        <f>Procurement_Raw!B1639</f>
        <v>S003</v>
      </c>
      <c r="C1639" t="str">
        <f>Procurement_Raw!C1639</f>
        <v>Leeds Care &amp; Education Centre</v>
      </c>
      <c r="D1639" t="str">
        <f>Procurement_Raw!D1639</f>
        <v>North</v>
      </c>
      <c r="E1639" t="str">
        <f>Procurement_Raw!E1639</f>
        <v>ClinEquip</v>
      </c>
      <c r="F1639" t="str">
        <f>Procurement_Raw!F1639</f>
        <v>Medical Supplies</v>
      </c>
      <c r="G1639" t="str">
        <f>Procurement_Raw!G1639</f>
        <v>INV-2025-01638</v>
      </c>
      <c r="H1639" s="6">
        <f>Procurement_Raw!H1639</f>
        <v>22</v>
      </c>
      <c r="I1639" s="7">
        <f>Procurement_Raw!I1639</f>
        <v>151.47999999999999</v>
      </c>
      <c r="J1639" s="7">
        <f>Procurement_Raw!J1639</f>
        <v>3332.62</v>
      </c>
      <c r="K1639" s="6">
        <f>Procurement_Raw!K1639</f>
        <v>60</v>
      </c>
      <c r="L1639" t="str">
        <f>Procurement_Raw!L1639</f>
        <v>Legacy Spend File</v>
      </c>
      <c r="M1639" s="8">
        <f>Procurement_Raw!M1639</f>
        <v>666.524</v>
      </c>
      <c r="N1639" s="7">
        <f>Procurement_Raw!N1639</f>
        <v>3332.62</v>
      </c>
      <c r="O1639" s="7">
        <f t="shared" si="50"/>
        <v>3332.62</v>
      </c>
      <c r="P1639" t="str">
        <f>IFERROR(INDEX(Supplier_Lookup!$B$2:$B$200,MATCH(E1639,Supplier_Lookup!$A$2:$A$200,0)),"Unmapped")</f>
        <v>Medical Supplies</v>
      </c>
      <c r="Q1639" s="10">
        <f>IFERROR(INDEX(Category_Targets!$B$2:$B$9,MATCH(F1639,Category_Targets!$A$2:$A$9,0)),0)</f>
        <v>0.06</v>
      </c>
      <c r="R1639" s="7">
        <f t="shared" si="51"/>
        <v>199.95719999999997</v>
      </c>
    </row>
    <row r="1640" spans="1:18" x14ac:dyDescent="0.25">
      <c r="A1640" s="5">
        <f>Procurement_Raw!A1640</f>
        <v>45845</v>
      </c>
      <c r="B1640" t="str">
        <f>Procurement_Raw!B1640</f>
        <v>S020</v>
      </c>
      <c r="C1640" t="str">
        <f>Procurement_Raw!C1640</f>
        <v>Bangor Care &amp; Education Centre</v>
      </c>
      <c r="D1640" t="str">
        <f>Procurement_Raw!D1640</f>
        <v>Wales</v>
      </c>
      <c r="E1640" t="str">
        <f>Procurement_Raw!E1640</f>
        <v>CleanWorks</v>
      </c>
      <c r="F1640" t="str">
        <f>Procurement_Raw!F1640</f>
        <v>Facilities</v>
      </c>
      <c r="G1640" t="str">
        <f>Procurement_Raw!G1640</f>
        <v>INV-2025-01639</v>
      </c>
      <c r="H1640" s="6">
        <f>Procurement_Raw!H1640</f>
        <v>18</v>
      </c>
      <c r="I1640" s="7">
        <f>Procurement_Raw!I1640</f>
        <v>559.66999999999996</v>
      </c>
      <c r="J1640" s="7">
        <f>Procurement_Raw!J1640</f>
        <v>10074.040000000001</v>
      </c>
      <c r="K1640" s="6">
        <f>Procurement_Raw!K1640</f>
        <v>60</v>
      </c>
      <c r="L1640" t="str">
        <f>Procurement_Raw!L1640</f>
        <v>Procurement Portal</v>
      </c>
      <c r="M1640" s="8">
        <f>Procurement_Raw!M1640</f>
        <v>2014.808</v>
      </c>
      <c r="N1640" s="7">
        <f>Procurement_Raw!N1640</f>
        <v>10074.040000000001</v>
      </c>
      <c r="O1640" s="7">
        <f t="shared" si="50"/>
        <v>10074.040000000001</v>
      </c>
      <c r="P1640" t="str">
        <f>IFERROR(INDEX(Supplier_Lookup!$B$2:$B$200,MATCH(E1640,Supplier_Lookup!$A$2:$A$200,0)),"Unmapped")</f>
        <v>Facilities</v>
      </c>
      <c r="Q1640" s="10">
        <f>IFERROR(INDEX(Category_Targets!$B$2:$B$9,MATCH(F1640,Category_Targets!$A$2:$A$9,0)),0)</f>
        <v>0.05</v>
      </c>
      <c r="R1640" s="7">
        <f t="shared" si="51"/>
        <v>503.70200000000006</v>
      </c>
    </row>
    <row r="1641" spans="1:18" x14ac:dyDescent="0.25">
      <c r="A1641" s="5">
        <f>Procurement_Raw!A1641</f>
        <v>45852</v>
      </c>
      <c r="B1641" t="str">
        <f>Procurement_Raw!B1641</f>
        <v>S006</v>
      </c>
      <c r="C1641" t="str">
        <f>Procurement_Raw!C1641</f>
        <v>Birmingham Care &amp; Education Centre</v>
      </c>
      <c r="D1641" t="str">
        <f>Procurement_Raw!D1641</f>
        <v>Midlands</v>
      </c>
      <c r="E1641" t="str">
        <f>Procurement_Raw!E1641</f>
        <v>CareTemps</v>
      </c>
      <c r="F1641" t="str">
        <f>Procurement_Raw!F1641</f>
        <v>Agency Labour</v>
      </c>
      <c r="G1641" t="str">
        <f>Procurement_Raw!G1641</f>
        <v>INV-2025-01640</v>
      </c>
      <c r="H1641" s="6">
        <f>Procurement_Raw!H1641</f>
        <v>22</v>
      </c>
      <c r="I1641" s="7">
        <f>Procurement_Raw!I1641</f>
        <v>166.77</v>
      </c>
      <c r="J1641" s="7">
        <f>Procurement_Raw!J1641</f>
        <v>3669.03</v>
      </c>
      <c r="K1641" s="6">
        <f>Procurement_Raw!K1641</f>
        <v>45</v>
      </c>
      <c r="L1641" t="str">
        <f>Procurement_Raw!L1641</f>
        <v>ERP</v>
      </c>
      <c r="M1641" s="8">
        <f>Procurement_Raw!M1641</f>
        <v>733.80600000000004</v>
      </c>
      <c r="N1641" s="7">
        <f>Procurement_Raw!N1641</f>
        <v>3669.03</v>
      </c>
      <c r="O1641" s="7">
        <f t="shared" si="50"/>
        <v>3669.03</v>
      </c>
      <c r="P1641" t="str">
        <f>IFERROR(INDEX(Supplier_Lookup!$B$2:$B$200,MATCH(E1641,Supplier_Lookup!$A$2:$A$200,0)),"Unmapped")</f>
        <v>Agency Labour</v>
      </c>
      <c r="Q1641" s="10">
        <f>IFERROR(INDEX(Category_Targets!$B$2:$B$9,MATCH(F1641,Category_Targets!$A$2:$A$9,0)),0)</f>
        <v>7.0000000000000007E-2</v>
      </c>
      <c r="R1641" s="7">
        <f t="shared" si="51"/>
        <v>256.83210000000003</v>
      </c>
    </row>
    <row r="1642" spans="1:18" x14ac:dyDescent="0.25">
      <c r="A1642" s="5">
        <f>Procurement_Raw!A1642</f>
        <v>45718</v>
      </c>
      <c r="B1642" t="str">
        <f>Procurement_Raw!B1642</f>
        <v>S007</v>
      </c>
      <c r="C1642" t="str">
        <f>Procurement_Raw!C1642</f>
        <v>Nottingham Care &amp; Education Centre</v>
      </c>
      <c r="D1642" t="str">
        <f>Procurement_Raw!D1642</f>
        <v>Midlands</v>
      </c>
      <c r="E1642" t="str">
        <f>Procurement_Raw!E1642</f>
        <v>PowerDirect</v>
      </c>
      <c r="F1642" t="str">
        <f>Procurement_Raw!F1642</f>
        <v>Utilities</v>
      </c>
      <c r="G1642" t="str">
        <f>Procurement_Raw!G1642</f>
        <v>INV-2025-01641</v>
      </c>
      <c r="H1642" s="6">
        <f>Procurement_Raw!H1642</f>
        <v>38</v>
      </c>
      <c r="I1642" s="7">
        <f>Procurement_Raw!I1642</f>
        <v>253.35</v>
      </c>
      <c r="J1642" s="7">
        <f>Procurement_Raw!J1642</f>
        <v>9627.39</v>
      </c>
      <c r="K1642" s="6">
        <f>Procurement_Raw!K1642</f>
        <v>45</v>
      </c>
      <c r="L1642" t="str">
        <f>Procurement_Raw!L1642</f>
        <v>Procurement Portal</v>
      </c>
      <c r="M1642" s="8">
        <f>Procurement_Raw!M1642</f>
        <v>1925.4780000000001</v>
      </c>
      <c r="N1642" s="7">
        <f>Procurement_Raw!N1642</f>
        <v>9627.39</v>
      </c>
      <c r="O1642" s="7">
        <f t="shared" si="50"/>
        <v>9627.39</v>
      </c>
      <c r="P1642" t="str">
        <f>IFERROR(INDEX(Supplier_Lookup!$B$2:$B$200,MATCH(E1642,Supplier_Lookup!$A$2:$A$200,0)),"Unmapped")</f>
        <v>Utilities</v>
      </c>
      <c r="Q1642" s="10">
        <f>IFERROR(INDEX(Category_Targets!$B$2:$B$9,MATCH(F1642,Category_Targets!$A$2:$A$9,0)),0)</f>
        <v>0.03</v>
      </c>
      <c r="R1642" s="7">
        <f t="shared" si="51"/>
        <v>288.82169999999996</v>
      </c>
    </row>
    <row r="1643" spans="1:18" x14ac:dyDescent="0.25">
      <c r="A1643" s="5">
        <f>Procurement_Raw!A1643</f>
        <v>45659</v>
      </c>
      <c r="B1643" t="str">
        <f>Procurement_Raw!B1643</f>
        <v>S019</v>
      </c>
      <c r="C1643" t="str">
        <f>Procurement_Raw!C1643</f>
        <v>Wrexham Care &amp; Education Centre</v>
      </c>
      <c r="D1643" t="str">
        <f>Procurement_Raw!D1643</f>
        <v>Wales</v>
      </c>
      <c r="E1643" t="str">
        <f>Procurement_Raw!E1643</f>
        <v>CloudLink</v>
      </c>
      <c r="F1643" t="str">
        <f>Procurement_Raw!F1643</f>
        <v>IT &amp; Telecoms</v>
      </c>
      <c r="G1643" t="str">
        <f>Procurement_Raw!G1643</f>
        <v>INV-2025-01642</v>
      </c>
      <c r="H1643" s="6">
        <f>Procurement_Raw!H1643</f>
        <v>73</v>
      </c>
      <c r="I1643" s="7">
        <f>Procurement_Raw!I1643</f>
        <v>478.35</v>
      </c>
      <c r="J1643" s="7">
        <f>Procurement_Raw!J1643</f>
        <v>34919.769999999997</v>
      </c>
      <c r="K1643" s="6">
        <f>Procurement_Raw!K1643</f>
        <v>45</v>
      </c>
      <c r="L1643" t="str">
        <f>Procurement_Raw!L1643</f>
        <v>ERP</v>
      </c>
      <c r="M1643" s="8">
        <f>Procurement_Raw!M1643</f>
        <v>6983.9539999999997</v>
      </c>
      <c r="N1643" s="7">
        <f>Procurement_Raw!N1643</f>
        <v>34919.769999999997</v>
      </c>
      <c r="O1643" s="7">
        <f t="shared" si="50"/>
        <v>34919.769999999997</v>
      </c>
      <c r="P1643" t="str">
        <f>IFERROR(INDEX(Supplier_Lookup!$B$2:$B$200,MATCH(E1643,Supplier_Lookup!$A$2:$A$200,0)),"Unmapped")</f>
        <v>medical supplies</v>
      </c>
      <c r="Q1643" s="10">
        <f>IFERROR(INDEX(Category_Targets!$B$2:$B$9,MATCH(F1643,Category_Targets!$A$2:$A$9,0)),0)</f>
        <v>0.08</v>
      </c>
      <c r="R1643" s="7">
        <f t="shared" si="51"/>
        <v>2793.5816</v>
      </c>
    </row>
    <row r="1644" spans="1:18" x14ac:dyDescent="0.25">
      <c r="A1644" s="5">
        <f>Procurement_Raw!A1644</f>
        <v>45974</v>
      </c>
      <c r="B1644" t="str">
        <f>Procurement_Raw!B1644</f>
        <v>S014</v>
      </c>
      <c r="C1644" t="str">
        <f>Procurement_Raw!C1644</f>
        <v>Southampton Care &amp; Education Centre</v>
      </c>
      <c r="D1644" t="str">
        <f>Procurement_Raw!D1644</f>
        <v>South</v>
      </c>
      <c r="E1644" t="str">
        <f>Procurement_Raw!E1644</f>
        <v>CareMed</v>
      </c>
      <c r="F1644" t="str">
        <f>Procurement_Raw!F1644</f>
        <v>Medical Supplies</v>
      </c>
      <c r="G1644" t="str">
        <f>Procurement_Raw!G1644</f>
        <v>INV-2025-01643</v>
      </c>
      <c r="H1644" s="6">
        <f>Procurement_Raw!H1644</f>
        <v>63</v>
      </c>
      <c r="I1644" s="7">
        <f>Procurement_Raw!I1644</f>
        <v>114.86</v>
      </c>
      <c r="J1644" s="7">
        <f>Procurement_Raw!J1644</f>
        <v>7236</v>
      </c>
      <c r="K1644" s="6">
        <f>Procurement_Raw!K1644</f>
        <v>30</v>
      </c>
      <c r="L1644" t="str">
        <f>Procurement_Raw!L1644</f>
        <v>Procurement Portal</v>
      </c>
      <c r="M1644" s="8">
        <f>Procurement_Raw!M1644</f>
        <v>1447.2</v>
      </c>
      <c r="N1644" s="7">
        <f>Procurement_Raw!N1644</f>
        <v>7236</v>
      </c>
      <c r="O1644" s="7">
        <f t="shared" si="50"/>
        <v>7236</v>
      </c>
      <c r="P1644" t="str">
        <f>IFERROR(INDEX(Supplier_Lookup!$B$2:$B$200,MATCH(E1644,Supplier_Lookup!$A$2:$A$200,0)),"Unmapped")</f>
        <v>Medical Supplies</v>
      </c>
      <c r="Q1644" s="10">
        <f>IFERROR(INDEX(Category_Targets!$B$2:$B$9,MATCH(F1644,Category_Targets!$A$2:$A$9,0)),0)</f>
        <v>0.06</v>
      </c>
      <c r="R1644" s="7">
        <f t="shared" si="51"/>
        <v>434.15999999999997</v>
      </c>
    </row>
    <row r="1645" spans="1:18" x14ac:dyDescent="0.25">
      <c r="A1645" s="5">
        <f>Procurement_Raw!A1645</f>
        <v>45810</v>
      </c>
      <c r="B1645" t="str">
        <f>Procurement_Raw!B1645</f>
        <v>S012</v>
      </c>
      <c r="C1645" t="str">
        <f>Procurement_Raw!C1645</f>
        <v>Bristol Care &amp; Education Centre</v>
      </c>
      <c r="D1645" t="str">
        <f>Procurement_Raw!D1645</f>
        <v>South</v>
      </c>
      <c r="E1645" t="str">
        <f>Procurement_Raw!E1645</f>
        <v>LearnWell</v>
      </c>
      <c r="F1645" t="str">
        <f>Procurement_Raw!F1645</f>
        <v>Office &amp; Training</v>
      </c>
      <c r="G1645" t="str">
        <f>Procurement_Raw!G1645</f>
        <v>INV-2025-01644</v>
      </c>
      <c r="H1645" s="6">
        <f>Procurement_Raw!H1645</f>
        <v>46</v>
      </c>
      <c r="I1645" s="7">
        <f>Procurement_Raw!I1645</f>
        <v>96.19</v>
      </c>
      <c r="J1645" s="7">
        <f>Procurement_Raw!J1645</f>
        <v>4424.59</v>
      </c>
      <c r="K1645" s="6">
        <f>Procurement_Raw!K1645</f>
        <v>30</v>
      </c>
      <c r="L1645" t="str">
        <f>Procurement_Raw!L1645</f>
        <v>ERP</v>
      </c>
      <c r="M1645" s="8">
        <f>Procurement_Raw!M1645</f>
        <v>884.91800000000001</v>
      </c>
      <c r="N1645" s="7">
        <f>Procurement_Raw!N1645</f>
        <v>4424.59</v>
      </c>
      <c r="O1645" s="7">
        <f t="shared" si="50"/>
        <v>4424.59</v>
      </c>
      <c r="P1645" t="str">
        <f>IFERROR(INDEX(Supplier_Lookup!$B$2:$B$200,MATCH(E1645,Supplier_Lookup!$A$2:$A$200,0)),"Unmapped")</f>
        <v>Office &amp; Training</v>
      </c>
      <c r="Q1645" s="10">
        <f>IFERROR(INDEX(Category_Targets!$B$2:$B$9,MATCH(F1645,Category_Targets!$A$2:$A$9,0)),0)</f>
        <v>0.04</v>
      </c>
      <c r="R1645" s="7">
        <f t="shared" si="51"/>
        <v>176.9836</v>
      </c>
    </row>
    <row r="1646" spans="1:18" x14ac:dyDescent="0.25">
      <c r="A1646" s="5">
        <f>Procurement_Raw!A1646</f>
        <v>45839</v>
      </c>
      <c r="B1646" t="str">
        <f>Procurement_Raw!B1646</f>
        <v>S009</v>
      </c>
      <c r="C1646" t="str">
        <f>Procurement_Raw!C1646</f>
        <v>Derby Care &amp; Education Centre</v>
      </c>
      <c r="D1646" t="str">
        <f>Procurement_Raw!D1646</f>
        <v>Midlands</v>
      </c>
      <c r="E1646" t="str">
        <f>Procurement_Raw!E1646</f>
        <v>safeguard fm</v>
      </c>
      <c r="F1646" t="str">
        <f>Procurement_Raw!F1646</f>
        <v>Facilities</v>
      </c>
      <c r="G1646" t="str">
        <f>Procurement_Raw!G1646</f>
        <v>INV-2025-01645</v>
      </c>
      <c r="H1646" s="6">
        <f>Procurement_Raw!H1646</f>
        <v>2</v>
      </c>
      <c r="I1646" s="7">
        <f>Procurement_Raw!I1646</f>
        <v>100.35</v>
      </c>
      <c r="J1646" s="7">
        <f>Procurement_Raw!J1646</f>
        <v>200.7</v>
      </c>
      <c r="K1646" s="6">
        <f>Procurement_Raw!K1646</f>
        <v>30</v>
      </c>
      <c r="L1646" t="str">
        <f>Procurement_Raw!L1646</f>
        <v>Procurement Portal</v>
      </c>
      <c r="M1646" s="8">
        <f>Procurement_Raw!M1646</f>
        <v>40.14</v>
      </c>
      <c r="N1646" s="7">
        <f>Procurement_Raw!N1646</f>
        <v>200.7</v>
      </c>
      <c r="O1646" s="7">
        <f t="shared" si="50"/>
        <v>200.7</v>
      </c>
      <c r="P1646" t="str">
        <f>IFERROR(INDEX(Supplier_Lookup!$B$2:$B$200,MATCH(E1646,Supplier_Lookup!$A$2:$A$200,0)),"Unmapped")</f>
        <v>Facilities</v>
      </c>
      <c r="Q1646" s="10">
        <f>IFERROR(INDEX(Category_Targets!$B$2:$B$9,MATCH(F1646,Category_Targets!$A$2:$A$9,0)),0)</f>
        <v>0.05</v>
      </c>
      <c r="R1646" s="7">
        <f t="shared" si="51"/>
        <v>10.035</v>
      </c>
    </row>
    <row r="1647" spans="1:18" x14ac:dyDescent="0.25">
      <c r="A1647" s="5">
        <f>Procurement_Raw!A1647</f>
        <v>45928</v>
      </c>
      <c r="B1647" t="str">
        <f>Procurement_Raw!B1647</f>
        <v>S019</v>
      </c>
      <c r="C1647" t="str">
        <f>Procurement_Raw!C1647</f>
        <v>Wrexham Care &amp; Education Centre</v>
      </c>
      <c r="D1647" t="str">
        <f>Procurement_Raw!D1647</f>
        <v>Wales</v>
      </c>
      <c r="E1647" t="str">
        <f>Procurement_Raw!E1647</f>
        <v>UK Energy Partners</v>
      </c>
      <c r="F1647" t="str">
        <f>Procurement_Raw!F1647</f>
        <v>Utilities</v>
      </c>
      <c r="G1647" t="str">
        <f>Procurement_Raw!G1647</f>
        <v>INV-2025-01646</v>
      </c>
      <c r="H1647" s="6">
        <f>Procurement_Raw!H1647</f>
        <v>66</v>
      </c>
      <c r="I1647" s="7">
        <f>Procurement_Raw!I1647</f>
        <v>316.41000000000003</v>
      </c>
      <c r="J1647" s="7">
        <f>Procurement_Raw!J1647</f>
        <v>20882.87</v>
      </c>
      <c r="K1647" s="6">
        <f>Procurement_Raw!K1647</f>
        <v>30</v>
      </c>
      <c r="L1647" t="str">
        <f>Procurement_Raw!L1647</f>
        <v>Procurement Portal</v>
      </c>
      <c r="M1647" s="8">
        <f>Procurement_Raw!M1647</f>
        <v>4176.5739999999996</v>
      </c>
      <c r="N1647" s="7">
        <f>Procurement_Raw!N1647</f>
        <v>20882.87</v>
      </c>
      <c r="O1647" s="7">
        <f t="shared" si="50"/>
        <v>20882.87</v>
      </c>
      <c r="P1647" t="str">
        <f>IFERROR(INDEX(Supplier_Lookup!$B$2:$B$200,MATCH(E1647,Supplier_Lookup!$A$2:$A$200,0)),"Unmapped")</f>
        <v>Utilities</v>
      </c>
      <c r="Q1647" s="10">
        <f>IFERROR(INDEX(Category_Targets!$B$2:$B$9,MATCH(F1647,Category_Targets!$A$2:$A$9,0)),0)</f>
        <v>0.03</v>
      </c>
      <c r="R1647" s="7">
        <f t="shared" si="51"/>
        <v>626.48609999999996</v>
      </c>
    </row>
    <row r="1648" spans="1:18" x14ac:dyDescent="0.25">
      <c r="A1648" s="5">
        <f>Procurement_Raw!A1648</f>
        <v>45737</v>
      </c>
      <c r="B1648" t="str">
        <f>Procurement_Raw!B1648</f>
        <v>S019</v>
      </c>
      <c r="C1648" t="str">
        <f>Procurement_Raw!C1648</f>
        <v>Wrexham Care &amp; Education Centre</v>
      </c>
      <c r="D1648" t="str">
        <f>Procurement_Raw!D1648</f>
        <v>Wales</v>
      </c>
      <c r="E1648" t="str">
        <f>Procurement_Raw!E1648</f>
        <v>OfficePlus</v>
      </c>
      <c r="F1648" t="str">
        <f>Procurement_Raw!F1648</f>
        <v>Office &amp; Training</v>
      </c>
      <c r="G1648" t="str">
        <f>Procurement_Raw!G1648</f>
        <v>INV-2025-01647</v>
      </c>
      <c r="H1648" s="6">
        <f>Procurement_Raw!H1648</f>
        <v>33</v>
      </c>
      <c r="I1648" s="7">
        <f>Procurement_Raw!I1648</f>
        <v>67.66</v>
      </c>
      <c r="J1648" s="7">
        <f>Procurement_Raw!J1648</f>
        <v>2232.92</v>
      </c>
      <c r="K1648" s="6">
        <f>Procurement_Raw!K1648</f>
        <v>30</v>
      </c>
      <c r="L1648" t="str">
        <f>Procurement_Raw!L1648</f>
        <v>Procurement Portal</v>
      </c>
      <c r="M1648" s="8">
        <f>Procurement_Raw!M1648</f>
        <v>446.584</v>
      </c>
      <c r="N1648" s="7">
        <f>Procurement_Raw!N1648</f>
        <v>2232.92</v>
      </c>
      <c r="O1648" s="7">
        <f t="shared" si="50"/>
        <v>2232.92</v>
      </c>
      <c r="P1648" t="str">
        <f>IFERROR(INDEX(Supplier_Lookup!$B$2:$B$200,MATCH(E1648,Supplier_Lookup!$A$2:$A$200,0)),"Unmapped")</f>
        <v>Office &amp; Training</v>
      </c>
      <c r="Q1648" s="10">
        <f>IFERROR(INDEX(Category_Targets!$B$2:$B$9,MATCH(F1648,Category_Targets!$A$2:$A$9,0)),0)</f>
        <v>0.04</v>
      </c>
      <c r="R1648" s="7">
        <f t="shared" si="51"/>
        <v>89.316800000000001</v>
      </c>
    </row>
    <row r="1649" spans="1:18" x14ac:dyDescent="0.25">
      <c r="A1649" s="5">
        <f>Procurement_Raw!A1649</f>
        <v>45844</v>
      </c>
      <c r="B1649" t="str">
        <f>Procurement_Raw!B1649</f>
        <v>S012</v>
      </c>
      <c r="C1649" t="str">
        <f>Procurement_Raw!C1649</f>
        <v>Bristol Care &amp; Education Centre</v>
      </c>
      <c r="D1649" t="str">
        <f>Procurement_Raw!D1649</f>
        <v>South</v>
      </c>
      <c r="E1649" t="str">
        <f>Procurement_Raw!E1649</f>
        <v>RoadReady</v>
      </c>
      <c r="F1649" t="str">
        <f>Procurement_Raw!F1649</f>
        <v>Vehicle &amp; Fuel</v>
      </c>
      <c r="G1649" t="str">
        <f>Procurement_Raw!G1649</f>
        <v>INV-2025-01648</v>
      </c>
      <c r="H1649" s="6">
        <f>Procurement_Raw!H1649</f>
        <v>55</v>
      </c>
      <c r="I1649" s="7">
        <f>Procurement_Raw!I1649</f>
        <v>163.37</v>
      </c>
      <c r="J1649" s="7">
        <f>Procurement_Raw!J1649</f>
        <v>8985.4500000000007</v>
      </c>
      <c r="K1649" s="6">
        <f>Procurement_Raw!K1649</f>
        <v>30</v>
      </c>
      <c r="L1649" t="str">
        <f>Procurement_Raw!L1649</f>
        <v>Legacy Spend File</v>
      </c>
      <c r="M1649" s="8">
        <f>Procurement_Raw!M1649</f>
        <v>1797.09</v>
      </c>
      <c r="N1649" s="7">
        <f>Procurement_Raw!N1649</f>
        <v>8985.4500000000007</v>
      </c>
      <c r="O1649" s="7">
        <f t="shared" si="50"/>
        <v>8985.4500000000007</v>
      </c>
      <c r="P1649" t="str">
        <f>IFERROR(INDEX(Supplier_Lookup!$B$2:$B$200,MATCH(E1649,Supplier_Lookup!$A$2:$A$200,0)),"Unmapped")</f>
        <v>Vehicle &amp; Fuel</v>
      </c>
      <c r="Q1649" s="10">
        <f>IFERROR(INDEX(Category_Targets!$B$2:$B$9,MATCH(F1649,Category_Targets!$A$2:$A$9,0)),0)</f>
        <v>0.05</v>
      </c>
      <c r="R1649" s="7">
        <f t="shared" si="51"/>
        <v>449.27250000000004</v>
      </c>
    </row>
    <row r="1650" spans="1:18" x14ac:dyDescent="0.25">
      <c r="A1650" s="5">
        <f>Procurement_Raw!A1650</f>
        <v>45994</v>
      </c>
      <c r="B1650" t="str">
        <f>Procurement_Raw!B1650</f>
        <v>S019</v>
      </c>
      <c r="C1650" t="str">
        <f>Procurement_Raw!C1650</f>
        <v>Wrexham Care &amp; Education Centre</v>
      </c>
      <c r="D1650" t="str">
        <f>Procurement_Raw!D1650</f>
        <v>Wales</v>
      </c>
      <c r="E1650" t="str">
        <f>Procurement_Raw!E1650</f>
        <v>NourishCo</v>
      </c>
      <c r="F1650" t="str">
        <f>Procurement_Raw!F1650</f>
        <v>Food &amp; Catering</v>
      </c>
      <c r="G1650" t="str">
        <f>Procurement_Raw!G1650</f>
        <v>INV-2025-01649</v>
      </c>
      <c r="H1650" s="6">
        <f>Procurement_Raw!H1650</f>
        <v>57</v>
      </c>
      <c r="I1650" s="7">
        <f>Procurement_Raw!I1650</f>
        <v>124.89</v>
      </c>
      <c r="J1650" s="7">
        <f>Procurement_Raw!J1650</f>
        <v>7118.85</v>
      </c>
      <c r="K1650" s="6">
        <f>Procurement_Raw!K1650</f>
        <v>30</v>
      </c>
      <c r="L1650" t="str">
        <f>Procurement_Raw!L1650</f>
        <v>ERP</v>
      </c>
      <c r="M1650" s="8">
        <f>Procurement_Raw!M1650</f>
        <v>1423.77</v>
      </c>
      <c r="N1650" s="7">
        <f>Procurement_Raw!N1650</f>
        <v>7118.85</v>
      </c>
      <c r="O1650" s="7">
        <f t="shared" si="50"/>
        <v>7118.85</v>
      </c>
      <c r="P1650" t="str">
        <f>IFERROR(INDEX(Supplier_Lookup!$B$2:$B$200,MATCH(E1650,Supplier_Lookup!$A$2:$A$200,0)),"Unmapped")</f>
        <v>Food &amp; Catering</v>
      </c>
      <c r="Q1650" s="10">
        <f>IFERROR(INDEX(Category_Targets!$B$2:$B$9,MATCH(F1650,Category_Targets!$A$2:$A$9,0)),0)</f>
        <v>0.04</v>
      </c>
      <c r="R1650" s="7">
        <f t="shared" si="51"/>
        <v>284.75400000000002</v>
      </c>
    </row>
    <row r="1651" spans="1:18" x14ac:dyDescent="0.25">
      <c r="A1651" s="5">
        <f>Procurement_Raw!A1651</f>
        <v>45841</v>
      </c>
      <c r="B1651" t="str">
        <f>Procurement_Raw!B1651</f>
        <v>S016</v>
      </c>
      <c r="C1651" t="str">
        <f>Procurement_Raw!C1651</f>
        <v>Cardiff Care &amp; Education Centre</v>
      </c>
      <c r="D1651" t="str">
        <f>Procurement_Raw!D1651</f>
        <v>Wales</v>
      </c>
      <c r="E1651" t="str">
        <f>Procurement_Raw!E1651</f>
        <v>HealthStaffing</v>
      </c>
      <c r="F1651" t="str">
        <f>Procurement_Raw!F1651</f>
        <v>Agency Labour</v>
      </c>
      <c r="G1651" t="str">
        <f>Procurement_Raw!G1651</f>
        <v>INV-2025-01650</v>
      </c>
      <c r="H1651" s="6">
        <f>Procurement_Raw!H1651</f>
        <v>26</v>
      </c>
      <c r="I1651" s="7">
        <f>Procurement_Raw!I1651</f>
        <v>1246.43</v>
      </c>
      <c r="J1651" s="7">
        <f>Procurement_Raw!J1651</f>
        <v>32407.3</v>
      </c>
      <c r="K1651" s="6">
        <f>Procurement_Raw!K1651</f>
        <v>30</v>
      </c>
      <c r="L1651" t="str">
        <f>Procurement_Raw!L1651</f>
        <v>ERP</v>
      </c>
      <c r="M1651" s="8">
        <f>Procurement_Raw!M1651</f>
        <v>6481.46</v>
      </c>
      <c r="N1651" s="7">
        <f>Procurement_Raw!N1651</f>
        <v>32407.3</v>
      </c>
      <c r="O1651" s="7">
        <f t="shared" si="50"/>
        <v>32407.3</v>
      </c>
      <c r="P1651" t="str">
        <f>IFERROR(INDEX(Supplier_Lookup!$B$2:$B$200,MATCH(E1651,Supplier_Lookup!$A$2:$A$200,0)),"Unmapped")</f>
        <v>Agency Labour</v>
      </c>
      <c r="Q1651" s="10">
        <f>IFERROR(INDEX(Category_Targets!$B$2:$B$9,MATCH(F1651,Category_Targets!$A$2:$A$9,0)),0)</f>
        <v>7.0000000000000007E-2</v>
      </c>
      <c r="R1651" s="7">
        <f t="shared" si="51"/>
        <v>2268.511</v>
      </c>
    </row>
    <row r="1652" spans="1:18" x14ac:dyDescent="0.25">
      <c r="A1652" s="5">
        <f>Procurement_Raw!A1652</f>
        <v>45860</v>
      </c>
      <c r="B1652" t="str">
        <f>Procurement_Raw!B1652</f>
        <v>S016</v>
      </c>
      <c r="C1652" t="str">
        <f>Procurement_Raw!C1652</f>
        <v>Cardiff Care &amp; Education Centre</v>
      </c>
      <c r="D1652" t="str">
        <f>Procurement_Raw!D1652</f>
        <v>Wales</v>
      </c>
      <c r="E1652" t="str">
        <f>Procurement_Raw!E1652</f>
        <v>MediSure</v>
      </c>
      <c r="F1652" t="str">
        <f>Procurement_Raw!F1652</f>
        <v>Medical Supplies</v>
      </c>
      <c r="G1652" t="str">
        <f>Procurement_Raw!G1652</f>
        <v>INV-2025-01651</v>
      </c>
      <c r="H1652" s="6">
        <f>Procurement_Raw!H1652</f>
        <v>54</v>
      </c>
      <c r="I1652" s="7">
        <f>Procurement_Raw!I1652</f>
        <v>165.06</v>
      </c>
      <c r="J1652" s="7">
        <f>Procurement_Raw!J1652</f>
        <v>8913.07</v>
      </c>
      <c r="K1652" s="6">
        <f>Procurement_Raw!K1652</f>
        <v>60</v>
      </c>
      <c r="L1652" t="str">
        <f>Procurement_Raw!L1652</f>
        <v>Procurement Portal</v>
      </c>
      <c r="M1652" s="8">
        <f>Procurement_Raw!M1652</f>
        <v>1782.614</v>
      </c>
      <c r="N1652" s="7">
        <f>Procurement_Raw!N1652</f>
        <v>8913.07</v>
      </c>
      <c r="O1652" s="7">
        <f t="shared" si="50"/>
        <v>8913.07</v>
      </c>
      <c r="P1652" t="str">
        <f>IFERROR(INDEX(Supplier_Lookup!$B$2:$B$200,MATCH(E1652,Supplier_Lookup!$A$2:$A$200,0)),"Unmapped")</f>
        <v>Medical Supplies</v>
      </c>
      <c r="Q1652" s="10">
        <f>IFERROR(INDEX(Category_Targets!$B$2:$B$9,MATCH(F1652,Category_Targets!$A$2:$A$9,0)),0)</f>
        <v>0.06</v>
      </c>
      <c r="R1652" s="7">
        <f t="shared" si="51"/>
        <v>534.78419999999994</v>
      </c>
    </row>
    <row r="1653" spans="1:18" x14ac:dyDescent="0.25">
      <c r="A1653" s="5">
        <f>Procurement_Raw!A1653</f>
        <v>45759</v>
      </c>
      <c r="B1653" t="str">
        <f>Procurement_Raw!B1653</f>
        <v>S011</v>
      </c>
      <c r="C1653" t="str">
        <f>Procurement_Raw!C1653</f>
        <v>London Care &amp; Education Centre</v>
      </c>
      <c r="D1653" t="str">
        <f>Procurement_Raw!D1653</f>
        <v>South</v>
      </c>
      <c r="E1653" t="str">
        <f>Procurement_Raw!E1653</f>
        <v>BuildCare</v>
      </c>
      <c r="F1653" t="str">
        <f>Procurement_Raw!F1653</f>
        <v>Facilities</v>
      </c>
      <c r="G1653" t="str">
        <f>Procurement_Raw!G1653</f>
        <v>INV-2025-01652</v>
      </c>
      <c r="H1653" s="6">
        <f>Procurement_Raw!H1653</f>
        <v>62</v>
      </c>
      <c r="I1653" s="7">
        <f>Procurement_Raw!I1653</f>
        <v>215.32</v>
      </c>
      <c r="J1653" s="7">
        <f>Procurement_Raw!J1653</f>
        <v>13350.1</v>
      </c>
      <c r="K1653" s="6">
        <f>Procurement_Raw!K1653</f>
        <v>60</v>
      </c>
      <c r="L1653" t="str">
        <f>Procurement_Raw!L1653</f>
        <v>Procurement Portal</v>
      </c>
      <c r="M1653" s="8">
        <f>Procurement_Raw!M1653</f>
        <v>2670.02</v>
      </c>
      <c r="N1653" s="7">
        <f>Procurement_Raw!N1653</f>
        <v>13350.1</v>
      </c>
      <c r="O1653" s="7">
        <f t="shared" si="50"/>
        <v>13350.1</v>
      </c>
      <c r="P1653" t="str">
        <f>IFERROR(INDEX(Supplier_Lookup!$B$2:$B$200,MATCH(E1653,Supplier_Lookup!$A$2:$A$200,0)),"Unmapped")</f>
        <v>Facilities</v>
      </c>
      <c r="Q1653" s="10">
        <f>IFERROR(INDEX(Category_Targets!$B$2:$B$9,MATCH(F1653,Category_Targets!$A$2:$A$9,0)),0)</f>
        <v>0.05</v>
      </c>
      <c r="R1653" s="7">
        <f t="shared" si="51"/>
        <v>667.50500000000011</v>
      </c>
    </row>
    <row r="1654" spans="1:18" x14ac:dyDescent="0.25">
      <c r="A1654" s="5">
        <f>Procurement_Raw!A1654</f>
        <v>45939</v>
      </c>
      <c r="B1654" t="str">
        <f>Procurement_Raw!B1654</f>
        <v>S010</v>
      </c>
      <c r="C1654" t="str">
        <f>Procurement_Raw!C1654</f>
        <v>Coventry Care &amp; Education Centre</v>
      </c>
      <c r="D1654" t="str">
        <f>Procurement_Raw!D1654</f>
        <v>Midlands</v>
      </c>
      <c r="E1654" t="str">
        <f>Procurement_Raw!E1654</f>
        <v>CareTemps</v>
      </c>
      <c r="F1654" t="str">
        <f>Procurement_Raw!F1654</f>
        <v>Agency Labour</v>
      </c>
      <c r="G1654" t="str">
        <f>Procurement_Raw!G1654</f>
        <v>INV-2025-01653</v>
      </c>
      <c r="H1654" s="6">
        <f>Procurement_Raw!H1654</f>
        <v>64</v>
      </c>
      <c r="I1654" s="7">
        <f>Procurement_Raw!I1654</f>
        <v>333.85</v>
      </c>
      <c r="J1654" s="7">
        <f>Procurement_Raw!J1654</f>
        <v>21366.44</v>
      </c>
      <c r="K1654" s="6">
        <f>Procurement_Raw!K1654</f>
        <v>60</v>
      </c>
      <c r="L1654" t="str">
        <f>Procurement_Raw!L1654</f>
        <v>Legacy Spend File</v>
      </c>
      <c r="M1654" s="8">
        <f>Procurement_Raw!M1654</f>
        <v>4273.2879999999996</v>
      </c>
      <c r="N1654" s="7">
        <f>Procurement_Raw!N1654</f>
        <v>21366.44</v>
      </c>
      <c r="O1654" s="7">
        <f t="shared" si="50"/>
        <v>21366.44</v>
      </c>
      <c r="P1654" t="str">
        <f>IFERROR(INDEX(Supplier_Lookup!$B$2:$B$200,MATCH(E1654,Supplier_Lookup!$A$2:$A$200,0)),"Unmapped")</f>
        <v>Agency Labour</v>
      </c>
      <c r="Q1654" s="10">
        <f>IFERROR(INDEX(Category_Targets!$B$2:$B$9,MATCH(F1654,Category_Targets!$A$2:$A$9,0)),0)</f>
        <v>7.0000000000000007E-2</v>
      </c>
      <c r="R1654" s="7">
        <f t="shared" si="51"/>
        <v>1495.6508000000001</v>
      </c>
    </row>
    <row r="1655" spans="1:18" x14ac:dyDescent="0.25">
      <c r="A1655" s="5">
        <f>Procurement_Raw!A1655</f>
        <v>45914</v>
      </c>
      <c r="B1655" t="str">
        <f>Procurement_Raw!B1655</f>
        <v>S015</v>
      </c>
      <c r="C1655" t="str">
        <f>Procurement_Raw!C1655</f>
        <v>Brighton Care &amp; Education Centre</v>
      </c>
      <c r="D1655" t="str">
        <f>Procurement_Raw!D1655</f>
        <v>South</v>
      </c>
      <c r="E1655" t="str">
        <f>Procurement_Raw!E1655</f>
        <v>RoadReady</v>
      </c>
      <c r="F1655" t="str">
        <f>Procurement_Raw!F1655</f>
        <v>Vehicle &amp; Fuel</v>
      </c>
      <c r="G1655" t="str">
        <f>Procurement_Raw!G1655</f>
        <v>INV-2025-01654</v>
      </c>
      <c r="H1655" s="6">
        <f>Procurement_Raw!H1655</f>
        <v>50</v>
      </c>
      <c r="I1655" s="7">
        <f>Procurement_Raw!I1655</f>
        <v>78.23</v>
      </c>
      <c r="J1655" s="7">
        <f>Procurement_Raw!J1655</f>
        <v>3911.43</v>
      </c>
      <c r="K1655" s="6">
        <f>Procurement_Raw!K1655</f>
        <v>30</v>
      </c>
      <c r="L1655" t="str">
        <f>Procurement_Raw!L1655</f>
        <v>ERP</v>
      </c>
      <c r="M1655" s="8">
        <f>Procurement_Raw!M1655</f>
        <v>782.28599999999994</v>
      </c>
      <c r="N1655" s="7">
        <f>Procurement_Raw!N1655</f>
        <v>3911.43</v>
      </c>
      <c r="O1655" s="7">
        <f t="shared" si="50"/>
        <v>3911.43</v>
      </c>
      <c r="P1655" t="str">
        <f>IFERROR(INDEX(Supplier_Lookup!$B$2:$B$200,MATCH(E1655,Supplier_Lookup!$A$2:$A$200,0)),"Unmapped")</f>
        <v>Vehicle &amp; Fuel</v>
      </c>
      <c r="Q1655" s="10">
        <f>IFERROR(INDEX(Category_Targets!$B$2:$B$9,MATCH(F1655,Category_Targets!$A$2:$A$9,0)),0)</f>
        <v>0.05</v>
      </c>
      <c r="R1655" s="7">
        <f t="shared" si="51"/>
        <v>195.57150000000001</v>
      </c>
    </row>
    <row r="1656" spans="1:18" x14ac:dyDescent="0.25">
      <c r="A1656" s="5">
        <f>Procurement_Raw!A1656</f>
        <v>45737</v>
      </c>
      <c r="B1656" t="str">
        <f>Procurement_Raw!B1656</f>
        <v>S011</v>
      </c>
      <c r="C1656" t="str">
        <f>Procurement_Raw!C1656</f>
        <v>London Care &amp; Education Centre</v>
      </c>
      <c r="D1656" t="str">
        <f>Procurement_Raw!D1656</f>
        <v>South</v>
      </c>
      <c r="E1656" t="str">
        <f>Procurement_Raw!E1656</f>
        <v>MediSure</v>
      </c>
      <c r="F1656" t="str">
        <f>Procurement_Raw!F1656</f>
        <v>Medical Supplies</v>
      </c>
      <c r="G1656" t="str">
        <f>Procurement_Raw!G1656</f>
        <v>INV-2025-01655</v>
      </c>
      <c r="H1656" s="6">
        <f>Procurement_Raw!H1656</f>
        <v>45</v>
      </c>
      <c r="I1656" s="7">
        <f>Procurement_Raw!I1656</f>
        <v>144.55000000000001</v>
      </c>
      <c r="J1656" s="7">
        <f>Procurement_Raw!J1656</f>
        <v>6504.96</v>
      </c>
      <c r="K1656" s="6">
        <f>Procurement_Raw!K1656</f>
        <v>60</v>
      </c>
      <c r="L1656" t="str">
        <f>Procurement_Raw!L1656</f>
        <v>ERP</v>
      </c>
      <c r="M1656" s="8">
        <f>Procurement_Raw!M1656</f>
        <v>1300.992</v>
      </c>
      <c r="N1656" s="7">
        <f>Procurement_Raw!N1656</f>
        <v>6504.96</v>
      </c>
      <c r="O1656" s="7">
        <f t="shared" si="50"/>
        <v>6504.96</v>
      </c>
      <c r="P1656" t="str">
        <f>IFERROR(INDEX(Supplier_Lookup!$B$2:$B$200,MATCH(E1656,Supplier_Lookup!$A$2:$A$200,0)),"Unmapped")</f>
        <v>Medical Supplies</v>
      </c>
      <c r="Q1656" s="10">
        <f>IFERROR(INDEX(Category_Targets!$B$2:$B$9,MATCH(F1656,Category_Targets!$A$2:$A$9,0)),0)</f>
        <v>0.06</v>
      </c>
      <c r="R1656" s="7">
        <f t="shared" si="51"/>
        <v>390.29759999999999</v>
      </c>
    </row>
    <row r="1657" spans="1:18" x14ac:dyDescent="0.25">
      <c r="A1657" s="5">
        <f>Procurement_Raw!A1657</f>
        <v>46005</v>
      </c>
      <c r="B1657" t="str">
        <f>Procurement_Raw!B1657</f>
        <v>S013</v>
      </c>
      <c r="C1657" t="str">
        <f>Procurement_Raw!C1657</f>
        <v>Reading Care &amp; Education Centre</v>
      </c>
      <c r="D1657" t="str">
        <f>Procurement_Raw!D1657</f>
        <v>South</v>
      </c>
      <c r="E1657" t="str">
        <f>Procurement_Raw!E1657</f>
        <v>UK Energy Partners</v>
      </c>
      <c r="F1657" t="str">
        <f>Procurement_Raw!F1657</f>
        <v>Utilities</v>
      </c>
      <c r="G1657" t="str">
        <f>Procurement_Raw!G1657</f>
        <v>INV-2025-01656</v>
      </c>
      <c r="H1657" s="6">
        <f>Procurement_Raw!H1657</f>
        <v>44</v>
      </c>
      <c r="I1657" s="7">
        <f>Procurement_Raw!I1657</f>
        <v>212.51</v>
      </c>
      <c r="J1657" s="7">
        <f>Procurement_Raw!J1657</f>
        <v>9350.4500000000007</v>
      </c>
      <c r="K1657" s="6">
        <f>Procurement_Raw!K1657</f>
        <v>45</v>
      </c>
      <c r="L1657" t="str">
        <f>Procurement_Raw!L1657</f>
        <v>Legacy Spend File</v>
      </c>
      <c r="M1657" s="8">
        <f>Procurement_Raw!M1657</f>
        <v>1870.09</v>
      </c>
      <c r="N1657" s="7">
        <f>Procurement_Raw!N1657</f>
        <v>9350.4500000000007</v>
      </c>
      <c r="O1657" s="7">
        <f t="shared" si="50"/>
        <v>9350.4500000000007</v>
      </c>
      <c r="P1657" t="str">
        <f>IFERROR(INDEX(Supplier_Lookup!$B$2:$B$200,MATCH(E1657,Supplier_Lookup!$A$2:$A$200,0)),"Unmapped")</f>
        <v>Utilities</v>
      </c>
      <c r="Q1657" s="10">
        <f>IFERROR(INDEX(Category_Targets!$B$2:$B$9,MATCH(F1657,Category_Targets!$A$2:$A$9,0)),0)</f>
        <v>0.03</v>
      </c>
      <c r="R1657" s="7">
        <f t="shared" si="51"/>
        <v>280.51350000000002</v>
      </c>
    </row>
    <row r="1658" spans="1:18" x14ac:dyDescent="0.25">
      <c r="A1658" s="5">
        <f>Procurement_Raw!A1658</f>
        <v>45903</v>
      </c>
      <c r="B1658" t="str">
        <f>Procurement_Raw!B1658</f>
        <v>S009</v>
      </c>
      <c r="C1658" t="str">
        <f>Procurement_Raw!C1658</f>
        <v>Derby Care &amp; Education Centre</v>
      </c>
      <c r="D1658" t="str">
        <f>Procurement_Raw!D1658</f>
        <v>Midlands</v>
      </c>
      <c r="E1658" t="str">
        <f>Procurement_Raw!E1658</f>
        <v>CareMed</v>
      </c>
      <c r="F1658" t="str">
        <f>Procurement_Raw!F1658</f>
        <v>Medical Supplies</v>
      </c>
      <c r="G1658" t="str">
        <f>Procurement_Raw!G1658</f>
        <v>INV-2025-01657</v>
      </c>
      <c r="H1658" s="6">
        <f>Procurement_Raw!H1658</f>
        <v>38</v>
      </c>
      <c r="I1658" s="7">
        <f>Procurement_Raw!I1658</f>
        <v>131.65</v>
      </c>
      <c r="J1658" s="7">
        <f>Procurement_Raw!J1658</f>
        <v>5002.6899999999996</v>
      </c>
      <c r="K1658" s="6">
        <f>Procurement_Raw!K1658</f>
        <v>45</v>
      </c>
      <c r="L1658" t="str">
        <f>Procurement_Raw!L1658</f>
        <v>Procurement Portal</v>
      </c>
      <c r="M1658" s="8">
        <f>Procurement_Raw!M1658</f>
        <v>1000.538</v>
      </c>
      <c r="N1658" s="7">
        <f>Procurement_Raw!N1658</f>
        <v>5002.6899999999996</v>
      </c>
      <c r="O1658" s="7">
        <f t="shared" si="50"/>
        <v>5002.6899999999996</v>
      </c>
      <c r="P1658" t="str">
        <f>IFERROR(INDEX(Supplier_Lookup!$B$2:$B$200,MATCH(E1658,Supplier_Lookup!$A$2:$A$200,0)),"Unmapped")</f>
        <v>Medical Supplies</v>
      </c>
      <c r="Q1658" s="10">
        <f>IFERROR(INDEX(Category_Targets!$B$2:$B$9,MATCH(F1658,Category_Targets!$A$2:$A$9,0)),0)</f>
        <v>0.06</v>
      </c>
      <c r="R1658" s="7">
        <f t="shared" si="51"/>
        <v>300.16139999999996</v>
      </c>
    </row>
    <row r="1659" spans="1:18" x14ac:dyDescent="0.25">
      <c r="A1659" s="5">
        <f>Procurement_Raw!A1659</f>
        <v>45974</v>
      </c>
      <c r="B1659" t="str">
        <f>Procurement_Raw!B1659</f>
        <v>S011</v>
      </c>
      <c r="C1659" t="str">
        <f>Procurement_Raw!C1659</f>
        <v>London Care &amp; Education Centre</v>
      </c>
      <c r="D1659" t="str">
        <f>Procurement_Raw!D1659</f>
        <v>South</v>
      </c>
      <c r="E1659" t="str">
        <f>Procurement_Raw!E1659</f>
        <v>HealthStaffing</v>
      </c>
      <c r="F1659" t="str">
        <f>Procurement_Raw!F1659</f>
        <v>Agency Labour</v>
      </c>
      <c r="G1659" t="str">
        <f>Procurement_Raw!G1659</f>
        <v>INV-2025-01658</v>
      </c>
      <c r="H1659" s="6">
        <f>Procurement_Raw!H1659</f>
        <v>20</v>
      </c>
      <c r="I1659" s="7">
        <f>Procurement_Raw!I1659</f>
        <v>619.22</v>
      </c>
      <c r="J1659" s="7">
        <f>Procurement_Raw!J1659</f>
        <v>12384.41</v>
      </c>
      <c r="K1659" s="6">
        <f>Procurement_Raw!K1659</f>
        <v>60</v>
      </c>
      <c r="L1659" t="str">
        <f>Procurement_Raw!L1659</f>
        <v>Legacy Spend File</v>
      </c>
      <c r="M1659" s="8">
        <f>Procurement_Raw!M1659</f>
        <v>2476.8820000000001</v>
      </c>
      <c r="N1659" s="7">
        <f>Procurement_Raw!N1659</f>
        <v>12384.41</v>
      </c>
      <c r="O1659" s="7">
        <f t="shared" si="50"/>
        <v>12384.41</v>
      </c>
      <c r="P1659" t="str">
        <f>IFERROR(INDEX(Supplier_Lookup!$B$2:$B$200,MATCH(E1659,Supplier_Lookup!$A$2:$A$200,0)),"Unmapped")</f>
        <v>Agency Labour</v>
      </c>
      <c r="Q1659" s="10">
        <f>IFERROR(INDEX(Category_Targets!$B$2:$B$9,MATCH(F1659,Category_Targets!$A$2:$A$9,0)),0)</f>
        <v>7.0000000000000007E-2</v>
      </c>
      <c r="R1659" s="7">
        <f t="shared" si="51"/>
        <v>866.90870000000007</v>
      </c>
    </row>
    <row r="1660" spans="1:18" x14ac:dyDescent="0.25">
      <c r="A1660" s="5">
        <f>Procurement_Raw!A1660</f>
        <v>45716</v>
      </c>
      <c r="B1660" t="str">
        <f>Procurement_Raw!B1660</f>
        <v>S020</v>
      </c>
      <c r="C1660" t="str">
        <f>Procurement_Raw!C1660</f>
        <v>Bangor Care &amp; Education Centre</v>
      </c>
      <c r="D1660" t="str">
        <f>Procurement_Raw!D1660</f>
        <v>Wales</v>
      </c>
      <c r="E1660" t="str">
        <f>Procurement_Raw!E1660</f>
        <v>WaterGrid</v>
      </c>
      <c r="F1660" t="str">
        <f>Procurement_Raw!F1660</f>
        <v>Utilities</v>
      </c>
      <c r="G1660" t="str">
        <f>Procurement_Raw!G1660</f>
        <v>INV-2025-01659</v>
      </c>
      <c r="H1660" s="6">
        <f>Procurement_Raw!H1660</f>
        <v>34</v>
      </c>
      <c r="I1660" s="7">
        <f>Procurement_Raw!I1660</f>
        <v>143.72</v>
      </c>
      <c r="J1660" s="7">
        <f>Procurement_Raw!J1660</f>
        <v>4886.46</v>
      </c>
      <c r="K1660" s="6">
        <f>Procurement_Raw!K1660</f>
        <v>60</v>
      </c>
      <c r="L1660" t="str">
        <f>Procurement_Raw!L1660</f>
        <v>ERP</v>
      </c>
      <c r="M1660" s="8">
        <f>Procurement_Raw!M1660</f>
        <v>977.29200000000003</v>
      </c>
      <c r="N1660" s="7">
        <f>Procurement_Raw!N1660</f>
        <v>4886.46</v>
      </c>
      <c r="O1660" s="7">
        <f t="shared" si="50"/>
        <v>4886.46</v>
      </c>
      <c r="P1660" t="str">
        <f>IFERROR(INDEX(Supplier_Lookup!$B$2:$B$200,MATCH(E1660,Supplier_Lookup!$A$2:$A$200,0)),"Unmapped")</f>
        <v>Utilities</v>
      </c>
      <c r="Q1660" s="10">
        <f>IFERROR(INDEX(Category_Targets!$B$2:$B$9,MATCH(F1660,Category_Targets!$A$2:$A$9,0)),0)</f>
        <v>0.03</v>
      </c>
      <c r="R1660" s="7">
        <f t="shared" si="51"/>
        <v>146.59379999999999</v>
      </c>
    </row>
    <row r="1661" spans="1:18" x14ac:dyDescent="0.25">
      <c r="A1661" s="5">
        <f>Procurement_Raw!A1661</f>
        <v>45900</v>
      </c>
      <c r="B1661" t="str">
        <f>Procurement_Raw!B1661</f>
        <v>S012</v>
      </c>
      <c r="C1661" t="str">
        <f>Procurement_Raw!C1661</f>
        <v>Bristol Care &amp; Education Centre</v>
      </c>
      <c r="D1661" t="str">
        <f>Procurement_Raw!D1661</f>
        <v>South</v>
      </c>
      <c r="E1661" t="str">
        <f>Procurement_Raw!E1661</f>
        <v>HealthStaffing</v>
      </c>
      <c r="F1661" t="str">
        <f>Procurement_Raw!F1661</f>
        <v>Agency Labour</v>
      </c>
      <c r="G1661" t="str">
        <f>Procurement_Raw!G1661</f>
        <v>INV-2025-01660</v>
      </c>
      <c r="H1661" s="6">
        <f>Procurement_Raw!H1661</f>
        <v>14</v>
      </c>
      <c r="I1661" s="7">
        <f>Procurement_Raw!I1661</f>
        <v>561.55999999999995</v>
      </c>
      <c r="J1661" s="7">
        <f>Procurement_Raw!J1661</f>
        <v>7861.82</v>
      </c>
      <c r="K1661" s="6">
        <f>Procurement_Raw!K1661</f>
        <v>60</v>
      </c>
      <c r="L1661" t="str">
        <f>Procurement_Raw!L1661</f>
        <v>Legacy Spend File</v>
      </c>
      <c r="M1661" s="8">
        <f>Procurement_Raw!M1661</f>
        <v>1572.364</v>
      </c>
      <c r="N1661" s="7">
        <f>Procurement_Raw!N1661</f>
        <v>7861.82</v>
      </c>
      <c r="O1661" s="7">
        <f t="shared" si="50"/>
        <v>7861.82</v>
      </c>
      <c r="P1661" t="str">
        <f>IFERROR(INDEX(Supplier_Lookup!$B$2:$B$200,MATCH(E1661,Supplier_Lookup!$A$2:$A$200,0)),"Unmapped")</f>
        <v>Agency Labour</v>
      </c>
      <c r="Q1661" s="10">
        <f>IFERROR(INDEX(Category_Targets!$B$2:$B$9,MATCH(F1661,Category_Targets!$A$2:$A$9,0)),0)</f>
        <v>7.0000000000000007E-2</v>
      </c>
      <c r="R1661" s="7">
        <f t="shared" si="51"/>
        <v>550.32740000000001</v>
      </c>
    </row>
    <row r="1662" spans="1:18" x14ac:dyDescent="0.25">
      <c r="A1662" s="5">
        <f>Procurement_Raw!A1662</f>
        <v>45960</v>
      </c>
      <c r="B1662" t="str">
        <f>Procurement_Raw!B1662</f>
        <v>S008</v>
      </c>
      <c r="C1662" t="str">
        <f>Procurement_Raw!C1662</f>
        <v>Leicester Care &amp; Education Centre</v>
      </c>
      <c r="D1662" t="str">
        <f>Procurement_Raw!D1662</f>
        <v>Midlands</v>
      </c>
      <c r="E1662" t="str">
        <f>Procurement_Raw!E1662</f>
        <v>CleanWorks</v>
      </c>
      <c r="F1662" t="str">
        <f>Procurement_Raw!F1662</f>
        <v>Facilities</v>
      </c>
      <c r="G1662" t="str">
        <f>Procurement_Raw!G1662</f>
        <v>INV-2025-01661</v>
      </c>
      <c r="H1662" s="6">
        <f>Procurement_Raw!H1662</f>
        <v>20</v>
      </c>
      <c r="I1662" s="7">
        <f>Procurement_Raw!I1662</f>
        <v>371.43</v>
      </c>
      <c r="J1662" s="7">
        <f>Procurement_Raw!J1662</f>
        <v>7428.67</v>
      </c>
      <c r="K1662" s="6">
        <f>Procurement_Raw!K1662</f>
        <v>30</v>
      </c>
      <c r="L1662" t="str">
        <f>Procurement_Raw!L1662</f>
        <v>ERP</v>
      </c>
      <c r="M1662" s="8">
        <f>Procurement_Raw!M1662</f>
        <v>1485.7339999999999</v>
      </c>
      <c r="N1662" s="7">
        <f>Procurement_Raw!N1662</f>
        <v>7428.67</v>
      </c>
      <c r="O1662" s="7">
        <f t="shared" si="50"/>
        <v>7428.67</v>
      </c>
      <c r="P1662" t="str">
        <f>IFERROR(INDEX(Supplier_Lookup!$B$2:$B$200,MATCH(E1662,Supplier_Lookup!$A$2:$A$200,0)),"Unmapped")</f>
        <v>Facilities</v>
      </c>
      <c r="Q1662" s="10">
        <f>IFERROR(INDEX(Category_Targets!$B$2:$B$9,MATCH(F1662,Category_Targets!$A$2:$A$9,0)),0)</f>
        <v>0.05</v>
      </c>
      <c r="R1662" s="7">
        <f t="shared" si="51"/>
        <v>371.43350000000004</v>
      </c>
    </row>
    <row r="1663" spans="1:18" x14ac:dyDescent="0.25">
      <c r="A1663" s="5">
        <f>Procurement_Raw!A1663</f>
        <v>45798</v>
      </c>
      <c r="B1663" t="str">
        <f>Procurement_Raw!B1663</f>
        <v>S018</v>
      </c>
      <c r="C1663" t="str">
        <f>Procurement_Raw!C1663</f>
        <v>Newport Care &amp; Education Centre</v>
      </c>
      <c r="D1663" t="str">
        <f>Procurement_Raw!D1663</f>
        <v>Wales</v>
      </c>
      <c r="E1663" t="str">
        <f>Procurement_Raw!E1663</f>
        <v>HealthStaffing</v>
      </c>
      <c r="F1663" t="str">
        <f>Procurement_Raw!F1663</f>
        <v>Agency Labour</v>
      </c>
      <c r="G1663" t="str">
        <f>Procurement_Raw!G1663</f>
        <v>INV-2025-01662</v>
      </c>
      <c r="H1663" s="6">
        <f>Procurement_Raw!H1663</f>
        <v>25</v>
      </c>
      <c r="I1663" s="7">
        <f>Procurement_Raw!I1663</f>
        <v>281.14</v>
      </c>
      <c r="J1663" s="7">
        <f>Procurement_Raw!J1663</f>
        <v>7028.44</v>
      </c>
      <c r="K1663" s="6">
        <f>Procurement_Raw!K1663</f>
        <v>30</v>
      </c>
      <c r="L1663" t="str">
        <f>Procurement_Raw!L1663</f>
        <v>Procurement Portal</v>
      </c>
      <c r="M1663" s="8">
        <f>Procurement_Raw!M1663</f>
        <v>1405.6880000000001</v>
      </c>
      <c r="N1663" s="7">
        <f>Procurement_Raw!N1663</f>
        <v>7028.44</v>
      </c>
      <c r="O1663" s="7">
        <f t="shared" si="50"/>
        <v>7028.44</v>
      </c>
      <c r="P1663" t="str">
        <f>IFERROR(INDEX(Supplier_Lookup!$B$2:$B$200,MATCH(E1663,Supplier_Lookup!$A$2:$A$200,0)),"Unmapped")</f>
        <v>Agency Labour</v>
      </c>
      <c r="Q1663" s="10">
        <f>IFERROR(INDEX(Category_Targets!$B$2:$B$9,MATCH(F1663,Category_Targets!$A$2:$A$9,0)),0)</f>
        <v>7.0000000000000007E-2</v>
      </c>
      <c r="R1663" s="7">
        <f t="shared" si="51"/>
        <v>491.99080000000004</v>
      </c>
    </row>
    <row r="1664" spans="1:18" x14ac:dyDescent="0.25">
      <c r="A1664" s="5">
        <f>Procurement_Raw!A1664</f>
        <v>45684</v>
      </c>
      <c r="B1664" t="str">
        <f>Procurement_Raw!B1664</f>
        <v>S014</v>
      </c>
      <c r="C1664" t="str">
        <f>Procurement_Raw!C1664</f>
        <v>Southampton Care &amp; Education Centre</v>
      </c>
      <c r="D1664" t="str">
        <f>Procurement_Raw!D1664</f>
        <v>South</v>
      </c>
      <c r="E1664" t="str">
        <f>Procurement_Raw!E1664</f>
        <v>UK Energy Partners</v>
      </c>
      <c r="F1664" t="str">
        <f>Procurement_Raw!F1664</f>
        <v>Utilities</v>
      </c>
      <c r="G1664" t="str">
        <f>Procurement_Raw!G1664</f>
        <v>INV-2025-01663</v>
      </c>
      <c r="H1664" s="6">
        <f>Procurement_Raw!H1664</f>
        <v>49</v>
      </c>
      <c r="I1664" s="7">
        <f>Procurement_Raw!I1664</f>
        <v>77.819999999999993</v>
      </c>
      <c r="J1664" s="7">
        <f>Procurement_Raw!J1664</f>
        <v>3813.34</v>
      </c>
      <c r="K1664" s="6">
        <f>Procurement_Raw!K1664</f>
        <v>45</v>
      </c>
      <c r="L1664" t="str">
        <f>Procurement_Raw!L1664</f>
        <v>Legacy Spend File</v>
      </c>
      <c r="M1664" s="8">
        <f>Procurement_Raw!M1664</f>
        <v>762.66800000000001</v>
      </c>
      <c r="N1664" s="7">
        <f>Procurement_Raw!N1664</f>
        <v>3813.34</v>
      </c>
      <c r="O1664" s="7">
        <f t="shared" si="50"/>
        <v>3813.34</v>
      </c>
      <c r="P1664" t="str">
        <f>IFERROR(INDEX(Supplier_Lookup!$B$2:$B$200,MATCH(E1664,Supplier_Lookup!$A$2:$A$200,0)),"Unmapped")</f>
        <v>Utilities</v>
      </c>
      <c r="Q1664" s="10">
        <f>IFERROR(INDEX(Category_Targets!$B$2:$B$9,MATCH(F1664,Category_Targets!$A$2:$A$9,0)),0)</f>
        <v>0.03</v>
      </c>
      <c r="R1664" s="7">
        <f t="shared" si="51"/>
        <v>114.4002</v>
      </c>
    </row>
    <row r="1665" spans="1:18" x14ac:dyDescent="0.25">
      <c r="A1665" s="5">
        <f>Procurement_Raw!A1665</f>
        <v>45830</v>
      </c>
      <c r="B1665" t="str">
        <f>Procurement_Raw!B1665</f>
        <v>S013</v>
      </c>
      <c r="C1665" t="str">
        <f>Procurement_Raw!C1665</f>
        <v>Reading Care &amp; Education Centre</v>
      </c>
      <c r="D1665" t="str">
        <f>Procurement_Raw!D1665</f>
        <v>South</v>
      </c>
      <c r="E1665" t="str">
        <f>Procurement_Raw!E1665</f>
        <v>UK Energy Partners</v>
      </c>
      <c r="F1665" t="str">
        <f>Procurement_Raw!F1665</f>
        <v>Utilities</v>
      </c>
      <c r="G1665" t="str">
        <f>Procurement_Raw!G1665</f>
        <v>INV-2025-01664</v>
      </c>
      <c r="H1665" s="6">
        <f>Procurement_Raw!H1665</f>
        <v>55</v>
      </c>
      <c r="I1665" s="7">
        <f>Procurement_Raw!I1665</f>
        <v>178.96</v>
      </c>
      <c r="J1665" s="7">
        <f>Procurement_Raw!J1665</f>
        <v>9842.77</v>
      </c>
      <c r="K1665" s="6">
        <f>Procurement_Raw!K1665</f>
        <v>45</v>
      </c>
      <c r="L1665" t="str">
        <f>Procurement_Raw!L1665</f>
        <v>ERP</v>
      </c>
      <c r="M1665" s="8">
        <f>Procurement_Raw!M1665</f>
        <v>1968.5540000000001</v>
      </c>
      <c r="N1665" s="7">
        <f>Procurement_Raw!N1665</f>
        <v>9842.77</v>
      </c>
      <c r="O1665" s="7">
        <f t="shared" si="50"/>
        <v>9842.77</v>
      </c>
      <c r="P1665" t="str">
        <f>IFERROR(INDEX(Supplier_Lookup!$B$2:$B$200,MATCH(E1665,Supplier_Lookup!$A$2:$A$200,0)),"Unmapped")</f>
        <v>Utilities</v>
      </c>
      <c r="Q1665" s="10">
        <f>IFERROR(INDEX(Category_Targets!$B$2:$B$9,MATCH(F1665,Category_Targets!$A$2:$A$9,0)),0)</f>
        <v>0.03</v>
      </c>
      <c r="R1665" s="7">
        <f t="shared" si="51"/>
        <v>295.28309999999999</v>
      </c>
    </row>
    <row r="1666" spans="1:18" x14ac:dyDescent="0.25">
      <c r="A1666" s="5">
        <f>Procurement_Raw!A1666</f>
        <v>45684</v>
      </c>
      <c r="B1666" t="str">
        <f>Procurement_Raw!B1666</f>
        <v>S005</v>
      </c>
      <c r="C1666" t="str">
        <f>Procurement_Raw!C1666</f>
        <v>Sheffield Care &amp; Education Centre</v>
      </c>
      <c r="D1666" t="str">
        <f>Procurement_Raw!D1666</f>
        <v>North</v>
      </c>
      <c r="E1666" t="str">
        <f>Procurement_Raw!E1666</f>
        <v>NurseLink</v>
      </c>
      <c r="F1666" t="str">
        <f>Procurement_Raw!F1666</f>
        <v>Agency Labour</v>
      </c>
      <c r="G1666" t="str">
        <f>Procurement_Raw!G1666</f>
        <v>INV-2025-01665</v>
      </c>
      <c r="H1666" s="6">
        <f>Procurement_Raw!H1666</f>
        <v>39</v>
      </c>
      <c r="I1666" s="7">
        <f>Procurement_Raw!I1666</f>
        <v>612.24</v>
      </c>
      <c r="J1666" s="7">
        <f>Procurement_Raw!J1666</f>
        <v>23877.48</v>
      </c>
      <c r="K1666" s="6">
        <f>Procurement_Raw!K1666</f>
        <v>30</v>
      </c>
      <c r="L1666" t="str">
        <f>Procurement_Raw!L1666</f>
        <v>Procurement Portal</v>
      </c>
      <c r="M1666" s="8">
        <f>Procurement_Raw!M1666</f>
        <v>4775.4960000000001</v>
      </c>
      <c r="N1666" s="7">
        <f>Procurement_Raw!N1666</f>
        <v>23877.48</v>
      </c>
      <c r="O1666" s="7">
        <f t="shared" ref="O1666:O1729" si="52">IFERROR(IF(J1666="","",J1666),0)</f>
        <v>23877.48</v>
      </c>
      <c r="P1666" t="str">
        <f>IFERROR(INDEX(Supplier_Lookup!$B$2:$B$200,MATCH(E1666,Supplier_Lookup!$A$2:$A$200,0)),"Unmapped")</f>
        <v>Agency Labour</v>
      </c>
      <c r="Q1666" s="10">
        <f>IFERROR(INDEX(Category_Targets!$B$2:$B$9,MATCH(F1666,Category_Targets!$A$2:$A$9,0)),0)</f>
        <v>7.0000000000000007E-2</v>
      </c>
      <c r="R1666" s="7">
        <f t="shared" ref="R1666:R1729" si="53">O1666*Q1666</f>
        <v>1671.4236000000001</v>
      </c>
    </row>
    <row r="1667" spans="1:18" x14ac:dyDescent="0.25">
      <c r="A1667" s="5">
        <f>Procurement_Raw!A1667</f>
        <v>46022</v>
      </c>
      <c r="B1667" t="str">
        <f>Procurement_Raw!B1667</f>
        <v>S010</v>
      </c>
      <c r="C1667" t="str">
        <f>Procurement_Raw!C1667</f>
        <v>Coventry Care &amp; Education Centre</v>
      </c>
      <c r="D1667" t="str">
        <f>Procurement_Raw!D1667</f>
        <v>Midlands</v>
      </c>
      <c r="E1667" t="str">
        <f>Procurement_Raw!E1667</f>
        <v>TeleCare IT</v>
      </c>
      <c r="F1667" t="str">
        <f>Procurement_Raw!F1667</f>
        <v>IT &amp; Telecoms</v>
      </c>
      <c r="G1667" t="str">
        <f>Procurement_Raw!G1667</f>
        <v>INV-2025-01666</v>
      </c>
      <c r="H1667" s="6">
        <f>Procurement_Raw!H1667</f>
        <v>54</v>
      </c>
      <c r="I1667" s="7">
        <f>Procurement_Raw!I1667</f>
        <v>217.25</v>
      </c>
      <c r="J1667" s="7">
        <f>Procurement_Raw!J1667</f>
        <v>11731.52</v>
      </c>
      <c r="K1667" s="6">
        <f>Procurement_Raw!K1667</f>
        <v>30</v>
      </c>
      <c r="L1667" t="str">
        <f>Procurement_Raw!L1667</f>
        <v>Procurement Portal</v>
      </c>
      <c r="M1667" s="8">
        <f>Procurement_Raw!M1667</f>
        <v>2346.3040000000001</v>
      </c>
      <c r="N1667" s="7">
        <f>Procurement_Raw!N1667</f>
        <v>11731.52</v>
      </c>
      <c r="O1667" s="7">
        <f t="shared" si="52"/>
        <v>11731.52</v>
      </c>
      <c r="P1667" t="str">
        <f>IFERROR(INDEX(Supplier_Lookup!$B$2:$B$200,MATCH(E1667,Supplier_Lookup!$A$2:$A$200,0)),"Unmapped")</f>
        <v>IT &amp; Telecoms</v>
      </c>
      <c r="Q1667" s="10">
        <f>IFERROR(INDEX(Category_Targets!$B$2:$B$9,MATCH(F1667,Category_Targets!$A$2:$A$9,0)),0)</f>
        <v>0.08</v>
      </c>
      <c r="R1667" s="7">
        <f t="shared" si="53"/>
        <v>938.52160000000003</v>
      </c>
    </row>
    <row r="1668" spans="1:18" x14ac:dyDescent="0.25">
      <c r="A1668" s="5">
        <f>Procurement_Raw!A1668</f>
        <v>45658</v>
      </c>
      <c r="B1668" t="str">
        <f>Procurement_Raw!B1668</f>
        <v>S007</v>
      </c>
      <c r="C1668" t="str">
        <f>Procurement_Raw!C1668</f>
        <v>Nottingham Care &amp; Education Centre</v>
      </c>
      <c r="D1668" t="str">
        <f>Procurement_Raw!D1668</f>
        <v>Midlands</v>
      </c>
      <c r="E1668" t="str">
        <f>Procurement_Raw!E1668</f>
        <v>CleanWorks</v>
      </c>
      <c r="F1668" t="str">
        <f>Procurement_Raw!F1668</f>
        <v>Facilities</v>
      </c>
      <c r="G1668" t="str">
        <f>Procurement_Raw!G1668</f>
        <v>INV-2025-01667</v>
      </c>
      <c r="H1668" s="6">
        <f>Procurement_Raw!H1668</f>
        <v>7</v>
      </c>
      <c r="I1668" s="7">
        <f>Procurement_Raw!I1668</f>
        <v>103.89</v>
      </c>
      <c r="J1668" s="7">
        <f>Procurement_Raw!J1668</f>
        <v>727.24</v>
      </c>
      <c r="K1668" s="6">
        <f>Procurement_Raw!K1668</f>
        <v>60</v>
      </c>
      <c r="L1668" t="str">
        <f>Procurement_Raw!L1668</f>
        <v>Legacy Spend File</v>
      </c>
      <c r="M1668" s="8">
        <f>Procurement_Raw!M1668</f>
        <v>145.44800000000001</v>
      </c>
      <c r="N1668" s="7">
        <f>Procurement_Raw!N1668</f>
        <v>727.24</v>
      </c>
      <c r="O1668" s="7">
        <f t="shared" si="52"/>
        <v>727.24</v>
      </c>
      <c r="P1668" t="str">
        <f>IFERROR(INDEX(Supplier_Lookup!$B$2:$B$200,MATCH(E1668,Supplier_Lookup!$A$2:$A$200,0)),"Unmapped")</f>
        <v>Facilities</v>
      </c>
      <c r="Q1668" s="10">
        <f>IFERROR(INDEX(Category_Targets!$B$2:$B$9,MATCH(F1668,Category_Targets!$A$2:$A$9,0)),0)</f>
        <v>0.05</v>
      </c>
      <c r="R1668" s="7">
        <f t="shared" si="53"/>
        <v>36.362000000000002</v>
      </c>
    </row>
    <row r="1669" spans="1:18" x14ac:dyDescent="0.25">
      <c r="A1669" s="5">
        <f>Procurement_Raw!A1669</f>
        <v>45899</v>
      </c>
      <c r="B1669" t="str">
        <f>Procurement_Raw!B1669</f>
        <v>S007</v>
      </c>
      <c r="C1669" t="str">
        <f>Procurement_Raw!C1669</f>
        <v>Nottingham Care &amp; Education Centre</v>
      </c>
      <c r="D1669" t="str">
        <f>Procurement_Raw!D1669</f>
        <v>Midlands</v>
      </c>
      <c r="E1669" t="str">
        <f>Procurement_Raw!E1669</f>
        <v>WaterGrid</v>
      </c>
      <c r="F1669" t="str">
        <f>Procurement_Raw!F1669</f>
        <v>Utilities</v>
      </c>
      <c r="G1669" t="str">
        <f>Procurement_Raw!G1669</f>
        <v>INV-2025-01668</v>
      </c>
      <c r="H1669" s="6">
        <f>Procurement_Raw!H1669</f>
        <v>36</v>
      </c>
      <c r="I1669" s="7">
        <f>Procurement_Raw!I1669</f>
        <v>189.39</v>
      </c>
      <c r="J1669" s="7">
        <f>Procurement_Raw!J1669</f>
        <v>6818.22</v>
      </c>
      <c r="K1669" s="6">
        <f>Procurement_Raw!K1669</f>
        <v>60</v>
      </c>
      <c r="L1669" t="str">
        <f>Procurement_Raw!L1669</f>
        <v>ERP</v>
      </c>
      <c r="M1669" s="8">
        <f>Procurement_Raw!M1669</f>
        <v>1363.644</v>
      </c>
      <c r="N1669" s="7">
        <f>Procurement_Raw!N1669</f>
        <v>6818.22</v>
      </c>
      <c r="O1669" s="7">
        <f t="shared" si="52"/>
        <v>6818.22</v>
      </c>
      <c r="P1669" t="str">
        <f>IFERROR(INDEX(Supplier_Lookup!$B$2:$B$200,MATCH(E1669,Supplier_Lookup!$A$2:$A$200,0)),"Unmapped")</f>
        <v>Utilities</v>
      </c>
      <c r="Q1669" s="10">
        <f>IFERROR(INDEX(Category_Targets!$B$2:$B$9,MATCH(F1669,Category_Targets!$A$2:$A$9,0)),0)</f>
        <v>0.03</v>
      </c>
      <c r="R1669" s="7">
        <f t="shared" si="53"/>
        <v>204.54660000000001</v>
      </c>
    </row>
    <row r="1670" spans="1:18" x14ac:dyDescent="0.25">
      <c r="A1670" s="5">
        <f>Procurement_Raw!A1670</f>
        <v>45909</v>
      </c>
      <c r="B1670" t="str">
        <f>Procurement_Raw!B1670</f>
        <v>S002</v>
      </c>
      <c r="C1670" t="str">
        <f>Procurement_Raw!C1670</f>
        <v>Manchester Care &amp; Education Centre</v>
      </c>
      <c r="D1670" t="str">
        <f>Procurement_Raw!D1670</f>
        <v>North</v>
      </c>
      <c r="E1670" t="str">
        <f>Procurement_Raw!E1670</f>
        <v>SafeGuard FM</v>
      </c>
      <c r="F1670" t="str">
        <f>Procurement_Raw!F1670</f>
        <v>Facilities</v>
      </c>
      <c r="G1670" t="str">
        <f>Procurement_Raw!G1670</f>
        <v>INV-2025-01669</v>
      </c>
      <c r="H1670" s="6">
        <f>Procurement_Raw!H1670</f>
        <v>47</v>
      </c>
      <c r="I1670" s="7">
        <f>Procurement_Raw!I1670</f>
        <v>285.8</v>
      </c>
      <c r="J1670" s="7">
        <f>Procurement_Raw!J1670</f>
        <v>13432.68</v>
      </c>
      <c r="K1670" s="6">
        <f>Procurement_Raw!K1670</f>
        <v>45</v>
      </c>
      <c r="L1670" t="str">
        <f>Procurement_Raw!L1670</f>
        <v>Procurement Portal</v>
      </c>
      <c r="M1670" s="8">
        <f>Procurement_Raw!M1670</f>
        <v>2686.5360000000001</v>
      </c>
      <c r="N1670" s="7">
        <f>Procurement_Raw!N1670</f>
        <v>13432.68</v>
      </c>
      <c r="O1670" s="7">
        <f t="shared" si="52"/>
        <v>13432.68</v>
      </c>
      <c r="P1670" t="str">
        <f>IFERROR(INDEX(Supplier_Lookup!$B$2:$B$200,MATCH(E1670,Supplier_Lookup!$A$2:$A$200,0)),"Unmapped")</f>
        <v>Facilities</v>
      </c>
      <c r="Q1670" s="10">
        <f>IFERROR(INDEX(Category_Targets!$B$2:$B$9,MATCH(F1670,Category_Targets!$A$2:$A$9,0)),0)</f>
        <v>0.05</v>
      </c>
      <c r="R1670" s="7">
        <f t="shared" si="53"/>
        <v>671.63400000000001</v>
      </c>
    </row>
    <row r="1671" spans="1:18" x14ac:dyDescent="0.25">
      <c r="A1671" s="5">
        <f>Procurement_Raw!A1671</f>
        <v>45664</v>
      </c>
      <c r="B1671" t="str">
        <f>Procurement_Raw!B1671</f>
        <v>S005</v>
      </c>
      <c r="C1671" t="str">
        <f>Procurement_Raw!C1671</f>
        <v>Sheffield Care &amp; Education Centre</v>
      </c>
      <c r="D1671" t="str">
        <f>Procurement_Raw!D1671</f>
        <v>North</v>
      </c>
      <c r="E1671" t="str">
        <f>Procurement_Raw!E1671</f>
        <v>KitchenPro</v>
      </c>
      <c r="F1671" t="str">
        <f>Procurement_Raw!F1671</f>
        <v>Food &amp; Catering</v>
      </c>
      <c r="G1671" t="str">
        <f>Procurement_Raw!G1671</f>
        <v>INV-2025-01670</v>
      </c>
      <c r="H1671" s="6">
        <f>Procurement_Raw!H1671</f>
        <v>71</v>
      </c>
      <c r="I1671" s="7">
        <f>Procurement_Raw!I1671</f>
        <v>87.8</v>
      </c>
      <c r="J1671" s="7">
        <f>Procurement_Raw!J1671</f>
        <v>6233.98</v>
      </c>
      <c r="K1671" s="6">
        <f>Procurement_Raw!K1671</f>
        <v>30</v>
      </c>
      <c r="L1671" t="str">
        <f>Procurement_Raw!L1671</f>
        <v>Procurement Portal</v>
      </c>
      <c r="M1671" s="8">
        <f>Procurement_Raw!M1671</f>
        <v>1246.796</v>
      </c>
      <c r="N1671" s="7">
        <f>Procurement_Raw!N1671</f>
        <v>6233.98</v>
      </c>
      <c r="O1671" s="7">
        <f t="shared" si="52"/>
        <v>6233.98</v>
      </c>
      <c r="P1671" t="str">
        <f>IFERROR(INDEX(Supplier_Lookup!$B$2:$B$200,MATCH(E1671,Supplier_Lookup!$A$2:$A$200,0)),"Unmapped")</f>
        <v>Food &amp; Catering</v>
      </c>
      <c r="Q1671" s="10">
        <f>IFERROR(INDEX(Category_Targets!$B$2:$B$9,MATCH(F1671,Category_Targets!$A$2:$A$9,0)),0)</f>
        <v>0.04</v>
      </c>
      <c r="R1671" s="7">
        <f t="shared" si="53"/>
        <v>249.35919999999999</v>
      </c>
    </row>
    <row r="1672" spans="1:18" x14ac:dyDescent="0.25">
      <c r="A1672" s="5">
        <f>Procurement_Raw!A1672</f>
        <v>45959</v>
      </c>
      <c r="B1672" t="str">
        <f>Procurement_Raw!B1672</f>
        <v>S008</v>
      </c>
      <c r="C1672" t="str">
        <f>Procurement_Raw!C1672</f>
        <v>Leicester Care &amp; Education Centre</v>
      </c>
      <c r="D1672" t="str">
        <f>Procurement_Raw!D1672</f>
        <v>Midlands</v>
      </c>
      <c r="E1672" t="str">
        <f>Procurement_Raw!E1672</f>
        <v>AutoCare</v>
      </c>
      <c r="F1672" t="str">
        <f>Procurement_Raw!F1672</f>
        <v>Vehicle &amp; Fuel</v>
      </c>
      <c r="G1672" t="str">
        <f>Procurement_Raw!G1672</f>
        <v>INV-2025-01671</v>
      </c>
      <c r="H1672" s="6">
        <f>Procurement_Raw!H1672</f>
        <v>68</v>
      </c>
      <c r="I1672" s="7">
        <f>Procurement_Raw!I1672</f>
        <v>83.3</v>
      </c>
      <c r="J1672" s="7">
        <f>Procurement_Raw!J1672</f>
        <v>5664.49</v>
      </c>
      <c r="K1672" s="6">
        <f>Procurement_Raw!K1672</f>
        <v>60</v>
      </c>
      <c r="L1672" t="str">
        <f>Procurement_Raw!L1672</f>
        <v>Procurement Portal</v>
      </c>
      <c r="M1672" s="8">
        <f>Procurement_Raw!M1672</f>
        <v>1132.8979999999999</v>
      </c>
      <c r="N1672" s="7">
        <f>Procurement_Raw!N1672</f>
        <v>5664.49</v>
      </c>
      <c r="O1672" s="7">
        <f t="shared" si="52"/>
        <v>5664.49</v>
      </c>
      <c r="P1672" t="str">
        <f>IFERROR(INDEX(Supplier_Lookup!$B$2:$B$200,MATCH(E1672,Supplier_Lookup!$A$2:$A$200,0)),"Unmapped")</f>
        <v>Vehicle &amp; Fuel</v>
      </c>
      <c r="Q1672" s="10">
        <f>IFERROR(INDEX(Category_Targets!$B$2:$B$9,MATCH(F1672,Category_Targets!$A$2:$A$9,0)),0)</f>
        <v>0.05</v>
      </c>
      <c r="R1672" s="7">
        <f t="shared" si="53"/>
        <v>283.22449999999998</v>
      </c>
    </row>
    <row r="1673" spans="1:18" x14ac:dyDescent="0.25">
      <c r="A1673" s="5">
        <f>Procurement_Raw!A1673</f>
        <v>45957</v>
      </c>
      <c r="B1673" t="str">
        <f>Procurement_Raw!B1673</f>
        <v>S016</v>
      </c>
      <c r="C1673" t="str">
        <f>Procurement_Raw!C1673</f>
        <v>Cardiff Care &amp; Education Centre</v>
      </c>
      <c r="D1673" t="str">
        <f>Procurement_Raw!D1673</f>
        <v>Wales</v>
      </c>
      <c r="E1673" t="str">
        <f>Procurement_Raw!E1673</f>
        <v>CloudLink</v>
      </c>
      <c r="F1673" t="str">
        <f>Procurement_Raw!F1673</f>
        <v>IT &amp; Telecoms</v>
      </c>
      <c r="G1673" t="str">
        <f>Procurement_Raw!G1673</f>
        <v>INV-2025-01672</v>
      </c>
      <c r="H1673" s="6">
        <f>Procurement_Raw!H1673</f>
        <v>50</v>
      </c>
      <c r="I1673" s="7">
        <f>Procurement_Raw!I1673</f>
        <v>179.81</v>
      </c>
      <c r="J1673" s="7">
        <f>Procurement_Raw!J1673</f>
        <v>8990.26</v>
      </c>
      <c r="K1673" s="6">
        <f>Procurement_Raw!K1673</f>
        <v>30</v>
      </c>
      <c r="L1673" t="str">
        <f>Procurement_Raw!L1673</f>
        <v>ERP</v>
      </c>
      <c r="M1673" s="8">
        <f>Procurement_Raw!M1673</f>
        <v>1798.0519999999999</v>
      </c>
      <c r="N1673" s="7">
        <f>Procurement_Raw!N1673</f>
        <v>8990.26</v>
      </c>
      <c r="O1673" s="7">
        <f t="shared" si="52"/>
        <v>8990.26</v>
      </c>
      <c r="P1673" t="str">
        <f>IFERROR(INDEX(Supplier_Lookup!$B$2:$B$200,MATCH(E1673,Supplier_Lookup!$A$2:$A$200,0)),"Unmapped")</f>
        <v>medical supplies</v>
      </c>
      <c r="Q1673" s="10">
        <f>IFERROR(INDEX(Category_Targets!$B$2:$B$9,MATCH(F1673,Category_Targets!$A$2:$A$9,0)),0)</f>
        <v>0.08</v>
      </c>
      <c r="R1673" s="7">
        <f t="shared" si="53"/>
        <v>719.22080000000005</v>
      </c>
    </row>
    <row r="1674" spans="1:18" x14ac:dyDescent="0.25">
      <c r="A1674" s="5">
        <f>Procurement_Raw!A1674</f>
        <v>45958</v>
      </c>
      <c r="B1674" t="str">
        <f>Procurement_Raw!B1674</f>
        <v>S005</v>
      </c>
      <c r="C1674" t="str">
        <f>Procurement_Raw!C1674</f>
        <v>Sheffield Care &amp; Education Centre</v>
      </c>
      <c r="D1674" t="str">
        <f>Procurement_Raw!D1674</f>
        <v>North</v>
      </c>
      <c r="E1674" t="str">
        <f>Procurement_Raw!E1674</f>
        <v>FreshServe</v>
      </c>
      <c r="F1674" t="str">
        <f>Procurement_Raw!F1674</f>
        <v>Food &amp; Catering</v>
      </c>
      <c r="G1674" t="str">
        <f>Procurement_Raw!G1674</f>
        <v>INV-2025-01673</v>
      </c>
      <c r="H1674" s="6">
        <f>Procurement_Raw!H1674</f>
        <v>25</v>
      </c>
      <c r="I1674" s="7">
        <f>Procurement_Raw!I1674</f>
        <v>52.4</v>
      </c>
      <c r="J1674" s="7">
        <f>Procurement_Raw!J1674</f>
        <v>1310.02</v>
      </c>
      <c r="K1674" s="6">
        <f>Procurement_Raw!K1674</f>
        <v>30</v>
      </c>
      <c r="L1674" t="str">
        <f>Procurement_Raw!L1674</f>
        <v>Legacy Spend File</v>
      </c>
      <c r="M1674" s="8">
        <f>Procurement_Raw!M1674</f>
        <v>262.00400000000002</v>
      </c>
      <c r="N1674" s="7">
        <f>Procurement_Raw!N1674</f>
        <v>1310.02</v>
      </c>
      <c r="O1674" s="7">
        <f t="shared" si="52"/>
        <v>1310.02</v>
      </c>
      <c r="P1674" t="str">
        <f>IFERROR(INDEX(Supplier_Lookup!$B$2:$B$200,MATCH(E1674,Supplier_Lookup!$A$2:$A$200,0)),"Unmapped")</f>
        <v>Food &amp; Catering</v>
      </c>
      <c r="Q1674" s="10">
        <f>IFERROR(INDEX(Category_Targets!$B$2:$B$9,MATCH(F1674,Category_Targets!$A$2:$A$9,0)),0)</f>
        <v>0.04</v>
      </c>
      <c r="R1674" s="7">
        <f t="shared" si="53"/>
        <v>52.400800000000004</v>
      </c>
    </row>
    <row r="1675" spans="1:18" x14ac:dyDescent="0.25">
      <c r="A1675" s="5">
        <f>Procurement_Raw!A1675</f>
        <v>45937</v>
      </c>
      <c r="B1675" t="str">
        <f>Procurement_Raw!B1675</f>
        <v>S018</v>
      </c>
      <c r="C1675" t="str">
        <f>Procurement_Raw!C1675</f>
        <v>Newport Care &amp; Education Centre</v>
      </c>
      <c r="D1675" t="str">
        <f>Procurement_Raw!D1675</f>
        <v>Wales</v>
      </c>
      <c r="E1675" t="str">
        <f>Procurement_Raw!E1675</f>
        <v>FreshServe</v>
      </c>
      <c r="F1675" t="str">
        <f>Procurement_Raw!F1675</f>
        <v>Food &amp; Catering</v>
      </c>
      <c r="G1675" t="str">
        <f>Procurement_Raw!G1675</f>
        <v>INV-2025-01674</v>
      </c>
      <c r="H1675" s="6">
        <f>Procurement_Raw!H1675</f>
        <v>80</v>
      </c>
      <c r="I1675" s="7">
        <f>Procurement_Raw!I1675</f>
        <v>39.14</v>
      </c>
      <c r="J1675" s="7">
        <f>Procurement_Raw!J1675</f>
        <v>3130.94</v>
      </c>
      <c r="K1675" s="6">
        <f>Procurement_Raw!K1675</f>
        <v>45</v>
      </c>
      <c r="L1675" t="str">
        <f>Procurement_Raw!L1675</f>
        <v>Procurement Portal</v>
      </c>
      <c r="M1675" s="8">
        <f>Procurement_Raw!M1675</f>
        <v>626.18799999999999</v>
      </c>
      <c r="N1675" s="7">
        <f>Procurement_Raw!N1675</f>
        <v>3130.94</v>
      </c>
      <c r="O1675" s="7">
        <f t="shared" si="52"/>
        <v>3130.94</v>
      </c>
      <c r="P1675" t="str">
        <f>IFERROR(INDEX(Supplier_Lookup!$B$2:$B$200,MATCH(E1675,Supplier_Lookup!$A$2:$A$200,0)),"Unmapped")</f>
        <v>Food &amp; Catering</v>
      </c>
      <c r="Q1675" s="10">
        <f>IFERROR(INDEX(Category_Targets!$B$2:$B$9,MATCH(F1675,Category_Targets!$A$2:$A$9,0)),0)</f>
        <v>0.04</v>
      </c>
      <c r="R1675" s="7">
        <f t="shared" si="53"/>
        <v>125.2376</v>
      </c>
    </row>
    <row r="1676" spans="1:18" x14ac:dyDescent="0.25">
      <c r="A1676" s="5">
        <f>Procurement_Raw!A1676</f>
        <v>45931</v>
      </c>
      <c r="B1676" t="str">
        <f>Procurement_Raw!B1676</f>
        <v>S015</v>
      </c>
      <c r="C1676" t="str">
        <f>Procurement_Raw!C1676</f>
        <v>Brighton Care &amp; Education Centre</v>
      </c>
      <c r="D1676" t="str">
        <f>Procurement_Raw!D1676</f>
        <v>South</v>
      </c>
      <c r="E1676" t="str">
        <f>Procurement_Raw!E1676</f>
        <v>OfficePlus</v>
      </c>
      <c r="F1676" t="str">
        <f>Procurement_Raw!F1676</f>
        <v>Office &amp; Training</v>
      </c>
      <c r="G1676" t="str">
        <f>Procurement_Raw!G1676</f>
        <v>INV-2025-01675</v>
      </c>
      <c r="H1676" s="6">
        <f>Procurement_Raw!H1676</f>
        <v>20</v>
      </c>
      <c r="I1676" s="7">
        <f>Procurement_Raw!I1676</f>
        <v>182.35</v>
      </c>
      <c r="J1676" s="7">
        <f>Procurement_Raw!J1676</f>
        <v>3647.06</v>
      </c>
      <c r="K1676" s="6">
        <f>Procurement_Raw!K1676</f>
        <v>30</v>
      </c>
      <c r="L1676" t="str">
        <f>Procurement_Raw!L1676</f>
        <v>ERP</v>
      </c>
      <c r="M1676" s="8">
        <f>Procurement_Raw!M1676</f>
        <v>729.41200000000003</v>
      </c>
      <c r="N1676" s="7">
        <f>Procurement_Raw!N1676</f>
        <v>3647.06</v>
      </c>
      <c r="O1676" s="7">
        <f t="shared" si="52"/>
        <v>3647.06</v>
      </c>
      <c r="P1676" t="str">
        <f>IFERROR(INDEX(Supplier_Lookup!$B$2:$B$200,MATCH(E1676,Supplier_Lookup!$A$2:$A$200,0)),"Unmapped")</f>
        <v>Office &amp; Training</v>
      </c>
      <c r="Q1676" s="10">
        <f>IFERROR(INDEX(Category_Targets!$B$2:$B$9,MATCH(F1676,Category_Targets!$A$2:$A$9,0)),0)</f>
        <v>0.04</v>
      </c>
      <c r="R1676" s="7">
        <f t="shared" si="53"/>
        <v>145.88239999999999</v>
      </c>
    </row>
    <row r="1677" spans="1:18" x14ac:dyDescent="0.25">
      <c r="A1677" s="5">
        <f>Procurement_Raw!A1677</f>
        <v>46022</v>
      </c>
      <c r="B1677" t="str">
        <f>Procurement_Raw!B1677</f>
        <v>S011</v>
      </c>
      <c r="C1677" t="str">
        <f>Procurement_Raw!C1677</f>
        <v>London Care &amp; Education Centre</v>
      </c>
      <c r="D1677" t="str">
        <f>Procurement_Raw!D1677</f>
        <v>South</v>
      </c>
      <c r="E1677" t="str">
        <f>Procurement_Raw!E1677</f>
        <v>NurseLink</v>
      </c>
      <c r="F1677" t="str">
        <f>Procurement_Raw!F1677</f>
        <v>Agency Labour</v>
      </c>
      <c r="G1677" t="str">
        <f>Procurement_Raw!G1677</f>
        <v>INV-2025-01676</v>
      </c>
      <c r="H1677" s="6">
        <f>Procurement_Raw!H1677</f>
        <v>33</v>
      </c>
      <c r="I1677" s="7">
        <f>Procurement_Raw!I1677</f>
        <v>251.26</v>
      </c>
      <c r="J1677" s="7">
        <f>Procurement_Raw!J1677</f>
        <v>8291.73</v>
      </c>
      <c r="K1677" s="6">
        <f>Procurement_Raw!K1677</f>
        <v>60</v>
      </c>
      <c r="L1677" t="str">
        <f>Procurement_Raw!L1677</f>
        <v>Procurement Portal</v>
      </c>
      <c r="M1677" s="8">
        <f>Procurement_Raw!M1677</f>
        <v>1658.346</v>
      </c>
      <c r="N1677" s="7">
        <f>Procurement_Raw!N1677</f>
        <v>8291.73</v>
      </c>
      <c r="O1677" s="7">
        <f t="shared" si="52"/>
        <v>8291.73</v>
      </c>
      <c r="P1677" t="str">
        <f>IFERROR(INDEX(Supplier_Lookup!$B$2:$B$200,MATCH(E1677,Supplier_Lookup!$A$2:$A$200,0)),"Unmapped")</f>
        <v>Agency Labour</v>
      </c>
      <c r="Q1677" s="10">
        <f>IFERROR(INDEX(Category_Targets!$B$2:$B$9,MATCH(F1677,Category_Targets!$A$2:$A$9,0)),0)</f>
        <v>7.0000000000000007E-2</v>
      </c>
      <c r="R1677" s="7">
        <f t="shared" si="53"/>
        <v>580.42110000000002</v>
      </c>
    </row>
    <row r="1678" spans="1:18" x14ac:dyDescent="0.25">
      <c r="A1678" s="5">
        <f>Procurement_Raw!A1678</f>
        <v>45718</v>
      </c>
      <c r="B1678" t="str">
        <f>Procurement_Raw!B1678</f>
        <v>S020</v>
      </c>
      <c r="C1678" t="str">
        <f>Procurement_Raw!C1678</f>
        <v>Bangor Care &amp; Education Centre</v>
      </c>
      <c r="D1678" t="str">
        <f>Procurement_Raw!D1678</f>
        <v>Wales</v>
      </c>
      <c r="E1678" t="str">
        <f>Procurement_Raw!E1678</f>
        <v>PrintCo</v>
      </c>
      <c r="F1678" t="str">
        <f>Procurement_Raw!F1678</f>
        <v>Office &amp; Training</v>
      </c>
      <c r="G1678" t="str">
        <f>Procurement_Raw!G1678</f>
        <v>INV-2025-01677</v>
      </c>
      <c r="H1678" s="6">
        <f>Procurement_Raw!H1678</f>
        <v>56</v>
      </c>
      <c r="I1678" s="7">
        <f>Procurement_Raw!I1678</f>
        <v>146.49</v>
      </c>
      <c r="J1678" s="7">
        <f>Procurement_Raw!J1678</f>
        <v>8203.18</v>
      </c>
      <c r="K1678" s="6">
        <f>Procurement_Raw!K1678</f>
        <v>30</v>
      </c>
      <c r="L1678" t="str">
        <f>Procurement_Raw!L1678</f>
        <v>Procurement Portal</v>
      </c>
      <c r="M1678" s="8">
        <f>Procurement_Raw!M1678</f>
        <v>1640.636</v>
      </c>
      <c r="N1678" s="7">
        <f>Procurement_Raw!N1678</f>
        <v>8203.18</v>
      </c>
      <c r="O1678" s="7">
        <f t="shared" si="52"/>
        <v>8203.18</v>
      </c>
      <c r="P1678" t="str">
        <f>IFERROR(INDEX(Supplier_Lookup!$B$2:$B$200,MATCH(E1678,Supplier_Lookup!$A$2:$A$200,0)),"Unmapped")</f>
        <v>Office &amp; Training</v>
      </c>
      <c r="Q1678" s="10">
        <f>IFERROR(INDEX(Category_Targets!$B$2:$B$9,MATCH(F1678,Category_Targets!$A$2:$A$9,0)),0)</f>
        <v>0.04</v>
      </c>
      <c r="R1678" s="7">
        <f t="shared" si="53"/>
        <v>328.12720000000002</v>
      </c>
    </row>
    <row r="1679" spans="1:18" x14ac:dyDescent="0.25">
      <c r="A1679" s="5">
        <f>Procurement_Raw!A1679</f>
        <v>45964</v>
      </c>
      <c r="B1679" t="str">
        <f>Procurement_Raw!B1679</f>
        <v>S009</v>
      </c>
      <c r="C1679" t="str">
        <f>Procurement_Raw!C1679</f>
        <v>Derby Care &amp; Education Centre</v>
      </c>
      <c r="D1679" t="str">
        <f>Procurement_Raw!D1679</f>
        <v>Midlands</v>
      </c>
      <c r="E1679" t="str">
        <f>Procurement_Raw!E1679</f>
        <v>MediSure</v>
      </c>
      <c r="F1679" t="str">
        <f>Procurement_Raw!F1679</f>
        <v>Medical Supplies</v>
      </c>
      <c r="G1679" t="str">
        <f>Procurement_Raw!G1679</f>
        <v>INV-2025-01678</v>
      </c>
      <c r="H1679" s="6">
        <f>Procurement_Raw!H1679</f>
        <v>36</v>
      </c>
      <c r="I1679" s="7">
        <f>Procurement_Raw!I1679</f>
        <v>277.05</v>
      </c>
      <c r="J1679" s="7">
        <f>Procurement_Raw!J1679</f>
        <v>9973.98</v>
      </c>
      <c r="K1679" s="6">
        <f>Procurement_Raw!K1679</f>
        <v>60</v>
      </c>
      <c r="L1679" t="str">
        <f>Procurement_Raw!L1679</f>
        <v>ERP</v>
      </c>
      <c r="M1679" s="8">
        <f>Procurement_Raw!M1679</f>
        <v>1994.796</v>
      </c>
      <c r="N1679" s="7">
        <f>Procurement_Raw!N1679</f>
        <v>9973.98</v>
      </c>
      <c r="O1679" s="7">
        <f t="shared" si="52"/>
        <v>9973.98</v>
      </c>
      <c r="P1679" t="str">
        <f>IFERROR(INDEX(Supplier_Lookup!$B$2:$B$200,MATCH(E1679,Supplier_Lookup!$A$2:$A$200,0)),"Unmapped")</f>
        <v>Medical Supplies</v>
      </c>
      <c r="Q1679" s="10">
        <f>IFERROR(INDEX(Category_Targets!$B$2:$B$9,MATCH(F1679,Category_Targets!$A$2:$A$9,0)),0)</f>
        <v>0.06</v>
      </c>
      <c r="R1679" s="7">
        <f t="shared" si="53"/>
        <v>598.4387999999999</v>
      </c>
    </row>
    <row r="1680" spans="1:18" x14ac:dyDescent="0.25">
      <c r="A1680" s="5">
        <f>Procurement_Raw!A1680</f>
        <v>45689</v>
      </c>
      <c r="B1680" t="str">
        <f>Procurement_Raw!B1680</f>
        <v>S019</v>
      </c>
      <c r="C1680" t="str">
        <f>Procurement_Raw!C1680</f>
        <v>Wrexham Care &amp; Education Centre</v>
      </c>
      <c r="D1680" t="str">
        <f>Procurement_Raw!D1680</f>
        <v>Wales</v>
      </c>
      <c r="E1680" t="str">
        <f>Procurement_Raw!E1680</f>
        <v>ClinEquip</v>
      </c>
      <c r="F1680" t="str">
        <f>Procurement_Raw!F1680</f>
        <v>Medical Supplies</v>
      </c>
      <c r="G1680" t="str">
        <f>Procurement_Raw!G1680</f>
        <v>INV-2025-01679</v>
      </c>
      <c r="H1680" s="6">
        <f>Procurement_Raw!H1680</f>
        <v>25</v>
      </c>
      <c r="I1680" s="7">
        <f>Procurement_Raw!I1680</f>
        <v>207.8</v>
      </c>
      <c r="J1680" s="7">
        <f>Procurement_Raw!J1680</f>
        <v>5194.93</v>
      </c>
      <c r="K1680" s="6">
        <f>Procurement_Raw!K1680</f>
        <v>60</v>
      </c>
      <c r="L1680" t="str">
        <f>Procurement_Raw!L1680</f>
        <v>Procurement Portal</v>
      </c>
      <c r="M1680" s="8">
        <f>Procurement_Raw!M1680</f>
        <v>1038.9860000000001</v>
      </c>
      <c r="N1680" s="7">
        <f>Procurement_Raw!N1680</f>
        <v>5194.93</v>
      </c>
      <c r="O1680" s="7">
        <f t="shared" si="52"/>
        <v>5194.93</v>
      </c>
      <c r="P1680" t="str">
        <f>IFERROR(INDEX(Supplier_Lookup!$B$2:$B$200,MATCH(E1680,Supplier_Lookup!$A$2:$A$200,0)),"Unmapped")</f>
        <v>Medical Supplies</v>
      </c>
      <c r="Q1680" s="10">
        <f>IFERROR(INDEX(Category_Targets!$B$2:$B$9,MATCH(F1680,Category_Targets!$A$2:$A$9,0)),0)</f>
        <v>0.06</v>
      </c>
      <c r="R1680" s="7">
        <f t="shared" si="53"/>
        <v>311.69580000000002</v>
      </c>
    </row>
    <row r="1681" spans="1:18" x14ac:dyDescent="0.25">
      <c r="A1681" s="5">
        <f>Procurement_Raw!A1681</f>
        <v>45882</v>
      </c>
      <c r="B1681" t="str">
        <f>Procurement_Raw!B1681</f>
        <v>S012</v>
      </c>
      <c r="C1681" t="str">
        <f>Procurement_Raw!C1681</f>
        <v>Bristol Care &amp; Education Centre</v>
      </c>
      <c r="D1681" t="str">
        <f>Procurement_Raw!D1681</f>
        <v>South</v>
      </c>
      <c r="E1681" t="str">
        <f>Procurement_Raw!E1681</f>
        <v>FreshServe</v>
      </c>
      <c r="F1681" t="str">
        <f>Procurement_Raw!F1681</f>
        <v>Food &amp; Catering</v>
      </c>
      <c r="G1681" t="str">
        <f>Procurement_Raw!G1681</f>
        <v>INV-2025-01680</v>
      </c>
      <c r="H1681" s="6">
        <f>Procurement_Raw!H1681</f>
        <v>66</v>
      </c>
      <c r="I1681" s="7">
        <f>Procurement_Raw!I1681</f>
        <v>51.26</v>
      </c>
      <c r="J1681" s="7">
        <f>Procurement_Raw!J1681</f>
        <v>3383.45</v>
      </c>
      <c r="K1681" s="6">
        <f>Procurement_Raw!K1681</f>
        <v>45</v>
      </c>
      <c r="L1681" t="str">
        <f>Procurement_Raw!L1681</f>
        <v>Legacy Spend File</v>
      </c>
      <c r="M1681" s="8">
        <f>Procurement_Raw!M1681</f>
        <v>676.69</v>
      </c>
      <c r="N1681" s="7">
        <f>Procurement_Raw!N1681</f>
        <v>3383.45</v>
      </c>
      <c r="O1681" s="7">
        <f t="shared" si="52"/>
        <v>3383.45</v>
      </c>
      <c r="P1681" t="str">
        <f>IFERROR(INDEX(Supplier_Lookup!$B$2:$B$200,MATCH(E1681,Supplier_Lookup!$A$2:$A$200,0)),"Unmapped")</f>
        <v>Food &amp; Catering</v>
      </c>
      <c r="Q1681" s="10">
        <f>IFERROR(INDEX(Category_Targets!$B$2:$B$9,MATCH(F1681,Category_Targets!$A$2:$A$9,0)),0)</f>
        <v>0.04</v>
      </c>
      <c r="R1681" s="7">
        <f t="shared" si="53"/>
        <v>135.33799999999999</v>
      </c>
    </row>
    <row r="1682" spans="1:18" x14ac:dyDescent="0.25">
      <c r="A1682" s="5">
        <f>Procurement_Raw!A1682</f>
        <v>45797</v>
      </c>
      <c r="B1682" t="str">
        <f>Procurement_Raw!B1682</f>
        <v>S004</v>
      </c>
      <c r="C1682" t="str">
        <f>Procurement_Raw!C1682</f>
        <v>Newcastle Care &amp; Education Centre</v>
      </c>
      <c r="D1682" t="str">
        <f>Procurement_Raw!D1682</f>
        <v>North</v>
      </c>
      <c r="E1682" t="str">
        <f>Procurement_Raw!E1682</f>
        <v>NurseLink</v>
      </c>
      <c r="F1682" t="str">
        <f>Procurement_Raw!F1682</f>
        <v>Agency Labour</v>
      </c>
      <c r="G1682" t="str">
        <f>Procurement_Raw!G1682</f>
        <v>INV-2025-01681</v>
      </c>
      <c r="H1682" s="6">
        <f>Procurement_Raw!H1682</f>
        <v>27</v>
      </c>
      <c r="I1682" s="7">
        <f>Procurement_Raw!I1682</f>
        <v>374.59</v>
      </c>
      <c r="J1682" s="7">
        <f>Procurement_Raw!J1682</f>
        <v>10113.950000000001</v>
      </c>
      <c r="K1682" s="6">
        <f>Procurement_Raw!K1682</f>
        <v>30</v>
      </c>
      <c r="L1682" t="str">
        <f>Procurement_Raw!L1682</f>
        <v>ERP</v>
      </c>
      <c r="M1682" s="8">
        <f>Procurement_Raw!M1682</f>
        <v>2022.79</v>
      </c>
      <c r="N1682" s="7">
        <f>Procurement_Raw!N1682</f>
        <v>10113.950000000001</v>
      </c>
      <c r="O1682" s="7">
        <f t="shared" si="52"/>
        <v>10113.950000000001</v>
      </c>
      <c r="P1682" t="str">
        <f>IFERROR(INDEX(Supplier_Lookup!$B$2:$B$200,MATCH(E1682,Supplier_Lookup!$A$2:$A$200,0)),"Unmapped")</f>
        <v>Agency Labour</v>
      </c>
      <c r="Q1682" s="10">
        <f>IFERROR(INDEX(Category_Targets!$B$2:$B$9,MATCH(F1682,Category_Targets!$A$2:$A$9,0)),0)</f>
        <v>7.0000000000000007E-2</v>
      </c>
      <c r="R1682" s="7">
        <f t="shared" si="53"/>
        <v>707.9765000000001</v>
      </c>
    </row>
    <row r="1683" spans="1:18" x14ac:dyDescent="0.25">
      <c r="A1683" s="5">
        <f>Procurement_Raw!A1683</f>
        <v>46014</v>
      </c>
      <c r="B1683" t="str">
        <f>Procurement_Raw!B1683</f>
        <v>S005</v>
      </c>
      <c r="C1683" t="str">
        <f>Procurement_Raw!C1683</f>
        <v>Sheffield Care &amp; Education Centre</v>
      </c>
      <c r="D1683" t="str">
        <f>Procurement_Raw!D1683</f>
        <v>North</v>
      </c>
      <c r="E1683" t="str">
        <f>Procurement_Raw!E1683</f>
        <v>PowerDirect</v>
      </c>
      <c r="F1683" t="str">
        <f>Procurement_Raw!F1683</f>
        <v>Utilities</v>
      </c>
      <c r="G1683" t="str">
        <f>Procurement_Raw!G1683</f>
        <v>INV-2025-01682</v>
      </c>
      <c r="H1683" s="6">
        <f>Procurement_Raw!H1683</f>
        <v>2</v>
      </c>
      <c r="I1683" s="7">
        <f>Procurement_Raw!I1683</f>
        <v>246.7</v>
      </c>
      <c r="J1683" s="7">
        <f>Procurement_Raw!J1683</f>
        <v>493.39</v>
      </c>
      <c r="K1683" s="6">
        <f>Procurement_Raw!K1683</f>
        <v>60</v>
      </c>
      <c r="L1683" t="str">
        <f>Procurement_Raw!L1683</f>
        <v>Procurement Portal</v>
      </c>
      <c r="M1683" s="8">
        <f>Procurement_Raw!M1683</f>
        <v>98.677999999999997</v>
      </c>
      <c r="N1683" s="7">
        <f>Procurement_Raw!N1683</f>
        <v>493.39</v>
      </c>
      <c r="O1683" s="7">
        <f t="shared" si="52"/>
        <v>493.39</v>
      </c>
      <c r="P1683" t="str">
        <f>IFERROR(INDEX(Supplier_Lookup!$B$2:$B$200,MATCH(E1683,Supplier_Lookup!$A$2:$A$200,0)),"Unmapped")</f>
        <v>Utilities</v>
      </c>
      <c r="Q1683" s="10">
        <f>IFERROR(INDEX(Category_Targets!$B$2:$B$9,MATCH(F1683,Category_Targets!$A$2:$A$9,0)),0)</f>
        <v>0.03</v>
      </c>
      <c r="R1683" s="7">
        <f t="shared" si="53"/>
        <v>14.801699999999999</v>
      </c>
    </row>
    <row r="1684" spans="1:18" x14ac:dyDescent="0.25">
      <c r="A1684" s="5">
        <f>Procurement_Raw!A1684</f>
        <v>45770</v>
      </c>
      <c r="B1684" t="str">
        <f>Procurement_Raw!B1684</f>
        <v>S005</v>
      </c>
      <c r="C1684" t="str">
        <f>Procurement_Raw!C1684</f>
        <v>Sheffield Care &amp; Education Centre</v>
      </c>
      <c r="D1684" t="str">
        <f>Procurement_Raw!D1684</f>
        <v>North</v>
      </c>
      <c r="E1684" t="str">
        <f>Procurement_Raw!E1684</f>
        <v>TeleCare IT</v>
      </c>
      <c r="F1684" t="str">
        <f>Procurement_Raw!F1684</f>
        <v>IT &amp; Telecoms</v>
      </c>
      <c r="G1684" t="str">
        <f>Procurement_Raw!G1684</f>
        <v>INV-2025-01683</v>
      </c>
      <c r="H1684" s="6">
        <f>Procurement_Raw!H1684</f>
        <v>38</v>
      </c>
      <c r="I1684" s="7">
        <f>Procurement_Raw!I1684</f>
        <v>133.83000000000001</v>
      </c>
      <c r="J1684" s="7">
        <f>Procurement_Raw!J1684</f>
        <v>5085.6499999999996</v>
      </c>
      <c r="K1684" s="6">
        <f>Procurement_Raw!K1684</f>
        <v>60</v>
      </c>
      <c r="L1684" t="str">
        <f>Procurement_Raw!L1684</f>
        <v>Procurement Portal</v>
      </c>
      <c r="M1684" s="8">
        <f>Procurement_Raw!M1684</f>
        <v>1017.13</v>
      </c>
      <c r="N1684" s="7">
        <f>Procurement_Raw!N1684</f>
        <v>5085.6499999999996</v>
      </c>
      <c r="O1684" s="7">
        <f t="shared" si="52"/>
        <v>5085.6499999999996</v>
      </c>
      <c r="P1684" t="str">
        <f>IFERROR(INDEX(Supplier_Lookup!$B$2:$B$200,MATCH(E1684,Supplier_Lookup!$A$2:$A$200,0)),"Unmapped")</f>
        <v>IT &amp; Telecoms</v>
      </c>
      <c r="Q1684" s="10">
        <f>IFERROR(INDEX(Category_Targets!$B$2:$B$9,MATCH(F1684,Category_Targets!$A$2:$A$9,0)),0)</f>
        <v>0.08</v>
      </c>
      <c r="R1684" s="7">
        <f t="shared" si="53"/>
        <v>406.85199999999998</v>
      </c>
    </row>
    <row r="1685" spans="1:18" x14ac:dyDescent="0.25">
      <c r="A1685" s="5">
        <f>Procurement_Raw!A1685</f>
        <v>45772</v>
      </c>
      <c r="B1685" t="str">
        <f>Procurement_Raw!B1685</f>
        <v>S004</v>
      </c>
      <c r="C1685" t="str">
        <f>Procurement_Raw!C1685</f>
        <v>Newcastle Care &amp; Education Centre</v>
      </c>
      <c r="D1685" t="str">
        <f>Procurement_Raw!D1685</f>
        <v>North</v>
      </c>
      <c r="E1685" t="str">
        <f>Procurement_Raw!E1685</f>
        <v>FreshServe</v>
      </c>
      <c r="F1685" t="str">
        <f>Procurement_Raw!F1685</f>
        <v>Food &amp; Catering</v>
      </c>
      <c r="G1685" t="str">
        <f>Procurement_Raw!G1685</f>
        <v>INV-2025-01684</v>
      </c>
      <c r="H1685" s="6">
        <f>Procurement_Raw!H1685</f>
        <v>6</v>
      </c>
      <c r="I1685" s="7">
        <f>Procurement_Raw!I1685</f>
        <v>77.69</v>
      </c>
      <c r="J1685" s="7">
        <f>Procurement_Raw!J1685</f>
        <v>466.17</v>
      </c>
      <c r="K1685" s="6">
        <f>Procurement_Raw!K1685</f>
        <v>60</v>
      </c>
      <c r="L1685" t="str">
        <f>Procurement_Raw!L1685</f>
        <v>ERP</v>
      </c>
      <c r="M1685" s="8">
        <f>Procurement_Raw!M1685</f>
        <v>93.233999999999995</v>
      </c>
      <c r="N1685" s="7">
        <f>Procurement_Raw!N1685</f>
        <v>466.17</v>
      </c>
      <c r="O1685" s="7">
        <f t="shared" si="52"/>
        <v>466.17</v>
      </c>
      <c r="P1685" t="str">
        <f>IFERROR(INDEX(Supplier_Lookup!$B$2:$B$200,MATCH(E1685,Supplier_Lookup!$A$2:$A$200,0)),"Unmapped")</f>
        <v>Food &amp; Catering</v>
      </c>
      <c r="Q1685" s="10">
        <f>IFERROR(INDEX(Category_Targets!$B$2:$B$9,MATCH(F1685,Category_Targets!$A$2:$A$9,0)),0)</f>
        <v>0.04</v>
      </c>
      <c r="R1685" s="7">
        <f t="shared" si="53"/>
        <v>18.646800000000002</v>
      </c>
    </row>
    <row r="1686" spans="1:18" x14ac:dyDescent="0.25">
      <c r="A1686" s="5">
        <f>Procurement_Raw!A1686</f>
        <v>45733</v>
      </c>
      <c r="B1686" t="str">
        <f>Procurement_Raw!B1686</f>
        <v>S016</v>
      </c>
      <c r="C1686" t="str">
        <f>Procurement_Raw!C1686</f>
        <v>Cardiff Care &amp; Education Centre</v>
      </c>
      <c r="D1686" t="str">
        <f>Procurement_Raw!D1686</f>
        <v>Wales</v>
      </c>
      <c r="E1686" t="str">
        <f>Procurement_Raw!E1686</f>
        <v>ClinEquip</v>
      </c>
      <c r="F1686" t="str">
        <f>Procurement_Raw!F1686</f>
        <v>Medical Supplies</v>
      </c>
      <c r="G1686" t="str">
        <f>Procurement_Raw!G1686</f>
        <v>INV-2025-01685</v>
      </c>
      <c r="H1686" s="6">
        <f>Procurement_Raw!H1686</f>
        <v>36</v>
      </c>
      <c r="I1686" s="7">
        <f>Procurement_Raw!I1686</f>
        <v>62.74</v>
      </c>
      <c r="J1686" s="7">
        <f>Procurement_Raw!J1686</f>
        <v>2258.69</v>
      </c>
      <c r="K1686" s="6">
        <f>Procurement_Raw!K1686</f>
        <v>30</v>
      </c>
      <c r="L1686" t="str">
        <f>Procurement_Raw!L1686</f>
        <v>Procurement Portal</v>
      </c>
      <c r="M1686" s="8">
        <f>Procurement_Raw!M1686</f>
        <v>451.738</v>
      </c>
      <c r="N1686" s="7">
        <f>Procurement_Raw!N1686</f>
        <v>2258.69</v>
      </c>
      <c r="O1686" s="7">
        <f t="shared" si="52"/>
        <v>2258.69</v>
      </c>
      <c r="P1686" t="str">
        <f>IFERROR(INDEX(Supplier_Lookup!$B$2:$B$200,MATCH(E1686,Supplier_Lookup!$A$2:$A$200,0)),"Unmapped")</f>
        <v>Medical Supplies</v>
      </c>
      <c r="Q1686" s="10">
        <f>IFERROR(INDEX(Category_Targets!$B$2:$B$9,MATCH(F1686,Category_Targets!$A$2:$A$9,0)),0)</f>
        <v>0.06</v>
      </c>
      <c r="R1686" s="7">
        <f t="shared" si="53"/>
        <v>135.5214</v>
      </c>
    </row>
    <row r="1687" spans="1:18" x14ac:dyDescent="0.25">
      <c r="A1687" s="5">
        <f>Procurement_Raw!A1687</f>
        <v>45931</v>
      </c>
      <c r="B1687" t="str">
        <f>Procurement_Raw!B1687</f>
        <v>S004</v>
      </c>
      <c r="C1687" t="str">
        <f>Procurement_Raw!C1687</f>
        <v>Newcastle Care &amp; Education Centre</v>
      </c>
      <c r="D1687" t="str">
        <f>Procurement_Raw!D1687</f>
        <v>North</v>
      </c>
      <c r="E1687" t="str">
        <f>Procurement_Raw!E1687</f>
        <v>UK Energy Partners</v>
      </c>
      <c r="F1687" t="str">
        <f>Procurement_Raw!F1687</f>
        <v>Utilities</v>
      </c>
      <c r="G1687" t="str">
        <f>Procurement_Raw!G1687</f>
        <v>INV-2025-01686</v>
      </c>
      <c r="H1687" s="6">
        <f>Procurement_Raw!H1687</f>
        <v>15</v>
      </c>
      <c r="I1687" s="7">
        <f>Procurement_Raw!I1687</f>
        <v>480.43</v>
      </c>
      <c r="J1687" s="7">
        <f>Procurement_Raw!J1687</f>
        <v>7206.47</v>
      </c>
      <c r="K1687" s="6">
        <f>Procurement_Raw!K1687</f>
        <v>30</v>
      </c>
      <c r="L1687" t="str">
        <f>Procurement_Raw!L1687</f>
        <v>Legacy Spend File</v>
      </c>
      <c r="M1687" s="8">
        <f>Procurement_Raw!M1687</f>
        <v>1441.2940000000001</v>
      </c>
      <c r="N1687" s="7">
        <f>Procurement_Raw!N1687</f>
        <v>7206.47</v>
      </c>
      <c r="O1687" s="7">
        <f t="shared" si="52"/>
        <v>7206.47</v>
      </c>
      <c r="P1687" t="str">
        <f>IFERROR(INDEX(Supplier_Lookup!$B$2:$B$200,MATCH(E1687,Supplier_Lookup!$A$2:$A$200,0)),"Unmapped")</f>
        <v>Utilities</v>
      </c>
      <c r="Q1687" s="10">
        <f>IFERROR(INDEX(Category_Targets!$B$2:$B$9,MATCH(F1687,Category_Targets!$A$2:$A$9,0)),0)</f>
        <v>0.03</v>
      </c>
      <c r="R1687" s="7">
        <f t="shared" si="53"/>
        <v>216.19409999999999</v>
      </c>
    </row>
    <row r="1688" spans="1:18" x14ac:dyDescent="0.25">
      <c r="A1688" s="5">
        <f>Procurement_Raw!A1688</f>
        <v>45700</v>
      </c>
      <c r="B1688" t="str">
        <f>Procurement_Raw!B1688</f>
        <v>S008</v>
      </c>
      <c r="C1688" t="str">
        <f>Procurement_Raw!C1688</f>
        <v>Leicester Care &amp; Education Centre</v>
      </c>
      <c r="D1688" t="str">
        <f>Procurement_Raw!D1688</f>
        <v>Midlands</v>
      </c>
      <c r="E1688" t="str">
        <f>Procurement_Raw!E1688</f>
        <v>RoadReady</v>
      </c>
      <c r="F1688" t="str">
        <f>Procurement_Raw!F1688</f>
        <v>Vehicle &amp; Fuel</v>
      </c>
      <c r="G1688" t="str">
        <f>Procurement_Raw!G1688</f>
        <v>INV-2025-01687</v>
      </c>
      <c r="H1688" s="6">
        <f>Procurement_Raw!H1688</f>
        <v>71</v>
      </c>
      <c r="I1688" s="7">
        <f>Procurement_Raw!I1688</f>
        <v>73.58</v>
      </c>
      <c r="J1688" s="7">
        <f>Procurement_Raw!J1688</f>
        <v>5223.99</v>
      </c>
      <c r="K1688" s="6">
        <f>Procurement_Raw!K1688</f>
        <v>45</v>
      </c>
      <c r="L1688" t="str">
        <f>Procurement_Raw!L1688</f>
        <v>Legacy Spend File</v>
      </c>
      <c r="M1688" s="8">
        <f>Procurement_Raw!M1688</f>
        <v>1044.798</v>
      </c>
      <c r="N1688" s="7">
        <f>Procurement_Raw!N1688</f>
        <v>5223.99</v>
      </c>
      <c r="O1688" s="7">
        <f t="shared" si="52"/>
        <v>5223.99</v>
      </c>
      <c r="P1688" t="str">
        <f>IFERROR(INDEX(Supplier_Lookup!$B$2:$B$200,MATCH(E1688,Supplier_Lookup!$A$2:$A$200,0)),"Unmapped")</f>
        <v>Vehicle &amp; Fuel</v>
      </c>
      <c r="Q1688" s="10">
        <f>IFERROR(INDEX(Category_Targets!$B$2:$B$9,MATCH(F1688,Category_Targets!$A$2:$A$9,0)),0)</f>
        <v>0.05</v>
      </c>
      <c r="R1688" s="7">
        <f t="shared" si="53"/>
        <v>261.1995</v>
      </c>
    </row>
    <row r="1689" spans="1:18" x14ac:dyDescent="0.25">
      <c r="A1689" s="5">
        <f>Procurement_Raw!A1689</f>
        <v>45808</v>
      </c>
      <c r="B1689" t="str">
        <f>Procurement_Raw!B1689</f>
        <v>S008</v>
      </c>
      <c r="C1689" t="str">
        <f>Procurement_Raw!C1689</f>
        <v>Leicester Care &amp; Education Centre</v>
      </c>
      <c r="D1689" t="str">
        <f>Procurement_Raw!D1689</f>
        <v>Midlands</v>
      </c>
      <c r="E1689" t="str">
        <f>Procurement_Raw!E1689</f>
        <v>NurseLink</v>
      </c>
      <c r="F1689" t="str">
        <f>Procurement_Raw!F1689</f>
        <v>Agency Labour</v>
      </c>
      <c r="G1689" t="str">
        <f>Procurement_Raw!G1689</f>
        <v>INV-2025-01688</v>
      </c>
      <c r="H1689" s="6">
        <f>Procurement_Raw!H1689</f>
        <v>42</v>
      </c>
      <c r="I1689" s="7">
        <f>Procurement_Raw!I1689</f>
        <v>335.1</v>
      </c>
      <c r="J1689" s="7">
        <f>Procurement_Raw!J1689</f>
        <v>14074.08</v>
      </c>
      <c r="K1689" s="6">
        <f>Procurement_Raw!K1689</f>
        <v>30</v>
      </c>
      <c r="L1689" t="str">
        <f>Procurement_Raw!L1689</f>
        <v>Legacy Spend File</v>
      </c>
      <c r="M1689" s="8">
        <f>Procurement_Raw!M1689</f>
        <v>2814.8159999999998</v>
      </c>
      <c r="N1689" s="7">
        <f>Procurement_Raw!N1689</f>
        <v>14074.08</v>
      </c>
      <c r="O1689" s="7">
        <f t="shared" si="52"/>
        <v>14074.08</v>
      </c>
      <c r="P1689" t="str">
        <f>IFERROR(INDEX(Supplier_Lookup!$B$2:$B$200,MATCH(E1689,Supplier_Lookup!$A$2:$A$200,0)),"Unmapped")</f>
        <v>Agency Labour</v>
      </c>
      <c r="Q1689" s="10">
        <f>IFERROR(INDEX(Category_Targets!$B$2:$B$9,MATCH(F1689,Category_Targets!$A$2:$A$9,0)),0)</f>
        <v>7.0000000000000007E-2</v>
      </c>
      <c r="R1689" s="7">
        <f t="shared" si="53"/>
        <v>985.18560000000014</v>
      </c>
    </row>
    <row r="1690" spans="1:18" x14ac:dyDescent="0.25">
      <c r="A1690" s="5">
        <f>Procurement_Raw!A1690</f>
        <v>45801</v>
      </c>
      <c r="B1690" t="str">
        <f>Procurement_Raw!B1690</f>
        <v>S017</v>
      </c>
      <c r="C1690" t="str">
        <f>Procurement_Raw!C1690</f>
        <v>Swansea Care &amp; Education Centre</v>
      </c>
      <c r="D1690" t="str">
        <f>Procurement_Raw!D1690</f>
        <v>Wales</v>
      </c>
      <c r="E1690" t="str">
        <f>Procurement_Raw!E1690</f>
        <v>FleetFuel</v>
      </c>
      <c r="F1690" t="str">
        <f>Procurement_Raw!F1690</f>
        <v>Vehicle &amp; Fuel</v>
      </c>
      <c r="G1690" t="str">
        <f>Procurement_Raw!G1690</f>
        <v>INV-2025-01689</v>
      </c>
      <c r="H1690" s="6">
        <f>Procurement_Raw!H1690</f>
        <v>23</v>
      </c>
      <c r="I1690" s="7">
        <f>Procurement_Raw!I1690</f>
        <v>111.02</v>
      </c>
      <c r="J1690" s="7">
        <f>Procurement_Raw!J1690</f>
        <v>2553.4</v>
      </c>
      <c r="K1690" s="6">
        <f>Procurement_Raw!K1690</f>
        <v>45</v>
      </c>
      <c r="L1690" t="str">
        <f>Procurement_Raw!L1690</f>
        <v>ERP</v>
      </c>
      <c r="M1690" s="8">
        <f>Procurement_Raw!M1690</f>
        <v>510.68</v>
      </c>
      <c r="N1690" s="7">
        <f>Procurement_Raw!N1690</f>
        <v>2553.4</v>
      </c>
      <c r="O1690" s="7">
        <f t="shared" si="52"/>
        <v>2553.4</v>
      </c>
      <c r="P1690" t="str">
        <f>IFERROR(INDEX(Supplier_Lookup!$B$2:$B$200,MATCH(E1690,Supplier_Lookup!$A$2:$A$200,0)),"Unmapped")</f>
        <v>Vehicle &amp; Fuel</v>
      </c>
      <c r="Q1690" s="10">
        <f>IFERROR(INDEX(Category_Targets!$B$2:$B$9,MATCH(F1690,Category_Targets!$A$2:$A$9,0)),0)</f>
        <v>0.05</v>
      </c>
      <c r="R1690" s="7">
        <f t="shared" si="53"/>
        <v>127.67000000000002</v>
      </c>
    </row>
    <row r="1691" spans="1:18" x14ac:dyDescent="0.25">
      <c r="A1691" s="5">
        <f>Procurement_Raw!A1691</f>
        <v>46010</v>
      </c>
      <c r="B1691" t="str">
        <f>Procurement_Raw!B1691</f>
        <v>S003</v>
      </c>
      <c r="C1691" t="str">
        <f>Procurement_Raw!C1691</f>
        <v>Leeds Care &amp; Education Centre</v>
      </c>
      <c r="D1691" t="str">
        <f>Procurement_Raw!D1691</f>
        <v>North</v>
      </c>
      <c r="E1691" t="str">
        <f>Procurement_Raw!E1691</f>
        <v>KitchenPro</v>
      </c>
      <c r="F1691" t="str">
        <f>Procurement_Raw!F1691</f>
        <v>Food &amp; Catering</v>
      </c>
      <c r="G1691" t="str">
        <f>Procurement_Raw!G1691</f>
        <v>INV-2025-01690</v>
      </c>
      <c r="H1691" s="6">
        <f>Procurement_Raw!H1691</f>
        <v>49</v>
      </c>
      <c r="I1691" s="7">
        <f>Procurement_Raw!I1691</f>
        <v>56.37</v>
      </c>
      <c r="J1691" s="7">
        <f>Procurement_Raw!J1691</f>
        <v>2762.27</v>
      </c>
      <c r="K1691" s="6">
        <f>Procurement_Raw!K1691</f>
        <v>60</v>
      </c>
      <c r="L1691" t="str">
        <f>Procurement_Raw!L1691</f>
        <v>Procurement Portal</v>
      </c>
      <c r="M1691" s="8">
        <f>Procurement_Raw!M1691</f>
        <v>552.45399999999995</v>
      </c>
      <c r="N1691" s="7">
        <f>Procurement_Raw!N1691</f>
        <v>2762.27</v>
      </c>
      <c r="O1691" s="7">
        <f t="shared" si="52"/>
        <v>2762.27</v>
      </c>
      <c r="P1691" t="str">
        <f>IFERROR(INDEX(Supplier_Lookup!$B$2:$B$200,MATCH(E1691,Supplier_Lookup!$A$2:$A$200,0)),"Unmapped")</f>
        <v>Food &amp; Catering</v>
      </c>
      <c r="Q1691" s="10">
        <f>IFERROR(INDEX(Category_Targets!$B$2:$B$9,MATCH(F1691,Category_Targets!$A$2:$A$9,0)),0)</f>
        <v>0.04</v>
      </c>
      <c r="R1691" s="7">
        <f t="shared" si="53"/>
        <v>110.49080000000001</v>
      </c>
    </row>
    <row r="1692" spans="1:18" x14ac:dyDescent="0.25">
      <c r="A1692" s="5">
        <f>Procurement_Raw!A1692</f>
        <v>45770</v>
      </c>
      <c r="B1692" t="str">
        <f>Procurement_Raw!B1692</f>
        <v>S017</v>
      </c>
      <c r="C1692" t="str">
        <f>Procurement_Raw!C1692</f>
        <v>Swansea Care &amp; Education Centre</v>
      </c>
      <c r="D1692" t="str">
        <f>Procurement_Raw!D1692</f>
        <v>Wales</v>
      </c>
      <c r="E1692" t="str">
        <f>Procurement_Raw!E1692</f>
        <v>WaterGrid</v>
      </c>
      <c r="F1692" t="str">
        <f>Procurement_Raw!F1692</f>
        <v>Utilities</v>
      </c>
      <c r="G1692" t="str">
        <f>Procurement_Raw!G1692</f>
        <v>INV-2025-01691</v>
      </c>
      <c r="H1692" s="6">
        <f>Procurement_Raw!H1692</f>
        <v>42</v>
      </c>
      <c r="I1692" s="7">
        <f>Procurement_Raw!I1692</f>
        <v>345.21</v>
      </c>
      <c r="J1692" s="7">
        <f>Procurement_Raw!J1692</f>
        <v>14498.67</v>
      </c>
      <c r="K1692" s="6">
        <f>Procurement_Raw!K1692</f>
        <v>45</v>
      </c>
      <c r="L1692" t="str">
        <f>Procurement_Raw!L1692</f>
        <v>ERP</v>
      </c>
      <c r="M1692" s="8">
        <f>Procurement_Raw!M1692</f>
        <v>2899.7339999999999</v>
      </c>
      <c r="N1692" s="7">
        <f>Procurement_Raw!N1692</f>
        <v>14498.67</v>
      </c>
      <c r="O1692" s="7">
        <f t="shared" si="52"/>
        <v>14498.67</v>
      </c>
      <c r="P1692" t="str">
        <f>IFERROR(INDEX(Supplier_Lookup!$B$2:$B$200,MATCH(E1692,Supplier_Lookup!$A$2:$A$200,0)),"Unmapped")</f>
        <v>Utilities</v>
      </c>
      <c r="Q1692" s="10">
        <f>IFERROR(INDEX(Category_Targets!$B$2:$B$9,MATCH(F1692,Category_Targets!$A$2:$A$9,0)),0)</f>
        <v>0.03</v>
      </c>
      <c r="R1692" s="7">
        <f t="shared" si="53"/>
        <v>434.96010000000001</v>
      </c>
    </row>
    <row r="1693" spans="1:18" x14ac:dyDescent="0.25">
      <c r="A1693" s="5">
        <f>Procurement_Raw!A1693</f>
        <v>45886</v>
      </c>
      <c r="B1693" t="str">
        <f>Procurement_Raw!B1693</f>
        <v>S013</v>
      </c>
      <c r="C1693" t="str">
        <f>Procurement_Raw!C1693</f>
        <v>Reading Care &amp; Education Centre</v>
      </c>
      <c r="D1693" t="str">
        <f>Procurement_Raw!D1693</f>
        <v>South</v>
      </c>
      <c r="E1693" t="str">
        <f>Procurement_Raw!E1693</f>
        <v>HealthStaffing</v>
      </c>
      <c r="F1693" t="str">
        <f>Procurement_Raw!F1693</f>
        <v>Agency Labour</v>
      </c>
      <c r="G1693" t="str">
        <f>Procurement_Raw!G1693</f>
        <v>INV-2025-01692</v>
      </c>
      <c r="H1693" s="6">
        <f>Procurement_Raw!H1693</f>
        <v>30</v>
      </c>
      <c r="I1693" s="7">
        <f>Procurement_Raw!I1693</f>
        <v>231.04</v>
      </c>
      <c r="J1693" s="7">
        <f>Procurement_Raw!J1693</f>
        <v>6931.16</v>
      </c>
      <c r="K1693" s="6">
        <f>Procurement_Raw!K1693</f>
        <v>60</v>
      </c>
      <c r="L1693" t="str">
        <f>Procurement_Raw!L1693</f>
        <v>Legacy Spend File</v>
      </c>
      <c r="M1693" s="8">
        <f>Procurement_Raw!M1693</f>
        <v>1386.232</v>
      </c>
      <c r="N1693" s="7">
        <f>Procurement_Raw!N1693</f>
        <v>6931.16</v>
      </c>
      <c r="O1693" s="7">
        <f t="shared" si="52"/>
        <v>6931.16</v>
      </c>
      <c r="P1693" t="str">
        <f>IFERROR(INDEX(Supplier_Lookup!$B$2:$B$200,MATCH(E1693,Supplier_Lookup!$A$2:$A$200,0)),"Unmapped")</f>
        <v>Agency Labour</v>
      </c>
      <c r="Q1693" s="10">
        <f>IFERROR(INDEX(Category_Targets!$B$2:$B$9,MATCH(F1693,Category_Targets!$A$2:$A$9,0)),0)</f>
        <v>7.0000000000000007E-2</v>
      </c>
      <c r="R1693" s="7">
        <f t="shared" si="53"/>
        <v>485.18120000000005</v>
      </c>
    </row>
    <row r="1694" spans="1:18" x14ac:dyDescent="0.25">
      <c r="A1694" s="5">
        <f>Procurement_Raw!A1694</f>
        <v>45903</v>
      </c>
      <c r="B1694" t="str">
        <f>Procurement_Raw!B1694</f>
        <v>S006</v>
      </c>
      <c r="C1694" t="str">
        <f>Procurement_Raw!C1694</f>
        <v>Birmingham Care &amp; Education Centre</v>
      </c>
      <c r="D1694" t="str">
        <f>Procurement_Raw!D1694</f>
        <v>Midlands</v>
      </c>
      <c r="E1694" t="str">
        <f>Procurement_Raw!E1694</f>
        <v>FleetFuel</v>
      </c>
      <c r="F1694" t="str">
        <f>Procurement_Raw!F1694</f>
        <v>Vehicle &amp; Fuel</v>
      </c>
      <c r="G1694" t="str">
        <f>Procurement_Raw!G1694</f>
        <v>INV-2025-01693</v>
      </c>
      <c r="H1694" s="6">
        <f>Procurement_Raw!H1694</f>
        <v>12</v>
      </c>
      <c r="I1694" s="7">
        <f>Procurement_Raw!I1694</f>
        <v>153.41</v>
      </c>
      <c r="J1694" s="7">
        <f>Procurement_Raw!J1694</f>
        <v>1840.88</v>
      </c>
      <c r="K1694" s="6">
        <f>Procurement_Raw!K1694</f>
        <v>45</v>
      </c>
      <c r="L1694" t="str">
        <f>Procurement_Raw!L1694</f>
        <v>ERP</v>
      </c>
      <c r="M1694" s="8">
        <f>Procurement_Raw!M1694</f>
        <v>368.17599999999999</v>
      </c>
      <c r="N1694" s="7">
        <f>Procurement_Raw!N1694</f>
        <v>1840.88</v>
      </c>
      <c r="O1694" s="7">
        <f t="shared" si="52"/>
        <v>1840.88</v>
      </c>
      <c r="P1694" t="str">
        <f>IFERROR(INDEX(Supplier_Lookup!$B$2:$B$200,MATCH(E1694,Supplier_Lookup!$A$2:$A$200,0)),"Unmapped")</f>
        <v>Vehicle &amp; Fuel</v>
      </c>
      <c r="Q1694" s="10">
        <f>IFERROR(INDEX(Category_Targets!$B$2:$B$9,MATCH(F1694,Category_Targets!$A$2:$A$9,0)),0)</f>
        <v>0.05</v>
      </c>
      <c r="R1694" s="7">
        <f t="shared" si="53"/>
        <v>92.044000000000011</v>
      </c>
    </row>
    <row r="1695" spans="1:18" x14ac:dyDescent="0.25">
      <c r="A1695" s="5">
        <f>Procurement_Raw!A1695</f>
        <v>45754</v>
      </c>
      <c r="B1695" t="str">
        <f>Procurement_Raw!B1695</f>
        <v>S012</v>
      </c>
      <c r="C1695" t="str">
        <f>Procurement_Raw!C1695</f>
        <v>Bristol Care &amp; Education Centre</v>
      </c>
      <c r="D1695" t="str">
        <f>Procurement_Raw!D1695</f>
        <v>South</v>
      </c>
      <c r="E1695" t="str">
        <f>Procurement_Raw!E1695</f>
        <v>CleanWorks</v>
      </c>
      <c r="F1695" t="str">
        <f>Procurement_Raw!F1695</f>
        <v>Facilities</v>
      </c>
      <c r="G1695" t="str">
        <f>Procurement_Raw!G1695</f>
        <v>INV-2025-01694</v>
      </c>
      <c r="H1695" s="6">
        <f>Procurement_Raw!H1695</f>
        <v>73</v>
      </c>
      <c r="I1695" s="7">
        <f>Procurement_Raw!I1695</f>
        <v>85.86</v>
      </c>
      <c r="J1695" s="7">
        <f>Procurement_Raw!J1695</f>
        <v>6267.47</v>
      </c>
      <c r="K1695" s="6">
        <f>Procurement_Raw!K1695</f>
        <v>45</v>
      </c>
      <c r="L1695" t="str">
        <f>Procurement_Raw!L1695</f>
        <v>Legacy Spend File</v>
      </c>
      <c r="M1695" s="8">
        <f>Procurement_Raw!M1695</f>
        <v>1253.4939999999999</v>
      </c>
      <c r="N1695" s="7">
        <f>Procurement_Raw!N1695</f>
        <v>6267.47</v>
      </c>
      <c r="O1695" s="7">
        <f t="shared" si="52"/>
        <v>6267.47</v>
      </c>
      <c r="P1695" t="str">
        <f>IFERROR(INDEX(Supplier_Lookup!$B$2:$B$200,MATCH(E1695,Supplier_Lookup!$A$2:$A$200,0)),"Unmapped")</f>
        <v>Facilities</v>
      </c>
      <c r="Q1695" s="10">
        <f>IFERROR(INDEX(Category_Targets!$B$2:$B$9,MATCH(F1695,Category_Targets!$A$2:$A$9,0)),0)</f>
        <v>0.05</v>
      </c>
      <c r="R1695" s="7">
        <f t="shared" si="53"/>
        <v>313.37350000000004</v>
      </c>
    </row>
    <row r="1696" spans="1:18" x14ac:dyDescent="0.25">
      <c r="A1696" s="5">
        <f>Procurement_Raw!A1696</f>
        <v>45816</v>
      </c>
      <c r="B1696" t="str">
        <f>Procurement_Raw!B1696</f>
        <v>S014</v>
      </c>
      <c r="C1696" t="str">
        <f>Procurement_Raw!C1696</f>
        <v>Southampton Care &amp; Education Centre</v>
      </c>
      <c r="D1696" t="str">
        <f>Procurement_Raw!D1696</f>
        <v>South</v>
      </c>
      <c r="E1696" t="str">
        <f>Procurement_Raw!E1696</f>
        <v>CloudLink</v>
      </c>
      <c r="F1696" t="str">
        <f>Procurement_Raw!F1696</f>
        <v>IT &amp; Telecoms</v>
      </c>
      <c r="G1696" t="str">
        <f>Procurement_Raw!G1696</f>
        <v>INV-2025-01695</v>
      </c>
      <c r="H1696" s="6">
        <f>Procurement_Raw!H1696</f>
        <v>21</v>
      </c>
      <c r="I1696" s="7">
        <f>Procurement_Raw!I1696</f>
        <v>235.84</v>
      </c>
      <c r="J1696" s="7">
        <f>Procurement_Raw!J1696</f>
        <v>4952.55</v>
      </c>
      <c r="K1696" s="6">
        <f>Procurement_Raw!K1696</f>
        <v>30</v>
      </c>
      <c r="L1696" t="str">
        <f>Procurement_Raw!L1696</f>
        <v>Procurement Portal</v>
      </c>
      <c r="M1696" s="8">
        <f>Procurement_Raw!M1696</f>
        <v>990.51</v>
      </c>
      <c r="N1696" s="7">
        <f>Procurement_Raw!N1696</f>
        <v>4952.55</v>
      </c>
      <c r="O1696" s="7">
        <f t="shared" si="52"/>
        <v>4952.55</v>
      </c>
      <c r="P1696" t="str">
        <f>IFERROR(INDEX(Supplier_Lookup!$B$2:$B$200,MATCH(E1696,Supplier_Lookup!$A$2:$A$200,0)),"Unmapped")</f>
        <v>medical supplies</v>
      </c>
      <c r="Q1696" s="10">
        <f>IFERROR(INDEX(Category_Targets!$B$2:$B$9,MATCH(F1696,Category_Targets!$A$2:$A$9,0)),0)</f>
        <v>0.08</v>
      </c>
      <c r="R1696" s="7">
        <f t="shared" si="53"/>
        <v>396.20400000000001</v>
      </c>
    </row>
    <row r="1697" spans="1:18" x14ac:dyDescent="0.25">
      <c r="A1697" s="5">
        <f>Procurement_Raw!A1697</f>
        <v>45731</v>
      </c>
      <c r="B1697" t="str">
        <f>Procurement_Raw!B1697</f>
        <v>S016</v>
      </c>
      <c r="C1697" t="str">
        <f>Procurement_Raw!C1697</f>
        <v>Cardiff Care &amp; Education Centre</v>
      </c>
      <c r="D1697" t="str">
        <f>Procurement_Raw!D1697</f>
        <v>Wales</v>
      </c>
      <c r="E1697" t="str">
        <f>Procurement_Raw!E1697</f>
        <v>UK Energy Partners</v>
      </c>
      <c r="F1697" t="str">
        <f>Procurement_Raw!F1697</f>
        <v>Utilities</v>
      </c>
      <c r="G1697" t="str">
        <f>Procurement_Raw!G1697</f>
        <v>INV-2025-01696</v>
      </c>
      <c r="H1697" s="6">
        <f>Procurement_Raw!H1697</f>
        <v>10</v>
      </c>
      <c r="I1697" s="7">
        <f>Procurement_Raw!I1697</f>
        <v>726.23</v>
      </c>
      <c r="J1697" s="7">
        <f>Procurement_Raw!J1697</f>
        <v>7262.34</v>
      </c>
      <c r="K1697" s="6">
        <f>Procurement_Raw!K1697</f>
        <v>45</v>
      </c>
      <c r="L1697" t="str">
        <f>Procurement_Raw!L1697</f>
        <v>ERP</v>
      </c>
      <c r="M1697" s="8">
        <f>Procurement_Raw!M1697</f>
        <v>1452.4680000000001</v>
      </c>
      <c r="N1697" s="7">
        <f>Procurement_Raw!N1697</f>
        <v>7262.34</v>
      </c>
      <c r="O1697" s="7">
        <f t="shared" si="52"/>
        <v>7262.34</v>
      </c>
      <c r="P1697" t="str">
        <f>IFERROR(INDEX(Supplier_Lookup!$B$2:$B$200,MATCH(E1697,Supplier_Lookup!$A$2:$A$200,0)),"Unmapped")</f>
        <v>Utilities</v>
      </c>
      <c r="Q1697" s="10">
        <f>IFERROR(INDEX(Category_Targets!$B$2:$B$9,MATCH(F1697,Category_Targets!$A$2:$A$9,0)),0)</f>
        <v>0.03</v>
      </c>
      <c r="R1697" s="7">
        <f t="shared" si="53"/>
        <v>217.87019999999998</v>
      </c>
    </row>
    <row r="1698" spans="1:18" x14ac:dyDescent="0.25">
      <c r="A1698" s="5">
        <f>Procurement_Raw!A1698</f>
        <v>45927</v>
      </c>
      <c r="B1698" t="str">
        <f>Procurement_Raw!B1698</f>
        <v>S015</v>
      </c>
      <c r="C1698" t="str">
        <f>Procurement_Raw!C1698</f>
        <v>Brighton Care &amp; Education Centre</v>
      </c>
      <c r="D1698" t="str">
        <f>Procurement_Raw!D1698</f>
        <v>South</v>
      </c>
      <c r="E1698" t="str">
        <f>Procurement_Raw!E1698</f>
        <v>HealthStaffing</v>
      </c>
      <c r="F1698" t="str">
        <f>Procurement_Raw!F1698</f>
        <v>Agency Labour</v>
      </c>
      <c r="G1698" t="str">
        <f>Procurement_Raw!G1698</f>
        <v>INV-2025-01697</v>
      </c>
      <c r="H1698" s="6">
        <f>Procurement_Raw!H1698</f>
        <v>18</v>
      </c>
      <c r="I1698" s="7">
        <f>Procurement_Raw!I1698</f>
        <v>173.05</v>
      </c>
      <c r="J1698" s="7">
        <f>Procurement_Raw!J1698</f>
        <v>3114.96</v>
      </c>
      <c r="K1698" s="6">
        <f>Procurement_Raw!K1698</f>
        <v>60</v>
      </c>
      <c r="L1698" t="str">
        <f>Procurement_Raw!L1698</f>
        <v>ERP</v>
      </c>
      <c r="M1698" s="8">
        <f>Procurement_Raw!M1698</f>
        <v>622.99199999999996</v>
      </c>
      <c r="N1698" s="7">
        <f>Procurement_Raw!N1698</f>
        <v>3114.96</v>
      </c>
      <c r="O1698" s="7">
        <f t="shared" si="52"/>
        <v>3114.96</v>
      </c>
      <c r="P1698" t="str">
        <f>IFERROR(INDEX(Supplier_Lookup!$B$2:$B$200,MATCH(E1698,Supplier_Lookup!$A$2:$A$200,0)),"Unmapped")</f>
        <v>Agency Labour</v>
      </c>
      <c r="Q1698" s="10">
        <f>IFERROR(INDEX(Category_Targets!$B$2:$B$9,MATCH(F1698,Category_Targets!$A$2:$A$9,0)),0)</f>
        <v>7.0000000000000007E-2</v>
      </c>
      <c r="R1698" s="7">
        <f t="shared" si="53"/>
        <v>218.04720000000003</v>
      </c>
    </row>
    <row r="1699" spans="1:18" x14ac:dyDescent="0.25">
      <c r="A1699" s="5">
        <f>Procurement_Raw!A1699</f>
        <v>45854</v>
      </c>
      <c r="B1699" t="str">
        <f>Procurement_Raw!B1699</f>
        <v>S004</v>
      </c>
      <c r="C1699" t="str">
        <f>Procurement_Raw!C1699</f>
        <v>Newcastle Care &amp; Education Centre</v>
      </c>
      <c r="D1699" t="str">
        <f>Procurement_Raw!D1699</f>
        <v>North</v>
      </c>
      <c r="E1699" t="str">
        <f>Procurement_Raw!E1699</f>
        <v>NourishCo</v>
      </c>
      <c r="F1699" t="str">
        <f>Procurement_Raw!F1699</f>
        <v>Food &amp; Catering</v>
      </c>
      <c r="G1699" t="str">
        <f>Procurement_Raw!G1699</f>
        <v>INV-2025-01698</v>
      </c>
      <c r="H1699" s="6">
        <f>Procurement_Raw!H1699</f>
        <v>3</v>
      </c>
      <c r="I1699" s="7">
        <f>Procurement_Raw!I1699</f>
        <v>44.77</v>
      </c>
      <c r="J1699" s="7">
        <f>Procurement_Raw!J1699</f>
        <v>134.32</v>
      </c>
      <c r="K1699" s="6">
        <f>Procurement_Raw!K1699</f>
        <v>30</v>
      </c>
      <c r="L1699" t="str">
        <f>Procurement_Raw!L1699</f>
        <v>ERP</v>
      </c>
      <c r="M1699" s="8">
        <f>Procurement_Raw!M1699</f>
        <v>26.864000000000001</v>
      </c>
      <c r="N1699" s="7">
        <f>Procurement_Raw!N1699</f>
        <v>134.32</v>
      </c>
      <c r="O1699" s="7">
        <f t="shared" si="52"/>
        <v>134.32</v>
      </c>
      <c r="P1699" t="str">
        <f>IFERROR(INDEX(Supplier_Lookup!$B$2:$B$200,MATCH(E1699,Supplier_Lookup!$A$2:$A$200,0)),"Unmapped")</f>
        <v>Food &amp; Catering</v>
      </c>
      <c r="Q1699" s="10">
        <f>IFERROR(INDEX(Category_Targets!$B$2:$B$9,MATCH(F1699,Category_Targets!$A$2:$A$9,0)),0)</f>
        <v>0.04</v>
      </c>
      <c r="R1699" s="7">
        <f t="shared" si="53"/>
        <v>5.3727999999999998</v>
      </c>
    </row>
    <row r="1700" spans="1:18" x14ac:dyDescent="0.25">
      <c r="A1700" s="5">
        <f>Procurement_Raw!A1700</f>
        <v>45785</v>
      </c>
      <c r="B1700" t="str">
        <f>Procurement_Raw!B1700</f>
        <v>S016</v>
      </c>
      <c r="C1700" t="str">
        <f>Procurement_Raw!C1700</f>
        <v>Cardiff Care &amp; Education Centre</v>
      </c>
      <c r="D1700" t="str">
        <f>Procurement_Raw!D1700</f>
        <v>Wales</v>
      </c>
      <c r="E1700" t="str">
        <f>Procurement_Raw!E1700</f>
        <v>MediSure</v>
      </c>
      <c r="F1700" t="str">
        <f>Procurement_Raw!F1700</f>
        <v>Medical Supplies</v>
      </c>
      <c r="G1700" t="str">
        <f>Procurement_Raw!G1700</f>
        <v>INV-2025-01699</v>
      </c>
      <c r="H1700" s="6">
        <f>Procurement_Raw!H1700</f>
        <v>11</v>
      </c>
      <c r="I1700" s="7">
        <f>Procurement_Raw!I1700</f>
        <v>159.19999999999999</v>
      </c>
      <c r="J1700" s="7">
        <f>Procurement_Raw!J1700</f>
        <v>1751.16</v>
      </c>
      <c r="K1700" s="6">
        <f>Procurement_Raw!K1700</f>
        <v>45</v>
      </c>
      <c r="L1700" t="str">
        <f>Procurement_Raw!L1700</f>
        <v>ERP</v>
      </c>
      <c r="M1700" s="8">
        <f>Procurement_Raw!M1700</f>
        <v>350.23200000000003</v>
      </c>
      <c r="N1700" s="7">
        <f>Procurement_Raw!N1700</f>
        <v>1751.16</v>
      </c>
      <c r="O1700" s="7">
        <f t="shared" si="52"/>
        <v>1751.16</v>
      </c>
      <c r="P1700" t="str">
        <f>IFERROR(INDEX(Supplier_Lookup!$B$2:$B$200,MATCH(E1700,Supplier_Lookup!$A$2:$A$200,0)),"Unmapped")</f>
        <v>Medical Supplies</v>
      </c>
      <c r="Q1700" s="10">
        <f>IFERROR(INDEX(Category_Targets!$B$2:$B$9,MATCH(F1700,Category_Targets!$A$2:$A$9,0)),0)</f>
        <v>0.06</v>
      </c>
      <c r="R1700" s="7">
        <f t="shared" si="53"/>
        <v>105.06959999999999</v>
      </c>
    </row>
    <row r="1701" spans="1:18" x14ac:dyDescent="0.25">
      <c r="A1701" s="5">
        <f>Procurement_Raw!A1701</f>
        <v>45712</v>
      </c>
      <c r="B1701" t="str">
        <f>Procurement_Raw!B1701</f>
        <v>S012</v>
      </c>
      <c r="C1701" t="str">
        <f>Procurement_Raw!C1701</f>
        <v>Bristol Care &amp; Education Centre</v>
      </c>
      <c r="D1701" t="str">
        <f>Procurement_Raw!D1701</f>
        <v>South</v>
      </c>
      <c r="E1701" t="str">
        <f>Procurement_Raw!E1701</f>
        <v>MediSure</v>
      </c>
      <c r="F1701" t="str">
        <f>Procurement_Raw!F1701</f>
        <v>Medical Supplies</v>
      </c>
      <c r="G1701" t="str">
        <f>Procurement_Raw!G1701</f>
        <v>INV-2025-01700</v>
      </c>
      <c r="H1701" s="6">
        <f>Procurement_Raw!H1701</f>
        <v>70</v>
      </c>
      <c r="I1701" s="7">
        <f>Procurement_Raw!I1701</f>
        <v>132.46</v>
      </c>
      <c r="J1701" s="7">
        <f>Procurement_Raw!J1701</f>
        <v>9272.02</v>
      </c>
      <c r="K1701" s="6">
        <f>Procurement_Raw!K1701</f>
        <v>60</v>
      </c>
      <c r="L1701" t="str">
        <f>Procurement_Raw!L1701</f>
        <v>Procurement Portal</v>
      </c>
      <c r="M1701" s="8">
        <f>Procurement_Raw!M1701</f>
        <v>1854.404</v>
      </c>
      <c r="N1701" s="7">
        <f>Procurement_Raw!N1701</f>
        <v>9272.02</v>
      </c>
      <c r="O1701" s="7">
        <f t="shared" si="52"/>
        <v>9272.02</v>
      </c>
      <c r="P1701" t="str">
        <f>IFERROR(INDEX(Supplier_Lookup!$B$2:$B$200,MATCH(E1701,Supplier_Lookup!$A$2:$A$200,0)),"Unmapped")</f>
        <v>Medical Supplies</v>
      </c>
      <c r="Q1701" s="10">
        <f>IFERROR(INDEX(Category_Targets!$B$2:$B$9,MATCH(F1701,Category_Targets!$A$2:$A$9,0)),0)</f>
        <v>0.06</v>
      </c>
      <c r="R1701" s="7">
        <f t="shared" si="53"/>
        <v>556.32119999999998</v>
      </c>
    </row>
    <row r="1702" spans="1:18" x14ac:dyDescent="0.25">
      <c r="A1702" s="5">
        <f>Procurement_Raw!A1702</f>
        <v>45729</v>
      </c>
      <c r="B1702" t="str">
        <f>Procurement_Raw!B1702</f>
        <v>S003</v>
      </c>
      <c r="C1702" t="str">
        <f>Procurement_Raw!C1702</f>
        <v>Leeds Care &amp; Education Centre</v>
      </c>
      <c r="D1702" t="str">
        <f>Procurement_Raw!D1702</f>
        <v>North</v>
      </c>
      <c r="E1702" t="str">
        <f>Procurement_Raw!E1702</f>
        <v>FreshServe</v>
      </c>
      <c r="F1702" t="str">
        <f>Procurement_Raw!F1702</f>
        <v>Food &amp; Catering</v>
      </c>
      <c r="G1702" t="str">
        <f>Procurement_Raw!G1702</f>
        <v>INV-2025-01701</v>
      </c>
      <c r="H1702" s="6">
        <f>Procurement_Raw!H1702</f>
        <v>62</v>
      </c>
      <c r="I1702" s="7">
        <f>Procurement_Raw!I1702</f>
        <v>78.83</v>
      </c>
      <c r="J1702" s="7">
        <f>Procurement_Raw!J1702</f>
        <v>4887.17</v>
      </c>
      <c r="K1702" s="6">
        <f>Procurement_Raw!K1702</f>
        <v>60</v>
      </c>
      <c r="L1702" t="str">
        <f>Procurement_Raw!L1702</f>
        <v>Procurement Portal</v>
      </c>
      <c r="M1702" s="8">
        <f>Procurement_Raw!M1702</f>
        <v>977.43399999999997</v>
      </c>
      <c r="N1702" s="7">
        <f>Procurement_Raw!N1702</f>
        <v>4887.17</v>
      </c>
      <c r="O1702" s="7">
        <f t="shared" si="52"/>
        <v>4887.17</v>
      </c>
      <c r="P1702" t="str">
        <f>IFERROR(INDEX(Supplier_Lookup!$B$2:$B$200,MATCH(E1702,Supplier_Lookup!$A$2:$A$200,0)),"Unmapped")</f>
        <v>Food &amp; Catering</v>
      </c>
      <c r="Q1702" s="10">
        <f>IFERROR(INDEX(Category_Targets!$B$2:$B$9,MATCH(F1702,Category_Targets!$A$2:$A$9,0)),0)</f>
        <v>0.04</v>
      </c>
      <c r="R1702" s="7">
        <f t="shared" si="53"/>
        <v>195.48680000000002</v>
      </c>
    </row>
    <row r="1703" spans="1:18" x14ac:dyDescent="0.25">
      <c r="A1703" s="5">
        <f>Procurement_Raw!A1703</f>
        <v>45903</v>
      </c>
      <c r="B1703" t="str">
        <f>Procurement_Raw!B1703</f>
        <v>S004</v>
      </c>
      <c r="C1703" t="str">
        <f>Procurement_Raw!C1703</f>
        <v>Newcastle Care &amp; Education Centre</v>
      </c>
      <c r="D1703" t="str">
        <f>Procurement_Raw!D1703</f>
        <v>North</v>
      </c>
      <c r="E1703" t="str">
        <f>Procurement_Raw!E1703</f>
        <v>TeleCare IT</v>
      </c>
      <c r="F1703" t="str">
        <f>Procurement_Raw!F1703</f>
        <v>IT &amp; Telecoms</v>
      </c>
      <c r="G1703" t="str">
        <f>Procurement_Raw!G1703</f>
        <v>INV-2025-01702</v>
      </c>
      <c r="H1703" s="6">
        <f>Procurement_Raw!H1703</f>
        <v>20</v>
      </c>
      <c r="I1703" s="7">
        <f>Procurement_Raw!I1703</f>
        <v>287.92</v>
      </c>
      <c r="J1703" s="7">
        <f>Procurement_Raw!J1703</f>
        <v>5758.39</v>
      </c>
      <c r="K1703" s="6">
        <f>Procurement_Raw!K1703</f>
        <v>30</v>
      </c>
      <c r="L1703" t="str">
        <f>Procurement_Raw!L1703</f>
        <v>ERP</v>
      </c>
      <c r="M1703" s="8">
        <f>Procurement_Raw!M1703</f>
        <v>1151.6780000000001</v>
      </c>
      <c r="N1703" s="7">
        <f>Procurement_Raw!N1703</f>
        <v>5758.39</v>
      </c>
      <c r="O1703" s="7">
        <f t="shared" si="52"/>
        <v>5758.39</v>
      </c>
      <c r="P1703" t="str">
        <f>IFERROR(INDEX(Supplier_Lookup!$B$2:$B$200,MATCH(E1703,Supplier_Lookup!$A$2:$A$200,0)),"Unmapped")</f>
        <v>IT &amp; Telecoms</v>
      </c>
      <c r="Q1703" s="10">
        <f>IFERROR(INDEX(Category_Targets!$B$2:$B$9,MATCH(F1703,Category_Targets!$A$2:$A$9,0)),0)</f>
        <v>0.08</v>
      </c>
      <c r="R1703" s="7">
        <f t="shared" si="53"/>
        <v>460.67120000000006</v>
      </c>
    </row>
    <row r="1704" spans="1:18" x14ac:dyDescent="0.25">
      <c r="A1704" s="5">
        <f>Procurement_Raw!A1704</f>
        <v>45936</v>
      </c>
      <c r="B1704" t="str">
        <f>Procurement_Raw!B1704</f>
        <v>S017</v>
      </c>
      <c r="C1704" t="str">
        <f>Procurement_Raw!C1704</f>
        <v>Swansea Care &amp; Education Centre</v>
      </c>
      <c r="D1704" t="str">
        <f>Procurement_Raw!D1704</f>
        <v>Wales</v>
      </c>
      <c r="E1704" t="str">
        <f>Procurement_Raw!E1704</f>
        <v>NetServe</v>
      </c>
      <c r="F1704" t="str">
        <f>Procurement_Raw!F1704</f>
        <v>IT &amp; Telecoms</v>
      </c>
      <c r="G1704" t="str">
        <f>Procurement_Raw!G1704</f>
        <v>INV-2025-01703</v>
      </c>
      <c r="H1704" s="6">
        <f>Procurement_Raw!H1704</f>
        <v>16</v>
      </c>
      <c r="I1704" s="7">
        <f>Procurement_Raw!I1704</f>
        <v>311.91000000000003</v>
      </c>
      <c r="J1704" s="7">
        <f>Procurement_Raw!J1704</f>
        <v>4990.6099999999997</v>
      </c>
      <c r="K1704" s="6">
        <f>Procurement_Raw!K1704</f>
        <v>30</v>
      </c>
      <c r="L1704" t="str">
        <f>Procurement_Raw!L1704</f>
        <v>ERP</v>
      </c>
      <c r="M1704" s="8">
        <f>Procurement_Raw!M1704</f>
        <v>998.12199999999996</v>
      </c>
      <c r="N1704" s="7">
        <f>Procurement_Raw!N1704</f>
        <v>4990.6099999999997</v>
      </c>
      <c r="O1704" s="7">
        <f t="shared" si="52"/>
        <v>4990.6099999999997</v>
      </c>
      <c r="P1704" t="str">
        <f>IFERROR(INDEX(Supplier_Lookup!$B$2:$B$200,MATCH(E1704,Supplier_Lookup!$A$2:$A$200,0)),"Unmapped")</f>
        <v>IT &amp; Telecoms</v>
      </c>
      <c r="Q1704" s="10">
        <f>IFERROR(INDEX(Category_Targets!$B$2:$B$9,MATCH(F1704,Category_Targets!$A$2:$A$9,0)),0)</f>
        <v>0.08</v>
      </c>
      <c r="R1704" s="7">
        <f t="shared" si="53"/>
        <v>399.24879999999996</v>
      </c>
    </row>
    <row r="1705" spans="1:18" x14ac:dyDescent="0.25">
      <c r="A1705" s="5">
        <f>Procurement_Raw!A1705</f>
        <v>45919</v>
      </c>
      <c r="B1705" t="str">
        <f>Procurement_Raw!B1705</f>
        <v>S008</v>
      </c>
      <c r="C1705" t="str">
        <f>Procurement_Raw!C1705</f>
        <v>Leicester Care &amp; Education Centre</v>
      </c>
      <c r="D1705" t="str">
        <f>Procurement_Raw!D1705</f>
        <v>Midlands</v>
      </c>
      <c r="E1705" t="str">
        <f>Procurement_Raw!E1705</f>
        <v>CloudLink</v>
      </c>
      <c r="F1705" t="str">
        <f>Procurement_Raw!F1705</f>
        <v>IT &amp; Telecoms</v>
      </c>
      <c r="G1705" t="str">
        <f>Procurement_Raw!G1705</f>
        <v>INV-2025-01704</v>
      </c>
      <c r="H1705" s="6">
        <f>Procurement_Raw!H1705</f>
        <v>54</v>
      </c>
      <c r="I1705" s="7">
        <f>Procurement_Raw!I1705</f>
        <v>405.03</v>
      </c>
      <c r="J1705" s="7">
        <f>Procurement_Raw!J1705</f>
        <v>21871.65</v>
      </c>
      <c r="K1705" s="6">
        <f>Procurement_Raw!K1705</f>
        <v>30</v>
      </c>
      <c r="L1705" t="str">
        <f>Procurement_Raw!L1705</f>
        <v>ERP</v>
      </c>
      <c r="M1705" s="8">
        <f>Procurement_Raw!M1705</f>
        <v>4374.33</v>
      </c>
      <c r="N1705" s="7">
        <f>Procurement_Raw!N1705</f>
        <v>21871.65</v>
      </c>
      <c r="O1705" s="7">
        <f t="shared" si="52"/>
        <v>21871.65</v>
      </c>
      <c r="P1705" t="str">
        <f>IFERROR(INDEX(Supplier_Lookup!$B$2:$B$200,MATCH(E1705,Supplier_Lookup!$A$2:$A$200,0)),"Unmapped")</f>
        <v>medical supplies</v>
      </c>
      <c r="Q1705" s="10">
        <f>IFERROR(INDEX(Category_Targets!$B$2:$B$9,MATCH(F1705,Category_Targets!$A$2:$A$9,0)),0)</f>
        <v>0.08</v>
      </c>
      <c r="R1705" s="7">
        <f t="shared" si="53"/>
        <v>1749.7320000000002</v>
      </c>
    </row>
    <row r="1706" spans="1:18" x14ac:dyDescent="0.25">
      <c r="A1706" s="5">
        <f>Procurement_Raw!A1706</f>
        <v>45876</v>
      </c>
      <c r="B1706" t="str">
        <f>Procurement_Raw!B1706</f>
        <v>S020</v>
      </c>
      <c r="C1706" t="str">
        <f>Procurement_Raw!C1706</f>
        <v>Bangor Care &amp; Education Centre</v>
      </c>
      <c r="D1706" t="str">
        <f>Procurement_Raw!D1706</f>
        <v>Wales</v>
      </c>
      <c r="E1706" t="str">
        <f>Procurement_Raw!E1706</f>
        <v>MediSure</v>
      </c>
      <c r="F1706" t="str">
        <f>Procurement_Raw!F1706</f>
        <v>Medical Supplies</v>
      </c>
      <c r="G1706" t="str">
        <f>Procurement_Raw!G1706</f>
        <v>INV-2025-01705</v>
      </c>
      <c r="H1706" s="6">
        <f>Procurement_Raw!H1706</f>
        <v>50</v>
      </c>
      <c r="I1706" s="7">
        <f>Procurement_Raw!I1706</f>
        <v>150.34</v>
      </c>
      <c r="J1706" s="7">
        <f>Procurement_Raw!J1706</f>
        <v>7516.94</v>
      </c>
      <c r="K1706" s="6">
        <f>Procurement_Raw!K1706</f>
        <v>30</v>
      </c>
      <c r="L1706" t="str">
        <f>Procurement_Raw!L1706</f>
        <v>Procurement Portal</v>
      </c>
      <c r="M1706" s="8">
        <f>Procurement_Raw!M1706</f>
        <v>1503.3879999999999</v>
      </c>
      <c r="N1706" s="7">
        <f>Procurement_Raw!N1706</f>
        <v>7516.94</v>
      </c>
      <c r="O1706" s="7">
        <f t="shared" si="52"/>
        <v>7516.94</v>
      </c>
      <c r="P1706" t="str">
        <f>IFERROR(INDEX(Supplier_Lookup!$B$2:$B$200,MATCH(E1706,Supplier_Lookup!$A$2:$A$200,0)),"Unmapped")</f>
        <v>Medical Supplies</v>
      </c>
      <c r="Q1706" s="10">
        <f>IFERROR(INDEX(Category_Targets!$B$2:$B$9,MATCH(F1706,Category_Targets!$A$2:$A$9,0)),0)</f>
        <v>0.06</v>
      </c>
      <c r="R1706" s="7">
        <f t="shared" si="53"/>
        <v>451.01639999999998</v>
      </c>
    </row>
    <row r="1707" spans="1:18" x14ac:dyDescent="0.25">
      <c r="A1707" s="5">
        <f>Procurement_Raw!A1707</f>
        <v>46008</v>
      </c>
      <c r="B1707" t="str">
        <f>Procurement_Raw!B1707</f>
        <v>S014</v>
      </c>
      <c r="C1707" t="str">
        <f>Procurement_Raw!C1707</f>
        <v>Southampton Care &amp; Education Centre</v>
      </c>
      <c r="D1707" t="str">
        <f>Procurement_Raw!D1707</f>
        <v>South</v>
      </c>
      <c r="E1707" t="str">
        <f>Procurement_Raw!E1707</f>
        <v>CloudLink</v>
      </c>
      <c r="F1707" t="str">
        <f>Procurement_Raw!F1707</f>
        <v>IT &amp; Telecoms</v>
      </c>
      <c r="G1707" t="str">
        <f>Procurement_Raw!G1707</f>
        <v>INV-2025-01706</v>
      </c>
      <c r="H1707" s="6">
        <f>Procurement_Raw!H1707</f>
        <v>50</v>
      </c>
      <c r="I1707" s="7">
        <f>Procurement_Raw!I1707</f>
        <v>192.66</v>
      </c>
      <c r="J1707" s="7">
        <f>Procurement_Raw!J1707</f>
        <v>9633.09</v>
      </c>
      <c r="K1707" s="6">
        <f>Procurement_Raw!K1707</f>
        <v>60</v>
      </c>
      <c r="L1707" t="str">
        <f>Procurement_Raw!L1707</f>
        <v>Legacy Spend File</v>
      </c>
      <c r="M1707" s="8">
        <f>Procurement_Raw!M1707</f>
        <v>1926.6179999999999</v>
      </c>
      <c r="N1707" s="7">
        <f>Procurement_Raw!N1707</f>
        <v>9633.09</v>
      </c>
      <c r="O1707" s="7">
        <f t="shared" si="52"/>
        <v>9633.09</v>
      </c>
      <c r="P1707" t="str">
        <f>IFERROR(INDEX(Supplier_Lookup!$B$2:$B$200,MATCH(E1707,Supplier_Lookup!$A$2:$A$200,0)),"Unmapped")</f>
        <v>medical supplies</v>
      </c>
      <c r="Q1707" s="10">
        <f>IFERROR(INDEX(Category_Targets!$B$2:$B$9,MATCH(F1707,Category_Targets!$A$2:$A$9,0)),0)</f>
        <v>0.08</v>
      </c>
      <c r="R1707" s="7">
        <f t="shared" si="53"/>
        <v>770.6472</v>
      </c>
    </row>
    <row r="1708" spans="1:18" x14ac:dyDescent="0.25">
      <c r="A1708" s="5">
        <f>Procurement_Raw!A1708</f>
        <v>45714</v>
      </c>
      <c r="B1708" t="str">
        <f>Procurement_Raw!B1708</f>
        <v>S014</v>
      </c>
      <c r="C1708" t="str">
        <f>Procurement_Raw!C1708</f>
        <v>Southampton Care &amp; Education Centre</v>
      </c>
      <c r="D1708" t="str">
        <f>Procurement_Raw!D1708</f>
        <v>South</v>
      </c>
      <c r="E1708" t="str">
        <f>Procurement_Raw!E1708</f>
        <v>OfficePlus</v>
      </c>
      <c r="F1708" t="str">
        <f>Procurement_Raw!F1708</f>
        <v>Office &amp; Training</v>
      </c>
      <c r="G1708" t="str">
        <f>Procurement_Raw!G1708</f>
        <v>INV-2025-01707</v>
      </c>
      <c r="H1708" s="6">
        <f>Procurement_Raw!H1708</f>
        <v>29</v>
      </c>
      <c r="I1708" s="7">
        <f>Procurement_Raw!I1708</f>
        <v>108.57</v>
      </c>
      <c r="J1708" s="7">
        <f>Procurement_Raw!J1708</f>
        <v>3148.56</v>
      </c>
      <c r="K1708" s="6">
        <f>Procurement_Raw!K1708</f>
        <v>30</v>
      </c>
      <c r="L1708" t="str">
        <f>Procurement_Raw!L1708</f>
        <v>Procurement Portal</v>
      </c>
      <c r="M1708" s="8">
        <f>Procurement_Raw!M1708</f>
        <v>629.71199999999999</v>
      </c>
      <c r="N1708" s="7">
        <f>Procurement_Raw!N1708</f>
        <v>3148.56</v>
      </c>
      <c r="O1708" s="7">
        <f t="shared" si="52"/>
        <v>3148.56</v>
      </c>
      <c r="P1708" t="str">
        <f>IFERROR(INDEX(Supplier_Lookup!$B$2:$B$200,MATCH(E1708,Supplier_Lookup!$A$2:$A$200,0)),"Unmapped")</f>
        <v>Office &amp; Training</v>
      </c>
      <c r="Q1708" s="10">
        <f>IFERROR(INDEX(Category_Targets!$B$2:$B$9,MATCH(F1708,Category_Targets!$A$2:$A$9,0)),0)</f>
        <v>0.04</v>
      </c>
      <c r="R1708" s="7">
        <f t="shared" si="53"/>
        <v>125.94240000000001</v>
      </c>
    </row>
    <row r="1709" spans="1:18" x14ac:dyDescent="0.25">
      <c r="A1709" s="5">
        <f>Procurement_Raw!A1709</f>
        <v>45828</v>
      </c>
      <c r="B1709" t="str">
        <f>Procurement_Raw!B1709</f>
        <v>S017</v>
      </c>
      <c r="C1709" t="str">
        <f>Procurement_Raw!C1709</f>
        <v>Swansea Care &amp; Education Centre</v>
      </c>
      <c r="D1709" t="str">
        <f>Procurement_Raw!D1709</f>
        <v>Wales</v>
      </c>
      <c r="E1709" t="str">
        <f>Procurement_Raw!E1709</f>
        <v>KitchenPro</v>
      </c>
      <c r="F1709" t="str">
        <f>Procurement_Raw!F1709</f>
        <v>Food &amp; Catering</v>
      </c>
      <c r="G1709" t="str">
        <f>Procurement_Raw!G1709</f>
        <v>INV-2025-01708</v>
      </c>
      <c r="H1709" s="6">
        <f>Procurement_Raw!H1709</f>
        <v>16</v>
      </c>
      <c r="I1709" s="7">
        <f>Procurement_Raw!I1709</f>
        <v>184.81</v>
      </c>
      <c r="J1709" s="7">
        <f>Procurement_Raw!J1709</f>
        <v>2956.94</v>
      </c>
      <c r="K1709" s="6">
        <f>Procurement_Raw!K1709</f>
        <v>45</v>
      </c>
      <c r="L1709" t="str">
        <f>Procurement_Raw!L1709</f>
        <v>ERP</v>
      </c>
      <c r="M1709" s="8">
        <f>Procurement_Raw!M1709</f>
        <v>591.38800000000003</v>
      </c>
      <c r="N1709" s="7">
        <f>Procurement_Raw!N1709</f>
        <v>2956.94</v>
      </c>
      <c r="O1709" s="7">
        <f t="shared" si="52"/>
        <v>2956.94</v>
      </c>
      <c r="P1709" t="str">
        <f>IFERROR(INDEX(Supplier_Lookup!$B$2:$B$200,MATCH(E1709,Supplier_Lookup!$A$2:$A$200,0)),"Unmapped")</f>
        <v>Food &amp; Catering</v>
      </c>
      <c r="Q1709" s="10">
        <f>IFERROR(INDEX(Category_Targets!$B$2:$B$9,MATCH(F1709,Category_Targets!$A$2:$A$9,0)),0)</f>
        <v>0.04</v>
      </c>
      <c r="R1709" s="7">
        <f t="shared" si="53"/>
        <v>118.27760000000001</v>
      </c>
    </row>
    <row r="1710" spans="1:18" x14ac:dyDescent="0.25">
      <c r="A1710" s="5">
        <f>Procurement_Raw!A1710</f>
        <v>45877</v>
      </c>
      <c r="B1710" t="str">
        <f>Procurement_Raw!B1710</f>
        <v>S002</v>
      </c>
      <c r="C1710" t="str">
        <f>Procurement_Raw!C1710</f>
        <v>Manchester Care &amp; Education Centre</v>
      </c>
      <c r="D1710" t="str">
        <f>Procurement_Raw!D1710</f>
        <v>North</v>
      </c>
      <c r="E1710" t="str">
        <f>Procurement_Raw!E1710</f>
        <v>CleanWorks</v>
      </c>
      <c r="F1710" t="str">
        <f>Procurement_Raw!F1710</f>
        <v>Facilities</v>
      </c>
      <c r="G1710" t="str">
        <f>Procurement_Raw!G1710</f>
        <v>INV-2025-01709</v>
      </c>
      <c r="H1710" s="6">
        <f>Procurement_Raw!H1710</f>
        <v>68</v>
      </c>
      <c r="I1710" s="7">
        <f>Procurement_Raw!I1710</f>
        <v>167.34</v>
      </c>
      <c r="J1710" s="7">
        <f>Procurement_Raw!J1710</f>
        <v>11378.9</v>
      </c>
      <c r="K1710" s="6">
        <f>Procurement_Raw!K1710</f>
        <v>45</v>
      </c>
      <c r="L1710" t="str">
        <f>Procurement_Raw!L1710</f>
        <v>Legacy Spend File</v>
      </c>
      <c r="M1710" s="8">
        <f>Procurement_Raw!M1710</f>
        <v>2275.7800000000002</v>
      </c>
      <c r="N1710" s="7">
        <f>Procurement_Raw!N1710</f>
        <v>11378.9</v>
      </c>
      <c r="O1710" s="7">
        <f t="shared" si="52"/>
        <v>11378.9</v>
      </c>
      <c r="P1710" t="str">
        <f>IFERROR(INDEX(Supplier_Lookup!$B$2:$B$200,MATCH(E1710,Supplier_Lookup!$A$2:$A$200,0)),"Unmapped")</f>
        <v>Facilities</v>
      </c>
      <c r="Q1710" s="10">
        <f>IFERROR(INDEX(Category_Targets!$B$2:$B$9,MATCH(F1710,Category_Targets!$A$2:$A$9,0)),0)</f>
        <v>0.05</v>
      </c>
      <c r="R1710" s="7">
        <f t="shared" si="53"/>
        <v>568.94500000000005</v>
      </c>
    </row>
    <row r="1711" spans="1:18" x14ac:dyDescent="0.25">
      <c r="A1711" s="5">
        <f>Procurement_Raw!A1711</f>
        <v>45999</v>
      </c>
      <c r="B1711" t="str">
        <f>Procurement_Raw!B1711</f>
        <v>S001</v>
      </c>
      <c r="C1711" t="str">
        <f>Procurement_Raw!C1711</f>
        <v>Preston Care &amp; Education Centre</v>
      </c>
      <c r="D1711" t="str">
        <f>Procurement_Raw!D1711</f>
        <v>North</v>
      </c>
      <c r="E1711" t="str">
        <f>Procurement_Raw!E1711</f>
        <v>HealthStaffing</v>
      </c>
      <c r="F1711" t="str">
        <f>Procurement_Raw!F1711</f>
        <v>Agency Labour</v>
      </c>
      <c r="G1711" t="str">
        <f>Procurement_Raw!G1711</f>
        <v>INV-2025-01710</v>
      </c>
      <c r="H1711" s="6">
        <f>Procurement_Raw!H1711</f>
        <v>39</v>
      </c>
      <c r="I1711" s="7">
        <f>Procurement_Raw!I1711</f>
        <v>175.53</v>
      </c>
      <c r="J1711" s="7">
        <f>Procurement_Raw!J1711</f>
        <v>6845.54</v>
      </c>
      <c r="K1711" s="6">
        <f>Procurement_Raw!K1711</f>
        <v>60</v>
      </c>
      <c r="L1711" t="str">
        <f>Procurement_Raw!L1711</f>
        <v>Procurement Portal</v>
      </c>
      <c r="M1711" s="8">
        <f>Procurement_Raw!M1711</f>
        <v>1369.1079999999999</v>
      </c>
      <c r="N1711" s="7">
        <f>Procurement_Raw!N1711</f>
        <v>6845.54</v>
      </c>
      <c r="O1711" s="7">
        <f t="shared" si="52"/>
        <v>6845.54</v>
      </c>
      <c r="P1711" t="str">
        <f>IFERROR(INDEX(Supplier_Lookup!$B$2:$B$200,MATCH(E1711,Supplier_Lookup!$A$2:$A$200,0)),"Unmapped")</f>
        <v>Agency Labour</v>
      </c>
      <c r="Q1711" s="10">
        <f>IFERROR(INDEX(Category_Targets!$B$2:$B$9,MATCH(F1711,Category_Targets!$A$2:$A$9,0)),0)</f>
        <v>7.0000000000000007E-2</v>
      </c>
      <c r="R1711" s="7">
        <f t="shared" si="53"/>
        <v>479.18780000000004</v>
      </c>
    </row>
    <row r="1712" spans="1:18" x14ac:dyDescent="0.25">
      <c r="A1712" s="5">
        <f>Procurement_Raw!A1712</f>
        <v>45913</v>
      </c>
      <c r="B1712" t="str">
        <f>Procurement_Raw!B1712</f>
        <v>S009</v>
      </c>
      <c r="C1712" t="str">
        <f>Procurement_Raw!C1712</f>
        <v>Derby Care &amp; Education Centre</v>
      </c>
      <c r="D1712" t="str">
        <f>Procurement_Raw!D1712</f>
        <v>Midlands</v>
      </c>
      <c r="E1712" t="str">
        <f>Procurement_Raw!E1712</f>
        <v>NourishCo</v>
      </c>
      <c r="F1712" t="str">
        <f>Procurement_Raw!F1712</f>
        <v>Food &amp; Catering</v>
      </c>
      <c r="G1712" t="str">
        <f>Procurement_Raw!G1712</f>
        <v>INV-2025-01711</v>
      </c>
      <c r="H1712" s="6">
        <f>Procurement_Raw!H1712</f>
        <v>48</v>
      </c>
      <c r="I1712" s="7">
        <f>Procurement_Raw!I1712</f>
        <v>119.5</v>
      </c>
      <c r="J1712" s="7">
        <f>Procurement_Raw!J1712</f>
        <v>5735.8</v>
      </c>
      <c r="K1712" s="6">
        <f>Procurement_Raw!K1712</f>
        <v>45</v>
      </c>
      <c r="L1712" t="str">
        <f>Procurement_Raw!L1712</f>
        <v>Legacy Spend File</v>
      </c>
      <c r="M1712" s="8">
        <f>Procurement_Raw!M1712</f>
        <v>1147.1600000000001</v>
      </c>
      <c r="N1712" s="7">
        <f>Procurement_Raw!N1712</f>
        <v>5735.8</v>
      </c>
      <c r="O1712" s="7">
        <f t="shared" si="52"/>
        <v>5735.8</v>
      </c>
      <c r="P1712" t="str">
        <f>IFERROR(INDEX(Supplier_Lookup!$B$2:$B$200,MATCH(E1712,Supplier_Lookup!$A$2:$A$200,0)),"Unmapped")</f>
        <v>Food &amp; Catering</v>
      </c>
      <c r="Q1712" s="10">
        <f>IFERROR(INDEX(Category_Targets!$B$2:$B$9,MATCH(F1712,Category_Targets!$A$2:$A$9,0)),0)</f>
        <v>0.04</v>
      </c>
      <c r="R1712" s="7">
        <f t="shared" si="53"/>
        <v>229.43200000000002</v>
      </c>
    </row>
    <row r="1713" spans="1:18" x14ac:dyDescent="0.25">
      <c r="A1713" s="5">
        <f>Procurement_Raw!A1713</f>
        <v>45993</v>
      </c>
      <c r="B1713" t="str">
        <f>Procurement_Raw!B1713</f>
        <v>S010</v>
      </c>
      <c r="C1713" t="str">
        <f>Procurement_Raw!C1713</f>
        <v>Coventry Care &amp; Education Centre</v>
      </c>
      <c r="D1713" t="str">
        <f>Procurement_Raw!D1713</f>
        <v>Midlands</v>
      </c>
      <c r="E1713" t="str">
        <f>Procurement_Raw!E1713</f>
        <v>MediSure</v>
      </c>
      <c r="F1713" t="str">
        <f>Procurement_Raw!F1713</f>
        <v>Medical Supplies</v>
      </c>
      <c r="G1713" t="str">
        <f>Procurement_Raw!G1713</f>
        <v>INV-2025-01712</v>
      </c>
      <c r="H1713" s="6">
        <f>Procurement_Raw!H1713</f>
        <v>19</v>
      </c>
      <c r="I1713" s="7">
        <f>Procurement_Raw!I1713</f>
        <v>112.31</v>
      </c>
      <c r="J1713" s="7">
        <f>Procurement_Raw!J1713</f>
        <v>2133.9299999999998</v>
      </c>
      <c r="K1713" s="6">
        <f>Procurement_Raw!K1713</f>
        <v>45</v>
      </c>
      <c r="L1713" t="str">
        <f>Procurement_Raw!L1713</f>
        <v>ERP</v>
      </c>
      <c r="M1713" s="8">
        <f>Procurement_Raw!M1713</f>
        <v>426.786</v>
      </c>
      <c r="N1713" s="7">
        <f>Procurement_Raw!N1713</f>
        <v>2133.9299999999998</v>
      </c>
      <c r="O1713" s="7">
        <f t="shared" si="52"/>
        <v>2133.9299999999998</v>
      </c>
      <c r="P1713" t="str">
        <f>IFERROR(INDEX(Supplier_Lookup!$B$2:$B$200,MATCH(E1713,Supplier_Lookup!$A$2:$A$200,0)),"Unmapped")</f>
        <v>Medical Supplies</v>
      </c>
      <c r="Q1713" s="10">
        <f>IFERROR(INDEX(Category_Targets!$B$2:$B$9,MATCH(F1713,Category_Targets!$A$2:$A$9,0)),0)</f>
        <v>0.06</v>
      </c>
      <c r="R1713" s="7">
        <f t="shared" si="53"/>
        <v>128.03579999999999</v>
      </c>
    </row>
    <row r="1714" spans="1:18" x14ac:dyDescent="0.25">
      <c r="A1714" s="5">
        <f>Procurement_Raw!A1714</f>
        <v>45902</v>
      </c>
      <c r="B1714" t="str">
        <f>Procurement_Raw!B1714</f>
        <v>S001</v>
      </c>
      <c r="C1714" t="str">
        <f>Procurement_Raw!C1714</f>
        <v>Preston Care &amp; Education Centre</v>
      </c>
      <c r="D1714" t="str">
        <f>Procurement_Raw!D1714</f>
        <v>North</v>
      </c>
      <c r="E1714" t="str">
        <f>Procurement_Raw!E1714</f>
        <v>PrintCo</v>
      </c>
      <c r="F1714" t="str">
        <f>Procurement_Raw!F1714</f>
        <v>Office &amp; Training</v>
      </c>
      <c r="G1714" t="str">
        <f>Procurement_Raw!G1714</f>
        <v>INV-2025-01713</v>
      </c>
      <c r="H1714" s="6">
        <f>Procurement_Raw!H1714</f>
        <v>9</v>
      </c>
      <c r="I1714" s="7">
        <f>Procurement_Raw!I1714</f>
        <v>22.7</v>
      </c>
      <c r="J1714" s="7">
        <f>Procurement_Raw!J1714</f>
        <v>204.33</v>
      </c>
      <c r="K1714" s="6">
        <f>Procurement_Raw!K1714</f>
        <v>30</v>
      </c>
      <c r="L1714" t="str">
        <f>Procurement_Raw!L1714</f>
        <v>Legacy Spend File</v>
      </c>
      <c r="M1714" s="8">
        <f>Procurement_Raw!M1714</f>
        <v>40.866</v>
      </c>
      <c r="N1714" s="7">
        <f>Procurement_Raw!N1714</f>
        <v>204.33</v>
      </c>
      <c r="O1714" s="7">
        <f t="shared" si="52"/>
        <v>204.33</v>
      </c>
      <c r="P1714" t="str">
        <f>IFERROR(INDEX(Supplier_Lookup!$B$2:$B$200,MATCH(E1714,Supplier_Lookup!$A$2:$A$200,0)),"Unmapped")</f>
        <v>Office &amp; Training</v>
      </c>
      <c r="Q1714" s="10">
        <f>IFERROR(INDEX(Category_Targets!$B$2:$B$9,MATCH(F1714,Category_Targets!$A$2:$A$9,0)),0)</f>
        <v>0.04</v>
      </c>
      <c r="R1714" s="7">
        <f t="shared" si="53"/>
        <v>8.1732000000000014</v>
      </c>
    </row>
    <row r="1715" spans="1:18" x14ac:dyDescent="0.25">
      <c r="A1715" s="5">
        <f>Procurement_Raw!A1715</f>
        <v>45704</v>
      </c>
      <c r="B1715" t="str">
        <f>Procurement_Raw!B1715</f>
        <v>S002</v>
      </c>
      <c r="C1715" t="str">
        <f>Procurement_Raw!C1715</f>
        <v>Manchester Care &amp; Education Centre</v>
      </c>
      <c r="D1715" t="str">
        <f>Procurement_Raw!D1715</f>
        <v>North</v>
      </c>
      <c r="E1715" t="str">
        <f>Procurement_Raw!E1715</f>
        <v>CloudLink</v>
      </c>
      <c r="F1715" t="str">
        <f>Procurement_Raw!F1715</f>
        <v>IT &amp; Telecoms</v>
      </c>
      <c r="G1715" t="str">
        <f>Procurement_Raw!G1715</f>
        <v>INV-2025-01714</v>
      </c>
      <c r="H1715" s="6">
        <f>Procurement_Raw!H1715</f>
        <v>42</v>
      </c>
      <c r="I1715" s="7">
        <f>Procurement_Raw!I1715</f>
        <v>350.62</v>
      </c>
      <c r="J1715" s="7">
        <f>Procurement_Raw!J1715</f>
        <v>14726.14</v>
      </c>
      <c r="K1715" s="6">
        <f>Procurement_Raw!K1715</f>
        <v>30</v>
      </c>
      <c r="L1715" t="str">
        <f>Procurement_Raw!L1715</f>
        <v>ERP</v>
      </c>
      <c r="M1715" s="8">
        <f>Procurement_Raw!M1715</f>
        <v>2945.2280000000001</v>
      </c>
      <c r="N1715" s="7">
        <f>Procurement_Raw!N1715</f>
        <v>14726.14</v>
      </c>
      <c r="O1715" s="7">
        <f t="shared" si="52"/>
        <v>14726.14</v>
      </c>
      <c r="P1715" t="str">
        <f>IFERROR(INDEX(Supplier_Lookup!$B$2:$B$200,MATCH(E1715,Supplier_Lookup!$A$2:$A$200,0)),"Unmapped")</f>
        <v>medical supplies</v>
      </c>
      <c r="Q1715" s="10">
        <f>IFERROR(INDEX(Category_Targets!$B$2:$B$9,MATCH(F1715,Category_Targets!$A$2:$A$9,0)),0)</f>
        <v>0.08</v>
      </c>
      <c r="R1715" s="7">
        <f t="shared" si="53"/>
        <v>1178.0912000000001</v>
      </c>
    </row>
    <row r="1716" spans="1:18" x14ac:dyDescent="0.25">
      <c r="A1716" s="5">
        <f>Procurement_Raw!A1716</f>
        <v>45911</v>
      </c>
      <c r="B1716" t="str">
        <f>Procurement_Raw!B1716</f>
        <v>S011</v>
      </c>
      <c r="C1716" t="str">
        <f>Procurement_Raw!C1716</f>
        <v>London Care &amp; Education Centre</v>
      </c>
      <c r="D1716" t="str">
        <f>Procurement_Raw!D1716</f>
        <v>South</v>
      </c>
      <c r="E1716" t="str">
        <f>Procurement_Raw!E1716</f>
        <v>RoadReady</v>
      </c>
      <c r="F1716" t="str">
        <f>Procurement_Raw!F1716</f>
        <v>Vehicle &amp; Fuel</v>
      </c>
      <c r="G1716" t="str">
        <f>Procurement_Raw!G1716</f>
        <v>INV-2025-01715</v>
      </c>
      <c r="H1716" s="6">
        <f>Procurement_Raw!H1716</f>
        <v>55</v>
      </c>
      <c r="I1716" s="7">
        <f>Procurement_Raw!I1716</f>
        <v>70.77</v>
      </c>
      <c r="J1716" s="7">
        <f>Procurement_Raw!J1716</f>
        <v>3892.39</v>
      </c>
      <c r="K1716" s="6">
        <f>Procurement_Raw!K1716</f>
        <v>45</v>
      </c>
      <c r="L1716" t="str">
        <f>Procurement_Raw!L1716</f>
        <v>Legacy Spend File</v>
      </c>
      <c r="M1716" s="8">
        <f>Procurement_Raw!M1716</f>
        <v>778.47799999999995</v>
      </c>
      <c r="N1716" s="7">
        <f>Procurement_Raw!N1716</f>
        <v>3892.39</v>
      </c>
      <c r="O1716" s="7">
        <f t="shared" si="52"/>
        <v>3892.39</v>
      </c>
      <c r="P1716" t="str">
        <f>IFERROR(INDEX(Supplier_Lookup!$B$2:$B$200,MATCH(E1716,Supplier_Lookup!$A$2:$A$200,0)),"Unmapped")</f>
        <v>Vehicle &amp; Fuel</v>
      </c>
      <c r="Q1716" s="10">
        <f>IFERROR(INDEX(Category_Targets!$B$2:$B$9,MATCH(F1716,Category_Targets!$A$2:$A$9,0)),0)</f>
        <v>0.05</v>
      </c>
      <c r="R1716" s="7">
        <f t="shared" si="53"/>
        <v>194.61950000000002</v>
      </c>
    </row>
    <row r="1717" spans="1:18" x14ac:dyDescent="0.25">
      <c r="A1717" s="5">
        <f>Procurement_Raw!A1717</f>
        <v>45992</v>
      </c>
      <c r="B1717" t="str">
        <f>Procurement_Raw!B1717</f>
        <v>S003</v>
      </c>
      <c r="C1717" t="str">
        <f>Procurement_Raw!C1717</f>
        <v>Leeds Care &amp; Education Centre</v>
      </c>
      <c r="D1717" t="str">
        <f>Procurement_Raw!D1717</f>
        <v>North</v>
      </c>
      <c r="E1717" t="str">
        <f>Procurement_Raw!E1717</f>
        <v>FleetFuel</v>
      </c>
      <c r="F1717" t="str">
        <f>Procurement_Raw!F1717</f>
        <v>Vehicle &amp; Fuel</v>
      </c>
      <c r="G1717" t="str">
        <f>Procurement_Raw!G1717</f>
        <v>INV-2025-01716</v>
      </c>
      <c r="H1717" s="6">
        <f>Procurement_Raw!H1717</f>
        <v>32</v>
      </c>
      <c r="I1717" s="7">
        <f>Procurement_Raw!I1717</f>
        <v>90.39</v>
      </c>
      <c r="J1717" s="7">
        <f>Procurement_Raw!J1717</f>
        <v>2892.34</v>
      </c>
      <c r="K1717" s="6">
        <f>Procurement_Raw!K1717</f>
        <v>45</v>
      </c>
      <c r="L1717" t="str">
        <f>Procurement_Raw!L1717</f>
        <v>Procurement Portal</v>
      </c>
      <c r="M1717" s="8">
        <f>Procurement_Raw!M1717</f>
        <v>578.46799999999996</v>
      </c>
      <c r="N1717" s="7">
        <f>Procurement_Raw!N1717</f>
        <v>2892.34</v>
      </c>
      <c r="O1717" s="7">
        <f t="shared" si="52"/>
        <v>2892.34</v>
      </c>
      <c r="P1717" t="str">
        <f>IFERROR(INDEX(Supplier_Lookup!$B$2:$B$200,MATCH(E1717,Supplier_Lookup!$A$2:$A$200,0)),"Unmapped")</f>
        <v>Vehicle &amp; Fuel</v>
      </c>
      <c r="Q1717" s="10">
        <f>IFERROR(INDEX(Category_Targets!$B$2:$B$9,MATCH(F1717,Category_Targets!$A$2:$A$9,0)),0)</f>
        <v>0.05</v>
      </c>
      <c r="R1717" s="7">
        <f t="shared" si="53"/>
        <v>144.61700000000002</v>
      </c>
    </row>
    <row r="1718" spans="1:18" x14ac:dyDescent="0.25">
      <c r="A1718" s="5">
        <f>Procurement_Raw!A1718</f>
        <v>45931</v>
      </c>
      <c r="B1718" t="str">
        <f>Procurement_Raw!B1718</f>
        <v>S013</v>
      </c>
      <c r="C1718" t="str">
        <f>Procurement_Raw!C1718</f>
        <v>Reading Care &amp; Education Centre</v>
      </c>
      <c r="D1718" t="str">
        <f>Procurement_Raw!D1718</f>
        <v>South</v>
      </c>
      <c r="E1718" t="str">
        <f>Procurement_Raw!E1718</f>
        <v>PrintCo</v>
      </c>
      <c r="F1718" t="str">
        <f>Procurement_Raw!F1718</f>
        <v>Office &amp; Training</v>
      </c>
      <c r="G1718" t="str">
        <f>Procurement_Raw!G1718</f>
        <v>INV-2025-01717</v>
      </c>
      <c r="H1718" s="6">
        <f>Procurement_Raw!H1718</f>
        <v>64</v>
      </c>
      <c r="I1718" s="7">
        <f>Procurement_Raw!I1718</f>
        <v>90.02</v>
      </c>
      <c r="J1718" s="7">
        <f>Procurement_Raw!J1718</f>
        <v>5761.54</v>
      </c>
      <c r="K1718" s="6">
        <f>Procurement_Raw!K1718</f>
        <v>60</v>
      </c>
      <c r="L1718" t="str">
        <f>Procurement_Raw!L1718</f>
        <v>Legacy Spend File</v>
      </c>
      <c r="M1718" s="8">
        <f>Procurement_Raw!M1718</f>
        <v>1152.308</v>
      </c>
      <c r="N1718" s="7">
        <f>Procurement_Raw!N1718</f>
        <v>5761.54</v>
      </c>
      <c r="O1718" s="7">
        <f t="shared" si="52"/>
        <v>5761.54</v>
      </c>
      <c r="P1718" t="str">
        <f>IFERROR(INDEX(Supplier_Lookup!$B$2:$B$200,MATCH(E1718,Supplier_Lookup!$A$2:$A$200,0)),"Unmapped")</f>
        <v>Office &amp; Training</v>
      </c>
      <c r="Q1718" s="10">
        <f>IFERROR(INDEX(Category_Targets!$B$2:$B$9,MATCH(F1718,Category_Targets!$A$2:$A$9,0)),0)</f>
        <v>0.04</v>
      </c>
      <c r="R1718" s="7">
        <f t="shared" si="53"/>
        <v>230.4616</v>
      </c>
    </row>
    <row r="1719" spans="1:18" x14ac:dyDescent="0.25">
      <c r="A1719" s="5">
        <f>Procurement_Raw!A1719</f>
        <v>45955</v>
      </c>
      <c r="B1719" t="str">
        <f>Procurement_Raw!B1719</f>
        <v>S010</v>
      </c>
      <c r="C1719" t="str">
        <f>Procurement_Raw!C1719</f>
        <v>Coventry Care &amp; Education Centre</v>
      </c>
      <c r="D1719" t="str">
        <f>Procurement_Raw!D1719</f>
        <v>Midlands</v>
      </c>
      <c r="E1719" t="str">
        <f>Procurement_Raw!E1719</f>
        <v>HealthStaffing</v>
      </c>
      <c r="F1719" t="str">
        <f>Procurement_Raw!F1719</f>
        <v>Agency Labour</v>
      </c>
      <c r="G1719" t="str">
        <f>Procurement_Raw!G1719</f>
        <v>INV-2025-01718</v>
      </c>
      <c r="H1719" s="6">
        <f>Procurement_Raw!H1719</f>
        <v>54</v>
      </c>
      <c r="I1719" s="7">
        <f>Procurement_Raw!I1719</f>
        <v>333.14</v>
      </c>
      <c r="J1719" s="7">
        <f>Procurement_Raw!J1719</f>
        <v>17989.46</v>
      </c>
      <c r="K1719" s="6">
        <f>Procurement_Raw!K1719</f>
        <v>60</v>
      </c>
      <c r="L1719" t="str">
        <f>Procurement_Raw!L1719</f>
        <v>Legacy Spend File</v>
      </c>
      <c r="M1719" s="8">
        <f>Procurement_Raw!M1719</f>
        <v>3597.8919999999998</v>
      </c>
      <c r="N1719" s="7">
        <f>Procurement_Raw!N1719</f>
        <v>17989.46</v>
      </c>
      <c r="O1719" s="7">
        <f t="shared" si="52"/>
        <v>17989.46</v>
      </c>
      <c r="P1719" t="str">
        <f>IFERROR(INDEX(Supplier_Lookup!$B$2:$B$200,MATCH(E1719,Supplier_Lookup!$A$2:$A$200,0)),"Unmapped")</f>
        <v>Agency Labour</v>
      </c>
      <c r="Q1719" s="10">
        <f>IFERROR(INDEX(Category_Targets!$B$2:$B$9,MATCH(F1719,Category_Targets!$A$2:$A$9,0)),0)</f>
        <v>7.0000000000000007E-2</v>
      </c>
      <c r="R1719" s="7">
        <f t="shared" si="53"/>
        <v>1259.2622000000001</v>
      </c>
    </row>
    <row r="1720" spans="1:18" x14ac:dyDescent="0.25">
      <c r="A1720" s="5">
        <f>Procurement_Raw!A1720</f>
        <v>45702</v>
      </c>
      <c r="B1720" t="str">
        <f>Procurement_Raw!B1720</f>
        <v>S015</v>
      </c>
      <c r="C1720" t="str">
        <f>Procurement_Raw!C1720</f>
        <v>Brighton Care &amp; Education Centre</v>
      </c>
      <c r="D1720" t="str">
        <f>Procurement_Raw!D1720</f>
        <v>South</v>
      </c>
      <c r="E1720" t="str">
        <f>Procurement_Raw!E1720</f>
        <v>PowerDirect</v>
      </c>
      <c r="F1720" t="str">
        <f>Procurement_Raw!F1720</f>
        <v>Utilities</v>
      </c>
      <c r="G1720" t="str">
        <f>Procurement_Raw!G1720</f>
        <v>INV-2025-01719</v>
      </c>
      <c r="H1720" s="6">
        <f>Procurement_Raw!H1720</f>
        <v>31</v>
      </c>
      <c r="I1720" s="7">
        <f>Procurement_Raw!I1720</f>
        <v>369.32</v>
      </c>
      <c r="J1720" s="7">
        <f>Procurement_Raw!J1720</f>
        <v>11448.87</v>
      </c>
      <c r="K1720" s="6">
        <f>Procurement_Raw!K1720</f>
        <v>45</v>
      </c>
      <c r="L1720" t="str">
        <f>Procurement_Raw!L1720</f>
        <v>ERP</v>
      </c>
      <c r="M1720" s="8">
        <f>Procurement_Raw!M1720</f>
        <v>2289.7739999999999</v>
      </c>
      <c r="N1720" s="7">
        <f>Procurement_Raw!N1720</f>
        <v>11448.87</v>
      </c>
      <c r="O1720" s="7">
        <f t="shared" si="52"/>
        <v>11448.87</v>
      </c>
      <c r="P1720" t="str">
        <f>IFERROR(INDEX(Supplier_Lookup!$B$2:$B$200,MATCH(E1720,Supplier_Lookup!$A$2:$A$200,0)),"Unmapped")</f>
        <v>Utilities</v>
      </c>
      <c r="Q1720" s="10">
        <f>IFERROR(INDEX(Category_Targets!$B$2:$B$9,MATCH(F1720,Category_Targets!$A$2:$A$9,0)),0)</f>
        <v>0.03</v>
      </c>
      <c r="R1720" s="7">
        <f t="shared" si="53"/>
        <v>343.46609999999998</v>
      </c>
    </row>
    <row r="1721" spans="1:18" x14ac:dyDescent="0.25">
      <c r="A1721" s="5">
        <f>Procurement_Raw!A1721</f>
        <v>45943</v>
      </c>
      <c r="B1721" t="str">
        <f>Procurement_Raw!B1721</f>
        <v>S017</v>
      </c>
      <c r="C1721" t="str">
        <f>Procurement_Raw!C1721</f>
        <v>Swansea Care &amp; Education Centre</v>
      </c>
      <c r="D1721" t="str">
        <f>Procurement_Raw!D1721</f>
        <v>Wales</v>
      </c>
      <c r="E1721" t="str">
        <f>Procurement_Raw!E1721</f>
        <v>CareMed</v>
      </c>
      <c r="F1721" t="str">
        <f>Procurement_Raw!F1721</f>
        <v>Medical Supplies</v>
      </c>
      <c r="G1721" t="str">
        <f>Procurement_Raw!G1721</f>
        <v>INV-2025-01720</v>
      </c>
      <c r="H1721" s="6">
        <f>Procurement_Raw!H1721</f>
        <v>61</v>
      </c>
      <c r="I1721" s="7">
        <f>Procurement_Raw!I1721</f>
        <v>94.44</v>
      </c>
      <c r="J1721" s="7">
        <f>Procurement_Raw!J1721</f>
        <v>5760.89</v>
      </c>
      <c r="K1721" s="6">
        <f>Procurement_Raw!K1721</f>
        <v>30</v>
      </c>
      <c r="L1721" t="str">
        <f>Procurement_Raw!L1721</f>
        <v>ERP</v>
      </c>
      <c r="M1721" s="8">
        <f>Procurement_Raw!M1721</f>
        <v>1152.1780000000001</v>
      </c>
      <c r="N1721" s="7">
        <f>Procurement_Raw!N1721</f>
        <v>5760.89</v>
      </c>
      <c r="O1721" s="7">
        <f t="shared" si="52"/>
        <v>5760.89</v>
      </c>
      <c r="P1721" t="str">
        <f>IFERROR(INDEX(Supplier_Lookup!$B$2:$B$200,MATCH(E1721,Supplier_Lookup!$A$2:$A$200,0)),"Unmapped")</f>
        <v>Medical Supplies</v>
      </c>
      <c r="Q1721" s="10">
        <f>IFERROR(INDEX(Category_Targets!$B$2:$B$9,MATCH(F1721,Category_Targets!$A$2:$A$9,0)),0)</f>
        <v>0.06</v>
      </c>
      <c r="R1721" s="7">
        <f t="shared" si="53"/>
        <v>345.65340000000003</v>
      </c>
    </row>
    <row r="1722" spans="1:18" x14ac:dyDescent="0.25">
      <c r="A1722" s="5">
        <f>Procurement_Raw!A1722</f>
        <v>45729</v>
      </c>
      <c r="B1722" t="str">
        <f>Procurement_Raw!B1722</f>
        <v>S002</v>
      </c>
      <c r="C1722" t="str">
        <f>Procurement_Raw!C1722</f>
        <v>Manchester Care &amp; Education Centre</v>
      </c>
      <c r="D1722" t="str">
        <f>Procurement_Raw!D1722</f>
        <v>North</v>
      </c>
      <c r="E1722" t="str">
        <f>Procurement_Raw!E1722</f>
        <v>RoadReady</v>
      </c>
      <c r="F1722" t="str">
        <f>Procurement_Raw!F1722</f>
        <v>Vehicle &amp; Fuel</v>
      </c>
      <c r="G1722" t="str">
        <f>Procurement_Raw!G1722</f>
        <v>INV-2025-01721</v>
      </c>
      <c r="H1722" s="6">
        <f>Procurement_Raw!H1722</f>
        <v>38</v>
      </c>
      <c r="I1722" s="7">
        <f>Procurement_Raw!I1722</f>
        <v>125.98</v>
      </c>
      <c r="J1722" s="7">
        <f>Procurement_Raw!J1722</f>
        <v>4787.0600000000004</v>
      </c>
      <c r="K1722" s="6">
        <f>Procurement_Raw!K1722</f>
        <v>45</v>
      </c>
      <c r="L1722" t="str">
        <f>Procurement_Raw!L1722</f>
        <v>ERP</v>
      </c>
      <c r="M1722" s="8">
        <f>Procurement_Raw!M1722</f>
        <v>957.41200000000003</v>
      </c>
      <c r="N1722" s="7">
        <f>Procurement_Raw!N1722</f>
        <v>4787.0600000000004</v>
      </c>
      <c r="O1722" s="7">
        <f t="shared" si="52"/>
        <v>4787.0600000000004</v>
      </c>
      <c r="P1722" t="str">
        <f>IFERROR(INDEX(Supplier_Lookup!$B$2:$B$200,MATCH(E1722,Supplier_Lookup!$A$2:$A$200,0)),"Unmapped")</f>
        <v>Vehicle &amp; Fuel</v>
      </c>
      <c r="Q1722" s="10">
        <f>IFERROR(INDEX(Category_Targets!$B$2:$B$9,MATCH(F1722,Category_Targets!$A$2:$A$9,0)),0)</f>
        <v>0.05</v>
      </c>
      <c r="R1722" s="7">
        <f t="shared" si="53"/>
        <v>239.35300000000004</v>
      </c>
    </row>
    <row r="1723" spans="1:18" x14ac:dyDescent="0.25">
      <c r="A1723" s="5">
        <f>Procurement_Raw!A1723</f>
        <v>45765</v>
      </c>
      <c r="B1723" t="str">
        <f>Procurement_Raw!B1723</f>
        <v>S011</v>
      </c>
      <c r="C1723" t="str">
        <f>Procurement_Raw!C1723</f>
        <v>London Care &amp; Education Centre</v>
      </c>
      <c r="D1723" t="str">
        <f>Procurement_Raw!D1723</f>
        <v>South</v>
      </c>
      <c r="E1723" t="str">
        <f>Procurement_Raw!E1723</f>
        <v>HealthStaffing</v>
      </c>
      <c r="F1723" t="str">
        <f>Procurement_Raw!F1723</f>
        <v>Agency Labour</v>
      </c>
      <c r="G1723" t="str">
        <f>Procurement_Raw!G1723</f>
        <v>INV-2025-01722</v>
      </c>
      <c r="H1723" s="6">
        <f>Procurement_Raw!H1723</f>
        <v>29</v>
      </c>
      <c r="I1723" s="7">
        <f>Procurement_Raw!I1723</f>
        <v>260.08999999999997</v>
      </c>
      <c r="J1723" s="7">
        <f>Procurement_Raw!J1723</f>
        <v>7542.64</v>
      </c>
      <c r="K1723" s="6">
        <f>Procurement_Raw!K1723</f>
        <v>30</v>
      </c>
      <c r="L1723" t="str">
        <f>Procurement_Raw!L1723</f>
        <v>Legacy Spend File</v>
      </c>
      <c r="M1723" s="8">
        <f>Procurement_Raw!M1723</f>
        <v>1508.528</v>
      </c>
      <c r="N1723" s="7">
        <f>Procurement_Raw!N1723</f>
        <v>7542.64</v>
      </c>
      <c r="O1723" s="7">
        <f t="shared" si="52"/>
        <v>7542.64</v>
      </c>
      <c r="P1723" t="str">
        <f>IFERROR(INDEX(Supplier_Lookup!$B$2:$B$200,MATCH(E1723,Supplier_Lookup!$A$2:$A$200,0)),"Unmapped")</f>
        <v>Agency Labour</v>
      </c>
      <c r="Q1723" s="10">
        <f>IFERROR(INDEX(Category_Targets!$B$2:$B$9,MATCH(F1723,Category_Targets!$A$2:$A$9,0)),0)</f>
        <v>7.0000000000000007E-2</v>
      </c>
      <c r="R1723" s="7">
        <f t="shared" si="53"/>
        <v>527.98480000000006</v>
      </c>
    </row>
    <row r="1724" spans="1:18" x14ac:dyDescent="0.25">
      <c r="A1724" s="5">
        <f>Procurement_Raw!A1724</f>
        <v>46018</v>
      </c>
      <c r="B1724" t="str">
        <f>Procurement_Raw!B1724</f>
        <v>S001</v>
      </c>
      <c r="C1724" t="str">
        <f>Procurement_Raw!C1724</f>
        <v>Preston Care &amp; Education Centre</v>
      </c>
      <c r="D1724" t="str">
        <f>Procurement_Raw!D1724</f>
        <v>North</v>
      </c>
      <c r="E1724" t="str">
        <f>Procurement_Raw!E1724</f>
        <v>KitchenPro</v>
      </c>
      <c r="F1724" t="str">
        <f>Procurement_Raw!F1724</f>
        <v>Food &amp; Catering</v>
      </c>
      <c r="G1724" t="str">
        <f>Procurement_Raw!G1724</f>
        <v>INV-2025-01723</v>
      </c>
      <c r="H1724" s="6">
        <f>Procurement_Raw!H1724</f>
        <v>19</v>
      </c>
      <c r="I1724" s="7">
        <f>Procurement_Raw!I1724</f>
        <v>97.59</v>
      </c>
      <c r="J1724" s="7">
        <f>Procurement_Raw!J1724</f>
        <v>1854.13</v>
      </c>
      <c r="K1724" s="6">
        <f>Procurement_Raw!K1724</f>
        <v>45</v>
      </c>
      <c r="L1724" t="str">
        <f>Procurement_Raw!L1724</f>
        <v>Legacy Spend File</v>
      </c>
      <c r="M1724" s="8">
        <f>Procurement_Raw!M1724</f>
        <v>370.82600000000002</v>
      </c>
      <c r="N1724" s="7">
        <f>Procurement_Raw!N1724</f>
        <v>1854.13</v>
      </c>
      <c r="O1724" s="7">
        <f t="shared" si="52"/>
        <v>1854.13</v>
      </c>
      <c r="P1724" t="str">
        <f>IFERROR(INDEX(Supplier_Lookup!$B$2:$B$200,MATCH(E1724,Supplier_Lookup!$A$2:$A$200,0)),"Unmapped")</f>
        <v>Food &amp; Catering</v>
      </c>
      <c r="Q1724" s="10">
        <f>IFERROR(INDEX(Category_Targets!$B$2:$B$9,MATCH(F1724,Category_Targets!$A$2:$A$9,0)),0)</f>
        <v>0.04</v>
      </c>
      <c r="R1724" s="7">
        <f t="shared" si="53"/>
        <v>74.165200000000013</v>
      </c>
    </row>
    <row r="1725" spans="1:18" x14ac:dyDescent="0.25">
      <c r="A1725" s="5">
        <f>Procurement_Raw!A1725</f>
        <v>45685</v>
      </c>
      <c r="B1725" t="str">
        <f>Procurement_Raw!B1725</f>
        <v>S017</v>
      </c>
      <c r="C1725" t="str">
        <f>Procurement_Raw!C1725</f>
        <v>Swansea Care &amp; Education Centre</v>
      </c>
      <c r="D1725" t="str">
        <f>Procurement_Raw!D1725</f>
        <v>Wales</v>
      </c>
      <c r="E1725" t="str">
        <f>Procurement_Raw!E1725</f>
        <v>CareTemps</v>
      </c>
      <c r="F1725" t="str">
        <f>Procurement_Raw!F1725</f>
        <v>Agency Labour</v>
      </c>
      <c r="G1725" t="str">
        <f>Procurement_Raw!G1725</f>
        <v>INV-2025-01724</v>
      </c>
      <c r="H1725" s="6">
        <f>Procurement_Raw!H1725</f>
        <v>14</v>
      </c>
      <c r="I1725" s="7">
        <f>Procurement_Raw!I1725</f>
        <v>420.83</v>
      </c>
      <c r="J1725" s="7">
        <f>Procurement_Raw!J1725</f>
        <v>5891.65</v>
      </c>
      <c r="K1725" s="6">
        <f>Procurement_Raw!K1725</f>
        <v>60</v>
      </c>
      <c r="L1725" t="str">
        <f>Procurement_Raw!L1725</f>
        <v>Legacy Spend File</v>
      </c>
      <c r="M1725" s="8">
        <f>Procurement_Raw!M1725</f>
        <v>1178.33</v>
      </c>
      <c r="N1725" s="7">
        <f>Procurement_Raw!N1725</f>
        <v>5891.65</v>
      </c>
      <c r="O1725" s="7">
        <f t="shared" si="52"/>
        <v>5891.65</v>
      </c>
      <c r="P1725" t="str">
        <f>IFERROR(INDEX(Supplier_Lookup!$B$2:$B$200,MATCH(E1725,Supplier_Lookup!$A$2:$A$200,0)),"Unmapped")</f>
        <v>Agency Labour</v>
      </c>
      <c r="Q1725" s="10">
        <f>IFERROR(INDEX(Category_Targets!$B$2:$B$9,MATCH(F1725,Category_Targets!$A$2:$A$9,0)),0)</f>
        <v>7.0000000000000007E-2</v>
      </c>
      <c r="R1725" s="7">
        <f t="shared" si="53"/>
        <v>412.41550000000001</v>
      </c>
    </row>
    <row r="1726" spans="1:18" x14ac:dyDescent="0.25">
      <c r="A1726" s="5">
        <f>Procurement_Raw!A1726</f>
        <v>45738</v>
      </c>
      <c r="B1726" t="str">
        <f>Procurement_Raw!B1726</f>
        <v>S017</v>
      </c>
      <c r="C1726" t="str">
        <f>Procurement_Raw!C1726</f>
        <v>Swansea Care &amp; Education Centre</v>
      </c>
      <c r="D1726" t="str">
        <f>Procurement_Raw!D1726</f>
        <v>Wales</v>
      </c>
      <c r="E1726" t="str">
        <f>Procurement_Raw!E1726</f>
        <v>PrintCo</v>
      </c>
      <c r="F1726" t="str">
        <f>Procurement_Raw!F1726</f>
        <v>Office &amp; Training</v>
      </c>
      <c r="G1726" t="str">
        <f>Procurement_Raw!G1726</f>
        <v>INV-2025-01725</v>
      </c>
      <c r="H1726" s="6">
        <f>Procurement_Raw!H1726</f>
        <v>4</v>
      </c>
      <c r="I1726" s="7">
        <f>Procurement_Raw!I1726</f>
        <v>44.84</v>
      </c>
      <c r="J1726" s="7">
        <f>Procurement_Raw!J1726</f>
        <v>179.34</v>
      </c>
      <c r="K1726" s="6">
        <f>Procurement_Raw!K1726</f>
        <v>30</v>
      </c>
      <c r="L1726" t="str">
        <f>Procurement_Raw!L1726</f>
        <v>Procurement Portal</v>
      </c>
      <c r="M1726" s="8">
        <f>Procurement_Raw!M1726</f>
        <v>35.868000000000002</v>
      </c>
      <c r="N1726" s="7">
        <f>Procurement_Raw!N1726</f>
        <v>179.34</v>
      </c>
      <c r="O1726" s="7">
        <f t="shared" si="52"/>
        <v>179.34</v>
      </c>
      <c r="P1726" t="str">
        <f>IFERROR(INDEX(Supplier_Lookup!$B$2:$B$200,MATCH(E1726,Supplier_Lookup!$A$2:$A$200,0)),"Unmapped")</f>
        <v>Office &amp; Training</v>
      </c>
      <c r="Q1726" s="10">
        <f>IFERROR(INDEX(Category_Targets!$B$2:$B$9,MATCH(F1726,Category_Targets!$A$2:$A$9,0)),0)</f>
        <v>0.04</v>
      </c>
      <c r="R1726" s="7">
        <f t="shared" si="53"/>
        <v>7.1736000000000004</v>
      </c>
    </row>
    <row r="1727" spans="1:18" x14ac:dyDescent="0.25">
      <c r="A1727" s="5">
        <f>Procurement_Raw!A1727</f>
        <v>45697</v>
      </c>
      <c r="B1727" t="str">
        <f>Procurement_Raw!B1727</f>
        <v>S017</v>
      </c>
      <c r="C1727" t="str">
        <f>Procurement_Raw!C1727</f>
        <v>Swansea Care &amp; Education Centre</v>
      </c>
      <c r="D1727" t="str">
        <f>Procurement_Raw!D1727</f>
        <v>Wales</v>
      </c>
      <c r="E1727" t="str">
        <f>Procurement_Raw!E1727</f>
        <v>FreshServe</v>
      </c>
      <c r="F1727" t="str">
        <f>Procurement_Raw!F1727</f>
        <v>Food &amp; Catering</v>
      </c>
      <c r="G1727" t="str">
        <f>Procurement_Raw!G1727</f>
        <v>INV-2025-01726</v>
      </c>
      <c r="H1727" s="6">
        <f>Procurement_Raw!H1727</f>
        <v>2</v>
      </c>
      <c r="I1727" s="7">
        <f>Procurement_Raw!I1727</f>
        <v>118.12</v>
      </c>
      <c r="J1727" s="7">
        <f>Procurement_Raw!J1727</f>
        <v>236.23</v>
      </c>
      <c r="K1727" s="6">
        <f>Procurement_Raw!K1727</f>
        <v>60</v>
      </c>
      <c r="L1727" t="str">
        <f>Procurement_Raw!L1727</f>
        <v>Procurement Portal</v>
      </c>
      <c r="M1727" s="8">
        <f>Procurement_Raw!M1727</f>
        <v>47.246000000000002</v>
      </c>
      <c r="N1727" s="7">
        <f>Procurement_Raw!N1727</f>
        <v>236.23</v>
      </c>
      <c r="O1727" s="7">
        <f t="shared" si="52"/>
        <v>236.23</v>
      </c>
      <c r="P1727" t="str">
        <f>IFERROR(INDEX(Supplier_Lookup!$B$2:$B$200,MATCH(E1727,Supplier_Lookup!$A$2:$A$200,0)),"Unmapped")</f>
        <v>Food &amp; Catering</v>
      </c>
      <c r="Q1727" s="10">
        <f>IFERROR(INDEX(Category_Targets!$B$2:$B$9,MATCH(F1727,Category_Targets!$A$2:$A$9,0)),0)</f>
        <v>0.04</v>
      </c>
      <c r="R1727" s="7">
        <f t="shared" si="53"/>
        <v>9.4491999999999994</v>
      </c>
    </row>
    <row r="1728" spans="1:18" x14ac:dyDescent="0.25">
      <c r="A1728" s="5">
        <f>Procurement_Raw!A1728</f>
        <v>45729</v>
      </c>
      <c r="B1728" t="str">
        <f>Procurement_Raw!B1728</f>
        <v>S002</v>
      </c>
      <c r="C1728" t="str">
        <f>Procurement_Raw!C1728</f>
        <v>Manchester Care &amp; Education Centre</v>
      </c>
      <c r="D1728" t="str">
        <f>Procurement_Raw!D1728</f>
        <v>North</v>
      </c>
      <c r="E1728" t="str">
        <f>Procurement_Raw!E1728</f>
        <v>SafeGuard FM</v>
      </c>
      <c r="F1728" t="str">
        <f>Procurement_Raw!F1728</f>
        <v>Facilities</v>
      </c>
      <c r="G1728" t="str">
        <f>Procurement_Raw!G1728</f>
        <v>INV-2025-01727</v>
      </c>
      <c r="H1728" s="6">
        <f>Procurement_Raw!H1728</f>
        <v>68</v>
      </c>
      <c r="I1728" s="7">
        <f>Procurement_Raw!I1728</f>
        <v>134.05000000000001</v>
      </c>
      <c r="J1728" s="7">
        <f>Procurement_Raw!J1728</f>
        <v>9115.07</v>
      </c>
      <c r="K1728" s="6">
        <f>Procurement_Raw!K1728</f>
        <v>60</v>
      </c>
      <c r="L1728" t="str">
        <f>Procurement_Raw!L1728</f>
        <v>Procurement Portal</v>
      </c>
      <c r="M1728" s="8">
        <f>Procurement_Raw!M1728</f>
        <v>1823.0139999999999</v>
      </c>
      <c r="N1728" s="7">
        <f>Procurement_Raw!N1728</f>
        <v>9115.07</v>
      </c>
      <c r="O1728" s="7">
        <f t="shared" si="52"/>
        <v>9115.07</v>
      </c>
      <c r="P1728" t="str">
        <f>IFERROR(INDEX(Supplier_Lookup!$B$2:$B$200,MATCH(E1728,Supplier_Lookup!$A$2:$A$200,0)),"Unmapped")</f>
        <v>Facilities</v>
      </c>
      <c r="Q1728" s="10">
        <f>IFERROR(INDEX(Category_Targets!$B$2:$B$9,MATCH(F1728,Category_Targets!$A$2:$A$9,0)),0)</f>
        <v>0.05</v>
      </c>
      <c r="R1728" s="7">
        <f t="shared" si="53"/>
        <v>455.75350000000003</v>
      </c>
    </row>
    <row r="1729" spans="1:18" x14ac:dyDescent="0.25">
      <c r="A1729" s="5">
        <f>Procurement_Raw!A1729</f>
        <v>45830</v>
      </c>
      <c r="B1729" t="str">
        <f>Procurement_Raw!B1729</f>
        <v>S004</v>
      </c>
      <c r="C1729" t="str">
        <f>Procurement_Raw!C1729</f>
        <v>Newcastle Care &amp; Education Centre</v>
      </c>
      <c r="D1729" t="str">
        <f>Procurement_Raw!D1729</f>
        <v>North</v>
      </c>
      <c r="E1729" t="str">
        <f>Procurement_Raw!E1729</f>
        <v>NurseLink</v>
      </c>
      <c r="F1729" t="str">
        <f>Procurement_Raw!F1729</f>
        <v>Agency Labour</v>
      </c>
      <c r="G1729" t="str">
        <f>Procurement_Raw!G1729</f>
        <v>INV-2025-01728</v>
      </c>
      <c r="H1729" s="6">
        <f>Procurement_Raw!H1729</f>
        <v>57</v>
      </c>
      <c r="I1729" s="7">
        <f>Procurement_Raw!I1729</f>
        <v>467.88</v>
      </c>
      <c r="J1729" s="7">
        <f>Procurement_Raw!J1729</f>
        <v>26669.22</v>
      </c>
      <c r="K1729" s="6">
        <f>Procurement_Raw!K1729</f>
        <v>60</v>
      </c>
      <c r="L1729" t="str">
        <f>Procurement_Raw!L1729</f>
        <v>Legacy Spend File</v>
      </c>
      <c r="M1729" s="8">
        <f>Procurement_Raw!M1729</f>
        <v>5333.8440000000001</v>
      </c>
      <c r="N1729" s="7">
        <f>Procurement_Raw!N1729</f>
        <v>26669.22</v>
      </c>
      <c r="O1729" s="7">
        <f t="shared" si="52"/>
        <v>26669.22</v>
      </c>
      <c r="P1729" t="str">
        <f>IFERROR(INDEX(Supplier_Lookup!$B$2:$B$200,MATCH(E1729,Supplier_Lookup!$A$2:$A$200,0)),"Unmapped")</f>
        <v>Agency Labour</v>
      </c>
      <c r="Q1729" s="10">
        <f>IFERROR(INDEX(Category_Targets!$B$2:$B$9,MATCH(F1729,Category_Targets!$A$2:$A$9,0)),0)</f>
        <v>7.0000000000000007E-2</v>
      </c>
      <c r="R1729" s="7">
        <f t="shared" si="53"/>
        <v>1866.8454000000002</v>
      </c>
    </row>
    <row r="1730" spans="1:18" x14ac:dyDescent="0.25">
      <c r="A1730" s="5">
        <f>Procurement_Raw!A1730</f>
        <v>45737</v>
      </c>
      <c r="B1730" t="str">
        <f>Procurement_Raw!B1730</f>
        <v>S012</v>
      </c>
      <c r="C1730" t="str">
        <f>Procurement_Raw!C1730</f>
        <v>Bristol Care &amp; Education Centre</v>
      </c>
      <c r="D1730" t="str">
        <f>Procurement_Raw!D1730</f>
        <v>South</v>
      </c>
      <c r="E1730" t="str">
        <f>Procurement_Raw!E1730</f>
        <v>CloudLink</v>
      </c>
      <c r="F1730" t="str">
        <f>Procurement_Raw!F1730</f>
        <v>IT &amp; Telecoms</v>
      </c>
      <c r="G1730" t="str">
        <f>Procurement_Raw!G1730</f>
        <v>INV-2025-01729</v>
      </c>
      <c r="H1730" s="6">
        <f>Procurement_Raw!H1730</f>
        <v>8</v>
      </c>
      <c r="I1730" s="7">
        <f>Procurement_Raw!I1730</f>
        <v>269.25</v>
      </c>
      <c r="J1730" s="7">
        <f>Procurement_Raw!J1730</f>
        <v>2153.9899999999998</v>
      </c>
      <c r="K1730" s="6">
        <f>Procurement_Raw!K1730</f>
        <v>60</v>
      </c>
      <c r="L1730" t="str">
        <f>Procurement_Raw!L1730</f>
        <v>ERP</v>
      </c>
      <c r="M1730" s="8">
        <f>Procurement_Raw!M1730</f>
        <v>430.798</v>
      </c>
      <c r="N1730" s="7">
        <f>Procurement_Raw!N1730</f>
        <v>2153.9899999999998</v>
      </c>
      <c r="O1730" s="7">
        <f t="shared" ref="O1730:O1793" si="54">IFERROR(IF(J1730="","",J1730),0)</f>
        <v>2153.9899999999998</v>
      </c>
      <c r="P1730" t="str">
        <f>IFERROR(INDEX(Supplier_Lookup!$B$2:$B$200,MATCH(E1730,Supplier_Lookup!$A$2:$A$200,0)),"Unmapped")</f>
        <v>medical supplies</v>
      </c>
      <c r="Q1730" s="10">
        <f>IFERROR(INDEX(Category_Targets!$B$2:$B$9,MATCH(F1730,Category_Targets!$A$2:$A$9,0)),0)</f>
        <v>0.08</v>
      </c>
      <c r="R1730" s="7">
        <f t="shared" ref="R1730:R1793" si="55">O1730*Q1730</f>
        <v>172.3192</v>
      </c>
    </row>
    <row r="1731" spans="1:18" x14ac:dyDescent="0.25">
      <c r="A1731" s="5">
        <f>Procurement_Raw!A1731</f>
        <v>45740</v>
      </c>
      <c r="B1731" t="str">
        <f>Procurement_Raw!B1731</f>
        <v>S010</v>
      </c>
      <c r="C1731" t="str">
        <f>Procurement_Raw!C1731</f>
        <v>Coventry Care &amp; Education Centre</v>
      </c>
      <c r="D1731" t="str">
        <f>Procurement_Raw!D1731</f>
        <v>Midlands</v>
      </c>
      <c r="E1731" t="str">
        <f>Procurement_Raw!E1731</f>
        <v>BuildCare</v>
      </c>
      <c r="F1731" t="str">
        <f>Procurement_Raw!F1731</f>
        <v>Facilities</v>
      </c>
      <c r="G1731" t="str">
        <f>Procurement_Raw!G1731</f>
        <v>INV-2025-01730</v>
      </c>
      <c r="H1731" s="6">
        <f>Procurement_Raw!H1731</f>
        <v>2</v>
      </c>
      <c r="I1731" s="7">
        <f>Procurement_Raw!I1731</f>
        <v>494.7</v>
      </c>
      <c r="J1731" s="7">
        <f>Procurement_Raw!J1731</f>
        <v>989.41</v>
      </c>
      <c r="K1731" s="6">
        <f>Procurement_Raw!K1731</f>
        <v>45</v>
      </c>
      <c r="L1731" t="str">
        <f>Procurement_Raw!L1731</f>
        <v>Procurement Portal</v>
      </c>
      <c r="M1731" s="8">
        <f>Procurement_Raw!M1731</f>
        <v>197.88200000000001</v>
      </c>
      <c r="N1731" s="7">
        <f>Procurement_Raw!N1731</f>
        <v>989.41</v>
      </c>
      <c r="O1731" s="7">
        <f t="shared" si="54"/>
        <v>989.41</v>
      </c>
      <c r="P1731" t="str">
        <f>IFERROR(INDEX(Supplier_Lookup!$B$2:$B$200,MATCH(E1731,Supplier_Lookup!$A$2:$A$200,0)),"Unmapped")</f>
        <v>Facilities</v>
      </c>
      <c r="Q1731" s="10">
        <f>IFERROR(INDEX(Category_Targets!$B$2:$B$9,MATCH(F1731,Category_Targets!$A$2:$A$9,0)),0)</f>
        <v>0.05</v>
      </c>
      <c r="R1731" s="7">
        <f t="shared" si="55"/>
        <v>49.470500000000001</v>
      </c>
    </row>
    <row r="1732" spans="1:18" x14ac:dyDescent="0.25">
      <c r="A1732" s="5">
        <f>Procurement_Raw!A1732</f>
        <v>46022</v>
      </c>
      <c r="B1732" t="str">
        <f>Procurement_Raw!B1732</f>
        <v>S005</v>
      </c>
      <c r="C1732" t="str">
        <f>Procurement_Raw!C1732</f>
        <v>Sheffield Care &amp; Education Centre</v>
      </c>
      <c r="D1732" t="str">
        <f>Procurement_Raw!D1732</f>
        <v>North</v>
      </c>
      <c r="E1732" t="str">
        <f>Procurement_Raw!E1732</f>
        <v>PrintCo</v>
      </c>
      <c r="F1732" t="str">
        <f>Procurement_Raw!F1732</f>
        <v>Office &amp; Training</v>
      </c>
      <c r="G1732" t="str">
        <f>Procurement_Raw!G1732</f>
        <v>INV-2025-01731</v>
      </c>
      <c r="H1732" s="6">
        <f>Procurement_Raw!H1732</f>
        <v>34</v>
      </c>
      <c r="I1732" s="7">
        <f>Procurement_Raw!I1732</f>
        <v>66.33</v>
      </c>
      <c r="J1732" s="7">
        <f>Procurement_Raw!J1732</f>
        <v>2255.08</v>
      </c>
      <c r="K1732" s="6">
        <f>Procurement_Raw!K1732</f>
        <v>60</v>
      </c>
      <c r="L1732" t="str">
        <f>Procurement_Raw!L1732</f>
        <v>Legacy Spend File</v>
      </c>
      <c r="M1732" s="8">
        <f>Procurement_Raw!M1732</f>
        <v>451.01600000000002</v>
      </c>
      <c r="N1732" s="7">
        <f>Procurement_Raw!N1732</f>
        <v>2255.08</v>
      </c>
      <c r="O1732" s="7">
        <f t="shared" si="54"/>
        <v>2255.08</v>
      </c>
      <c r="P1732" t="str">
        <f>IFERROR(INDEX(Supplier_Lookup!$B$2:$B$200,MATCH(E1732,Supplier_Lookup!$A$2:$A$200,0)),"Unmapped")</f>
        <v>Office &amp; Training</v>
      </c>
      <c r="Q1732" s="10">
        <f>IFERROR(INDEX(Category_Targets!$B$2:$B$9,MATCH(F1732,Category_Targets!$A$2:$A$9,0)),0)</f>
        <v>0.04</v>
      </c>
      <c r="R1732" s="7">
        <f t="shared" si="55"/>
        <v>90.203199999999995</v>
      </c>
    </row>
    <row r="1733" spans="1:18" x14ac:dyDescent="0.25">
      <c r="A1733" s="5">
        <f>Procurement_Raw!A1733</f>
        <v>45738</v>
      </c>
      <c r="B1733" t="str">
        <f>Procurement_Raw!B1733</f>
        <v>S019</v>
      </c>
      <c r="C1733" t="str">
        <f>Procurement_Raw!C1733</f>
        <v>Wrexham Care &amp; Education Centre</v>
      </c>
      <c r="D1733" t="str">
        <f>Procurement_Raw!D1733</f>
        <v>Wales</v>
      </c>
      <c r="E1733" t="str">
        <f>Procurement_Raw!E1733</f>
        <v>WaterGrid</v>
      </c>
      <c r="F1733" t="str">
        <f>Procurement_Raw!F1733</f>
        <v>Utilities</v>
      </c>
      <c r="G1733" t="str">
        <f>Procurement_Raw!G1733</f>
        <v>INV-2025-01732</v>
      </c>
      <c r="H1733" s="6">
        <f>Procurement_Raw!H1733</f>
        <v>35</v>
      </c>
      <c r="I1733" s="7">
        <f>Procurement_Raw!I1733</f>
        <v>206.3</v>
      </c>
      <c r="J1733" s="7">
        <f>Procurement_Raw!J1733</f>
        <v>7220.54</v>
      </c>
      <c r="K1733" s="6">
        <f>Procurement_Raw!K1733</f>
        <v>30</v>
      </c>
      <c r="L1733" t="str">
        <f>Procurement_Raw!L1733</f>
        <v>Legacy Spend File</v>
      </c>
      <c r="M1733" s="8">
        <f>Procurement_Raw!M1733</f>
        <v>1444.1079999999999</v>
      </c>
      <c r="N1733" s="7">
        <f>Procurement_Raw!N1733</f>
        <v>7220.54</v>
      </c>
      <c r="O1733" s="7">
        <f t="shared" si="54"/>
        <v>7220.54</v>
      </c>
      <c r="P1733" t="str">
        <f>IFERROR(INDEX(Supplier_Lookup!$B$2:$B$200,MATCH(E1733,Supplier_Lookup!$A$2:$A$200,0)),"Unmapped")</f>
        <v>Utilities</v>
      </c>
      <c r="Q1733" s="10">
        <f>IFERROR(INDEX(Category_Targets!$B$2:$B$9,MATCH(F1733,Category_Targets!$A$2:$A$9,0)),0)</f>
        <v>0.03</v>
      </c>
      <c r="R1733" s="7">
        <f t="shared" si="55"/>
        <v>216.61619999999999</v>
      </c>
    </row>
    <row r="1734" spans="1:18" x14ac:dyDescent="0.25">
      <c r="A1734" s="5">
        <f>Procurement_Raw!A1734</f>
        <v>45766</v>
      </c>
      <c r="B1734" t="str">
        <f>Procurement_Raw!B1734</f>
        <v>S011</v>
      </c>
      <c r="C1734" t="str">
        <f>Procurement_Raw!C1734</f>
        <v>London Care &amp; Education Centre</v>
      </c>
      <c r="D1734" t="str">
        <f>Procurement_Raw!D1734</f>
        <v>South</v>
      </c>
      <c r="E1734" t="str">
        <f>Procurement_Raw!E1734</f>
        <v>BuildCare</v>
      </c>
      <c r="F1734" t="str">
        <f>Procurement_Raw!F1734</f>
        <v>Facilities</v>
      </c>
      <c r="G1734" t="str">
        <f>Procurement_Raw!G1734</f>
        <v>INV-2025-01733</v>
      </c>
      <c r="H1734" s="6">
        <f>Procurement_Raw!H1734</f>
        <v>52</v>
      </c>
      <c r="I1734" s="7">
        <f>Procurement_Raw!I1734</f>
        <v>178.09</v>
      </c>
      <c r="J1734" s="7">
        <f>Procurement_Raw!J1734</f>
        <v>9260.56</v>
      </c>
      <c r="K1734" s="6">
        <f>Procurement_Raw!K1734</f>
        <v>60</v>
      </c>
      <c r="L1734" t="str">
        <f>Procurement_Raw!L1734</f>
        <v>ERP</v>
      </c>
      <c r="M1734" s="8">
        <f>Procurement_Raw!M1734</f>
        <v>1852.1120000000001</v>
      </c>
      <c r="N1734" s="7">
        <f>Procurement_Raw!N1734</f>
        <v>9260.56</v>
      </c>
      <c r="O1734" s="7">
        <f t="shared" si="54"/>
        <v>9260.56</v>
      </c>
      <c r="P1734" t="str">
        <f>IFERROR(INDEX(Supplier_Lookup!$B$2:$B$200,MATCH(E1734,Supplier_Lookup!$A$2:$A$200,0)),"Unmapped")</f>
        <v>Facilities</v>
      </c>
      <c r="Q1734" s="10">
        <f>IFERROR(INDEX(Category_Targets!$B$2:$B$9,MATCH(F1734,Category_Targets!$A$2:$A$9,0)),0)</f>
        <v>0.05</v>
      </c>
      <c r="R1734" s="7">
        <f t="shared" si="55"/>
        <v>463.02800000000002</v>
      </c>
    </row>
    <row r="1735" spans="1:18" x14ac:dyDescent="0.25">
      <c r="A1735" s="5">
        <f>Procurement_Raw!A1735</f>
        <v>45944</v>
      </c>
      <c r="B1735" t="str">
        <f>Procurement_Raw!B1735</f>
        <v>S004</v>
      </c>
      <c r="C1735" t="str">
        <f>Procurement_Raw!C1735</f>
        <v>Newcastle Care &amp; Education Centre</v>
      </c>
      <c r="D1735" t="str">
        <f>Procurement_Raw!D1735</f>
        <v>North</v>
      </c>
      <c r="E1735" t="str">
        <f>Procurement_Raw!E1735</f>
        <v>HealthStaffing</v>
      </c>
      <c r="F1735" t="str">
        <f>Procurement_Raw!F1735</f>
        <v>Agency Labour</v>
      </c>
      <c r="G1735" t="str">
        <f>Procurement_Raw!G1735</f>
        <v>INV-2025-01734</v>
      </c>
      <c r="H1735" s="6">
        <f>Procurement_Raw!H1735</f>
        <v>78</v>
      </c>
      <c r="I1735" s="7">
        <f>Procurement_Raw!I1735</f>
        <v>253.92</v>
      </c>
      <c r="J1735" s="7">
        <f>Procurement_Raw!J1735</f>
        <v>19806.04</v>
      </c>
      <c r="K1735" s="6">
        <f>Procurement_Raw!K1735</f>
        <v>30</v>
      </c>
      <c r="L1735" t="str">
        <f>Procurement_Raw!L1735</f>
        <v>Legacy Spend File</v>
      </c>
      <c r="M1735" s="8">
        <f>Procurement_Raw!M1735</f>
        <v>3961.2080000000001</v>
      </c>
      <c r="N1735" s="7">
        <f>Procurement_Raw!N1735</f>
        <v>19806.04</v>
      </c>
      <c r="O1735" s="7">
        <f t="shared" si="54"/>
        <v>19806.04</v>
      </c>
      <c r="P1735" t="str">
        <f>IFERROR(INDEX(Supplier_Lookup!$B$2:$B$200,MATCH(E1735,Supplier_Lookup!$A$2:$A$200,0)),"Unmapped")</f>
        <v>Agency Labour</v>
      </c>
      <c r="Q1735" s="10">
        <f>IFERROR(INDEX(Category_Targets!$B$2:$B$9,MATCH(F1735,Category_Targets!$A$2:$A$9,0)),0)</f>
        <v>7.0000000000000007E-2</v>
      </c>
      <c r="R1735" s="7">
        <f t="shared" si="55"/>
        <v>1386.4228000000003</v>
      </c>
    </row>
    <row r="1736" spans="1:18" x14ac:dyDescent="0.25">
      <c r="A1736" s="5">
        <f>Procurement_Raw!A1736</f>
        <v>45992</v>
      </c>
      <c r="B1736" t="str">
        <f>Procurement_Raw!B1736</f>
        <v>S008</v>
      </c>
      <c r="C1736" t="str">
        <f>Procurement_Raw!C1736</f>
        <v>Leicester Care &amp; Education Centre</v>
      </c>
      <c r="D1736" t="str">
        <f>Procurement_Raw!D1736</f>
        <v>Midlands</v>
      </c>
      <c r="E1736" t="str">
        <f>Procurement_Raw!E1736</f>
        <v>LearnWell</v>
      </c>
      <c r="F1736" t="str">
        <f>Procurement_Raw!F1736</f>
        <v>Office &amp; Training</v>
      </c>
      <c r="G1736" t="str">
        <f>Procurement_Raw!G1736</f>
        <v>INV-2025-01735</v>
      </c>
      <c r="H1736" s="6">
        <f>Procurement_Raw!H1736</f>
        <v>52</v>
      </c>
      <c r="I1736" s="7">
        <f>Procurement_Raw!I1736</f>
        <v>116.45</v>
      </c>
      <c r="J1736" s="7">
        <f>Procurement_Raw!J1736</f>
        <v>6055.36</v>
      </c>
      <c r="K1736" s="6">
        <f>Procurement_Raw!K1736</f>
        <v>45</v>
      </c>
      <c r="L1736" t="str">
        <f>Procurement_Raw!L1736</f>
        <v>ERP</v>
      </c>
      <c r="M1736" s="8">
        <f>Procurement_Raw!M1736</f>
        <v>1211.0719999999999</v>
      </c>
      <c r="N1736" s="7">
        <f>Procurement_Raw!N1736</f>
        <v>6055.36</v>
      </c>
      <c r="O1736" s="7">
        <f t="shared" si="54"/>
        <v>6055.36</v>
      </c>
      <c r="P1736" t="str">
        <f>IFERROR(INDEX(Supplier_Lookup!$B$2:$B$200,MATCH(E1736,Supplier_Lookup!$A$2:$A$200,0)),"Unmapped")</f>
        <v>Office &amp; Training</v>
      </c>
      <c r="Q1736" s="10">
        <f>IFERROR(INDEX(Category_Targets!$B$2:$B$9,MATCH(F1736,Category_Targets!$A$2:$A$9,0)),0)</f>
        <v>0.04</v>
      </c>
      <c r="R1736" s="7">
        <f t="shared" si="55"/>
        <v>242.21439999999998</v>
      </c>
    </row>
    <row r="1737" spans="1:18" x14ac:dyDescent="0.25">
      <c r="A1737" s="5">
        <f>Procurement_Raw!A1737</f>
        <v>45875</v>
      </c>
      <c r="B1737" t="str">
        <f>Procurement_Raw!B1737</f>
        <v>S007</v>
      </c>
      <c r="C1737" t="str">
        <f>Procurement_Raw!C1737</f>
        <v>Nottingham Care &amp; Education Centre</v>
      </c>
      <c r="D1737" t="str">
        <f>Procurement_Raw!D1737</f>
        <v>Midlands</v>
      </c>
      <c r="E1737" t="str">
        <f>Procurement_Raw!E1737</f>
        <v>AutoCare</v>
      </c>
      <c r="F1737" t="str">
        <f>Procurement_Raw!F1737</f>
        <v>Vehicle &amp; Fuel</v>
      </c>
      <c r="G1737" t="str">
        <f>Procurement_Raw!G1737</f>
        <v>INV-2025-01736</v>
      </c>
      <c r="H1737" s="6">
        <f>Procurement_Raw!H1737</f>
        <v>25</v>
      </c>
      <c r="I1737" s="7">
        <f>Procurement_Raw!I1737</f>
        <v>39.049999999999997</v>
      </c>
      <c r="J1737" s="7">
        <f>Procurement_Raw!J1737</f>
        <v>976.31</v>
      </c>
      <c r="K1737" s="6">
        <f>Procurement_Raw!K1737</f>
        <v>45</v>
      </c>
      <c r="L1737" t="str">
        <f>Procurement_Raw!L1737</f>
        <v>ERP</v>
      </c>
      <c r="M1737" s="8">
        <f>Procurement_Raw!M1737</f>
        <v>195.262</v>
      </c>
      <c r="N1737" s="7">
        <f>Procurement_Raw!N1737</f>
        <v>976.31</v>
      </c>
      <c r="O1737" s="7">
        <f t="shared" si="54"/>
        <v>976.31</v>
      </c>
      <c r="P1737" t="str">
        <f>IFERROR(INDEX(Supplier_Lookup!$B$2:$B$200,MATCH(E1737,Supplier_Lookup!$A$2:$A$200,0)),"Unmapped")</f>
        <v>Vehicle &amp; Fuel</v>
      </c>
      <c r="Q1737" s="10">
        <f>IFERROR(INDEX(Category_Targets!$B$2:$B$9,MATCH(F1737,Category_Targets!$A$2:$A$9,0)),0)</f>
        <v>0.05</v>
      </c>
      <c r="R1737" s="7">
        <f t="shared" si="55"/>
        <v>48.8155</v>
      </c>
    </row>
    <row r="1738" spans="1:18" x14ac:dyDescent="0.25">
      <c r="A1738" s="5">
        <f>Procurement_Raw!A1738</f>
        <v>45966</v>
      </c>
      <c r="B1738" t="str">
        <f>Procurement_Raw!B1738</f>
        <v>S011</v>
      </c>
      <c r="C1738" t="str">
        <f>Procurement_Raw!C1738</f>
        <v>London Care &amp; Education Centre</v>
      </c>
      <c r="D1738" t="str">
        <f>Procurement_Raw!D1738</f>
        <v>South</v>
      </c>
      <c r="E1738" t="str">
        <f>Procurement_Raw!E1738</f>
        <v>NourishCo</v>
      </c>
      <c r="F1738" t="str">
        <f>Procurement_Raw!F1738</f>
        <v>Food &amp; Catering</v>
      </c>
      <c r="G1738" t="str">
        <f>Procurement_Raw!G1738</f>
        <v>INV-2025-01737</v>
      </c>
      <c r="H1738" s="6">
        <f>Procurement_Raw!H1738</f>
        <v>43</v>
      </c>
      <c r="I1738" s="7">
        <f>Procurement_Raw!I1738</f>
        <v>36.409999999999997</v>
      </c>
      <c r="J1738" s="7">
        <f>Procurement_Raw!J1738</f>
        <v>1565.66</v>
      </c>
      <c r="K1738" s="6">
        <f>Procurement_Raw!K1738</f>
        <v>30</v>
      </c>
      <c r="L1738" t="str">
        <f>Procurement_Raw!L1738</f>
        <v>ERP</v>
      </c>
      <c r="M1738" s="8">
        <f>Procurement_Raw!M1738</f>
        <v>313.13200000000001</v>
      </c>
      <c r="N1738" s="7">
        <f>Procurement_Raw!N1738</f>
        <v>1565.66</v>
      </c>
      <c r="O1738" s="7">
        <f t="shared" si="54"/>
        <v>1565.66</v>
      </c>
      <c r="P1738" t="str">
        <f>IFERROR(INDEX(Supplier_Lookup!$B$2:$B$200,MATCH(E1738,Supplier_Lookup!$A$2:$A$200,0)),"Unmapped")</f>
        <v>Food &amp; Catering</v>
      </c>
      <c r="Q1738" s="10">
        <f>IFERROR(INDEX(Category_Targets!$B$2:$B$9,MATCH(F1738,Category_Targets!$A$2:$A$9,0)),0)</f>
        <v>0.04</v>
      </c>
      <c r="R1738" s="7">
        <f t="shared" si="55"/>
        <v>62.626400000000004</v>
      </c>
    </row>
    <row r="1739" spans="1:18" x14ac:dyDescent="0.25">
      <c r="A1739" s="5">
        <f>Procurement_Raw!A1739</f>
        <v>45712</v>
      </c>
      <c r="B1739" t="str">
        <f>Procurement_Raw!B1739</f>
        <v>S020</v>
      </c>
      <c r="C1739" t="str">
        <f>Procurement_Raw!C1739</f>
        <v>Bangor Care &amp; Education Centre</v>
      </c>
      <c r="D1739" t="str">
        <f>Procurement_Raw!D1739</f>
        <v>Wales</v>
      </c>
      <c r="E1739" t="str">
        <f>Procurement_Raw!E1739</f>
        <v>BuildCare</v>
      </c>
      <c r="F1739" t="str">
        <f>Procurement_Raw!F1739</f>
        <v>Facilities</v>
      </c>
      <c r="G1739" t="str">
        <f>Procurement_Raw!G1739</f>
        <v>INV-2025-01738</v>
      </c>
      <c r="H1739" s="6">
        <f>Procurement_Raw!H1739</f>
        <v>9</v>
      </c>
      <c r="I1739" s="7">
        <f>Procurement_Raw!I1739</f>
        <v>100.05</v>
      </c>
      <c r="J1739" s="7">
        <f>Procurement_Raw!J1739</f>
        <v>900.45</v>
      </c>
      <c r="K1739" s="6">
        <f>Procurement_Raw!K1739</f>
        <v>30</v>
      </c>
      <c r="L1739" t="str">
        <f>Procurement_Raw!L1739</f>
        <v>Legacy Spend File</v>
      </c>
      <c r="M1739" s="8">
        <f>Procurement_Raw!M1739</f>
        <v>180.09</v>
      </c>
      <c r="N1739" s="7">
        <f>Procurement_Raw!N1739</f>
        <v>900.45</v>
      </c>
      <c r="O1739" s="7">
        <f t="shared" si="54"/>
        <v>900.45</v>
      </c>
      <c r="P1739" t="str">
        <f>IFERROR(INDEX(Supplier_Lookup!$B$2:$B$200,MATCH(E1739,Supplier_Lookup!$A$2:$A$200,0)),"Unmapped")</f>
        <v>Facilities</v>
      </c>
      <c r="Q1739" s="10">
        <f>IFERROR(INDEX(Category_Targets!$B$2:$B$9,MATCH(F1739,Category_Targets!$A$2:$A$9,0)),0)</f>
        <v>0.05</v>
      </c>
      <c r="R1739" s="7">
        <f t="shared" si="55"/>
        <v>45.022500000000008</v>
      </c>
    </row>
    <row r="1740" spans="1:18" x14ac:dyDescent="0.25">
      <c r="A1740" s="5">
        <f>Procurement_Raw!A1740</f>
        <v>45940</v>
      </c>
      <c r="B1740" t="str">
        <f>Procurement_Raw!B1740</f>
        <v>S001</v>
      </c>
      <c r="C1740" t="str">
        <f>Procurement_Raw!C1740</f>
        <v>Preston Care &amp; Education Centre</v>
      </c>
      <c r="D1740" t="str">
        <f>Procurement_Raw!D1740</f>
        <v>North</v>
      </c>
      <c r="E1740" t="str">
        <f>Procurement_Raw!E1740</f>
        <v>CloudLink</v>
      </c>
      <c r="F1740" t="str">
        <f>Procurement_Raw!F1740</f>
        <v>IT &amp; Telecoms</v>
      </c>
      <c r="G1740" t="str">
        <f>Procurement_Raw!G1740</f>
        <v>INV-2025-01739</v>
      </c>
      <c r="H1740" s="6">
        <f>Procurement_Raw!H1740</f>
        <v>26</v>
      </c>
      <c r="I1740" s="7">
        <f>Procurement_Raw!I1740</f>
        <v>371.04</v>
      </c>
      <c r="J1740" s="7">
        <f>Procurement_Raw!J1740</f>
        <v>9646.91</v>
      </c>
      <c r="K1740" s="6">
        <f>Procurement_Raw!K1740</f>
        <v>60</v>
      </c>
      <c r="L1740" t="str">
        <f>Procurement_Raw!L1740</f>
        <v>ERP</v>
      </c>
      <c r="M1740" s="8">
        <f>Procurement_Raw!M1740</f>
        <v>1929.3820000000001</v>
      </c>
      <c r="N1740" s="7">
        <f>Procurement_Raw!N1740</f>
        <v>9646.91</v>
      </c>
      <c r="O1740" s="7">
        <f t="shared" si="54"/>
        <v>9646.91</v>
      </c>
      <c r="P1740" t="str">
        <f>IFERROR(INDEX(Supplier_Lookup!$B$2:$B$200,MATCH(E1740,Supplier_Lookup!$A$2:$A$200,0)),"Unmapped")</f>
        <v>medical supplies</v>
      </c>
      <c r="Q1740" s="10">
        <f>IFERROR(INDEX(Category_Targets!$B$2:$B$9,MATCH(F1740,Category_Targets!$A$2:$A$9,0)),0)</f>
        <v>0.08</v>
      </c>
      <c r="R1740" s="7">
        <f t="shared" si="55"/>
        <v>771.75279999999998</v>
      </c>
    </row>
    <row r="1741" spans="1:18" x14ac:dyDescent="0.25">
      <c r="A1741" s="5">
        <f>Procurement_Raw!A1741</f>
        <v>45949</v>
      </c>
      <c r="B1741" t="str">
        <f>Procurement_Raw!B1741</f>
        <v>S015</v>
      </c>
      <c r="C1741" t="str">
        <f>Procurement_Raw!C1741</f>
        <v>Brighton Care &amp; Education Centre</v>
      </c>
      <c r="D1741" t="str">
        <f>Procurement_Raw!D1741</f>
        <v>South</v>
      </c>
      <c r="E1741" t="str">
        <f>Procurement_Raw!E1741</f>
        <v>CloudLink</v>
      </c>
      <c r="F1741" t="str">
        <f>Procurement_Raw!F1741</f>
        <v>IT &amp; Telecoms</v>
      </c>
      <c r="G1741" t="str">
        <f>Procurement_Raw!G1741</f>
        <v>INV-2025-01740</v>
      </c>
      <c r="H1741" s="6">
        <f>Procurement_Raw!H1741</f>
        <v>73</v>
      </c>
      <c r="I1741" s="7">
        <f>Procurement_Raw!I1741</f>
        <v>563.66999999999996</v>
      </c>
      <c r="J1741" s="7">
        <f>Procurement_Raw!J1741</f>
        <v>41147.74</v>
      </c>
      <c r="K1741" s="6">
        <f>Procurement_Raw!K1741</f>
        <v>30</v>
      </c>
      <c r="L1741" t="str">
        <f>Procurement_Raw!L1741</f>
        <v>Legacy Spend File</v>
      </c>
      <c r="M1741" s="8">
        <f>Procurement_Raw!M1741</f>
        <v>8229.5480000000007</v>
      </c>
      <c r="N1741" s="7">
        <f>Procurement_Raw!N1741</f>
        <v>41147.74</v>
      </c>
      <c r="O1741" s="7">
        <f t="shared" si="54"/>
        <v>41147.74</v>
      </c>
      <c r="P1741" t="str">
        <f>IFERROR(INDEX(Supplier_Lookup!$B$2:$B$200,MATCH(E1741,Supplier_Lookup!$A$2:$A$200,0)),"Unmapped")</f>
        <v>medical supplies</v>
      </c>
      <c r="Q1741" s="10">
        <f>IFERROR(INDEX(Category_Targets!$B$2:$B$9,MATCH(F1741,Category_Targets!$A$2:$A$9,0)),0)</f>
        <v>0.08</v>
      </c>
      <c r="R1741" s="7">
        <f t="shared" si="55"/>
        <v>3291.8191999999999</v>
      </c>
    </row>
    <row r="1742" spans="1:18" x14ac:dyDescent="0.25">
      <c r="A1742" s="5">
        <f>Procurement_Raw!A1742</f>
        <v>45819</v>
      </c>
      <c r="B1742" t="str">
        <f>Procurement_Raw!B1742</f>
        <v>S010</v>
      </c>
      <c r="C1742" t="str">
        <f>Procurement_Raw!C1742</f>
        <v>Coventry Care &amp; Education Centre</v>
      </c>
      <c r="D1742" t="str">
        <f>Procurement_Raw!D1742</f>
        <v>Midlands</v>
      </c>
      <c r="E1742" t="str">
        <f>Procurement_Raw!E1742</f>
        <v>MediSure</v>
      </c>
      <c r="F1742" t="str">
        <f>Procurement_Raw!F1742</f>
        <v>Medical Supplies</v>
      </c>
      <c r="G1742" t="str">
        <f>Procurement_Raw!G1742</f>
        <v>INV-2025-01741</v>
      </c>
      <c r="H1742" s="6">
        <f>Procurement_Raw!H1742</f>
        <v>12</v>
      </c>
      <c r="I1742" s="7">
        <f>Procurement_Raw!I1742</f>
        <v>113.3</v>
      </c>
      <c r="J1742" s="7">
        <f>Procurement_Raw!J1742</f>
        <v>1359.61</v>
      </c>
      <c r="K1742" s="6">
        <f>Procurement_Raw!K1742</f>
        <v>45</v>
      </c>
      <c r="L1742" t="str">
        <f>Procurement_Raw!L1742</f>
        <v>ERP</v>
      </c>
      <c r="M1742" s="8">
        <f>Procurement_Raw!M1742</f>
        <v>271.92200000000003</v>
      </c>
      <c r="N1742" s="7">
        <f>Procurement_Raw!N1742</f>
        <v>1359.61</v>
      </c>
      <c r="O1742" s="7">
        <f t="shared" si="54"/>
        <v>1359.61</v>
      </c>
      <c r="P1742" t="str">
        <f>IFERROR(INDEX(Supplier_Lookup!$B$2:$B$200,MATCH(E1742,Supplier_Lookup!$A$2:$A$200,0)),"Unmapped")</f>
        <v>Medical Supplies</v>
      </c>
      <c r="Q1742" s="10">
        <f>IFERROR(INDEX(Category_Targets!$B$2:$B$9,MATCH(F1742,Category_Targets!$A$2:$A$9,0)),0)</f>
        <v>0.06</v>
      </c>
      <c r="R1742" s="7">
        <f t="shared" si="55"/>
        <v>81.576599999999985</v>
      </c>
    </row>
    <row r="1743" spans="1:18" x14ac:dyDescent="0.25">
      <c r="A1743" s="5">
        <f>Procurement_Raw!A1743</f>
        <v>45914</v>
      </c>
      <c r="B1743" t="str">
        <f>Procurement_Raw!B1743</f>
        <v>S003</v>
      </c>
      <c r="C1743" t="str">
        <f>Procurement_Raw!C1743</f>
        <v>Leeds Care &amp; Education Centre</v>
      </c>
      <c r="D1743" t="str">
        <f>Procurement_Raw!D1743</f>
        <v>North</v>
      </c>
      <c r="E1743" t="str">
        <f>Procurement_Raw!E1743</f>
        <v>TeleCare IT</v>
      </c>
      <c r="F1743" t="str">
        <f>Procurement_Raw!F1743</f>
        <v>IT &amp; Telecoms</v>
      </c>
      <c r="G1743" t="str">
        <f>Procurement_Raw!G1743</f>
        <v>INV-2025-01742</v>
      </c>
      <c r="H1743" s="6">
        <f>Procurement_Raw!H1743</f>
        <v>25</v>
      </c>
      <c r="I1743" s="7">
        <f>Procurement_Raw!I1743</f>
        <v>200.49</v>
      </c>
      <c r="J1743" s="7">
        <f>Procurement_Raw!J1743</f>
        <v>5012.3100000000004</v>
      </c>
      <c r="K1743" s="6">
        <f>Procurement_Raw!K1743</f>
        <v>45</v>
      </c>
      <c r="L1743" t="str">
        <f>Procurement_Raw!L1743</f>
        <v>Procurement Portal</v>
      </c>
      <c r="M1743" s="8">
        <f>Procurement_Raw!M1743</f>
        <v>1002.462</v>
      </c>
      <c r="N1743" s="7">
        <f>Procurement_Raw!N1743</f>
        <v>5012.3100000000004</v>
      </c>
      <c r="O1743" s="7">
        <f t="shared" si="54"/>
        <v>5012.3100000000004</v>
      </c>
      <c r="P1743" t="str">
        <f>IFERROR(INDEX(Supplier_Lookup!$B$2:$B$200,MATCH(E1743,Supplier_Lookup!$A$2:$A$200,0)),"Unmapped")</f>
        <v>IT &amp; Telecoms</v>
      </c>
      <c r="Q1743" s="10">
        <f>IFERROR(INDEX(Category_Targets!$B$2:$B$9,MATCH(F1743,Category_Targets!$A$2:$A$9,0)),0)</f>
        <v>0.08</v>
      </c>
      <c r="R1743" s="7">
        <f t="shared" si="55"/>
        <v>400.98480000000006</v>
      </c>
    </row>
    <row r="1744" spans="1:18" x14ac:dyDescent="0.25">
      <c r="A1744" s="5">
        <f>Procurement_Raw!A1744</f>
        <v>46017</v>
      </c>
      <c r="B1744" t="str">
        <f>Procurement_Raw!B1744</f>
        <v>S001</v>
      </c>
      <c r="C1744" t="str">
        <f>Procurement_Raw!C1744</f>
        <v>Preston Care &amp; Education Centre</v>
      </c>
      <c r="D1744" t="str">
        <f>Procurement_Raw!D1744</f>
        <v>North</v>
      </c>
      <c r="E1744" t="str">
        <f>Procurement_Raw!E1744</f>
        <v>FleetFuel</v>
      </c>
      <c r="F1744" t="str">
        <f>Procurement_Raw!F1744</f>
        <v>Vehicle &amp; Fuel</v>
      </c>
      <c r="G1744" t="str">
        <f>Procurement_Raw!G1744</f>
        <v>INV-2025-01743</v>
      </c>
      <c r="H1744" s="6">
        <f>Procurement_Raw!H1744</f>
        <v>13</v>
      </c>
      <c r="I1744" s="7">
        <f>Procurement_Raw!I1744</f>
        <v>98.73</v>
      </c>
      <c r="J1744" s="7">
        <f>Procurement_Raw!J1744</f>
        <v>1283.51</v>
      </c>
      <c r="K1744" s="6">
        <f>Procurement_Raw!K1744</f>
        <v>45</v>
      </c>
      <c r="L1744" t="str">
        <f>Procurement_Raw!L1744</f>
        <v>Procurement Portal</v>
      </c>
      <c r="M1744" s="8">
        <f>Procurement_Raw!M1744</f>
        <v>256.702</v>
      </c>
      <c r="N1744" s="7">
        <f>Procurement_Raw!N1744</f>
        <v>1283.51</v>
      </c>
      <c r="O1744" s="7">
        <f t="shared" si="54"/>
        <v>1283.51</v>
      </c>
      <c r="P1744" t="str">
        <f>IFERROR(INDEX(Supplier_Lookup!$B$2:$B$200,MATCH(E1744,Supplier_Lookup!$A$2:$A$200,0)),"Unmapped")</f>
        <v>Vehicle &amp; Fuel</v>
      </c>
      <c r="Q1744" s="10">
        <f>IFERROR(INDEX(Category_Targets!$B$2:$B$9,MATCH(F1744,Category_Targets!$A$2:$A$9,0)),0)</f>
        <v>0.05</v>
      </c>
      <c r="R1744" s="7">
        <f t="shared" si="55"/>
        <v>64.1755</v>
      </c>
    </row>
    <row r="1745" spans="1:18" x14ac:dyDescent="0.25">
      <c r="A1745" s="5">
        <f>Procurement_Raw!A1745</f>
        <v>45734</v>
      </c>
      <c r="B1745" t="str">
        <f>Procurement_Raw!B1745</f>
        <v>S011</v>
      </c>
      <c r="C1745" t="str">
        <f>Procurement_Raw!C1745</f>
        <v>London Care &amp; Education Centre</v>
      </c>
      <c r="D1745" t="str">
        <f>Procurement_Raw!D1745</f>
        <v>South</v>
      </c>
      <c r="E1745" t="str">
        <f>Procurement_Raw!E1745</f>
        <v>KitchenPro</v>
      </c>
      <c r="F1745" t="str">
        <f>Procurement_Raw!F1745</f>
        <v>Food &amp; Catering</v>
      </c>
      <c r="G1745" t="str">
        <f>Procurement_Raw!G1745</f>
        <v>INV-2025-01744</v>
      </c>
      <c r="H1745" s="6">
        <f>Procurement_Raw!H1745</f>
        <v>4</v>
      </c>
      <c r="I1745" s="7">
        <f>Procurement_Raw!I1745</f>
        <v>123.15</v>
      </c>
      <c r="J1745" s="7">
        <f>Procurement_Raw!J1745</f>
        <v>492.61</v>
      </c>
      <c r="K1745" s="6">
        <f>Procurement_Raw!K1745</f>
        <v>60</v>
      </c>
      <c r="L1745" t="str">
        <f>Procurement_Raw!L1745</f>
        <v>Procurement Portal</v>
      </c>
      <c r="M1745" s="8">
        <f>Procurement_Raw!M1745</f>
        <v>98.522000000000006</v>
      </c>
      <c r="N1745" s="7">
        <f>Procurement_Raw!N1745</f>
        <v>492.61</v>
      </c>
      <c r="O1745" s="7">
        <f t="shared" si="54"/>
        <v>492.61</v>
      </c>
      <c r="P1745" t="str">
        <f>IFERROR(INDEX(Supplier_Lookup!$B$2:$B$200,MATCH(E1745,Supplier_Lookup!$A$2:$A$200,0)),"Unmapped")</f>
        <v>Food &amp; Catering</v>
      </c>
      <c r="Q1745" s="10">
        <f>IFERROR(INDEX(Category_Targets!$B$2:$B$9,MATCH(F1745,Category_Targets!$A$2:$A$9,0)),0)</f>
        <v>0.04</v>
      </c>
      <c r="R1745" s="7">
        <f t="shared" si="55"/>
        <v>19.7044</v>
      </c>
    </row>
    <row r="1746" spans="1:18" x14ac:dyDescent="0.25">
      <c r="A1746" s="5">
        <f>Procurement_Raw!A1746</f>
        <v>45740</v>
      </c>
      <c r="B1746" t="str">
        <f>Procurement_Raw!B1746</f>
        <v>S008</v>
      </c>
      <c r="C1746" t="str">
        <f>Procurement_Raw!C1746</f>
        <v>Leicester Care &amp; Education Centre</v>
      </c>
      <c r="D1746" t="str">
        <f>Procurement_Raw!D1746</f>
        <v>Midlands</v>
      </c>
      <c r="E1746" t="str">
        <f>Procurement_Raw!E1746</f>
        <v>CareMed</v>
      </c>
      <c r="F1746" t="str">
        <f>Procurement_Raw!F1746</f>
        <v>Medical Supplies</v>
      </c>
      <c r="G1746" t="str">
        <f>Procurement_Raw!G1746</f>
        <v>INV-2025-01745</v>
      </c>
      <c r="H1746" s="6">
        <f>Procurement_Raw!H1746</f>
        <v>20</v>
      </c>
      <c r="I1746" s="7">
        <f>Procurement_Raw!I1746</f>
        <v>72.06</v>
      </c>
      <c r="J1746" s="7">
        <f>Procurement_Raw!J1746</f>
        <v>1441.13</v>
      </c>
      <c r="K1746" s="6">
        <f>Procurement_Raw!K1746</f>
        <v>60</v>
      </c>
      <c r="L1746" t="str">
        <f>Procurement_Raw!L1746</f>
        <v>Procurement Portal</v>
      </c>
      <c r="M1746" s="8">
        <f>Procurement_Raw!M1746</f>
        <v>288.226</v>
      </c>
      <c r="N1746" s="7">
        <f>Procurement_Raw!N1746</f>
        <v>1441.13</v>
      </c>
      <c r="O1746" s="7">
        <f t="shared" si="54"/>
        <v>1441.13</v>
      </c>
      <c r="P1746" t="str">
        <f>IFERROR(INDEX(Supplier_Lookup!$B$2:$B$200,MATCH(E1746,Supplier_Lookup!$A$2:$A$200,0)),"Unmapped")</f>
        <v>Medical Supplies</v>
      </c>
      <c r="Q1746" s="10">
        <f>IFERROR(INDEX(Category_Targets!$B$2:$B$9,MATCH(F1746,Category_Targets!$A$2:$A$9,0)),0)</f>
        <v>0.06</v>
      </c>
      <c r="R1746" s="7">
        <f t="shared" si="55"/>
        <v>86.467799999999997</v>
      </c>
    </row>
    <row r="1747" spans="1:18" x14ac:dyDescent="0.25">
      <c r="A1747" s="5">
        <f>Procurement_Raw!A1747</f>
        <v>45776</v>
      </c>
      <c r="B1747" t="str">
        <f>Procurement_Raw!B1747</f>
        <v>S011</v>
      </c>
      <c r="C1747" t="str">
        <f>Procurement_Raw!C1747</f>
        <v>London Care &amp; Education Centre</v>
      </c>
      <c r="D1747" t="str">
        <f>Procurement_Raw!D1747</f>
        <v>South</v>
      </c>
      <c r="E1747" t="str">
        <f>Procurement_Raw!E1747</f>
        <v>KitchenPro</v>
      </c>
      <c r="F1747" t="str">
        <f>Procurement_Raw!F1747</f>
        <v>Food &amp; Catering</v>
      </c>
      <c r="G1747" t="str">
        <f>Procurement_Raw!G1747</f>
        <v>INV-2025-01746</v>
      </c>
      <c r="H1747" s="6">
        <f>Procurement_Raw!H1747</f>
        <v>28</v>
      </c>
      <c r="I1747" s="7">
        <f>Procurement_Raw!I1747</f>
        <v>74.11</v>
      </c>
      <c r="J1747" s="7">
        <f>Procurement_Raw!J1747</f>
        <v>2074.9499999999998</v>
      </c>
      <c r="K1747" s="6">
        <f>Procurement_Raw!K1747</f>
        <v>60</v>
      </c>
      <c r="L1747" t="str">
        <f>Procurement_Raw!L1747</f>
        <v>Legacy Spend File</v>
      </c>
      <c r="M1747" s="8">
        <f>Procurement_Raw!M1747</f>
        <v>414.99</v>
      </c>
      <c r="N1747" s="7">
        <f>Procurement_Raw!N1747</f>
        <v>2074.9499999999998</v>
      </c>
      <c r="O1747" s="7">
        <f t="shared" si="54"/>
        <v>2074.9499999999998</v>
      </c>
      <c r="P1747" t="str">
        <f>IFERROR(INDEX(Supplier_Lookup!$B$2:$B$200,MATCH(E1747,Supplier_Lookup!$A$2:$A$200,0)),"Unmapped")</f>
        <v>Food &amp; Catering</v>
      </c>
      <c r="Q1747" s="10">
        <f>IFERROR(INDEX(Category_Targets!$B$2:$B$9,MATCH(F1747,Category_Targets!$A$2:$A$9,0)),0)</f>
        <v>0.04</v>
      </c>
      <c r="R1747" s="7">
        <f t="shared" si="55"/>
        <v>82.99799999999999</v>
      </c>
    </row>
    <row r="1748" spans="1:18" x14ac:dyDescent="0.25">
      <c r="A1748" s="5">
        <f>Procurement_Raw!A1748</f>
        <v>45922</v>
      </c>
      <c r="B1748" t="str">
        <f>Procurement_Raw!B1748</f>
        <v>S011</v>
      </c>
      <c r="C1748" t="str">
        <f>Procurement_Raw!C1748</f>
        <v>London Care &amp; Education Centre</v>
      </c>
      <c r="D1748" t="str">
        <f>Procurement_Raw!D1748</f>
        <v>South</v>
      </c>
      <c r="E1748" t="str">
        <f>Procurement_Raw!E1748</f>
        <v>BuildCare</v>
      </c>
      <c r="F1748" t="str">
        <f>Procurement_Raw!F1748</f>
        <v>Facilities</v>
      </c>
      <c r="G1748" t="str">
        <f>Procurement_Raw!G1748</f>
        <v>INV-2025-01747</v>
      </c>
      <c r="H1748" s="6">
        <f>Procurement_Raw!H1748</f>
        <v>78</v>
      </c>
      <c r="I1748" s="7">
        <f>Procurement_Raw!I1748</f>
        <v>307.76</v>
      </c>
      <c r="J1748" s="7">
        <f>Procurement_Raw!J1748</f>
        <v>24005.17</v>
      </c>
      <c r="K1748" s="6">
        <f>Procurement_Raw!K1748</f>
        <v>60</v>
      </c>
      <c r="L1748" t="str">
        <f>Procurement_Raw!L1748</f>
        <v>Legacy Spend File</v>
      </c>
      <c r="M1748" s="8">
        <f>Procurement_Raw!M1748</f>
        <v>4801.0339999999997</v>
      </c>
      <c r="N1748" s="7">
        <f>Procurement_Raw!N1748</f>
        <v>24005.17</v>
      </c>
      <c r="O1748" s="7">
        <f t="shared" si="54"/>
        <v>24005.17</v>
      </c>
      <c r="P1748" t="str">
        <f>IFERROR(INDEX(Supplier_Lookup!$B$2:$B$200,MATCH(E1748,Supplier_Lookup!$A$2:$A$200,0)),"Unmapped")</f>
        <v>Facilities</v>
      </c>
      <c r="Q1748" s="10">
        <f>IFERROR(INDEX(Category_Targets!$B$2:$B$9,MATCH(F1748,Category_Targets!$A$2:$A$9,0)),0)</f>
        <v>0.05</v>
      </c>
      <c r="R1748" s="7">
        <f t="shared" si="55"/>
        <v>1200.2584999999999</v>
      </c>
    </row>
    <row r="1749" spans="1:18" x14ac:dyDescent="0.25">
      <c r="A1749" s="5">
        <f>Procurement_Raw!A1749</f>
        <v>45831</v>
      </c>
      <c r="B1749" t="str">
        <f>Procurement_Raw!B1749</f>
        <v>S014</v>
      </c>
      <c r="C1749" t="str">
        <f>Procurement_Raw!C1749</f>
        <v>Southampton Care &amp; Education Centre</v>
      </c>
      <c r="D1749" t="str">
        <f>Procurement_Raw!D1749</f>
        <v>South</v>
      </c>
      <c r="E1749" t="str">
        <f>Procurement_Raw!E1749</f>
        <v>OfficePlus</v>
      </c>
      <c r="F1749" t="str">
        <f>Procurement_Raw!F1749</f>
        <v>Office &amp; Training</v>
      </c>
      <c r="G1749" t="str">
        <f>Procurement_Raw!G1749</f>
        <v>INV-2025-01748</v>
      </c>
      <c r="H1749" s="6">
        <f>Procurement_Raw!H1749</f>
        <v>38</v>
      </c>
      <c r="I1749" s="7">
        <f>Procurement_Raw!I1749</f>
        <v>98.8</v>
      </c>
      <c r="J1749" s="7">
        <f>Procurement_Raw!J1749</f>
        <v>3754.37</v>
      </c>
      <c r="K1749" s="6">
        <f>Procurement_Raw!K1749</f>
        <v>45</v>
      </c>
      <c r="L1749" t="str">
        <f>Procurement_Raw!L1749</f>
        <v>Legacy Spend File</v>
      </c>
      <c r="M1749" s="8">
        <f>Procurement_Raw!M1749</f>
        <v>750.87400000000002</v>
      </c>
      <c r="N1749" s="7">
        <f>Procurement_Raw!N1749</f>
        <v>3754.37</v>
      </c>
      <c r="O1749" s="7">
        <f t="shared" si="54"/>
        <v>3754.37</v>
      </c>
      <c r="P1749" t="str">
        <f>IFERROR(INDEX(Supplier_Lookup!$B$2:$B$200,MATCH(E1749,Supplier_Lookup!$A$2:$A$200,0)),"Unmapped")</f>
        <v>Office &amp; Training</v>
      </c>
      <c r="Q1749" s="10">
        <f>IFERROR(INDEX(Category_Targets!$B$2:$B$9,MATCH(F1749,Category_Targets!$A$2:$A$9,0)),0)</f>
        <v>0.04</v>
      </c>
      <c r="R1749" s="7">
        <f t="shared" si="55"/>
        <v>150.1748</v>
      </c>
    </row>
    <row r="1750" spans="1:18" x14ac:dyDescent="0.25">
      <c r="A1750" s="5">
        <f>Procurement_Raw!A1750</f>
        <v>46007</v>
      </c>
      <c r="B1750" t="str">
        <f>Procurement_Raw!B1750</f>
        <v>S002</v>
      </c>
      <c r="C1750" t="str">
        <f>Procurement_Raw!C1750</f>
        <v>Manchester Care &amp; Education Centre</v>
      </c>
      <c r="D1750" t="str">
        <f>Procurement_Raw!D1750</f>
        <v>North</v>
      </c>
      <c r="E1750" t="str">
        <f>Procurement_Raw!E1750</f>
        <v>ClinEquip</v>
      </c>
      <c r="F1750" t="str">
        <f>Procurement_Raw!F1750</f>
        <v>Medical Supplies</v>
      </c>
      <c r="G1750" t="str">
        <f>Procurement_Raw!G1750</f>
        <v>INV-2025-01749</v>
      </c>
      <c r="H1750" s="6">
        <f>Procurement_Raw!H1750</f>
        <v>50</v>
      </c>
      <c r="I1750" s="7">
        <f>Procurement_Raw!I1750</f>
        <v>133.19</v>
      </c>
      <c r="J1750" s="7">
        <f>Procurement_Raw!J1750</f>
        <v>6659.4</v>
      </c>
      <c r="K1750" s="6">
        <f>Procurement_Raw!K1750</f>
        <v>30</v>
      </c>
      <c r="L1750" t="str">
        <f>Procurement_Raw!L1750</f>
        <v>ERP</v>
      </c>
      <c r="M1750" s="8">
        <f>Procurement_Raw!M1750</f>
        <v>1331.88</v>
      </c>
      <c r="N1750" s="7">
        <f>Procurement_Raw!N1750</f>
        <v>6659.4</v>
      </c>
      <c r="O1750" s="7">
        <f t="shared" si="54"/>
        <v>6659.4</v>
      </c>
      <c r="P1750" t="str">
        <f>IFERROR(INDEX(Supplier_Lookup!$B$2:$B$200,MATCH(E1750,Supplier_Lookup!$A$2:$A$200,0)),"Unmapped")</f>
        <v>Medical Supplies</v>
      </c>
      <c r="Q1750" s="10">
        <f>IFERROR(INDEX(Category_Targets!$B$2:$B$9,MATCH(F1750,Category_Targets!$A$2:$A$9,0)),0)</f>
        <v>0.06</v>
      </c>
      <c r="R1750" s="7">
        <f t="shared" si="55"/>
        <v>399.56399999999996</v>
      </c>
    </row>
    <row r="1751" spans="1:18" x14ac:dyDescent="0.25">
      <c r="A1751" s="5">
        <f>Procurement_Raw!A1751</f>
        <v>45948</v>
      </c>
      <c r="B1751" t="str">
        <f>Procurement_Raw!B1751</f>
        <v>S014</v>
      </c>
      <c r="C1751" t="str">
        <f>Procurement_Raw!C1751</f>
        <v>Southampton Care &amp; Education Centre</v>
      </c>
      <c r="D1751" t="str">
        <f>Procurement_Raw!D1751</f>
        <v>South</v>
      </c>
      <c r="E1751" t="str">
        <f>Procurement_Raw!E1751</f>
        <v>FreshServe</v>
      </c>
      <c r="F1751" t="str">
        <f>Procurement_Raw!F1751</f>
        <v>Food &amp; Catering</v>
      </c>
      <c r="G1751" t="str">
        <f>Procurement_Raw!G1751</f>
        <v>INV-2025-01750</v>
      </c>
      <c r="H1751" s="6">
        <f>Procurement_Raw!H1751</f>
        <v>64</v>
      </c>
      <c r="I1751" s="7">
        <f>Procurement_Raw!I1751</f>
        <v>112.73</v>
      </c>
      <c r="J1751" s="7">
        <f>Procurement_Raw!J1751</f>
        <v>7214.48</v>
      </c>
      <c r="K1751" s="6">
        <f>Procurement_Raw!K1751</f>
        <v>30</v>
      </c>
      <c r="L1751" t="str">
        <f>Procurement_Raw!L1751</f>
        <v>ERP</v>
      </c>
      <c r="M1751" s="8">
        <f>Procurement_Raw!M1751</f>
        <v>1442.896</v>
      </c>
      <c r="N1751" s="7">
        <f>Procurement_Raw!N1751</f>
        <v>7214.48</v>
      </c>
      <c r="O1751" s="7">
        <f t="shared" si="54"/>
        <v>7214.48</v>
      </c>
      <c r="P1751" t="str">
        <f>IFERROR(INDEX(Supplier_Lookup!$B$2:$B$200,MATCH(E1751,Supplier_Lookup!$A$2:$A$200,0)),"Unmapped")</f>
        <v>Food &amp; Catering</v>
      </c>
      <c r="Q1751" s="10">
        <f>IFERROR(INDEX(Category_Targets!$B$2:$B$9,MATCH(F1751,Category_Targets!$A$2:$A$9,0)),0)</f>
        <v>0.04</v>
      </c>
      <c r="R1751" s="7">
        <f t="shared" si="55"/>
        <v>288.57920000000001</v>
      </c>
    </row>
    <row r="1752" spans="1:18" x14ac:dyDescent="0.25">
      <c r="A1752" s="5">
        <f>Procurement_Raw!A1752</f>
        <v>45702</v>
      </c>
      <c r="B1752" t="str">
        <f>Procurement_Raw!B1752</f>
        <v>S004</v>
      </c>
      <c r="C1752" t="str">
        <f>Procurement_Raw!C1752</f>
        <v>Newcastle Care &amp; Education Centre</v>
      </c>
      <c r="D1752" t="str">
        <f>Procurement_Raw!D1752</f>
        <v>North</v>
      </c>
      <c r="E1752" t="str">
        <f>Procurement_Raw!E1752</f>
        <v>NetServe</v>
      </c>
      <c r="F1752" t="str">
        <f>Procurement_Raw!F1752</f>
        <v>IT &amp; Telecoms</v>
      </c>
      <c r="G1752" t="str">
        <f>Procurement_Raw!G1752</f>
        <v>INV-2025-01751</v>
      </c>
      <c r="H1752" s="6">
        <f>Procurement_Raw!H1752</f>
        <v>64</v>
      </c>
      <c r="I1752" s="7">
        <f>Procurement_Raw!I1752</f>
        <v>49.74</v>
      </c>
      <c r="J1752" s="7">
        <f>Procurement_Raw!J1752</f>
        <v>3183.49</v>
      </c>
      <c r="K1752" s="6">
        <f>Procurement_Raw!K1752</f>
        <v>30</v>
      </c>
      <c r="L1752" t="str">
        <f>Procurement_Raw!L1752</f>
        <v>Procurement Portal</v>
      </c>
      <c r="M1752" s="8">
        <f>Procurement_Raw!M1752</f>
        <v>636.69799999999998</v>
      </c>
      <c r="N1752" s="7">
        <f>Procurement_Raw!N1752</f>
        <v>3183.49</v>
      </c>
      <c r="O1752" s="7">
        <f t="shared" si="54"/>
        <v>3183.49</v>
      </c>
      <c r="P1752" t="str">
        <f>IFERROR(INDEX(Supplier_Lookup!$B$2:$B$200,MATCH(E1752,Supplier_Lookup!$A$2:$A$200,0)),"Unmapped")</f>
        <v>IT &amp; Telecoms</v>
      </c>
      <c r="Q1752" s="10">
        <f>IFERROR(INDEX(Category_Targets!$B$2:$B$9,MATCH(F1752,Category_Targets!$A$2:$A$9,0)),0)</f>
        <v>0.08</v>
      </c>
      <c r="R1752" s="7">
        <f t="shared" si="55"/>
        <v>254.67919999999998</v>
      </c>
    </row>
    <row r="1753" spans="1:18" x14ac:dyDescent="0.25">
      <c r="A1753" s="5">
        <f>Procurement_Raw!A1753</f>
        <v>45740</v>
      </c>
      <c r="B1753" t="str">
        <f>Procurement_Raw!B1753</f>
        <v>S011</v>
      </c>
      <c r="C1753" t="str">
        <f>Procurement_Raw!C1753</f>
        <v>London Care &amp; Education Centre</v>
      </c>
      <c r="D1753" t="str">
        <f>Procurement_Raw!D1753</f>
        <v>South</v>
      </c>
      <c r="E1753" t="str">
        <f>Procurement_Raw!E1753</f>
        <v>SafeGuard FM</v>
      </c>
      <c r="F1753" t="str">
        <f>Procurement_Raw!F1753</f>
        <v>Facilities</v>
      </c>
      <c r="G1753" t="str">
        <f>Procurement_Raw!G1753</f>
        <v>INV-2025-01752</v>
      </c>
      <c r="H1753" s="6">
        <f>Procurement_Raw!H1753</f>
        <v>9</v>
      </c>
      <c r="I1753" s="7">
        <f>Procurement_Raw!I1753</f>
        <v>261.33</v>
      </c>
      <c r="J1753" s="7">
        <f>Procurement_Raw!J1753</f>
        <v>2351.98</v>
      </c>
      <c r="K1753" s="6">
        <f>Procurement_Raw!K1753</f>
        <v>45</v>
      </c>
      <c r="L1753" t="str">
        <f>Procurement_Raw!L1753</f>
        <v>Legacy Spend File</v>
      </c>
      <c r="M1753" s="8">
        <f>Procurement_Raw!M1753</f>
        <v>470.39600000000002</v>
      </c>
      <c r="N1753" s="7">
        <f>Procurement_Raw!N1753</f>
        <v>2351.98</v>
      </c>
      <c r="O1753" s="7">
        <f t="shared" si="54"/>
        <v>2351.98</v>
      </c>
      <c r="P1753" t="str">
        <f>IFERROR(INDEX(Supplier_Lookup!$B$2:$B$200,MATCH(E1753,Supplier_Lookup!$A$2:$A$200,0)),"Unmapped")</f>
        <v>Facilities</v>
      </c>
      <c r="Q1753" s="10">
        <f>IFERROR(INDEX(Category_Targets!$B$2:$B$9,MATCH(F1753,Category_Targets!$A$2:$A$9,0)),0)</f>
        <v>0.05</v>
      </c>
      <c r="R1753" s="7">
        <f t="shared" si="55"/>
        <v>117.599</v>
      </c>
    </row>
    <row r="1754" spans="1:18" x14ac:dyDescent="0.25">
      <c r="A1754" s="5">
        <f>Procurement_Raw!A1754</f>
        <v>45694</v>
      </c>
      <c r="B1754" t="str">
        <f>Procurement_Raw!B1754</f>
        <v>S005</v>
      </c>
      <c r="C1754" t="str">
        <f>Procurement_Raw!C1754</f>
        <v>Sheffield Care &amp; Education Centre</v>
      </c>
      <c r="D1754" t="str">
        <f>Procurement_Raw!D1754</f>
        <v>North</v>
      </c>
      <c r="E1754" t="str">
        <f>Procurement_Raw!E1754</f>
        <v>FleetFuel</v>
      </c>
      <c r="F1754" t="str">
        <f>Procurement_Raw!F1754</f>
        <v>Vehicle &amp; Fuel</v>
      </c>
      <c r="G1754" t="str">
        <f>Procurement_Raw!G1754</f>
        <v>INV-2025-01753</v>
      </c>
      <c r="H1754" s="6">
        <f>Procurement_Raw!H1754</f>
        <v>23</v>
      </c>
      <c r="I1754" s="7">
        <f>Procurement_Raw!I1754</f>
        <v>66.3</v>
      </c>
      <c r="J1754" s="7">
        <f>Procurement_Raw!J1754</f>
        <v>1524.82</v>
      </c>
      <c r="K1754" s="6">
        <f>Procurement_Raw!K1754</f>
        <v>60</v>
      </c>
      <c r="L1754" t="str">
        <f>Procurement_Raw!L1754</f>
        <v>Procurement Portal</v>
      </c>
      <c r="M1754" s="8">
        <f>Procurement_Raw!M1754</f>
        <v>304.964</v>
      </c>
      <c r="N1754" s="7">
        <f>Procurement_Raw!N1754</f>
        <v>1524.82</v>
      </c>
      <c r="O1754" s="7">
        <f t="shared" si="54"/>
        <v>1524.82</v>
      </c>
      <c r="P1754" t="str">
        <f>IFERROR(INDEX(Supplier_Lookup!$B$2:$B$200,MATCH(E1754,Supplier_Lookup!$A$2:$A$200,0)),"Unmapped")</f>
        <v>Vehicle &amp; Fuel</v>
      </c>
      <c r="Q1754" s="10">
        <f>IFERROR(INDEX(Category_Targets!$B$2:$B$9,MATCH(F1754,Category_Targets!$A$2:$A$9,0)),0)</f>
        <v>0.05</v>
      </c>
      <c r="R1754" s="7">
        <f t="shared" si="55"/>
        <v>76.241</v>
      </c>
    </row>
    <row r="1755" spans="1:18" x14ac:dyDescent="0.25">
      <c r="A1755" s="5">
        <f>Procurement_Raw!A1755</f>
        <v>45884</v>
      </c>
      <c r="B1755" t="str">
        <f>Procurement_Raw!B1755</f>
        <v>S007</v>
      </c>
      <c r="C1755" t="str">
        <f>Procurement_Raw!C1755</f>
        <v>Nottingham Care &amp; Education Centre</v>
      </c>
      <c r="D1755" t="str">
        <f>Procurement_Raw!D1755</f>
        <v>Midlands</v>
      </c>
      <c r="E1755" t="str">
        <f>Procurement_Raw!E1755</f>
        <v>LearnWell</v>
      </c>
      <c r="F1755" t="str">
        <f>Procurement_Raw!F1755</f>
        <v>Office &amp; Training</v>
      </c>
      <c r="G1755" t="str">
        <f>Procurement_Raw!G1755</f>
        <v>INV-2025-01754</v>
      </c>
      <c r="H1755" s="6">
        <f>Procurement_Raw!H1755</f>
        <v>18</v>
      </c>
      <c r="I1755" s="7">
        <f>Procurement_Raw!I1755</f>
        <v>27.4</v>
      </c>
      <c r="J1755" s="7">
        <f>Procurement_Raw!J1755</f>
        <v>493.25</v>
      </c>
      <c r="K1755" s="6">
        <f>Procurement_Raw!K1755</f>
        <v>30</v>
      </c>
      <c r="L1755" t="str">
        <f>Procurement_Raw!L1755</f>
        <v>Legacy Spend File</v>
      </c>
      <c r="M1755" s="8">
        <f>Procurement_Raw!M1755</f>
        <v>98.65</v>
      </c>
      <c r="N1755" s="7">
        <f>Procurement_Raw!N1755</f>
        <v>493.25</v>
      </c>
      <c r="O1755" s="7">
        <f t="shared" si="54"/>
        <v>493.25</v>
      </c>
      <c r="P1755" t="str">
        <f>IFERROR(INDEX(Supplier_Lookup!$B$2:$B$200,MATCH(E1755,Supplier_Lookup!$A$2:$A$200,0)),"Unmapped")</f>
        <v>Office &amp; Training</v>
      </c>
      <c r="Q1755" s="10">
        <f>IFERROR(INDEX(Category_Targets!$B$2:$B$9,MATCH(F1755,Category_Targets!$A$2:$A$9,0)),0)</f>
        <v>0.04</v>
      </c>
      <c r="R1755" s="7">
        <f t="shared" si="55"/>
        <v>19.73</v>
      </c>
    </row>
    <row r="1756" spans="1:18" x14ac:dyDescent="0.25">
      <c r="A1756" s="5">
        <f>Procurement_Raw!A1756</f>
        <v>45804</v>
      </c>
      <c r="B1756" t="str">
        <f>Procurement_Raw!B1756</f>
        <v>S013</v>
      </c>
      <c r="C1756" t="str">
        <f>Procurement_Raw!C1756</f>
        <v>Reading Care &amp; Education Centre</v>
      </c>
      <c r="D1756" t="str">
        <f>Procurement_Raw!D1756</f>
        <v>South</v>
      </c>
      <c r="E1756" t="str">
        <f>Procurement_Raw!E1756</f>
        <v>CareMed</v>
      </c>
      <c r="F1756" t="str">
        <f>Procurement_Raw!F1756</f>
        <v>Medical Supplies</v>
      </c>
      <c r="G1756" t="str">
        <f>Procurement_Raw!G1756</f>
        <v>INV-2025-01755</v>
      </c>
      <c r="H1756" s="6">
        <f>Procurement_Raw!H1756</f>
        <v>52</v>
      </c>
      <c r="I1756" s="7">
        <f>Procurement_Raw!I1756</f>
        <v>158.96</v>
      </c>
      <c r="J1756" s="7">
        <f>Procurement_Raw!J1756</f>
        <v>8265.92</v>
      </c>
      <c r="K1756" s="6">
        <f>Procurement_Raw!K1756</f>
        <v>45</v>
      </c>
      <c r="L1756" t="str">
        <f>Procurement_Raw!L1756</f>
        <v>Legacy Spend File</v>
      </c>
      <c r="M1756" s="8">
        <f>Procurement_Raw!M1756</f>
        <v>1653.184</v>
      </c>
      <c r="N1756" s="7">
        <f>Procurement_Raw!N1756</f>
        <v>8265.92</v>
      </c>
      <c r="O1756" s="7">
        <f t="shared" si="54"/>
        <v>8265.92</v>
      </c>
      <c r="P1756" t="str">
        <f>IFERROR(INDEX(Supplier_Lookup!$B$2:$B$200,MATCH(E1756,Supplier_Lookup!$A$2:$A$200,0)),"Unmapped")</f>
        <v>Medical Supplies</v>
      </c>
      <c r="Q1756" s="10">
        <f>IFERROR(INDEX(Category_Targets!$B$2:$B$9,MATCH(F1756,Category_Targets!$A$2:$A$9,0)),0)</f>
        <v>0.06</v>
      </c>
      <c r="R1756" s="7">
        <f t="shared" si="55"/>
        <v>495.95519999999999</v>
      </c>
    </row>
    <row r="1757" spans="1:18" x14ac:dyDescent="0.25">
      <c r="A1757" s="5">
        <f>Procurement_Raw!A1757</f>
        <v>45845</v>
      </c>
      <c r="B1757" t="str">
        <f>Procurement_Raw!B1757</f>
        <v>S015</v>
      </c>
      <c r="C1757" t="str">
        <f>Procurement_Raw!C1757</f>
        <v>Brighton Care &amp; Education Centre</v>
      </c>
      <c r="D1757" t="str">
        <f>Procurement_Raw!D1757</f>
        <v>South</v>
      </c>
      <c r="E1757" t="str">
        <f>Procurement_Raw!E1757</f>
        <v>SafeGuard FM</v>
      </c>
      <c r="F1757" t="str">
        <f>Procurement_Raw!F1757</f>
        <v>Facilities</v>
      </c>
      <c r="G1757" t="str">
        <f>Procurement_Raw!G1757</f>
        <v>INV-2025-01756</v>
      </c>
      <c r="H1757" s="6">
        <f>Procurement_Raw!H1757</f>
        <v>66</v>
      </c>
      <c r="I1757" s="7">
        <f>Procurement_Raw!I1757</f>
        <v>383.17</v>
      </c>
      <c r="J1757" s="7">
        <f>Procurement_Raw!J1757</f>
        <v>25288.97</v>
      </c>
      <c r="K1757" s="6">
        <f>Procurement_Raw!K1757</f>
        <v>60</v>
      </c>
      <c r="L1757" t="str">
        <f>Procurement_Raw!L1757</f>
        <v>Procurement Portal</v>
      </c>
      <c r="M1757" s="8">
        <f>Procurement_Raw!M1757</f>
        <v>5057.7939999999999</v>
      </c>
      <c r="N1757" s="7">
        <f>Procurement_Raw!N1757</f>
        <v>25288.97</v>
      </c>
      <c r="O1757" s="7">
        <f t="shared" si="54"/>
        <v>25288.97</v>
      </c>
      <c r="P1757" t="str">
        <f>IFERROR(INDEX(Supplier_Lookup!$B$2:$B$200,MATCH(E1757,Supplier_Lookup!$A$2:$A$200,0)),"Unmapped")</f>
        <v>Facilities</v>
      </c>
      <c r="Q1757" s="10">
        <f>IFERROR(INDEX(Category_Targets!$B$2:$B$9,MATCH(F1757,Category_Targets!$A$2:$A$9,0)),0)</f>
        <v>0.05</v>
      </c>
      <c r="R1757" s="7">
        <f t="shared" si="55"/>
        <v>1264.4485000000002</v>
      </c>
    </row>
    <row r="1758" spans="1:18" x14ac:dyDescent="0.25">
      <c r="A1758" s="5">
        <f>Procurement_Raw!A1758</f>
        <v>45869</v>
      </c>
      <c r="B1758" t="str">
        <f>Procurement_Raw!B1758</f>
        <v>S006</v>
      </c>
      <c r="C1758" t="str">
        <f>Procurement_Raw!C1758</f>
        <v>Birmingham Care &amp; Education Centre</v>
      </c>
      <c r="D1758" t="str">
        <f>Procurement_Raw!D1758</f>
        <v>Midlands</v>
      </c>
      <c r="E1758" t="str">
        <f>Procurement_Raw!E1758</f>
        <v>KitchenPro</v>
      </c>
      <c r="F1758" t="str">
        <f>Procurement_Raw!F1758</f>
        <v>Food &amp; Catering</v>
      </c>
      <c r="G1758" t="str">
        <f>Procurement_Raw!G1758</f>
        <v>INV-2025-01757</v>
      </c>
      <c r="H1758" s="6">
        <f>Procurement_Raw!H1758</f>
        <v>65</v>
      </c>
      <c r="I1758" s="7">
        <f>Procurement_Raw!I1758</f>
        <v>60.27</v>
      </c>
      <c r="J1758" s="7">
        <f>Procurement_Raw!J1758</f>
        <v>3917.38</v>
      </c>
      <c r="K1758" s="6">
        <f>Procurement_Raw!K1758</f>
        <v>45</v>
      </c>
      <c r="L1758" t="str">
        <f>Procurement_Raw!L1758</f>
        <v>Procurement Portal</v>
      </c>
      <c r="M1758" s="8">
        <f>Procurement_Raw!M1758</f>
        <v>783.476</v>
      </c>
      <c r="N1758" s="7">
        <f>Procurement_Raw!N1758</f>
        <v>3917.38</v>
      </c>
      <c r="O1758" s="7">
        <f t="shared" si="54"/>
        <v>3917.38</v>
      </c>
      <c r="P1758" t="str">
        <f>IFERROR(INDEX(Supplier_Lookup!$B$2:$B$200,MATCH(E1758,Supplier_Lookup!$A$2:$A$200,0)),"Unmapped")</f>
        <v>Food &amp; Catering</v>
      </c>
      <c r="Q1758" s="10">
        <f>IFERROR(INDEX(Category_Targets!$B$2:$B$9,MATCH(F1758,Category_Targets!$A$2:$A$9,0)),0)</f>
        <v>0.04</v>
      </c>
      <c r="R1758" s="7">
        <f t="shared" si="55"/>
        <v>156.6952</v>
      </c>
    </row>
    <row r="1759" spans="1:18" x14ac:dyDescent="0.25">
      <c r="A1759" s="5">
        <f>Procurement_Raw!A1759</f>
        <v>45987</v>
      </c>
      <c r="B1759" t="str">
        <f>Procurement_Raw!B1759</f>
        <v>S019</v>
      </c>
      <c r="C1759" t="str">
        <f>Procurement_Raw!C1759</f>
        <v>Wrexham Care &amp; Education Centre</v>
      </c>
      <c r="D1759" t="str">
        <f>Procurement_Raw!D1759</f>
        <v>Wales</v>
      </c>
      <c r="E1759" t="str">
        <f>Procurement_Raw!E1759</f>
        <v>ClinEquip</v>
      </c>
      <c r="F1759" t="str">
        <f>Procurement_Raw!F1759</f>
        <v>Medical Supplies</v>
      </c>
      <c r="G1759" t="str">
        <f>Procurement_Raw!G1759</f>
        <v>INV-2025-01758</v>
      </c>
      <c r="H1759" s="6">
        <f>Procurement_Raw!H1759</f>
        <v>8</v>
      </c>
      <c r="I1759" s="7">
        <f>Procurement_Raw!I1759</f>
        <v>202.67</v>
      </c>
      <c r="J1759" s="7">
        <f>Procurement_Raw!J1759</f>
        <v>1621.35</v>
      </c>
      <c r="K1759" s="6">
        <f>Procurement_Raw!K1759</f>
        <v>60</v>
      </c>
      <c r="L1759" t="str">
        <f>Procurement_Raw!L1759</f>
        <v>ERP</v>
      </c>
      <c r="M1759" s="8">
        <f>Procurement_Raw!M1759</f>
        <v>324.27</v>
      </c>
      <c r="N1759" s="7">
        <f>Procurement_Raw!N1759</f>
        <v>1621.35</v>
      </c>
      <c r="O1759" s="7">
        <f t="shared" si="54"/>
        <v>1621.35</v>
      </c>
      <c r="P1759" t="str">
        <f>IFERROR(INDEX(Supplier_Lookup!$B$2:$B$200,MATCH(E1759,Supplier_Lookup!$A$2:$A$200,0)),"Unmapped")</f>
        <v>Medical Supplies</v>
      </c>
      <c r="Q1759" s="10">
        <f>IFERROR(INDEX(Category_Targets!$B$2:$B$9,MATCH(F1759,Category_Targets!$A$2:$A$9,0)),0)</f>
        <v>0.06</v>
      </c>
      <c r="R1759" s="7">
        <f t="shared" si="55"/>
        <v>97.280999999999992</v>
      </c>
    </row>
    <row r="1760" spans="1:18" x14ac:dyDescent="0.25">
      <c r="A1760" s="5">
        <f>Procurement_Raw!A1760</f>
        <v>45711</v>
      </c>
      <c r="B1760" t="str">
        <f>Procurement_Raw!B1760</f>
        <v>S013</v>
      </c>
      <c r="C1760" t="str">
        <f>Procurement_Raw!C1760</f>
        <v>Reading Care &amp; Education Centre</v>
      </c>
      <c r="D1760" t="str">
        <f>Procurement_Raw!D1760</f>
        <v>South</v>
      </c>
      <c r="E1760" t="str">
        <f>Procurement_Raw!E1760</f>
        <v>MediSure</v>
      </c>
      <c r="F1760" t="str">
        <f>Procurement_Raw!F1760</f>
        <v>Medical Supplies</v>
      </c>
      <c r="G1760" t="str">
        <f>Procurement_Raw!G1760</f>
        <v>INV-2025-01759</v>
      </c>
      <c r="H1760" s="6">
        <f>Procurement_Raw!H1760</f>
        <v>38</v>
      </c>
      <c r="I1760" s="7">
        <f>Procurement_Raw!I1760</f>
        <v>291.27</v>
      </c>
      <c r="J1760" s="7">
        <f>Procurement_Raw!J1760</f>
        <v>11068.19</v>
      </c>
      <c r="K1760" s="6">
        <f>Procurement_Raw!K1760</f>
        <v>45</v>
      </c>
      <c r="L1760" t="str">
        <f>Procurement_Raw!L1760</f>
        <v>ERP</v>
      </c>
      <c r="M1760" s="8">
        <f>Procurement_Raw!M1760</f>
        <v>2213.6379999999999</v>
      </c>
      <c r="N1760" s="7">
        <f>Procurement_Raw!N1760</f>
        <v>11068.19</v>
      </c>
      <c r="O1760" s="7">
        <f t="shared" si="54"/>
        <v>11068.19</v>
      </c>
      <c r="P1760" t="str">
        <f>IFERROR(INDEX(Supplier_Lookup!$B$2:$B$200,MATCH(E1760,Supplier_Lookup!$A$2:$A$200,0)),"Unmapped")</f>
        <v>Medical Supplies</v>
      </c>
      <c r="Q1760" s="10">
        <f>IFERROR(INDEX(Category_Targets!$B$2:$B$9,MATCH(F1760,Category_Targets!$A$2:$A$9,0)),0)</f>
        <v>0.06</v>
      </c>
      <c r="R1760" s="7">
        <f t="shared" si="55"/>
        <v>664.09140000000002</v>
      </c>
    </row>
    <row r="1761" spans="1:18" x14ac:dyDescent="0.25">
      <c r="A1761" s="5">
        <f>Procurement_Raw!A1761</f>
        <v>45772</v>
      </c>
      <c r="B1761" t="str">
        <f>Procurement_Raw!B1761</f>
        <v>S009</v>
      </c>
      <c r="C1761" t="str">
        <f>Procurement_Raw!C1761</f>
        <v>Derby Care &amp; Education Centre</v>
      </c>
      <c r="D1761" t="str">
        <f>Procurement_Raw!D1761</f>
        <v>Midlands</v>
      </c>
      <c r="E1761" t="str">
        <f>Procurement_Raw!E1761</f>
        <v>HealthStaffing</v>
      </c>
      <c r="F1761" t="str">
        <f>Procurement_Raw!F1761</f>
        <v>Agency Labour</v>
      </c>
      <c r="G1761" t="str">
        <f>Procurement_Raw!G1761</f>
        <v>INV-2025-01760</v>
      </c>
      <c r="H1761" s="6">
        <f>Procurement_Raw!H1761</f>
        <v>50</v>
      </c>
      <c r="I1761" s="7">
        <f>Procurement_Raw!I1761</f>
        <v>618.30999999999995</v>
      </c>
      <c r="J1761" s="7">
        <f>Procurement_Raw!J1761</f>
        <v>30915.360000000001</v>
      </c>
      <c r="K1761" s="6">
        <f>Procurement_Raw!K1761</f>
        <v>45</v>
      </c>
      <c r="L1761" t="str">
        <f>Procurement_Raw!L1761</f>
        <v>Legacy Spend File</v>
      </c>
      <c r="M1761" s="8">
        <f>Procurement_Raw!M1761</f>
        <v>6183.0720000000001</v>
      </c>
      <c r="N1761" s="7">
        <f>Procurement_Raw!N1761</f>
        <v>30915.360000000001</v>
      </c>
      <c r="O1761" s="7">
        <f t="shared" si="54"/>
        <v>30915.360000000001</v>
      </c>
      <c r="P1761" t="str">
        <f>IFERROR(INDEX(Supplier_Lookup!$B$2:$B$200,MATCH(E1761,Supplier_Lookup!$A$2:$A$200,0)),"Unmapped")</f>
        <v>Agency Labour</v>
      </c>
      <c r="Q1761" s="10">
        <f>IFERROR(INDEX(Category_Targets!$B$2:$B$9,MATCH(F1761,Category_Targets!$A$2:$A$9,0)),0)</f>
        <v>7.0000000000000007E-2</v>
      </c>
      <c r="R1761" s="7">
        <f t="shared" si="55"/>
        <v>2164.0752000000002</v>
      </c>
    </row>
    <row r="1762" spans="1:18" x14ac:dyDescent="0.25">
      <c r="A1762" s="5">
        <f>Procurement_Raw!A1762</f>
        <v>45897</v>
      </c>
      <c r="B1762" t="str">
        <f>Procurement_Raw!B1762</f>
        <v>S012</v>
      </c>
      <c r="C1762" t="str">
        <f>Procurement_Raw!C1762</f>
        <v>Bristol Care &amp; Education Centre</v>
      </c>
      <c r="D1762" t="str">
        <f>Procurement_Raw!D1762</f>
        <v>South</v>
      </c>
      <c r="E1762" t="str">
        <f>Procurement_Raw!E1762</f>
        <v>RoadReady</v>
      </c>
      <c r="F1762" t="str">
        <f>Procurement_Raw!F1762</f>
        <v>Vehicle &amp; Fuel</v>
      </c>
      <c r="G1762" t="str">
        <f>Procurement_Raw!G1762</f>
        <v>INV-2025-01761</v>
      </c>
      <c r="H1762" s="6">
        <f>Procurement_Raw!H1762</f>
        <v>69</v>
      </c>
      <c r="I1762" s="7">
        <f>Procurement_Raw!I1762</f>
        <v>234.13</v>
      </c>
      <c r="J1762" s="7">
        <f>Procurement_Raw!J1762</f>
        <v>16154.66</v>
      </c>
      <c r="K1762" s="6">
        <f>Procurement_Raw!K1762</f>
        <v>45</v>
      </c>
      <c r="L1762" t="str">
        <f>Procurement_Raw!L1762</f>
        <v>ERP</v>
      </c>
      <c r="M1762" s="8">
        <f>Procurement_Raw!M1762</f>
        <v>3230.9319999999998</v>
      </c>
      <c r="N1762" s="7">
        <f>Procurement_Raw!N1762</f>
        <v>16154.66</v>
      </c>
      <c r="O1762" s="7">
        <f t="shared" si="54"/>
        <v>16154.66</v>
      </c>
      <c r="P1762" t="str">
        <f>IFERROR(INDEX(Supplier_Lookup!$B$2:$B$200,MATCH(E1762,Supplier_Lookup!$A$2:$A$200,0)),"Unmapped")</f>
        <v>Vehicle &amp; Fuel</v>
      </c>
      <c r="Q1762" s="10">
        <f>IFERROR(INDEX(Category_Targets!$B$2:$B$9,MATCH(F1762,Category_Targets!$A$2:$A$9,0)),0)</f>
        <v>0.05</v>
      </c>
      <c r="R1762" s="7">
        <f t="shared" si="55"/>
        <v>807.73300000000006</v>
      </c>
    </row>
    <row r="1763" spans="1:18" x14ac:dyDescent="0.25">
      <c r="A1763" s="5">
        <f>Procurement_Raw!A1763</f>
        <v>45713</v>
      </c>
      <c r="B1763" t="str">
        <f>Procurement_Raw!B1763</f>
        <v>S006</v>
      </c>
      <c r="C1763" t="str">
        <f>Procurement_Raw!C1763</f>
        <v>Birmingham Care &amp; Education Centre</v>
      </c>
      <c r="D1763" t="str">
        <f>Procurement_Raw!D1763</f>
        <v>Midlands</v>
      </c>
      <c r="E1763" t="str">
        <f>Procurement_Raw!E1763</f>
        <v>BuildCare</v>
      </c>
      <c r="F1763" t="str">
        <f>Procurement_Raw!F1763</f>
        <v>Facilities</v>
      </c>
      <c r="G1763" t="str">
        <f>Procurement_Raw!G1763</f>
        <v>INV-2025-01762</v>
      </c>
      <c r="H1763" s="6">
        <f>Procurement_Raw!H1763</f>
        <v>51</v>
      </c>
      <c r="I1763" s="7">
        <f>Procurement_Raw!I1763</f>
        <v>270.73</v>
      </c>
      <c r="J1763" s="7">
        <f>Procurement_Raw!J1763</f>
        <v>13807.3</v>
      </c>
      <c r="K1763" s="6">
        <f>Procurement_Raw!K1763</f>
        <v>45</v>
      </c>
      <c r="L1763" t="str">
        <f>Procurement_Raw!L1763</f>
        <v>ERP</v>
      </c>
      <c r="M1763" s="8">
        <f>Procurement_Raw!M1763</f>
        <v>2761.46</v>
      </c>
      <c r="N1763" s="7">
        <f>Procurement_Raw!N1763</f>
        <v>13807.3</v>
      </c>
      <c r="O1763" s="7">
        <f t="shared" si="54"/>
        <v>13807.3</v>
      </c>
      <c r="P1763" t="str">
        <f>IFERROR(INDEX(Supplier_Lookup!$B$2:$B$200,MATCH(E1763,Supplier_Lookup!$A$2:$A$200,0)),"Unmapped")</f>
        <v>Facilities</v>
      </c>
      <c r="Q1763" s="10">
        <f>IFERROR(INDEX(Category_Targets!$B$2:$B$9,MATCH(F1763,Category_Targets!$A$2:$A$9,0)),0)</f>
        <v>0.05</v>
      </c>
      <c r="R1763" s="7">
        <f t="shared" si="55"/>
        <v>690.36500000000001</v>
      </c>
    </row>
    <row r="1764" spans="1:18" x14ac:dyDescent="0.25">
      <c r="A1764" s="5">
        <f>Procurement_Raw!A1764</f>
        <v>45820</v>
      </c>
      <c r="B1764" t="str">
        <f>Procurement_Raw!B1764</f>
        <v>S002</v>
      </c>
      <c r="C1764" t="str">
        <f>Procurement_Raw!C1764</f>
        <v>Manchester Care &amp; Education Centre</v>
      </c>
      <c r="D1764" t="str">
        <f>Procurement_Raw!D1764</f>
        <v>North</v>
      </c>
      <c r="E1764" t="str">
        <f>Procurement_Raw!E1764</f>
        <v>FleetFuel</v>
      </c>
      <c r="F1764" t="str">
        <f>Procurement_Raw!F1764</f>
        <v>Vehicle &amp; Fuel</v>
      </c>
      <c r="G1764" t="str">
        <f>Procurement_Raw!G1764</f>
        <v>INV-2025-01763</v>
      </c>
      <c r="H1764" s="6">
        <f>Procurement_Raw!H1764</f>
        <v>44</v>
      </c>
      <c r="I1764" s="7">
        <f>Procurement_Raw!I1764</f>
        <v>99.02</v>
      </c>
      <c r="J1764" s="7">
        <f>Procurement_Raw!J1764</f>
        <v>4357.07</v>
      </c>
      <c r="K1764" s="6">
        <f>Procurement_Raw!K1764</f>
        <v>60</v>
      </c>
      <c r="L1764" t="str">
        <f>Procurement_Raw!L1764</f>
        <v>Procurement Portal</v>
      </c>
      <c r="M1764" s="8">
        <f>Procurement_Raw!M1764</f>
        <v>871.41399999999999</v>
      </c>
      <c r="N1764" s="7">
        <f>Procurement_Raw!N1764</f>
        <v>4357.07</v>
      </c>
      <c r="O1764" s="7">
        <f t="shared" si="54"/>
        <v>4357.07</v>
      </c>
      <c r="P1764" t="str">
        <f>IFERROR(INDEX(Supplier_Lookup!$B$2:$B$200,MATCH(E1764,Supplier_Lookup!$A$2:$A$200,0)),"Unmapped")</f>
        <v>Vehicle &amp; Fuel</v>
      </c>
      <c r="Q1764" s="10">
        <f>IFERROR(INDEX(Category_Targets!$B$2:$B$9,MATCH(F1764,Category_Targets!$A$2:$A$9,0)),0)</f>
        <v>0.05</v>
      </c>
      <c r="R1764" s="7">
        <f t="shared" si="55"/>
        <v>217.8535</v>
      </c>
    </row>
    <row r="1765" spans="1:18" x14ac:dyDescent="0.25">
      <c r="A1765" s="5">
        <f>Procurement_Raw!A1765</f>
        <v>45800</v>
      </c>
      <c r="B1765" t="str">
        <f>Procurement_Raw!B1765</f>
        <v>S017</v>
      </c>
      <c r="C1765" t="str">
        <f>Procurement_Raw!C1765</f>
        <v>Swansea Care &amp; Education Centre</v>
      </c>
      <c r="D1765" t="str">
        <f>Procurement_Raw!D1765</f>
        <v>Wales</v>
      </c>
      <c r="E1765" t="str">
        <f>Procurement_Raw!E1765</f>
        <v>OfficePlus</v>
      </c>
      <c r="F1765" t="str">
        <f>Procurement_Raw!F1765</f>
        <v>Office &amp; Training</v>
      </c>
      <c r="G1765" t="str">
        <f>Procurement_Raw!G1765</f>
        <v>INV-2025-01764</v>
      </c>
      <c r="H1765" s="6">
        <f>Procurement_Raw!H1765</f>
        <v>59</v>
      </c>
      <c r="I1765" s="7">
        <f>Procurement_Raw!I1765</f>
        <v>31.08</v>
      </c>
      <c r="J1765" s="7">
        <f>Procurement_Raw!J1765</f>
        <v>1833.43</v>
      </c>
      <c r="K1765" s="6">
        <f>Procurement_Raw!K1765</f>
        <v>30</v>
      </c>
      <c r="L1765" t="str">
        <f>Procurement_Raw!L1765</f>
        <v>Legacy Spend File</v>
      </c>
      <c r="M1765" s="8">
        <f>Procurement_Raw!M1765</f>
        <v>366.68599999999998</v>
      </c>
      <c r="N1765" s="7">
        <f>Procurement_Raw!N1765</f>
        <v>1833.43</v>
      </c>
      <c r="O1765" s="7">
        <f t="shared" si="54"/>
        <v>1833.43</v>
      </c>
      <c r="P1765" t="str">
        <f>IFERROR(INDEX(Supplier_Lookup!$B$2:$B$200,MATCH(E1765,Supplier_Lookup!$A$2:$A$200,0)),"Unmapped")</f>
        <v>Office &amp; Training</v>
      </c>
      <c r="Q1765" s="10">
        <f>IFERROR(INDEX(Category_Targets!$B$2:$B$9,MATCH(F1765,Category_Targets!$A$2:$A$9,0)),0)</f>
        <v>0.04</v>
      </c>
      <c r="R1765" s="7">
        <f t="shared" si="55"/>
        <v>73.33720000000001</v>
      </c>
    </row>
    <row r="1766" spans="1:18" x14ac:dyDescent="0.25">
      <c r="A1766" s="5">
        <f>Procurement_Raw!A1766</f>
        <v>45985</v>
      </c>
      <c r="B1766" t="str">
        <f>Procurement_Raw!B1766</f>
        <v>S002</v>
      </c>
      <c r="C1766" t="str">
        <f>Procurement_Raw!C1766</f>
        <v>Manchester Care &amp; Education Centre</v>
      </c>
      <c r="D1766" t="str">
        <f>Procurement_Raw!D1766</f>
        <v>North</v>
      </c>
      <c r="E1766" t="str">
        <f>Procurement_Raw!E1766</f>
        <v>OfficePlus</v>
      </c>
      <c r="F1766" t="str">
        <f>Procurement_Raw!F1766</f>
        <v>Office &amp; Training</v>
      </c>
      <c r="G1766" t="str">
        <f>Procurement_Raw!G1766</f>
        <v>INV-2025-01765</v>
      </c>
      <c r="H1766" s="6">
        <f>Procurement_Raw!H1766</f>
        <v>28</v>
      </c>
      <c r="I1766" s="7">
        <f>Procurement_Raw!I1766</f>
        <v>65.510000000000005</v>
      </c>
      <c r="J1766" s="7">
        <f>Procurement_Raw!J1766</f>
        <v>1834.19</v>
      </c>
      <c r="K1766" s="6">
        <f>Procurement_Raw!K1766</f>
        <v>45</v>
      </c>
      <c r="L1766" t="str">
        <f>Procurement_Raw!L1766</f>
        <v>Legacy Spend File</v>
      </c>
      <c r="M1766" s="8">
        <f>Procurement_Raw!M1766</f>
        <v>366.83800000000002</v>
      </c>
      <c r="N1766" s="7">
        <f>Procurement_Raw!N1766</f>
        <v>1834.19</v>
      </c>
      <c r="O1766" s="7">
        <f t="shared" si="54"/>
        <v>1834.19</v>
      </c>
      <c r="P1766" t="str">
        <f>IFERROR(INDEX(Supplier_Lookup!$B$2:$B$200,MATCH(E1766,Supplier_Lookup!$A$2:$A$200,0)),"Unmapped")</f>
        <v>Office &amp; Training</v>
      </c>
      <c r="Q1766" s="10">
        <f>IFERROR(INDEX(Category_Targets!$B$2:$B$9,MATCH(F1766,Category_Targets!$A$2:$A$9,0)),0)</f>
        <v>0.04</v>
      </c>
      <c r="R1766" s="7">
        <f t="shared" si="55"/>
        <v>73.36760000000001</v>
      </c>
    </row>
    <row r="1767" spans="1:18" x14ac:dyDescent="0.25">
      <c r="A1767" s="5">
        <f>Procurement_Raw!A1767</f>
        <v>45843</v>
      </c>
      <c r="B1767" t="str">
        <f>Procurement_Raw!B1767</f>
        <v>S004</v>
      </c>
      <c r="C1767" t="str">
        <f>Procurement_Raw!C1767</f>
        <v>Newcastle Care &amp; Education Centre</v>
      </c>
      <c r="D1767" t="str">
        <f>Procurement_Raw!D1767</f>
        <v>North</v>
      </c>
      <c r="E1767" t="str">
        <f>Procurement_Raw!E1767</f>
        <v>HealthStaffing</v>
      </c>
      <c r="F1767" t="str">
        <f>Procurement_Raw!F1767</f>
        <v>Agency Labour</v>
      </c>
      <c r="G1767" t="str">
        <f>Procurement_Raw!G1767</f>
        <v>INV-2025-01766</v>
      </c>
      <c r="H1767" s="6">
        <f>Procurement_Raw!H1767</f>
        <v>56</v>
      </c>
      <c r="I1767" s="7">
        <f>Procurement_Raw!I1767</f>
        <v>188.67</v>
      </c>
      <c r="J1767" s="7">
        <f>Procurement_Raw!J1767</f>
        <v>10565.49</v>
      </c>
      <c r="K1767" s="6">
        <f>Procurement_Raw!K1767</f>
        <v>45</v>
      </c>
      <c r="L1767" t="str">
        <f>Procurement_Raw!L1767</f>
        <v>ERP</v>
      </c>
      <c r="M1767" s="8">
        <f>Procurement_Raw!M1767</f>
        <v>2113.098</v>
      </c>
      <c r="N1767" s="7">
        <f>Procurement_Raw!N1767</f>
        <v>10565.49</v>
      </c>
      <c r="O1767" s="7">
        <f t="shared" si="54"/>
        <v>10565.49</v>
      </c>
      <c r="P1767" t="str">
        <f>IFERROR(INDEX(Supplier_Lookup!$B$2:$B$200,MATCH(E1767,Supplier_Lookup!$A$2:$A$200,0)),"Unmapped")</f>
        <v>Agency Labour</v>
      </c>
      <c r="Q1767" s="10">
        <f>IFERROR(INDEX(Category_Targets!$B$2:$B$9,MATCH(F1767,Category_Targets!$A$2:$A$9,0)),0)</f>
        <v>7.0000000000000007E-2</v>
      </c>
      <c r="R1767" s="7">
        <f t="shared" si="55"/>
        <v>739.5843000000001</v>
      </c>
    </row>
    <row r="1768" spans="1:18" x14ac:dyDescent="0.25">
      <c r="A1768" s="5">
        <f>Procurement_Raw!A1768</f>
        <v>46008</v>
      </c>
      <c r="B1768" t="str">
        <f>Procurement_Raw!B1768</f>
        <v>S013</v>
      </c>
      <c r="C1768" t="str">
        <f>Procurement_Raw!C1768</f>
        <v>Reading Care &amp; Education Centre</v>
      </c>
      <c r="D1768" t="str">
        <f>Procurement_Raw!D1768</f>
        <v>South</v>
      </c>
      <c r="E1768" t="str">
        <f>Procurement_Raw!E1768</f>
        <v>UK Energy Partners</v>
      </c>
      <c r="F1768" t="str">
        <f>Procurement_Raw!F1768</f>
        <v>Utilities</v>
      </c>
      <c r="G1768" t="str">
        <f>Procurement_Raw!G1768</f>
        <v>INV-2025-01767</v>
      </c>
      <c r="H1768" s="6">
        <f>Procurement_Raw!H1768</f>
        <v>55</v>
      </c>
      <c r="I1768" s="7">
        <f>Procurement_Raw!I1768</f>
        <v>825.08</v>
      </c>
      <c r="J1768" s="7">
        <f>Procurement_Raw!J1768</f>
        <v>45379.360000000001</v>
      </c>
      <c r="K1768" s="6">
        <f>Procurement_Raw!K1768</f>
        <v>45</v>
      </c>
      <c r="L1768" t="str">
        <f>Procurement_Raw!L1768</f>
        <v>Procurement Portal</v>
      </c>
      <c r="M1768" s="8">
        <f>Procurement_Raw!M1768</f>
        <v>9075.8719999999994</v>
      </c>
      <c r="N1768" s="7">
        <f>Procurement_Raw!N1768</f>
        <v>45379.360000000001</v>
      </c>
      <c r="O1768" s="7">
        <f t="shared" si="54"/>
        <v>45379.360000000001</v>
      </c>
      <c r="P1768" t="str">
        <f>IFERROR(INDEX(Supplier_Lookup!$B$2:$B$200,MATCH(E1768,Supplier_Lookup!$A$2:$A$200,0)),"Unmapped")</f>
        <v>Utilities</v>
      </c>
      <c r="Q1768" s="10">
        <f>IFERROR(INDEX(Category_Targets!$B$2:$B$9,MATCH(F1768,Category_Targets!$A$2:$A$9,0)),0)</f>
        <v>0.03</v>
      </c>
      <c r="R1768" s="7">
        <f t="shared" si="55"/>
        <v>1361.3807999999999</v>
      </c>
    </row>
    <row r="1769" spans="1:18" x14ac:dyDescent="0.25">
      <c r="A1769" s="5">
        <f>Procurement_Raw!A1769</f>
        <v>45730</v>
      </c>
      <c r="B1769" t="str">
        <f>Procurement_Raw!B1769</f>
        <v>S006</v>
      </c>
      <c r="C1769" t="str">
        <f>Procurement_Raw!C1769</f>
        <v>Birmingham Care &amp; Education Centre</v>
      </c>
      <c r="D1769" t="str">
        <f>Procurement_Raw!D1769</f>
        <v>Midlands</v>
      </c>
      <c r="E1769" t="str">
        <f>Procurement_Raw!E1769</f>
        <v>CleanWorks</v>
      </c>
      <c r="F1769" t="str">
        <f>Procurement_Raw!F1769</f>
        <v>Facilities</v>
      </c>
      <c r="G1769" t="str">
        <f>Procurement_Raw!G1769</f>
        <v>INV-2025-01768</v>
      </c>
      <c r="H1769" s="6">
        <f>Procurement_Raw!H1769</f>
        <v>9</v>
      </c>
      <c r="I1769" s="7">
        <f>Procurement_Raw!I1769</f>
        <v>163.4</v>
      </c>
      <c r="J1769" s="7">
        <f>Procurement_Raw!J1769</f>
        <v>1470.63</v>
      </c>
      <c r="K1769" s="6">
        <f>Procurement_Raw!K1769</f>
        <v>45</v>
      </c>
      <c r="L1769" t="str">
        <f>Procurement_Raw!L1769</f>
        <v>Procurement Portal</v>
      </c>
      <c r="M1769" s="8">
        <f>Procurement_Raw!M1769</f>
        <v>294.12599999999998</v>
      </c>
      <c r="N1769" s="7">
        <f>Procurement_Raw!N1769</f>
        <v>1470.63</v>
      </c>
      <c r="O1769" s="7">
        <f t="shared" si="54"/>
        <v>1470.63</v>
      </c>
      <c r="P1769" t="str">
        <f>IFERROR(INDEX(Supplier_Lookup!$B$2:$B$200,MATCH(E1769,Supplier_Lookup!$A$2:$A$200,0)),"Unmapped")</f>
        <v>Facilities</v>
      </c>
      <c r="Q1769" s="10">
        <f>IFERROR(INDEX(Category_Targets!$B$2:$B$9,MATCH(F1769,Category_Targets!$A$2:$A$9,0)),0)</f>
        <v>0.05</v>
      </c>
      <c r="R1769" s="7">
        <f t="shared" si="55"/>
        <v>73.531500000000008</v>
      </c>
    </row>
    <row r="1770" spans="1:18" x14ac:dyDescent="0.25">
      <c r="A1770" s="5">
        <f>Procurement_Raw!A1770</f>
        <v>45889</v>
      </c>
      <c r="B1770" t="str">
        <f>Procurement_Raw!B1770</f>
        <v>S009</v>
      </c>
      <c r="C1770" t="str">
        <f>Procurement_Raw!C1770</f>
        <v>Derby Care &amp; Education Centre</v>
      </c>
      <c r="D1770" t="str">
        <f>Procurement_Raw!D1770</f>
        <v>Midlands</v>
      </c>
      <c r="E1770" t="str">
        <f>Procurement_Raw!E1770</f>
        <v>NetServe</v>
      </c>
      <c r="F1770" t="str">
        <f>Procurement_Raw!F1770</f>
        <v>IT &amp; Telecoms</v>
      </c>
      <c r="G1770" t="str">
        <f>Procurement_Raw!G1770</f>
        <v>INV-2025-01769</v>
      </c>
      <c r="H1770" s="6">
        <f>Procurement_Raw!H1770</f>
        <v>54</v>
      </c>
      <c r="I1770" s="7">
        <f>Procurement_Raw!I1770</f>
        <v>235.42</v>
      </c>
      <c r="J1770" s="7">
        <f>Procurement_Raw!J1770</f>
        <v>12712.92</v>
      </c>
      <c r="K1770" s="6">
        <f>Procurement_Raw!K1770</f>
        <v>60</v>
      </c>
      <c r="L1770" t="str">
        <f>Procurement_Raw!L1770</f>
        <v>ERP</v>
      </c>
      <c r="M1770" s="8">
        <f>Procurement_Raw!M1770</f>
        <v>2542.5839999999998</v>
      </c>
      <c r="N1770" s="7">
        <f>Procurement_Raw!N1770</f>
        <v>12712.92</v>
      </c>
      <c r="O1770" s="7">
        <f t="shared" si="54"/>
        <v>12712.92</v>
      </c>
      <c r="P1770" t="str">
        <f>IFERROR(INDEX(Supplier_Lookup!$B$2:$B$200,MATCH(E1770,Supplier_Lookup!$A$2:$A$200,0)),"Unmapped")</f>
        <v>IT &amp; Telecoms</v>
      </c>
      <c r="Q1770" s="10">
        <f>IFERROR(INDEX(Category_Targets!$B$2:$B$9,MATCH(F1770,Category_Targets!$A$2:$A$9,0)),0)</f>
        <v>0.08</v>
      </c>
      <c r="R1770" s="7">
        <f t="shared" si="55"/>
        <v>1017.0336</v>
      </c>
    </row>
    <row r="1771" spans="1:18" x14ac:dyDescent="0.25">
      <c r="A1771" s="5">
        <f>Procurement_Raw!A1771</f>
        <v>45685</v>
      </c>
      <c r="B1771" t="str">
        <f>Procurement_Raw!B1771</f>
        <v>S011</v>
      </c>
      <c r="C1771" t="str">
        <f>Procurement_Raw!C1771</f>
        <v>London Care &amp; Education Centre</v>
      </c>
      <c r="D1771" t="str">
        <f>Procurement_Raw!D1771</f>
        <v>South</v>
      </c>
      <c r="E1771" t="str">
        <f>Procurement_Raw!E1771</f>
        <v>CloudLink</v>
      </c>
      <c r="F1771" t="str">
        <f>Procurement_Raw!F1771</f>
        <v>IT &amp; Telecoms</v>
      </c>
      <c r="G1771" t="str">
        <f>Procurement_Raw!G1771</f>
        <v>INV-2025-01770</v>
      </c>
      <c r="H1771" s="6">
        <f>Procurement_Raw!H1771</f>
        <v>12</v>
      </c>
      <c r="I1771" s="7">
        <f>Procurement_Raw!I1771</f>
        <v>297.95999999999998</v>
      </c>
      <c r="J1771" s="7">
        <f>Procurement_Raw!J1771</f>
        <v>3575.47</v>
      </c>
      <c r="K1771" s="6">
        <f>Procurement_Raw!K1771</f>
        <v>45</v>
      </c>
      <c r="L1771" t="str">
        <f>Procurement_Raw!L1771</f>
        <v>Procurement Portal</v>
      </c>
      <c r="M1771" s="8">
        <f>Procurement_Raw!M1771</f>
        <v>715.09400000000005</v>
      </c>
      <c r="N1771" s="7">
        <f>Procurement_Raw!N1771</f>
        <v>3575.47</v>
      </c>
      <c r="O1771" s="7">
        <f t="shared" si="54"/>
        <v>3575.47</v>
      </c>
      <c r="P1771" t="str">
        <f>IFERROR(INDEX(Supplier_Lookup!$B$2:$B$200,MATCH(E1771,Supplier_Lookup!$A$2:$A$200,0)),"Unmapped")</f>
        <v>medical supplies</v>
      </c>
      <c r="Q1771" s="10">
        <f>IFERROR(INDEX(Category_Targets!$B$2:$B$9,MATCH(F1771,Category_Targets!$A$2:$A$9,0)),0)</f>
        <v>0.08</v>
      </c>
      <c r="R1771" s="7">
        <f t="shared" si="55"/>
        <v>286.0376</v>
      </c>
    </row>
    <row r="1772" spans="1:18" x14ac:dyDescent="0.25">
      <c r="A1772" s="5">
        <f>Procurement_Raw!A1772</f>
        <v>45759</v>
      </c>
      <c r="B1772" t="str">
        <f>Procurement_Raw!B1772</f>
        <v>S014</v>
      </c>
      <c r="C1772" t="str">
        <f>Procurement_Raw!C1772</f>
        <v>Southampton Care &amp; Education Centre</v>
      </c>
      <c r="D1772" t="str">
        <f>Procurement_Raw!D1772</f>
        <v>South</v>
      </c>
      <c r="E1772" t="str">
        <f>Procurement_Raw!E1772</f>
        <v>CloudLink</v>
      </c>
      <c r="F1772" t="str">
        <f>Procurement_Raw!F1772</f>
        <v>IT &amp; Telecoms</v>
      </c>
      <c r="G1772" t="str">
        <f>Procurement_Raw!G1772</f>
        <v>INV-2025-01771</v>
      </c>
      <c r="H1772" s="6">
        <f>Procurement_Raw!H1772</f>
        <v>45</v>
      </c>
      <c r="I1772" s="7">
        <f>Procurement_Raw!I1772</f>
        <v>225.34</v>
      </c>
      <c r="J1772" s="7">
        <f>Procurement_Raw!J1772</f>
        <v>10140.280000000001</v>
      </c>
      <c r="K1772" s="6">
        <f>Procurement_Raw!K1772</f>
        <v>45</v>
      </c>
      <c r="L1772" t="str">
        <f>Procurement_Raw!L1772</f>
        <v>Procurement Portal</v>
      </c>
      <c r="M1772" s="8">
        <f>Procurement_Raw!M1772</f>
        <v>2028.056</v>
      </c>
      <c r="N1772" s="7">
        <f>Procurement_Raw!N1772</f>
        <v>10140.280000000001</v>
      </c>
      <c r="O1772" s="7">
        <f t="shared" si="54"/>
        <v>10140.280000000001</v>
      </c>
      <c r="P1772" t="str">
        <f>IFERROR(INDEX(Supplier_Lookup!$B$2:$B$200,MATCH(E1772,Supplier_Lookup!$A$2:$A$200,0)),"Unmapped")</f>
        <v>medical supplies</v>
      </c>
      <c r="Q1772" s="10">
        <f>IFERROR(INDEX(Category_Targets!$B$2:$B$9,MATCH(F1772,Category_Targets!$A$2:$A$9,0)),0)</f>
        <v>0.08</v>
      </c>
      <c r="R1772" s="7">
        <f t="shared" si="55"/>
        <v>811.22240000000011</v>
      </c>
    </row>
    <row r="1773" spans="1:18" x14ac:dyDescent="0.25">
      <c r="A1773" s="5">
        <f>Procurement_Raw!A1773</f>
        <v>45881</v>
      </c>
      <c r="B1773" t="str">
        <f>Procurement_Raw!B1773</f>
        <v>S010</v>
      </c>
      <c r="C1773" t="str">
        <f>Procurement_Raw!C1773</f>
        <v>Coventry Care &amp; Education Centre</v>
      </c>
      <c r="D1773" t="str">
        <f>Procurement_Raw!D1773</f>
        <v>Midlands</v>
      </c>
      <c r="E1773" t="str">
        <f>Procurement_Raw!E1773</f>
        <v>BuildCare</v>
      </c>
      <c r="F1773" t="str">
        <f>Procurement_Raw!F1773</f>
        <v>Facilities</v>
      </c>
      <c r="G1773" t="str">
        <f>Procurement_Raw!G1773</f>
        <v>INV-2025-01772</v>
      </c>
      <c r="H1773" s="6">
        <f>Procurement_Raw!H1773</f>
        <v>46</v>
      </c>
      <c r="I1773" s="7">
        <f>Procurement_Raw!I1773</f>
        <v>457.25</v>
      </c>
      <c r="J1773" s="7">
        <f>Procurement_Raw!J1773</f>
        <v>21033.599999999999</v>
      </c>
      <c r="K1773" s="6">
        <f>Procurement_Raw!K1773</f>
        <v>60</v>
      </c>
      <c r="L1773" t="str">
        <f>Procurement_Raw!L1773</f>
        <v>Legacy Spend File</v>
      </c>
      <c r="M1773" s="8">
        <f>Procurement_Raw!M1773</f>
        <v>4206.72</v>
      </c>
      <c r="N1773" s="7">
        <f>Procurement_Raw!N1773</f>
        <v>21033.599999999999</v>
      </c>
      <c r="O1773" s="7">
        <f t="shared" si="54"/>
        <v>21033.599999999999</v>
      </c>
      <c r="P1773" t="str">
        <f>IFERROR(INDEX(Supplier_Lookup!$B$2:$B$200,MATCH(E1773,Supplier_Lookup!$A$2:$A$200,0)),"Unmapped")</f>
        <v>Facilities</v>
      </c>
      <c r="Q1773" s="10">
        <f>IFERROR(INDEX(Category_Targets!$B$2:$B$9,MATCH(F1773,Category_Targets!$A$2:$A$9,0)),0)</f>
        <v>0.05</v>
      </c>
      <c r="R1773" s="7">
        <f t="shared" si="55"/>
        <v>1051.68</v>
      </c>
    </row>
    <row r="1774" spans="1:18" x14ac:dyDescent="0.25">
      <c r="A1774" s="5">
        <f>Procurement_Raw!A1774</f>
        <v>45963</v>
      </c>
      <c r="B1774" t="str">
        <f>Procurement_Raw!B1774</f>
        <v>S013</v>
      </c>
      <c r="C1774" t="str">
        <f>Procurement_Raw!C1774</f>
        <v>Reading Care &amp; Education Centre</v>
      </c>
      <c r="D1774" t="str">
        <f>Procurement_Raw!D1774</f>
        <v>South</v>
      </c>
      <c r="E1774" t="str">
        <f>Procurement_Raw!E1774</f>
        <v>ClinEquip</v>
      </c>
      <c r="F1774" t="str">
        <f>Procurement_Raw!F1774</f>
        <v>Medical Supplies</v>
      </c>
      <c r="G1774" t="str">
        <f>Procurement_Raw!G1774</f>
        <v>INV-2025-01773</v>
      </c>
      <c r="H1774" s="6">
        <f>Procurement_Raw!H1774</f>
        <v>26</v>
      </c>
      <c r="I1774" s="7">
        <f>Procurement_Raw!I1774</f>
        <v>85.2</v>
      </c>
      <c r="J1774" s="7">
        <f>Procurement_Raw!J1774</f>
        <v>2215.27</v>
      </c>
      <c r="K1774" s="6">
        <f>Procurement_Raw!K1774</f>
        <v>30</v>
      </c>
      <c r="L1774" t="str">
        <f>Procurement_Raw!L1774</f>
        <v>Legacy Spend File</v>
      </c>
      <c r="M1774" s="8">
        <f>Procurement_Raw!M1774</f>
        <v>443.05399999999997</v>
      </c>
      <c r="N1774" s="7">
        <f>Procurement_Raw!N1774</f>
        <v>2215.27</v>
      </c>
      <c r="O1774" s="7">
        <f t="shared" si="54"/>
        <v>2215.27</v>
      </c>
      <c r="P1774" t="str">
        <f>IFERROR(INDEX(Supplier_Lookup!$B$2:$B$200,MATCH(E1774,Supplier_Lookup!$A$2:$A$200,0)),"Unmapped")</f>
        <v>Medical Supplies</v>
      </c>
      <c r="Q1774" s="10">
        <f>IFERROR(INDEX(Category_Targets!$B$2:$B$9,MATCH(F1774,Category_Targets!$A$2:$A$9,0)),0)</f>
        <v>0.06</v>
      </c>
      <c r="R1774" s="7">
        <f t="shared" si="55"/>
        <v>132.9162</v>
      </c>
    </row>
    <row r="1775" spans="1:18" x14ac:dyDescent="0.25">
      <c r="A1775" s="5">
        <f>Procurement_Raw!A1775</f>
        <v>45998</v>
      </c>
      <c r="B1775" t="str">
        <f>Procurement_Raw!B1775</f>
        <v>S015</v>
      </c>
      <c r="C1775" t="str">
        <f>Procurement_Raw!C1775</f>
        <v>Brighton Care &amp; Education Centre</v>
      </c>
      <c r="D1775" t="str">
        <f>Procurement_Raw!D1775</f>
        <v>South</v>
      </c>
      <c r="E1775" t="str">
        <f>Procurement_Raw!E1775</f>
        <v>SafeGuard FM</v>
      </c>
      <c r="F1775" t="str">
        <f>Procurement_Raw!F1775</f>
        <v>Facilities</v>
      </c>
      <c r="G1775" t="str">
        <f>Procurement_Raw!G1775</f>
        <v>INV-2025-01774</v>
      </c>
      <c r="H1775" s="6">
        <f>Procurement_Raw!H1775</f>
        <v>41</v>
      </c>
      <c r="I1775" s="7">
        <f>Procurement_Raw!I1775</f>
        <v>200.33</v>
      </c>
      <c r="J1775" s="7">
        <f>Procurement_Raw!J1775</f>
        <v>8213.73</v>
      </c>
      <c r="K1775" s="6">
        <f>Procurement_Raw!K1775</f>
        <v>30</v>
      </c>
      <c r="L1775" t="str">
        <f>Procurement_Raw!L1775</f>
        <v>ERP</v>
      </c>
      <c r="M1775" s="8">
        <f>Procurement_Raw!M1775</f>
        <v>1642.7460000000001</v>
      </c>
      <c r="N1775" s="7">
        <f>Procurement_Raw!N1775</f>
        <v>8213.73</v>
      </c>
      <c r="O1775" s="7">
        <f t="shared" si="54"/>
        <v>8213.73</v>
      </c>
      <c r="P1775" t="str">
        <f>IFERROR(INDEX(Supplier_Lookup!$B$2:$B$200,MATCH(E1775,Supplier_Lookup!$A$2:$A$200,0)),"Unmapped")</f>
        <v>Facilities</v>
      </c>
      <c r="Q1775" s="10">
        <f>IFERROR(INDEX(Category_Targets!$B$2:$B$9,MATCH(F1775,Category_Targets!$A$2:$A$9,0)),0)</f>
        <v>0.05</v>
      </c>
      <c r="R1775" s="7">
        <f t="shared" si="55"/>
        <v>410.68650000000002</v>
      </c>
    </row>
    <row r="1776" spans="1:18" x14ac:dyDescent="0.25">
      <c r="A1776" s="5">
        <f>Procurement_Raw!A1776</f>
        <v>45820</v>
      </c>
      <c r="B1776" t="str">
        <f>Procurement_Raw!B1776</f>
        <v>S008</v>
      </c>
      <c r="C1776" t="str">
        <f>Procurement_Raw!C1776</f>
        <v>Leicester Care &amp; Education Centre</v>
      </c>
      <c r="D1776" t="str">
        <f>Procurement_Raw!D1776</f>
        <v>Midlands</v>
      </c>
      <c r="E1776" t="str">
        <f>Procurement_Raw!E1776</f>
        <v>SafeGuard FM</v>
      </c>
      <c r="F1776" t="str">
        <f>Procurement_Raw!F1776</f>
        <v>Facilities</v>
      </c>
      <c r="G1776" t="str">
        <f>Procurement_Raw!G1776</f>
        <v>INV-2025-01775</v>
      </c>
      <c r="H1776" s="6">
        <f>Procurement_Raw!H1776</f>
        <v>15</v>
      </c>
      <c r="I1776" s="7">
        <f>Procurement_Raw!I1776</f>
        <v>119.65</v>
      </c>
      <c r="J1776" s="7">
        <f>Procurement_Raw!J1776</f>
        <v>1794.8</v>
      </c>
      <c r="K1776" s="6">
        <f>Procurement_Raw!K1776</f>
        <v>60</v>
      </c>
      <c r="L1776" t="str">
        <f>Procurement_Raw!L1776</f>
        <v>Procurement Portal</v>
      </c>
      <c r="M1776" s="8">
        <f>Procurement_Raw!M1776</f>
        <v>358.96</v>
      </c>
      <c r="N1776" s="7">
        <f>Procurement_Raw!N1776</f>
        <v>1794.8</v>
      </c>
      <c r="O1776" s="7">
        <f t="shared" si="54"/>
        <v>1794.8</v>
      </c>
      <c r="P1776" t="str">
        <f>IFERROR(INDEX(Supplier_Lookup!$B$2:$B$200,MATCH(E1776,Supplier_Lookup!$A$2:$A$200,0)),"Unmapped")</f>
        <v>Facilities</v>
      </c>
      <c r="Q1776" s="10">
        <f>IFERROR(INDEX(Category_Targets!$B$2:$B$9,MATCH(F1776,Category_Targets!$A$2:$A$9,0)),0)</f>
        <v>0.05</v>
      </c>
      <c r="R1776" s="7">
        <f t="shared" si="55"/>
        <v>89.740000000000009</v>
      </c>
    </row>
    <row r="1777" spans="1:18" x14ac:dyDescent="0.25">
      <c r="A1777" s="5">
        <f>Procurement_Raw!A1777</f>
        <v>45722</v>
      </c>
      <c r="B1777" t="str">
        <f>Procurement_Raw!B1777</f>
        <v>S017</v>
      </c>
      <c r="C1777" t="str">
        <f>Procurement_Raw!C1777</f>
        <v>Swansea Care &amp; Education Centre</v>
      </c>
      <c r="D1777" t="str">
        <f>Procurement_Raw!D1777</f>
        <v>Wales</v>
      </c>
      <c r="E1777" t="str">
        <f>Procurement_Raw!E1777</f>
        <v>CareMed</v>
      </c>
      <c r="F1777" t="str">
        <f>Procurement_Raw!F1777</f>
        <v>Medical Supplies</v>
      </c>
      <c r="G1777" t="str">
        <f>Procurement_Raw!G1777</f>
        <v>INV-2025-01776</v>
      </c>
      <c r="H1777" s="6">
        <f>Procurement_Raw!H1777</f>
        <v>58</v>
      </c>
      <c r="I1777" s="7">
        <f>Procurement_Raw!I1777</f>
        <v>58.06</v>
      </c>
      <c r="J1777" s="7">
        <f>Procurement_Raw!J1777</f>
        <v>3367.49</v>
      </c>
      <c r="K1777" s="6">
        <f>Procurement_Raw!K1777</f>
        <v>60</v>
      </c>
      <c r="L1777" t="str">
        <f>Procurement_Raw!L1777</f>
        <v>Legacy Spend File</v>
      </c>
      <c r="M1777" s="8">
        <f>Procurement_Raw!M1777</f>
        <v>673.49800000000005</v>
      </c>
      <c r="N1777" s="7">
        <f>Procurement_Raw!N1777</f>
        <v>3367.49</v>
      </c>
      <c r="O1777" s="7">
        <f t="shared" si="54"/>
        <v>3367.49</v>
      </c>
      <c r="P1777" t="str">
        <f>IFERROR(INDEX(Supplier_Lookup!$B$2:$B$200,MATCH(E1777,Supplier_Lookup!$A$2:$A$200,0)),"Unmapped")</f>
        <v>Medical Supplies</v>
      </c>
      <c r="Q1777" s="10">
        <f>IFERROR(INDEX(Category_Targets!$B$2:$B$9,MATCH(F1777,Category_Targets!$A$2:$A$9,0)),0)</f>
        <v>0.06</v>
      </c>
      <c r="R1777" s="7">
        <f t="shared" si="55"/>
        <v>202.04939999999999</v>
      </c>
    </row>
    <row r="1778" spans="1:18" x14ac:dyDescent="0.25">
      <c r="A1778" s="5">
        <f>Procurement_Raw!A1778</f>
        <v>45754</v>
      </c>
      <c r="B1778" t="str">
        <f>Procurement_Raw!B1778</f>
        <v>S005</v>
      </c>
      <c r="C1778" t="str">
        <f>Procurement_Raw!C1778</f>
        <v>Sheffield Care &amp; Education Centre</v>
      </c>
      <c r="D1778" t="str">
        <f>Procurement_Raw!D1778</f>
        <v>North</v>
      </c>
      <c r="E1778" t="str">
        <f>Procurement_Raw!E1778</f>
        <v>MediSure</v>
      </c>
      <c r="F1778" t="str">
        <f>Procurement_Raw!F1778</f>
        <v>Medical Supplies</v>
      </c>
      <c r="G1778" t="str">
        <f>Procurement_Raw!G1778</f>
        <v>INV-2025-01777</v>
      </c>
      <c r="H1778" s="6">
        <f>Procurement_Raw!H1778</f>
        <v>54</v>
      </c>
      <c r="I1778" s="7">
        <f>Procurement_Raw!I1778</f>
        <v>85.71</v>
      </c>
      <c r="J1778" s="7">
        <f>Procurement_Raw!J1778</f>
        <v>4628.57</v>
      </c>
      <c r="K1778" s="6">
        <f>Procurement_Raw!K1778</f>
        <v>60</v>
      </c>
      <c r="L1778" t="str">
        <f>Procurement_Raw!L1778</f>
        <v>Legacy Spend File</v>
      </c>
      <c r="M1778" s="8">
        <f>Procurement_Raw!M1778</f>
        <v>925.71400000000006</v>
      </c>
      <c r="N1778" s="7">
        <f>Procurement_Raw!N1778</f>
        <v>4628.57</v>
      </c>
      <c r="O1778" s="7">
        <f t="shared" si="54"/>
        <v>4628.57</v>
      </c>
      <c r="P1778" t="str">
        <f>IFERROR(INDEX(Supplier_Lookup!$B$2:$B$200,MATCH(E1778,Supplier_Lookup!$A$2:$A$200,0)),"Unmapped")</f>
        <v>Medical Supplies</v>
      </c>
      <c r="Q1778" s="10">
        <f>IFERROR(INDEX(Category_Targets!$B$2:$B$9,MATCH(F1778,Category_Targets!$A$2:$A$9,0)),0)</f>
        <v>0.06</v>
      </c>
      <c r="R1778" s="7">
        <f t="shared" si="55"/>
        <v>277.71419999999995</v>
      </c>
    </row>
    <row r="1779" spans="1:18" x14ac:dyDescent="0.25">
      <c r="A1779" s="5">
        <f>Procurement_Raw!A1779</f>
        <v>45836</v>
      </c>
      <c r="B1779" t="str">
        <f>Procurement_Raw!B1779</f>
        <v>S017</v>
      </c>
      <c r="C1779" t="str">
        <f>Procurement_Raw!C1779</f>
        <v>Swansea Care &amp; Education Centre</v>
      </c>
      <c r="D1779" t="str">
        <f>Procurement_Raw!D1779</f>
        <v>Wales</v>
      </c>
      <c r="E1779" t="str">
        <f>Procurement_Raw!E1779</f>
        <v>HealthStaffing</v>
      </c>
      <c r="F1779" t="str">
        <f>Procurement_Raw!F1779</f>
        <v>Agency Labour</v>
      </c>
      <c r="G1779" t="str">
        <f>Procurement_Raw!G1779</f>
        <v>INV-2025-01778</v>
      </c>
      <c r="H1779" s="6">
        <f>Procurement_Raw!H1779</f>
        <v>27</v>
      </c>
      <c r="I1779" s="7">
        <f>Procurement_Raw!I1779</f>
        <v>293.95</v>
      </c>
      <c r="J1779" s="7">
        <f>Procurement_Raw!J1779</f>
        <v>7936.67</v>
      </c>
      <c r="K1779" s="6">
        <f>Procurement_Raw!K1779</f>
        <v>30</v>
      </c>
      <c r="L1779" t="str">
        <f>Procurement_Raw!L1779</f>
        <v>Legacy Spend File</v>
      </c>
      <c r="M1779" s="8">
        <f>Procurement_Raw!M1779</f>
        <v>1587.3340000000001</v>
      </c>
      <c r="N1779" s="7">
        <f>Procurement_Raw!N1779</f>
        <v>7936.67</v>
      </c>
      <c r="O1779" s="7">
        <f t="shared" si="54"/>
        <v>7936.67</v>
      </c>
      <c r="P1779" t="str">
        <f>IFERROR(INDEX(Supplier_Lookup!$B$2:$B$200,MATCH(E1779,Supplier_Lookup!$A$2:$A$200,0)),"Unmapped")</f>
        <v>Agency Labour</v>
      </c>
      <c r="Q1779" s="10">
        <f>IFERROR(INDEX(Category_Targets!$B$2:$B$9,MATCH(F1779,Category_Targets!$A$2:$A$9,0)),0)</f>
        <v>7.0000000000000007E-2</v>
      </c>
      <c r="R1779" s="7">
        <f t="shared" si="55"/>
        <v>555.56690000000003</v>
      </c>
    </row>
    <row r="1780" spans="1:18" x14ac:dyDescent="0.25">
      <c r="A1780" s="5">
        <f>Procurement_Raw!A1780</f>
        <v>45844</v>
      </c>
      <c r="B1780" t="str">
        <f>Procurement_Raw!B1780</f>
        <v>S014</v>
      </c>
      <c r="C1780" t="str">
        <f>Procurement_Raw!C1780</f>
        <v>Southampton Care &amp; Education Centre</v>
      </c>
      <c r="D1780" t="str">
        <f>Procurement_Raw!D1780</f>
        <v>South</v>
      </c>
      <c r="E1780" t="str">
        <f>Procurement_Raw!E1780</f>
        <v>CareMed</v>
      </c>
      <c r="F1780" t="str">
        <f>Procurement_Raw!F1780</f>
        <v>Medical Supplies</v>
      </c>
      <c r="G1780" t="str">
        <f>Procurement_Raw!G1780</f>
        <v>INV-2025-01779</v>
      </c>
      <c r="H1780" s="6">
        <f>Procurement_Raw!H1780</f>
        <v>3</v>
      </c>
      <c r="I1780" s="7">
        <f>Procurement_Raw!I1780</f>
        <v>94.76</v>
      </c>
      <c r="J1780" s="7">
        <f>Procurement_Raw!J1780</f>
        <v>284.29000000000002</v>
      </c>
      <c r="K1780" s="6">
        <f>Procurement_Raw!K1780</f>
        <v>45</v>
      </c>
      <c r="L1780" t="str">
        <f>Procurement_Raw!L1780</f>
        <v>Procurement Portal</v>
      </c>
      <c r="M1780" s="8">
        <f>Procurement_Raw!M1780</f>
        <v>56.857999999999997</v>
      </c>
      <c r="N1780" s="7">
        <f>Procurement_Raw!N1780</f>
        <v>284.29000000000002</v>
      </c>
      <c r="O1780" s="7">
        <f t="shared" si="54"/>
        <v>284.29000000000002</v>
      </c>
      <c r="P1780" t="str">
        <f>IFERROR(INDEX(Supplier_Lookup!$B$2:$B$200,MATCH(E1780,Supplier_Lookup!$A$2:$A$200,0)),"Unmapped")</f>
        <v>Medical Supplies</v>
      </c>
      <c r="Q1780" s="10">
        <f>IFERROR(INDEX(Category_Targets!$B$2:$B$9,MATCH(F1780,Category_Targets!$A$2:$A$9,0)),0)</f>
        <v>0.06</v>
      </c>
      <c r="R1780" s="7">
        <f t="shared" si="55"/>
        <v>17.057400000000001</v>
      </c>
    </row>
    <row r="1781" spans="1:18" x14ac:dyDescent="0.25">
      <c r="A1781" s="5">
        <f>Procurement_Raw!A1781</f>
        <v>45913</v>
      </c>
      <c r="B1781" t="str">
        <f>Procurement_Raw!B1781</f>
        <v>S018</v>
      </c>
      <c r="C1781" t="str">
        <f>Procurement_Raw!C1781</f>
        <v>Newport Care &amp; Education Centre</v>
      </c>
      <c r="D1781" t="str">
        <f>Procurement_Raw!D1781</f>
        <v>Wales</v>
      </c>
      <c r="E1781" t="str">
        <f>Procurement_Raw!E1781</f>
        <v>KitchenPro</v>
      </c>
      <c r="F1781" t="str">
        <f>Procurement_Raw!F1781</f>
        <v>Food &amp; Catering</v>
      </c>
      <c r="G1781" t="str">
        <f>Procurement_Raw!G1781</f>
        <v>INV-2025-01780</v>
      </c>
      <c r="H1781" s="6">
        <f>Procurement_Raw!H1781</f>
        <v>59</v>
      </c>
      <c r="I1781" s="7">
        <f>Procurement_Raw!I1781</f>
        <v>44.41</v>
      </c>
      <c r="J1781" s="7">
        <f>Procurement_Raw!J1781</f>
        <v>2620.4299999999998</v>
      </c>
      <c r="K1781" s="6">
        <f>Procurement_Raw!K1781</f>
        <v>45</v>
      </c>
      <c r="L1781" t="str">
        <f>Procurement_Raw!L1781</f>
        <v>Procurement Portal</v>
      </c>
      <c r="M1781" s="8">
        <f>Procurement_Raw!M1781</f>
        <v>524.08600000000001</v>
      </c>
      <c r="N1781" s="7">
        <f>Procurement_Raw!N1781</f>
        <v>2620.4299999999998</v>
      </c>
      <c r="O1781" s="7">
        <f t="shared" si="54"/>
        <v>2620.4299999999998</v>
      </c>
      <c r="P1781" t="str">
        <f>IFERROR(INDEX(Supplier_Lookup!$B$2:$B$200,MATCH(E1781,Supplier_Lookup!$A$2:$A$200,0)),"Unmapped")</f>
        <v>Food &amp; Catering</v>
      </c>
      <c r="Q1781" s="10">
        <f>IFERROR(INDEX(Category_Targets!$B$2:$B$9,MATCH(F1781,Category_Targets!$A$2:$A$9,0)),0)</f>
        <v>0.04</v>
      </c>
      <c r="R1781" s="7">
        <f t="shared" si="55"/>
        <v>104.8172</v>
      </c>
    </row>
    <row r="1782" spans="1:18" x14ac:dyDescent="0.25">
      <c r="A1782" s="5">
        <f>Procurement_Raw!A1782</f>
        <v>45876</v>
      </c>
      <c r="B1782" t="str">
        <f>Procurement_Raw!B1782</f>
        <v>S002</v>
      </c>
      <c r="C1782" t="str">
        <f>Procurement_Raw!C1782</f>
        <v>Manchester Care &amp; Education Centre</v>
      </c>
      <c r="D1782" t="str">
        <f>Procurement_Raw!D1782</f>
        <v>North</v>
      </c>
      <c r="E1782" t="str">
        <f>Procurement_Raw!E1782</f>
        <v>AutoCare</v>
      </c>
      <c r="F1782" t="str">
        <f>Procurement_Raw!F1782</f>
        <v>Vehicle &amp; Fuel</v>
      </c>
      <c r="G1782" t="str">
        <f>Procurement_Raw!G1782</f>
        <v>INV-2025-01781</v>
      </c>
      <c r="H1782" s="6">
        <f>Procurement_Raw!H1782</f>
        <v>67</v>
      </c>
      <c r="I1782" s="7">
        <f>Procurement_Raw!I1782</f>
        <v>43.83</v>
      </c>
      <c r="J1782" s="7">
        <f>Procurement_Raw!J1782</f>
        <v>2936.86</v>
      </c>
      <c r="K1782" s="6">
        <f>Procurement_Raw!K1782</f>
        <v>45</v>
      </c>
      <c r="L1782" t="str">
        <f>Procurement_Raw!L1782</f>
        <v>ERP</v>
      </c>
      <c r="M1782" s="8">
        <f>Procurement_Raw!M1782</f>
        <v>587.37199999999996</v>
      </c>
      <c r="N1782" s="7">
        <f>Procurement_Raw!N1782</f>
        <v>2936.86</v>
      </c>
      <c r="O1782" s="7">
        <f t="shared" si="54"/>
        <v>2936.86</v>
      </c>
      <c r="P1782" t="str">
        <f>IFERROR(INDEX(Supplier_Lookup!$B$2:$B$200,MATCH(E1782,Supplier_Lookup!$A$2:$A$200,0)),"Unmapped")</f>
        <v>Vehicle &amp; Fuel</v>
      </c>
      <c r="Q1782" s="10">
        <f>IFERROR(INDEX(Category_Targets!$B$2:$B$9,MATCH(F1782,Category_Targets!$A$2:$A$9,0)),0)</f>
        <v>0.05</v>
      </c>
      <c r="R1782" s="7">
        <f t="shared" si="55"/>
        <v>146.84300000000002</v>
      </c>
    </row>
    <row r="1783" spans="1:18" x14ac:dyDescent="0.25">
      <c r="A1783" s="5">
        <f>Procurement_Raw!A1783</f>
        <v>45849</v>
      </c>
      <c r="B1783" t="str">
        <f>Procurement_Raw!B1783</f>
        <v>S018</v>
      </c>
      <c r="C1783" t="str">
        <f>Procurement_Raw!C1783</f>
        <v>Newport Care &amp; Education Centre</v>
      </c>
      <c r="D1783" t="str">
        <f>Procurement_Raw!D1783</f>
        <v>Wales</v>
      </c>
      <c r="E1783" t="str">
        <f>Procurement_Raw!E1783</f>
        <v>learnwell</v>
      </c>
      <c r="F1783" t="str">
        <f>Procurement_Raw!F1783</f>
        <v>Office &amp; Training</v>
      </c>
      <c r="G1783" t="str">
        <f>Procurement_Raw!G1783</f>
        <v>INV-2025-01782</v>
      </c>
      <c r="H1783" s="6">
        <f>Procurement_Raw!H1783</f>
        <v>23</v>
      </c>
      <c r="I1783" s="7">
        <f>Procurement_Raw!I1783</f>
        <v>71.650000000000006</v>
      </c>
      <c r="J1783" s="7">
        <f>Procurement_Raw!J1783</f>
        <v>1647.93</v>
      </c>
      <c r="K1783" s="6">
        <f>Procurement_Raw!K1783</f>
        <v>60</v>
      </c>
      <c r="L1783" t="str">
        <f>Procurement_Raw!L1783</f>
        <v>Legacy Spend File</v>
      </c>
      <c r="M1783" s="8">
        <f>Procurement_Raw!M1783</f>
        <v>329.58600000000001</v>
      </c>
      <c r="N1783" s="7">
        <f>Procurement_Raw!N1783</f>
        <v>1647.93</v>
      </c>
      <c r="O1783" s="7">
        <f t="shared" si="54"/>
        <v>1647.93</v>
      </c>
      <c r="P1783" t="str">
        <f>IFERROR(INDEX(Supplier_Lookup!$B$2:$B$200,MATCH(E1783,Supplier_Lookup!$A$2:$A$200,0)),"Unmapped")</f>
        <v>Office &amp; Training</v>
      </c>
      <c r="Q1783" s="10">
        <f>IFERROR(INDEX(Category_Targets!$B$2:$B$9,MATCH(F1783,Category_Targets!$A$2:$A$9,0)),0)</f>
        <v>0.04</v>
      </c>
      <c r="R1783" s="7">
        <f t="shared" si="55"/>
        <v>65.917200000000008</v>
      </c>
    </row>
    <row r="1784" spans="1:18" x14ac:dyDescent="0.25">
      <c r="A1784" s="5">
        <f>Procurement_Raw!A1784</f>
        <v>45803</v>
      </c>
      <c r="B1784" t="str">
        <f>Procurement_Raw!B1784</f>
        <v>S009</v>
      </c>
      <c r="C1784" t="str">
        <f>Procurement_Raw!C1784</f>
        <v>Derby Care &amp; Education Centre</v>
      </c>
      <c r="D1784" t="str">
        <f>Procurement_Raw!D1784</f>
        <v>Midlands</v>
      </c>
      <c r="E1784" t="str">
        <f>Procurement_Raw!E1784</f>
        <v>CareTemps</v>
      </c>
      <c r="F1784" t="str">
        <f>Procurement_Raw!F1784</f>
        <v>Agency Labour</v>
      </c>
      <c r="G1784" t="str">
        <f>Procurement_Raw!G1784</f>
        <v>INV-2025-01783</v>
      </c>
      <c r="H1784" s="6">
        <f>Procurement_Raw!H1784</f>
        <v>56</v>
      </c>
      <c r="I1784" s="7">
        <f>Procurement_Raw!I1784</f>
        <v>131.13</v>
      </c>
      <c r="J1784" s="7">
        <f>Procurement_Raw!J1784</f>
        <v>7343.26</v>
      </c>
      <c r="K1784" s="6">
        <f>Procurement_Raw!K1784</f>
        <v>60</v>
      </c>
      <c r="L1784" t="str">
        <f>Procurement_Raw!L1784</f>
        <v>Procurement Portal</v>
      </c>
      <c r="M1784" s="8">
        <f>Procurement_Raw!M1784</f>
        <v>1468.652</v>
      </c>
      <c r="N1784" s="7">
        <f>Procurement_Raw!N1784</f>
        <v>7343.26</v>
      </c>
      <c r="O1784" s="7">
        <f t="shared" si="54"/>
        <v>7343.26</v>
      </c>
      <c r="P1784" t="str">
        <f>IFERROR(INDEX(Supplier_Lookup!$B$2:$B$200,MATCH(E1784,Supplier_Lookup!$A$2:$A$200,0)),"Unmapped")</f>
        <v>Agency Labour</v>
      </c>
      <c r="Q1784" s="10">
        <f>IFERROR(INDEX(Category_Targets!$B$2:$B$9,MATCH(F1784,Category_Targets!$A$2:$A$9,0)),0)</f>
        <v>7.0000000000000007E-2</v>
      </c>
      <c r="R1784" s="7">
        <f t="shared" si="55"/>
        <v>514.02820000000008</v>
      </c>
    </row>
    <row r="1785" spans="1:18" x14ac:dyDescent="0.25">
      <c r="A1785" s="5">
        <f>Procurement_Raw!A1785</f>
        <v>45711</v>
      </c>
      <c r="B1785" t="str">
        <f>Procurement_Raw!B1785</f>
        <v>S015</v>
      </c>
      <c r="C1785" t="str">
        <f>Procurement_Raw!C1785</f>
        <v>Brighton Care &amp; Education Centre</v>
      </c>
      <c r="D1785" t="str">
        <f>Procurement_Raw!D1785</f>
        <v>South</v>
      </c>
      <c r="E1785" t="str">
        <f>Procurement_Raw!E1785</f>
        <v>FreshServe</v>
      </c>
      <c r="F1785" t="str">
        <f>Procurement_Raw!F1785</f>
        <v>Food &amp; Catering</v>
      </c>
      <c r="G1785" t="str">
        <f>Procurement_Raw!G1785</f>
        <v>INV-2025-01784</v>
      </c>
      <c r="H1785" s="6">
        <f>Procurement_Raw!H1785</f>
        <v>12</v>
      </c>
      <c r="I1785" s="7">
        <f>Procurement_Raw!I1785</f>
        <v>98.73</v>
      </c>
      <c r="J1785" s="7">
        <f>Procurement_Raw!J1785</f>
        <v>1184.79</v>
      </c>
      <c r="K1785" s="6">
        <f>Procurement_Raw!K1785</f>
        <v>60</v>
      </c>
      <c r="L1785" t="str">
        <f>Procurement_Raw!L1785</f>
        <v>ERP</v>
      </c>
      <c r="M1785" s="8">
        <f>Procurement_Raw!M1785</f>
        <v>236.958</v>
      </c>
      <c r="N1785" s="7">
        <f>Procurement_Raw!N1785</f>
        <v>1184.79</v>
      </c>
      <c r="O1785" s="7">
        <f t="shared" si="54"/>
        <v>1184.79</v>
      </c>
      <c r="P1785" t="str">
        <f>IFERROR(INDEX(Supplier_Lookup!$B$2:$B$200,MATCH(E1785,Supplier_Lookup!$A$2:$A$200,0)),"Unmapped")</f>
        <v>Food &amp; Catering</v>
      </c>
      <c r="Q1785" s="10">
        <f>IFERROR(INDEX(Category_Targets!$B$2:$B$9,MATCH(F1785,Category_Targets!$A$2:$A$9,0)),0)</f>
        <v>0.04</v>
      </c>
      <c r="R1785" s="7">
        <f t="shared" si="55"/>
        <v>47.391599999999997</v>
      </c>
    </row>
    <row r="1786" spans="1:18" x14ac:dyDescent="0.25">
      <c r="A1786" s="5">
        <f>Procurement_Raw!A1786</f>
        <v>45912</v>
      </c>
      <c r="B1786" t="str">
        <f>Procurement_Raw!B1786</f>
        <v>S020</v>
      </c>
      <c r="C1786" t="str">
        <f>Procurement_Raw!C1786</f>
        <v>Bangor Care &amp; Education Centre</v>
      </c>
      <c r="D1786" t="str">
        <f>Procurement_Raw!D1786</f>
        <v>Wales</v>
      </c>
      <c r="E1786" t="str">
        <f>Procurement_Raw!E1786</f>
        <v>HealthStaffing</v>
      </c>
      <c r="F1786" t="str">
        <f>Procurement_Raw!F1786</f>
        <v>Agency Labour</v>
      </c>
      <c r="G1786" t="str">
        <f>Procurement_Raw!G1786</f>
        <v>INV-2025-01785</v>
      </c>
      <c r="H1786" s="6">
        <f>Procurement_Raw!H1786</f>
        <v>80</v>
      </c>
      <c r="I1786" s="7">
        <f>Procurement_Raw!I1786</f>
        <v>313.92</v>
      </c>
      <c r="J1786" s="7">
        <f>Procurement_Raw!J1786</f>
        <v>25113.25</v>
      </c>
      <c r="K1786" s="6">
        <f>Procurement_Raw!K1786</f>
        <v>60</v>
      </c>
      <c r="L1786" t="str">
        <f>Procurement_Raw!L1786</f>
        <v>ERP</v>
      </c>
      <c r="M1786" s="8">
        <f>Procurement_Raw!M1786</f>
        <v>5022.6499999999996</v>
      </c>
      <c r="N1786" s="7">
        <f>Procurement_Raw!N1786</f>
        <v>25113.25</v>
      </c>
      <c r="O1786" s="7">
        <f t="shared" si="54"/>
        <v>25113.25</v>
      </c>
      <c r="P1786" t="str">
        <f>IFERROR(INDEX(Supplier_Lookup!$B$2:$B$200,MATCH(E1786,Supplier_Lookup!$A$2:$A$200,0)),"Unmapped")</f>
        <v>Agency Labour</v>
      </c>
      <c r="Q1786" s="10">
        <f>IFERROR(INDEX(Category_Targets!$B$2:$B$9,MATCH(F1786,Category_Targets!$A$2:$A$9,0)),0)</f>
        <v>7.0000000000000007E-2</v>
      </c>
      <c r="R1786" s="7">
        <f t="shared" si="55"/>
        <v>1757.9275000000002</v>
      </c>
    </row>
    <row r="1787" spans="1:18" x14ac:dyDescent="0.25">
      <c r="A1787" s="5">
        <f>Procurement_Raw!A1787</f>
        <v>45955</v>
      </c>
      <c r="B1787" t="str">
        <f>Procurement_Raw!B1787</f>
        <v>S017</v>
      </c>
      <c r="C1787" t="str">
        <f>Procurement_Raw!C1787</f>
        <v>Swansea Care &amp; Education Centre</v>
      </c>
      <c r="D1787" t="str">
        <f>Procurement_Raw!D1787</f>
        <v>Wales</v>
      </c>
      <c r="E1787" t="str">
        <f>Procurement_Raw!E1787</f>
        <v>PrintCo</v>
      </c>
      <c r="F1787" t="str">
        <f>Procurement_Raw!F1787</f>
        <v>Office &amp; Training</v>
      </c>
      <c r="G1787" t="str">
        <f>Procurement_Raw!G1787</f>
        <v>INV-2025-01786</v>
      </c>
      <c r="H1787" s="6">
        <f>Procurement_Raw!H1787</f>
        <v>5</v>
      </c>
      <c r="I1787" s="7">
        <f>Procurement_Raw!I1787</f>
        <v>33.64</v>
      </c>
      <c r="J1787" s="7">
        <f>Procurement_Raw!J1787</f>
        <v>168.22</v>
      </c>
      <c r="K1787" s="6">
        <f>Procurement_Raw!K1787</f>
        <v>60</v>
      </c>
      <c r="L1787" t="str">
        <f>Procurement_Raw!L1787</f>
        <v>Procurement Portal</v>
      </c>
      <c r="M1787" s="8">
        <f>Procurement_Raw!M1787</f>
        <v>33.643999999999998</v>
      </c>
      <c r="N1787" s="7">
        <f>Procurement_Raw!N1787</f>
        <v>168.22</v>
      </c>
      <c r="O1787" s="7">
        <f t="shared" si="54"/>
        <v>168.22</v>
      </c>
      <c r="P1787" t="str">
        <f>IFERROR(INDEX(Supplier_Lookup!$B$2:$B$200,MATCH(E1787,Supplier_Lookup!$A$2:$A$200,0)),"Unmapped")</f>
        <v>Office &amp; Training</v>
      </c>
      <c r="Q1787" s="10">
        <f>IFERROR(INDEX(Category_Targets!$B$2:$B$9,MATCH(F1787,Category_Targets!$A$2:$A$9,0)),0)</f>
        <v>0.04</v>
      </c>
      <c r="R1787" s="7">
        <f t="shared" si="55"/>
        <v>6.7287999999999997</v>
      </c>
    </row>
    <row r="1788" spans="1:18" x14ac:dyDescent="0.25">
      <c r="A1788" s="5">
        <f>Procurement_Raw!A1788</f>
        <v>45890</v>
      </c>
      <c r="B1788" t="str">
        <f>Procurement_Raw!B1788</f>
        <v>S011</v>
      </c>
      <c r="C1788" t="str">
        <f>Procurement_Raw!C1788</f>
        <v>London Care &amp; Education Centre</v>
      </c>
      <c r="D1788" t="str">
        <f>Procurement_Raw!D1788</f>
        <v>South</v>
      </c>
      <c r="E1788" t="str">
        <f>Procurement_Raw!E1788</f>
        <v>UK Energy Partners</v>
      </c>
      <c r="F1788" t="str">
        <f>Procurement_Raw!F1788</f>
        <v>Utilities</v>
      </c>
      <c r="G1788" t="str">
        <f>Procurement_Raw!G1788</f>
        <v>INV-2025-01787</v>
      </c>
      <c r="H1788" s="6">
        <f>Procurement_Raw!H1788</f>
        <v>71</v>
      </c>
      <c r="I1788" s="7">
        <f>Procurement_Raw!I1788</f>
        <v>210.9</v>
      </c>
      <c r="J1788" s="7">
        <f>Procurement_Raw!J1788</f>
        <v>14974.08</v>
      </c>
      <c r="K1788" s="6">
        <f>Procurement_Raw!K1788</f>
        <v>45</v>
      </c>
      <c r="L1788" t="str">
        <f>Procurement_Raw!L1788</f>
        <v>ERP</v>
      </c>
      <c r="M1788" s="8">
        <f>Procurement_Raw!M1788</f>
        <v>2994.8159999999998</v>
      </c>
      <c r="N1788" s="7">
        <f>Procurement_Raw!N1788</f>
        <v>14974.08</v>
      </c>
      <c r="O1788" s="7">
        <f t="shared" si="54"/>
        <v>14974.08</v>
      </c>
      <c r="P1788" t="str">
        <f>IFERROR(INDEX(Supplier_Lookup!$B$2:$B$200,MATCH(E1788,Supplier_Lookup!$A$2:$A$200,0)),"Unmapped")</f>
        <v>Utilities</v>
      </c>
      <c r="Q1788" s="10">
        <f>IFERROR(INDEX(Category_Targets!$B$2:$B$9,MATCH(F1788,Category_Targets!$A$2:$A$9,0)),0)</f>
        <v>0.03</v>
      </c>
      <c r="R1788" s="7">
        <f t="shared" si="55"/>
        <v>449.22239999999999</v>
      </c>
    </row>
    <row r="1789" spans="1:18" x14ac:dyDescent="0.25">
      <c r="A1789" s="5">
        <f>Procurement_Raw!A1789</f>
        <v>45837</v>
      </c>
      <c r="B1789" t="str">
        <f>Procurement_Raw!B1789</f>
        <v>S019</v>
      </c>
      <c r="C1789" t="str">
        <f>Procurement_Raw!C1789</f>
        <v>Wrexham Care &amp; Education Centre</v>
      </c>
      <c r="D1789" t="str">
        <f>Procurement_Raw!D1789</f>
        <v>Wales</v>
      </c>
      <c r="E1789" t="str">
        <f>Procurement_Raw!E1789</f>
        <v>OfficePlus</v>
      </c>
      <c r="F1789" t="str">
        <f>Procurement_Raw!F1789</f>
        <v>Office &amp; Training</v>
      </c>
      <c r="G1789" t="str">
        <f>Procurement_Raw!G1789</f>
        <v>INV-2025-01788</v>
      </c>
      <c r="H1789" s="6">
        <f>Procurement_Raw!H1789</f>
        <v>60</v>
      </c>
      <c r="I1789" s="7">
        <f>Procurement_Raw!I1789</f>
        <v>49.59</v>
      </c>
      <c r="J1789" s="7">
        <f>Procurement_Raw!J1789</f>
        <v>2975.44</v>
      </c>
      <c r="K1789" s="6">
        <f>Procurement_Raw!K1789</f>
        <v>45</v>
      </c>
      <c r="L1789" t="str">
        <f>Procurement_Raw!L1789</f>
        <v>Legacy Spend File</v>
      </c>
      <c r="M1789" s="8">
        <f>Procurement_Raw!M1789</f>
        <v>595.08799999999997</v>
      </c>
      <c r="N1789" s="7">
        <f>Procurement_Raw!N1789</f>
        <v>2975.44</v>
      </c>
      <c r="O1789" s="7">
        <f t="shared" si="54"/>
        <v>2975.44</v>
      </c>
      <c r="P1789" t="str">
        <f>IFERROR(INDEX(Supplier_Lookup!$B$2:$B$200,MATCH(E1789,Supplier_Lookup!$A$2:$A$200,0)),"Unmapped")</f>
        <v>Office &amp; Training</v>
      </c>
      <c r="Q1789" s="10">
        <f>IFERROR(INDEX(Category_Targets!$B$2:$B$9,MATCH(F1789,Category_Targets!$A$2:$A$9,0)),0)</f>
        <v>0.04</v>
      </c>
      <c r="R1789" s="7">
        <f t="shared" si="55"/>
        <v>119.0176</v>
      </c>
    </row>
    <row r="1790" spans="1:18" x14ac:dyDescent="0.25">
      <c r="A1790" s="5">
        <f>Procurement_Raw!A1790</f>
        <v>45849</v>
      </c>
      <c r="B1790" t="str">
        <f>Procurement_Raw!B1790</f>
        <v>S004</v>
      </c>
      <c r="C1790" t="str">
        <f>Procurement_Raw!C1790</f>
        <v>Newcastle Care &amp; Education Centre</v>
      </c>
      <c r="D1790" t="str">
        <f>Procurement_Raw!D1790</f>
        <v>North</v>
      </c>
      <c r="E1790" t="str">
        <f>Procurement_Raw!E1790</f>
        <v>HealthStaffing</v>
      </c>
      <c r="F1790" t="str">
        <f>Procurement_Raw!F1790</f>
        <v>Agency Labour</v>
      </c>
      <c r="G1790" t="str">
        <f>Procurement_Raw!G1790</f>
        <v>INV-2025-01789</v>
      </c>
      <c r="H1790" s="6">
        <f>Procurement_Raw!H1790</f>
        <v>29</v>
      </c>
      <c r="I1790" s="7">
        <f>Procurement_Raw!I1790</f>
        <v>357.57</v>
      </c>
      <c r="J1790" s="7">
        <f>Procurement_Raw!J1790</f>
        <v>10369.5</v>
      </c>
      <c r="K1790" s="6">
        <f>Procurement_Raw!K1790</f>
        <v>60</v>
      </c>
      <c r="L1790" t="str">
        <f>Procurement_Raw!L1790</f>
        <v>Procurement Portal</v>
      </c>
      <c r="M1790" s="8">
        <f>Procurement_Raw!M1790</f>
        <v>2073.9</v>
      </c>
      <c r="N1790" s="7">
        <f>Procurement_Raw!N1790</f>
        <v>10369.5</v>
      </c>
      <c r="O1790" s="7">
        <f t="shared" si="54"/>
        <v>10369.5</v>
      </c>
      <c r="P1790" t="str">
        <f>IFERROR(INDEX(Supplier_Lookup!$B$2:$B$200,MATCH(E1790,Supplier_Lookup!$A$2:$A$200,0)),"Unmapped")</f>
        <v>Agency Labour</v>
      </c>
      <c r="Q1790" s="10">
        <f>IFERROR(INDEX(Category_Targets!$B$2:$B$9,MATCH(F1790,Category_Targets!$A$2:$A$9,0)),0)</f>
        <v>7.0000000000000007E-2</v>
      </c>
      <c r="R1790" s="7">
        <f t="shared" si="55"/>
        <v>725.86500000000012</v>
      </c>
    </row>
    <row r="1791" spans="1:18" x14ac:dyDescent="0.25">
      <c r="A1791" s="5">
        <f>Procurement_Raw!A1791</f>
        <v>45870</v>
      </c>
      <c r="B1791" t="str">
        <f>Procurement_Raw!B1791</f>
        <v>S011</v>
      </c>
      <c r="C1791" t="str">
        <f>Procurement_Raw!C1791</f>
        <v>London Care &amp; Education Centre</v>
      </c>
      <c r="D1791" t="str">
        <f>Procurement_Raw!D1791</f>
        <v>South</v>
      </c>
      <c r="E1791" t="str">
        <f>Procurement_Raw!E1791</f>
        <v>TeleCare IT</v>
      </c>
      <c r="F1791" t="str">
        <f>Procurement_Raw!F1791</f>
        <v>IT &amp; Telecoms</v>
      </c>
      <c r="G1791" t="str">
        <f>Procurement_Raw!G1791</f>
        <v>INV-2025-01790</v>
      </c>
      <c r="H1791" s="6">
        <f>Procurement_Raw!H1791</f>
        <v>31</v>
      </c>
      <c r="I1791" s="7">
        <f>Procurement_Raw!I1791</f>
        <v>459.84</v>
      </c>
      <c r="J1791" s="7">
        <f>Procurement_Raw!J1791</f>
        <v>14254.99</v>
      </c>
      <c r="K1791" s="6">
        <f>Procurement_Raw!K1791</f>
        <v>30</v>
      </c>
      <c r="L1791" t="str">
        <f>Procurement_Raw!L1791</f>
        <v>Procurement Portal</v>
      </c>
      <c r="M1791" s="8">
        <f>Procurement_Raw!M1791</f>
        <v>2850.998</v>
      </c>
      <c r="N1791" s="7">
        <f>Procurement_Raw!N1791</f>
        <v>14254.99</v>
      </c>
      <c r="O1791" s="7">
        <f t="shared" si="54"/>
        <v>14254.99</v>
      </c>
      <c r="P1791" t="str">
        <f>IFERROR(INDEX(Supplier_Lookup!$B$2:$B$200,MATCH(E1791,Supplier_Lookup!$A$2:$A$200,0)),"Unmapped")</f>
        <v>IT &amp; Telecoms</v>
      </c>
      <c r="Q1791" s="10">
        <f>IFERROR(INDEX(Category_Targets!$B$2:$B$9,MATCH(F1791,Category_Targets!$A$2:$A$9,0)),0)</f>
        <v>0.08</v>
      </c>
      <c r="R1791" s="7">
        <f t="shared" si="55"/>
        <v>1140.3992000000001</v>
      </c>
    </row>
    <row r="1792" spans="1:18" x14ac:dyDescent="0.25">
      <c r="A1792" s="5">
        <f>Procurement_Raw!A1792</f>
        <v>45736</v>
      </c>
      <c r="B1792" t="str">
        <f>Procurement_Raw!B1792</f>
        <v>S018</v>
      </c>
      <c r="C1792" t="str">
        <f>Procurement_Raw!C1792</f>
        <v>Newport Care &amp; Education Centre</v>
      </c>
      <c r="D1792" t="str">
        <f>Procurement_Raw!D1792</f>
        <v>Wales</v>
      </c>
      <c r="E1792" t="str">
        <f>Procurement_Raw!E1792</f>
        <v>MediSure</v>
      </c>
      <c r="F1792" t="str">
        <f>Procurement_Raw!F1792</f>
        <v>Medical Supplies</v>
      </c>
      <c r="G1792" t="str">
        <f>Procurement_Raw!G1792</f>
        <v>INV-2025-01791</v>
      </c>
      <c r="H1792" s="6">
        <f>Procurement_Raw!H1792</f>
        <v>48</v>
      </c>
      <c r="I1792" s="7">
        <f>Procurement_Raw!I1792</f>
        <v>42.78</v>
      </c>
      <c r="J1792" s="7">
        <f>Procurement_Raw!J1792</f>
        <v>2053.6</v>
      </c>
      <c r="K1792" s="6">
        <f>Procurement_Raw!K1792</f>
        <v>60</v>
      </c>
      <c r="L1792" t="str">
        <f>Procurement_Raw!L1792</f>
        <v>Legacy Spend File</v>
      </c>
      <c r="M1792" s="8">
        <f>Procurement_Raw!M1792</f>
        <v>410.72</v>
      </c>
      <c r="N1792" s="7">
        <f>Procurement_Raw!N1792</f>
        <v>2053.6</v>
      </c>
      <c r="O1792" s="7">
        <f t="shared" si="54"/>
        <v>2053.6</v>
      </c>
      <c r="P1792" t="str">
        <f>IFERROR(INDEX(Supplier_Lookup!$B$2:$B$200,MATCH(E1792,Supplier_Lookup!$A$2:$A$200,0)),"Unmapped")</f>
        <v>Medical Supplies</v>
      </c>
      <c r="Q1792" s="10">
        <f>IFERROR(INDEX(Category_Targets!$B$2:$B$9,MATCH(F1792,Category_Targets!$A$2:$A$9,0)),0)</f>
        <v>0.06</v>
      </c>
      <c r="R1792" s="7">
        <f t="shared" si="55"/>
        <v>123.21599999999999</v>
      </c>
    </row>
    <row r="1793" spans="1:18" x14ac:dyDescent="0.25">
      <c r="A1793" s="5">
        <f>Procurement_Raw!A1793</f>
        <v>45745</v>
      </c>
      <c r="B1793" t="str">
        <f>Procurement_Raw!B1793</f>
        <v>S002</v>
      </c>
      <c r="C1793" t="str">
        <f>Procurement_Raw!C1793</f>
        <v>Manchester Care &amp; Education Centre</v>
      </c>
      <c r="D1793" t="str">
        <f>Procurement_Raw!D1793</f>
        <v>North</v>
      </c>
      <c r="E1793" t="str">
        <f>Procurement_Raw!E1793</f>
        <v>RoadReady</v>
      </c>
      <c r="F1793" t="str">
        <f>Procurement_Raw!F1793</f>
        <v>Vehicle &amp; Fuel</v>
      </c>
      <c r="G1793" t="str">
        <f>Procurement_Raw!G1793</f>
        <v>INV-2025-01792</v>
      </c>
      <c r="H1793" s="6">
        <f>Procurement_Raw!H1793</f>
        <v>74</v>
      </c>
      <c r="I1793" s="7">
        <f>Procurement_Raw!I1793</f>
        <v>101.2</v>
      </c>
      <c r="J1793" s="7">
        <f>Procurement_Raw!J1793</f>
        <v>7489.12</v>
      </c>
      <c r="K1793" s="6">
        <f>Procurement_Raw!K1793</f>
        <v>45</v>
      </c>
      <c r="L1793" t="str">
        <f>Procurement_Raw!L1793</f>
        <v>ERP</v>
      </c>
      <c r="M1793" s="8">
        <f>Procurement_Raw!M1793</f>
        <v>1497.8240000000001</v>
      </c>
      <c r="N1793" s="7">
        <f>Procurement_Raw!N1793</f>
        <v>7489.12</v>
      </c>
      <c r="O1793" s="7">
        <f t="shared" si="54"/>
        <v>7489.12</v>
      </c>
      <c r="P1793" t="str">
        <f>IFERROR(INDEX(Supplier_Lookup!$B$2:$B$200,MATCH(E1793,Supplier_Lookup!$A$2:$A$200,0)),"Unmapped")</f>
        <v>Vehicle &amp; Fuel</v>
      </c>
      <c r="Q1793" s="10">
        <f>IFERROR(INDEX(Category_Targets!$B$2:$B$9,MATCH(F1793,Category_Targets!$A$2:$A$9,0)),0)</f>
        <v>0.05</v>
      </c>
      <c r="R1793" s="7">
        <f t="shared" si="55"/>
        <v>374.45600000000002</v>
      </c>
    </row>
    <row r="1794" spans="1:18" x14ac:dyDescent="0.25">
      <c r="A1794" s="5">
        <f>Procurement_Raw!A1794</f>
        <v>45973</v>
      </c>
      <c r="B1794" t="str">
        <f>Procurement_Raw!B1794</f>
        <v>S018</v>
      </c>
      <c r="C1794" t="str">
        <f>Procurement_Raw!C1794</f>
        <v>Newport Care &amp; Education Centre</v>
      </c>
      <c r="D1794" t="str">
        <f>Procurement_Raw!D1794</f>
        <v>Wales</v>
      </c>
      <c r="E1794" t="str">
        <f>Procurement_Raw!E1794</f>
        <v>HealthStaffing</v>
      </c>
      <c r="F1794" t="str">
        <f>Procurement_Raw!F1794</f>
        <v>Agency Labour</v>
      </c>
      <c r="G1794" t="str">
        <f>Procurement_Raw!G1794</f>
        <v>INV-2025-01793</v>
      </c>
      <c r="H1794" s="6">
        <f>Procurement_Raw!H1794</f>
        <v>51</v>
      </c>
      <c r="I1794" s="7">
        <f>Procurement_Raw!I1794</f>
        <v>274.70999999999998</v>
      </c>
      <c r="J1794" s="7">
        <f>Procurement_Raw!J1794</f>
        <v>14010.12</v>
      </c>
      <c r="K1794" s="6">
        <f>Procurement_Raw!K1794</f>
        <v>30</v>
      </c>
      <c r="L1794" t="str">
        <f>Procurement_Raw!L1794</f>
        <v>Legacy Spend File</v>
      </c>
      <c r="M1794" s="8">
        <f>Procurement_Raw!M1794</f>
        <v>2802.0239999999999</v>
      </c>
      <c r="N1794" s="7">
        <f>Procurement_Raw!N1794</f>
        <v>14010.12</v>
      </c>
      <c r="O1794" s="7">
        <f t="shared" ref="O1794:O1801" si="56">IFERROR(IF(J1794="","",J1794),0)</f>
        <v>14010.12</v>
      </c>
      <c r="P1794" t="str">
        <f>IFERROR(INDEX(Supplier_Lookup!$B$2:$B$200,MATCH(E1794,Supplier_Lookup!$A$2:$A$200,0)),"Unmapped")</f>
        <v>Agency Labour</v>
      </c>
      <c r="Q1794" s="10">
        <f>IFERROR(INDEX(Category_Targets!$B$2:$B$9,MATCH(F1794,Category_Targets!$A$2:$A$9,0)),0)</f>
        <v>7.0000000000000007E-2</v>
      </c>
      <c r="R1794" s="7">
        <f t="shared" ref="R1794:R1857" si="57">O1794*Q1794</f>
        <v>980.7084000000001</v>
      </c>
    </row>
    <row r="1795" spans="1:18" x14ac:dyDescent="0.25">
      <c r="A1795" s="5">
        <f>Procurement_Raw!A1795</f>
        <v>45857</v>
      </c>
      <c r="B1795" t="str">
        <f>Procurement_Raw!B1795</f>
        <v>S004</v>
      </c>
      <c r="C1795" t="str">
        <f>Procurement_Raw!C1795</f>
        <v>Newcastle Care &amp; Education Centre</v>
      </c>
      <c r="D1795" t="str">
        <f>Procurement_Raw!D1795</f>
        <v>North</v>
      </c>
      <c r="E1795" t="str">
        <f>Procurement_Raw!E1795</f>
        <v>BuildCare</v>
      </c>
      <c r="F1795" t="str">
        <f>Procurement_Raw!F1795</f>
        <v>Facilities</v>
      </c>
      <c r="G1795" t="str">
        <f>Procurement_Raw!G1795</f>
        <v>INV-2025-01794</v>
      </c>
      <c r="H1795" s="6">
        <f>Procurement_Raw!H1795</f>
        <v>23</v>
      </c>
      <c r="I1795" s="7">
        <f>Procurement_Raw!I1795</f>
        <v>260.39</v>
      </c>
      <c r="J1795" s="7">
        <f>Procurement_Raw!J1795</f>
        <v>5989.05</v>
      </c>
      <c r="K1795" s="6">
        <f>Procurement_Raw!K1795</f>
        <v>45</v>
      </c>
      <c r="L1795" t="str">
        <f>Procurement_Raw!L1795</f>
        <v>Procurement Portal</v>
      </c>
      <c r="M1795" s="8">
        <f>Procurement_Raw!M1795</f>
        <v>1197.81</v>
      </c>
      <c r="N1795" s="7">
        <f>Procurement_Raw!N1795</f>
        <v>5989.05</v>
      </c>
      <c r="O1795" s="7">
        <f t="shared" si="56"/>
        <v>5989.05</v>
      </c>
      <c r="P1795" t="str">
        <f>IFERROR(INDEX(Supplier_Lookup!$B$2:$B$200,MATCH(E1795,Supplier_Lookup!$A$2:$A$200,0)),"Unmapped")</f>
        <v>Facilities</v>
      </c>
      <c r="Q1795" s="10">
        <f>IFERROR(INDEX(Category_Targets!$B$2:$B$9,MATCH(F1795,Category_Targets!$A$2:$A$9,0)),0)</f>
        <v>0.05</v>
      </c>
      <c r="R1795" s="7">
        <f t="shared" si="57"/>
        <v>299.45250000000004</v>
      </c>
    </row>
    <row r="1796" spans="1:18" x14ac:dyDescent="0.25">
      <c r="A1796" s="5">
        <f>Procurement_Raw!A1796</f>
        <v>45776</v>
      </c>
      <c r="B1796" t="str">
        <f>Procurement_Raw!B1796</f>
        <v>S012</v>
      </c>
      <c r="C1796" t="str">
        <f>Procurement_Raw!C1796</f>
        <v>Bristol Care &amp; Education Centre</v>
      </c>
      <c r="D1796" t="str">
        <f>Procurement_Raw!D1796</f>
        <v>South</v>
      </c>
      <c r="E1796" t="str">
        <f>Procurement_Raw!E1796</f>
        <v>SafeGuard FM</v>
      </c>
      <c r="F1796" t="str">
        <f>Procurement_Raw!F1796</f>
        <v>Facilities</v>
      </c>
      <c r="G1796" t="str">
        <f>Procurement_Raw!G1796</f>
        <v>INV-2025-01795</v>
      </c>
      <c r="H1796" s="6">
        <f>Procurement_Raw!H1796</f>
        <v>13</v>
      </c>
      <c r="I1796" s="7">
        <f>Procurement_Raw!I1796</f>
        <v>202.39</v>
      </c>
      <c r="J1796" s="7">
        <f>Procurement_Raw!J1796</f>
        <v>2631.12</v>
      </c>
      <c r="K1796" s="6">
        <f>Procurement_Raw!K1796</f>
        <v>60</v>
      </c>
      <c r="L1796" t="str">
        <f>Procurement_Raw!L1796</f>
        <v>ERP</v>
      </c>
      <c r="M1796" s="8">
        <f>Procurement_Raw!M1796</f>
        <v>526.22400000000005</v>
      </c>
      <c r="N1796" s="7">
        <f>Procurement_Raw!N1796</f>
        <v>2631.12</v>
      </c>
      <c r="O1796" s="7">
        <f t="shared" si="56"/>
        <v>2631.12</v>
      </c>
      <c r="P1796" t="str">
        <f>IFERROR(INDEX(Supplier_Lookup!$B$2:$B$200,MATCH(E1796,Supplier_Lookup!$A$2:$A$200,0)),"Unmapped")</f>
        <v>Facilities</v>
      </c>
      <c r="Q1796" s="10">
        <f>IFERROR(INDEX(Category_Targets!$B$2:$B$9,MATCH(F1796,Category_Targets!$A$2:$A$9,0)),0)</f>
        <v>0.05</v>
      </c>
      <c r="R1796" s="7">
        <f t="shared" si="57"/>
        <v>131.55600000000001</v>
      </c>
    </row>
    <row r="1797" spans="1:18" x14ac:dyDescent="0.25">
      <c r="A1797" s="5">
        <f>Procurement_Raw!A1797</f>
        <v>45953</v>
      </c>
      <c r="B1797" t="str">
        <f>Procurement_Raw!B1797</f>
        <v>S007</v>
      </c>
      <c r="C1797" t="str">
        <f>Procurement_Raw!C1797</f>
        <v>Nottingham Care &amp; Education Centre</v>
      </c>
      <c r="D1797" t="str">
        <f>Procurement_Raw!D1797</f>
        <v>Midlands</v>
      </c>
      <c r="E1797" t="str">
        <f>Procurement_Raw!E1797</f>
        <v>KitchenPro</v>
      </c>
      <c r="F1797" t="str">
        <f>Procurement_Raw!F1797</f>
        <v>Food &amp; Catering</v>
      </c>
      <c r="G1797" t="str">
        <f>Procurement_Raw!G1797</f>
        <v>INV-2025-01796</v>
      </c>
      <c r="H1797" s="6">
        <f>Procurement_Raw!H1797</f>
        <v>51</v>
      </c>
      <c r="I1797" s="7">
        <f>Procurement_Raw!I1797</f>
        <v>42.98</v>
      </c>
      <c r="J1797" s="7">
        <f>Procurement_Raw!J1797</f>
        <v>2192.13</v>
      </c>
      <c r="K1797" s="6">
        <f>Procurement_Raw!K1797</f>
        <v>60</v>
      </c>
      <c r="L1797" t="str">
        <f>Procurement_Raw!L1797</f>
        <v>Procurement Portal</v>
      </c>
      <c r="M1797" s="8">
        <f>Procurement_Raw!M1797</f>
        <v>438.42599999999999</v>
      </c>
      <c r="N1797" s="7">
        <f>Procurement_Raw!N1797</f>
        <v>2192.13</v>
      </c>
      <c r="O1797" s="7">
        <f t="shared" si="56"/>
        <v>2192.13</v>
      </c>
      <c r="P1797" t="str">
        <f>IFERROR(INDEX(Supplier_Lookup!$B$2:$B$200,MATCH(E1797,Supplier_Lookup!$A$2:$A$200,0)),"Unmapped")</f>
        <v>Food &amp; Catering</v>
      </c>
      <c r="Q1797" s="10">
        <f>IFERROR(INDEX(Category_Targets!$B$2:$B$9,MATCH(F1797,Category_Targets!$A$2:$A$9,0)),0)</f>
        <v>0.04</v>
      </c>
      <c r="R1797" s="7">
        <f t="shared" si="57"/>
        <v>87.685200000000009</v>
      </c>
    </row>
    <row r="1798" spans="1:18" x14ac:dyDescent="0.25">
      <c r="A1798" s="5">
        <f>Procurement_Raw!A1798</f>
        <v>45762</v>
      </c>
      <c r="B1798" t="str">
        <f>Procurement_Raw!B1798</f>
        <v>S009</v>
      </c>
      <c r="C1798" t="str">
        <f>Procurement_Raw!C1798</f>
        <v>Derby Care &amp; Education Centre</v>
      </c>
      <c r="D1798" t="str">
        <f>Procurement_Raw!D1798</f>
        <v>Midlands</v>
      </c>
      <c r="E1798" t="str">
        <f>Procurement_Raw!E1798</f>
        <v>SafeGuard FM</v>
      </c>
      <c r="F1798" t="str">
        <f>Procurement_Raw!F1798</f>
        <v>Facilities</v>
      </c>
      <c r="G1798" t="str">
        <f>Procurement_Raw!G1798</f>
        <v>INV-2025-01797</v>
      </c>
      <c r="H1798" s="6">
        <f>Procurement_Raw!H1798</f>
        <v>12</v>
      </c>
      <c r="I1798" s="7">
        <f>Procurement_Raw!I1798</f>
        <v>151.03</v>
      </c>
      <c r="J1798" s="7">
        <f>Procurement_Raw!J1798</f>
        <v>1812.36</v>
      </c>
      <c r="K1798" s="6">
        <f>Procurement_Raw!K1798</f>
        <v>30</v>
      </c>
      <c r="L1798" t="str">
        <f>Procurement_Raw!L1798</f>
        <v>ERP</v>
      </c>
      <c r="M1798" s="8">
        <f>Procurement_Raw!M1798</f>
        <v>362.47199999999998</v>
      </c>
      <c r="N1798" s="7">
        <f>Procurement_Raw!N1798</f>
        <v>1812.36</v>
      </c>
      <c r="O1798" s="7">
        <f t="shared" si="56"/>
        <v>1812.36</v>
      </c>
      <c r="P1798" t="str">
        <f>IFERROR(INDEX(Supplier_Lookup!$B$2:$B$200,MATCH(E1798,Supplier_Lookup!$A$2:$A$200,0)),"Unmapped")</f>
        <v>Facilities</v>
      </c>
      <c r="Q1798" s="10">
        <f>IFERROR(INDEX(Category_Targets!$B$2:$B$9,MATCH(F1798,Category_Targets!$A$2:$A$9,0)),0)</f>
        <v>0.05</v>
      </c>
      <c r="R1798" s="7">
        <f t="shared" si="57"/>
        <v>90.617999999999995</v>
      </c>
    </row>
    <row r="1799" spans="1:18" x14ac:dyDescent="0.25">
      <c r="A1799" s="5">
        <f>Procurement_Raw!A1799</f>
        <v>45961</v>
      </c>
      <c r="B1799" t="str">
        <f>Procurement_Raw!B1799</f>
        <v>S003</v>
      </c>
      <c r="C1799" t="str">
        <f>Procurement_Raw!C1799</f>
        <v>Leeds Care &amp; Education Centre</v>
      </c>
      <c r="D1799" t="str">
        <f>Procurement_Raw!D1799</f>
        <v>North</v>
      </c>
      <c r="E1799" t="str">
        <f>Procurement_Raw!E1799</f>
        <v>ClinEquip</v>
      </c>
      <c r="F1799" t="str">
        <f>Procurement_Raw!F1799</f>
        <v>Medical Supplies</v>
      </c>
      <c r="G1799" t="str">
        <f>Procurement_Raw!G1799</f>
        <v>INV-2025-01798</v>
      </c>
      <c r="H1799" s="6">
        <f>Procurement_Raw!H1799</f>
        <v>20</v>
      </c>
      <c r="I1799" s="7">
        <f>Procurement_Raw!I1799</f>
        <v>77.45</v>
      </c>
      <c r="J1799" s="7">
        <f>Procurement_Raw!J1799</f>
        <v>1549.07</v>
      </c>
      <c r="K1799" s="6">
        <f>Procurement_Raw!K1799</f>
        <v>30</v>
      </c>
      <c r="L1799" t="str">
        <f>Procurement_Raw!L1799</f>
        <v>Legacy Spend File</v>
      </c>
      <c r="M1799" s="8">
        <f>Procurement_Raw!M1799</f>
        <v>309.81400000000002</v>
      </c>
      <c r="N1799" s="7">
        <f>Procurement_Raw!N1799</f>
        <v>1549.07</v>
      </c>
      <c r="O1799" s="7">
        <f t="shared" si="56"/>
        <v>1549.07</v>
      </c>
      <c r="P1799" t="str">
        <f>IFERROR(INDEX(Supplier_Lookup!$B$2:$B$200,MATCH(E1799,Supplier_Lookup!$A$2:$A$200,0)),"Unmapped")</f>
        <v>Medical Supplies</v>
      </c>
      <c r="Q1799" s="10">
        <f>IFERROR(INDEX(Category_Targets!$B$2:$B$9,MATCH(F1799,Category_Targets!$A$2:$A$9,0)),0)</f>
        <v>0.06</v>
      </c>
      <c r="R1799" s="7">
        <f t="shared" si="57"/>
        <v>92.944199999999995</v>
      </c>
    </row>
    <row r="1800" spans="1:18" x14ac:dyDescent="0.25">
      <c r="A1800" s="5">
        <f>Procurement_Raw!A1800</f>
        <v>45853</v>
      </c>
      <c r="B1800" t="str">
        <f>Procurement_Raw!B1800</f>
        <v>S012</v>
      </c>
      <c r="C1800" t="str">
        <f>Procurement_Raw!C1800</f>
        <v>Bristol Care &amp; Education Centre</v>
      </c>
      <c r="D1800" t="str">
        <f>Procurement_Raw!D1800</f>
        <v>South</v>
      </c>
      <c r="E1800" t="str">
        <f>Procurement_Raw!E1800</f>
        <v>KitchenPro</v>
      </c>
      <c r="F1800" t="str">
        <f>Procurement_Raw!F1800</f>
        <v>Food &amp; Catering</v>
      </c>
      <c r="G1800" t="str">
        <f>Procurement_Raw!G1800</f>
        <v>INV-2025-01799</v>
      </c>
      <c r="H1800" s="6">
        <f>Procurement_Raw!H1800</f>
        <v>4</v>
      </c>
      <c r="I1800" s="7">
        <f>Procurement_Raw!I1800</f>
        <v>117.47</v>
      </c>
      <c r="J1800" s="7">
        <f>Procurement_Raw!J1800</f>
        <v>469.88</v>
      </c>
      <c r="K1800" s="6">
        <f>Procurement_Raw!K1800</f>
        <v>60</v>
      </c>
      <c r="L1800" t="str">
        <f>Procurement_Raw!L1800</f>
        <v>Legacy Spend File</v>
      </c>
      <c r="M1800" s="8">
        <f>Procurement_Raw!M1800</f>
        <v>93.975999999999999</v>
      </c>
      <c r="N1800" s="7">
        <f>Procurement_Raw!N1800</f>
        <v>469.88</v>
      </c>
      <c r="O1800" s="7">
        <f t="shared" si="56"/>
        <v>469.88</v>
      </c>
      <c r="P1800" t="str">
        <f>IFERROR(INDEX(Supplier_Lookup!$B$2:$B$200,MATCH(E1800,Supplier_Lookup!$A$2:$A$200,0)),"Unmapped")</f>
        <v>Food &amp; Catering</v>
      </c>
      <c r="Q1800" s="10">
        <f>IFERROR(INDEX(Category_Targets!$B$2:$B$9,MATCH(F1800,Category_Targets!$A$2:$A$9,0)),0)</f>
        <v>0.04</v>
      </c>
      <c r="R1800" s="7">
        <f t="shared" si="57"/>
        <v>18.795200000000001</v>
      </c>
    </row>
    <row r="1801" spans="1:18" x14ac:dyDescent="0.25">
      <c r="A1801" s="5">
        <f>Procurement_Raw!A1801</f>
        <v>45981</v>
      </c>
      <c r="B1801" t="str">
        <f>Procurement_Raw!B1801</f>
        <v>S020</v>
      </c>
      <c r="C1801" t="str">
        <f>Procurement_Raw!C1801</f>
        <v>Bangor Care &amp; Education Centre</v>
      </c>
      <c r="D1801" t="str">
        <f>Procurement_Raw!D1801</f>
        <v>Wales</v>
      </c>
      <c r="E1801" t="str">
        <f>Procurement_Raw!E1801</f>
        <v>PrintCo</v>
      </c>
      <c r="F1801" t="str">
        <f>Procurement_Raw!F1801</f>
        <v>Office &amp; Training</v>
      </c>
      <c r="G1801" t="str">
        <f>Procurement_Raw!G1801</f>
        <v>INV-2025-01800</v>
      </c>
      <c r="H1801" s="6">
        <f>Procurement_Raw!H1801</f>
        <v>46</v>
      </c>
      <c r="I1801" s="7">
        <f>Procurement_Raw!I1801</f>
        <v>75.88</v>
      </c>
      <c r="J1801" s="7">
        <f>Procurement_Raw!J1801</f>
        <v>3490.68</v>
      </c>
      <c r="K1801" s="6">
        <f>Procurement_Raw!K1801</f>
        <v>30</v>
      </c>
      <c r="L1801" t="str">
        <f>Procurement_Raw!L1801</f>
        <v>ERP</v>
      </c>
      <c r="M1801" s="8">
        <f>Procurement_Raw!M1801</f>
        <v>698.13599999999997</v>
      </c>
      <c r="N1801" s="7">
        <f>Procurement_Raw!N1801</f>
        <v>3490.68</v>
      </c>
      <c r="O1801" s="7">
        <f t="shared" si="56"/>
        <v>3490.68</v>
      </c>
      <c r="P1801" t="str">
        <f>IFERROR(INDEX(Supplier_Lookup!$B$2:$B$200,MATCH(E1801,Supplier_Lookup!$A$2:$A$200,0)),"Unmapped")</f>
        <v>Office &amp; Training</v>
      </c>
      <c r="Q1801" s="10">
        <f>IFERROR(INDEX(Category_Targets!$B$2:$B$9,MATCH(F1801,Category_Targets!$A$2:$A$9,0)),0)</f>
        <v>0.04</v>
      </c>
      <c r="R1801" s="7">
        <f t="shared" si="57"/>
        <v>139.62719999999999</v>
      </c>
    </row>
  </sheetData>
  <conditionalFormatting sqref="N2:N1801">
    <cfRule type="containsText" dxfId="4" priority="2" operator="containsText" text="Missing">
      <formula>NOT(ISERROR(SEARCH("Missing",N2)))</formula>
    </cfRule>
    <cfRule type="containsText" dxfId="3" priority="3" operator="containsText" text="Duplicate">
      <formula>NOT(ISERROR(SEARCH("Duplicate",N2)))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zoomScaleNormal="100" workbookViewId="0"/>
  </sheetViews>
  <sheetFormatPr defaultColWidth="8.7109375" defaultRowHeight="15" customHeight="1" x14ac:dyDescent="0.25"/>
  <cols>
    <col min="1" max="1" width="24.7109375" customWidth="1"/>
    <col min="2" max="8" width="18.7109375" customWidth="1"/>
  </cols>
  <sheetData>
    <row r="1" spans="1:8" ht="26.25" x14ac:dyDescent="0.25">
      <c r="A1" s="2" t="s">
        <v>2141</v>
      </c>
      <c r="B1" s="2"/>
      <c r="C1" s="2"/>
      <c r="D1" s="2"/>
      <c r="E1" s="2"/>
      <c r="F1" s="2"/>
      <c r="G1" s="2"/>
      <c r="H1" s="2"/>
    </row>
    <row r="3" spans="1:8" ht="15.75" x14ac:dyDescent="0.25">
      <c r="A3" s="11" t="s">
        <v>2142</v>
      </c>
    </row>
    <row r="4" spans="1:8" ht="30" x14ac:dyDescent="0.25">
      <c r="A4" s="12" t="s">
        <v>21</v>
      </c>
      <c r="B4" s="12" t="s">
        <v>2143</v>
      </c>
      <c r="C4" s="12" t="s">
        <v>2144</v>
      </c>
      <c r="D4" s="12" t="s">
        <v>2145</v>
      </c>
      <c r="E4" s="12" t="s">
        <v>2146</v>
      </c>
      <c r="F4" s="12" t="s">
        <v>2147</v>
      </c>
      <c r="G4" s="12" t="s">
        <v>2148</v>
      </c>
    </row>
    <row r="5" spans="1:8" x14ac:dyDescent="0.25">
      <c r="A5" t="s">
        <v>50</v>
      </c>
      <c r="B5" s="13">
        <f>SUMIFS(Cleaned_Procurement!$O:$O,Cleaned_Procurement!$F:$F,A5)</f>
        <v>1097153.0099999998</v>
      </c>
      <c r="C5" s="10">
        <f t="shared" ref="C5:C12" si="0">IFERROR(B5/SUM($B$5:$B$12),0)</f>
        <v>7.8803281558884997E-2</v>
      </c>
      <c r="D5" s="10">
        <f>IFERROR(INDEX(Category_Targets!$B$2:$B$9,MATCH(A5,Category_Targets!$A$2:$A$9,0)),0)</f>
        <v>0.06</v>
      </c>
      <c r="E5" s="13">
        <f t="shared" ref="E5:E12" si="1">B5*D5</f>
        <v>65829.180599999978</v>
      </c>
      <c r="F5" s="13">
        <f>SUMIFS(Cleaned_Procurement!$O:$O,Cleaned_Procurement!$F:$F,A5,Cleaned_Procurement!$M:$M,"Y")</f>
        <v>0</v>
      </c>
      <c r="G5" s="13">
        <f t="shared" ref="G5:G12" si="2">B5-F5</f>
        <v>1097153.0099999998</v>
      </c>
    </row>
    <row r="6" spans="1:8" x14ac:dyDescent="0.25">
      <c r="A6" t="s">
        <v>36</v>
      </c>
      <c r="B6" s="13">
        <f>SUMIFS(Cleaned_Procurement!$O:$O,Cleaned_Procurement!$F:$F,A6)</f>
        <v>837713.63000000024</v>
      </c>
      <c r="C6" s="10">
        <f t="shared" si="0"/>
        <v>6.0168985044853178E-2</v>
      </c>
      <c r="D6" s="10">
        <f>IFERROR(INDEX(Category_Targets!$B$2:$B$9,MATCH(A6,Category_Targets!$A$2:$A$9,0)),0)</f>
        <v>0.04</v>
      </c>
      <c r="E6" s="13">
        <f t="shared" si="1"/>
        <v>33508.545200000008</v>
      </c>
      <c r="F6" s="13">
        <f>SUMIFS(Cleaned_Procurement!$O:$O,Cleaned_Procurement!$F:$F,A6,Cleaned_Procurement!$M:$M,"Y")</f>
        <v>0</v>
      </c>
      <c r="G6" s="13">
        <f t="shared" si="2"/>
        <v>837713.63000000024</v>
      </c>
    </row>
    <row r="7" spans="1:8" x14ac:dyDescent="0.25">
      <c r="A7" t="s">
        <v>89</v>
      </c>
      <c r="B7" s="13">
        <f>SUMIFS(Cleaned_Procurement!$O:$O,Cleaned_Procurement!$F:$F,A7)</f>
        <v>2128780.9299999983</v>
      </c>
      <c r="C7" s="10">
        <f t="shared" si="0"/>
        <v>0.1529002076054779</v>
      </c>
      <c r="D7" s="10">
        <f>IFERROR(INDEX(Category_Targets!$B$2:$B$9,MATCH(A7,Category_Targets!$A$2:$A$9,0)),0)</f>
        <v>0.05</v>
      </c>
      <c r="E7" s="13">
        <f t="shared" si="1"/>
        <v>106439.04649999992</v>
      </c>
      <c r="F7" s="13">
        <f>SUMIFS(Cleaned_Procurement!$O:$O,Cleaned_Procurement!$F:$F,A7,Cleaned_Procurement!$M:$M,"Y")</f>
        <v>0</v>
      </c>
      <c r="G7" s="13">
        <f t="shared" si="2"/>
        <v>2128780.9299999983</v>
      </c>
    </row>
    <row r="8" spans="1:8" x14ac:dyDescent="0.25">
      <c r="A8" t="s">
        <v>54</v>
      </c>
      <c r="B8" s="13">
        <f>SUMIFS(Cleaned_Procurement!$O:$O,Cleaned_Procurement!$F:$F,A8)</f>
        <v>2401261.600000001</v>
      </c>
      <c r="C8" s="10">
        <f t="shared" si="0"/>
        <v>0.17247119794288202</v>
      </c>
      <c r="D8" s="10">
        <f>IFERROR(INDEX(Category_Targets!$B$2:$B$9,MATCH(A8,Category_Targets!$A$2:$A$9,0)),0)</f>
        <v>0.03</v>
      </c>
      <c r="E8" s="13">
        <f t="shared" si="1"/>
        <v>72037.848000000027</v>
      </c>
      <c r="F8" s="13">
        <f>SUMIFS(Cleaned_Procurement!$O:$O,Cleaned_Procurement!$F:$F,A8,Cleaned_Procurement!$M:$M,"Y")</f>
        <v>0</v>
      </c>
      <c r="G8" s="13">
        <f t="shared" si="2"/>
        <v>2401261.600000001</v>
      </c>
    </row>
    <row r="9" spans="1:8" x14ac:dyDescent="0.25">
      <c r="A9" t="s">
        <v>60</v>
      </c>
      <c r="B9" s="13">
        <f>SUMIFS(Cleaned_Procurement!$O:$O,Cleaned_Procurement!$F:$F,A9)</f>
        <v>2505155.1799999997</v>
      </c>
      <c r="C9" s="10">
        <f t="shared" si="0"/>
        <v>0.17993337957322766</v>
      </c>
      <c r="D9" s="10">
        <f>IFERROR(INDEX(Category_Targets!$B$2:$B$9,MATCH(A9,Category_Targets!$A$2:$A$9,0)),0)</f>
        <v>0.08</v>
      </c>
      <c r="E9" s="13">
        <f t="shared" si="1"/>
        <v>200412.41439999998</v>
      </c>
      <c r="F9" s="13">
        <f>SUMIFS(Cleaned_Procurement!$O:$O,Cleaned_Procurement!$F:$F,A9,Cleaned_Procurement!$M:$M,"Y")</f>
        <v>0</v>
      </c>
      <c r="G9" s="13">
        <f t="shared" si="2"/>
        <v>2505155.1799999997</v>
      </c>
    </row>
    <row r="10" spans="1:8" x14ac:dyDescent="0.25">
      <c r="A10" t="s">
        <v>71</v>
      </c>
      <c r="B10" s="13">
        <f>SUMIFS(Cleaned_Procurement!$O:$O,Cleaned_Procurement!$F:$F,A10)</f>
        <v>1030620.2999999997</v>
      </c>
      <c r="C10" s="10">
        <f t="shared" si="0"/>
        <v>7.4024553495234471E-2</v>
      </c>
      <c r="D10" s="10">
        <f>IFERROR(INDEX(Category_Targets!$B$2:$B$9,MATCH(A10,Category_Targets!$A$2:$A$9,0)),0)</f>
        <v>0.05</v>
      </c>
      <c r="E10" s="13">
        <f t="shared" si="1"/>
        <v>51531.014999999985</v>
      </c>
      <c r="F10" s="13">
        <f>SUMIFS(Cleaned_Procurement!$O:$O,Cleaned_Procurement!$F:$F,A10,Cleaned_Procurement!$M:$M,"Y")</f>
        <v>0</v>
      </c>
      <c r="G10" s="13">
        <f t="shared" si="2"/>
        <v>1030620.2999999997</v>
      </c>
    </row>
    <row r="11" spans="1:8" x14ac:dyDescent="0.25">
      <c r="A11" t="s">
        <v>97</v>
      </c>
      <c r="B11" s="13">
        <f>SUMIFS(Cleaned_Procurement!$O:$O,Cleaned_Procurement!$F:$F,A11)</f>
        <v>3193367.1400000006</v>
      </c>
      <c r="C11" s="10">
        <f t="shared" si="0"/>
        <v>0.22936437084040945</v>
      </c>
      <c r="D11" s="10">
        <f>IFERROR(INDEX(Category_Targets!$B$2:$B$9,MATCH(A11,Category_Targets!$A$2:$A$9,0)),0)</f>
        <v>7.0000000000000007E-2</v>
      </c>
      <c r="E11" s="13">
        <f t="shared" si="1"/>
        <v>223535.69980000006</v>
      </c>
      <c r="F11" s="13">
        <f>SUMIFS(Cleaned_Procurement!$O:$O,Cleaned_Procurement!$F:$F,A11,Cleaned_Procurement!$M:$M,"Y")</f>
        <v>0</v>
      </c>
      <c r="G11" s="13">
        <f t="shared" si="2"/>
        <v>3193367.1400000006</v>
      </c>
    </row>
    <row r="12" spans="1:8" x14ac:dyDescent="0.25">
      <c r="A12" t="s">
        <v>108</v>
      </c>
      <c r="B12" s="13">
        <f>SUMIFS(Cleaned_Procurement!$O:$O,Cleaned_Procurement!$F:$F,A12)</f>
        <v>728629.96</v>
      </c>
      <c r="C12" s="10">
        <f t="shared" si="0"/>
        <v>5.2334023939030277E-2</v>
      </c>
      <c r="D12" s="10">
        <f>IFERROR(INDEX(Category_Targets!$B$2:$B$9,MATCH(A12,Category_Targets!$A$2:$A$9,0)),0)</f>
        <v>0.04</v>
      </c>
      <c r="E12" s="13">
        <f t="shared" si="1"/>
        <v>29145.198399999997</v>
      </c>
      <c r="F12" s="13">
        <f>SUMIFS(Cleaned_Procurement!$O:$O,Cleaned_Procurement!$F:$F,A12,Cleaned_Procurement!$M:$M,"Y")</f>
        <v>0</v>
      </c>
      <c r="G12" s="13">
        <f t="shared" si="2"/>
        <v>728629.96</v>
      </c>
    </row>
    <row r="15" spans="1:8" ht="15.75" x14ac:dyDescent="0.25">
      <c r="A15" s="11" t="s">
        <v>2149</v>
      </c>
    </row>
    <row r="16" spans="1:8" x14ac:dyDescent="0.25">
      <c r="A16" s="12" t="s">
        <v>19</v>
      </c>
      <c r="B16" s="12" t="s">
        <v>2143</v>
      </c>
      <c r="C16" s="12" t="s">
        <v>2150</v>
      </c>
      <c r="D16" s="12" t="s">
        <v>2151</v>
      </c>
      <c r="E16" s="12" t="s">
        <v>2146</v>
      </c>
    </row>
    <row r="17" spans="1:7" x14ac:dyDescent="0.25">
      <c r="A17" t="s">
        <v>69</v>
      </c>
      <c r="B17" s="13">
        <f>SUMIFS(Cleaned_Procurement!$O:$O,Cleaned_Procurement!$D:$D,A17)</f>
        <v>3330923.88</v>
      </c>
      <c r="C17" s="6">
        <f>COUNTIFS(Cleaned_Procurement!$D:$D,A17)</f>
        <v>430</v>
      </c>
      <c r="D17" s="13">
        <f>IFERROR(B17/C17,0)</f>
        <v>7746.3346046511624</v>
      </c>
      <c r="E17" s="13">
        <f>SUMIFS(Cleaned_Procurement!$R:$R,Cleaned_Procurement!$D:$D,A17)</f>
        <v>187081.68519999992</v>
      </c>
    </row>
    <row r="18" spans="1:7" x14ac:dyDescent="0.25">
      <c r="A18" t="s">
        <v>34</v>
      </c>
      <c r="B18" s="13">
        <f>SUMIFS(Cleaned_Procurement!$O:$O,Cleaned_Procurement!$D:$D,A18)</f>
        <v>3517504.9200000032</v>
      </c>
      <c r="C18" s="6">
        <f>COUNTIFS(Cleaned_Procurement!$D:$D,A18)</f>
        <v>475</v>
      </c>
      <c r="D18" s="13">
        <f>IFERROR(B18/C18,0)</f>
        <v>7405.2735157894804</v>
      </c>
      <c r="E18" s="13">
        <f>SUMIFS(Cleaned_Procurement!$R:$R,Cleaned_Procurement!$D:$D,A18)</f>
        <v>197841.60710000005</v>
      </c>
    </row>
    <row r="19" spans="1:7" x14ac:dyDescent="0.25">
      <c r="A19" t="s">
        <v>64</v>
      </c>
      <c r="B19" s="13">
        <f>SUMIFS(Cleaned_Procurement!$O:$O,Cleaned_Procurement!$D:$D,A19)</f>
        <v>3350069.4800000014</v>
      </c>
      <c r="C19" s="6">
        <f>COUNTIFS(Cleaned_Procurement!$D:$D,A19)</f>
        <v>429</v>
      </c>
      <c r="D19" s="13">
        <f>IFERROR(B19/C19,0)</f>
        <v>7809.0197668997698</v>
      </c>
      <c r="E19" s="13">
        <f>SUMIFS(Cleaned_Procurement!$R:$R,Cleaned_Procurement!$D:$D,A19)</f>
        <v>188355.78980000017</v>
      </c>
    </row>
    <row r="20" spans="1:7" x14ac:dyDescent="0.25">
      <c r="A20" t="s">
        <v>58</v>
      </c>
      <c r="B20" s="13">
        <f>SUMIFS(Cleaned_Procurement!$O:$O,Cleaned_Procurement!$D:$D,A20)</f>
        <v>3724183.4700000039</v>
      </c>
      <c r="C20" s="6">
        <f>COUNTIFS(Cleaned_Procurement!$D:$D,A20)</f>
        <v>466</v>
      </c>
      <c r="D20" s="13">
        <f>IFERROR(B20/C20,0)</f>
        <v>7991.8100214592359</v>
      </c>
      <c r="E20" s="13">
        <f>SUMIFS(Cleaned_Procurement!$R:$R,Cleaned_Procurement!$D:$D,A20)</f>
        <v>209159.86579999985</v>
      </c>
    </row>
    <row r="23" spans="1:7" ht="15.75" x14ac:dyDescent="0.25">
      <c r="A23" s="11" t="s">
        <v>2152</v>
      </c>
    </row>
    <row r="24" spans="1:7" x14ac:dyDescent="0.25">
      <c r="A24" s="12" t="s">
        <v>1930</v>
      </c>
      <c r="B24" s="12" t="s">
        <v>2102</v>
      </c>
      <c r="C24" s="12" t="s">
        <v>2153</v>
      </c>
      <c r="D24" s="12" t="s">
        <v>2154</v>
      </c>
      <c r="E24" s="12" t="s">
        <v>2155</v>
      </c>
      <c r="F24" s="12" t="s">
        <v>2109</v>
      </c>
      <c r="G24" s="12" t="s">
        <v>2156</v>
      </c>
    </row>
    <row r="25" spans="1:7" x14ac:dyDescent="0.25">
      <c r="A25" s="9">
        <v>45658</v>
      </c>
      <c r="B25" s="13">
        <f>SUMIFS(Finance_Raw!$E:$E,Finance_Raw!$A:$A,A25)</f>
        <v>6859245.2300000004</v>
      </c>
      <c r="C25" s="13">
        <f>SUMIFS(Finance_Raw!$L:$L,Finance_Raw!$A:$A,A25)</f>
        <v>4833404.3066666666</v>
      </c>
      <c r="D25" s="13">
        <f>SUMIFS(Finance_Raw!$K:$K,Finance_Raw!$A:$A,A25)</f>
        <v>4836088.76</v>
      </c>
      <c r="E25" s="13">
        <f t="shared" ref="E25:E36" si="3">D25-C25</f>
        <v>2684.4533333331347</v>
      </c>
      <c r="F25" s="13">
        <f t="shared" ref="F25:F36" si="4">B25-C25</f>
        <v>2025840.9233333338</v>
      </c>
      <c r="G25" s="10">
        <f t="shared" ref="G25:G36" si="5">IFERROR(F25/B25,0)</f>
        <v>0.29534458317264939</v>
      </c>
    </row>
    <row r="26" spans="1:7" x14ac:dyDescent="0.25">
      <c r="A26" s="9">
        <v>45689</v>
      </c>
      <c r="B26" s="13">
        <f>SUMIFS(Finance_Raw!$E:$E,Finance_Raw!$A:$A,A26)</f>
        <v>7476589.7599999988</v>
      </c>
      <c r="C26" s="13">
        <f>SUMIFS(Finance_Raw!$L:$L,Finance_Raw!$A:$A,A26)</f>
        <v>5235379.786666669</v>
      </c>
      <c r="D26" s="13">
        <f>SUMIFS(Finance_Raw!$K:$K,Finance_Raw!$A:$A,A26)</f>
        <v>5267039.71</v>
      </c>
      <c r="E26" s="13">
        <f t="shared" si="3"/>
        <v>31659.923333331011</v>
      </c>
      <c r="F26" s="13">
        <f t="shared" si="4"/>
        <v>2241209.9733333299</v>
      </c>
      <c r="G26" s="10">
        <f t="shared" si="5"/>
        <v>0.29976366836707785</v>
      </c>
    </row>
    <row r="27" spans="1:7" x14ac:dyDescent="0.25">
      <c r="A27" s="9">
        <v>45717</v>
      </c>
      <c r="B27" s="13">
        <f>SUMIFS(Finance_Raw!$E:$E,Finance_Raw!$A:$A,A27)</f>
        <v>7345583.3199999994</v>
      </c>
      <c r="C27" s="13">
        <f>SUMIFS(Finance_Raw!$L:$L,Finance_Raw!$A:$A,A27)</f>
        <v>5087641.6866666656</v>
      </c>
      <c r="D27" s="13">
        <f>SUMIFS(Finance_Raw!$K:$K,Finance_Raw!$A:$A,A27)</f>
        <v>5095798.34</v>
      </c>
      <c r="E27" s="13">
        <f t="shared" si="3"/>
        <v>8156.6533333342522</v>
      </c>
      <c r="F27" s="13">
        <f t="shared" si="4"/>
        <v>2257941.6333333338</v>
      </c>
      <c r="G27" s="10">
        <f t="shared" si="5"/>
        <v>0.30738765527110434</v>
      </c>
    </row>
    <row r="28" spans="1:7" x14ac:dyDescent="0.25">
      <c r="A28" s="9">
        <v>45748</v>
      </c>
      <c r="B28" s="13">
        <f>SUMIFS(Finance_Raw!$E:$E,Finance_Raw!$A:$A,A28)</f>
        <v>7658852.209999999</v>
      </c>
      <c r="C28" s="13">
        <f>SUMIFS(Finance_Raw!$L:$L,Finance_Raw!$A:$A,A28)</f>
        <v>5279230.3566666674</v>
      </c>
      <c r="D28" s="13">
        <f>SUMIFS(Finance_Raw!$K:$K,Finance_Raw!$A:$A,A28)</f>
        <v>5236666.6100000003</v>
      </c>
      <c r="E28" s="13">
        <f t="shared" si="3"/>
        <v>-42563.746666667052</v>
      </c>
      <c r="F28" s="13">
        <f t="shared" si="4"/>
        <v>2379621.8533333316</v>
      </c>
      <c r="G28" s="10">
        <f t="shared" si="5"/>
        <v>0.31070215067295731</v>
      </c>
    </row>
    <row r="29" spans="1:7" x14ac:dyDescent="0.25">
      <c r="A29" s="9">
        <v>45778</v>
      </c>
      <c r="B29" s="13">
        <f>SUMIFS(Finance_Raw!$E:$E,Finance_Raw!$A:$A,A29)</f>
        <v>6576496.4300000006</v>
      </c>
      <c r="C29" s="13">
        <f>SUMIFS(Finance_Raw!$L:$L,Finance_Raw!$A:$A,A29)</f>
        <v>4543655.4333333336</v>
      </c>
      <c r="D29" s="13">
        <f>SUMIFS(Finance_Raw!$K:$K,Finance_Raw!$A:$A,A29)</f>
        <v>4562622.33</v>
      </c>
      <c r="E29" s="13">
        <f t="shared" si="3"/>
        <v>18966.896666666493</v>
      </c>
      <c r="F29" s="13">
        <f t="shared" si="4"/>
        <v>2032840.9966666671</v>
      </c>
      <c r="G29" s="10">
        <f t="shared" si="5"/>
        <v>0.30910698702632261</v>
      </c>
    </row>
    <row r="30" spans="1:7" x14ac:dyDescent="0.25">
      <c r="A30" s="9">
        <v>45809</v>
      </c>
      <c r="B30" s="13">
        <f>SUMIFS(Finance_Raw!$E:$E,Finance_Raw!$A:$A,A30)</f>
        <v>7065637.8299999991</v>
      </c>
      <c r="C30" s="13">
        <f>SUMIFS(Finance_Raw!$L:$L,Finance_Raw!$A:$A,A30)</f>
        <v>4919918.3033333346</v>
      </c>
      <c r="D30" s="13">
        <f>SUMIFS(Finance_Raw!$K:$K,Finance_Raw!$A:$A,A30)</f>
        <v>4907337.8000000007</v>
      </c>
      <c r="E30" s="13">
        <f t="shared" si="3"/>
        <v>-12580.50333333388</v>
      </c>
      <c r="F30" s="13">
        <f t="shared" si="4"/>
        <v>2145719.5266666645</v>
      </c>
      <c r="G30" s="10">
        <f t="shared" si="5"/>
        <v>0.30368376900895649</v>
      </c>
    </row>
    <row r="31" spans="1:7" x14ac:dyDescent="0.25">
      <c r="A31" s="9">
        <v>45839</v>
      </c>
      <c r="B31" s="13">
        <f>SUMIFS(Finance_Raw!$E:$E,Finance_Raw!$A:$A,A31)</f>
        <v>6953277</v>
      </c>
      <c r="C31" s="13">
        <f>SUMIFS(Finance_Raw!$L:$L,Finance_Raw!$A:$A,A31)</f>
        <v>4875601.0599999996</v>
      </c>
      <c r="D31" s="13">
        <f>SUMIFS(Finance_Raw!$K:$K,Finance_Raw!$A:$A,A31)</f>
        <v>4898226.1900000004</v>
      </c>
      <c r="E31" s="13">
        <f t="shared" si="3"/>
        <v>22625.13000000082</v>
      </c>
      <c r="F31" s="13">
        <f t="shared" si="4"/>
        <v>2077675.9400000004</v>
      </c>
      <c r="G31" s="10">
        <f t="shared" si="5"/>
        <v>0.29880528849922139</v>
      </c>
    </row>
    <row r="32" spans="1:7" x14ac:dyDescent="0.25">
      <c r="A32" s="9">
        <v>45870</v>
      </c>
      <c r="B32" s="13">
        <f>SUMIFS(Finance_Raw!$E:$E,Finance_Raw!$A:$A,A32)</f>
        <v>7044378.1900000004</v>
      </c>
      <c r="C32" s="13">
        <f>SUMIFS(Finance_Raw!$L:$L,Finance_Raw!$A:$A,A32)</f>
        <v>4979875.7133333338</v>
      </c>
      <c r="D32" s="13">
        <f>SUMIFS(Finance_Raw!$K:$K,Finance_Raw!$A:$A,A32)</f>
        <v>4993843.2100000009</v>
      </c>
      <c r="E32" s="13">
        <f t="shared" si="3"/>
        <v>13967.496666667052</v>
      </c>
      <c r="F32" s="13">
        <f t="shared" si="4"/>
        <v>2064502.4766666666</v>
      </c>
      <c r="G32" s="10">
        <f t="shared" si="5"/>
        <v>0.293070931313338</v>
      </c>
    </row>
    <row r="33" spans="1:7" x14ac:dyDescent="0.25">
      <c r="A33" s="9">
        <v>45901</v>
      </c>
      <c r="B33" s="13">
        <f>SUMIFS(Finance_Raw!$E:$E,Finance_Raw!$A:$A,A33)</f>
        <v>6899634.6500000013</v>
      </c>
      <c r="C33" s="13">
        <f>SUMIFS(Finance_Raw!$L:$L,Finance_Raw!$A:$A,A33)</f>
        <v>4818773.5466666678</v>
      </c>
      <c r="D33" s="13">
        <f>SUMIFS(Finance_Raw!$K:$K,Finance_Raw!$A:$A,A33)</f>
        <v>4850993.1900000004</v>
      </c>
      <c r="E33" s="13">
        <f t="shared" si="3"/>
        <v>32219.643333332613</v>
      </c>
      <c r="F33" s="13">
        <f t="shared" si="4"/>
        <v>2080861.1033333335</v>
      </c>
      <c r="G33" s="10">
        <f t="shared" si="5"/>
        <v>0.30159004192103606</v>
      </c>
    </row>
    <row r="34" spans="1:7" x14ac:dyDescent="0.25">
      <c r="A34" s="9">
        <v>45931</v>
      </c>
      <c r="B34" s="13">
        <f>SUMIFS(Finance_Raw!$E:$E,Finance_Raw!$A:$A,A34)</f>
        <v>8051254.2699999996</v>
      </c>
      <c r="C34" s="13">
        <f>SUMIFS(Finance_Raw!$L:$L,Finance_Raw!$A:$A,A34)</f>
        <v>5558744.2566666678</v>
      </c>
      <c r="D34" s="13">
        <f>SUMIFS(Finance_Raw!$K:$K,Finance_Raw!$A:$A,A34)</f>
        <v>5591688.2600000007</v>
      </c>
      <c r="E34" s="13">
        <f t="shared" si="3"/>
        <v>32944.003333332948</v>
      </c>
      <c r="F34" s="13">
        <f t="shared" si="4"/>
        <v>2492510.0133333318</v>
      </c>
      <c r="G34" s="10">
        <f t="shared" si="5"/>
        <v>0.30958033739174556</v>
      </c>
    </row>
    <row r="35" spans="1:7" x14ac:dyDescent="0.25">
      <c r="A35" s="9">
        <v>45962</v>
      </c>
      <c r="B35" s="13">
        <f>SUMIFS(Finance_Raw!$E:$E,Finance_Raw!$A:$A,A35)</f>
        <v>6479152.0099999998</v>
      </c>
      <c r="C35" s="13">
        <f>SUMIFS(Finance_Raw!$L:$L,Finance_Raw!$A:$A,A35)</f>
        <v>4606613.6766666677</v>
      </c>
      <c r="D35" s="13">
        <f>SUMIFS(Finance_Raw!$K:$K,Finance_Raw!$A:$A,A35)</f>
        <v>4585980.66</v>
      </c>
      <c r="E35" s="13">
        <f t="shared" si="3"/>
        <v>-20633.016666667536</v>
      </c>
      <c r="F35" s="13">
        <f t="shared" si="4"/>
        <v>1872538.3333333321</v>
      </c>
      <c r="G35" s="10">
        <f t="shared" si="5"/>
        <v>0.28900978560824536</v>
      </c>
    </row>
    <row r="36" spans="1:7" x14ac:dyDescent="0.25">
      <c r="A36" s="9">
        <v>45992</v>
      </c>
      <c r="B36" s="13">
        <f>SUMIFS(Finance_Raw!$E:$E,Finance_Raw!$A:$A,A36)</f>
        <v>8066416.3500000024</v>
      </c>
      <c r="C36" s="13">
        <f>SUMIFS(Finance_Raw!$L:$L,Finance_Raw!$A:$A,A36)</f>
        <v>5614126.6166666644</v>
      </c>
      <c r="D36" s="13">
        <f>SUMIFS(Finance_Raw!$K:$K,Finance_Raw!$A:$A,A36)</f>
        <v>5575536.6600000001</v>
      </c>
      <c r="E36" s="13">
        <f t="shared" si="3"/>
        <v>-38589.95666666422</v>
      </c>
      <c r="F36" s="13">
        <f t="shared" si="4"/>
        <v>2452289.7333333381</v>
      </c>
      <c r="G36" s="10">
        <f t="shared" si="5"/>
        <v>0.30401229330709384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5"/>
  <sheetViews>
    <sheetView zoomScaleNormal="100" workbookViewId="0"/>
  </sheetViews>
  <sheetFormatPr defaultColWidth="8.7109375" defaultRowHeight="15" customHeight="1" x14ac:dyDescent="0.25"/>
  <cols>
    <col min="1" max="1" width="30.7109375" customWidth="1"/>
    <col min="2" max="6" width="18.7109375" customWidth="1"/>
  </cols>
  <sheetData>
    <row r="1" spans="1:6" ht="26.25" x14ac:dyDescent="0.25">
      <c r="A1" s="2" t="s">
        <v>2157</v>
      </c>
      <c r="B1" s="2"/>
      <c r="C1" s="2"/>
      <c r="D1" s="2"/>
      <c r="E1" s="2"/>
      <c r="F1" s="2"/>
    </row>
    <row r="3" spans="1:6" x14ac:dyDescent="0.25">
      <c r="A3" s="3" t="s">
        <v>2158</v>
      </c>
      <c r="B3" s="14" t="s">
        <v>2159</v>
      </c>
    </row>
    <row r="5" spans="1:6" x14ac:dyDescent="0.25">
      <c r="A5" s="12" t="s">
        <v>2097</v>
      </c>
      <c r="B5" s="12" t="s">
        <v>2160</v>
      </c>
      <c r="C5" s="12" t="s">
        <v>2159</v>
      </c>
      <c r="D5" s="12" t="s">
        <v>2161</v>
      </c>
      <c r="E5" s="12" t="s">
        <v>2162</v>
      </c>
    </row>
    <row r="6" spans="1:6" x14ac:dyDescent="0.25">
      <c r="A6" t="s">
        <v>2163</v>
      </c>
      <c r="B6" s="14">
        <v>0.01</v>
      </c>
      <c r="C6" s="14">
        <v>0.03</v>
      </c>
      <c r="D6" s="14">
        <v>0.05</v>
      </c>
      <c r="E6" s="10">
        <f t="shared" ref="E6:E11" si="0">CHOOSE(MATCH($B$3,$B$5:$D$5,0),B6,C6,D6)</f>
        <v>0.03</v>
      </c>
    </row>
    <row r="7" spans="1:6" x14ac:dyDescent="0.25">
      <c r="A7" t="s">
        <v>2164</v>
      </c>
      <c r="B7" s="14">
        <v>0.02</v>
      </c>
      <c r="C7" s="14">
        <v>0.04</v>
      </c>
      <c r="D7" s="14">
        <v>7.0000000000000007E-2</v>
      </c>
      <c r="E7" s="10">
        <f t="shared" si="0"/>
        <v>0.04</v>
      </c>
    </row>
    <row r="8" spans="1:6" x14ac:dyDescent="0.25">
      <c r="A8" t="s">
        <v>2165</v>
      </c>
      <c r="B8" s="14">
        <v>0.06</v>
      </c>
      <c r="C8" s="14">
        <v>0.05</v>
      </c>
      <c r="D8" s="14">
        <v>0.03</v>
      </c>
      <c r="E8" s="10">
        <f t="shared" si="0"/>
        <v>0.05</v>
      </c>
    </row>
    <row r="9" spans="1:6" x14ac:dyDescent="0.25">
      <c r="A9" t="s">
        <v>2166</v>
      </c>
      <c r="B9" s="14">
        <v>0.01</v>
      </c>
      <c r="C9" s="14">
        <v>0.03</v>
      </c>
      <c r="D9" s="14">
        <v>0.05</v>
      </c>
      <c r="E9" s="10">
        <f t="shared" si="0"/>
        <v>0.03</v>
      </c>
    </row>
    <row r="10" spans="1:6" x14ac:dyDescent="0.25">
      <c r="A10" t="s">
        <v>2167</v>
      </c>
      <c r="B10" s="14">
        <v>3.5000000000000003E-2</v>
      </c>
      <c r="C10" s="14">
        <v>2.5000000000000001E-2</v>
      </c>
      <c r="D10" s="14">
        <v>0.02</v>
      </c>
      <c r="E10" s="10">
        <f t="shared" si="0"/>
        <v>2.5000000000000001E-2</v>
      </c>
    </row>
    <row r="11" spans="1:6" x14ac:dyDescent="0.25">
      <c r="A11" t="s">
        <v>2168</v>
      </c>
      <c r="B11" s="14">
        <v>0.04</v>
      </c>
      <c r="C11" s="14">
        <v>0.03</v>
      </c>
      <c r="D11" s="14">
        <v>0.02</v>
      </c>
      <c r="E11" s="10">
        <f t="shared" si="0"/>
        <v>0.03</v>
      </c>
    </row>
    <row r="14" spans="1:6" ht="15.75" x14ac:dyDescent="0.25">
      <c r="A14" s="11" t="s">
        <v>2169</v>
      </c>
    </row>
    <row r="15" spans="1:6" ht="30" x14ac:dyDescent="0.25">
      <c r="A15" s="12" t="s">
        <v>2170</v>
      </c>
      <c r="B15" s="12" t="s">
        <v>2171</v>
      </c>
      <c r="C15" s="12" t="s">
        <v>2172</v>
      </c>
      <c r="D15" s="12" t="s">
        <v>2173</v>
      </c>
      <c r="E15" s="12" t="s">
        <v>2174</v>
      </c>
    </row>
    <row r="16" spans="1:6" x14ac:dyDescent="0.25">
      <c r="A16" t="s">
        <v>2102</v>
      </c>
      <c r="B16" s="13">
        <f>SUM(Finance_Raw!$E:$E)</f>
        <v>86476517.24999997</v>
      </c>
      <c r="C16" s="13">
        <f>B16*(1+$E$6)</f>
        <v>89070812.767499968</v>
      </c>
      <c r="D16" s="13">
        <f t="shared" ref="D16:D21" si="1">C16-B16</f>
        <v>2594295.5174999982</v>
      </c>
      <c r="E16" s="10">
        <f t="shared" ref="E16:E21" si="2">IFERROR(D16/B16,0)</f>
        <v>2.9999999999999988E-2</v>
      </c>
    </row>
    <row r="17" spans="1:6" x14ac:dyDescent="0.25">
      <c r="A17" t="s">
        <v>2104</v>
      </c>
      <c r="B17" s="13">
        <f>SUM(Finance_Raw!$G:$G)</f>
        <v>13917019.339999994</v>
      </c>
      <c r="C17" s="13">
        <f>B17*(1-$E$7)</f>
        <v>13360338.566399993</v>
      </c>
      <c r="D17" s="13">
        <f t="shared" si="1"/>
        <v>-556680.77360000089</v>
      </c>
      <c r="E17" s="10">
        <f t="shared" si="2"/>
        <v>-4.0000000000000077E-2</v>
      </c>
    </row>
    <row r="18" spans="1:6" x14ac:dyDescent="0.25">
      <c r="A18" t="s">
        <v>2098</v>
      </c>
      <c r="B18" s="13">
        <f>SUM(Finance_Raw!$I:$I)</f>
        <v>1341086</v>
      </c>
      <c r="C18" s="13">
        <f>B18*(1+$E$8)</f>
        <v>1408140.3</v>
      </c>
      <c r="D18" s="13">
        <f t="shared" si="1"/>
        <v>67054.300000000047</v>
      </c>
      <c r="E18" s="10">
        <f t="shared" si="2"/>
        <v>5.0000000000000037E-2</v>
      </c>
    </row>
    <row r="19" spans="1:6" x14ac:dyDescent="0.25">
      <c r="A19" t="s">
        <v>2105</v>
      </c>
      <c r="B19" s="13">
        <f>SUM(Finance_Raw!$H:$H)</f>
        <v>882007.35999999975</v>
      </c>
      <c r="C19" s="13">
        <f>B19*(1-$E$9)</f>
        <v>855547.13919999974</v>
      </c>
      <c r="D19" s="13">
        <f t="shared" si="1"/>
        <v>-26460.22080000001</v>
      </c>
      <c r="E19" s="10">
        <f t="shared" si="2"/>
        <v>-3.000000000000002E-2</v>
      </c>
    </row>
    <row r="20" spans="1:6" x14ac:dyDescent="0.25">
      <c r="A20" t="s">
        <v>2103</v>
      </c>
      <c r="B20" s="13">
        <f>SUM(Finance_Raw!$F:$F)</f>
        <v>38123646.123333342</v>
      </c>
      <c r="C20" s="13">
        <f>B20*(1+$E$10)</f>
        <v>39076737.276416674</v>
      </c>
      <c r="D20" s="13">
        <f t="shared" si="1"/>
        <v>953091.15308333188</v>
      </c>
      <c r="E20" s="10">
        <f t="shared" si="2"/>
        <v>2.4999999999999956E-2</v>
      </c>
    </row>
    <row r="21" spans="1:6" x14ac:dyDescent="0.25">
      <c r="A21" t="s">
        <v>2175</v>
      </c>
      <c r="B21" s="13">
        <f>SUM(Finance_Raw!$J:$J)</f>
        <v>6089205.919999999</v>
      </c>
      <c r="C21" s="13">
        <f>B21*(1+$E$11)</f>
        <v>6271882.097599999</v>
      </c>
      <c r="D21" s="13">
        <f t="shared" si="1"/>
        <v>182676.17760000005</v>
      </c>
      <c r="E21" s="10">
        <f t="shared" si="2"/>
        <v>3.0000000000000013E-2</v>
      </c>
    </row>
    <row r="23" spans="1:6" ht="15.75" x14ac:dyDescent="0.25">
      <c r="A23" s="11" t="s">
        <v>2176</v>
      </c>
    </row>
    <row r="24" spans="1:6" x14ac:dyDescent="0.25">
      <c r="A24" s="12" t="s">
        <v>2170</v>
      </c>
      <c r="B24" s="12" t="s">
        <v>2177</v>
      </c>
    </row>
    <row r="25" spans="1:6" x14ac:dyDescent="0.25">
      <c r="A25" t="s">
        <v>2102</v>
      </c>
      <c r="B25" s="13">
        <f>C16</f>
        <v>89070812.767499968</v>
      </c>
    </row>
    <row r="26" spans="1:6" x14ac:dyDescent="0.25">
      <c r="A26" t="s">
        <v>2178</v>
      </c>
      <c r="B26" s="13">
        <f>SUM(C17:C21)</f>
        <v>60972645.379616663</v>
      </c>
    </row>
    <row r="27" spans="1:6" x14ac:dyDescent="0.25">
      <c r="A27" t="s">
        <v>2109</v>
      </c>
      <c r="B27" s="13">
        <f>B25-B26</f>
        <v>28098167.387883306</v>
      </c>
    </row>
    <row r="28" spans="1:6" x14ac:dyDescent="0.25">
      <c r="A28" t="s">
        <v>2179</v>
      </c>
      <c r="B28" s="10">
        <f>IFERROR(B27/B25,0)</f>
        <v>0.31545875146808727</v>
      </c>
    </row>
    <row r="31" spans="1:6" ht="15.75" x14ac:dyDescent="0.25">
      <c r="A31" s="11" t="s">
        <v>2180</v>
      </c>
    </row>
    <row r="32" spans="1:6" ht="15" customHeight="1" x14ac:dyDescent="0.25">
      <c r="A32" s="1" t="s">
        <v>2181</v>
      </c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</sheetData>
  <mergeCells count="2">
    <mergeCell ref="A1:F1"/>
    <mergeCell ref="A32:F35"/>
  </mergeCells>
  <conditionalFormatting sqref="E6:E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B3" xr:uid="{00000000-0002-0000-0B00-000000000000}">
      <formula1>"Conservative,Base,Aggressive"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zoomScaleNormal="100" workbookViewId="0"/>
  </sheetViews>
  <sheetFormatPr defaultColWidth="8.7109375" defaultRowHeight="15" customHeight="1" x14ac:dyDescent="0.25"/>
  <cols>
    <col min="1" max="1" width="28.7109375" customWidth="1"/>
    <col min="2" max="6" width="18.7109375" customWidth="1"/>
  </cols>
  <sheetData>
    <row r="1" spans="1:6" ht="26.25" x14ac:dyDescent="0.25">
      <c r="A1" s="2" t="s">
        <v>2182</v>
      </c>
      <c r="B1" s="2"/>
      <c r="C1" s="2"/>
      <c r="D1" s="2"/>
      <c r="E1" s="2"/>
      <c r="F1" s="2"/>
    </row>
    <row r="3" spans="1:6" ht="30" x14ac:dyDescent="0.25">
      <c r="A3" s="12" t="s">
        <v>21</v>
      </c>
      <c r="B3" s="12" t="s">
        <v>2183</v>
      </c>
      <c r="C3" s="12" t="s">
        <v>2184</v>
      </c>
      <c r="D3" s="12" t="s">
        <v>2185</v>
      </c>
      <c r="E3" s="12" t="s">
        <v>2186</v>
      </c>
      <c r="F3" s="12" t="s">
        <v>2187</v>
      </c>
    </row>
    <row r="4" spans="1:6" x14ac:dyDescent="0.25">
      <c r="A4" t="s">
        <v>50</v>
      </c>
      <c r="B4" s="13">
        <f>SUMIFS(Cleaned_Procurement!$O:$O,Cleaned_Procurement!$F:$F,A4)</f>
        <v>1097153.0099999998</v>
      </c>
      <c r="C4" s="10">
        <f>IFERROR(INDEX(Category_Targets!$B$2:$B$9,MATCH(A4,Category_Targets!$A$2:$A$9,0)),0)</f>
        <v>0.06</v>
      </c>
      <c r="D4" s="13">
        <f t="shared" ref="D4:D11" si="0">B4*C4</f>
        <v>65829.180599999978</v>
      </c>
      <c r="E4" s="13">
        <f t="shared" ref="E4:E11" si="1">D4*85%</f>
        <v>55954.803509999976</v>
      </c>
      <c r="F4" t="str">
        <f t="shared" ref="F4:F11" si="2">IF(E4&gt;=D4,"On Target",IF(E4&gt;=D4*0.75,"Watch","Off Track"))</f>
        <v>Watch</v>
      </c>
    </row>
    <row r="5" spans="1:6" x14ac:dyDescent="0.25">
      <c r="A5" t="s">
        <v>36</v>
      </c>
      <c r="B5" s="13">
        <f>SUMIFS(Cleaned_Procurement!$O:$O,Cleaned_Procurement!$F:$F,A5)</f>
        <v>837713.63000000024</v>
      </c>
      <c r="C5" s="10">
        <f>IFERROR(INDEX(Category_Targets!$B$2:$B$9,MATCH(A5,Category_Targets!$A$2:$A$9,0)),0)</f>
        <v>0.04</v>
      </c>
      <c r="D5" s="13">
        <f t="shared" si="0"/>
        <v>33508.545200000008</v>
      </c>
      <c r="E5" s="13">
        <f t="shared" si="1"/>
        <v>28482.263420000007</v>
      </c>
      <c r="F5" t="str">
        <f t="shared" si="2"/>
        <v>Watch</v>
      </c>
    </row>
    <row r="6" spans="1:6" x14ac:dyDescent="0.25">
      <c r="A6" t="s">
        <v>89</v>
      </c>
      <c r="B6" s="13">
        <f>SUMIFS(Cleaned_Procurement!$O:$O,Cleaned_Procurement!$F:$F,A6)</f>
        <v>2128780.9299999983</v>
      </c>
      <c r="C6" s="10">
        <f>IFERROR(INDEX(Category_Targets!$B$2:$B$9,MATCH(A6,Category_Targets!$A$2:$A$9,0)),0)</f>
        <v>0.05</v>
      </c>
      <c r="D6" s="13">
        <f t="shared" si="0"/>
        <v>106439.04649999992</v>
      </c>
      <c r="E6" s="13">
        <f t="shared" si="1"/>
        <v>90473.189524999936</v>
      </c>
      <c r="F6" t="str">
        <f t="shared" si="2"/>
        <v>Watch</v>
      </c>
    </row>
    <row r="7" spans="1:6" x14ac:dyDescent="0.25">
      <c r="A7" t="s">
        <v>54</v>
      </c>
      <c r="B7" s="13">
        <f>SUMIFS(Cleaned_Procurement!$O:$O,Cleaned_Procurement!$F:$F,A7)</f>
        <v>2401261.600000001</v>
      </c>
      <c r="C7" s="10">
        <f>IFERROR(INDEX(Category_Targets!$B$2:$B$9,MATCH(A7,Category_Targets!$A$2:$A$9,0)),0)</f>
        <v>0.03</v>
      </c>
      <c r="D7" s="13">
        <f t="shared" si="0"/>
        <v>72037.848000000027</v>
      </c>
      <c r="E7" s="13">
        <f t="shared" si="1"/>
        <v>61232.170800000022</v>
      </c>
      <c r="F7" t="str">
        <f t="shared" si="2"/>
        <v>Watch</v>
      </c>
    </row>
    <row r="8" spans="1:6" x14ac:dyDescent="0.25">
      <c r="A8" t="s">
        <v>60</v>
      </c>
      <c r="B8" s="13">
        <f>SUMIFS(Cleaned_Procurement!$O:$O,Cleaned_Procurement!$F:$F,A8)</f>
        <v>2505155.1799999997</v>
      </c>
      <c r="C8" s="10">
        <f>IFERROR(INDEX(Category_Targets!$B$2:$B$9,MATCH(A8,Category_Targets!$A$2:$A$9,0)),0)</f>
        <v>0.08</v>
      </c>
      <c r="D8" s="13">
        <f t="shared" si="0"/>
        <v>200412.41439999998</v>
      </c>
      <c r="E8" s="13">
        <f t="shared" si="1"/>
        <v>170350.55223999999</v>
      </c>
      <c r="F8" t="str">
        <f t="shared" si="2"/>
        <v>Watch</v>
      </c>
    </row>
    <row r="9" spans="1:6" x14ac:dyDescent="0.25">
      <c r="A9" t="s">
        <v>71</v>
      </c>
      <c r="B9" s="13">
        <f>SUMIFS(Cleaned_Procurement!$O:$O,Cleaned_Procurement!$F:$F,A9)</f>
        <v>1030620.2999999997</v>
      </c>
      <c r="C9" s="10">
        <f>IFERROR(INDEX(Category_Targets!$B$2:$B$9,MATCH(A9,Category_Targets!$A$2:$A$9,0)),0)</f>
        <v>0.05</v>
      </c>
      <c r="D9" s="13">
        <f t="shared" si="0"/>
        <v>51531.014999999985</v>
      </c>
      <c r="E9" s="13">
        <f t="shared" si="1"/>
        <v>43801.362749999986</v>
      </c>
      <c r="F9" t="str">
        <f t="shared" si="2"/>
        <v>Watch</v>
      </c>
    </row>
    <row r="10" spans="1:6" x14ac:dyDescent="0.25">
      <c r="A10" t="s">
        <v>97</v>
      </c>
      <c r="B10" s="13">
        <f>SUMIFS(Cleaned_Procurement!$O:$O,Cleaned_Procurement!$F:$F,A10)</f>
        <v>3193367.1400000006</v>
      </c>
      <c r="C10" s="10">
        <f>IFERROR(INDEX(Category_Targets!$B$2:$B$9,MATCH(A10,Category_Targets!$A$2:$A$9,0)),0)</f>
        <v>7.0000000000000007E-2</v>
      </c>
      <c r="D10" s="13">
        <f t="shared" si="0"/>
        <v>223535.69980000006</v>
      </c>
      <c r="E10" s="13">
        <f t="shared" si="1"/>
        <v>190005.34483000005</v>
      </c>
      <c r="F10" t="str">
        <f t="shared" si="2"/>
        <v>Watch</v>
      </c>
    </row>
    <row r="11" spans="1:6" x14ac:dyDescent="0.25">
      <c r="A11" t="s">
        <v>108</v>
      </c>
      <c r="B11" s="13">
        <f>SUMIFS(Cleaned_Procurement!$O:$O,Cleaned_Procurement!$F:$F,A11)</f>
        <v>728629.96</v>
      </c>
      <c r="C11" s="10">
        <f>IFERROR(INDEX(Category_Targets!$B$2:$B$9,MATCH(A11,Category_Targets!$A$2:$A$9,0)),0)</f>
        <v>0.04</v>
      </c>
      <c r="D11" s="13">
        <f t="shared" si="0"/>
        <v>29145.198399999997</v>
      </c>
      <c r="E11" s="13">
        <f t="shared" si="1"/>
        <v>24773.418639999996</v>
      </c>
      <c r="F11" t="str">
        <f t="shared" si="2"/>
        <v>Watch</v>
      </c>
    </row>
    <row r="13" spans="1:6" x14ac:dyDescent="0.25">
      <c r="A13" s="3" t="s">
        <v>2188</v>
      </c>
      <c r="B13" s="13">
        <f>SUM(B4:B11)</f>
        <v>13922681.75</v>
      </c>
      <c r="C13" s="10">
        <f>SUM(C4:C11)</f>
        <v>0.42</v>
      </c>
      <c r="D13" s="13">
        <f>SUM(D4:D11)</f>
        <v>782438.94790000003</v>
      </c>
      <c r="E13" s="13">
        <f>SUM(E4:E11)</f>
        <v>665073.10571499995</v>
      </c>
    </row>
  </sheetData>
  <mergeCells count="1">
    <mergeCell ref="A1:F1"/>
  </mergeCells>
  <conditionalFormatting sqref="F4:F11">
    <cfRule type="containsText" dxfId="2" priority="2" operator="containsText" text="On Target">
      <formula>NOT(ISERROR(SEARCH("On Target",F4)))</formula>
    </cfRule>
    <cfRule type="containsText" dxfId="1" priority="3" operator="containsText" text="Watch">
      <formula>NOT(ISERROR(SEARCH("Watch",F4)))</formula>
    </cfRule>
    <cfRule type="containsText" dxfId="0" priority="4" operator="containsText" text="Off Track">
      <formula>NOT(ISERROR(SEARCH("Off Track",F4)))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4"/>
  <sheetViews>
    <sheetView zoomScaleNormal="100" workbookViewId="0"/>
  </sheetViews>
  <sheetFormatPr defaultColWidth="8.7109375" defaultRowHeight="15" customHeight="1" x14ac:dyDescent="0.25"/>
  <cols>
    <col min="1" max="1" width="28.7109375" customWidth="1"/>
    <col min="2" max="2" width="90.7109375" customWidth="1"/>
  </cols>
  <sheetData>
    <row r="1" spans="1:2" ht="26.25" x14ac:dyDescent="0.25">
      <c r="A1" s="2" t="s">
        <v>2189</v>
      </c>
      <c r="B1" s="2"/>
    </row>
    <row r="3" spans="1:2" x14ac:dyDescent="0.25">
      <c r="A3" s="12" t="s">
        <v>2190</v>
      </c>
      <c r="B3" s="12" t="s">
        <v>2191</v>
      </c>
    </row>
    <row r="4" spans="1:2" x14ac:dyDescent="0.25">
      <c r="A4" s="3" t="s">
        <v>2192</v>
      </c>
      <c r="B4" s="4" t="s">
        <v>2193</v>
      </c>
    </row>
    <row r="5" spans="1:2" x14ac:dyDescent="0.25">
      <c r="A5" s="3" t="s">
        <v>2194</v>
      </c>
      <c r="B5" s="4" t="s">
        <v>2195</v>
      </c>
    </row>
    <row r="6" spans="1:2" x14ac:dyDescent="0.25">
      <c r="A6" s="3" t="s">
        <v>2196</v>
      </c>
      <c r="B6" s="4" t="s">
        <v>2197</v>
      </c>
    </row>
    <row r="7" spans="1:2" x14ac:dyDescent="0.25">
      <c r="A7" s="3" t="s">
        <v>2198</v>
      </c>
      <c r="B7" s="4" t="s">
        <v>2199</v>
      </c>
    </row>
    <row r="8" spans="1:2" ht="30" x14ac:dyDescent="0.25">
      <c r="A8" s="3" t="s">
        <v>2200</v>
      </c>
      <c r="B8" s="4" t="s">
        <v>2201</v>
      </c>
    </row>
    <row r="9" spans="1:2" x14ac:dyDescent="0.25">
      <c r="A9" s="3" t="s">
        <v>2202</v>
      </c>
      <c r="B9" s="4" t="s">
        <v>2203</v>
      </c>
    </row>
    <row r="10" spans="1:2" x14ac:dyDescent="0.25">
      <c r="A10" s="3" t="s">
        <v>2204</v>
      </c>
      <c r="B10" s="4" t="s">
        <v>2205</v>
      </c>
    </row>
    <row r="11" spans="1:2" x14ac:dyDescent="0.25">
      <c r="A11" s="3" t="s">
        <v>2206</v>
      </c>
      <c r="B11" s="4" t="s">
        <v>2207</v>
      </c>
    </row>
    <row r="12" spans="1:2" x14ac:dyDescent="0.25">
      <c r="A12" s="3" t="s">
        <v>2208</v>
      </c>
      <c r="B12" s="4" t="s">
        <v>2209</v>
      </c>
    </row>
    <row r="13" spans="1:2" ht="30" x14ac:dyDescent="0.25">
      <c r="A13" s="3" t="s">
        <v>2210</v>
      </c>
      <c r="B13" s="4" t="s">
        <v>2211</v>
      </c>
    </row>
    <row r="14" spans="1:2" x14ac:dyDescent="0.25">
      <c r="A14" s="3" t="s">
        <v>2212</v>
      </c>
      <c r="B14" s="4" t="s">
        <v>2213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M12"/>
  <sheetViews>
    <sheetView showGridLines="0" zoomScaleNormal="100" workbookViewId="0"/>
  </sheetViews>
  <sheetFormatPr defaultColWidth="8.7109375" defaultRowHeight="15" customHeight="1" x14ac:dyDescent="0.25"/>
  <cols>
    <col min="1" max="1" width="3.7109375" customWidth="1"/>
    <col min="2" max="13" width="15.7109375" customWidth="1"/>
  </cols>
  <sheetData>
    <row r="2" spans="2:13" x14ac:dyDescent="0.25">
      <c r="B2" s="2" t="s">
        <v>2214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2:13" x14ac:dyDescent="0.25">
      <c r="B5" s="15" t="s">
        <v>2215</v>
      </c>
      <c r="E5" s="15" t="s">
        <v>2216</v>
      </c>
      <c r="H5" s="15" t="s">
        <v>2217</v>
      </c>
      <c r="K5" s="15" t="s">
        <v>2218</v>
      </c>
    </row>
    <row r="6" spans="2:13" ht="21" x14ac:dyDescent="0.25">
      <c r="B6" s="16">
        <f>SUM(Finance_Raw!$E:$E)</f>
        <v>86476517.24999997</v>
      </c>
      <c r="E6" s="16">
        <f>SUM(Finance_Raw!$L:$L)</f>
        <v>60352964.74333331</v>
      </c>
      <c r="H6" s="16">
        <f>B6-E6</f>
        <v>26123552.50666666</v>
      </c>
      <c r="K6" s="16">
        <f>SUM(Pivot_Analysis!$E$5:$E$12)</f>
        <v>782438.94790000003</v>
      </c>
    </row>
    <row r="9" spans="2:13" ht="15.75" x14ac:dyDescent="0.25">
      <c r="B9" s="11" t="s">
        <v>2219</v>
      </c>
    </row>
    <row r="10" spans="2:13" x14ac:dyDescent="0.25">
      <c r="B10" s="3" t="s">
        <v>2220</v>
      </c>
      <c r="C10" t="str">
        <f>INDEX(Pivot_Analysis!$A$5:$A$12,MATCH(MAX(Pivot_Analysis!$B$5:$B$12),Pivot_Analysis!$B$5:$B$12,0))</f>
        <v>Agency Labour</v>
      </c>
    </row>
    <row r="11" spans="2:13" x14ac:dyDescent="0.25">
      <c r="B11" s="3" t="s">
        <v>2221</v>
      </c>
      <c r="C11" t="str">
        <f>INDEX(Pivot_Analysis!$A$5:$A$12,MATCH(MAX(Pivot_Analysis!$E$5:$E$12),Pivot_Analysis!$E$5:$E$12,0))</f>
        <v>Agency Labour</v>
      </c>
    </row>
    <row r="12" spans="2:13" x14ac:dyDescent="0.25">
      <c r="B12" s="3" t="s">
        <v>2222</v>
      </c>
      <c r="C12" s="10">
        <f>IFERROR(H6/B6,0)</f>
        <v>0.30208839737549292</v>
      </c>
    </row>
  </sheetData>
  <mergeCells count="1">
    <mergeCell ref="B2:M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zoomScaleNormal="100" workbookViewId="0"/>
  </sheetViews>
  <sheetFormatPr defaultColWidth="8.7109375" defaultRowHeight="15" customHeight="1" x14ac:dyDescent="0.25"/>
  <cols>
    <col min="1" max="1" width="28.7109375" customWidth="1"/>
    <col min="2" max="2" width="110.7109375" customWidth="1"/>
  </cols>
  <sheetData>
    <row r="1" spans="1:2" ht="26.25" x14ac:dyDescent="0.25">
      <c r="A1" s="2" t="s">
        <v>2223</v>
      </c>
      <c r="B1" s="2"/>
    </row>
    <row r="4" spans="1:2" x14ac:dyDescent="0.25">
      <c r="A4" s="3" t="s">
        <v>2224</v>
      </c>
      <c r="B4" s="4" t="s">
        <v>2225</v>
      </c>
    </row>
    <row r="5" spans="1:2" x14ac:dyDescent="0.25">
      <c r="A5" s="3" t="s">
        <v>2226</v>
      </c>
      <c r="B5" s="4" t="s">
        <v>2227</v>
      </c>
    </row>
    <row r="6" spans="1:2" x14ac:dyDescent="0.25">
      <c r="A6" s="3" t="s">
        <v>2228</v>
      </c>
      <c r="B6" s="4" t="s">
        <v>2229</v>
      </c>
    </row>
    <row r="7" spans="1:2" x14ac:dyDescent="0.25">
      <c r="A7" s="3" t="s">
        <v>2230</v>
      </c>
      <c r="B7" s="4" t="s">
        <v>2231</v>
      </c>
    </row>
    <row r="8" spans="1:2" ht="30" x14ac:dyDescent="0.25">
      <c r="A8" s="3" t="s">
        <v>2232</v>
      </c>
      <c r="B8" s="4" t="s">
        <v>2233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zoomScaleNormal="100" workbookViewId="0"/>
  </sheetViews>
  <sheetFormatPr defaultColWidth="8.7109375" defaultRowHeight="15" customHeight="1" x14ac:dyDescent="0.25"/>
  <cols>
    <col min="1" max="1" width="28.7109375" customWidth="1"/>
    <col min="2" max="2" width="100.7109375" customWidth="1"/>
  </cols>
  <sheetData>
    <row r="1" spans="1:2" ht="26.25" x14ac:dyDescent="0.25">
      <c r="A1" s="2" t="s">
        <v>2234</v>
      </c>
      <c r="B1" s="2"/>
    </row>
    <row r="4" spans="1:2" ht="37.5" customHeight="1" x14ac:dyDescent="0.25">
      <c r="A4" s="3" t="s">
        <v>2235</v>
      </c>
      <c r="B4" s="4" t="s">
        <v>2236</v>
      </c>
    </row>
    <row r="5" spans="1:2" ht="37.5" customHeight="1" x14ac:dyDescent="0.25">
      <c r="A5" s="3" t="s">
        <v>2104</v>
      </c>
      <c r="B5" s="4" t="s">
        <v>2237</v>
      </c>
    </row>
    <row r="6" spans="1:2" ht="37.5" customHeight="1" x14ac:dyDescent="0.25">
      <c r="A6" s="3" t="s">
        <v>2105</v>
      </c>
      <c r="B6" s="4" t="s">
        <v>2238</v>
      </c>
    </row>
    <row r="7" spans="1:2" ht="37.5" customHeight="1" x14ac:dyDescent="0.25">
      <c r="A7" s="3" t="s">
        <v>2135</v>
      </c>
      <c r="B7" s="4" t="s">
        <v>2239</v>
      </c>
    </row>
    <row r="8" spans="1:2" ht="37.5" customHeight="1" x14ac:dyDescent="0.25">
      <c r="A8" s="3" t="s">
        <v>2098</v>
      </c>
      <c r="B8" s="4" t="s">
        <v>2240</v>
      </c>
    </row>
    <row r="9" spans="1:2" ht="37.5" customHeight="1" x14ac:dyDescent="0.25">
      <c r="A9" s="3" t="s">
        <v>2241</v>
      </c>
      <c r="B9" s="4" t="s">
        <v>2242</v>
      </c>
    </row>
    <row r="10" spans="1:2" ht="37.5" customHeight="1" x14ac:dyDescent="0.25">
      <c r="A10" s="3" t="s">
        <v>2243</v>
      </c>
      <c r="B10" s="4" t="s">
        <v>2244</v>
      </c>
    </row>
    <row r="11" spans="1:2" ht="37.5" customHeight="1" x14ac:dyDescent="0.25">
      <c r="A11" s="3" t="s">
        <v>2245</v>
      </c>
      <c r="B11" s="4" t="s">
        <v>2246</v>
      </c>
    </row>
    <row r="12" spans="1:2" ht="37.5" customHeight="1" x14ac:dyDescent="0.25">
      <c r="A12" s="3" t="s">
        <v>8</v>
      </c>
      <c r="B12" s="4" t="s">
        <v>2247</v>
      </c>
    </row>
    <row r="13" spans="1:2" ht="37.5" customHeight="1" x14ac:dyDescent="0.25">
      <c r="A13" s="3" t="s">
        <v>2248</v>
      </c>
      <c r="B13" s="4" t="s">
        <v>2249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H24"/>
  <sheetViews>
    <sheetView zoomScaleNormal="100" workbookViewId="0"/>
  </sheetViews>
  <sheetFormatPr defaultColWidth="11.5703125" defaultRowHeight="12.75" customHeight="1" x14ac:dyDescent="0.25"/>
  <cols>
    <col min="1" max="1" width="5.140625" customWidth="1"/>
  </cols>
  <sheetData>
    <row r="3" spans="2:8" x14ac:dyDescent="0.25">
      <c r="B3" t="s">
        <v>2250</v>
      </c>
    </row>
    <row r="5" spans="2:8" x14ac:dyDescent="0.25">
      <c r="B5" s="17"/>
      <c r="C5" s="18"/>
      <c r="D5" s="19" t="s">
        <v>19</v>
      </c>
      <c r="E5" s="20"/>
      <c r="F5" s="20"/>
      <c r="G5" s="20"/>
      <c r="H5" s="21"/>
    </row>
    <row r="6" spans="2:8" x14ac:dyDescent="0.25">
      <c r="B6" s="22" t="s">
        <v>21</v>
      </c>
      <c r="C6" s="23" t="s">
        <v>2</v>
      </c>
      <c r="D6" s="24" t="s">
        <v>34</v>
      </c>
      <c r="E6" s="25" t="s">
        <v>69</v>
      </c>
      <c r="F6" s="25" t="s">
        <v>64</v>
      </c>
      <c r="G6" s="25" t="s">
        <v>58</v>
      </c>
      <c r="H6" s="26" t="s">
        <v>2251</v>
      </c>
    </row>
    <row r="7" spans="2:8" x14ac:dyDescent="0.25">
      <c r="B7" s="27" t="s">
        <v>97</v>
      </c>
      <c r="C7" s="28" t="s">
        <v>2252</v>
      </c>
      <c r="D7" s="29">
        <v>908801.36</v>
      </c>
      <c r="E7" s="30">
        <v>909631.92</v>
      </c>
      <c r="F7" s="30">
        <v>573632.97</v>
      </c>
      <c r="G7" s="31">
        <v>801300.89</v>
      </c>
      <c r="H7" s="32">
        <v>3193367.14</v>
      </c>
    </row>
    <row r="8" spans="2:8" x14ac:dyDescent="0.25">
      <c r="B8" s="33"/>
      <c r="C8" s="34" t="s">
        <v>2253</v>
      </c>
      <c r="D8" s="35">
        <v>71</v>
      </c>
      <c r="E8" s="36">
        <v>61</v>
      </c>
      <c r="F8" s="36">
        <v>47</v>
      </c>
      <c r="G8" s="37">
        <v>63</v>
      </c>
      <c r="H8" s="38">
        <v>242</v>
      </c>
    </row>
    <row r="9" spans="2:8" x14ac:dyDescent="0.25">
      <c r="B9" s="27" t="s">
        <v>89</v>
      </c>
      <c r="C9" s="28" t="s">
        <v>2252</v>
      </c>
      <c r="D9" s="30">
        <v>507503.34</v>
      </c>
      <c r="E9" s="30">
        <v>527974.36</v>
      </c>
      <c r="F9" s="30">
        <v>535792.4</v>
      </c>
      <c r="G9" s="30">
        <v>557510.82999999996</v>
      </c>
      <c r="H9" s="32">
        <v>2128780.9300000002</v>
      </c>
    </row>
    <row r="10" spans="2:8" x14ac:dyDescent="0.25">
      <c r="B10" s="33"/>
      <c r="C10" s="34" t="s">
        <v>2253</v>
      </c>
      <c r="D10" s="36">
        <v>61</v>
      </c>
      <c r="E10" s="36">
        <v>59</v>
      </c>
      <c r="F10" s="36">
        <v>47</v>
      </c>
      <c r="G10" s="36">
        <v>50</v>
      </c>
      <c r="H10" s="38">
        <v>217</v>
      </c>
    </row>
    <row r="11" spans="2:8" x14ac:dyDescent="0.25">
      <c r="B11" s="27" t="s">
        <v>36</v>
      </c>
      <c r="C11" s="28" t="s">
        <v>2252</v>
      </c>
      <c r="D11" s="29">
        <v>235271.73</v>
      </c>
      <c r="E11" s="30">
        <v>229341.28</v>
      </c>
      <c r="F11" s="30">
        <v>184595.52</v>
      </c>
      <c r="G11" s="31">
        <v>188505.1</v>
      </c>
      <c r="H11" s="32">
        <v>837713.63</v>
      </c>
    </row>
    <row r="12" spans="2:8" x14ac:dyDescent="0.25">
      <c r="B12" s="33"/>
      <c r="C12" s="34" t="s">
        <v>2253</v>
      </c>
      <c r="D12" s="35">
        <v>64</v>
      </c>
      <c r="E12" s="36">
        <v>59</v>
      </c>
      <c r="F12" s="36">
        <v>62</v>
      </c>
      <c r="G12" s="37">
        <v>63</v>
      </c>
      <c r="H12" s="38">
        <v>248</v>
      </c>
    </row>
    <row r="13" spans="2:8" x14ac:dyDescent="0.25">
      <c r="B13" s="27" t="s">
        <v>60</v>
      </c>
      <c r="C13" s="28" t="s">
        <v>2252</v>
      </c>
      <c r="D13" s="30">
        <v>569180.43999999994</v>
      </c>
      <c r="E13" s="30">
        <v>467580.07</v>
      </c>
      <c r="F13" s="30">
        <v>747410.31</v>
      </c>
      <c r="G13" s="30">
        <v>720984.36</v>
      </c>
      <c r="H13" s="32">
        <v>2505155.1800000002</v>
      </c>
    </row>
    <row r="14" spans="2:8" x14ac:dyDescent="0.25">
      <c r="B14" s="33"/>
      <c r="C14" s="34" t="s">
        <v>2253</v>
      </c>
      <c r="D14" s="36">
        <v>56</v>
      </c>
      <c r="E14" s="36">
        <v>51</v>
      </c>
      <c r="F14" s="36">
        <v>66</v>
      </c>
      <c r="G14" s="36">
        <v>66</v>
      </c>
      <c r="H14" s="38">
        <v>239</v>
      </c>
    </row>
    <row r="15" spans="2:8" x14ac:dyDescent="0.25">
      <c r="B15" s="27" t="s">
        <v>50</v>
      </c>
      <c r="C15" s="28" t="s">
        <v>2252</v>
      </c>
      <c r="D15" s="29">
        <v>235168.46</v>
      </c>
      <c r="E15" s="30">
        <v>271997.11</v>
      </c>
      <c r="F15" s="30">
        <v>280015.5</v>
      </c>
      <c r="G15" s="31">
        <v>309971.94</v>
      </c>
      <c r="H15" s="32">
        <v>1097153.01</v>
      </c>
    </row>
    <row r="16" spans="2:8" x14ac:dyDescent="0.25">
      <c r="B16" s="33"/>
      <c r="C16" s="34" t="s">
        <v>2253</v>
      </c>
      <c r="D16" s="35">
        <v>46</v>
      </c>
      <c r="E16" s="36">
        <v>49</v>
      </c>
      <c r="F16" s="36">
        <v>54</v>
      </c>
      <c r="G16" s="37">
        <v>56</v>
      </c>
      <c r="H16" s="38">
        <v>205</v>
      </c>
    </row>
    <row r="17" spans="2:8" x14ac:dyDescent="0.25">
      <c r="B17" s="27" t="s">
        <v>108</v>
      </c>
      <c r="C17" s="28" t="s">
        <v>2252</v>
      </c>
      <c r="D17" s="30">
        <v>201318.8</v>
      </c>
      <c r="E17" s="30">
        <v>191459.22</v>
      </c>
      <c r="F17" s="30">
        <v>192086.25</v>
      </c>
      <c r="G17" s="30">
        <v>143765.69</v>
      </c>
      <c r="H17" s="32">
        <v>728629.96</v>
      </c>
    </row>
    <row r="18" spans="2:8" x14ac:dyDescent="0.25">
      <c r="B18" s="33"/>
      <c r="C18" s="34" t="s">
        <v>2253</v>
      </c>
      <c r="D18" s="36">
        <v>62</v>
      </c>
      <c r="E18" s="36">
        <v>52</v>
      </c>
      <c r="F18" s="36">
        <v>55</v>
      </c>
      <c r="G18" s="36">
        <v>53</v>
      </c>
      <c r="H18" s="38">
        <v>222</v>
      </c>
    </row>
    <row r="19" spans="2:8" x14ac:dyDescent="0.25">
      <c r="B19" s="27" t="s">
        <v>54</v>
      </c>
      <c r="C19" s="28" t="s">
        <v>2252</v>
      </c>
      <c r="D19" s="29">
        <v>563542.93000000005</v>
      </c>
      <c r="E19" s="30">
        <v>509825.77</v>
      </c>
      <c r="F19" s="30">
        <v>603799.51</v>
      </c>
      <c r="G19" s="31">
        <v>724093.39</v>
      </c>
      <c r="H19" s="32">
        <v>2401261.6</v>
      </c>
    </row>
    <row r="20" spans="2:8" x14ac:dyDescent="0.25">
      <c r="B20" s="33"/>
      <c r="C20" s="34" t="s">
        <v>2253</v>
      </c>
      <c r="D20" s="35">
        <v>49</v>
      </c>
      <c r="E20" s="36">
        <v>49</v>
      </c>
      <c r="F20" s="36">
        <v>54</v>
      </c>
      <c r="G20" s="37">
        <v>54</v>
      </c>
      <c r="H20" s="38">
        <v>206</v>
      </c>
    </row>
    <row r="21" spans="2:8" x14ac:dyDescent="0.25">
      <c r="B21" s="27" t="s">
        <v>71</v>
      </c>
      <c r="C21" s="28" t="s">
        <v>2252</v>
      </c>
      <c r="D21" s="30">
        <v>296717.86</v>
      </c>
      <c r="E21" s="30">
        <v>223114.15</v>
      </c>
      <c r="F21" s="30">
        <v>232737.02</v>
      </c>
      <c r="G21" s="30">
        <v>278051.27</v>
      </c>
      <c r="H21" s="32">
        <v>1030620.3</v>
      </c>
    </row>
    <row r="22" spans="2:8" x14ac:dyDescent="0.25">
      <c r="B22" s="33"/>
      <c r="C22" s="34" t="s">
        <v>2253</v>
      </c>
      <c r="D22" s="36">
        <v>66</v>
      </c>
      <c r="E22" s="36">
        <v>50</v>
      </c>
      <c r="F22" s="36">
        <v>44</v>
      </c>
      <c r="G22" s="36">
        <v>61</v>
      </c>
      <c r="H22" s="38">
        <v>221</v>
      </c>
    </row>
    <row r="23" spans="2:8" x14ac:dyDescent="0.25">
      <c r="B23" s="39" t="s">
        <v>2254</v>
      </c>
      <c r="C23" s="40"/>
      <c r="D23" s="41">
        <v>3517504.92</v>
      </c>
      <c r="E23" s="42">
        <v>3330923.88</v>
      </c>
      <c r="F23" s="42">
        <v>3350069.48</v>
      </c>
      <c r="G23" s="43">
        <v>3724183.47</v>
      </c>
      <c r="H23" s="44">
        <v>13922681.75</v>
      </c>
    </row>
    <row r="24" spans="2:8" x14ac:dyDescent="0.25">
      <c r="B24" s="45" t="s">
        <v>2255</v>
      </c>
      <c r="C24" s="46"/>
      <c r="D24" s="47">
        <v>475</v>
      </c>
      <c r="E24" s="48">
        <v>430</v>
      </c>
      <c r="F24" s="48">
        <v>429</v>
      </c>
      <c r="G24" s="49">
        <v>466</v>
      </c>
      <c r="H24" s="50">
        <v>1800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Procurement_Raw</vt:lpstr>
      <vt:lpstr>Fleet_Raw</vt:lpstr>
      <vt:lpstr>Workforce_Raw</vt:lpstr>
      <vt:lpstr>Agency_Raw</vt:lpstr>
      <vt:lpstr>Finance_Raw</vt:lpstr>
      <vt:lpstr>Sites</vt:lpstr>
      <vt:lpstr>Category_Targets</vt:lpstr>
      <vt:lpstr>Supplier_Lookup</vt:lpstr>
      <vt:lpstr>Cleaned_Procurement</vt:lpstr>
      <vt:lpstr>Pivot_Analysis</vt:lpstr>
      <vt:lpstr>Financial_Model</vt:lpstr>
      <vt:lpstr>Savings_Tracker</vt:lpstr>
      <vt:lpstr>Formula_Audit</vt:lpstr>
      <vt:lpstr>Dashboard</vt:lpstr>
      <vt:lpstr>VBA_Code</vt:lpstr>
      <vt:lpstr>Methodology</vt:lpstr>
      <vt:lpstr>Actual_Pivot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CareTech Junior Data Analyst Commercial Excel Capstone</dc:title>
  <dc:subject>Advanced Excel, VBA and financial modelling</dc:subject>
  <dc:creator>Candidate Portfolio Project</dc:creator>
  <dc:description>Synthetic data only; no real CareTech data.</dc:description>
  <cp:lastModifiedBy>Ologun Oluwatosin (LSCFT)</cp:lastModifiedBy>
  <cp:revision>1</cp:revision>
  <dcterms:created xsi:type="dcterms:W3CDTF">2026-09-24T12:03:23Z</dcterms:created>
  <dcterms:modified xsi:type="dcterms:W3CDTF">2026-09-24T13:03:14Z</dcterms:modified>
  <dc:language>en-US</dc:language>
</cp:coreProperties>
</file>